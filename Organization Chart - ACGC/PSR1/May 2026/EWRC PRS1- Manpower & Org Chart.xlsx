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yaz\Desktop\Organisational Chart - ACGC\PSR1\May 2026\"/>
    </mc:Choice>
  </mc:AlternateContent>
  <xr:revisionPtr revIDLastSave="0" documentId="13_ncr:1_{64BE677D-E100-4BA1-86D0-A8BEDF250F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npower " sheetId="1" r:id="rId1"/>
    <sheet name="Org.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R225" i="2" l="1"/>
  <c r="HR203" i="2" l="1"/>
  <c r="FR203" i="2"/>
  <c r="LR185" i="2"/>
  <c r="LR163" i="2"/>
  <c r="LI95" i="2"/>
  <c r="JK95" i="2"/>
  <c r="HM95" i="2"/>
  <c r="IN45" i="2" s="1"/>
  <c r="LN220" i="2" s="1"/>
  <c r="CV64" i="2"/>
  <c r="LO38" i="2"/>
  <c r="AX38" i="2"/>
  <c r="D68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J35" i="1"/>
  <c r="B35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16" i="1"/>
  <c r="B16" i="1"/>
  <c r="A12" i="1"/>
  <c r="J4" i="1"/>
  <c r="J67" i="1" s="1"/>
  <c r="B4" i="1"/>
  <c r="B67" i="1" l="1"/>
  <c r="A68" i="1"/>
  <c r="H68" i="1"/>
</calcChain>
</file>

<file path=xl/sharedStrings.xml><?xml version="1.0" encoding="utf-8"?>
<sst xmlns="http://schemas.openxmlformats.org/spreadsheetml/2006/main" count="454" uniqueCount="223">
  <si>
    <r>
      <t xml:space="preserve">EWRC Manpower - Overall Consolidated Sheet - </t>
    </r>
    <r>
      <rPr>
        <b/>
        <sz val="14"/>
        <color rgb="FFFF0000"/>
        <rFont val="Arial"/>
        <family val="2"/>
      </rPr>
      <t>PRS1</t>
    </r>
  </si>
  <si>
    <t>L/N</t>
  </si>
  <si>
    <t>As per Contract</t>
  </si>
  <si>
    <t>Position</t>
  </si>
  <si>
    <t>Employee #</t>
  </si>
  <si>
    <t>Iqama/National ID</t>
  </si>
  <si>
    <t>Aramco Id Number</t>
  </si>
  <si>
    <t>Given Name / Surname</t>
  </si>
  <si>
    <t>Nationality</t>
  </si>
  <si>
    <t>Company</t>
  </si>
  <si>
    <t>Actual Count</t>
  </si>
  <si>
    <t>Current Status</t>
  </si>
  <si>
    <t>Work Location</t>
  </si>
  <si>
    <t>Remarks</t>
  </si>
  <si>
    <t>A</t>
  </si>
  <si>
    <t>Site Mangement</t>
  </si>
  <si>
    <t>Facility Manager -1</t>
  </si>
  <si>
    <t>Khalid Fallata</t>
  </si>
  <si>
    <t>Yet to arrive</t>
  </si>
  <si>
    <t>Residential Compound</t>
  </si>
  <si>
    <t>Facility Engineer-1</t>
  </si>
  <si>
    <t>Sharath Krishna</t>
  </si>
  <si>
    <t>Indian</t>
  </si>
  <si>
    <t>ACGC</t>
  </si>
  <si>
    <t>On Site</t>
  </si>
  <si>
    <t>Facility Engineer</t>
  </si>
  <si>
    <t>Karthikeyan Venkatachalam</t>
  </si>
  <si>
    <t>Safety Officer-1</t>
  </si>
  <si>
    <t>Ahmed AlMehmadi</t>
  </si>
  <si>
    <t>Saudi</t>
  </si>
  <si>
    <t>General Administrator-1</t>
  </si>
  <si>
    <t>Rohan Sanjay Vedamuthu</t>
  </si>
  <si>
    <t>General Administrator - 2</t>
  </si>
  <si>
    <t>Ziyad Al Shahrani</t>
  </si>
  <si>
    <t>Pump Station</t>
  </si>
  <si>
    <t>Housing Front Office Administrator-1</t>
  </si>
  <si>
    <t>Mohammed Al hejaili</t>
  </si>
  <si>
    <t>CMMS Administrator-1</t>
  </si>
  <si>
    <t>Mohamed Mujeeb</t>
  </si>
  <si>
    <t>Sri Lankan</t>
  </si>
  <si>
    <t>Help Desk Operator - 1</t>
  </si>
  <si>
    <t>Arun Joshy</t>
  </si>
  <si>
    <t>Warehouse Adminstrator-1</t>
  </si>
  <si>
    <t>Umesh Narayanan</t>
  </si>
  <si>
    <t>Local Purchaser-1</t>
  </si>
  <si>
    <t>Basim Mohammed Al Balawi</t>
  </si>
  <si>
    <t>B</t>
  </si>
  <si>
    <t>MEP Services</t>
  </si>
  <si>
    <t>Maintenance Supervisor-1</t>
  </si>
  <si>
    <t xml:space="preserve">Kither Mohamed Halim Kither Mohideen Abdul Kader </t>
  </si>
  <si>
    <t>On SIte</t>
  </si>
  <si>
    <t>Maintenance Supervisor-2</t>
  </si>
  <si>
    <t>Joshua Belchez Abian</t>
  </si>
  <si>
    <t>Filipino</t>
  </si>
  <si>
    <t>Mechanical Technician-1</t>
  </si>
  <si>
    <t>Omer Mousa Al Khaibari</t>
  </si>
  <si>
    <t>Mechanical Technician-2</t>
  </si>
  <si>
    <t xml:space="preserve"> Ananthan Suyambu Nadar</t>
  </si>
  <si>
    <t>HVAC Technician-1</t>
  </si>
  <si>
    <t>Deva Suthareson Sahaya Thangaraj</t>
  </si>
  <si>
    <t>HVAC Technician-2</t>
  </si>
  <si>
    <t>Nithinraj Karippodi</t>
  </si>
  <si>
    <t>HVAC Technician-3</t>
  </si>
  <si>
    <t xml:space="preserve"> Mohammed Sajid Ansari</t>
  </si>
  <si>
    <t>Electrical Tehnician -1</t>
  </si>
  <si>
    <t>Prabakaran Soundarapandian</t>
  </si>
  <si>
    <t>Electrical Tehnician -2</t>
  </si>
  <si>
    <t>Saju Baby</t>
  </si>
  <si>
    <t>Electrical Technician-3</t>
  </si>
  <si>
    <t xml:space="preserve"> Ricky S. Torion</t>
  </si>
  <si>
    <t>Fire Alarm / CCTV  Technicians-1</t>
  </si>
  <si>
    <t>Manivel Pandiyan</t>
  </si>
  <si>
    <t>Fire Alarm / CCTV  Technicians-2</t>
  </si>
  <si>
    <t xml:space="preserve"> Binoy K</t>
  </si>
  <si>
    <t>Plumber-1</t>
  </si>
  <si>
    <t>Md Jalaluddin</t>
  </si>
  <si>
    <t>Plumber -2</t>
  </si>
  <si>
    <t xml:space="preserve"> Samir Ranjan Jena</t>
  </si>
  <si>
    <t>STP Operator-1</t>
  </si>
  <si>
    <t>MUHAMMAD AMEEN   ULLAH</t>
  </si>
  <si>
    <t>HML</t>
  </si>
  <si>
    <t>Handyman-1</t>
  </si>
  <si>
    <t>Shaikh Mohammad Sadiq</t>
  </si>
  <si>
    <t>Handyman-2</t>
  </si>
  <si>
    <t>Atul Vishwakarma</t>
  </si>
  <si>
    <t xml:space="preserve"> Pump Station</t>
  </si>
  <si>
    <t>Handyman-3</t>
  </si>
  <si>
    <t>Gene O. Mollasgo</t>
  </si>
  <si>
    <t>C</t>
  </si>
  <si>
    <t>Housekeeping &amp; Recreational Services</t>
  </si>
  <si>
    <t>Housekeeping Supervisor-1</t>
  </si>
  <si>
    <t>Ashwani Kumar</t>
  </si>
  <si>
    <t>Fitness Instructor-1</t>
  </si>
  <si>
    <t>Vivin Arockia Raj Antonisamy</t>
  </si>
  <si>
    <t>Imam / Muezzin-1</t>
  </si>
  <si>
    <t>Mohammed Mesfer Al Mehmedi</t>
  </si>
  <si>
    <t>Imam / Muezzin-2</t>
  </si>
  <si>
    <t>Turki Masood Alharbi</t>
  </si>
  <si>
    <t>Team Leader-1</t>
  </si>
  <si>
    <t>Velumani Ellappan</t>
  </si>
  <si>
    <t>Non - renewal LWD May 20</t>
  </si>
  <si>
    <t>Team Leader-2</t>
  </si>
  <si>
    <t>Vacancy - 1</t>
  </si>
  <si>
    <t>Room Attendant-1</t>
  </si>
  <si>
    <t>Ishwar Kumar</t>
  </si>
  <si>
    <t>Room Attendant-2</t>
  </si>
  <si>
    <t>Asrar Mohammedrafi Attar</t>
  </si>
  <si>
    <t>Room Attendant-3</t>
  </si>
  <si>
    <t>Titus John Dias</t>
  </si>
  <si>
    <t>Room Attendant-4</t>
  </si>
  <si>
    <t>Mohammadu Naseer Nasker</t>
  </si>
  <si>
    <t>Room Attendant-5</t>
  </si>
  <si>
    <t>Sekh Saddam Hussain</t>
  </si>
  <si>
    <t>Room Attendant-6</t>
  </si>
  <si>
    <t xml:space="preserve"> Prapulkumar Laxman Mirashi</t>
  </si>
  <si>
    <t>Room Attendant-7</t>
  </si>
  <si>
    <t xml:space="preserve"> Krishna Karki</t>
  </si>
  <si>
    <t>Nepali</t>
  </si>
  <si>
    <t>Gardener-1</t>
  </si>
  <si>
    <t>Shahid Hussain</t>
  </si>
  <si>
    <t>Gardener-2</t>
  </si>
  <si>
    <t>Tea Boy - 1</t>
  </si>
  <si>
    <t xml:space="preserve"> Jawahir Mohamed Risvi</t>
  </si>
  <si>
    <t>Janitor-1</t>
  </si>
  <si>
    <t> Mohamed Razikeen Mohamed Shafeek</t>
  </si>
  <si>
    <t>Janitor-2</t>
  </si>
  <si>
    <t xml:space="preserve"> Ponnuthurai Vijenthiran</t>
  </si>
  <si>
    <t>Janitor-3</t>
  </si>
  <si>
    <t xml:space="preserve"> Ravichandran Steeven</t>
  </si>
  <si>
    <t>Janitor-4</t>
  </si>
  <si>
    <t xml:space="preserve"> Alexander Thiness Andrew Vasanth</t>
  </si>
  <si>
    <t>Janitor-5</t>
  </si>
  <si>
    <t>Ameenul Makeen Ameerdeen</t>
  </si>
  <si>
    <t>Janitor-6</t>
  </si>
  <si>
    <t xml:space="preserve">Jeyakumaran Mylvaganam </t>
  </si>
  <si>
    <t>Janitor-7</t>
  </si>
  <si>
    <t>Shamshuddin</t>
  </si>
  <si>
    <t>Janitor-8</t>
  </si>
  <si>
    <t>Babu Dara</t>
  </si>
  <si>
    <t>Janitor-9</t>
  </si>
  <si>
    <t xml:space="preserve"> Dilli Raj Shahi</t>
  </si>
  <si>
    <t>Janitor-10</t>
  </si>
  <si>
    <t xml:space="preserve">NAIYAR HASAN SHAUKAT ALI </t>
  </si>
  <si>
    <t>Jalal</t>
  </si>
  <si>
    <t>Driver-1</t>
  </si>
  <si>
    <t>Nasser Hameed Albadrani</t>
  </si>
  <si>
    <t>Driver-2</t>
  </si>
  <si>
    <t>Mohamedmaideen Muthalif</t>
  </si>
  <si>
    <t>Driver-3</t>
  </si>
  <si>
    <t>Abdul Latif Muhammad Mushtaq</t>
  </si>
  <si>
    <t>Pakistani</t>
  </si>
  <si>
    <t>Barber-1</t>
  </si>
  <si>
    <t>Mohammad Tahzeem Abbasi</t>
  </si>
  <si>
    <t>Barber-2</t>
  </si>
  <si>
    <t>EWRC Total Saudi Employees:</t>
  </si>
  <si>
    <t>Saudization  :</t>
  </si>
  <si>
    <t xml:space="preserve">Villa Security and Cleaner </t>
  </si>
  <si>
    <t>Asper Contract</t>
  </si>
  <si>
    <t>Iqama/National Id</t>
  </si>
  <si>
    <t>Current 
Status</t>
  </si>
  <si>
    <t>Janitor</t>
  </si>
  <si>
    <t>Kanikumar Mani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</si>
  <si>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PRS1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</si>
  <si>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</si>
  <si>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</si>
  <si>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Khalid Fallata</t>
    </r>
  </si>
  <si>
    <t>General Adminstration</t>
  </si>
  <si>
    <t>HSE DEPT.</t>
  </si>
  <si>
    <t>House Keeping &amp; Recreational Services</t>
  </si>
  <si>
    <r>
      <t xml:space="preserve">Site Administrator
</t>
    </r>
    <r>
      <rPr>
        <sz val="14"/>
        <color rgb="FFFF0000"/>
        <rFont val="Arial"/>
        <family val="2"/>
      </rPr>
      <t>Rohan / Ziyad</t>
    </r>
  </si>
  <si>
    <r>
      <t xml:space="preserve">Safety Officer
</t>
    </r>
    <r>
      <rPr>
        <sz val="14"/>
        <color rgb="FFFF0000"/>
        <rFont val="Arial"/>
        <family val="2"/>
      </rPr>
      <t>Ahmed AlMehmadi</t>
    </r>
  </si>
  <si>
    <r>
      <t xml:space="preserve">Local Purchaser
</t>
    </r>
    <r>
      <rPr>
        <sz val="14"/>
        <color rgb="FFFF0000"/>
        <rFont val="Arial"/>
        <family val="2"/>
      </rPr>
      <t>Basim Mohammed</t>
    </r>
  </si>
  <si>
    <r>
      <t xml:space="preserve">Supervisor
</t>
    </r>
    <r>
      <rPr>
        <sz val="14"/>
        <color rgb="FFFF0000"/>
        <rFont val="Arial"/>
        <family val="2"/>
      </rPr>
      <t>Aswani Kumar</t>
    </r>
  </si>
  <si>
    <t>Maintenance Unit</t>
  </si>
  <si>
    <r>
      <t xml:space="preserve">Warehouse Admin.
</t>
    </r>
    <r>
      <rPr>
        <sz val="14"/>
        <color rgb="FFFF0000"/>
        <rFont val="Arial"/>
        <family val="2"/>
      </rPr>
      <t>Umesh Narayanan</t>
    </r>
  </si>
  <si>
    <t>Imam / Muezzin</t>
  </si>
  <si>
    <r>
      <t xml:space="preserve">Maintenance Supervisor
</t>
    </r>
    <r>
      <rPr>
        <sz val="14"/>
        <color rgb="FFFF0000"/>
        <rFont val="Arial"/>
        <family val="2"/>
      </rPr>
      <t>Kither Mohammed</t>
    </r>
  </si>
  <si>
    <t>Driver</t>
  </si>
  <si>
    <t>Mechanical Technicians</t>
  </si>
  <si>
    <t xml:space="preserve">Front Office &amp; Reception </t>
  </si>
  <si>
    <t>Residential Services</t>
  </si>
  <si>
    <t>External Services</t>
  </si>
  <si>
    <t>Recrational Services</t>
  </si>
  <si>
    <t>HVAC / Chiller Technicians</t>
  </si>
  <si>
    <t>Electrical Technician</t>
  </si>
  <si>
    <t>Team Leader</t>
  </si>
  <si>
    <t>Gardener</t>
  </si>
  <si>
    <t>Fitness Instructor</t>
  </si>
  <si>
    <t>Fire Alarm / CCTV Tech.</t>
  </si>
  <si>
    <t>Janirors - General</t>
  </si>
  <si>
    <t>Barbers</t>
  </si>
  <si>
    <t>Room Attendant</t>
  </si>
  <si>
    <t>Plumber</t>
  </si>
  <si>
    <t>WM Janitors</t>
  </si>
  <si>
    <t>Tea Boy</t>
  </si>
  <si>
    <t>STP Operator</t>
  </si>
  <si>
    <r>
      <t xml:space="preserve">Pest Control
</t>
    </r>
    <r>
      <rPr>
        <sz val="14"/>
        <color rgb="FFFF0000"/>
        <rFont val="Arial"/>
        <family val="2"/>
      </rPr>
      <t>Rentokil</t>
    </r>
  </si>
  <si>
    <t>Handyman</t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</si>
  <si>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</si>
  <si>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>Salon Services</t>
  </si>
  <si>
    <t>Security 
Management</t>
  </si>
  <si>
    <t>Nesma</t>
  </si>
  <si>
    <t>Catering
Laundry / Telecom</t>
  </si>
  <si>
    <t>Qudrat</t>
  </si>
  <si>
    <t>Vacancies</t>
  </si>
  <si>
    <t>Surplus</t>
  </si>
  <si>
    <t>Facilities Manager</t>
  </si>
  <si>
    <t>Maintenance Supervisor</t>
  </si>
  <si>
    <t>Mechanical Tech</t>
  </si>
  <si>
    <t>Prepared by:</t>
  </si>
  <si>
    <t>Reviewed by:</t>
  </si>
  <si>
    <t>Approved by:</t>
  </si>
  <si>
    <t>AS PER CONTRACT</t>
  </si>
  <si>
    <t>Barber</t>
  </si>
  <si>
    <t>Room attendant</t>
  </si>
  <si>
    <t>Sub Con. Repl. by ACGC</t>
  </si>
  <si>
    <t>CODE</t>
  </si>
  <si>
    <t>REVISION - 12</t>
  </si>
  <si>
    <t>Date: 11/02/2026</t>
  </si>
  <si>
    <t>STP operator</t>
  </si>
  <si>
    <r>
      <t xml:space="preserve">CMMS / Help Desk
</t>
    </r>
    <r>
      <rPr>
        <sz val="14"/>
        <color rgb="FFFF0000"/>
        <rFont val="Arial"/>
        <family val="2"/>
      </rPr>
      <t>Mujeeb / Arun Joshy</t>
    </r>
  </si>
  <si>
    <r>
      <t xml:space="preserve">Hous. Front Off. Admin.
</t>
    </r>
    <r>
      <rPr>
        <sz val="10"/>
        <color rgb="FFFF0000"/>
        <rFont val="Arial"/>
        <family val="2"/>
      </rPr>
      <t>Mohd. Al hejaili</t>
    </r>
  </si>
  <si>
    <r>
      <t xml:space="preserve">Facility Engineer
</t>
    </r>
    <r>
      <rPr>
        <sz val="14"/>
        <color rgb="FFFF0000"/>
        <rFont val="Arial"/>
        <family val="2"/>
      </rPr>
      <t>Sharath Krishna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</si>
</sst>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indexed="8"/>
      <name val="Calibri"/>
      <family val="2"/>
    </font>
    <font>
      <sz val="14"/>
      <color rgb="FF000000"/>
      <name val="Calibri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</font>
    <font>
      <b/>
      <sz val="14"/>
      <color rgb="FF00B050"/>
      <name val="Calibri"/>
      <family val="2"/>
    </font>
    <font>
      <sz val="14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</font>
    <font>
      <sz val="14"/>
      <color theme="0"/>
      <name val="Calibri"/>
      <family val="2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  <scheme val="minor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name val="Calibri"/>
      <family val="2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  <scheme val="minor"/>
    </font>
    <font>
      <b/>
      <sz val="14"/>
      <color theme="9" tint="-0.249977111117893"/>
      <name val="Arial"/>
      <family val="2"/>
    </font>
    <font>
      <b/>
      <sz val="14"/>
      <color rgb="FF00B050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sz val="14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8">
    <xf numFmtId="0" fontId="0" fillId="0" borderId="0" xfId="0"/>
    <xf numFmtId="0" fontId="3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0" xfId="0" applyFont="1" applyFill="1" applyAlignment="1">
      <alignment horizontal="left"/>
    </xf>
    <xf numFmtId="0" fontId="14" fillId="4" borderId="7" xfId="0" applyFont="1" applyFill="1" applyBorder="1" applyAlignment="1">
      <alignment horizontal="center" vertical="center"/>
    </xf>
    <xf numFmtId="2" fontId="16" fillId="4" borderId="8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6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5" borderId="6" xfId="0" applyFont="1" applyFill="1" applyBorder="1" applyAlignment="1">
      <alignment horizontal="center" vertical="center"/>
    </xf>
    <xf numFmtId="14" fontId="6" fillId="5" borderId="6" xfId="0" applyNumberFormat="1" applyFont="1" applyFill="1" applyBorder="1" applyAlignment="1">
      <alignment horizontal="left" vertical="center"/>
    </xf>
    <xf numFmtId="0" fontId="7" fillId="5" borderId="6" xfId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2" fontId="10" fillId="5" borderId="8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1" fillId="0" borderId="6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2" fontId="17" fillId="4" borderId="8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7" fillId="0" borderId="10" xfId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/>
    </xf>
    <xf numFmtId="15" fontId="20" fillId="0" borderId="8" xfId="0" applyNumberFormat="1" applyFont="1" applyBorder="1" applyAlignment="1">
      <alignment horizontal="center" vertical="center"/>
    </xf>
    <xf numFmtId="2" fontId="21" fillId="5" borderId="8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6" borderId="6" xfId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2" fontId="10" fillId="6" borderId="8" xfId="0" applyNumberFormat="1" applyFont="1" applyFill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14" fillId="4" borderId="6" xfId="0" quotePrefix="1" applyFont="1" applyFill="1" applyBorder="1" applyAlignment="1">
      <alignment horizontal="left" vertical="center"/>
    </xf>
    <xf numFmtId="14" fontId="14" fillId="4" borderId="8" xfId="0" applyNumberFormat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5" fontId="8" fillId="0" borderId="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13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left" vertical="center"/>
    </xf>
    <xf numFmtId="0" fontId="7" fillId="6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2" fontId="10" fillId="6" borderId="17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/>
    <xf numFmtId="0" fontId="29" fillId="7" borderId="23" xfId="0" applyFont="1" applyFill="1" applyBorder="1" applyAlignment="1">
      <alignment horizontal="left" vertical="center"/>
    </xf>
    <xf numFmtId="0" fontId="29" fillId="7" borderId="23" xfId="0" applyFont="1" applyFill="1" applyBorder="1" applyAlignment="1">
      <alignment horizontal="left"/>
    </xf>
    <xf numFmtId="0" fontId="4" fillId="7" borderId="23" xfId="0" applyFont="1" applyFill="1" applyBorder="1" applyAlignment="1">
      <alignment vertical="center"/>
    </xf>
    <xf numFmtId="0" fontId="30" fillId="7" borderId="23" xfId="0" applyFont="1" applyFill="1" applyBorder="1" applyAlignment="1">
      <alignment horizontal="right" vertical="center"/>
    </xf>
    <xf numFmtId="0" fontId="5" fillId="7" borderId="23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2" fillId="0" borderId="28" xfId="0" applyFont="1" applyBorder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2" fillId="0" borderId="30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31" xfId="0" applyFont="1" applyBorder="1" applyAlignment="1">
      <alignment vertical="center" wrapText="1"/>
    </xf>
    <xf numFmtId="0" fontId="32" fillId="0" borderId="32" xfId="0" applyFont="1" applyBorder="1" applyAlignment="1">
      <alignment vertical="center" wrapText="1"/>
    </xf>
    <xf numFmtId="0" fontId="32" fillId="0" borderId="33" xfId="0" applyFont="1" applyBorder="1" applyAlignment="1">
      <alignment vertical="center" wrapText="1"/>
    </xf>
    <xf numFmtId="0" fontId="32" fillId="0" borderId="34" xfId="0" applyFont="1" applyBorder="1" applyAlignment="1">
      <alignment vertical="center" wrapText="1"/>
    </xf>
    <xf numFmtId="0" fontId="32" fillId="0" borderId="35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39" xfId="0" applyFont="1" applyBorder="1" applyAlignment="1">
      <alignment vertical="center" wrapText="1"/>
    </xf>
    <xf numFmtId="15" fontId="32" fillId="0" borderId="0" xfId="0" applyNumberFormat="1" applyFont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0" fontId="31" fillId="0" borderId="31" xfId="0" applyFont="1" applyBorder="1" applyAlignment="1">
      <alignment vertical="center" wrapText="1"/>
    </xf>
    <xf numFmtId="0" fontId="31" fillId="0" borderId="20" xfId="0" applyFont="1" applyBorder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31" fillId="0" borderId="39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4" fillId="0" borderId="50" xfId="0" applyFont="1" applyBorder="1" applyAlignment="1">
      <alignment horizontal="center" vertical="top" wrapText="1"/>
    </xf>
    <xf numFmtId="0" fontId="31" fillId="0" borderId="50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1" fillId="0" borderId="51" xfId="0" applyFont="1" applyBorder="1" applyAlignment="1">
      <alignment vertical="center" wrapText="1"/>
    </xf>
    <xf numFmtId="0" fontId="31" fillId="0" borderId="52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top" wrapText="1"/>
    </xf>
    <xf numFmtId="0" fontId="4" fillId="0" borderId="52" xfId="0" applyFont="1" applyBorder="1" applyAlignment="1">
      <alignment horizontal="center" vertical="top" wrapText="1"/>
    </xf>
    <xf numFmtId="0" fontId="31" fillId="0" borderId="53" xfId="0" applyFont="1" applyBorder="1" applyAlignment="1">
      <alignment vertical="center" wrapText="1"/>
    </xf>
    <xf numFmtId="0" fontId="31" fillId="0" borderId="13" xfId="0" applyFont="1" applyBorder="1" applyAlignment="1">
      <alignment vertical="center" wrapText="1"/>
    </xf>
    <xf numFmtId="0" fontId="31" fillId="0" borderId="54" xfId="0" applyFont="1" applyBorder="1" applyAlignment="1">
      <alignment vertical="center" wrapText="1"/>
    </xf>
    <xf numFmtId="0" fontId="31" fillId="0" borderId="58" xfId="0" applyFont="1" applyBorder="1" applyAlignment="1">
      <alignment vertical="center" wrapText="1"/>
    </xf>
    <xf numFmtId="0" fontId="31" fillId="0" borderId="48" xfId="0" applyFont="1" applyBorder="1" applyAlignment="1">
      <alignment vertical="center" wrapText="1"/>
    </xf>
    <xf numFmtId="0" fontId="31" fillId="0" borderId="40" xfId="0" applyFont="1" applyBorder="1" applyAlignment="1">
      <alignment vertical="center" wrapText="1"/>
    </xf>
    <xf numFmtId="0" fontId="31" fillId="0" borderId="63" xfId="0" applyFont="1" applyBorder="1" applyAlignment="1">
      <alignment vertical="center" wrapText="1"/>
    </xf>
    <xf numFmtId="0" fontId="31" fillId="0" borderId="33" xfId="0" applyFont="1" applyBorder="1" applyAlignment="1">
      <alignment vertical="center" wrapText="1"/>
    </xf>
    <xf numFmtId="0" fontId="31" fillId="0" borderId="64" xfId="0" applyFont="1" applyBorder="1" applyAlignment="1">
      <alignment vertical="center" wrapText="1"/>
    </xf>
    <xf numFmtId="0" fontId="31" fillId="0" borderId="65" xfId="0" applyFont="1" applyBorder="1" applyAlignment="1">
      <alignment vertical="center" wrapText="1"/>
    </xf>
    <xf numFmtId="15" fontId="31" fillId="0" borderId="0" xfId="0" applyNumberFormat="1" applyFont="1" applyAlignment="1">
      <alignment vertical="center" wrapText="1"/>
    </xf>
    <xf numFmtId="4" fontId="31" fillId="0" borderId="0" xfId="0" applyNumberFormat="1" applyFont="1" applyAlignment="1">
      <alignment vertical="center" wrapText="1"/>
    </xf>
    <xf numFmtId="0" fontId="31" fillId="0" borderId="67" xfId="0" applyFont="1" applyBorder="1" applyAlignment="1">
      <alignment vertical="center" wrapText="1"/>
    </xf>
    <xf numFmtId="0" fontId="31" fillId="0" borderId="68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31" fillId="0" borderId="23" xfId="0" applyFont="1" applyBorder="1" applyAlignment="1">
      <alignment vertical="center" wrapText="1"/>
    </xf>
    <xf numFmtId="0" fontId="31" fillId="0" borderId="69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1" fillId="0" borderId="70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1" fillId="0" borderId="71" xfId="0" applyFont="1" applyBorder="1" applyAlignment="1">
      <alignment vertical="center" wrapText="1"/>
    </xf>
    <xf numFmtId="0" fontId="31" fillId="0" borderId="12" xfId="0" applyFont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31" fillId="0" borderId="80" xfId="0" applyFont="1" applyBorder="1" applyAlignment="1">
      <alignment vertical="center" wrapText="1"/>
    </xf>
    <xf numFmtId="0" fontId="31" fillId="0" borderId="81" xfId="0" applyFont="1" applyBorder="1" applyAlignment="1">
      <alignment vertical="center" wrapText="1"/>
    </xf>
    <xf numFmtId="0" fontId="31" fillId="0" borderId="82" xfId="0" applyFont="1" applyBorder="1" applyAlignment="1">
      <alignment vertical="center" wrapText="1"/>
    </xf>
    <xf numFmtId="0" fontId="39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39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40" fillId="0" borderId="34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37" fillId="2" borderId="46" xfId="0" applyFont="1" applyFill="1" applyBorder="1" applyAlignment="1">
      <alignment horizontal="center" vertical="center" wrapText="1"/>
    </xf>
    <xf numFmtId="0" fontId="38" fillId="2" borderId="46" xfId="0" applyFont="1" applyFill="1" applyBorder="1" applyAlignment="1">
      <alignment horizontal="center" vertical="center" wrapText="1"/>
    </xf>
    <xf numFmtId="0" fontId="41" fillId="11" borderId="72" xfId="0" applyFont="1" applyFill="1" applyBorder="1" applyAlignment="1">
      <alignment horizontal="center" vertical="center" wrapText="1"/>
    </xf>
    <xf numFmtId="0" fontId="41" fillId="11" borderId="73" xfId="0" applyFont="1" applyFill="1" applyBorder="1" applyAlignment="1">
      <alignment horizontal="center" vertical="center" wrapText="1"/>
    </xf>
    <xf numFmtId="0" fontId="41" fillId="11" borderId="74" xfId="0" applyFont="1" applyFill="1" applyBorder="1" applyAlignment="1">
      <alignment horizontal="center" vertical="center" wrapText="1"/>
    </xf>
    <xf numFmtId="0" fontId="41" fillId="11" borderId="75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41" fillId="11" borderId="76" xfId="0" applyFont="1" applyFill="1" applyBorder="1" applyAlignment="1">
      <alignment horizontal="center" vertical="center" wrapText="1"/>
    </xf>
    <xf numFmtId="0" fontId="41" fillId="11" borderId="77" xfId="0" applyFont="1" applyFill="1" applyBorder="1" applyAlignment="1">
      <alignment horizontal="center" vertical="center" wrapText="1"/>
    </xf>
    <xf numFmtId="0" fontId="41" fillId="11" borderId="78" xfId="0" applyFont="1" applyFill="1" applyBorder="1" applyAlignment="1">
      <alignment horizontal="center" vertical="center" wrapText="1"/>
    </xf>
    <xf numFmtId="0" fontId="41" fillId="11" borderId="79" xfId="0" applyFont="1" applyFill="1" applyBorder="1" applyAlignment="1">
      <alignment horizontal="center" vertical="center" wrapText="1"/>
    </xf>
    <xf numFmtId="1" fontId="42" fillId="12" borderId="72" xfId="0" applyNumberFormat="1" applyFont="1" applyFill="1" applyBorder="1" applyAlignment="1">
      <alignment horizontal="center" vertical="center" wrapText="1"/>
    </xf>
    <xf numFmtId="1" fontId="42" fillId="12" borderId="73" xfId="0" applyNumberFormat="1" applyFont="1" applyFill="1" applyBorder="1" applyAlignment="1">
      <alignment horizontal="center" vertical="center" wrapText="1"/>
    </xf>
    <xf numFmtId="1" fontId="42" fillId="12" borderId="74" xfId="0" applyNumberFormat="1" applyFont="1" applyFill="1" applyBorder="1" applyAlignment="1">
      <alignment horizontal="center" vertical="center" wrapText="1"/>
    </xf>
    <xf numFmtId="1" fontId="42" fillId="12" borderId="75" xfId="0" applyNumberFormat="1" applyFont="1" applyFill="1" applyBorder="1" applyAlignment="1">
      <alignment horizontal="center" vertical="center" wrapText="1"/>
    </xf>
    <xf numFmtId="1" fontId="42" fillId="12" borderId="0" xfId="0" applyNumberFormat="1" applyFont="1" applyFill="1" applyAlignment="1">
      <alignment horizontal="center" vertical="center" wrapText="1"/>
    </xf>
    <xf numFmtId="1" fontId="42" fillId="12" borderId="76" xfId="0" applyNumberFormat="1" applyFont="1" applyFill="1" applyBorder="1" applyAlignment="1">
      <alignment horizontal="center" vertical="center" wrapText="1"/>
    </xf>
    <xf numFmtId="1" fontId="42" fillId="12" borderId="77" xfId="0" applyNumberFormat="1" applyFont="1" applyFill="1" applyBorder="1" applyAlignment="1">
      <alignment horizontal="center" vertical="center" wrapText="1"/>
    </xf>
    <xf numFmtId="1" fontId="42" fillId="12" borderId="78" xfId="0" applyNumberFormat="1" applyFont="1" applyFill="1" applyBorder="1" applyAlignment="1">
      <alignment horizontal="center" vertical="center" wrapText="1"/>
    </xf>
    <xf numFmtId="1" fontId="42" fillId="12" borderId="79" xfId="0" applyNumberFormat="1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 wrapText="1"/>
    </xf>
    <xf numFmtId="0" fontId="31" fillId="3" borderId="34" xfId="0" applyFont="1" applyFill="1" applyBorder="1" applyAlignment="1">
      <alignment horizontal="center" vertical="center" wrapText="1"/>
    </xf>
    <xf numFmtId="0" fontId="31" fillId="3" borderId="20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39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horizontal="center" vertical="center" wrapText="1"/>
    </xf>
    <xf numFmtId="0" fontId="31" fillId="3" borderId="48" xfId="0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1" fillId="5" borderId="32" xfId="0" applyFont="1" applyFill="1" applyBorder="1" applyAlignment="1">
      <alignment horizontal="center" vertical="center" wrapText="1"/>
    </xf>
    <xf numFmtId="0" fontId="31" fillId="5" borderId="33" xfId="0" applyFont="1" applyFill="1" applyBorder="1" applyAlignment="1">
      <alignment horizontal="center" vertical="center" wrapText="1"/>
    </xf>
    <xf numFmtId="0" fontId="31" fillId="5" borderId="34" xfId="0" applyFont="1" applyFill="1" applyBorder="1" applyAlignment="1">
      <alignment horizontal="center" vertical="center" wrapText="1"/>
    </xf>
    <xf numFmtId="0" fontId="31" fillId="5" borderId="20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center" vertical="center" wrapText="1"/>
    </xf>
    <xf numFmtId="0" fontId="31" fillId="5" borderId="39" xfId="0" applyFont="1" applyFill="1" applyBorder="1" applyAlignment="1">
      <alignment horizontal="center" vertical="center" wrapText="1"/>
    </xf>
    <xf numFmtId="0" fontId="31" fillId="5" borderId="12" xfId="0" applyFont="1" applyFill="1" applyBorder="1" applyAlignment="1">
      <alignment horizontal="center" vertical="center" wrapText="1"/>
    </xf>
    <xf numFmtId="0" fontId="31" fillId="5" borderId="48" xfId="0" applyFont="1" applyFill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4" fillId="10" borderId="32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39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4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1" fontId="4" fillId="9" borderId="32" xfId="0" applyNumberFormat="1" applyFont="1" applyFill="1" applyBorder="1" applyAlignment="1">
      <alignment horizontal="center" vertical="center" wrapText="1"/>
    </xf>
    <xf numFmtId="1" fontId="4" fillId="9" borderId="33" xfId="0" applyNumberFormat="1" applyFont="1" applyFill="1" applyBorder="1" applyAlignment="1">
      <alignment horizontal="center" vertical="center" wrapText="1"/>
    </xf>
    <xf numFmtId="1" fontId="4" fillId="9" borderId="34" xfId="0" applyNumberFormat="1" applyFont="1" applyFill="1" applyBorder="1" applyAlignment="1">
      <alignment horizontal="center" vertical="center" wrapText="1"/>
    </xf>
    <xf numFmtId="1" fontId="4" fillId="9" borderId="20" xfId="0" applyNumberFormat="1" applyFont="1" applyFill="1" applyBorder="1" applyAlignment="1">
      <alignment horizontal="center" vertical="center" wrapText="1"/>
    </xf>
    <xf numFmtId="1" fontId="4" fillId="9" borderId="0" xfId="0" applyNumberFormat="1" applyFont="1" applyFill="1" applyAlignment="1">
      <alignment horizontal="center" vertical="center" wrapText="1"/>
    </xf>
    <xf numFmtId="1" fontId="4" fillId="9" borderId="39" xfId="0" applyNumberFormat="1" applyFont="1" applyFill="1" applyBorder="1" applyAlignment="1">
      <alignment horizontal="center" vertical="center" wrapText="1"/>
    </xf>
    <xf numFmtId="1" fontId="4" fillId="9" borderId="12" xfId="0" applyNumberFormat="1" applyFont="1" applyFill="1" applyBorder="1" applyAlignment="1">
      <alignment horizontal="center" vertical="center" wrapText="1"/>
    </xf>
    <xf numFmtId="1" fontId="4" fillId="9" borderId="48" xfId="0" applyNumberFormat="1" applyFont="1" applyFill="1" applyBorder="1" applyAlignment="1">
      <alignment horizontal="center" vertical="center" wrapText="1"/>
    </xf>
    <xf numFmtId="1" fontId="4" fillId="9" borderId="10" xfId="0" applyNumberFormat="1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5D70C952-8F62-44E5-A9A7-5255765F91D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28573</xdr:colOff>
      <xdr:row>5</xdr:row>
      <xdr:rowOff>50347</xdr:rowOff>
    </xdr:from>
    <xdr:to>
      <xdr:col>23</xdr:col>
      <xdr:colOff>38099</xdr:colOff>
      <xdr:row>15</xdr:row>
      <xdr:rowOff>8165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3BD3D-7A41-4841-A58C-559E6F6E6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8" y="469447"/>
          <a:ext cx="1038226" cy="815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opLeftCell="A28" zoomScale="85" zoomScaleNormal="85" workbookViewId="0">
      <selection activeCell="C59" sqref="C59"/>
    </sheetView>
  </sheetViews>
  <sheetFormatPr defaultColWidth="9" defaultRowHeight="18" x14ac:dyDescent="0.3"/>
  <cols>
    <col min="1" max="1" width="6" style="26" customWidth="1"/>
    <col min="2" max="2" width="15.33203125" style="26" bestFit="1" customWidth="1"/>
    <col min="3" max="3" width="43.33203125" style="156" bestFit="1" customWidth="1"/>
    <col min="4" max="4" width="16" style="26" customWidth="1"/>
    <col min="5" max="5" width="23.109375" style="26" hidden="1" customWidth="1"/>
    <col min="6" max="6" width="14.109375" style="26" hidden="1" customWidth="1"/>
    <col min="7" max="7" width="63.44140625" style="156" bestFit="1" customWidth="1"/>
    <col min="8" max="8" width="19" style="26" bestFit="1" customWidth="1"/>
    <col min="9" max="9" width="17.33203125" style="26" bestFit="1" customWidth="1"/>
    <col min="10" max="10" width="12.5546875" style="26" customWidth="1"/>
    <col min="11" max="11" width="21.88671875" style="26" bestFit="1" customWidth="1"/>
    <col min="12" max="12" width="45.5546875" style="26" bestFit="1" customWidth="1"/>
    <col min="13" max="13" width="54.5546875" style="26" customWidth="1"/>
    <col min="14" max="16384" width="9" style="1"/>
  </cols>
  <sheetData>
    <row r="1" spans="1:13" ht="18.600000000000001" thickBot="1" x14ac:dyDescent="0.35">
      <c r="A1" s="358"/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</row>
    <row r="2" spans="1:13" x14ac:dyDescent="0.3">
      <c r="A2" s="359" t="s">
        <v>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1"/>
      <c r="M2" s="362"/>
    </row>
    <row r="3" spans="1:13" ht="34.799999999999997" x14ac:dyDescent="0.3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5" t="s">
        <v>12</v>
      </c>
      <c r="M3" s="6" t="s">
        <v>13</v>
      </c>
    </row>
    <row r="4" spans="1:13" s="14" customFormat="1" x14ac:dyDescent="0.3">
      <c r="A4" s="7" t="s">
        <v>14</v>
      </c>
      <c r="B4" s="8">
        <f>SUM(B5:B15)</f>
        <v>10</v>
      </c>
      <c r="C4" s="9" t="s">
        <v>15</v>
      </c>
      <c r="D4" s="10"/>
      <c r="E4" s="10"/>
      <c r="F4" s="10"/>
      <c r="G4" s="11"/>
      <c r="H4" s="10"/>
      <c r="I4" s="10"/>
      <c r="J4" s="8">
        <f>SUM(J5:J15)</f>
        <v>10</v>
      </c>
      <c r="K4" s="8"/>
      <c r="L4" s="12"/>
      <c r="M4" s="13"/>
    </row>
    <row r="5" spans="1:13" s="26" customFormat="1" x14ac:dyDescent="0.3">
      <c r="A5" s="15">
        <v>1</v>
      </c>
      <c r="B5" s="16">
        <v>1</v>
      </c>
      <c r="C5" s="17" t="s">
        <v>16</v>
      </c>
      <c r="D5" s="18"/>
      <c r="E5" s="16"/>
      <c r="F5" s="19"/>
      <c r="G5" s="20" t="s">
        <v>17</v>
      </c>
      <c r="H5" s="21"/>
      <c r="I5" s="22"/>
      <c r="J5" s="22"/>
      <c r="K5" s="23" t="s">
        <v>18</v>
      </c>
      <c r="L5" s="24" t="s">
        <v>19</v>
      </c>
      <c r="M5" s="25"/>
    </row>
    <row r="6" spans="1:13" s="26" customFormat="1" ht="18" customHeight="1" x14ac:dyDescent="0.35">
      <c r="A6" s="15">
        <v>2</v>
      </c>
      <c r="B6" s="27">
        <v>1</v>
      </c>
      <c r="C6" s="28" t="s">
        <v>20</v>
      </c>
      <c r="D6" s="27">
        <v>1755906</v>
      </c>
      <c r="E6" s="27">
        <v>2583838103</v>
      </c>
      <c r="F6" s="29">
        <v>8723220</v>
      </c>
      <c r="G6" s="28" t="s">
        <v>21</v>
      </c>
      <c r="H6" s="27" t="s">
        <v>22</v>
      </c>
      <c r="I6" s="27" t="s">
        <v>23</v>
      </c>
      <c r="J6" s="27">
        <v>1</v>
      </c>
      <c r="K6" s="27" t="s">
        <v>24</v>
      </c>
      <c r="L6" s="30" t="s">
        <v>19</v>
      </c>
      <c r="M6" s="31"/>
    </row>
    <row r="7" spans="1:13" s="26" customFormat="1" x14ac:dyDescent="0.35">
      <c r="A7" s="32">
        <v>3</v>
      </c>
      <c r="B7" s="33"/>
      <c r="C7" s="34" t="s">
        <v>25</v>
      </c>
      <c r="D7" s="35">
        <v>1756063</v>
      </c>
      <c r="E7" s="33">
        <v>2595563848</v>
      </c>
      <c r="F7" s="36">
        <v>8744324</v>
      </c>
      <c r="G7" s="37" t="s">
        <v>26</v>
      </c>
      <c r="H7" s="33" t="s">
        <v>22</v>
      </c>
      <c r="I7" s="33" t="s">
        <v>23</v>
      </c>
      <c r="J7" s="33">
        <v>1</v>
      </c>
      <c r="K7" s="33" t="s">
        <v>24</v>
      </c>
      <c r="L7" s="38" t="s">
        <v>19</v>
      </c>
      <c r="M7" s="39"/>
    </row>
    <row r="8" spans="1:13" s="47" customFormat="1" x14ac:dyDescent="0.35">
      <c r="A8" s="40">
        <v>4</v>
      </c>
      <c r="B8" s="41">
        <v>1</v>
      </c>
      <c r="C8" s="42" t="s">
        <v>27</v>
      </c>
      <c r="D8" s="19">
        <v>1755684</v>
      </c>
      <c r="E8" s="19">
        <v>1085664157</v>
      </c>
      <c r="F8" s="43">
        <v>8564977</v>
      </c>
      <c r="G8" s="44" t="s">
        <v>28</v>
      </c>
      <c r="H8" s="45" t="s">
        <v>29</v>
      </c>
      <c r="I8" s="21" t="s">
        <v>23</v>
      </c>
      <c r="J8" s="21">
        <v>1</v>
      </c>
      <c r="K8" s="21" t="s">
        <v>24</v>
      </c>
      <c r="L8" s="24" t="s">
        <v>19</v>
      </c>
      <c r="M8" s="46"/>
    </row>
    <row r="9" spans="1:13" s="47" customFormat="1" x14ac:dyDescent="0.35">
      <c r="A9" s="15">
        <v>5</v>
      </c>
      <c r="B9" s="48">
        <v>1</v>
      </c>
      <c r="C9" s="49" t="s">
        <v>30</v>
      </c>
      <c r="D9" s="50">
        <v>1756447</v>
      </c>
      <c r="E9" s="51">
        <v>2617598319</v>
      </c>
      <c r="F9" s="48"/>
      <c r="G9" s="44" t="s">
        <v>31</v>
      </c>
      <c r="H9" s="48" t="s">
        <v>22</v>
      </c>
      <c r="I9" s="52" t="s">
        <v>23</v>
      </c>
      <c r="J9" s="52">
        <v>1</v>
      </c>
      <c r="K9" s="52" t="s">
        <v>24</v>
      </c>
      <c r="L9" s="24" t="s">
        <v>19</v>
      </c>
      <c r="M9" s="53"/>
    </row>
    <row r="10" spans="1:13" s="47" customFormat="1" x14ac:dyDescent="0.35">
      <c r="A10" s="54">
        <v>6</v>
      </c>
      <c r="B10" s="27">
        <v>1</v>
      </c>
      <c r="C10" s="28" t="s">
        <v>32</v>
      </c>
      <c r="D10" s="55">
        <v>1756398</v>
      </c>
      <c r="E10" s="56">
        <v>1122969536</v>
      </c>
      <c r="F10" s="27"/>
      <c r="G10" s="28" t="s">
        <v>33</v>
      </c>
      <c r="H10" s="45" t="s">
        <v>29</v>
      </c>
      <c r="I10" s="27" t="s">
        <v>23</v>
      </c>
      <c r="J10" s="27">
        <v>1</v>
      </c>
      <c r="K10" s="27"/>
      <c r="L10" s="30" t="s">
        <v>34</v>
      </c>
      <c r="M10" s="57"/>
    </row>
    <row r="11" spans="1:13" s="41" customFormat="1" x14ac:dyDescent="0.35">
      <c r="A11" s="15">
        <v>7</v>
      </c>
      <c r="B11" s="56">
        <v>1</v>
      </c>
      <c r="C11" s="58" t="s">
        <v>35</v>
      </c>
      <c r="D11" s="27">
        <v>1755840</v>
      </c>
      <c r="E11" s="19">
        <v>1107876516</v>
      </c>
      <c r="F11" s="19">
        <v>7291168</v>
      </c>
      <c r="G11" s="28" t="s">
        <v>36</v>
      </c>
      <c r="H11" s="45" t="s">
        <v>29</v>
      </c>
      <c r="I11" s="27" t="s">
        <v>23</v>
      </c>
      <c r="J11" s="27">
        <v>1</v>
      </c>
      <c r="K11" s="27" t="s">
        <v>24</v>
      </c>
      <c r="L11" s="24" t="s">
        <v>19</v>
      </c>
      <c r="M11" s="59"/>
    </row>
    <row r="12" spans="1:13" s="41" customFormat="1" x14ac:dyDescent="0.35">
      <c r="A12" s="15">
        <f>A11+1</f>
        <v>8</v>
      </c>
      <c r="B12" s="16">
        <v>1</v>
      </c>
      <c r="C12" s="44" t="s">
        <v>37</v>
      </c>
      <c r="D12" s="19">
        <v>1753039</v>
      </c>
      <c r="E12" s="19">
        <v>2355577228</v>
      </c>
      <c r="F12" s="43">
        <v>8723179</v>
      </c>
      <c r="G12" s="60" t="s">
        <v>38</v>
      </c>
      <c r="H12" s="19" t="s">
        <v>39</v>
      </c>
      <c r="I12" s="21" t="s">
        <v>23</v>
      </c>
      <c r="J12" s="21">
        <v>1</v>
      </c>
      <c r="K12" s="21" t="s">
        <v>24</v>
      </c>
      <c r="L12" s="24" t="s">
        <v>19</v>
      </c>
      <c r="M12" s="61"/>
    </row>
    <row r="13" spans="1:13" s="41" customFormat="1" x14ac:dyDescent="0.35">
      <c r="A13" s="40">
        <v>10</v>
      </c>
      <c r="B13" s="19">
        <v>1</v>
      </c>
      <c r="C13" s="44" t="s">
        <v>40</v>
      </c>
      <c r="D13" s="19">
        <v>1755604</v>
      </c>
      <c r="E13" s="19">
        <v>2566354466</v>
      </c>
      <c r="F13" s="43">
        <v>8681756</v>
      </c>
      <c r="G13" s="44" t="s">
        <v>41</v>
      </c>
      <c r="H13" s="19" t="s">
        <v>22</v>
      </c>
      <c r="I13" s="21" t="s">
        <v>23</v>
      </c>
      <c r="J13" s="21">
        <v>1</v>
      </c>
      <c r="K13" s="21" t="s">
        <v>24</v>
      </c>
      <c r="L13" s="24" t="s">
        <v>19</v>
      </c>
      <c r="M13" s="62"/>
    </row>
    <row r="14" spans="1:13" s="41" customFormat="1" x14ac:dyDescent="0.35">
      <c r="A14" s="15">
        <v>11</v>
      </c>
      <c r="B14" s="19">
        <v>1</v>
      </c>
      <c r="C14" s="44" t="s">
        <v>42</v>
      </c>
      <c r="D14" s="19">
        <v>1755590</v>
      </c>
      <c r="E14" s="19">
        <v>2564734412</v>
      </c>
      <c r="F14" s="43">
        <v>8696238</v>
      </c>
      <c r="G14" s="63" t="s">
        <v>43</v>
      </c>
      <c r="H14" s="19" t="s">
        <v>22</v>
      </c>
      <c r="I14" s="21" t="s">
        <v>23</v>
      </c>
      <c r="J14" s="21">
        <v>1</v>
      </c>
      <c r="K14" s="21" t="s">
        <v>24</v>
      </c>
      <c r="L14" s="24" t="s">
        <v>19</v>
      </c>
      <c r="M14" s="61"/>
    </row>
    <row r="15" spans="1:13" s="47" customFormat="1" x14ac:dyDescent="0.35">
      <c r="A15" s="40">
        <v>12</v>
      </c>
      <c r="B15" s="19">
        <v>1</v>
      </c>
      <c r="C15" s="64" t="s">
        <v>44</v>
      </c>
      <c r="D15" s="18">
        <v>1756018</v>
      </c>
      <c r="E15" s="19">
        <v>1100586203</v>
      </c>
      <c r="F15" s="19"/>
      <c r="G15" s="63" t="s">
        <v>45</v>
      </c>
      <c r="H15" s="45" t="s">
        <v>29</v>
      </c>
      <c r="I15" s="21" t="s">
        <v>23</v>
      </c>
      <c r="J15" s="21">
        <v>1</v>
      </c>
      <c r="K15" s="21" t="s">
        <v>24</v>
      </c>
      <c r="L15" s="24" t="s">
        <v>19</v>
      </c>
      <c r="M15" s="65"/>
    </row>
    <row r="16" spans="1:13" s="14" customFormat="1" x14ac:dyDescent="0.3">
      <c r="A16" s="7" t="s">
        <v>46</v>
      </c>
      <c r="B16" s="8">
        <f>SUM(B17:B34)</f>
        <v>17</v>
      </c>
      <c r="C16" s="9" t="s">
        <v>47</v>
      </c>
      <c r="D16" s="19"/>
      <c r="E16" s="19"/>
      <c r="F16" s="19"/>
      <c r="G16" s="11"/>
      <c r="H16" s="10"/>
      <c r="I16" s="10"/>
      <c r="J16" s="8">
        <f>SUM(J17:J34)</f>
        <v>18</v>
      </c>
      <c r="K16" s="8"/>
      <c r="L16" s="12"/>
      <c r="M16" s="13"/>
    </row>
    <row r="17" spans="1:13" s="41" customFormat="1" x14ac:dyDescent="0.35">
      <c r="A17" s="15">
        <f>A15+1</f>
        <v>13</v>
      </c>
      <c r="B17" s="19">
        <v>1</v>
      </c>
      <c r="C17" s="17" t="s">
        <v>48</v>
      </c>
      <c r="D17" s="18">
        <v>1756067</v>
      </c>
      <c r="E17" s="18">
        <v>2593672716</v>
      </c>
      <c r="F17" s="18">
        <v>7286931</v>
      </c>
      <c r="G17" s="44" t="s">
        <v>49</v>
      </c>
      <c r="H17" s="19" t="s">
        <v>22</v>
      </c>
      <c r="I17" s="22" t="s">
        <v>23</v>
      </c>
      <c r="J17" s="19">
        <v>1</v>
      </c>
      <c r="K17" s="19" t="s">
        <v>50</v>
      </c>
      <c r="L17" s="24" t="s">
        <v>19</v>
      </c>
      <c r="M17" s="66"/>
    </row>
    <row r="18" spans="1:13" s="41" customFormat="1" x14ac:dyDescent="0.35">
      <c r="A18" s="32">
        <f>A17+1</f>
        <v>14</v>
      </c>
      <c r="B18" s="33"/>
      <c r="C18" s="34" t="s">
        <v>51</v>
      </c>
      <c r="D18" s="67">
        <v>1756451</v>
      </c>
      <c r="E18" s="67">
        <v>2617833815</v>
      </c>
      <c r="F18" s="68"/>
      <c r="G18" s="34" t="s">
        <v>52</v>
      </c>
      <c r="H18" s="33" t="s">
        <v>53</v>
      </c>
      <c r="I18" s="33" t="s">
        <v>23</v>
      </c>
      <c r="J18" s="33">
        <v>1</v>
      </c>
      <c r="K18" s="33" t="s">
        <v>50</v>
      </c>
      <c r="L18" s="38" t="s">
        <v>19</v>
      </c>
      <c r="M18" s="69"/>
    </row>
    <row r="19" spans="1:13" s="41" customFormat="1" x14ac:dyDescent="0.35">
      <c r="A19" s="70">
        <f t="shared" ref="A19:A34" si="0">A18+1</f>
        <v>15</v>
      </c>
      <c r="B19" s="56">
        <v>1</v>
      </c>
      <c r="C19" s="71" t="s">
        <v>54</v>
      </c>
      <c r="D19" s="55">
        <v>1752922</v>
      </c>
      <c r="E19" s="55">
        <v>1063814493</v>
      </c>
      <c r="F19" s="55"/>
      <c r="G19" s="28" t="s">
        <v>55</v>
      </c>
      <c r="H19" s="72" t="s">
        <v>29</v>
      </c>
      <c r="I19" s="27" t="s">
        <v>23</v>
      </c>
      <c r="J19" s="27">
        <v>1</v>
      </c>
      <c r="K19" s="27" t="s">
        <v>24</v>
      </c>
      <c r="L19" s="30" t="s">
        <v>19</v>
      </c>
      <c r="M19" s="73"/>
    </row>
    <row r="20" spans="1:13" s="41" customFormat="1" x14ac:dyDescent="0.35">
      <c r="A20" s="70">
        <f t="shared" si="0"/>
        <v>16</v>
      </c>
      <c r="B20" s="27">
        <v>1</v>
      </c>
      <c r="C20" s="28" t="s">
        <v>56</v>
      </c>
      <c r="D20" s="55">
        <v>1756182</v>
      </c>
      <c r="E20" s="56">
        <v>2600160325</v>
      </c>
      <c r="F20" s="55"/>
      <c r="G20" s="28" t="s">
        <v>57</v>
      </c>
      <c r="H20" s="27" t="s">
        <v>22</v>
      </c>
      <c r="I20" s="27" t="s">
        <v>23</v>
      </c>
      <c r="J20" s="27">
        <v>1</v>
      </c>
      <c r="K20" s="27" t="s">
        <v>50</v>
      </c>
      <c r="L20" s="30" t="s">
        <v>34</v>
      </c>
      <c r="M20" s="66"/>
    </row>
    <row r="21" spans="1:13" s="41" customFormat="1" x14ac:dyDescent="0.35">
      <c r="A21" s="70">
        <f t="shared" si="0"/>
        <v>17</v>
      </c>
      <c r="B21" s="16">
        <v>1</v>
      </c>
      <c r="C21" s="60" t="s">
        <v>58</v>
      </c>
      <c r="D21" s="19">
        <v>1755495</v>
      </c>
      <c r="E21" s="19">
        <v>2555457114</v>
      </c>
      <c r="F21" s="43">
        <v>8638278</v>
      </c>
      <c r="G21" s="60" t="s">
        <v>59</v>
      </c>
      <c r="H21" s="19" t="s">
        <v>22</v>
      </c>
      <c r="I21" s="21" t="s">
        <v>23</v>
      </c>
      <c r="J21" s="21">
        <v>1</v>
      </c>
      <c r="K21" s="21" t="s">
        <v>24</v>
      </c>
      <c r="L21" s="24" t="s">
        <v>19</v>
      </c>
      <c r="M21" s="74"/>
    </row>
    <row r="22" spans="1:13" s="41" customFormat="1" x14ac:dyDescent="0.35">
      <c r="A22" s="70">
        <f t="shared" si="0"/>
        <v>18</v>
      </c>
      <c r="B22" s="19">
        <v>1</v>
      </c>
      <c r="C22" s="60" t="s">
        <v>60</v>
      </c>
      <c r="D22" s="19">
        <v>1755496</v>
      </c>
      <c r="E22" s="19">
        <v>2555457650</v>
      </c>
      <c r="F22" s="43">
        <v>8638268</v>
      </c>
      <c r="G22" s="60" t="s">
        <v>61</v>
      </c>
      <c r="H22" s="19" t="s">
        <v>22</v>
      </c>
      <c r="I22" s="21" t="s">
        <v>23</v>
      </c>
      <c r="J22" s="21">
        <v>1</v>
      </c>
      <c r="K22" s="21" t="s">
        <v>24</v>
      </c>
      <c r="L22" s="24" t="s">
        <v>19</v>
      </c>
      <c r="M22" s="62"/>
    </row>
    <row r="23" spans="1:13" s="41" customFormat="1" x14ac:dyDescent="0.35">
      <c r="A23" s="15">
        <f t="shared" si="0"/>
        <v>19</v>
      </c>
      <c r="B23" s="16">
        <v>1</v>
      </c>
      <c r="C23" s="60" t="s">
        <v>62</v>
      </c>
      <c r="D23" s="27">
        <v>1756184</v>
      </c>
      <c r="E23" s="19">
        <v>2600160879</v>
      </c>
      <c r="F23" s="75"/>
      <c r="G23" s="28" t="s">
        <v>63</v>
      </c>
      <c r="H23" s="19" t="s">
        <v>22</v>
      </c>
      <c r="I23" s="27" t="s">
        <v>23</v>
      </c>
      <c r="J23" s="27">
        <v>1</v>
      </c>
      <c r="K23" s="27" t="s">
        <v>50</v>
      </c>
      <c r="L23" s="24" t="s">
        <v>34</v>
      </c>
      <c r="M23" s="62"/>
    </row>
    <row r="24" spans="1:13" s="41" customFormat="1" x14ac:dyDescent="0.35">
      <c r="A24" s="15">
        <f t="shared" si="0"/>
        <v>20</v>
      </c>
      <c r="B24" s="48">
        <v>1</v>
      </c>
      <c r="C24" s="76" t="s">
        <v>64</v>
      </c>
      <c r="D24" s="77">
        <v>1756453</v>
      </c>
      <c r="E24" s="51">
        <v>2617829532</v>
      </c>
      <c r="F24" s="77"/>
      <c r="G24" s="78" t="s">
        <v>65</v>
      </c>
      <c r="H24" s="77" t="s">
        <v>22</v>
      </c>
      <c r="I24" s="77" t="s">
        <v>23</v>
      </c>
      <c r="J24" s="77">
        <v>1</v>
      </c>
      <c r="K24" s="27" t="s">
        <v>50</v>
      </c>
      <c r="L24" s="24" t="s">
        <v>19</v>
      </c>
      <c r="M24" s="79"/>
    </row>
    <row r="25" spans="1:13" s="47" customFormat="1" x14ac:dyDescent="0.35">
      <c r="A25" s="15">
        <f t="shared" si="0"/>
        <v>21</v>
      </c>
      <c r="B25" s="16">
        <v>1</v>
      </c>
      <c r="C25" s="60" t="s">
        <v>66</v>
      </c>
      <c r="D25" s="18">
        <v>1755584</v>
      </c>
      <c r="E25" s="80">
        <v>2563978119</v>
      </c>
      <c r="F25" s="43">
        <v>8660594</v>
      </c>
      <c r="G25" s="17" t="s">
        <v>67</v>
      </c>
      <c r="H25" s="19" t="s">
        <v>22</v>
      </c>
      <c r="I25" s="21" t="s">
        <v>23</v>
      </c>
      <c r="J25" s="21">
        <v>1</v>
      </c>
      <c r="K25" s="21" t="s">
        <v>24</v>
      </c>
      <c r="L25" s="24" t="s">
        <v>19</v>
      </c>
      <c r="M25" s="81"/>
    </row>
    <row r="26" spans="1:13" s="47" customFormat="1" x14ac:dyDescent="0.35">
      <c r="A26" s="15">
        <f t="shared" si="0"/>
        <v>22</v>
      </c>
      <c r="B26" s="19">
        <v>1</v>
      </c>
      <c r="C26" s="60" t="s">
        <v>68</v>
      </c>
      <c r="D26" s="18">
        <v>1756010</v>
      </c>
      <c r="E26" s="80">
        <v>2591744723</v>
      </c>
      <c r="F26" s="80">
        <v>7286938</v>
      </c>
      <c r="G26" s="82" t="s">
        <v>69</v>
      </c>
      <c r="H26" s="21" t="s">
        <v>53</v>
      </c>
      <c r="I26" s="22" t="s">
        <v>23</v>
      </c>
      <c r="J26" s="22">
        <v>1</v>
      </c>
      <c r="K26" s="19" t="s">
        <v>50</v>
      </c>
      <c r="L26" s="24" t="s">
        <v>34</v>
      </c>
      <c r="M26" s="83"/>
    </row>
    <row r="27" spans="1:13" s="41" customFormat="1" x14ac:dyDescent="0.35">
      <c r="A27" s="15">
        <f t="shared" si="0"/>
        <v>23</v>
      </c>
      <c r="B27" s="19">
        <v>1</v>
      </c>
      <c r="C27" s="64" t="s">
        <v>70</v>
      </c>
      <c r="D27" s="19">
        <v>1755500</v>
      </c>
      <c r="E27" s="19">
        <v>2555915699</v>
      </c>
      <c r="F27" s="43">
        <v>8638779</v>
      </c>
      <c r="G27" s="63" t="s">
        <v>71</v>
      </c>
      <c r="H27" s="19" t="s">
        <v>22</v>
      </c>
      <c r="I27" s="21" t="s">
        <v>23</v>
      </c>
      <c r="J27" s="21">
        <v>1</v>
      </c>
      <c r="K27" s="21" t="s">
        <v>24</v>
      </c>
      <c r="L27" s="24" t="s">
        <v>19</v>
      </c>
      <c r="M27" s="61"/>
    </row>
    <row r="28" spans="1:13" s="41" customFormat="1" x14ac:dyDescent="0.35">
      <c r="A28" s="15">
        <f t="shared" si="0"/>
        <v>24</v>
      </c>
      <c r="B28" s="19">
        <v>1</v>
      </c>
      <c r="C28" s="64" t="s">
        <v>72</v>
      </c>
      <c r="D28" s="18">
        <v>1756183</v>
      </c>
      <c r="E28" s="19">
        <v>2600160655</v>
      </c>
      <c r="F28" s="19">
        <v>7286943</v>
      </c>
      <c r="G28" s="82" t="s">
        <v>73</v>
      </c>
      <c r="H28" s="19" t="s">
        <v>22</v>
      </c>
      <c r="I28" s="22" t="s">
        <v>23</v>
      </c>
      <c r="J28" s="22">
        <v>1</v>
      </c>
      <c r="K28" s="19" t="s">
        <v>50</v>
      </c>
      <c r="L28" s="24" t="s">
        <v>34</v>
      </c>
      <c r="M28" s="84"/>
    </row>
    <row r="29" spans="1:13" s="41" customFormat="1" x14ac:dyDescent="0.35">
      <c r="A29" s="15">
        <f t="shared" si="0"/>
        <v>25</v>
      </c>
      <c r="B29" s="16">
        <v>1</v>
      </c>
      <c r="C29" s="44" t="s">
        <v>74</v>
      </c>
      <c r="D29" s="19">
        <v>1755553</v>
      </c>
      <c r="E29" s="19">
        <v>2562388070</v>
      </c>
      <c r="F29" s="43">
        <v>8666276</v>
      </c>
      <c r="G29" s="63" t="s">
        <v>75</v>
      </c>
      <c r="H29" s="19" t="s">
        <v>22</v>
      </c>
      <c r="I29" s="21" t="s">
        <v>23</v>
      </c>
      <c r="J29" s="21">
        <v>1</v>
      </c>
      <c r="K29" s="21" t="s">
        <v>24</v>
      </c>
      <c r="L29" s="24" t="s">
        <v>19</v>
      </c>
      <c r="M29" s="85"/>
    </row>
    <row r="30" spans="1:13" s="41" customFormat="1" x14ac:dyDescent="0.35">
      <c r="A30" s="15">
        <f t="shared" si="0"/>
        <v>26</v>
      </c>
      <c r="B30" s="19">
        <v>1</v>
      </c>
      <c r="C30" s="60" t="s">
        <v>76</v>
      </c>
      <c r="D30" s="18">
        <v>1756298</v>
      </c>
      <c r="E30" s="16">
        <v>2607341068</v>
      </c>
      <c r="F30" s="16">
        <v>7302072</v>
      </c>
      <c r="G30" s="44" t="s">
        <v>77</v>
      </c>
      <c r="H30" s="19" t="s">
        <v>22</v>
      </c>
      <c r="I30" s="22" t="s">
        <v>23</v>
      </c>
      <c r="J30" s="22">
        <v>1</v>
      </c>
      <c r="K30" s="19" t="s">
        <v>50</v>
      </c>
      <c r="L30" s="24" t="s">
        <v>34</v>
      </c>
      <c r="M30" s="59"/>
    </row>
    <row r="31" spans="1:13" s="41" customFormat="1" x14ac:dyDescent="0.35">
      <c r="A31" s="15">
        <f t="shared" si="0"/>
        <v>27</v>
      </c>
      <c r="B31" s="86">
        <v>1</v>
      </c>
      <c r="C31" s="87" t="s">
        <v>78</v>
      </c>
      <c r="D31" s="86"/>
      <c r="E31" s="86">
        <v>2571887633</v>
      </c>
      <c r="F31" s="88"/>
      <c r="G31" s="87" t="s">
        <v>79</v>
      </c>
      <c r="H31" s="86" t="s">
        <v>22</v>
      </c>
      <c r="I31" s="86" t="s">
        <v>80</v>
      </c>
      <c r="J31" s="86">
        <v>1</v>
      </c>
      <c r="K31" s="86" t="s">
        <v>24</v>
      </c>
      <c r="L31" s="89" t="s">
        <v>19</v>
      </c>
      <c r="M31" s="90"/>
    </row>
    <row r="32" spans="1:13" s="41" customFormat="1" x14ac:dyDescent="0.35">
      <c r="A32" s="15">
        <f t="shared" si="0"/>
        <v>28</v>
      </c>
      <c r="B32" s="16">
        <v>1</v>
      </c>
      <c r="C32" s="44" t="s">
        <v>81</v>
      </c>
      <c r="D32" s="19">
        <v>1755557</v>
      </c>
      <c r="E32" s="19">
        <v>2562388823</v>
      </c>
      <c r="F32" s="43">
        <v>8666277</v>
      </c>
      <c r="G32" s="63" t="s">
        <v>82</v>
      </c>
      <c r="H32" s="19" t="s">
        <v>22</v>
      </c>
      <c r="I32" s="21" t="s">
        <v>23</v>
      </c>
      <c r="J32" s="21">
        <v>1</v>
      </c>
      <c r="K32" s="21" t="s">
        <v>24</v>
      </c>
      <c r="L32" s="24" t="s">
        <v>19</v>
      </c>
      <c r="M32" s="61"/>
    </row>
    <row r="33" spans="1:13" s="41" customFormat="1" x14ac:dyDescent="0.35">
      <c r="A33" s="15">
        <f t="shared" si="0"/>
        <v>29</v>
      </c>
      <c r="B33" s="19">
        <v>1</v>
      </c>
      <c r="C33" s="44" t="s">
        <v>83</v>
      </c>
      <c r="D33" s="91">
        <v>1755820</v>
      </c>
      <c r="E33" s="91">
        <v>2575884925</v>
      </c>
      <c r="F33" s="92">
        <v>7281100</v>
      </c>
      <c r="G33" s="17" t="s">
        <v>84</v>
      </c>
      <c r="H33" s="93" t="s">
        <v>22</v>
      </c>
      <c r="I33" s="94" t="s">
        <v>23</v>
      </c>
      <c r="J33" s="94">
        <v>1</v>
      </c>
      <c r="K33" s="94" t="s">
        <v>24</v>
      </c>
      <c r="L33" s="95" t="s">
        <v>85</v>
      </c>
      <c r="M33" s="96"/>
    </row>
    <row r="34" spans="1:13" s="41" customFormat="1" x14ac:dyDescent="0.35">
      <c r="A34" s="15">
        <f t="shared" si="0"/>
        <v>30</v>
      </c>
      <c r="B34" s="19">
        <v>1</v>
      </c>
      <c r="C34" s="44" t="s">
        <v>86</v>
      </c>
      <c r="D34" s="18">
        <v>1756013</v>
      </c>
      <c r="E34" s="19">
        <v>2593671866</v>
      </c>
      <c r="F34" s="97">
        <v>8317013</v>
      </c>
      <c r="G34" s="82" t="s">
        <v>87</v>
      </c>
      <c r="H34" s="21" t="s">
        <v>53</v>
      </c>
      <c r="I34" s="22" t="s">
        <v>23</v>
      </c>
      <c r="J34" s="21">
        <v>1</v>
      </c>
      <c r="K34" s="48" t="s">
        <v>24</v>
      </c>
      <c r="L34" s="24" t="s">
        <v>34</v>
      </c>
      <c r="M34" s="83"/>
    </row>
    <row r="35" spans="1:13" s="14" customFormat="1" ht="34.799999999999997" x14ac:dyDescent="0.3">
      <c r="A35" s="7" t="s">
        <v>88</v>
      </c>
      <c r="B35" s="8">
        <f>SUM(B36:B66)</f>
        <v>30</v>
      </c>
      <c r="C35" s="9" t="s">
        <v>89</v>
      </c>
      <c r="D35" s="19"/>
      <c r="E35" s="19"/>
      <c r="F35" s="19"/>
      <c r="G35" s="11"/>
      <c r="H35" s="10"/>
      <c r="I35" s="10"/>
      <c r="J35" s="8">
        <f>SUM(J36:J66)</f>
        <v>28</v>
      </c>
      <c r="K35" s="8"/>
      <c r="L35" s="12"/>
      <c r="M35" s="13"/>
    </row>
    <row r="36" spans="1:13" s="26" customFormat="1" x14ac:dyDescent="0.3">
      <c r="A36" s="15">
        <v>33</v>
      </c>
      <c r="B36" s="19">
        <v>1</v>
      </c>
      <c r="C36" s="17" t="s">
        <v>90</v>
      </c>
      <c r="D36" s="19">
        <v>1756170</v>
      </c>
      <c r="E36" s="19">
        <v>2600157305</v>
      </c>
      <c r="F36" s="19">
        <v>7302069</v>
      </c>
      <c r="G36" s="63" t="s">
        <v>91</v>
      </c>
      <c r="H36" s="21" t="s">
        <v>22</v>
      </c>
      <c r="I36" s="21" t="s">
        <v>23</v>
      </c>
      <c r="J36" s="21">
        <v>1</v>
      </c>
      <c r="K36" s="21" t="s">
        <v>24</v>
      </c>
      <c r="L36" s="24" t="s">
        <v>19</v>
      </c>
      <c r="M36" s="83"/>
    </row>
    <row r="37" spans="1:13" s="41" customFormat="1" x14ac:dyDescent="0.35">
      <c r="A37" s="15">
        <f>A36+1</f>
        <v>34</v>
      </c>
      <c r="B37" s="19">
        <v>1</v>
      </c>
      <c r="C37" s="44" t="s">
        <v>92</v>
      </c>
      <c r="D37" s="19">
        <v>1755666</v>
      </c>
      <c r="E37" s="19">
        <v>2567947078</v>
      </c>
      <c r="F37" s="19"/>
      <c r="G37" s="44" t="s">
        <v>93</v>
      </c>
      <c r="H37" s="19" t="s">
        <v>22</v>
      </c>
      <c r="I37" s="21" t="s">
        <v>23</v>
      </c>
      <c r="J37" s="21">
        <v>1</v>
      </c>
      <c r="K37" s="21" t="s">
        <v>24</v>
      </c>
      <c r="L37" s="24" t="s">
        <v>19</v>
      </c>
      <c r="M37" s="98"/>
    </row>
    <row r="38" spans="1:13" s="41" customFormat="1" x14ac:dyDescent="0.35">
      <c r="A38" s="15">
        <f t="shared" ref="A38:A66" si="1">A37+1</f>
        <v>35</v>
      </c>
      <c r="B38" s="19">
        <v>1</v>
      </c>
      <c r="C38" s="44" t="s">
        <v>94</v>
      </c>
      <c r="D38" s="19">
        <v>1755779</v>
      </c>
      <c r="E38" s="19">
        <v>1091589430</v>
      </c>
      <c r="F38" s="19"/>
      <c r="G38" s="44" t="s">
        <v>95</v>
      </c>
      <c r="H38" s="45" t="s">
        <v>29</v>
      </c>
      <c r="I38" s="21" t="s">
        <v>23</v>
      </c>
      <c r="J38" s="21">
        <v>1</v>
      </c>
      <c r="K38" s="21" t="s">
        <v>24</v>
      </c>
      <c r="L38" s="24" t="s">
        <v>19</v>
      </c>
      <c r="M38" s="81"/>
    </row>
    <row r="39" spans="1:13" s="41" customFormat="1" x14ac:dyDescent="0.35">
      <c r="A39" s="15">
        <f>A38+1</f>
        <v>36</v>
      </c>
      <c r="B39" s="19">
        <v>1</v>
      </c>
      <c r="C39" s="44" t="s">
        <v>96</v>
      </c>
      <c r="D39" s="19">
        <v>1755795</v>
      </c>
      <c r="E39" s="19">
        <v>1122321712</v>
      </c>
      <c r="F39" s="19"/>
      <c r="G39" s="44" t="s">
        <v>97</v>
      </c>
      <c r="H39" s="45" t="s">
        <v>29</v>
      </c>
      <c r="I39" s="21" t="s">
        <v>23</v>
      </c>
      <c r="J39" s="21">
        <v>1</v>
      </c>
      <c r="K39" s="21" t="s">
        <v>24</v>
      </c>
      <c r="L39" s="24" t="s">
        <v>19</v>
      </c>
      <c r="M39" s="81"/>
    </row>
    <row r="40" spans="1:13" s="41" customFormat="1" x14ac:dyDescent="0.35">
      <c r="A40" s="15">
        <f t="shared" si="1"/>
        <v>37</v>
      </c>
      <c r="B40" s="99">
        <v>1</v>
      </c>
      <c r="C40" s="100" t="s">
        <v>98</v>
      </c>
      <c r="D40" s="101">
        <v>1755833</v>
      </c>
      <c r="E40" s="102">
        <v>2575885294</v>
      </c>
      <c r="F40" s="103">
        <v>8721207</v>
      </c>
      <c r="G40" s="100" t="s">
        <v>99</v>
      </c>
      <c r="H40" s="104" t="s">
        <v>22</v>
      </c>
      <c r="I40" s="105" t="s">
        <v>23</v>
      </c>
      <c r="J40" s="106">
        <v>1</v>
      </c>
      <c r="K40" s="104" t="s">
        <v>24</v>
      </c>
      <c r="L40" s="107" t="s">
        <v>34</v>
      </c>
      <c r="M40" s="108" t="s">
        <v>100</v>
      </c>
    </row>
    <row r="41" spans="1:13" s="41" customFormat="1" x14ac:dyDescent="0.35">
      <c r="A41" s="109">
        <f t="shared" si="1"/>
        <v>38</v>
      </c>
      <c r="B41" s="110">
        <v>1</v>
      </c>
      <c r="C41" s="111" t="s">
        <v>101</v>
      </c>
      <c r="D41" s="112"/>
      <c r="E41" s="110"/>
      <c r="F41" s="113"/>
      <c r="G41" s="114" t="s">
        <v>102</v>
      </c>
      <c r="H41" s="115"/>
      <c r="I41" s="116"/>
      <c r="J41" s="116"/>
      <c r="K41" s="113"/>
      <c r="L41" s="117" t="s">
        <v>19</v>
      </c>
      <c r="M41" s="118"/>
    </row>
    <row r="42" spans="1:13" s="41" customFormat="1" x14ac:dyDescent="0.35">
      <c r="A42" s="15">
        <f t="shared" si="1"/>
        <v>39</v>
      </c>
      <c r="B42" s="19">
        <v>1</v>
      </c>
      <c r="C42" s="60" t="s">
        <v>103</v>
      </c>
      <c r="D42" s="19">
        <v>1755623</v>
      </c>
      <c r="E42" s="19">
        <v>2567232414</v>
      </c>
      <c r="F42" s="43">
        <v>8681752</v>
      </c>
      <c r="G42" s="60" t="s">
        <v>104</v>
      </c>
      <c r="H42" s="19" t="s">
        <v>22</v>
      </c>
      <c r="I42" s="21" t="s">
        <v>23</v>
      </c>
      <c r="J42" s="21">
        <v>1</v>
      </c>
      <c r="K42" s="21" t="s">
        <v>24</v>
      </c>
      <c r="L42" s="24" t="s">
        <v>19</v>
      </c>
      <c r="M42" s="62"/>
    </row>
    <row r="43" spans="1:13" s="41" customFormat="1" x14ac:dyDescent="0.35">
      <c r="A43" s="15">
        <f t="shared" si="1"/>
        <v>40</v>
      </c>
      <c r="B43" s="16">
        <v>1</v>
      </c>
      <c r="C43" s="60" t="s">
        <v>105</v>
      </c>
      <c r="D43" s="19">
        <v>1755621</v>
      </c>
      <c r="E43" s="19">
        <v>2567231853</v>
      </c>
      <c r="F43" s="43">
        <v>8680606</v>
      </c>
      <c r="G43" s="44" t="s">
        <v>106</v>
      </c>
      <c r="H43" s="19" t="s">
        <v>22</v>
      </c>
      <c r="I43" s="21" t="s">
        <v>23</v>
      </c>
      <c r="J43" s="21">
        <v>1</v>
      </c>
      <c r="K43" s="21" t="s">
        <v>24</v>
      </c>
      <c r="L43" s="24" t="s">
        <v>19</v>
      </c>
      <c r="M43" s="119"/>
    </row>
    <row r="44" spans="1:13" s="41" customFormat="1" x14ac:dyDescent="0.35">
      <c r="A44" s="15">
        <f t="shared" si="1"/>
        <v>41</v>
      </c>
      <c r="B44" s="19">
        <v>1</v>
      </c>
      <c r="C44" s="60" t="s">
        <v>107</v>
      </c>
      <c r="D44" s="19">
        <v>1755624</v>
      </c>
      <c r="E44" s="19">
        <v>2567231077</v>
      </c>
      <c r="F44" s="43">
        <v>8680606</v>
      </c>
      <c r="G44" s="44" t="s">
        <v>108</v>
      </c>
      <c r="H44" s="19" t="s">
        <v>22</v>
      </c>
      <c r="I44" s="21" t="s">
        <v>23</v>
      </c>
      <c r="J44" s="21">
        <v>1</v>
      </c>
      <c r="K44" s="21" t="s">
        <v>24</v>
      </c>
      <c r="L44" s="24" t="s">
        <v>19</v>
      </c>
      <c r="M44" s="119"/>
    </row>
    <row r="45" spans="1:13" s="41" customFormat="1" x14ac:dyDescent="0.35">
      <c r="A45" s="15">
        <f t="shared" si="1"/>
        <v>42</v>
      </c>
      <c r="B45" s="16">
        <v>1</v>
      </c>
      <c r="C45" s="60" t="s">
        <v>109</v>
      </c>
      <c r="D45" s="19">
        <v>1755790</v>
      </c>
      <c r="E45" s="19">
        <v>2575884792</v>
      </c>
      <c r="F45" s="43">
        <v>8721198</v>
      </c>
      <c r="G45" s="44" t="s">
        <v>110</v>
      </c>
      <c r="H45" s="19" t="s">
        <v>39</v>
      </c>
      <c r="I45" s="21" t="s">
        <v>23</v>
      </c>
      <c r="J45" s="21">
        <v>1</v>
      </c>
      <c r="K45" s="21" t="s">
        <v>24</v>
      </c>
      <c r="L45" s="24" t="s">
        <v>19</v>
      </c>
      <c r="M45" s="119"/>
    </row>
    <row r="46" spans="1:13" s="26" customFormat="1" x14ac:dyDescent="0.35">
      <c r="A46" s="15">
        <f t="shared" si="1"/>
        <v>43</v>
      </c>
      <c r="B46" s="16">
        <v>1</v>
      </c>
      <c r="C46" s="60" t="s">
        <v>111</v>
      </c>
      <c r="D46" s="19">
        <v>1755712</v>
      </c>
      <c r="E46" s="19">
        <v>2570347670</v>
      </c>
      <c r="F46" s="43">
        <v>8696239</v>
      </c>
      <c r="G46" s="44" t="s">
        <v>112</v>
      </c>
      <c r="H46" s="19" t="s">
        <v>22</v>
      </c>
      <c r="I46" s="19" t="s">
        <v>23</v>
      </c>
      <c r="J46" s="19">
        <v>1</v>
      </c>
      <c r="K46" s="21" t="s">
        <v>24</v>
      </c>
      <c r="L46" s="24" t="s">
        <v>19</v>
      </c>
      <c r="M46" s="62"/>
    </row>
    <row r="47" spans="1:13" s="41" customFormat="1" x14ac:dyDescent="0.35">
      <c r="A47" s="15">
        <f t="shared" si="1"/>
        <v>44</v>
      </c>
      <c r="B47" s="16">
        <v>1</v>
      </c>
      <c r="C47" s="60" t="s">
        <v>113</v>
      </c>
      <c r="D47" s="19">
        <v>1756134</v>
      </c>
      <c r="E47" s="19">
        <v>2597991807</v>
      </c>
      <c r="F47" s="19"/>
      <c r="G47" s="44" t="s">
        <v>114</v>
      </c>
      <c r="H47" s="19" t="s">
        <v>22</v>
      </c>
      <c r="I47" s="21" t="s">
        <v>23</v>
      </c>
      <c r="J47" s="21">
        <v>1</v>
      </c>
      <c r="K47" s="21" t="s">
        <v>24</v>
      </c>
      <c r="L47" s="24" t="s">
        <v>19</v>
      </c>
      <c r="M47" s="120"/>
    </row>
    <row r="48" spans="1:13" s="41" customFormat="1" x14ac:dyDescent="0.35">
      <c r="A48" s="32">
        <f t="shared" si="1"/>
        <v>45</v>
      </c>
      <c r="B48" s="33"/>
      <c r="C48" s="121" t="s">
        <v>115</v>
      </c>
      <c r="D48" s="67">
        <v>1756362</v>
      </c>
      <c r="E48" s="33">
        <v>2611808102</v>
      </c>
      <c r="F48" s="67"/>
      <c r="G48" s="34" t="s">
        <v>116</v>
      </c>
      <c r="H48" s="33" t="s">
        <v>117</v>
      </c>
      <c r="I48" s="33" t="s">
        <v>23</v>
      </c>
      <c r="J48" s="33">
        <v>1</v>
      </c>
      <c r="K48" s="33" t="s">
        <v>24</v>
      </c>
      <c r="L48" s="38" t="s">
        <v>19</v>
      </c>
      <c r="M48" s="122"/>
    </row>
    <row r="49" spans="1:13" s="41" customFormat="1" x14ac:dyDescent="0.35">
      <c r="A49" s="15">
        <f t="shared" si="1"/>
        <v>46</v>
      </c>
      <c r="B49" s="16">
        <v>1</v>
      </c>
      <c r="C49" s="64" t="s">
        <v>118</v>
      </c>
      <c r="D49" s="19">
        <v>1755639</v>
      </c>
      <c r="E49" s="19">
        <v>2567934605</v>
      </c>
      <c r="F49" s="43">
        <v>8681757</v>
      </c>
      <c r="G49" s="60" t="s">
        <v>119</v>
      </c>
      <c r="H49" s="19" t="s">
        <v>22</v>
      </c>
      <c r="I49" s="21" t="s">
        <v>23</v>
      </c>
      <c r="J49" s="21">
        <v>1</v>
      </c>
      <c r="K49" s="21" t="s">
        <v>24</v>
      </c>
      <c r="L49" s="24" t="s">
        <v>19</v>
      </c>
      <c r="M49" s="119"/>
    </row>
    <row r="50" spans="1:13" s="41" customFormat="1" x14ac:dyDescent="0.35">
      <c r="A50" s="109">
        <f t="shared" si="1"/>
        <v>47</v>
      </c>
      <c r="B50" s="110">
        <v>1</v>
      </c>
      <c r="C50" s="123" t="s">
        <v>120</v>
      </c>
      <c r="D50" s="112"/>
      <c r="E50" s="110"/>
      <c r="F50" s="113"/>
      <c r="G50" s="114" t="s">
        <v>102</v>
      </c>
      <c r="H50" s="115"/>
      <c r="I50" s="116"/>
      <c r="J50" s="116"/>
      <c r="K50" s="113"/>
      <c r="L50" s="117" t="s">
        <v>34</v>
      </c>
      <c r="M50" s="118"/>
    </row>
    <row r="51" spans="1:13" s="41" customFormat="1" x14ac:dyDescent="0.35">
      <c r="A51" s="15">
        <f t="shared" si="1"/>
        <v>48</v>
      </c>
      <c r="B51" s="19">
        <v>1</v>
      </c>
      <c r="C51" s="17" t="s">
        <v>121</v>
      </c>
      <c r="D51" s="19">
        <v>1756004</v>
      </c>
      <c r="E51" s="19">
        <v>2591744442</v>
      </c>
      <c r="F51" s="43">
        <v>8732296</v>
      </c>
      <c r="G51" s="63" t="s">
        <v>122</v>
      </c>
      <c r="H51" s="19" t="s">
        <v>39</v>
      </c>
      <c r="I51" s="22" t="s">
        <v>23</v>
      </c>
      <c r="J51" s="21">
        <v>1</v>
      </c>
      <c r="K51" s="19" t="s">
        <v>24</v>
      </c>
      <c r="L51" s="24" t="s">
        <v>34</v>
      </c>
      <c r="M51" s="98"/>
    </row>
    <row r="52" spans="1:13" s="41" customFormat="1" x14ac:dyDescent="0.35">
      <c r="A52" s="15">
        <f t="shared" si="1"/>
        <v>49</v>
      </c>
      <c r="B52" s="19">
        <v>1</v>
      </c>
      <c r="C52" s="17" t="s">
        <v>123</v>
      </c>
      <c r="D52" s="19">
        <v>1756002</v>
      </c>
      <c r="E52" s="19">
        <v>2591744400</v>
      </c>
      <c r="F52" s="43">
        <v>8732300</v>
      </c>
      <c r="G52" s="63" t="s">
        <v>124</v>
      </c>
      <c r="H52" s="19" t="s">
        <v>39</v>
      </c>
      <c r="I52" s="22" t="s">
        <v>23</v>
      </c>
      <c r="J52" s="21">
        <v>1</v>
      </c>
      <c r="K52" s="19" t="s">
        <v>24</v>
      </c>
      <c r="L52" s="24" t="s">
        <v>34</v>
      </c>
      <c r="M52" s="124"/>
    </row>
    <row r="53" spans="1:13" s="41" customFormat="1" x14ac:dyDescent="0.35">
      <c r="A53" s="15">
        <f t="shared" si="1"/>
        <v>50</v>
      </c>
      <c r="B53" s="19">
        <v>1</v>
      </c>
      <c r="C53" s="17" t="s">
        <v>125</v>
      </c>
      <c r="D53" s="19">
        <v>1756003</v>
      </c>
      <c r="E53" s="19">
        <v>2591744434</v>
      </c>
      <c r="F53" s="43">
        <v>8732310</v>
      </c>
      <c r="G53" s="63" t="s">
        <v>126</v>
      </c>
      <c r="H53" s="19" t="s">
        <v>39</v>
      </c>
      <c r="I53" s="22" t="s">
        <v>23</v>
      </c>
      <c r="J53" s="21">
        <v>1</v>
      </c>
      <c r="K53" s="19" t="s">
        <v>24</v>
      </c>
      <c r="L53" s="24" t="s">
        <v>34</v>
      </c>
      <c r="M53" s="98"/>
    </row>
    <row r="54" spans="1:13" s="41" customFormat="1" x14ac:dyDescent="0.35">
      <c r="A54" s="15">
        <f t="shared" si="1"/>
        <v>51</v>
      </c>
      <c r="B54" s="27">
        <v>1</v>
      </c>
      <c r="C54" s="17" t="s">
        <v>127</v>
      </c>
      <c r="D54" s="27">
        <v>1756005</v>
      </c>
      <c r="E54" s="19">
        <v>2591910019</v>
      </c>
      <c r="F54" s="43">
        <v>8732305</v>
      </c>
      <c r="G54" s="28" t="s">
        <v>128</v>
      </c>
      <c r="H54" s="19" t="s">
        <v>39</v>
      </c>
      <c r="I54" s="27" t="s">
        <v>23</v>
      </c>
      <c r="J54" s="27">
        <v>1</v>
      </c>
      <c r="K54" s="27" t="s">
        <v>24</v>
      </c>
      <c r="L54" s="24" t="s">
        <v>19</v>
      </c>
      <c r="M54" s="125"/>
    </row>
    <row r="55" spans="1:13" s="41" customFormat="1" x14ac:dyDescent="0.35">
      <c r="A55" s="15">
        <f t="shared" si="1"/>
        <v>52</v>
      </c>
      <c r="B55" s="27">
        <v>1</v>
      </c>
      <c r="C55" s="17" t="s">
        <v>129</v>
      </c>
      <c r="D55" s="27">
        <v>1756006</v>
      </c>
      <c r="E55" s="19">
        <v>2591910258</v>
      </c>
      <c r="F55" s="43">
        <v>8732304</v>
      </c>
      <c r="G55" s="28" t="s">
        <v>130</v>
      </c>
      <c r="H55" s="19" t="s">
        <v>39</v>
      </c>
      <c r="I55" s="27" t="s">
        <v>23</v>
      </c>
      <c r="J55" s="27">
        <v>1</v>
      </c>
      <c r="K55" s="27" t="s">
        <v>24</v>
      </c>
      <c r="L55" s="24" t="s">
        <v>34</v>
      </c>
      <c r="M55" s="125"/>
    </row>
    <row r="56" spans="1:13" s="41" customFormat="1" x14ac:dyDescent="0.35">
      <c r="A56" s="15">
        <f t="shared" si="1"/>
        <v>53</v>
      </c>
      <c r="B56" s="27">
        <v>1</v>
      </c>
      <c r="C56" s="17" t="s">
        <v>131</v>
      </c>
      <c r="D56" s="27">
        <v>1756007</v>
      </c>
      <c r="E56" s="19">
        <v>2591744624</v>
      </c>
      <c r="F56" s="43">
        <v>8732311</v>
      </c>
      <c r="G56" s="28" t="s">
        <v>132</v>
      </c>
      <c r="H56" s="19" t="s">
        <v>39</v>
      </c>
      <c r="I56" s="27" t="s">
        <v>23</v>
      </c>
      <c r="J56" s="27">
        <v>1</v>
      </c>
      <c r="K56" s="27" t="s">
        <v>24</v>
      </c>
      <c r="L56" s="24" t="s">
        <v>19</v>
      </c>
      <c r="M56" s="125"/>
    </row>
    <row r="57" spans="1:13" s="41" customFormat="1" x14ac:dyDescent="0.35">
      <c r="A57" s="15">
        <f t="shared" si="1"/>
        <v>54</v>
      </c>
      <c r="B57" s="19">
        <v>1</v>
      </c>
      <c r="C57" s="17" t="s">
        <v>133</v>
      </c>
      <c r="D57" s="19">
        <v>1755511</v>
      </c>
      <c r="E57" s="19">
        <v>2558621500</v>
      </c>
      <c r="F57" s="43">
        <v>8666225</v>
      </c>
      <c r="G57" s="60" t="s">
        <v>134</v>
      </c>
      <c r="H57" s="19" t="s">
        <v>39</v>
      </c>
      <c r="I57" s="21" t="s">
        <v>23</v>
      </c>
      <c r="J57" s="21">
        <v>1</v>
      </c>
      <c r="K57" s="21" t="s">
        <v>24</v>
      </c>
      <c r="L57" s="24" t="s">
        <v>19</v>
      </c>
      <c r="M57" s="62"/>
    </row>
    <row r="58" spans="1:13" s="41" customFormat="1" x14ac:dyDescent="0.35">
      <c r="A58" s="15">
        <f t="shared" si="1"/>
        <v>55</v>
      </c>
      <c r="B58" s="16">
        <v>1</v>
      </c>
      <c r="C58" s="17" t="s">
        <v>135</v>
      </c>
      <c r="D58" s="19">
        <v>1755651</v>
      </c>
      <c r="E58" s="19">
        <v>2567934878</v>
      </c>
      <c r="F58" s="43">
        <v>8681705</v>
      </c>
      <c r="G58" s="60" t="s">
        <v>136</v>
      </c>
      <c r="H58" s="19" t="s">
        <v>22</v>
      </c>
      <c r="I58" s="21" t="s">
        <v>23</v>
      </c>
      <c r="J58" s="21">
        <v>1</v>
      </c>
      <c r="K58" s="21" t="s">
        <v>24</v>
      </c>
      <c r="L58" s="24" t="s">
        <v>19</v>
      </c>
      <c r="M58" s="62"/>
    </row>
    <row r="59" spans="1:13" s="41" customFormat="1" x14ac:dyDescent="0.35">
      <c r="A59" s="109">
        <f t="shared" si="1"/>
        <v>56</v>
      </c>
      <c r="B59" s="19">
        <v>1</v>
      </c>
      <c r="C59" s="17" t="s">
        <v>137</v>
      </c>
      <c r="D59" s="19">
        <v>1755625</v>
      </c>
      <c r="E59" s="19">
        <v>2567236597</v>
      </c>
      <c r="F59" s="43">
        <v>8681754</v>
      </c>
      <c r="G59" s="63" t="s">
        <v>138</v>
      </c>
      <c r="H59" s="19" t="s">
        <v>22</v>
      </c>
      <c r="I59" s="21" t="s">
        <v>23</v>
      </c>
      <c r="J59" s="21">
        <v>1</v>
      </c>
      <c r="K59" s="21" t="s">
        <v>24</v>
      </c>
      <c r="L59" s="24" t="s">
        <v>19</v>
      </c>
      <c r="M59" s="61"/>
    </row>
    <row r="60" spans="1:13" s="41" customFormat="1" x14ac:dyDescent="0.35">
      <c r="A60" s="15">
        <f t="shared" si="1"/>
        <v>57</v>
      </c>
      <c r="B60" s="16">
        <v>1</v>
      </c>
      <c r="C60" s="17" t="s">
        <v>139</v>
      </c>
      <c r="D60" s="18">
        <v>1756292</v>
      </c>
      <c r="E60" s="19">
        <v>2607344476</v>
      </c>
      <c r="F60" s="19">
        <v>7302093</v>
      </c>
      <c r="G60" s="60" t="s">
        <v>140</v>
      </c>
      <c r="H60" s="21" t="s">
        <v>117</v>
      </c>
      <c r="I60" s="22" t="s">
        <v>23</v>
      </c>
      <c r="J60" s="22">
        <v>1</v>
      </c>
      <c r="K60" s="21" t="s">
        <v>24</v>
      </c>
      <c r="L60" s="126" t="s">
        <v>34</v>
      </c>
      <c r="M60" s="127"/>
    </row>
    <row r="61" spans="1:13" s="41" customFormat="1" x14ac:dyDescent="0.35">
      <c r="A61" s="15">
        <f t="shared" si="1"/>
        <v>58</v>
      </c>
      <c r="B61" s="86">
        <v>1</v>
      </c>
      <c r="C61" s="87" t="s">
        <v>141</v>
      </c>
      <c r="D61" s="128">
        <v>9603655</v>
      </c>
      <c r="E61" s="128"/>
      <c r="F61" s="128"/>
      <c r="G61" s="129" t="s">
        <v>142</v>
      </c>
      <c r="H61" s="128" t="s">
        <v>22</v>
      </c>
      <c r="I61" s="128" t="s">
        <v>143</v>
      </c>
      <c r="J61" s="128">
        <v>1</v>
      </c>
      <c r="K61" s="128" t="s">
        <v>24</v>
      </c>
      <c r="L61" s="128" t="s">
        <v>19</v>
      </c>
      <c r="M61" s="130"/>
    </row>
    <row r="62" spans="1:13" s="41" customFormat="1" x14ac:dyDescent="0.35">
      <c r="A62" s="15">
        <f t="shared" si="1"/>
        <v>59</v>
      </c>
      <c r="B62" s="19">
        <v>1</v>
      </c>
      <c r="C62" s="60" t="s">
        <v>144</v>
      </c>
      <c r="D62" s="19">
        <v>1755548</v>
      </c>
      <c r="E62" s="19">
        <v>1059771087</v>
      </c>
      <c r="F62" s="43">
        <v>8666178</v>
      </c>
      <c r="G62" s="60" t="s">
        <v>145</v>
      </c>
      <c r="H62" s="45" t="s">
        <v>29</v>
      </c>
      <c r="I62" s="21" t="s">
        <v>23</v>
      </c>
      <c r="J62" s="21">
        <v>1</v>
      </c>
      <c r="K62" s="21" t="s">
        <v>24</v>
      </c>
      <c r="L62" s="24" t="s">
        <v>19</v>
      </c>
      <c r="M62" s="62"/>
    </row>
    <row r="63" spans="1:13" s="41" customFormat="1" x14ac:dyDescent="0.35">
      <c r="A63" s="15">
        <f t="shared" si="1"/>
        <v>60</v>
      </c>
      <c r="B63" s="16">
        <v>1</v>
      </c>
      <c r="C63" s="60" t="s">
        <v>146</v>
      </c>
      <c r="D63" s="18">
        <v>1755530</v>
      </c>
      <c r="E63" s="80">
        <v>2561284981</v>
      </c>
      <c r="F63" s="18"/>
      <c r="G63" s="44" t="s">
        <v>147</v>
      </c>
      <c r="H63" s="19" t="s">
        <v>22</v>
      </c>
      <c r="I63" s="21" t="s">
        <v>23</v>
      </c>
      <c r="J63" s="21">
        <v>1</v>
      </c>
      <c r="K63" s="21" t="s">
        <v>24</v>
      </c>
      <c r="L63" s="24" t="s">
        <v>19</v>
      </c>
      <c r="M63" s="62"/>
    </row>
    <row r="64" spans="1:13" s="41" customFormat="1" x14ac:dyDescent="0.35">
      <c r="A64" s="15">
        <f t="shared" si="1"/>
        <v>61</v>
      </c>
      <c r="B64" s="19">
        <v>1</v>
      </c>
      <c r="C64" s="17" t="s">
        <v>148</v>
      </c>
      <c r="D64" s="19">
        <v>1755068</v>
      </c>
      <c r="E64" s="19">
        <v>2335275729</v>
      </c>
      <c r="F64" s="43">
        <v>8730397</v>
      </c>
      <c r="G64" s="44" t="s">
        <v>149</v>
      </c>
      <c r="H64" s="131" t="s">
        <v>150</v>
      </c>
      <c r="I64" s="22" t="s">
        <v>23</v>
      </c>
      <c r="J64" s="19">
        <v>1</v>
      </c>
      <c r="K64" s="19" t="s">
        <v>24</v>
      </c>
      <c r="L64" s="24" t="s">
        <v>34</v>
      </c>
      <c r="M64" s="83"/>
    </row>
    <row r="65" spans="1:13" s="41" customFormat="1" x14ac:dyDescent="0.35">
      <c r="A65" s="15">
        <f t="shared" si="1"/>
        <v>62</v>
      </c>
      <c r="B65" s="16">
        <v>1</v>
      </c>
      <c r="C65" s="71" t="s">
        <v>151</v>
      </c>
      <c r="D65" s="80">
        <v>1756308</v>
      </c>
      <c r="E65" s="19">
        <v>2566747743</v>
      </c>
      <c r="F65" s="55"/>
      <c r="G65" s="63" t="s">
        <v>152</v>
      </c>
      <c r="H65" s="131" t="s">
        <v>22</v>
      </c>
      <c r="I65" s="27" t="s">
        <v>23</v>
      </c>
      <c r="J65" s="27">
        <v>1</v>
      </c>
      <c r="K65" s="27" t="s">
        <v>24</v>
      </c>
      <c r="L65" s="24" t="s">
        <v>19</v>
      </c>
      <c r="M65" s="62"/>
    </row>
    <row r="66" spans="1:13" s="41" customFormat="1" ht="18.600000000000001" thickBot="1" x14ac:dyDescent="0.4">
      <c r="A66" s="132">
        <f t="shared" si="1"/>
        <v>63</v>
      </c>
      <c r="B66" s="133">
        <v>1</v>
      </c>
      <c r="C66" s="134" t="s">
        <v>153</v>
      </c>
      <c r="D66" s="135"/>
      <c r="E66" s="133"/>
      <c r="F66" s="136"/>
      <c r="G66" s="137" t="s">
        <v>102</v>
      </c>
      <c r="H66" s="138"/>
      <c r="I66" s="139"/>
      <c r="J66" s="139"/>
      <c r="K66" s="136"/>
      <c r="L66" s="140" t="s">
        <v>19</v>
      </c>
      <c r="M66" s="141"/>
    </row>
    <row r="67" spans="1:13" s="149" customFormat="1" x14ac:dyDescent="0.35">
      <c r="A67" s="142"/>
      <c r="B67" s="143">
        <f>SUM(B4,B16,B35)</f>
        <v>57</v>
      </c>
      <c r="C67" s="144"/>
      <c r="D67" s="144"/>
      <c r="E67" s="144"/>
      <c r="F67" s="144"/>
      <c r="G67" s="145"/>
      <c r="H67" s="144"/>
      <c r="I67" s="146"/>
      <c r="J67" s="143">
        <f>SUM(J4,J16,J35)</f>
        <v>56</v>
      </c>
      <c r="K67" s="143"/>
      <c r="L67" s="147"/>
      <c r="M67" s="148"/>
    </row>
    <row r="68" spans="1:13" ht="18.600000000000001" thickBot="1" x14ac:dyDescent="0.35">
      <c r="A68" s="363" t="str">
        <f>"Total: " &amp; J67 &amp; "/" &amp; B67</f>
        <v>Total: 56/57</v>
      </c>
      <c r="B68" s="364"/>
      <c r="C68" s="150" t="s">
        <v>154</v>
      </c>
      <c r="D68" s="151">
        <f>COUNTIF(H5:H65, "Saudi")</f>
        <v>8</v>
      </c>
      <c r="E68" s="152"/>
      <c r="F68" s="152"/>
      <c r="G68" s="153" t="s">
        <v>155</v>
      </c>
      <c r="H68" s="154">
        <f>D68/J67*100</f>
        <v>14.285714285714285</v>
      </c>
      <c r="I68" s="152"/>
      <c r="J68" s="152"/>
      <c r="K68" s="152"/>
      <c r="L68" s="152"/>
      <c r="M68" s="155"/>
    </row>
    <row r="69" spans="1:13" ht="18.600000000000001" thickBot="1" x14ac:dyDescent="0.35"/>
    <row r="70" spans="1:13" ht="18.600000000000001" thickBot="1" x14ac:dyDescent="0.35">
      <c r="A70" s="365" t="s">
        <v>156</v>
      </c>
      <c r="B70" s="366"/>
      <c r="C70" s="366"/>
      <c r="D70" s="366"/>
      <c r="E70" s="366"/>
      <c r="F70" s="366"/>
      <c r="G70" s="366"/>
      <c r="H70" s="366"/>
      <c r="I70" s="366"/>
      <c r="J70" s="366"/>
      <c r="K70" s="366"/>
      <c r="L70" s="366"/>
      <c r="M70" s="367"/>
    </row>
    <row r="71" spans="1:13" ht="34.799999999999997" x14ac:dyDescent="0.3">
      <c r="A71" s="157" t="s">
        <v>1</v>
      </c>
      <c r="B71" s="158" t="s">
        <v>157</v>
      </c>
      <c r="C71" s="159" t="s">
        <v>3</v>
      </c>
      <c r="D71" s="158" t="s">
        <v>4</v>
      </c>
      <c r="E71" s="158" t="s">
        <v>158</v>
      </c>
      <c r="F71" s="158" t="s">
        <v>6</v>
      </c>
      <c r="G71" s="159" t="s">
        <v>7</v>
      </c>
      <c r="H71" s="158" t="s">
        <v>8</v>
      </c>
      <c r="I71" s="158" t="s">
        <v>9</v>
      </c>
      <c r="J71" s="158" t="s">
        <v>10</v>
      </c>
      <c r="K71" s="158" t="s">
        <v>159</v>
      </c>
      <c r="L71" s="160"/>
      <c r="M71" s="161" t="s">
        <v>13</v>
      </c>
    </row>
    <row r="72" spans="1:13" s="26" customFormat="1" x14ac:dyDescent="0.35">
      <c r="A72" s="15">
        <v>1</v>
      </c>
      <c r="B72" s="27"/>
      <c r="C72" s="28" t="s">
        <v>160</v>
      </c>
      <c r="D72" s="27">
        <v>1755614</v>
      </c>
      <c r="E72" s="19">
        <v>2566429540</v>
      </c>
      <c r="F72" s="43">
        <v>8681713</v>
      </c>
      <c r="G72" s="28" t="s">
        <v>161</v>
      </c>
      <c r="H72" s="162" t="s">
        <v>22</v>
      </c>
      <c r="I72" s="27" t="s">
        <v>23</v>
      </c>
      <c r="J72" s="27">
        <v>1</v>
      </c>
      <c r="K72" s="27" t="s">
        <v>24</v>
      </c>
      <c r="L72" s="30"/>
      <c r="M72" s="59"/>
    </row>
  </sheetData>
  <mergeCells count="4">
    <mergeCell ref="A1:M1"/>
    <mergeCell ref="A2:M2"/>
    <mergeCell ref="A68:B68"/>
    <mergeCell ref="A70:M70"/>
  </mergeCells>
  <conditionalFormatting sqref="D33">
    <cfRule type="duplicateValues" dxfId="1" priority="1"/>
  </conditionalFormatting>
  <conditionalFormatting sqref="D7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F5B2-852D-4C90-A62D-7EEC14604C0C}">
  <dimension ref="D1:ND239"/>
  <sheetViews>
    <sheetView showGridLines="0" tabSelected="1" topLeftCell="A4" zoomScale="60" zoomScaleNormal="56" workbookViewId="0">
      <selection activeCell="IZ71" sqref="IZ71"/>
    </sheetView>
  </sheetViews>
  <sheetFormatPr defaultColWidth="0.44140625" defaultRowHeight="17.399999999999999" x14ac:dyDescent="0.3"/>
  <cols>
    <col min="1" max="1" width="2.109375" style="163" customWidth="1"/>
    <col min="2" max="2" width="1.88671875" style="163" customWidth="1"/>
    <col min="3" max="3" width="1.33203125" style="163" customWidth="1"/>
    <col min="4" max="5" width="0.5546875" style="163" customWidth="1"/>
    <col min="6" max="103" width="0.88671875" style="163" customWidth="1"/>
    <col min="104" max="104" width="1" style="163" customWidth="1"/>
    <col min="105" max="106" width="0.88671875" style="163" hidden="1" customWidth="1"/>
    <col min="107" max="284" width="0.88671875" style="163" customWidth="1"/>
    <col min="285" max="285" width="0.6640625" style="163" customWidth="1"/>
    <col min="286" max="325" width="0.88671875" style="163" customWidth="1"/>
    <col min="326" max="326" width="0.6640625" style="163" customWidth="1"/>
    <col min="327" max="342" width="0.88671875" style="163" customWidth="1"/>
    <col min="343" max="344" width="0.5546875" style="163" customWidth="1"/>
    <col min="345" max="345" width="0.88671875" style="163" customWidth="1"/>
    <col min="346" max="346" width="0.6640625" style="163" customWidth="1"/>
    <col min="347" max="349" width="0.88671875" style="163" hidden="1" customWidth="1"/>
    <col min="350" max="350" width="8.33203125" style="163" hidden="1" customWidth="1"/>
    <col min="351" max="366" width="0.88671875" style="163" customWidth="1"/>
    <col min="367" max="367" width="1" style="163" customWidth="1"/>
    <col min="368" max="378" width="0.88671875" style="163" customWidth="1"/>
    <col min="379" max="16384" width="0.44140625" style="163"/>
  </cols>
  <sheetData>
    <row r="1" spans="4:368" ht="9" customHeight="1" x14ac:dyDescent="0.3"/>
    <row r="2" spans="4:368" ht="9" customHeight="1" x14ac:dyDescent="0.3"/>
    <row r="3" spans="4:368" ht="9" customHeight="1" thickBot="1" x14ac:dyDescent="0.35"/>
    <row r="4" spans="4:368" s="167" customFormat="1" ht="3" customHeight="1" thickTop="1" x14ac:dyDescent="0.3">
      <c r="D4" s="164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  <c r="CI4" s="165"/>
      <c r="CJ4" s="165"/>
      <c r="CK4" s="165"/>
      <c r="CL4" s="165"/>
      <c r="CM4" s="165"/>
      <c r="CN4" s="165"/>
      <c r="CO4" s="165"/>
      <c r="CP4" s="165"/>
      <c r="CQ4" s="165"/>
      <c r="CR4" s="165"/>
      <c r="CS4" s="165"/>
      <c r="CT4" s="165"/>
      <c r="CU4" s="165"/>
      <c r="CV4" s="165"/>
      <c r="CW4" s="165"/>
      <c r="CX4" s="165"/>
      <c r="CY4" s="165"/>
      <c r="CZ4" s="165"/>
      <c r="DA4" s="165"/>
      <c r="DB4" s="165"/>
      <c r="DC4" s="165"/>
      <c r="DD4" s="165"/>
      <c r="DE4" s="165"/>
      <c r="DF4" s="165"/>
      <c r="DG4" s="165"/>
      <c r="DH4" s="165"/>
      <c r="DI4" s="165"/>
      <c r="DJ4" s="165"/>
      <c r="DK4" s="165"/>
      <c r="DL4" s="165"/>
      <c r="DM4" s="165"/>
      <c r="DN4" s="165"/>
      <c r="DO4" s="165"/>
      <c r="DP4" s="165"/>
      <c r="DQ4" s="165"/>
      <c r="DR4" s="165"/>
      <c r="DS4" s="165"/>
      <c r="DT4" s="165"/>
      <c r="DU4" s="165"/>
      <c r="DV4" s="165"/>
      <c r="DW4" s="165"/>
      <c r="DX4" s="165"/>
      <c r="DY4" s="165"/>
      <c r="DZ4" s="165"/>
      <c r="EA4" s="165"/>
      <c r="EB4" s="165"/>
      <c r="EC4" s="165"/>
      <c r="ED4" s="165"/>
      <c r="EE4" s="165"/>
      <c r="EF4" s="165"/>
      <c r="EG4" s="165"/>
      <c r="EH4" s="165"/>
      <c r="EI4" s="165"/>
      <c r="EJ4" s="165"/>
      <c r="EK4" s="165"/>
      <c r="EL4" s="165"/>
      <c r="EM4" s="165"/>
      <c r="EN4" s="165"/>
      <c r="EO4" s="165"/>
      <c r="EP4" s="165"/>
      <c r="EQ4" s="165"/>
      <c r="ER4" s="165"/>
      <c r="ES4" s="165"/>
      <c r="ET4" s="165"/>
      <c r="EU4" s="165"/>
      <c r="EV4" s="165"/>
      <c r="EW4" s="165"/>
      <c r="EX4" s="165"/>
      <c r="EY4" s="165"/>
      <c r="EZ4" s="165"/>
      <c r="FA4" s="165"/>
      <c r="FB4" s="165"/>
      <c r="FC4" s="165"/>
      <c r="FD4" s="165"/>
      <c r="FE4" s="165"/>
      <c r="FF4" s="165"/>
      <c r="FG4" s="165"/>
      <c r="FH4" s="165"/>
      <c r="FI4" s="165"/>
      <c r="FJ4" s="165"/>
      <c r="FK4" s="165"/>
      <c r="FL4" s="165"/>
      <c r="FM4" s="165"/>
      <c r="FN4" s="165"/>
      <c r="FO4" s="165"/>
      <c r="FP4" s="165"/>
      <c r="FQ4" s="165"/>
      <c r="FR4" s="165"/>
      <c r="FS4" s="165"/>
      <c r="FT4" s="165"/>
      <c r="FU4" s="165"/>
      <c r="FV4" s="165"/>
      <c r="FW4" s="165"/>
      <c r="FX4" s="165"/>
      <c r="FY4" s="165"/>
      <c r="FZ4" s="165"/>
      <c r="GA4" s="165"/>
      <c r="GB4" s="165"/>
      <c r="GC4" s="165"/>
      <c r="GD4" s="165"/>
      <c r="GE4" s="165"/>
      <c r="GF4" s="165"/>
      <c r="GG4" s="165"/>
      <c r="GH4" s="165"/>
      <c r="GI4" s="165"/>
      <c r="GJ4" s="165"/>
      <c r="GK4" s="165"/>
      <c r="GL4" s="165"/>
      <c r="GM4" s="165"/>
      <c r="GN4" s="165"/>
      <c r="GO4" s="165"/>
      <c r="GP4" s="165"/>
      <c r="GQ4" s="165"/>
      <c r="GR4" s="165"/>
      <c r="GS4" s="165"/>
      <c r="GT4" s="165"/>
      <c r="GU4" s="165"/>
      <c r="GV4" s="165"/>
      <c r="GW4" s="165"/>
      <c r="GX4" s="165"/>
      <c r="GY4" s="165"/>
      <c r="GZ4" s="165"/>
      <c r="HA4" s="165"/>
      <c r="HB4" s="165"/>
      <c r="HC4" s="165"/>
      <c r="HD4" s="165"/>
      <c r="HE4" s="165"/>
      <c r="HF4" s="165"/>
      <c r="HG4" s="165"/>
      <c r="HH4" s="165"/>
      <c r="HI4" s="165"/>
      <c r="HJ4" s="165"/>
      <c r="HK4" s="165"/>
      <c r="HL4" s="165"/>
      <c r="HM4" s="165"/>
      <c r="HN4" s="165"/>
      <c r="HO4" s="165"/>
      <c r="HP4" s="165"/>
      <c r="HQ4" s="165"/>
      <c r="HR4" s="165"/>
      <c r="HS4" s="165"/>
      <c r="HT4" s="165"/>
      <c r="HU4" s="165"/>
      <c r="HV4" s="165"/>
      <c r="HW4" s="165"/>
      <c r="HX4" s="165"/>
      <c r="HY4" s="165"/>
      <c r="HZ4" s="165"/>
      <c r="IA4" s="165"/>
      <c r="IB4" s="165"/>
      <c r="IC4" s="165"/>
      <c r="ID4" s="165"/>
      <c r="IE4" s="165"/>
      <c r="IF4" s="165"/>
      <c r="IG4" s="165"/>
      <c r="IH4" s="165"/>
      <c r="II4" s="165"/>
      <c r="IJ4" s="165"/>
      <c r="IK4" s="165"/>
      <c r="IL4" s="165"/>
      <c r="IM4" s="165"/>
      <c r="IN4" s="165"/>
      <c r="IO4" s="165"/>
      <c r="IP4" s="165"/>
      <c r="IQ4" s="165"/>
      <c r="IR4" s="165"/>
      <c r="IS4" s="165"/>
      <c r="IT4" s="165"/>
      <c r="IU4" s="165"/>
      <c r="IV4" s="165"/>
      <c r="IW4" s="165"/>
      <c r="IX4" s="165"/>
      <c r="IY4" s="165"/>
      <c r="IZ4" s="165"/>
      <c r="JA4" s="165"/>
      <c r="JB4" s="165"/>
      <c r="JC4" s="165"/>
      <c r="JD4" s="165"/>
      <c r="JE4" s="165"/>
      <c r="JF4" s="165"/>
      <c r="JG4" s="165"/>
      <c r="JH4" s="165"/>
      <c r="JI4" s="165"/>
      <c r="JJ4" s="165"/>
      <c r="JK4" s="165"/>
      <c r="JL4" s="165"/>
      <c r="JM4" s="165"/>
      <c r="JN4" s="165"/>
      <c r="JO4" s="165"/>
      <c r="JP4" s="165"/>
      <c r="JQ4" s="165"/>
      <c r="JR4" s="165"/>
      <c r="JS4" s="165"/>
      <c r="JT4" s="165"/>
      <c r="JU4" s="165"/>
      <c r="JV4" s="165"/>
      <c r="JW4" s="165"/>
      <c r="JX4" s="165"/>
      <c r="JY4" s="165"/>
      <c r="JZ4" s="165"/>
      <c r="KA4" s="165"/>
      <c r="KB4" s="165"/>
      <c r="KC4" s="165"/>
      <c r="KD4" s="165"/>
      <c r="KE4" s="165"/>
      <c r="KF4" s="165"/>
      <c r="KG4" s="165"/>
      <c r="KH4" s="165"/>
      <c r="KI4" s="165"/>
      <c r="KJ4" s="165"/>
      <c r="KK4" s="165"/>
      <c r="KL4" s="165"/>
      <c r="KM4" s="165"/>
      <c r="KN4" s="165"/>
      <c r="KO4" s="165"/>
      <c r="KP4" s="165"/>
      <c r="KQ4" s="165"/>
      <c r="KR4" s="165"/>
      <c r="KS4" s="165"/>
      <c r="KT4" s="165"/>
      <c r="KU4" s="165"/>
      <c r="KV4" s="165"/>
      <c r="KW4" s="165"/>
      <c r="KX4" s="165"/>
      <c r="KY4" s="165"/>
      <c r="KZ4" s="165"/>
      <c r="LA4" s="165"/>
      <c r="LB4" s="165"/>
      <c r="LC4" s="165"/>
      <c r="LD4" s="165"/>
      <c r="LE4" s="165"/>
      <c r="LF4" s="165"/>
      <c r="LG4" s="165"/>
      <c r="LH4" s="165"/>
      <c r="LI4" s="165"/>
      <c r="LJ4" s="165"/>
      <c r="LK4" s="165"/>
      <c r="LL4" s="165"/>
      <c r="LM4" s="165"/>
      <c r="LN4" s="165"/>
      <c r="LO4" s="165"/>
      <c r="LP4" s="165"/>
      <c r="LQ4" s="165"/>
      <c r="LR4" s="165"/>
      <c r="LS4" s="165"/>
      <c r="LT4" s="165"/>
      <c r="LU4" s="165"/>
      <c r="LV4" s="165"/>
      <c r="LW4" s="165"/>
      <c r="LX4" s="165"/>
      <c r="LY4" s="165"/>
      <c r="LZ4" s="165"/>
      <c r="MA4" s="165"/>
      <c r="MB4" s="165"/>
      <c r="MC4" s="165"/>
      <c r="MD4" s="165"/>
      <c r="ME4" s="165"/>
      <c r="MF4" s="166"/>
    </row>
    <row r="5" spans="4:368" s="167" customFormat="1" ht="3" customHeight="1" thickBot="1" x14ac:dyDescent="0.35">
      <c r="D5" s="168"/>
      <c r="E5" s="169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0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0"/>
      <c r="CT5" s="170"/>
      <c r="CU5" s="170"/>
      <c r="CV5" s="170"/>
      <c r="CW5" s="170"/>
      <c r="CX5" s="170"/>
      <c r="CY5" s="170"/>
      <c r="CZ5" s="170"/>
      <c r="DA5" s="170"/>
      <c r="DB5" s="170"/>
      <c r="DC5" s="170"/>
      <c r="DD5" s="170"/>
      <c r="DE5" s="170"/>
      <c r="DF5" s="170"/>
      <c r="DG5" s="170"/>
      <c r="DH5" s="170"/>
      <c r="DI5" s="170"/>
      <c r="DJ5" s="170"/>
      <c r="DK5" s="170"/>
      <c r="DL5" s="170"/>
      <c r="DM5" s="170"/>
      <c r="DN5" s="170"/>
      <c r="DO5" s="170"/>
      <c r="DP5" s="170"/>
      <c r="DQ5" s="170"/>
      <c r="DR5" s="170"/>
      <c r="DS5" s="170"/>
      <c r="DT5" s="170"/>
      <c r="DU5" s="170"/>
      <c r="DV5" s="170"/>
      <c r="DW5" s="170"/>
      <c r="DX5" s="170"/>
      <c r="DY5" s="170"/>
      <c r="DZ5" s="170"/>
      <c r="EA5" s="170"/>
      <c r="EB5" s="170"/>
      <c r="EC5" s="170"/>
      <c r="ED5" s="170"/>
      <c r="EE5" s="170"/>
      <c r="EF5" s="170"/>
      <c r="EG5" s="170"/>
      <c r="EH5" s="170"/>
      <c r="EI5" s="170"/>
      <c r="EJ5" s="170"/>
      <c r="EK5" s="170"/>
      <c r="EL5" s="170"/>
      <c r="EM5" s="170"/>
      <c r="EN5" s="170"/>
      <c r="EO5" s="170"/>
      <c r="EP5" s="170"/>
      <c r="EQ5" s="170"/>
      <c r="ER5" s="170"/>
      <c r="ES5" s="170"/>
      <c r="ET5" s="170"/>
      <c r="EU5" s="170"/>
      <c r="EV5" s="170"/>
      <c r="EW5" s="170"/>
      <c r="EX5" s="170"/>
      <c r="EY5" s="170"/>
      <c r="EZ5" s="170"/>
      <c r="FA5" s="170"/>
      <c r="FB5" s="170"/>
      <c r="FC5" s="170"/>
      <c r="FD5" s="170"/>
      <c r="FE5" s="170"/>
      <c r="FF5" s="170"/>
      <c r="FG5" s="170"/>
      <c r="FH5" s="170"/>
      <c r="FI5" s="170"/>
      <c r="FJ5" s="170"/>
      <c r="FK5" s="170"/>
      <c r="FL5" s="170"/>
      <c r="FM5" s="170"/>
      <c r="FN5" s="170"/>
      <c r="FO5" s="170"/>
      <c r="FP5" s="170"/>
      <c r="FQ5" s="170"/>
      <c r="FR5" s="170"/>
      <c r="FS5" s="170"/>
      <c r="FT5" s="170"/>
      <c r="FU5" s="170"/>
      <c r="FV5" s="170"/>
      <c r="FW5" s="170"/>
      <c r="FX5" s="170"/>
      <c r="FY5" s="170"/>
      <c r="FZ5" s="170"/>
      <c r="GA5" s="170"/>
      <c r="GB5" s="170"/>
      <c r="GC5" s="170"/>
      <c r="GD5" s="170"/>
      <c r="GE5" s="170"/>
      <c r="GF5" s="170"/>
      <c r="GG5" s="170"/>
      <c r="GH5" s="170"/>
      <c r="GI5" s="170"/>
      <c r="GJ5" s="170"/>
      <c r="GK5" s="170"/>
      <c r="GL5" s="170"/>
      <c r="GM5" s="170"/>
      <c r="GN5" s="170"/>
      <c r="GO5" s="170"/>
      <c r="GP5" s="170"/>
      <c r="GQ5" s="170"/>
      <c r="GR5" s="170"/>
      <c r="GS5" s="170"/>
      <c r="GT5" s="170"/>
      <c r="GU5" s="170"/>
      <c r="GV5" s="170"/>
      <c r="GW5" s="170"/>
      <c r="GX5" s="170"/>
      <c r="GY5" s="170"/>
      <c r="GZ5" s="170"/>
      <c r="HA5" s="170"/>
      <c r="HB5" s="170"/>
      <c r="HC5" s="170"/>
      <c r="HD5" s="170"/>
      <c r="HE5" s="170"/>
      <c r="HF5" s="170"/>
      <c r="HG5" s="170"/>
      <c r="HH5" s="170"/>
      <c r="HI5" s="170"/>
      <c r="HJ5" s="170"/>
      <c r="HK5" s="170"/>
      <c r="HL5" s="170"/>
      <c r="HM5" s="170"/>
      <c r="HN5" s="170"/>
      <c r="HO5" s="170"/>
      <c r="HP5" s="170"/>
      <c r="HQ5" s="170"/>
      <c r="HR5" s="170"/>
      <c r="HS5" s="170"/>
      <c r="HT5" s="170"/>
      <c r="HU5" s="170"/>
      <c r="HV5" s="170"/>
      <c r="HW5" s="170"/>
      <c r="HX5" s="170"/>
      <c r="HY5" s="170"/>
      <c r="HZ5" s="170"/>
      <c r="IA5" s="170"/>
      <c r="IB5" s="170"/>
      <c r="IC5" s="170"/>
      <c r="ID5" s="170"/>
      <c r="IE5" s="170"/>
      <c r="IF5" s="170"/>
      <c r="IG5" s="170"/>
      <c r="IH5" s="170"/>
      <c r="II5" s="170"/>
      <c r="IJ5" s="170"/>
      <c r="IK5" s="170"/>
      <c r="IL5" s="170"/>
      <c r="IM5" s="170"/>
      <c r="IN5" s="170"/>
      <c r="IO5" s="170"/>
      <c r="IP5" s="170"/>
      <c r="IQ5" s="170"/>
      <c r="IR5" s="170"/>
      <c r="IS5" s="170"/>
      <c r="IT5" s="170"/>
      <c r="IU5" s="170"/>
      <c r="IV5" s="170"/>
      <c r="IW5" s="170"/>
      <c r="IX5" s="170"/>
      <c r="IY5" s="170"/>
      <c r="IZ5" s="170"/>
      <c r="JA5" s="170"/>
      <c r="JB5" s="170"/>
      <c r="JC5" s="170"/>
      <c r="JD5" s="170"/>
      <c r="JE5" s="170"/>
      <c r="JF5" s="170"/>
      <c r="JG5" s="170"/>
      <c r="JH5" s="170"/>
      <c r="JI5" s="170"/>
      <c r="JJ5" s="170"/>
      <c r="JK5" s="170"/>
      <c r="JL5" s="170"/>
      <c r="JM5" s="170"/>
      <c r="JN5" s="170"/>
      <c r="JO5" s="170"/>
      <c r="JP5" s="170"/>
      <c r="JQ5" s="170"/>
      <c r="JR5" s="170"/>
      <c r="JS5" s="170"/>
      <c r="JT5" s="170"/>
      <c r="JU5" s="170"/>
      <c r="JV5" s="170"/>
      <c r="JW5" s="170"/>
      <c r="JX5" s="170"/>
      <c r="JY5" s="170"/>
      <c r="JZ5" s="170"/>
      <c r="KA5" s="170"/>
      <c r="KB5" s="170"/>
      <c r="KC5" s="170"/>
      <c r="KD5" s="170"/>
      <c r="KE5" s="170"/>
      <c r="KF5" s="170"/>
      <c r="KG5" s="170"/>
      <c r="KH5" s="170"/>
      <c r="KI5" s="170"/>
      <c r="KJ5" s="170"/>
      <c r="KK5" s="170"/>
      <c r="KL5" s="170"/>
      <c r="KM5" s="170"/>
      <c r="KN5" s="170"/>
      <c r="KO5" s="170"/>
      <c r="KP5" s="170"/>
      <c r="KQ5" s="170"/>
      <c r="KR5" s="170"/>
      <c r="KS5" s="170"/>
      <c r="KT5" s="170"/>
      <c r="KU5" s="170"/>
      <c r="KV5" s="170"/>
      <c r="KW5" s="170"/>
      <c r="KX5" s="170"/>
      <c r="KY5" s="170"/>
      <c r="KZ5" s="170"/>
      <c r="LA5" s="170"/>
      <c r="LB5" s="170"/>
      <c r="LC5" s="170"/>
      <c r="LD5" s="170"/>
      <c r="LE5" s="170"/>
      <c r="LF5" s="170"/>
      <c r="LG5" s="170"/>
      <c r="LH5" s="170"/>
      <c r="LI5" s="170"/>
      <c r="LJ5" s="170"/>
      <c r="LK5" s="170"/>
      <c r="LL5" s="170"/>
      <c r="LM5" s="170"/>
      <c r="LN5" s="170"/>
      <c r="LO5" s="170"/>
      <c r="LP5" s="170"/>
      <c r="LQ5" s="170"/>
      <c r="LR5" s="170"/>
      <c r="LS5" s="170"/>
      <c r="LT5" s="170"/>
      <c r="LU5" s="170"/>
      <c r="LV5" s="170"/>
      <c r="LW5" s="170"/>
      <c r="LX5" s="170"/>
      <c r="LY5" s="170"/>
      <c r="LZ5" s="170"/>
      <c r="MA5" s="170"/>
      <c r="MB5" s="170"/>
      <c r="MC5" s="170"/>
      <c r="MD5" s="170"/>
      <c r="ME5" s="171"/>
      <c r="MF5" s="172"/>
    </row>
    <row r="6" spans="4:368" s="167" customFormat="1" ht="6.75" customHeight="1" x14ac:dyDescent="0.3">
      <c r="D6" s="168"/>
      <c r="E6" s="173"/>
      <c r="F6" s="338" t="s">
        <v>162</v>
      </c>
      <c r="G6" s="339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39"/>
      <c r="BK6" s="339"/>
      <c r="BL6" s="339"/>
      <c r="BM6" s="339"/>
      <c r="BN6" s="339"/>
      <c r="BO6" s="339"/>
      <c r="BP6" s="339"/>
      <c r="BQ6" s="339"/>
      <c r="BR6" s="339"/>
      <c r="BS6" s="339"/>
      <c r="BT6" s="339"/>
      <c r="BU6" s="339"/>
      <c r="BV6" s="339"/>
      <c r="BW6" s="339"/>
      <c r="BX6" s="339"/>
      <c r="BY6" s="339"/>
      <c r="BZ6" s="339"/>
      <c r="CA6" s="339"/>
      <c r="CB6" s="339"/>
      <c r="CC6" s="339"/>
      <c r="CD6" s="339"/>
      <c r="CE6" s="339"/>
      <c r="CF6" s="339"/>
      <c r="CG6" s="339"/>
      <c r="CH6" s="339"/>
      <c r="CI6" s="339"/>
      <c r="CJ6" s="339"/>
      <c r="CK6" s="339"/>
      <c r="CL6" s="339"/>
      <c r="CM6" s="339"/>
      <c r="CN6" s="339"/>
      <c r="CO6" s="339"/>
      <c r="CP6" s="339"/>
      <c r="CQ6" s="339"/>
      <c r="CR6" s="339"/>
      <c r="CS6" s="339"/>
      <c r="CT6" s="339"/>
      <c r="CU6" s="339"/>
      <c r="CV6" s="339"/>
      <c r="CW6" s="339"/>
      <c r="CX6" s="339"/>
      <c r="CY6" s="339"/>
      <c r="CZ6" s="339"/>
      <c r="DA6" s="339"/>
      <c r="DB6" s="339"/>
      <c r="DC6" s="339"/>
      <c r="DD6" s="339"/>
      <c r="DE6" s="339"/>
      <c r="DF6" s="339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39"/>
      <c r="DS6" s="339"/>
      <c r="DT6" s="339"/>
      <c r="DU6" s="339"/>
      <c r="DV6" s="339"/>
      <c r="DW6" s="339"/>
      <c r="DX6" s="339"/>
      <c r="DY6" s="339"/>
      <c r="DZ6" s="339"/>
      <c r="EA6" s="339"/>
      <c r="EB6" s="339"/>
      <c r="EC6" s="339"/>
      <c r="ED6" s="339"/>
      <c r="EE6" s="339"/>
      <c r="EF6" s="339"/>
      <c r="EG6" s="339"/>
      <c r="EH6" s="339"/>
      <c r="EI6" s="339"/>
      <c r="EJ6" s="339"/>
      <c r="EK6" s="339"/>
      <c r="EL6" s="339"/>
      <c r="EM6" s="339"/>
      <c r="EN6" s="339"/>
      <c r="EO6" s="339"/>
      <c r="EP6" s="339"/>
      <c r="EQ6" s="339"/>
      <c r="ER6" s="339"/>
      <c r="ES6" s="339"/>
      <c r="ET6" s="339"/>
      <c r="EU6" s="339"/>
      <c r="EV6" s="339"/>
      <c r="EW6" s="339"/>
      <c r="EX6" s="339"/>
      <c r="EY6" s="339"/>
      <c r="EZ6" s="339"/>
      <c r="FA6" s="339"/>
      <c r="FB6" s="339"/>
      <c r="FC6" s="339"/>
      <c r="FD6" s="339"/>
      <c r="FE6" s="339"/>
      <c r="FF6" s="339"/>
      <c r="FG6" s="339"/>
      <c r="FH6" s="339"/>
      <c r="FI6" s="339"/>
      <c r="FJ6" s="339"/>
      <c r="FK6" s="339"/>
      <c r="FL6" s="339"/>
      <c r="FM6" s="339"/>
      <c r="FN6" s="339"/>
      <c r="FO6" s="339"/>
      <c r="FP6" s="339"/>
      <c r="FQ6" s="339"/>
      <c r="FR6" s="339"/>
      <c r="FS6" s="339"/>
      <c r="FT6" s="339"/>
      <c r="FU6" s="339"/>
      <c r="FV6" s="339"/>
      <c r="FW6" s="339"/>
      <c r="FX6" s="339"/>
      <c r="FY6" s="339"/>
      <c r="FZ6" s="339"/>
      <c r="GA6" s="339"/>
      <c r="GB6" s="339"/>
      <c r="GC6" s="339"/>
      <c r="GD6" s="339"/>
      <c r="GE6" s="339"/>
      <c r="GF6" s="339"/>
      <c r="GG6" s="339"/>
      <c r="GH6" s="339"/>
      <c r="GI6" s="339"/>
      <c r="GJ6" s="339"/>
      <c r="GK6" s="339"/>
      <c r="GL6" s="339"/>
      <c r="GM6" s="339"/>
      <c r="GN6" s="339"/>
      <c r="GO6" s="339"/>
      <c r="GP6" s="339"/>
      <c r="GQ6" s="339"/>
      <c r="GR6" s="339"/>
      <c r="GS6" s="339"/>
      <c r="GT6" s="339"/>
      <c r="GU6" s="339"/>
      <c r="GV6" s="339"/>
      <c r="GW6" s="339"/>
      <c r="GX6" s="339"/>
      <c r="GY6" s="339"/>
      <c r="GZ6" s="339"/>
      <c r="HA6" s="339"/>
      <c r="HB6" s="339"/>
      <c r="HC6" s="339"/>
      <c r="HD6" s="339"/>
      <c r="HE6" s="339"/>
      <c r="HF6" s="339"/>
      <c r="HG6" s="339"/>
      <c r="HH6" s="339"/>
      <c r="HI6" s="339"/>
      <c r="HJ6" s="339"/>
      <c r="HK6" s="339"/>
      <c r="HL6" s="339"/>
      <c r="HM6" s="339"/>
      <c r="HN6" s="339"/>
      <c r="HO6" s="339"/>
      <c r="HP6" s="339"/>
      <c r="HQ6" s="339"/>
      <c r="HR6" s="339"/>
      <c r="HS6" s="339"/>
      <c r="HT6" s="339"/>
      <c r="HU6" s="339"/>
      <c r="HV6" s="339"/>
      <c r="HW6" s="339"/>
      <c r="HX6" s="339"/>
      <c r="HY6" s="339"/>
      <c r="HZ6" s="339"/>
      <c r="IA6" s="339"/>
      <c r="IB6" s="339"/>
      <c r="IC6" s="339"/>
      <c r="ID6" s="339"/>
      <c r="IE6" s="339"/>
      <c r="IF6" s="339"/>
      <c r="IG6" s="339"/>
      <c r="IH6" s="339"/>
      <c r="II6" s="339"/>
      <c r="IJ6" s="339"/>
      <c r="IK6" s="339"/>
      <c r="IL6" s="339"/>
      <c r="IM6" s="339"/>
      <c r="IN6" s="339"/>
      <c r="IO6" s="339"/>
      <c r="IP6" s="339"/>
      <c r="IQ6" s="339"/>
      <c r="IR6" s="339"/>
      <c r="IS6" s="339"/>
      <c r="IT6" s="339"/>
      <c r="IU6" s="339"/>
      <c r="IV6" s="339"/>
      <c r="IW6" s="339"/>
      <c r="IX6" s="339"/>
      <c r="IY6" s="339"/>
      <c r="IZ6" s="339"/>
      <c r="JA6" s="339"/>
      <c r="JB6" s="339"/>
      <c r="JC6" s="339"/>
      <c r="JD6" s="339"/>
      <c r="JE6" s="339"/>
      <c r="JF6" s="339"/>
      <c r="JG6" s="339"/>
      <c r="JH6" s="339"/>
      <c r="JI6" s="339"/>
      <c r="JJ6" s="339"/>
      <c r="JK6" s="339"/>
      <c r="JL6" s="339"/>
      <c r="JM6" s="339"/>
      <c r="JN6" s="339"/>
      <c r="JO6" s="339"/>
      <c r="JP6" s="339"/>
      <c r="JQ6" s="339"/>
      <c r="JR6" s="339"/>
      <c r="JS6" s="339"/>
      <c r="JT6" s="339"/>
      <c r="JU6" s="339"/>
      <c r="JV6" s="339"/>
      <c r="JW6" s="339"/>
      <c r="JX6" s="339"/>
      <c r="JY6" s="339"/>
      <c r="JZ6" s="339"/>
      <c r="KA6" s="339"/>
      <c r="KB6" s="339"/>
      <c r="KC6" s="339"/>
      <c r="KD6" s="339"/>
      <c r="KE6" s="339"/>
      <c r="KF6" s="339"/>
      <c r="KG6" s="339"/>
      <c r="KH6" s="339"/>
      <c r="KI6" s="339"/>
      <c r="KJ6" s="339"/>
      <c r="KK6" s="339"/>
      <c r="KL6" s="339"/>
      <c r="KM6" s="339"/>
      <c r="KN6" s="339"/>
      <c r="KO6" s="339"/>
      <c r="KP6" s="339"/>
      <c r="KQ6" s="339"/>
      <c r="KR6" s="339"/>
      <c r="KS6" s="339"/>
      <c r="KT6" s="339"/>
      <c r="KU6" s="339"/>
      <c r="KV6" s="339"/>
      <c r="KW6" s="339"/>
      <c r="KX6" s="339"/>
      <c r="KY6" s="339"/>
      <c r="KZ6" s="339"/>
      <c r="LA6" s="339"/>
      <c r="LB6" s="339"/>
      <c r="LC6" s="339"/>
      <c r="LD6" s="339"/>
      <c r="LE6" s="339"/>
      <c r="LF6" s="339"/>
      <c r="LG6" s="339"/>
      <c r="LH6" s="339"/>
      <c r="LI6" s="339"/>
      <c r="LJ6" s="339"/>
      <c r="LK6" s="339"/>
      <c r="LL6" s="339"/>
      <c r="LM6" s="339"/>
      <c r="LN6" s="339"/>
      <c r="LO6" s="339"/>
      <c r="LP6" s="339"/>
      <c r="LQ6" s="339"/>
      <c r="LR6" s="339"/>
      <c r="LS6" s="339"/>
      <c r="LT6" s="339"/>
      <c r="LU6" s="339"/>
      <c r="LV6" s="339"/>
      <c r="LW6" s="339"/>
      <c r="LX6" s="339"/>
      <c r="LY6" s="339"/>
      <c r="LZ6" s="339"/>
      <c r="MA6" s="339"/>
      <c r="MB6" s="339"/>
      <c r="MC6" s="339"/>
      <c r="MD6" s="340"/>
      <c r="ME6" s="174"/>
      <c r="MF6" s="172"/>
    </row>
    <row r="7" spans="4:368" s="167" customFormat="1" ht="6.75" customHeight="1" x14ac:dyDescent="0.3">
      <c r="D7" s="168"/>
      <c r="E7" s="173"/>
      <c r="F7" s="341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42"/>
      <c r="BW7" s="342"/>
      <c r="BX7" s="342"/>
      <c r="BY7" s="342"/>
      <c r="BZ7" s="342"/>
      <c r="CA7" s="342"/>
      <c r="CB7" s="342"/>
      <c r="CC7" s="342"/>
      <c r="CD7" s="342"/>
      <c r="CE7" s="342"/>
      <c r="CF7" s="342"/>
      <c r="CG7" s="342"/>
      <c r="CH7" s="342"/>
      <c r="CI7" s="342"/>
      <c r="CJ7" s="342"/>
      <c r="CK7" s="342"/>
      <c r="CL7" s="342"/>
      <c r="CM7" s="342"/>
      <c r="CN7" s="342"/>
      <c r="CO7" s="342"/>
      <c r="CP7" s="342"/>
      <c r="CQ7" s="342"/>
      <c r="CR7" s="342"/>
      <c r="CS7" s="342"/>
      <c r="CT7" s="342"/>
      <c r="CU7" s="342"/>
      <c r="CV7" s="342"/>
      <c r="CW7" s="342"/>
      <c r="CX7" s="342"/>
      <c r="CY7" s="342"/>
      <c r="CZ7" s="342"/>
      <c r="DA7" s="342"/>
      <c r="DB7" s="342"/>
      <c r="DC7" s="342"/>
      <c r="DD7" s="342"/>
      <c r="DE7" s="342"/>
      <c r="DF7" s="342"/>
      <c r="DG7" s="342"/>
      <c r="DH7" s="342"/>
      <c r="DI7" s="342"/>
      <c r="DJ7" s="342"/>
      <c r="DK7" s="342"/>
      <c r="DL7" s="342"/>
      <c r="DM7" s="342"/>
      <c r="DN7" s="342"/>
      <c r="DO7" s="342"/>
      <c r="DP7" s="342"/>
      <c r="DQ7" s="342"/>
      <c r="DR7" s="342"/>
      <c r="DS7" s="342"/>
      <c r="DT7" s="342"/>
      <c r="DU7" s="342"/>
      <c r="DV7" s="342"/>
      <c r="DW7" s="342"/>
      <c r="DX7" s="342"/>
      <c r="DY7" s="342"/>
      <c r="DZ7" s="342"/>
      <c r="EA7" s="342"/>
      <c r="EB7" s="342"/>
      <c r="EC7" s="342"/>
      <c r="ED7" s="342"/>
      <c r="EE7" s="342"/>
      <c r="EF7" s="342"/>
      <c r="EG7" s="342"/>
      <c r="EH7" s="342"/>
      <c r="EI7" s="342"/>
      <c r="EJ7" s="342"/>
      <c r="EK7" s="342"/>
      <c r="EL7" s="342"/>
      <c r="EM7" s="342"/>
      <c r="EN7" s="342"/>
      <c r="EO7" s="342"/>
      <c r="EP7" s="342"/>
      <c r="EQ7" s="342"/>
      <c r="ER7" s="342"/>
      <c r="ES7" s="342"/>
      <c r="ET7" s="342"/>
      <c r="EU7" s="342"/>
      <c r="EV7" s="342"/>
      <c r="EW7" s="342"/>
      <c r="EX7" s="342"/>
      <c r="EY7" s="342"/>
      <c r="EZ7" s="342"/>
      <c r="FA7" s="342"/>
      <c r="FB7" s="342"/>
      <c r="FC7" s="342"/>
      <c r="FD7" s="342"/>
      <c r="FE7" s="342"/>
      <c r="FF7" s="342"/>
      <c r="FG7" s="342"/>
      <c r="FH7" s="342"/>
      <c r="FI7" s="342"/>
      <c r="FJ7" s="342"/>
      <c r="FK7" s="342"/>
      <c r="FL7" s="342"/>
      <c r="FM7" s="342"/>
      <c r="FN7" s="342"/>
      <c r="FO7" s="342"/>
      <c r="FP7" s="342"/>
      <c r="FQ7" s="342"/>
      <c r="FR7" s="342"/>
      <c r="FS7" s="342"/>
      <c r="FT7" s="342"/>
      <c r="FU7" s="342"/>
      <c r="FV7" s="342"/>
      <c r="FW7" s="342"/>
      <c r="FX7" s="342"/>
      <c r="FY7" s="342"/>
      <c r="FZ7" s="342"/>
      <c r="GA7" s="342"/>
      <c r="GB7" s="342"/>
      <c r="GC7" s="342"/>
      <c r="GD7" s="342"/>
      <c r="GE7" s="342"/>
      <c r="GF7" s="342"/>
      <c r="GG7" s="342"/>
      <c r="GH7" s="342"/>
      <c r="GI7" s="342"/>
      <c r="GJ7" s="342"/>
      <c r="GK7" s="342"/>
      <c r="GL7" s="342"/>
      <c r="GM7" s="342"/>
      <c r="GN7" s="342"/>
      <c r="GO7" s="342"/>
      <c r="GP7" s="342"/>
      <c r="GQ7" s="342"/>
      <c r="GR7" s="342"/>
      <c r="GS7" s="342"/>
      <c r="GT7" s="342"/>
      <c r="GU7" s="342"/>
      <c r="GV7" s="342"/>
      <c r="GW7" s="342"/>
      <c r="GX7" s="342"/>
      <c r="GY7" s="342"/>
      <c r="GZ7" s="342"/>
      <c r="HA7" s="342"/>
      <c r="HB7" s="342"/>
      <c r="HC7" s="342"/>
      <c r="HD7" s="342"/>
      <c r="HE7" s="342"/>
      <c r="HF7" s="342"/>
      <c r="HG7" s="342"/>
      <c r="HH7" s="342"/>
      <c r="HI7" s="342"/>
      <c r="HJ7" s="342"/>
      <c r="HK7" s="342"/>
      <c r="HL7" s="342"/>
      <c r="HM7" s="342"/>
      <c r="HN7" s="342"/>
      <c r="HO7" s="342"/>
      <c r="HP7" s="342"/>
      <c r="HQ7" s="342"/>
      <c r="HR7" s="342"/>
      <c r="HS7" s="342"/>
      <c r="HT7" s="342"/>
      <c r="HU7" s="342"/>
      <c r="HV7" s="342"/>
      <c r="HW7" s="342"/>
      <c r="HX7" s="342"/>
      <c r="HY7" s="342"/>
      <c r="HZ7" s="342"/>
      <c r="IA7" s="342"/>
      <c r="IB7" s="342"/>
      <c r="IC7" s="342"/>
      <c r="ID7" s="342"/>
      <c r="IE7" s="342"/>
      <c r="IF7" s="342"/>
      <c r="IG7" s="342"/>
      <c r="IH7" s="342"/>
      <c r="II7" s="342"/>
      <c r="IJ7" s="342"/>
      <c r="IK7" s="342"/>
      <c r="IL7" s="342"/>
      <c r="IM7" s="342"/>
      <c r="IN7" s="342"/>
      <c r="IO7" s="342"/>
      <c r="IP7" s="342"/>
      <c r="IQ7" s="342"/>
      <c r="IR7" s="342"/>
      <c r="IS7" s="342"/>
      <c r="IT7" s="342"/>
      <c r="IU7" s="342"/>
      <c r="IV7" s="342"/>
      <c r="IW7" s="342"/>
      <c r="IX7" s="342"/>
      <c r="IY7" s="342"/>
      <c r="IZ7" s="342"/>
      <c r="JA7" s="342"/>
      <c r="JB7" s="342"/>
      <c r="JC7" s="342"/>
      <c r="JD7" s="342"/>
      <c r="JE7" s="342"/>
      <c r="JF7" s="342"/>
      <c r="JG7" s="342"/>
      <c r="JH7" s="342"/>
      <c r="JI7" s="342"/>
      <c r="JJ7" s="342"/>
      <c r="JK7" s="342"/>
      <c r="JL7" s="342"/>
      <c r="JM7" s="342"/>
      <c r="JN7" s="342"/>
      <c r="JO7" s="342"/>
      <c r="JP7" s="342"/>
      <c r="JQ7" s="342"/>
      <c r="JR7" s="342"/>
      <c r="JS7" s="342"/>
      <c r="JT7" s="342"/>
      <c r="JU7" s="342"/>
      <c r="JV7" s="342"/>
      <c r="JW7" s="342"/>
      <c r="JX7" s="342"/>
      <c r="JY7" s="342"/>
      <c r="JZ7" s="342"/>
      <c r="KA7" s="342"/>
      <c r="KB7" s="342"/>
      <c r="KC7" s="342"/>
      <c r="KD7" s="342"/>
      <c r="KE7" s="342"/>
      <c r="KF7" s="342"/>
      <c r="KG7" s="342"/>
      <c r="KH7" s="342"/>
      <c r="KI7" s="342"/>
      <c r="KJ7" s="342"/>
      <c r="KK7" s="342"/>
      <c r="KL7" s="342"/>
      <c r="KM7" s="342"/>
      <c r="KN7" s="342"/>
      <c r="KO7" s="342"/>
      <c r="KP7" s="342"/>
      <c r="KQ7" s="342"/>
      <c r="KR7" s="342"/>
      <c r="KS7" s="342"/>
      <c r="KT7" s="342"/>
      <c r="KU7" s="342"/>
      <c r="KV7" s="342"/>
      <c r="KW7" s="342"/>
      <c r="KX7" s="342"/>
      <c r="KY7" s="342"/>
      <c r="KZ7" s="342"/>
      <c r="LA7" s="342"/>
      <c r="LB7" s="342"/>
      <c r="LC7" s="342"/>
      <c r="LD7" s="342"/>
      <c r="LE7" s="342"/>
      <c r="LF7" s="342"/>
      <c r="LG7" s="342"/>
      <c r="LH7" s="342"/>
      <c r="LI7" s="342"/>
      <c r="LJ7" s="342"/>
      <c r="LK7" s="342"/>
      <c r="LL7" s="342"/>
      <c r="LM7" s="342"/>
      <c r="LN7" s="342"/>
      <c r="LO7" s="342"/>
      <c r="LP7" s="342"/>
      <c r="LQ7" s="342"/>
      <c r="LR7" s="342"/>
      <c r="LS7" s="342"/>
      <c r="LT7" s="342"/>
      <c r="LU7" s="342"/>
      <c r="LV7" s="342"/>
      <c r="LW7" s="342"/>
      <c r="LX7" s="342"/>
      <c r="LY7" s="342"/>
      <c r="LZ7" s="342"/>
      <c r="MA7" s="342"/>
      <c r="MB7" s="342"/>
      <c r="MC7" s="342"/>
      <c r="MD7" s="343"/>
      <c r="ME7" s="174"/>
      <c r="MF7" s="172"/>
    </row>
    <row r="8" spans="4:368" s="167" customFormat="1" ht="6.75" customHeight="1" x14ac:dyDescent="0.3">
      <c r="D8" s="168"/>
      <c r="E8" s="173"/>
      <c r="F8" s="341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3"/>
      <c r="ME8" s="174"/>
      <c r="MF8" s="172"/>
    </row>
    <row r="9" spans="4:368" s="167" customFormat="1" ht="6.75" customHeight="1" x14ac:dyDescent="0.3">
      <c r="D9" s="168"/>
      <c r="E9" s="173"/>
      <c r="F9" s="341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3"/>
      <c r="ME9" s="174"/>
      <c r="MF9" s="172"/>
      <c r="MG9" s="175"/>
      <c r="MH9" s="175"/>
      <c r="MI9" s="175"/>
      <c r="MJ9" s="175"/>
      <c r="MY9" s="175"/>
      <c r="MZ9" s="175"/>
      <c r="NA9" s="175"/>
      <c r="NB9" s="175"/>
      <c r="NC9" s="175"/>
    </row>
    <row r="10" spans="4:368" s="167" customFormat="1" ht="6.75" customHeight="1" x14ac:dyDescent="0.3">
      <c r="D10" s="168"/>
      <c r="E10" s="173"/>
      <c r="F10" s="341" t="s">
        <v>163</v>
      </c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2"/>
      <c r="BK10" s="342"/>
      <c r="BL10" s="342"/>
      <c r="BM10" s="342"/>
      <c r="BN10" s="342"/>
      <c r="BO10" s="342"/>
      <c r="BP10" s="342"/>
      <c r="BQ10" s="342"/>
      <c r="BR10" s="342"/>
      <c r="BS10" s="342"/>
      <c r="BT10" s="342"/>
      <c r="BU10" s="342"/>
      <c r="BV10" s="342"/>
      <c r="BW10" s="342"/>
      <c r="BX10" s="342"/>
      <c r="BY10" s="342"/>
      <c r="BZ10" s="342"/>
      <c r="CA10" s="342"/>
      <c r="CB10" s="342"/>
      <c r="CC10" s="342"/>
      <c r="CD10" s="342"/>
      <c r="CE10" s="342"/>
      <c r="CF10" s="342"/>
      <c r="CG10" s="342"/>
      <c r="CH10" s="342"/>
      <c r="CI10" s="342"/>
      <c r="CJ10" s="342"/>
      <c r="CK10" s="342"/>
      <c r="CL10" s="342"/>
      <c r="CM10" s="342"/>
      <c r="CN10" s="342"/>
      <c r="CO10" s="342"/>
      <c r="CP10" s="342"/>
      <c r="CQ10" s="342"/>
      <c r="CR10" s="342"/>
      <c r="CS10" s="342"/>
      <c r="CT10" s="342"/>
      <c r="CU10" s="342"/>
      <c r="CV10" s="342"/>
      <c r="CW10" s="342"/>
      <c r="CX10" s="342"/>
      <c r="CY10" s="342"/>
      <c r="CZ10" s="342"/>
      <c r="DA10" s="342"/>
      <c r="DB10" s="342"/>
      <c r="DC10" s="342"/>
      <c r="DD10" s="342"/>
      <c r="DE10" s="342"/>
      <c r="DF10" s="342"/>
      <c r="DG10" s="342"/>
      <c r="DH10" s="342"/>
      <c r="DI10" s="342"/>
      <c r="DJ10" s="342"/>
      <c r="DK10" s="342"/>
      <c r="DL10" s="342"/>
      <c r="DM10" s="342"/>
      <c r="DN10" s="342"/>
      <c r="DO10" s="342"/>
      <c r="DP10" s="342"/>
      <c r="DQ10" s="342"/>
      <c r="DR10" s="342"/>
      <c r="DS10" s="342"/>
      <c r="DT10" s="342"/>
      <c r="DU10" s="342"/>
      <c r="DV10" s="342"/>
      <c r="DW10" s="342"/>
      <c r="DX10" s="342"/>
      <c r="DY10" s="342"/>
      <c r="DZ10" s="342"/>
      <c r="EA10" s="342"/>
      <c r="EB10" s="342"/>
      <c r="EC10" s="342"/>
      <c r="ED10" s="342"/>
      <c r="EE10" s="342"/>
      <c r="EF10" s="342"/>
      <c r="EG10" s="342"/>
      <c r="EH10" s="342"/>
      <c r="EI10" s="342"/>
      <c r="EJ10" s="342"/>
      <c r="EK10" s="342"/>
      <c r="EL10" s="342"/>
      <c r="EM10" s="342"/>
      <c r="EN10" s="342"/>
      <c r="EO10" s="342"/>
      <c r="EP10" s="342"/>
      <c r="EQ10" s="342"/>
      <c r="ER10" s="342"/>
      <c r="ES10" s="342"/>
      <c r="ET10" s="342"/>
      <c r="EU10" s="342"/>
      <c r="EV10" s="342"/>
      <c r="EW10" s="342"/>
      <c r="EX10" s="342"/>
      <c r="EY10" s="342"/>
      <c r="EZ10" s="342"/>
      <c r="FA10" s="342"/>
      <c r="FB10" s="342"/>
      <c r="FC10" s="342"/>
      <c r="FD10" s="342"/>
      <c r="FE10" s="342"/>
      <c r="FF10" s="342"/>
      <c r="FG10" s="342"/>
      <c r="FH10" s="342"/>
      <c r="FI10" s="342"/>
      <c r="FJ10" s="342"/>
      <c r="FK10" s="342"/>
      <c r="FL10" s="342"/>
      <c r="FM10" s="342"/>
      <c r="FN10" s="342"/>
      <c r="FO10" s="342"/>
      <c r="FP10" s="342"/>
      <c r="FQ10" s="342"/>
      <c r="FR10" s="342"/>
      <c r="FS10" s="342"/>
      <c r="FT10" s="342"/>
      <c r="FU10" s="342"/>
      <c r="FV10" s="342"/>
      <c r="FW10" s="342"/>
      <c r="FX10" s="342"/>
      <c r="FY10" s="342"/>
      <c r="FZ10" s="342"/>
      <c r="GA10" s="342"/>
      <c r="GB10" s="342"/>
      <c r="GC10" s="342"/>
      <c r="GD10" s="342"/>
      <c r="GE10" s="342"/>
      <c r="GF10" s="342"/>
      <c r="GG10" s="342"/>
      <c r="GH10" s="342"/>
      <c r="GI10" s="342"/>
      <c r="GJ10" s="342"/>
      <c r="GK10" s="342"/>
      <c r="GL10" s="342"/>
      <c r="GM10" s="342"/>
      <c r="GN10" s="342"/>
      <c r="GO10" s="342"/>
      <c r="GP10" s="342"/>
      <c r="GQ10" s="342"/>
      <c r="GR10" s="342"/>
      <c r="GS10" s="342"/>
      <c r="GT10" s="342"/>
      <c r="GU10" s="342"/>
      <c r="GV10" s="342"/>
      <c r="GW10" s="342"/>
      <c r="GX10" s="342"/>
      <c r="GY10" s="342"/>
      <c r="GZ10" s="342"/>
      <c r="HA10" s="342"/>
      <c r="HB10" s="342"/>
      <c r="HC10" s="342"/>
      <c r="HD10" s="342"/>
      <c r="HE10" s="342"/>
      <c r="HF10" s="342"/>
      <c r="HG10" s="342"/>
      <c r="HH10" s="342"/>
      <c r="HI10" s="342"/>
      <c r="HJ10" s="342"/>
      <c r="HK10" s="342"/>
      <c r="HL10" s="342"/>
      <c r="HM10" s="342"/>
      <c r="HN10" s="342"/>
      <c r="HO10" s="342"/>
      <c r="HP10" s="342"/>
      <c r="HQ10" s="342"/>
      <c r="HR10" s="342"/>
      <c r="HS10" s="342"/>
      <c r="HT10" s="342"/>
      <c r="HU10" s="342"/>
      <c r="HV10" s="342"/>
      <c r="HW10" s="342"/>
      <c r="HX10" s="342"/>
      <c r="HY10" s="342"/>
      <c r="HZ10" s="342"/>
      <c r="IA10" s="342"/>
      <c r="IB10" s="342"/>
      <c r="IC10" s="342"/>
      <c r="ID10" s="342"/>
      <c r="IE10" s="342"/>
      <c r="IF10" s="342"/>
      <c r="IG10" s="342"/>
      <c r="IH10" s="342"/>
      <c r="II10" s="342"/>
      <c r="IJ10" s="342"/>
      <c r="IK10" s="342"/>
      <c r="IL10" s="342"/>
      <c r="IM10" s="342"/>
      <c r="IN10" s="342"/>
      <c r="IO10" s="342"/>
      <c r="IP10" s="342"/>
      <c r="IQ10" s="342"/>
      <c r="IR10" s="342"/>
      <c r="IS10" s="342"/>
      <c r="IT10" s="342"/>
      <c r="IU10" s="342"/>
      <c r="IV10" s="342"/>
      <c r="IW10" s="342"/>
      <c r="IX10" s="342"/>
      <c r="IY10" s="342"/>
      <c r="IZ10" s="342"/>
      <c r="JA10" s="342"/>
      <c r="JB10" s="342"/>
      <c r="JC10" s="342"/>
      <c r="JD10" s="342"/>
      <c r="JE10" s="342"/>
      <c r="JF10" s="342"/>
      <c r="JG10" s="342"/>
      <c r="JH10" s="342"/>
      <c r="JI10" s="342"/>
      <c r="JJ10" s="342"/>
      <c r="JK10" s="342"/>
      <c r="JL10" s="342"/>
      <c r="JM10" s="342"/>
      <c r="JN10" s="342"/>
      <c r="JO10" s="342"/>
      <c r="JP10" s="342"/>
      <c r="JQ10" s="342"/>
      <c r="JR10" s="342"/>
      <c r="JS10" s="342"/>
      <c r="JT10" s="342"/>
      <c r="JU10" s="342"/>
      <c r="JV10" s="342"/>
      <c r="JW10" s="342"/>
      <c r="JX10" s="342"/>
      <c r="JY10" s="342"/>
      <c r="JZ10" s="342"/>
      <c r="KA10" s="342"/>
      <c r="KB10" s="342"/>
      <c r="KC10" s="342"/>
      <c r="KD10" s="342"/>
      <c r="KE10" s="342"/>
      <c r="KF10" s="342"/>
      <c r="KG10" s="342"/>
      <c r="KH10" s="342"/>
      <c r="KI10" s="342"/>
      <c r="KJ10" s="342"/>
      <c r="KK10" s="342"/>
      <c r="KL10" s="342"/>
      <c r="KM10" s="342"/>
      <c r="KN10" s="342"/>
      <c r="KO10" s="342"/>
      <c r="KP10" s="342"/>
      <c r="KQ10" s="342"/>
      <c r="KR10" s="342"/>
      <c r="KS10" s="342"/>
      <c r="KT10" s="342"/>
      <c r="KU10" s="342"/>
      <c r="KV10" s="342"/>
      <c r="KW10" s="342"/>
      <c r="KX10" s="342"/>
      <c r="KY10" s="342"/>
      <c r="KZ10" s="342"/>
      <c r="LA10" s="342"/>
      <c r="LB10" s="342"/>
      <c r="LC10" s="342"/>
      <c r="LD10" s="342"/>
      <c r="LE10" s="342"/>
      <c r="LF10" s="342"/>
      <c r="LG10" s="342"/>
      <c r="LH10" s="342"/>
      <c r="LI10" s="342"/>
      <c r="LJ10" s="342"/>
      <c r="LK10" s="342"/>
      <c r="LL10" s="342"/>
      <c r="LM10" s="342"/>
      <c r="LN10" s="342"/>
      <c r="LO10" s="342"/>
      <c r="LP10" s="342"/>
      <c r="LQ10" s="342"/>
      <c r="LR10" s="342"/>
      <c r="LS10" s="342"/>
      <c r="LT10" s="342"/>
      <c r="LU10" s="342"/>
      <c r="LV10" s="342"/>
      <c r="LW10" s="342"/>
      <c r="LX10" s="342"/>
      <c r="LY10" s="342"/>
      <c r="LZ10" s="342"/>
      <c r="MA10" s="342"/>
      <c r="MB10" s="342"/>
      <c r="MC10" s="342"/>
      <c r="MD10" s="343"/>
      <c r="ME10" s="174"/>
      <c r="MF10" s="172"/>
      <c r="MG10" s="175"/>
      <c r="MH10" s="175"/>
      <c r="MI10" s="175"/>
      <c r="MJ10" s="175"/>
      <c r="MK10" s="176"/>
      <c r="MY10" s="175"/>
      <c r="MZ10" s="175"/>
      <c r="NA10" s="175"/>
      <c r="NB10" s="175"/>
      <c r="NC10" s="175"/>
      <c r="ND10" s="176"/>
    </row>
    <row r="11" spans="4:368" s="167" customFormat="1" ht="6.75" customHeight="1" x14ac:dyDescent="0.3">
      <c r="D11" s="168"/>
      <c r="E11" s="173"/>
      <c r="F11" s="341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  <c r="AK11" s="342"/>
      <c r="AL11" s="342"/>
      <c r="AM11" s="342"/>
      <c r="AN11" s="342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2"/>
      <c r="BK11" s="342"/>
      <c r="BL11" s="342"/>
      <c r="BM11" s="342"/>
      <c r="BN11" s="342"/>
      <c r="BO11" s="342"/>
      <c r="BP11" s="342"/>
      <c r="BQ11" s="342"/>
      <c r="BR11" s="342"/>
      <c r="BS11" s="342"/>
      <c r="BT11" s="342"/>
      <c r="BU11" s="342"/>
      <c r="BV11" s="342"/>
      <c r="BW11" s="342"/>
      <c r="BX11" s="342"/>
      <c r="BY11" s="342"/>
      <c r="BZ11" s="342"/>
      <c r="CA11" s="342"/>
      <c r="CB11" s="342"/>
      <c r="CC11" s="342"/>
      <c r="CD11" s="342"/>
      <c r="CE11" s="342"/>
      <c r="CF11" s="342"/>
      <c r="CG11" s="342"/>
      <c r="CH11" s="342"/>
      <c r="CI11" s="342"/>
      <c r="CJ11" s="342"/>
      <c r="CK11" s="342"/>
      <c r="CL11" s="342"/>
      <c r="CM11" s="342"/>
      <c r="CN11" s="342"/>
      <c r="CO11" s="342"/>
      <c r="CP11" s="342"/>
      <c r="CQ11" s="342"/>
      <c r="CR11" s="342"/>
      <c r="CS11" s="342"/>
      <c r="CT11" s="342"/>
      <c r="CU11" s="342"/>
      <c r="CV11" s="342"/>
      <c r="CW11" s="342"/>
      <c r="CX11" s="342"/>
      <c r="CY11" s="342"/>
      <c r="CZ11" s="342"/>
      <c r="DA11" s="342"/>
      <c r="DB11" s="342"/>
      <c r="DC11" s="342"/>
      <c r="DD11" s="342"/>
      <c r="DE11" s="342"/>
      <c r="DF11" s="342"/>
      <c r="DG11" s="342"/>
      <c r="DH11" s="342"/>
      <c r="DI11" s="342"/>
      <c r="DJ11" s="342"/>
      <c r="DK11" s="342"/>
      <c r="DL11" s="342"/>
      <c r="DM11" s="342"/>
      <c r="DN11" s="342"/>
      <c r="DO11" s="342"/>
      <c r="DP11" s="342"/>
      <c r="DQ11" s="342"/>
      <c r="DR11" s="342"/>
      <c r="DS11" s="342"/>
      <c r="DT11" s="342"/>
      <c r="DU11" s="342"/>
      <c r="DV11" s="342"/>
      <c r="DW11" s="342"/>
      <c r="DX11" s="342"/>
      <c r="DY11" s="342"/>
      <c r="DZ11" s="342"/>
      <c r="EA11" s="342"/>
      <c r="EB11" s="342"/>
      <c r="EC11" s="342"/>
      <c r="ED11" s="342"/>
      <c r="EE11" s="342"/>
      <c r="EF11" s="342"/>
      <c r="EG11" s="342"/>
      <c r="EH11" s="342"/>
      <c r="EI11" s="342"/>
      <c r="EJ11" s="342"/>
      <c r="EK11" s="342"/>
      <c r="EL11" s="342"/>
      <c r="EM11" s="342"/>
      <c r="EN11" s="342"/>
      <c r="EO11" s="342"/>
      <c r="EP11" s="342"/>
      <c r="EQ11" s="342"/>
      <c r="ER11" s="342"/>
      <c r="ES11" s="342"/>
      <c r="ET11" s="342"/>
      <c r="EU11" s="342"/>
      <c r="EV11" s="342"/>
      <c r="EW11" s="342"/>
      <c r="EX11" s="342"/>
      <c r="EY11" s="342"/>
      <c r="EZ11" s="342"/>
      <c r="FA11" s="342"/>
      <c r="FB11" s="342"/>
      <c r="FC11" s="342"/>
      <c r="FD11" s="342"/>
      <c r="FE11" s="342"/>
      <c r="FF11" s="342"/>
      <c r="FG11" s="342"/>
      <c r="FH11" s="342"/>
      <c r="FI11" s="342"/>
      <c r="FJ11" s="342"/>
      <c r="FK11" s="342"/>
      <c r="FL11" s="342"/>
      <c r="FM11" s="342"/>
      <c r="FN11" s="342"/>
      <c r="FO11" s="342"/>
      <c r="FP11" s="342"/>
      <c r="FQ11" s="342"/>
      <c r="FR11" s="342"/>
      <c r="FS11" s="342"/>
      <c r="FT11" s="342"/>
      <c r="FU11" s="342"/>
      <c r="FV11" s="342"/>
      <c r="FW11" s="342"/>
      <c r="FX11" s="342"/>
      <c r="FY11" s="342"/>
      <c r="FZ11" s="342"/>
      <c r="GA11" s="342"/>
      <c r="GB11" s="342"/>
      <c r="GC11" s="342"/>
      <c r="GD11" s="342"/>
      <c r="GE11" s="342"/>
      <c r="GF11" s="342"/>
      <c r="GG11" s="342"/>
      <c r="GH11" s="342"/>
      <c r="GI11" s="342"/>
      <c r="GJ11" s="342"/>
      <c r="GK11" s="342"/>
      <c r="GL11" s="342"/>
      <c r="GM11" s="342"/>
      <c r="GN11" s="342"/>
      <c r="GO11" s="342"/>
      <c r="GP11" s="342"/>
      <c r="GQ11" s="342"/>
      <c r="GR11" s="342"/>
      <c r="GS11" s="342"/>
      <c r="GT11" s="342"/>
      <c r="GU11" s="342"/>
      <c r="GV11" s="342"/>
      <c r="GW11" s="342"/>
      <c r="GX11" s="342"/>
      <c r="GY11" s="342"/>
      <c r="GZ11" s="342"/>
      <c r="HA11" s="342"/>
      <c r="HB11" s="342"/>
      <c r="HC11" s="342"/>
      <c r="HD11" s="342"/>
      <c r="HE11" s="342"/>
      <c r="HF11" s="342"/>
      <c r="HG11" s="342"/>
      <c r="HH11" s="342"/>
      <c r="HI11" s="342"/>
      <c r="HJ11" s="342"/>
      <c r="HK11" s="342"/>
      <c r="HL11" s="342"/>
      <c r="HM11" s="342"/>
      <c r="HN11" s="342"/>
      <c r="HO11" s="342"/>
      <c r="HP11" s="342"/>
      <c r="HQ11" s="342"/>
      <c r="HR11" s="342"/>
      <c r="HS11" s="342"/>
      <c r="HT11" s="342"/>
      <c r="HU11" s="342"/>
      <c r="HV11" s="342"/>
      <c r="HW11" s="342"/>
      <c r="HX11" s="342"/>
      <c r="HY11" s="342"/>
      <c r="HZ11" s="342"/>
      <c r="IA11" s="342"/>
      <c r="IB11" s="342"/>
      <c r="IC11" s="342"/>
      <c r="ID11" s="342"/>
      <c r="IE11" s="342"/>
      <c r="IF11" s="342"/>
      <c r="IG11" s="342"/>
      <c r="IH11" s="342"/>
      <c r="II11" s="342"/>
      <c r="IJ11" s="342"/>
      <c r="IK11" s="342"/>
      <c r="IL11" s="342"/>
      <c r="IM11" s="342"/>
      <c r="IN11" s="342"/>
      <c r="IO11" s="342"/>
      <c r="IP11" s="342"/>
      <c r="IQ11" s="342"/>
      <c r="IR11" s="342"/>
      <c r="IS11" s="342"/>
      <c r="IT11" s="342"/>
      <c r="IU11" s="342"/>
      <c r="IV11" s="342"/>
      <c r="IW11" s="342"/>
      <c r="IX11" s="342"/>
      <c r="IY11" s="342"/>
      <c r="IZ11" s="342"/>
      <c r="JA11" s="342"/>
      <c r="JB11" s="342"/>
      <c r="JC11" s="342"/>
      <c r="JD11" s="342"/>
      <c r="JE11" s="342"/>
      <c r="JF11" s="342"/>
      <c r="JG11" s="342"/>
      <c r="JH11" s="342"/>
      <c r="JI11" s="342"/>
      <c r="JJ11" s="342"/>
      <c r="JK11" s="342"/>
      <c r="JL11" s="342"/>
      <c r="JM11" s="342"/>
      <c r="JN11" s="342"/>
      <c r="JO11" s="342"/>
      <c r="JP11" s="342"/>
      <c r="JQ11" s="342"/>
      <c r="JR11" s="342"/>
      <c r="JS11" s="342"/>
      <c r="JT11" s="342"/>
      <c r="JU11" s="342"/>
      <c r="JV11" s="342"/>
      <c r="JW11" s="342"/>
      <c r="JX11" s="342"/>
      <c r="JY11" s="342"/>
      <c r="JZ11" s="342"/>
      <c r="KA11" s="342"/>
      <c r="KB11" s="342"/>
      <c r="KC11" s="342"/>
      <c r="KD11" s="342"/>
      <c r="KE11" s="342"/>
      <c r="KF11" s="342"/>
      <c r="KG11" s="342"/>
      <c r="KH11" s="342"/>
      <c r="KI11" s="342"/>
      <c r="KJ11" s="342"/>
      <c r="KK11" s="342"/>
      <c r="KL11" s="342"/>
      <c r="KM11" s="342"/>
      <c r="KN11" s="342"/>
      <c r="KO11" s="342"/>
      <c r="KP11" s="342"/>
      <c r="KQ11" s="342"/>
      <c r="KR11" s="342"/>
      <c r="KS11" s="342"/>
      <c r="KT11" s="342"/>
      <c r="KU11" s="342"/>
      <c r="KV11" s="342"/>
      <c r="KW11" s="342"/>
      <c r="KX11" s="342"/>
      <c r="KY11" s="342"/>
      <c r="KZ11" s="342"/>
      <c r="LA11" s="342"/>
      <c r="LB11" s="342"/>
      <c r="LC11" s="342"/>
      <c r="LD11" s="342"/>
      <c r="LE11" s="342"/>
      <c r="LF11" s="342"/>
      <c r="LG11" s="342"/>
      <c r="LH11" s="342"/>
      <c r="LI11" s="342"/>
      <c r="LJ11" s="342"/>
      <c r="LK11" s="342"/>
      <c r="LL11" s="342"/>
      <c r="LM11" s="342"/>
      <c r="LN11" s="342"/>
      <c r="LO11" s="342"/>
      <c r="LP11" s="342"/>
      <c r="LQ11" s="342"/>
      <c r="LR11" s="342"/>
      <c r="LS11" s="342"/>
      <c r="LT11" s="342"/>
      <c r="LU11" s="342"/>
      <c r="LV11" s="342"/>
      <c r="LW11" s="342"/>
      <c r="LX11" s="342"/>
      <c r="LY11" s="342"/>
      <c r="LZ11" s="342"/>
      <c r="MA11" s="342"/>
      <c r="MB11" s="342"/>
      <c r="MC11" s="342"/>
      <c r="MD11" s="343"/>
      <c r="ME11" s="174"/>
      <c r="MF11" s="172"/>
      <c r="MG11" s="175"/>
      <c r="MH11" s="175"/>
      <c r="MI11" s="175"/>
      <c r="MJ11" s="175"/>
      <c r="MK11" s="176"/>
      <c r="MY11" s="175"/>
      <c r="MZ11" s="175"/>
      <c r="NA11" s="175"/>
      <c r="NB11" s="175"/>
      <c r="NC11" s="175"/>
      <c r="ND11" s="176"/>
    </row>
    <row r="12" spans="4:368" s="167" customFormat="1" ht="6.75" customHeight="1" x14ac:dyDescent="0.3">
      <c r="D12" s="168"/>
      <c r="E12" s="173"/>
      <c r="F12" s="341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  <c r="AA12" s="342"/>
      <c r="AB12" s="342"/>
      <c r="AC12" s="342"/>
      <c r="AD12" s="342"/>
      <c r="AE12" s="342"/>
      <c r="AF12" s="342"/>
      <c r="AG12" s="342"/>
      <c r="AH12" s="342"/>
      <c r="AI12" s="342"/>
      <c r="AJ12" s="342"/>
      <c r="AK12" s="342"/>
      <c r="AL12" s="342"/>
      <c r="AM12" s="342"/>
      <c r="AN12" s="342"/>
      <c r="AO12" s="342"/>
      <c r="AP12" s="342"/>
      <c r="AQ12" s="342"/>
      <c r="AR12" s="342"/>
      <c r="AS12" s="342"/>
      <c r="AT12" s="342"/>
      <c r="AU12" s="342"/>
      <c r="AV12" s="342"/>
      <c r="AW12" s="342"/>
      <c r="AX12" s="342"/>
      <c r="AY12" s="342"/>
      <c r="AZ12" s="342"/>
      <c r="BA12" s="342"/>
      <c r="BB12" s="342"/>
      <c r="BC12" s="342"/>
      <c r="BD12" s="342"/>
      <c r="BE12" s="342"/>
      <c r="BF12" s="342"/>
      <c r="BG12" s="342"/>
      <c r="BH12" s="342"/>
      <c r="BI12" s="342"/>
      <c r="BJ12" s="342"/>
      <c r="BK12" s="342"/>
      <c r="BL12" s="342"/>
      <c r="BM12" s="342"/>
      <c r="BN12" s="342"/>
      <c r="BO12" s="342"/>
      <c r="BP12" s="342"/>
      <c r="BQ12" s="342"/>
      <c r="BR12" s="342"/>
      <c r="BS12" s="342"/>
      <c r="BT12" s="342"/>
      <c r="BU12" s="342"/>
      <c r="BV12" s="342"/>
      <c r="BW12" s="342"/>
      <c r="BX12" s="342"/>
      <c r="BY12" s="342"/>
      <c r="BZ12" s="342"/>
      <c r="CA12" s="342"/>
      <c r="CB12" s="342"/>
      <c r="CC12" s="342"/>
      <c r="CD12" s="342"/>
      <c r="CE12" s="342"/>
      <c r="CF12" s="342"/>
      <c r="CG12" s="342"/>
      <c r="CH12" s="342"/>
      <c r="CI12" s="342"/>
      <c r="CJ12" s="342"/>
      <c r="CK12" s="342"/>
      <c r="CL12" s="342"/>
      <c r="CM12" s="342"/>
      <c r="CN12" s="342"/>
      <c r="CO12" s="342"/>
      <c r="CP12" s="342"/>
      <c r="CQ12" s="342"/>
      <c r="CR12" s="342"/>
      <c r="CS12" s="342"/>
      <c r="CT12" s="342"/>
      <c r="CU12" s="342"/>
      <c r="CV12" s="342"/>
      <c r="CW12" s="342"/>
      <c r="CX12" s="342"/>
      <c r="CY12" s="342"/>
      <c r="CZ12" s="342"/>
      <c r="DA12" s="342"/>
      <c r="DB12" s="342"/>
      <c r="DC12" s="342"/>
      <c r="DD12" s="342"/>
      <c r="DE12" s="342"/>
      <c r="DF12" s="342"/>
      <c r="DG12" s="342"/>
      <c r="DH12" s="342"/>
      <c r="DI12" s="342"/>
      <c r="DJ12" s="342"/>
      <c r="DK12" s="342"/>
      <c r="DL12" s="342"/>
      <c r="DM12" s="342"/>
      <c r="DN12" s="342"/>
      <c r="DO12" s="342"/>
      <c r="DP12" s="342"/>
      <c r="DQ12" s="342"/>
      <c r="DR12" s="342"/>
      <c r="DS12" s="342"/>
      <c r="DT12" s="342"/>
      <c r="DU12" s="342"/>
      <c r="DV12" s="342"/>
      <c r="DW12" s="342"/>
      <c r="DX12" s="342"/>
      <c r="DY12" s="342"/>
      <c r="DZ12" s="342"/>
      <c r="EA12" s="342"/>
      <c r="EB12" s="342"/>
      <c r="EC12" s="342"/>
      <c r="ED12" s="342"/>
      <c r="EE12" s="342"/>
      <c r="EF12" s="342"/>
      <c r="EG12" s="342"/>
      <c r="EH12" s="342"/>
      <c r="EI12" s="342"/>
      <c r="EJ12" s="342"/>
      <c r="EK12" s="342"/>
      <c r="EL12" s="342"/>
      <c r="EM12" s="342"/>
      <c r="EN12" s="342"/>
      <c r="EO12" s="342"/>
      <c r="EP12" s="342"/>
      <c r="EQ12" s="342"/>
      <c r="ER12" s="342"/>
      <c r="ES12" s="342"/>
      <c r="ET12" s="342"/>
      <c r="EU12" s="342"/>
      <c r="EV12" s="342"/>
      <c r="EW12" s="342"/>
      <c r="EX12" s="342"/>
      <c r="EY12" s="342"/>
      <c r="EZ12" s="342"/>
      <c r="FA12" s="342"/>
      <c r="FB12" s="342"/>
      <c r="FC12" s="342"/>
      <c r="FD12" s="342"/>
      <c r="FE12" s="342"/>
      <c r="FF12" s="342"/>
      <c r="FG12" s="342"/>
      <c r="FH12" s="342"/>
      <c r="FI12" s="342"/>
      <c r="FJ12" s="342"/>
      <c r="FK12" s="342"/>
      <c r="FL12" s="342"/>
      <c r="FM12" s="342"/>
      <c r="FN12" s="342"/>
      <c r="FO12" s="342"/>
      <c r="FP12" s="342"/>
      <c r="FQ12" s="342"/>
      <c r="FR12" s="342"/>
      <c r="FS12" s="342"/>
      <c r="FT12" s="342"/>
      <c r="FU12" s="342"/>
      <c r="FV12" s="342"/>
      <c r="FW12" s="342"/>
      <c r="FX12" s="342"/>
      <c r="FY12" s="342"/>
      <c r="FZ12" s="342"/>
      <c r="GA12" s="342"/>
      <c r="GB12" s="342"/>
      <c r="GC12" s="342"/>
      <c r="GD12" s="342"/>
      <c r="GE12" s="342"/>
      <c r="GF12" s="342"/>
      <c r="GG12" s="342"/>
      <c r="GH12" s="342"/>
      <c r="GI12" s="342"/>
      <c r="GJ12" s="342"/>
      <c r="GK12" s="342"/>
      <c r="GL12" s="342"/>
      <c r="GM12" s="342"/>
      <c r="GN12" s="342"/>
      <c r="GO12" s="342"/>
      <c r="GP12" s="342"/>
      <c r="GQ12" s="342"/>
      <c r="GR12" s="342"/>
      <c r="GS12" s="342"/>
      <c r="GT12" s="342"/>
      <c r="GU12" s="342"/>
      <c r="GV12" s="342"/>
      <c r="GW12" s="342"/>
      <c r="GX12" s="342"/>
      <c r="GY12" s="342"/>
      <c r="GZ12" s="342"/>
      <c r="HA12" s="342"/>
      <c r="HB12" s="342"/>
      <c r="HC12" s="342"/>
      <c r="HD12" s="342"/>
      <c r="HE12" s="342"/>
      <c r="HF12" s="342"/>
      <c r="HG12" s="342"/>
      <c r="HH12" s="342"/>
      <c r="HI12" s="342"/>
      <c r="HJ12" s="342"/>
      <c r="HK12" s="342"/>
      <c r="HL12" s="342"/>
      <c r="HM12" s="342"/>
      <c r="HN12" s="342"/>
      <c r="HO12" s="342"/>
      <c r="HP12" s="342"/>
      <c r="HQ12" s="342"/>
      <c r="HR12" s="342"/>
      <c r="HS12" s="342"/>
      <c r="HT12" s="342"/>
      <c r="HU12" s="342"/>
      <c r="HV12" s="342"/>
      <c r="HW12" s="342"/>
      <c r="HX12" s="342"/>
      <c r="HY12" s="342"/>
      <c r="HZ12" s="342"/>
      <c r="IA12" s="342"/>
      <c r="IB12" s="342"/>
      <c r="IC12" s="342"/>
      <c r="ID12" s="342"/>
      <c r="IE12" s="342"/>
      <c r="IF12" s="342"/>
      <c r="IG12" s="342"/>
      <c r="IH12" s="342"/>
      <c r="II12" s="342"/>
      <c r="IJ12" s="342"/>
      <c r="IK12" s="342"/>
      <c r="IL12" s="342"/>
      <c r="IM12" s="342"/>
      <c r="IN12" s="342"/>
      <c r="IO12" s="342"/>
      <c r="IP12" s="342"/>
      <c r="IQ12" s="342"/>
      <c r="IR12" s="342"/>
      <c r="IS12" s="342"/>
      <c r="IT12" s="342"/>
      <c r="IU12" s="342"/>
      <c r="IV12" s="342"/>
      <c r="IW12" s="342"/>
      <c r="IX12" s="342"/>
      <c r="IY12" s="342"/>
      <c r="IZ12" s="342"/>
      <c r="JA12" s="342"/>
      <c r="JB12" s="342"/>
      <c r="JC12" s="342"/>
      <c r="JD12" s="342"/>
      <c r="JE12" s="342"/>
      <c r="JF12" s="342"/>
      <c r="JG12" s="342"/>
      <c r="JH12" s="342"/>
      <c r="JI12" s="342"/>
      <c r="JJ12" s="342"/>
      <c r="JK12" s="342"/>
      <c r="JL12" s="342"/>
      <c r="JM12" s="342"/>
      <c r="JN12" s="342"/>
      <c r="JO12" s="342"/>
      <c r="JP12" s="342"/>
      <c r="JQ12" s="342"/>
      <c r="JR12" s="342"/>
      <c r="JS12" s="342"/>
      <c r="JT12" s="342"/>
      <c r="JU12" s="342"/>
      <c r="JV12" s="342"/>
      <c r="JW12" s="342"/>
      <c r="JX12" s="342"/>
      <c r="JY12" s="342"/>
      <c r="JZ12" s="342"/>
      <c r="KA12" s="342"/>
      <c r="KB12" s="342"/>
      <c r="KC12" s="342"/>
      <c r="KD12" s="342"/>
      <c r="KE12" s="342"/>
      <c r="KF12" s="342"/>
      <c r="KG12" s="342"/>
      <c r="KH12" s="342"/>
      <c r="KI12" s="342"/>
      <c r="KJ12" s="342"/>
      <c r="KK12" s="342"/>
      <c r="KL12" s="342"/>
      <c r="KM12" s="342"/>
      <c r="KN12" s="342"/>
      <c r="KO12" s="342"/>
      <c r="KP12" s="342"/>
      <c r="KQ12" s="342"/>
      <c r="KR12" s="342"/>
      <c r="KS12" s="342"/>
      <c r="KT12" s="342"/>
      <c r="KU12" s="342"/>
      <c r="KV12" s="342"/>
      <c r="KW12" s="342"/>
      <c r="KX12" s="342"/>
      <c r="KY12" s="342"/>
      <c r="KZ12" s="342"/>
      <c r="LA12" s="342"/>
      <c r="LB12" s="342"/>
      <c r="LC12" s="342"/>
      <c r="LD12" s="342"/>
      <c r="LE12" s="342"/>
      <c r="LF12" s="342"/>
      <c r="LG12" s="342"/>
      <c r="LH12" s="342"/>
      <c r="LI12" s="342"/>
      <c r="LJ12" s="342"/>
      <c r="LK12" s="342"/>
      <c r="LL12" s="342"/>
      <c r="LM12" s="342"/>
      <c r="LN12" s="342"/>
      <c r="LO12" s="342"/>
      <c r="LP12" s="342"/>
      <c r="LQ12" s="342"/>
      <c r="LR12" s="342"/>
      <c r="LS12" s="342"/>
      <c r="LT12" s="342"/>
      <c r="LU12" s="342"/>
      <c r="LV12" s="342"/>
      <c r="LW12" s="342"/>
      <c r="LX12" s="342"/>
      <c r="LY12" s="342"/>
      <c r="LZ12" s="342"/>
      <c r="MA12" s="342"/>
      <c r="MB12" s="342"/>
      <c r="MC12" s="342"/>
      <c r="MD12" s="343"/>
      <c r="ME12" s="174"/>
      <c r="MF12" s="172"/>
    </row>
    <row r="13" spans="4:368" s="167" customFormat="1" ht="6.75" customHeight="1" x14ac:dyDescent="0.3">
      <c r="D13" s="168"/>
      <c r="E13" s="173"/>
      <c r="F13" s="341" t="s">
        <v>164</v>
      </c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342"/>
      <c r="AO13" s="342"/>
      <c r="AP13" s="342"/>
      <c r="AQ13" s="342"/>
      <c r="AR13" s="342"/>
      <c r="AS13" s="342"/>
      <c r="AT13" s="342"/>
      <c r="AU13" s="342"/>
      <c r="AV13" s="342"/>
      <c r="AW13" s="342"/>
      <c r="AX13" s="342"/>
      <c r="AY13" s="342"/>
      <c r="AZ13" s="342"/>
      <c r="BA13" s="342"/>
      <c r="BB13" s="342"/>
      <c r="BC13" s="342"/>
      <c r="BD13" s="342"/>
      <c r="BE13" s="342"/>
      <c r="BF13" s="342"/>
      <c r="BG13" s="342"/>
      <c r="BH13" s="342"/>
      <c r="BI13" s="342"/>
      <c r="BJ13" s="342"/>
      <c r="BK13" s="342"/>
      <c r="BL13" s="342"/>
      <c r="BM13" s="342"/>
      <c r="BN13" s="342"/>
      <c r="BO13" s="342"/>
      <c r="BP13" s="342"/>
      <c r="BQ13" s="342"/>
      <c r="BR13" s="342"/>
      <c r="BS13" s="342"/>
      <c r="BT13" s="342"/>
      <c r="BU13" s="342"/>
      <c r="BV13" s="342"/>
      <c r="BW13" s="342"/>
      <c r="BX13" s="342"/>
      <c r="BY13" s="342"/>
      <c r="BZ13" s="342"/>
      <c r="CA13" s="342"/>
      <c r="CB13" s="342"/>
      <c r="CC13" s="342"/>
      <c r="CD13" s="342"/>
      <c r="CE13" s="342"/>
      <c r="CF13" s="342"/>
      <c r="CG13" s="342"/>
      <c r="CH13" s="342"/>
      <c r="CI13" s="342"/>
      <c r="CJ13" s="342"/>
      <c r="CK13" s="342"/>
      <c r="CL13" s="342"/>
      <c r="CM13" s="342"/>
      <c r="CN13" s="342"/>
      <c r="CO13" s="342"/>
      <c r="CP13" s="342"/>
      <c r="CQ13" s="342"/>
      <c r="CR13" s="342"/>
      <c r="CS13" s="342"/>
      <c r="CT13" s="342"/>
      <c r="CU13" s="342"/>
      <c r="CV13" s="342"/>
      <c r="CW13" s="342"/>
      <c r="CX13" s="342"/>
      <c r="CY13" s="342"/>
      <c r="CZ13" s="342"/>
      <c r="DA13" s="342"/>
      <c r="DB13" s="342"/>
      <c r="DC13" s="342"/>
      <c r="DD13" s="342"/>
      <c r="DE13" s="342"/>
      <c r="DF13" s="342"/>
      <c r="DG13" s="342"/>
      <c r="DH13" s="342"/>
      <c r="DI13" s="342"/>
      <c r="DJ13" s="342"/>
      <c r="DK13" s="342"/>
      <c r="DL13" s="342"/>
      <c r="DM13" s="342"/>
      <c r="DN13" s="342"/>
      <c r="DO13" s="342"/>
      <c r="DP13" s="342"/>
      <c r="DQ13" s="342"/>
      <c r="DR13" s="342"/>
      <c r="DS13" s="342"/>
      <c r="DT13" s="342"/>
      <c r="DU13" s="342"/>
      <c r="DV13" s="342"/>
      <c r="DW13" s="342"/>
      <c r="DX13" s="342"/>
      <c r="DY13" s="342"/>
      <c r="DZ13" s="342"/>
      <c r="EA13" s="342"/>
      <c r="EB13" s="342"/>
      <c r="EC13" s="342"/>
      <c r="ED13" s="342"/>
      <c r="EE13" s="342"/>
      <c r="EF13" s="342"/>
      <c r="EG13" s="342"/>
      <c r="EH13" s="342"/>
      <c r="EI13" s="342"/>
      <c r="EJ13" s="342"/>
      <c r="EK13" s="342"/>
      <c r="EL13" s="342"/>
      <c r="EM13" s="342"/>
      <c r="EN13" s="342"/>
      <c r="EO13" s="342"/>
      <c r="EP13" s="342"/>
      <c r="EQ13" s="342"/>
      <c r="ER13" s="342"/>
      <c r="ES13" s="342"/>
      <c r="ET13" s="342"/>
      <c r="EU13" s="342"/>
      <c r="EV13" s="342"/>
      <c r="EW13" s="342"/>
      <c r="EX13" s="342"/>
      <c r="EY13" s="342"/>
      <c r="EZ13" s="342"/>
      <c r="FA13" s="342"/>
      <c r="FB13" s="342"/>
      <c r="FC13" s="342"/>
      <c r="FD13" s="342"/>
      <c r="FE13" s="342"/>
      <c r="FF13" s="342"/>
      <c r="FG13" s="342"/>
      <c r="FH13" s="342"/>
      <c r="FI13" s="342"/>
      <c r="FJ13" s="342"/>
      <c r="FK13" s="342"/>
      <c r="FL13" s="342"/>
      <c r="FM13" s="342"/>
      <c r="FN13" s="342"/>
      <c r="FO13" s="342"/>
      <c r="FP13" s="342"/>
      <c r="FQ13" s="342"/>
      <c r="FR13" s="342"/>
      <c r="FS13" s="342"/>
      <c r="FT13" s="342"/>
      <c r="FU13" s="342"/>
      <c r="FV13" s="342"/>
      <c r="FW13" s="342"/>
      <c r="FX13" s="342"/>
      <c r="FY13" s="342"/>
      <c r="FZ13" s="342"/>
      <c r="GA13" s="342"/>
      <c r="GB13" s="342"/>
      <c r="GC13" s="342"/>
      <c r="GD13" s="342"/>
      <c r="GE13" s="342"/>
      <c r="GF13" s="342"/>
      <c r="GG13" s="342"/>
      <c r="GH13" s="342"/>
      <c r="GI13" s="342"/>
      <c r="GJ13" s="342"/>
      <c r="GK13" s="342"/>
      <c r="GL13" s="342"/>
      <c r="GM13" s="342"/>
      <c r="GN13" s="342"/>
      <c r="GO13" s="342"/>
      <c r="GP13" s="342"/>
      <c r="GQ13" s="342"/>
      <c r="GR13" s="342"/>
      <c r="GS13" s="342"/>
      <c r="GT13" s="342"/>
      <c r="GU13" s="342"/>
      <c r="GV13" s="342"/>
      <c r="GW13" s="342"/>
      <c r="GX13" s="342"/>
      <c r="GY13" s="342"/>
      <c r="GZ13" s="342"/>
      <c r="HA13" s="342"/>
      <c r="HB13" s="342"/>
      <c r="HC13" s="342"/>
      <c r="HD13" s="342"/>
      <c r="HE13" s="342"/>
      <c r="HF13" s="342"/>
      <c r="HG13" s="342"/>
      <c r="HH13" s="342"/>
      <c r="HI13" s="342"/>
      <c r="HJ13" s="342"/>
      <c r="HK13" s="342"/>
      <c r="HL13" s="342"/>
      <c r="HM13" s="342"/>
      <c r="HN13" s="342"/>
      <c r="HO13" s="342"/>
      <c r="HP13" s="342"/>
      <c r="HQ13" s="342"/>
      <c r="HR13" s="342"/>
      <c r="HS13" s="342"/>
      <c r="HT13" s="342"/>
      <c r="HU13" s="342"/>
      <c r="HV13" s="342"/>
      <c r="HW13" s="342"/>
      <c r="HX13" s="342"/>
      <c r="HY13" s="342"/>
      <c r="HZ13" s="342"/>
      <c r="IA13" s="342"/>
      <c r="IB13" s="342"/>
      <c r="IC13" s="342"/>
      <c r="ID13" s="342"/>
      <c r="IE13" s="342"/>
      <c r="IF13" s="342"/>
      <c r="IG13" s="342"/>
      <c r="IH13" s="342"/>
      <c r="II13" s="342"/>
      <c r="IJ13" s="342"/>
      <c r="IK13" s="342"/>
      <c r="IL13" s="342"/>
      <c r="IM13" s="342"/>
      <c r="IN13" s="342"/>
      <c r="IO13" s="342"/>
      <c r="IP13" s="342"/>
      <c r="IQ13" s="342"/>
      <c r="IR13" s="342"/>
      <c r="IS13" s="342"/>
      <c r="IT13" s="342"/>
      <c r="IU13" s="342"/>
      <c r="IV13" s="342"/>
      <c r="IW13" s="342"/>
      <c r="IX13" s="342"/>
      <c r="IY13" s="342"/>
      <c r="IZ13" s="342"/>
      <c r="JA13" s="342"/>
      <c r="JB13" s="342"/>
      <c r="JC13" s="342"/>
      <c r="JD13" s="342"/>
      <c r="JE13" s="342"/>
      <c r="JF13" s="342"/>
      <c r="JG13" s="342"/>
      <c r="JH13" s="342"/>
      <c r="JI13" s="342"/>
      <c r="JJ13" s="342"/>
      <c r="JK13" s="342"/>
      <c r="JL13" s="342"/>
      <c r="JM13" s="342"/>
      <c r="JN13" s="342"/>
      <c r="JO13" s="342"/>
      <c r="JP13" s="342"/>
      <c r="JQ13" s="342"/>
      <c r="JR13" s="342"/>
      <c r="JS13" s="342"/>
      <c r="JT13" s="342"/>
      <c r="JU13" s="342"/>
      <c r="JV13" s="342"/>
      <c r="JW13" s="342"/>
      <c r="JX13" s="342"/>
      <c r="JY13" s="342"/>
      <c r="JZ13" s="342"/>
      <c r="KA13" s="342"/>
      <c r="KB13" s="342"/>
      <c r="KC13" s="342"/>
      <c r="KD13" s="342"/>
      <c r="KE13" s="342"/>
      <c r="KF13" s="342"/>
      <c r="KG13" s="342"/>
      <c r="KH13" s="342"/>
      <c r="KI13" s="342"/>
      <c r="KJ13" s="342"/>
      <c r="KK13" s="342"/>
      <c r="KL13" s="342"/>
      <c r="KM13" s="342"/>
      <c r="KN13" s="342"/>
      <c r="KO13" s="342"/>
      <c r="KP13" s="342"/>
      <c r="KQ13" s="342"/>
      <c r="KR13" s="342"/>
      <c r="KS13" s="342"/>
      <c r="KT13" s="342"/>
      <c r="KU13" s="342"/>
      <c r="KV13" s="342"/>
      <c r="KW13" s="342"/>
      <c r="KX13" s="342"/>
      <c r="KY13" s="342"/>
      <c r="KZ13" s="342"/>
      <c r="LA13" s="342"/>
      <c r="LB13" s="342"/>
      <c r="LC13" s="342"/>
      <c r="LD13" s="342"/>
      <c r="LE13" s="342"/>
      <c r="LF13" s="342"/>
      <c r="LG13" s="342"/>
      <c r="LH13" s="342"/>
      <c r="LI13" s="342"/>
      <c r="LJ13" s="342"/>
      <c r="LK13" s="342"/>
      <c r="LL13" s="342"/>
      <c r="LM13" s="342"/>
      <c r="LN13" s="342"/>
      <c r="LO13" s="342"/>
      <c r="LP13" s="342"/>
      <c r="LQ13" s="342"/>
      <c r="LR13" s="342"/>
      <c r="LS13" s="342"/>
      <c r="LT13" s="342"/>
      <c r="LU13" s="342"/>
      <c r="LV13" s="342"/>
      <c r="LW13" s="342"/>
      <c r="LX13" s="342"/>
      <c r="LY13" s="342"/>
      <c r="LZ13" s="342"/>
      <c r="MA13" s="342"/>
      <c r="MB13" s="342"/>
      <c r="MC13" s="342"/>
      <c r="MD13" s="343"/>
      <c r="ME13" s="174"/>
      <c r="MF13" s="172"/>
    </row>
    <row r="14" spans="4:368" s="167" customFormat="1" ht="6.75" customHeight="1" x14ac:dyDescent="0.3">
      <c r="D14" s="168"/>
      <c r="E14" s="173"/>
      <c r="F14" s="341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342"/>
      <c r="AV14" s="342"/>
      <c r="AW14" s="342"/>
      <c r="AX14" s="342"/>
      <c r="AY14" s="342"/>
      <c r="AZ14" s="342"/>
      <c r="BA14" s="342"/>
      <c r="BB14" s="342"/>
      <c r="BC14" s="342"/>
      <c r="BD14" s="342"/>
      <c r="BE14" s="342"/>
      <c r="BF14" s="342"/>
      <c r="BG14" s="342"/>
      <c r="BH14" s="342"/>
      <c r="BI14" s="342"/>
      <c r="BJ14" s="342"/>
      <c r="BK14" s="342"/>
      <c r="BL14" s="342"/>
      <c r="BM14" s="342"/>
      <c r="BN14" s="342"/>
      <c r="BO14" s="342"/>
      <c r="BP14" s="342"/>
      <c r="BQ14" s="342"/>
      <c r="BR14" s="342"/>
      <c r="BS14" s="342"/>
      <c r="BT14" s="342"/>
      <c r="BU14" s="342"/>
      <c r="BV14" s="342"/>
      <c r="BW14" s="342"/>
      <c r="BX14" s="342"/>
      <c r="BY14" s="342"/>
      <c r="BZ14" s="342"/>
      <c r="CA14" s="342"/>
      <c r="CB14" s="342"/>
      <c r="CC14" s="342"/>
      <c r="CD14" s="342"/>
      <c r="CE14" s="342"/>
      <c r="CF14" s="342"/>
      <c r="CG14" s="342"/>
      <c r="CH14" s="342"/>
      <c r="CI14" s="342"/>
      <c r="CJ14" s="342"/>
      <c r="CK14" s="342"/>
      <c r="CL14" s="342"/>
      <c r="CM14" s="342"/>
      <c r="CN14" s="342"/>
      <c r="CO14" s="342"/>
      <c r="CP14" s="342"/>
      <c r="CQ14" s="342"/>
      <c r="CR14" s="342"/>
      <c r="CS14" s="342"/>
      <c r="CT14" s="342"/>
      <c r="CU14" s="342"/>
      <c r="CV14" s="342"/>
      <c r="CW14" s="342"/>
      <c r="CX14" s="342"/>
      <c r="CY14" s="342"/>
      <c r="CZ14" s="342"/>
      <c r="DA14" s="342"/>
      <c r="DB14" s="342"/>
      <c r="DC14" s="342"/>
      <c r="DD14" s="342"/>
      <c r="DE14" s="342"/>
      <c r="DF14" s="342"/>
      <c r="DG14" s="342"/>
      <c r="DH14" s="342"/>
      <c r="DI14" s="342"/>
      <c r="DJ14" s="342"/>
      <c r="DK14" s="342"/>
      <c r="DL14" s="342"/>
      <c r="DM14" s="342"/>
      <c r="DN14" s="342"/>
      <c r="DO14" s="342"/>
      <c r="DP14" s="342"/>
      <c r="DQ14" s="342"/>
      <c r="DR14" s="342"/>
      <c r="DS14" s="342"/>
      <c r="DT14" s="342"/>
      <c r="DU14" s="342"/>
      <c r="DV14" s="342"/>
      <c r="DW14" s="342"/>
      <c r="DX14" s="342"/>
      <c r="DY14" s="342"/>
      <c r="DZ14" s="342"/>
      <c r="EA14" s="342"/>
      <c r="EB14" s="342"/>
      <c r="EC14" s="342"/>
      <c r="ED14" s="342"/>
      <c r="EE14" s="342"/>
      <c r="EF14" s="342"/>
      <c r="EG14" s="342"/>
      <c r="EH14" s="342"/>
      <c r="EI14" s="342"/>
      <c r="EJ14" s="342"/>
      <c r="EK14" s="342"/>
      <c r="EL14" s="342"/>
      <c r="EM14" s="342"/>
      <c r="EN14" s="342"/>
      <c r="EO14" s="342"/>
      <c r="EP14" s="342"/>
      <c r="EQ14" s="342"/>
      <c r="ER14" s="342"/>
      <c r="ES14" s="342"/>
      <c r="ET14" s="342"/>
      <c r="EU14" s="342"/>
      <c r="EV14" s="342"/>
      <c r="EW14" s="342"/>
      <c r="EX14" s="342"/>
      <c r="EY14" s="342"/>
      <c r="EZ14" s="342"/>
      <c r="FA14" s="342"/>
      <c r="FB14" s="342"/>
      <c r="FC14" s="342"/>
      <c r="FD14" s="342"/>
      <c r="FE14" s="342"/>
      <c r="FF14" s="342"/>
      <c r="FG14" s="342"/>
      <c r="FH14" s="342"/>
      <c r="FI14" s="342"/>
      <c r="FJ14" s="342"/>
      <c r="FK14" s="342"/>
      <c r="FL14" s="342"/>
      <c r="FM14" s="342"/>
      <c r="FN14" s="342"/>
      <c r="FO14" s="342"/>
      <c r="FP14" s="342"/>
      <c r="FQ14" s="342"/>
      <c r="FR14" s="342"/>
      <c r="FS14" s="342"/>
      <c r="FT14" s="342"/>
      <c r="FU14" s="342"/>
      <c r="FV14" s="342"/>
      <c r="FW14" s="342"/>
      <c r="FX14" s="342"/>
      <c r="FY14" s="342"/>
      <c r="FZ14" s="342"/>
      <c r="GA14" s="342"/>
      <c r="GB14" s="342"/>
      <c r="GC14" s="342"/>
      <c r="GD14" s="342"/>
      <c r="GE14" s="342"/>
      <c r="GF14" s="342"/>
      <c r="GG14" s="342"/>
      <c r="GH14" s="342"/>
      <c r="GI14" s="342"/>
      <c r="GJ14" s="342"/>
      <c r="GK14" s="342"/>
      <c r="GL14" s="342"/>
      <c r="GM14" s="342"/>
      <c r="GN14" s="342"/>
      <c r="GO14" s="342"/>
      <c r="GP14" s="342"/>
      <c r="GQ14" s="342"/>
      <c r="GR14" s="342"/>
      <c r="GS14" s="342"/>
      <c r="GT14" s="342"/>
      <c r="GU14" s="342"/>
      <c r="GV14" s="342"/>
      <c r="GW14" s="342"/>
      <c r="GX14" s="342"/>
      <c r="GY14" s="342"/>
      <c r="GZ14" s="342"/>
      <c r="HA14" s="342"/>
      <c r="HB14" s="342"/>
      <c r="HC14" s="342"/>
      <c r="HD14" s="342"/>
      <c r="HE14" s="342"/>
      <c r="HF14" s="342"/>
      <c r="HG14" s="342"/>
      <c r="HH14" s="342"/>
      <c r="HI14" s="342"/>
      <c r="HJ14" s="342"/>
      <c r="HK14" s="342"/>
      <c r="HL14" s="342"/>
      <c r="HM14" s="342"/>
      <c r="HN14" s="342"/>
      <c r="HO14" s="342"/>
      <c r="HP14" s="342"/>
      <c r="HQ14" s="342"/>
      <c r="HR14" s="342"/>
      <c r="HS14" s="342"/>
      <c r="HT14" s="342"/>
      <c r="HU14" s="342"/>
      <c r="HV14" s="342"/>
      <c r="HW14" s="342"/>
      <c r="HX14" s="342"/>
      <c r="HY14" s="342"/>
      <c r="HZ14" s="342"/>
      <c r="IA14" s="342"/>
      <c r="IB14" s="342"/>
      <c r="IC14" s="342"/>
      <c r="ID14" s="342"/>
      <c r="IE14" s="342"/>
      <c r="IF14" s="342"/>
      <c r="IG14" s="342"/>
      <c r="IH14" s="342"/>
      <c r="II14" s="342"/>
      <c r="IJ14" s="342"/>
      <c r="IK14" s="342"/>
      <c r="IL14" s="342"/>
      <c r="IM14" s="342"/>
      <c r="IN14" s="342"/>
      <c r="IO14" s="342"/>
      <c r="IP14" s="342"/>
      <c r="IQ14" s="342"/>
      <c r="IR14" s="342"/>
      <c r="IS14" s="342"/>
      <c r="IT14" s="342"/>
      <c r="IU14" s="342"/>
      <c r="IV14" s="342"/>
      <c r="IW14" s="342"/>
      <c r="IX14" s="342"/>
      <c r="IY14" s="342"/>
      <c r="IZ14" s="342"/>
      <c r="JA14" s="342"/>
      <c r="JB14" s="342"/>
      <c r="JC14" s="342"/>
      <c r="JD14" s="342"/>
      <c r="JE14" s="342"/>
      <c r="JF14" s="342"/>
      <c r="JG14" s="342"/>
      <c r="JH14" s="342"/>
      <c r="JI14" s="342"/>
      <c r="JJ14" s="342"/>
      <c r="JK14" s="342"/>
      <c r="JL14" s="342"/>
      <c r="JM14" s="342"/>
      <c r="JN14" s="342"/>
      <c r="JO14" s="342"/>
      <c r="JP14" s="342"/>
      <c r="JQ14" s="342"/>
      <c r="JR14" s="342"/>
      <c r="JS14" s="342"/>
      <c r="JT14" s="342"/>
      <c r="JU14" s="342"/>
      <c r="JV14" s="342"/>
      <c r="JW14" s="342"/>
      <c r="JX14" s="342"/>
      <c r="JY14" s="342"/>
      <c r="JZ14" s="342"/>
      <c r="KA14" s="342"/>
      <c r="KB14" s="342"/>
      <c r="KC14" s="342"/>
      <c r="KD14" s="342"/>
      <c r="KE14" s="342"/>
      <c r="KF14" s="342"/>
      <c r="KG14" s="342"/>
      <c r="KH14" s="342"/>
      <c r="KI14" s="342"/>
      <c r="KJ14" s="342"/>
      <c r="KK14" s="342"/>
      <c r="KL14" s="342"/>
      <c r="KM14" s="342"/>
      <c r="KN14" s="342"/>
      <c r="KO14" s="342"/>
      <c r="KP14" s="342"/>
      <c r="KQ14" s="342"/>
      <c r="KR14" s="342"/>
      <c r="KS14" s="342"/>
      <c r="KT14" s="342"/>
      <c r="KU14" s="342"/>
      <c r="KV14" s="342"/>
      <c r="KW14" s="342"/>
      <c r="KX14" s="342"/>
      <c r="KY14" s="342"/>
      <c r="KZ14" s="342"/>
      <c r="LA14" s="342"/>
      <c r="LB14" s="342"/>
      <c r="LC14" s="342"/>
      <c r="LD14" s="342"/>
      <c r="LE14" s="342"/>
      <c r="LF14" s="342"/>
      <c r="LG14" s="342"/>
      <c r="LH14" s="342"/>
      <c r="LI14" s="342"/>
      <c r="LJ14" s="342"/>
      <c r="LK14" s="342"/>
      <c r="LL14" s="342"/>
      <c r="LM14" s="342"/>
      <c r="LN14" s="342"/>
      <c r="LO14" s="342"/>
      <c r="LP14" s="342"/>
      <c r="LQ14" s="342"/>
      <c r="LR14" s="342"/>
      <c r="LS14" s="342"/>
      <c r="LT14" s="342"/>
      <c r="LU14" s="342"/>
      <c r="LV14" s="342"/>
      <c r="LW14" s="342"/>
      <c r="LX14" s="342"/>
      <c r="LY14" s="342"/>
      <c r="LZ14" s="342"/>
      <c r="MA14" s="342"/>
      <c r="MB14" s="342"/>
      <c r="MC14" s="342"/>
      <c r="MD14" s="343"/>
      <c r="ME14" s="174"/>
      <c r="MF14" s="172"/>
    </row>
    <row r="15" spans="4:368" s="167" customFormat="1" ht="6.75" customHeight="1" x14ac:dyDescent="0.3">
      <c r="D15" s="168"/>
      <c r="E15" s="173"/>
      <c r="F15" s="341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  <c r="AM15" s="342"/>
      <c r="AN15" s="342"/>
      <c r="AO15" s="342"/>
      <c r="AP15" s="342"/>
      <c r="AQ15" s="342"/>
      <c r="AR15" s="342"/>
      <c r="AS15" s="342"/>
      <c r="AT15" s="342"/>
      <c r="AU15" s="342"/>
      <c r="AV15" s="342"/>
      <c r="AW15" s="342"/>
      <c r="AX15" s="342"/>
      <c r="AY15" s="342"/>
      <c r="AZ15" s="342"/>
      <c r="BA15" s="342"/>
      <c r="BB15" s="342"/>
      <c r="BC15" s="342"/>
      <c r="BD15" s="342"/>
      <c r="BE15" s="342"/>
      <c r="BF15" s="342"/>
      <c r="BG15" s="342"/>
      <c r="BH15" s="342"/>
      <c r="BI15" s="342"/>
      <c r="BJ15" s="342"/>
      <c r="BK15" s="342"/>
      <c r="BL15" s="342"/>
      <c r="BM15" s="342"/>
      <c r="BN15" s="342"/>
      <c r="BO15" s="342"/>
      <c r="BP15" s="342"/>
      <c r="BQ15" s="342"/>
      <c r="BR15" s="342"/>
      <c r="BS15" s="342"/>
      <c r="BT15" s="342"/>
      <c r="BU15" s="342"/>
      <c r="BV15" s="342"/>
      <c r="BW15" s="342"/>
      <c r="BX15" s="342"/>
      <c r="BY15" s="342"/>
      <c r="BZ15" s="342"/>
      <c r="CA15" s="342"/>
      <c r="CB15" s="342"/>
      <c r="CC15" s="342"/>
      <c r="CD15" s="342"/>
      <c r="CE15" s="342"/>
      <c r="CF15" s="342"/>
      <c r="CG15" s="342"/>
      <c r="CH15" s="342"/>
      <c r="CI15" s="342"/>
      <c r="CJ15" s="342"/>
      <c r="CK15" s="342"/>
      <c r="CL15" s="342"/>
      <c r="CM15" s="342"/>
      <c r="CN15" s="342"/>
      <c r="CO15" s="342"/>
      <c r="CP15" s="342"/>
      <c r="CQ15" s="342"/>
      <c r="CR15" s="342"/>
      <c r="CS15" s="342"/>
      <c r="CT15" s="342"/>
      <c r="CU15" s="342"/>
      <c r="CV15" s="342"/>
      <c r="CW15" s="342"/>
      <c r="CX15" s="342"/>
      <c r="CY15" s="342"/>
      <c r="CZ15" s="342"/>
      <c r="DA15" s="342"/>
      <c r="DB15" s="342"/>
      <c r="DC15" s="342"/>
      <c r="DD15" s="342"/>
      <c r="DE15" s="342"/>
      <c r="DF15" s="342"/>
      <c r="DG15" s="342"/>
      <c r="DH15" s="342"/>
      <c r="DI15" s="342"/>
      <c r="DJ15" s="342"/>
      <c r="DK15" s="342"/>
      <c r="DL15" s="342"/>
      <c r="DM15" s="342"/>
      <c r="DN15" s="342"/>
      <c r="DO15" s="342"/>
      <c r="DP15" s="342"/>
      <c r="DQ15" s="342"/>
      <c r="DR15" s="342"/>
      <c r="DS15" s="342"/>
      <c r="DT15" s="342"/>
      <c r="DU15" s="342"/>
      <c r="DV15" s="342"/>
      <c r="DW15" s="342"/>
      <c r="DX15" s="342"/>
      <c r="DY15" s="342"/>
      <c r="DZ15" s="342"/>
      <c r="EA15" s="342"/>
      <c r="EB15" s="342"/>
      <c r="EC15" s="342"/>
      <c r="ED15" s="342"/>
      <c r="EE15" s="342"/>
      <c r="EF15" s="342"/>
      <c r="EG15" s="342"/>
      <c r="EH15" s="342"/>
      <c r="EI15" s="342"/>
      <c r="EJ15" s="342"/>
      <c r="EK15" s="342"/>
      <c r="EL15" s="342"/>
      <c r="EM15" s="342"/>
      <c r="EN15" s="342"/>
      <c r="EO15" s="342"/>
      <c r="EP15" s="342"/>
      <c r="EQ15" s="342"/>
      <c r="ER15" s="342"/>
      <c r="ES15" s="342"/>
      <c r="ET15" s="342"/>
      <c r="EU15" s="342"/>
      <c r="EV15" s="342"/>
      <c r="EW15" s="342"/>
      <c r="EX15" s="342"/>
      <c r="EY15" s="342"/>
      <c r="EZ15" s="342"/>
      <c r="FA15" s="342"/>
      <c r="FB15" s="342"/>
      <c r="FC15" s="342"/>
      <c r="FD15" s="342"/>
      <c r="FE15" s="342"/>
      <c r="FF15" s="342"/>
      <c r="FG15" s="342"/>
      <c r="FH15" s="342"/>
      <c r="FI15" s="342"/>
      <c r="FJ15" s="342"/>
      <c r="FK15" s="342"/>
      <c r="FL15" s="342"/>
      <c r="FM15" s="342"/>
      <c r="FN15" s="342"/>
      <c r="FO15" s="342"/>
      <c r="FP15" s="342"/>
      <c r="FQ15" s="342"/>
      <c r="FR15" s="342"/>
      <c r="FS15" s="342"/>
      <c r="FT15" s="342"/>
      <c r="FU15" s="342"/>
      <c r="FV15" s="342"/>
      <c r="FW15" s="342"/>
      <c r="FX15" s="342"/>
      <c r="FY15" s="342"/>
      <c r="FZ15" s="342"/>
      <c r="GA15" s="342"/>
      <c r="GB15" s="342"/>
      <c r="GC15" s="342"/>
      <c r="GD15" s="342"/>
      <c r="GE15" s="342"/>
      <c r="GF15" s="342"/>
      <c r="GG15" s="342"/>
      <c r="GH15" s="342"/>
      <c r="GI15" s="342"/>
      <c r="GJ15" s="342"/>
      <c r="GK15" s="342"/>
      <c r="GL15" s="342"/>
      <c r="GM15" s="342"/>
      <c r="GN15" s="342"/>
      <c r="GO15" s="342"/>
      <c r="GP15" s="342"/>
      <c r="GQ15" s="342"/>
      <c r="GR15" s="342"/>
      <c r="GS15" s="342"/>
      <c r="GT15" s="342"/>
      <c r="GU15" s="342"/>
      <c r="GV15" s="342"/>
      <c r="GW15" s="342"/>
      <c r="GX15" s="342"/>
      <c r="GY15" s="342"/>
      <c r="GZ15" s="342"/>
      <c r="HA15" s="342"/>
      <c r="HB15" s="342"/>
      <c r="HC15" s="342"/>
      <c r="HD15" s="342"/>
      <c r="HE15" s="342"/>
      <c r="HF15" s="342"/>
      <c r="HG15" s="342"/>
      <c r="HH15" s="342"/>
      <c r="HI15" s="342"/>
      <c r="HJ15" s="342"/>
      <c r="HK15" s="342"/>
      <c r="HL15" s="342"/>
      <c r="HM15" s="342"/>
      <c r="HN15" s="342"/>
      <c r="HO15" s="342"/>
      <c r="HP15" s="342"/>
      <c r="HQ15" s="342"/>
      <c r="HR15" s="342"/>
      <c r="HS15" s="342"/>
      <c r="HT15" s="342"/>
      <c r="HU15" s="342"/>
      <c r="HV15" s="342"/>
      <c r="HW15" s="342"/>
      <c r="HX15" s="342"/>
      <c r="HY15" s="342"/>
      <c r="HZ15" s="342"/>
      <c r="IA15" s="342"/>
      <c r="IB15" s="342"/>
      <c r="IC15" s="342"/>
      <c r="ID15" s="342"/>
      <c r="IE15" s="342"/>
      <c r="IF15" s="342"/>
      <c r="IG15" s="342"/>
      <c r="IH15" s="342"/>
      <c r="II15" s="342"/>
      <c r="IJ15" s="342"/>
      <c r="IK15" s="342"/>
      <c r="IL15" s="342"/>
      <c r="IM15" s="342"/>
      <c r="IN15" s="342"/>
      <c r="IO15" s="342"/>
      <c r="IP15" s="342"/>
      <c r="IQ15" s="342"/>
      <c r="IR15" s="342"/>
      <c r="IS15" s="342"/>
      <c r="IT15" s="342"/>
      <c r="IU15" s="342"/>
      <c r="IV15" s="342"/>
      <c r="IW15" s="342"/>
      <c r="IX15" s="342"/>
      <c r="IY15" s="342"/>
      <c r="IZ15" s="342"/>
      <c r="JA15" s="342"/>
      <c r="JB15" s="342"/>
      <c r="JC15" s="342"/>
      <c r="JD15" s="342"/>
      <c r="JE15" s="342"/>
      <c r="JF15" s="342"/>
      <c r="JG15" s="342"/>
      <c r="JH15" s="342"/>
      <c r="JI15" s="342"/>
      <c r="JJ15" s="342"/>
      <c r="JK15" s="342"/>
      <c r="JL15" s="342"/>
      <c r="JM15" s="342"/>
      <c r="JN15" s="342"/>
      <c r="JO15" s="342"/>
      <c r="JP15" s="342"/>
      <c r="JQ15" s="342"/>
      <c r="JR15" s="342"/>
      <c r="JS15" s="342"/>
      <c r="JT15" s="342"/>
      <c r="JU15" s="342"/>
      <c r="JV15" s="342"/>
      <c r="JW15" s="342"/>
      <c r="JX15" s="342"/>
      <c r="JY15" s="342"/>
      <c r="JZ15" s="342"/>
      <c r="KA15" s="342"/>
      <c r="KB15" s="342"/>
      <c r="KC15" s="342"/>
      <c r="KD15" s="342"/>
      <c r="KE15" s="342"/>
      <c r="KF15" s="342"/>
      <c r="KG15" s="342"/>
      <c r="KH15" s="342"/>
      <c r="KI15" s="342"/>
      <c r="KJ15" s="342"/>
      <c r="KK15" s="342"/>
      <c r="KL15" s="342"/>
      <c r="KM15" s="342"/>
      <c r="KN15" s="342"/>
      <c r="KO15" s="342"/>
      <c r="KP15" s="342"/>
      <c r="KQ15" s="342"/>
      <c r="KR15" s="342"/>
      <c r="KS15" s="342"/>
      <c r="KT15" s="342"/>
      <c r="KU15" s="342"/>
      <c r="KV15" s="342"/>
      <c r="KW15" s="342"/>
      <c r="KX15" s="342"/>
      <c r="KY15" s="342"/>
      <c r="KZ15" s="342"/>
      <c r="LA15" s="342"/>
      <c r="LB15" s="342"/>
      <c r="LC15" s="342"/>
      <c r="LD15" s="342"/>
      <c r="LE15" s="342"/>
      <c r="LF15" s="342"/>
      <c r="LG15" s="342"/>
      <c r="LH15" s="342"/>
      <c r="LI15" s="342"/>
      <c r="LJ15" s="342"/>
      <c r="LK15" s="342"/>
      <c r="LL15" s="342"/>
      <c r="LM15" s="342"/>
      <c r="LN15" s="342"/>
      <c r="LO15" s="342"/>
      <c r="LP15" s="342"/>
      <c r="LQ15" s="342"/>
      <c r="LR15" s="342"/>
      <c r="LS15" s="342"/>
      <c r="LT15" s="342"/>
      <c r="LU15" s="342"/>
      <c r="LV15" s="342"/>
      <c r="LW15" s="342"/>
      <c r="LX15" s="342"/>
      <c r="LY15" s="342"/>
      <c r="LZ15" s="342"/>
      <c r="MA15" s="342"/>
      <c r="MB15" s="342"/>
      <c r="MC15" s="342"/>
      <c r="MD15" s="343"/>
      <c r="ME15" s="174"/>
      <c r="MF15" s="172"/>
    </row>
    <row r="16" spans="4:368" s="167" customFormat="1" ht="6.75" customHeight="1" thickBot="1" x14ac:dyDescent="0.35">
      <c r="D16" s="168"/>
      <c r="E16" s="173"/>
      <c r="F16" s="344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5"/>
      <c r="AH16" s="345"/>
      <c r="AI16" s="345"/>
      <c r="AJ16" s="345"/>
      <c r="AK16" s="345"/>
      <c r="AL16" s="345"/>
      <c r="AM16" s="345"/>
      <c r="AN16" s="345"/>
      <c r="AO16" s="345"/>
      <c r="AP16" s="345"/>
      <c r="AQ16" s="345"/>
      <c r="AR16" s="345"/>
      <c r="AS16" s="345"/>
      <c r="AT16" s="345"/>
      <c r="AU16" s="345"/>
      <c r="AV16" s="345"/>
      <c r="AW16" s="345"/>
      <c r="AX16" s="345"/>
      <c r="AY16" s="345"/>
      <c r="AZ16" s="345"/>
      <c r="BA16" s="345"/>
      <c r="BB16" s="345"/>
      <c r="BC16" s="345"/>
      <c r="BD16" s="345"/>
      <c r="BE16" s="345"/>
      <c r="BF16" s="345"/>
      <c r="BG16" s="345"/>
      <c r="BH16" s="345"/>
      <c r="BI16" s="345"/>
      <c r="BJ16" s="345"/>
      <c r="BK16" s="345"/>
      <c r="BL16" s="345"/>
      <c r="BM16" s="345"/>
      <c r="BN16" s="345"/>
      <c r="BO16" s="345"/>
      <c r="BP16" s="345"/>
      <c r="BQ16" s="345"/>
      <c r="BR16" s="345"/>
      <c r="BS16" s="345"/>
      <c r="BT16" s="345"/>
      <c r="BU16" s="345"/>
      <c r="BV16" s="345"/>
      <c r="BW16" s="345"/>
      <c r="BX16" s="345"/>
      <c r="BY16" s="345"/>
      <c r="BZ16" s="345"/>
      <c r="CA16" s="345"/>
      <c r="CB16" s="345"/>
      <c r="CC16" s="345"/>
      <c r="CD16" s="345"/>
      <c r="CE16" s="345"/>
      <c r="CF16" s="345"/>
      <c r="CG16" s="345"/>
      <c r="CH16" s="345"/>
      <c r="CI16" s="345"/>
      <c r="CJ16" s="345"/>
      <c r="CK16" s="345"/>
      <c r="CL16" s="345"/>
      <c r="CM16" s="345"/>
      <c r="CN16" s="345"/>
      <c r="CO16" s="345"/>
      <c r="CP16" s="345"/>
      <c r="CQ16" s="345"/>
      <c r="CR16" s="345"/>
      <c r="CS16" s="345"/>
      <c r="CT16" s="345"/>
      <c r="CU16" s="345"/>
      <c r="CV16" s="345"/>
      <c r="CW16" s="345"/>
      <c r="CX16" s="345"/>
      <c r="CY16" s="345"/>
      <c r="CZ16" s="345"/>
      <c r="DA16" s="345"/>
      <c r="DB16" s="345"/>
      <c r="DC16" s="345"/>
      <c r="DD16" s="345"/>
      <c r="DE16" s="345"/>
      <c r="DF16" s="345"/>
      <c r="DG16" s="345"/>
      <c r="DH16" s="345"/>
      <c r="DI16" s="345"/>
      <c r="DJ16" s="345"/>
      <c r="DK16" s="345"/>
      <c r="DL16" s="345"/>
      <c r="DM16" s="345"/>
      <c r="DN16" s="345"/>
      <c r="DO16" s="345"/>
      <c r="DP16" s="345"/>
      <c r="DQ16" s="345"/>
      <c r="DR16" s="345"/>
      <c r="DS16" s="345"/>
      <c r="DT16" s="345"/>
      <c r="DU16" s="345"/>
      <c r="DV16" s="345"/>
      <c r="DW16" s="345"/>
      <c r="DX16" s="345"/>
      <c r="DY16" s="345"/>
      <c r="DZ16" s="345"/>
      <c r="EA16" s="345"/>
      <c r="EB16" s="345"/>
      <c r="EC16" s="345"/>
      <c r="ED16" s="345"/>
      <c r="EE16" s="345"/>
      <c r="EF16" s="345"/>
      <c r="EG16" s="345"/>
      <c r="EH16" s="345"/>
      <c r="EI16" s="345"/>
      <c r="EJ16" s="345"/>
      <c r="EK16" s="345"/>
      <c r="EL16" s="345"/>
      <c r="EM16" s="345"/>
      <c r="EN16" s="345"/>
      <c r="EO16" s="345"/>
      <c r="EP16" s="345"/>
      <c r="EQ16" s="345"/>
      <c r="ER16" s="345"/>
      <c r="ES16" s="345"/>
      <c r="ET16" s="345"/>
      <c r="EU16" s="345"/>
      <c r="EV16" s="345"/>
      <c r="EW16" s="345"/>
      <c r="EX16" s="345"/>
      <c r="EY16" s="345"/>
      <c r="EZ16" s="345"/>
      <c r="FA16" s="345"/>
      <c r="FB16" s="345"/>
      <c r="FC16" s="345"/>
      <c r="FD16" s="345"/>
      <c r="FE16" s="345"/>
      <c r="FF16" s="345"/>
      <c r="FG16" s="345"/>
      <c r="FH16" s="345"/>
      <c r="FI16" s="345"/>
      <c r="FJ16" s="345"/>
      <c r="FK16" s="345"/>
      <c r="FL16" s="345"/>
      <c r="FM16" s="345"/>
      <c r="FN16" s="345"/>
      <c r="FO16" s="345"/>
      <c r="FP16" s="345"/>
      <c r="FQ16" s="345"/>
      <c r="FR16" s="345"/>
      <c r="FS16" s="345"/>
      <c r="FT16" s="345"/>
      <c r="FU16" s="345"/>
      <c r="FV16" s="345"/>
      <c r="FW16" s="345"/>
      <c r="FX16" s="345"/>
      <c r="FY16" s="345"/>
      <c r="FZ16" s="345"/>
      <c r="GA16" s="345"/>
      <c r="GB16" s="345"/>
      <c r="GC16" s="345"/>
      <c r="GD16" s="345"/>
      <c r="GE16" s="345"/>
      <c r="GF16" s="345"/>
      <c r="GG16" s="345"/>
      <c r="GH16" s="345"/>
      <c r="GI16" s="345"/>
      <c r="GJ16" s="345"/>
      <c r="GK16" s="345"/>
      <c r="GL16" s="345"/>
      <c r="GM16" s="345"/>
      <c r="GN16" s="345"/>
      <c r="GO16" s="345"/>
      <c r="GP16" s="345"/>
      <c r="GQ16" s="345"/>
      <c r="GR16" s="345"/>
      <c r="GS16" s="345"/>
      <c r="GT16" s="345"/>
      <c r="GU16" s="345"/>
      <c r="GV16" s="345"/>
      <c r="GW16" s="345"/>
      <c r="GX16" s="345"/>
      <c r="GY16" s="345"/>
      <c r="GZ16" s="345"/>
      <c r="HA16" s="345"/>
      <c r="HB16" s="345"/>
      <c r="HC16" s="345"/>
      <c r="HD16" s="345"/>
      <c r="HE16" s="345"/>
      <c r="HF16" s="345"/>
      <c r="HG16" s="345"/>
      <c r="HH16" s="345"/>
      <c r="HI16" s="345"/>
      <c r="HJ16" s="345"/>
      <c r="HK16" s="345"/>
      <c r="HL16" s="345"/>
      <c r="HM16" s="345"/>
      <c r="HN16" s="345"/>
      <c r="HO16" s="345"/>
      <c r="HP16" s="345"/>
      <c r="HQ16" s="345"/>
      <c r="HR16" s="345"/>
      <c r="HS16" s="345"/>
      <c r="HT16" s="345"/>
      <c r="HU16" s="345"/>
      <c r="HV16" s="345"/>
      <c r="HW16" s="345"/>
      <c r="HX16" s="345"/>
      <c r="HY16" s="345"/>
      <c r="HZ16" s="345"/>
      <c r="IA16" s="345"/>
      <c r="IB16" s="345"/>
      <c r="IC16" s="345"/>
      <c r="ID16" s="345"/>
      <c r="IE16" s="345"/>
      <c r="IF16" s="345"/>
      <c r="IG16" s="345"/>
      <c r="IH16" s="345"/>
      <c r="II16" s="345"/>
      <c r="IJ16" s="345"/>
      <c r="IK16" s="345"/>
      <c r="IL16" s="345"/>
      <c r="IM16" s="345"/>
      <c r="IN16" s="345"/>
      <c r="IO16" s="345"/>
      <c r="IP16" s="345"/>
      <c r="IQ16" s="345"/>
      <c r="IR16" s="345"/>
      <c r="IS16" s="345"/>
      <c r="IT16" s="345"/>
      <c r="IU16" s="345"/>
      <c r="IV16" s="345"/>
      <c r="IW16" s="345"/>
      <c r="IX16" s="345"/>
      <c r="IY16" s="345"/>
      <c r="IZ16" s="345"/>
      <c r="JA16" s="345"/>
      <c r="JB16" s="345"/>
      <c r="JC16" s="345"/>
      <c r="JD16" s="345"/>
      <c r="JE16" s="345"/>
      <c r="JF16" s="345"/>
      <c r="JG16" s="345"/>
      <c r="JH16" s="345"/>
      <c r="JI16" s="345"/>
      <c r="JJ16" s="345"/>
      <c r="JK16" s="345"/>
      <c r="JL16" s="345"/>
      <c r="JM16" s="345"/>
      <c r="JN16" s="345"/>
      <c r="JO16" s="345"/>
      <c r="JP16" s="345"/>
      <c r="JQ16" s="345"/>
      <c r="JR16" s="345"/>
      <c r="JS16" s="345"/>
      <c r="JT16" s="345"/>
      <c r="JU16" s="345"/>
      <c r="JV16" s="345"/>
      <c r="JW16" s="345"/>
      <c r="JX16" s="345"/>
      <c r="JY16" s="345"/>
      <c r="JZ16" s="345"/>
      <c r="KA16" s="345"/>
      <c r="KB16" s="345"/>
      <c r="KC16" s="345"/>
      <c r="KD16" s="345"/>
      <c r="KE16" s="345"/>
      <c r="KF16" s="345"/>
      <c r="KG16" s="345"/>
      <c r="KH16" s="345"/>
      <c r="KI16" s="345"/>
      <c r="KJ16" s="345"/>
      <c r="KK16" s="345"/>
      <c r="KL16" s="345"/>
      <c r="KM16" s="345"/>
      <c r="KN16" s="345"/>
      <c r="KO16" s="345"/>
      <c r="KP16" s="345"/>
      <c r="KQ16" s="345"/>
      <c r="KR16" s="345"/>
      <c r="KS16" s="345"/>
      <c r="KT16" s="345"/>
      <c r="KU16" s="345"/>
      <c r="KV16" s="345"/>
      <c r="KW16" s="345"/>
      <c r="KX16" s="345"/>
      <c r="KY16" s="345"/>
      <c r="KZ16" s="345"/>
      <c r="LA16" s="345"/>
      <c r="LB16" s="345"/>
      <c r="LC16" s="345"/>
      <c r="LD16" s="345"/>
      <c r="LE16" s="345"/>
      <c r="LF16" s="345"/>
      <c r="LG16" s="345"/>
      <c r="LH16" s="345"/>
      <c r="LI16" s="345"/>
      <c r="LJ16" s="345"/>
      <c r="LK16" s="345"/>
      <c r="LL16" s="345"/>
      <c r="LM16" s="345"/>
      <c r="LN16" s="345"/>
      <c r="LO16" s="345"/>
      <c r="LP16" s="345"/>
      <c r="LQ16" s="345"/>
      <c r="LR16" s="345"/>
      <c r="LS16" s="345"/>
      <c r="LT16" s="345"/>
      <c r="LU16" s="345"/>
      <c r="LV16" s="345"/>
      <c r="LW16" s="345"/>
      <c r="LX16" s="345"/>
      <c r="LY16" s="345"/>
      <c r="LZ16" s="345"/>
      <c r="MA16" s="345"/>
      <c r="MB16" s="345"/>
      <c r="MC16" s="345"/>
      <c r="MD16" s="346"/>
      <c r="ME16" s="174"/>
      <c r="MF16" s="172"/>
    </row>
    <row r="17" spans="4:344" ht="5.0999999999999996" customHeight="1" x14ac:dyDescent="0.3">
      <c r="D17" s="177"/>
      <c r="E17" s="178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FT17" s="179"/>
      <c r="FU17" s="179"/>
      <c r="FV17" s="179"/>
      <c r="FW17" s="179"/>
      <c r="FX17" s="179"/>
      <c r="FY17" s="179"/>
      <c r="FZ17" s="179"/>
      <c r="GA17" s="179"/>
      <c r="GB17" s="179"/>
      <c r="GC17" s="179"/>
      <c r="GD17" s="179"/>
      <c r="GE17" s="179"/>
      <c r="GF17" s="179"/>
      <c r="GG17" s="179"/>
      <c r="GH17" s="179"/>
      <c r="GI17" s="179"/>
      <c r="GJ17" s="179"/>
      <c r="GK17" s="179"/>
      <c r="GL17" s="179"/>
      <c r="GM17" s="179"/>
      <c r="GN17" s="179"/>
      <c r="GO17" s="179"/>
      <c r="GP17" s="179"/>
      <c r="GQ17" s="179"/>
      <c r="GR17" s="179"/>
      <c r="GS17" s="179"/>
      <c r="GT17" s="179"/>
      <c r="GU17" s="179"/>
      <c r="GV17" s="179"/>
      <c r="GW17" s="179"/>
      <c r="GX17" s="179"/>
      <c r="GY17" s="179"/>
      <c r="GZ17" s="179"/>
      <c r="HA17" s="179"/>
      <c r="HB17" s="179"/>
      <c r="HC17" s="179"/>
      <c r="HD17" s="179"/>
      <c r="HE17" s="179"/>
      <c r="HF17" s="179"/>
      <c r="HG17" s="179"/>
      <c r="HH17" s="179"/>
      <c r="HI17" s="179"/>
      <c r="HJ17" s="179"/>
      <c r="HK17" s="179"/>
      <c r="HL17" s="179"/>
      <c r="HM17" s="179"/>
      <c r="HN17" s="179"/>
      <c r="HO17" s="179"/>
      <c r="HP17" s="179"/>
      <c r="HQ17" s="179"/>
      <c r="HR17" s="179"/>
      <c r="HS17" s="179"/>
      <c r="HT17" s="179"/>
      <c r="HU17" s="179"/>
      <c r="HV17" s="179"/>
      <c r="HW17" s="179"/>
      <c r="HX17" s="179"/>
      <c r="HY17" s="179"/>
      <c r="HZ17" s="179"/>
      <c r="IA17" s="179"/>
      <c r="IB17" s="179"/>
      <c r="IC17" s="179"/>
      <c r="ID17" s="179"/>
      <c r="IE17" s="179"/>
      <c r="IF17" s="179"/>
      <c r="IG17" s="179"/>
      <c r="IH17" s="179"/>
      <c r="II17" s="179"/>
      <c r="IJ17" s="179"/>
      <c r="IK17" s="179"/>
      <c r="IL17" s="179"/>
      <c r="IM17" s="179"/>
      <c r="IN17" s="179"/>
      <c r="IO17" s="179"/>
      <c r="IP17" s="179"/>
      <c r="IQ17" s="179"/>
      <c r="IR17" s="179"/>
      <c r="IS17" s="179"/>
      <c r="IT17" s="179"/>
      <c r="IU17" s="179"/>
      <c r="IV17" s="179"/>
      <c r="IW17" s="179"/>
      <c r="IX17" s="179"/>
      <c r="IY17" s="179"/>
      <c r="IZ17" s="179"/>
      <c r="JA17" s="179"/>
      <c r="JB17" s="179"/>
      <c r="JC17" s="179"/>
      <c r="JD17" s="179"/>
      <c r="JE17" s="179"/>
      <c r="JF17" s="179"/>
      <c r="JG17" s="179"/>
      <c r="JH17" s="179"/>
      <c r="JI17" s="179"/>
      <c r="JJ17" s="179"/>
      <c r="JK17" s="179"/>
      <c r="JL17" s="179"/>
      <c r="JM17" s="179"/>
      <c r="JN17" s="179"/>
      <c r="JO17" s="179"/>
      <c r="JP17" s="179"/>
      <c r="JQ17" s="179"/>
      <c r="JR17" s="179"/>
      <c r="JS17" s="179"/>
      <c r="JT17" s="179"/>
      <c r="JU17" s="179"/>
      <c r="JV17" s="179"/>
      <c r="JW17" s="179"/>
      <c r="JX17" s="179"/>
      <c r="JY17" s="179"/>
      <c r="JZ17" s="179"/>
      <c r="KA17" s="179"/>
      <c r="KB17" s="179"/>
      <c r="KC17" s="179"/>
      <c r="KD17" s="179"/>
      <c r="KE17" s="179"/>
      <c r="KF17" s="179"/>
      <c r="KG17" s="179"/>
      <c r="KH17" s="179"/>
      <c r="KI17" s="179"/>
      <c r="KJ17" s="179"/>
      <c r="KK17" s="179"/>
      <c r="KL17" s="179"/>
      <c r="KM17" s="179"/>
      <c r="KN17" s="179"/>
      <c r="KO17" s="179"/>
      <c r="KP17" s="179"/>
      <c r="KQ17" s="179"/>
      <c r="KR17" s="179"/>
      <c r="KS17" s="179"/>
      <c r="KT17" s="179"/>
      <c r="KU17" s="179"/>
      <c r="KV17" s="179"/>
      <c r="KW17" s="179"/>
      <c r="KX17" s="179"/>
      <c r="KY17" s="179"/>
      <c r="KZ17" s="179"/>
      <c r="LA17" s="179"/>
      <c r="LB17" s="179"/>
      <c r="LC17" s="179"/>
      <c r="LD17" s="179"/>
      <c r="LE17" s="179"/>
      <c r="LF17" s="179"/>
      <c r="LG17" s="179"/>
      <c r="LH17" s="179"/>
      <c r="LI17" s="179"/>
      <c r="LJ17" s="179"/>
      <c r="LK17" s="179"/>
      <c r="LL17" s="179"/>
      <c r="LM17" s="179"/>
      <c r="LN17" s="179"/>
      <c r="LO17" s="179"/>
      <c r="LP17" s="179"/>
      <c r="LQ17" s="179"/>
      <c r="LR17" s="179"/>
      <c r="LS17" s="179"/>
      <c r="LT17" s="179"/>
      <c r="LU17" s="179"/>
      <c r="LV17" s="179"/>
      <c r="LW17" s="179"/>
      <c r="LX17" s="179"/>
      <c r="LY17" s="179"/>
      <c r="LZ17" s="179"/>
      <c r="MA17" s="179"/>
      <c r="MB17" s="179"/>
      <c r="MC17" s="179"/>
      <c r="MD17" s="179"/>
      <c r="ME17" s="180"/>
      <c r="MF17" s="181"/>
    </row>
    <row r="18" spans="4:344" ht="5.0999999999999996" customHeight="1" x14ac:dyDescent="0.3">
      <c r="D18" s="177"/>
      <c r="E18" s="178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FT18" s="179"/>
      <c r="FU18" s="179"/>
      <c r="FV18" s="179"/>
      <c r="FW18" s="179"/>
      <c r="FX18" s="179"/>
      <c r="FY18" s="179"/>
      <c r="FZ18" s="179"/>
      <c r="GA18" s="179"/>
      <c r="GB18" s="179"/>
      <c r="GC18" s="179"/>
      <c r="GD18" s="179"/>
      <c r="GE18" s="179"/>
      <c r="GF18" s="179"/>
      <c r="GG18" s="179"/>
      <c r="GH18" s="179"/>
      <c r="GI18" s="179"/>
      <c r="GJ18" s="179"/>
      <c r="GK18" s="179"/>
      <c r="GL18" s="179"/>
      <c r="GM18" s="179"/>
      <c r="GN18" s="179"/>
      <c r="GO18" s="179"/>
      <c r="GP18" s="179"/>
      <c r="GQ18" s="179"/>
      <c r="GR18" s="179"/>
      <c r="GS18" s="179"/>
      <c r="GT18" s="179"/>
      <c r="GU18" s="179"/>
      <c r="GV18" s="179"/>
      <c r="GW18" s="179"/>
      <c r="GX18" s="179"/>
      <c r="GY18" s="179"/>
      <c r="GZ18" s="179"/>
      <c r="HA18" s="179"/>
      <c r="HB18" s="179"/>
      <c r="HC18" s="179"/>
      <c r="HD18" s="179"/>
      <c r="HE18" s="179"/>
      <c r="HF18" s="179"/>
      <c r="HG18" s="179"/>
      <c r="HH18" s="179"/>
      <c r="HI18" s="179"/>
      <c r="HJ18" s="179"/>
      <c r="HK18" s="179"/>
      <c r="HL18" s="179"/>
      <c r="HM18" s="179"/>
      <c r="HN18" s="179"/>
      <c r="HO18" s="179"/>
      <c r="HP18" s="179"/>
      <c r="HQ18" s="179"/>
      <c r="HR18" s="179"/>
      <c r="HS18" s="179"/>
      <c r="HT18" s="179"/>
      <c r="HU18" s="179"/>
      <c r="HV18" s="179"/>
      <c r="HW18" s="179"/>
      <c r="HX18" s="179"/>
      <c r="HY18" s="179"/>
      <c r="HZ18" s="179"/>
      <c r="IA18" s="179"/>
      <c r="IB18" s="179"/>
      <c r="IC18" s="179"/>
      <c r="ID18" s="179"/>
      <c r="IE18" s="179"/>
      <c r="IF18" s="179"/>
      <c r="IG18" s="179"/>
      <c r="IH18" s="179"/>
      <c r="II18" s="179"/>
      <c r="IJ18" s="179"/>
      <c r="IK18" s="179"/>
      <c r="IL18" s="179"/>
      <c r="IM18" s="179"/>
      <c r="IN18" s="179"/>
      <c r="IO18" s="179"/>
      <c r="IP18" s="179"/>
      <c r="IQ18" s="179"/>
      <c r="IR18" s="179"/>
      <c r="IS18" s="179"/>
      <c r="IT18" s="179"/>
      <c r="IU18" s="179"/>
      <c r="IV18" s="179"/>
      <c r="IW18" s="179"/>
      <c r="IX18" s="179"/>
      <c r="IY18" s="179"/>
      <c r="IZ18" s="179"/>
      <c r="JA18" s="179"/>
      <c r="JB18" s="179"/>
      <c r="JC18" s="179"/>
      <c r="JD18" s="179"/>
      <c r="JE18" s="179"/>
      <c r="JF18" s="179"/>
      <c r="JG18" s="179"/>
      <c r="JH18" s="179"/>
      <c r="JI18" s="179"/>
      <c r="JJ18" s="179"/>
      <c r="JK18" s="179"/>
      <c r="JL18" s="179"/>
      <c r="JM18" s="179"/>
      <c r="JN18" s="179"/>
      <c r="JO18" s="179"/>
      <c r="JP18" s="179"/>
      <c r="JQ18" s="179"/>
      <c r="JR18" s="179"/>
      <c r="JS18" s="179"/>
      <c r="JT18" s="179"/>
      <c r="JU18" s="179"/>
      <c r="JV18" s="179"/>
      <c r="JW18" s="179"/>
      <c r="JX18" s="179"/>
      <c r="JY18" s="179"/>
      <c r="JZ18" s="179"/>
      <c r="KA18" s="179"/>
      <c r="KB18" s="179"/>
      <c r="KC18" s="179"/>
      <c r="KD18" s="179"/>
      <c r="KE18" s="179"/>
      <c r="KF18" s="179"/>
      <c r="KG18" s="179"/>
      <c r="KH18" s="179"/>
      <c r="KI18" s="179"/>
      <c r="KJ18" s="179"/>
      <c r="KK18" s="179"/>
      <c r="KL18" s="179"/>
      <c r="KM18" s="179"/>
      <c r="KN18" s="179"/>
      <c r="KO18" s="179"/>
      <c r="KP18" s="179"/>
      <c r="KQ18" s="179"/>
      <c r="KR18" s="179"/>
      <c r="KS18" s="179"/>
      <c r="KT18" s="179"/>
      <c r="KU18" s="179"/>
      <c r="KV18" s="179"/>
      <c r="KW18" s="179"/>
      <c r="KX18" s="179"/>
      <c r="KY18" s="179"/>
      <c r="KZ18" s="179"/>
      <c r="LA18" s="179"/>
      <c r="LB18" s="179"/>
      <c r="LC18" s="179"/>
      <c r="LD18" s="179"/>
      <c r="LE18" s="179"/>
      <c r="LF18" s="179"/>
      <c r="LG18" s="179"/>
      <c r="LH18" s="179"/>
      <c r="LI18" s="179"/>
      <c r="LJ18" s="179"/>
      <c r="LK18" s="179"/>
      <c r="LL18" s="179"/>
      <c r="LM18" s="179"/>
      <c r="LN18" s="179"/>
      <c r="LO18" s="179"/>
      <c r="LP18" s="179"/>
      <c r="LQ18" s="179"/>
      <c r="LR18" s="179"/>
      <c r="LS18" s="179"/>
      <c r="LT18" s="179"/>
      <c r="LU18" s="179"/>
      <c r="LV18" s="179"/>
      <c r="LW18" s="179"/>
      <c r="LX18" s="179"/>
      <c r="LY18" s="179"/>
      <c r="LZ18" s="179"/>
      <c r="MA18" s="179"/>
      <c r="MB18" s="179"/>
      <c r="MC18" s="179"/>
      <c r="MD18" s="179"/>
      <c r="ME18" s="180"/>
      <c r="MF18" s="181"/>
    </row>
    <row r="19" spans="4:344" ht="5.0999999999999996" customHeight="1" x14ac:dyDescent="0.3">
      <c r="D19" s="177"/>
      <c r="E19" s="178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79"/>
      <c r="DC19" s="179"/>
      <c r="DD19" s="179"/>
      <c r="DE19" s="179"/>
      <c r="DF19" s="179"/>
      <c r="DG19" s="179"/>
      <c r="DH19" s="179"/>
      <c r="DI19" s="179"/>
      <c r="DJ19" s="179"/>
      <c r="DK19" s="179"/>
      <c r="DL19" s="179"/>
      <c r="DM19" s="179"/>
      <c r="DN19" s="179"/>
      <c r="DO19" s="179"/>
      <c r="DP19" s="179"/>
      <c r="DQ19" s="179"/>
      <c r="DR19" s="179"/>
      <c r="DS19" s="179"/>
      <c r="DT19" s="179"/>
      <c r="DU19" s="179"/>
      <c r="DV19" s="179"/>
      <c r="DW19" s="179"/>
      <c r="DX19" s="179"/>
      <c r="DY19" s="179"/>
      <c r="DZ19" s="179"/>
      <c r="EA19" s="179"/>
      <c r="EB19" s="179"/>
      <c r="EC19" s="179"/>
      <c r="ED19" s="179"/>
      <c r="EE19" s="179"/>
      <c r="EF19" s="179"/>
      <c r="EG19" s="179"/>
      <c r="EH19" s="179"/>
      <c r="EI19" s="179"/>
      <c r="EJ19" s="179"/>
      <c r="EK19" s="179"/>
      <c r="EL19" s="179"/>
      <c r="EM19" s="179"/>
      <c r="EN19" s="179"/>
      <c r="EO19" s="179"/>
      <c r="EP19" s="179"/>
      <c r="EQ19" s="179"/>
      <c r="ER19" s="179"/>
      <c r="ES19" s="179"/>
      <c r="ET19" s="179"/>
      <c r="EU19" s="179"/>
      <c r="EV19" s="179"/>
      <c r="EY19" s="261" t="s">
        <v>165</v>
      </c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347"/>
      <c r="GN19" s="350">
        <v>1</v>
      </c>
      <c r="GO19" s="350"/>
      <c r="GP19" s="350"/>
      <c r="GQ19" s="350"/>
      <c r="GR19" s="179"/>
      <c r="GS19" s="179"/>
      <c r="GT19" s="179"/>
      <c r="GU19" s="179"/>
      <c r="GV19" s="179"/>
      <c r="GW19" s="179"/>
      <c r="GX19" s="179"/>
      <c r="GY19" s="179"/>
      <c r="GZ19" s="179"/>
      <c r="HA19" s="179"/>
      <c r="HB19" s="179"/>
      <c r="HC19" s="179"/>
      <c r="HD19" s="179"/>
      <c r="HE19" s="179"/>
      <c r="HF19" s="179"/>
      <c r="HG19" s="179"/>
      <c r="HH19" s="179"/>
      <c r="HI19" s="179"/>
      <c r="HJ19" s="179"/>
      <c r="HK19" s="179"/>
      <c r="HL19" s="179"/>
      <c r="HM19" s="179"/>
      <c r="HN19" s="179"/>
      <c r="HO19" s="179"/>
      <c r="HP19" s="179"/>
      <c r="HQ19" s="179"/>
      <c r="HR19" s="179"/>
      <c r="HS19" s="179"/>
      <c r="HT19" s="179"/>
      <c r="HU19" s="179"/>
      <c r="HV19" s="179"/>
      <c r="HW19" s="179"/>
      <c r="HX19" s="179"/>
      <c r="HY19" s="179"/>
      <c r="HZ19" s="179"/>
      <c r="IA19" s="179"/>
      <c r="IB19" s="179"/>
      <c r="IC19" s="179"/>
      <c r="ID19" s="179"/>
      <c r="IE19" s="179"/>
      <c r="IF19" s="179"/>
      <c r="IG19" s="179"/>
      <c r="IH19" s="179"/>
      <c r="II19" s="179"/>
      <c r="IJ19" s="179"/>
      <c r="IK19" s="179"/>
      <c r="JT19" s="179"/>
      <c r="JU19" s="179"/>
      <c r="JV19" s="179"/>
      <c r="JW19" s="179"/>
      <c r="JX19" s="179"/>
      <c r="JY19" s="179"/>
      <c r="JZ19" s="179"/>
      <c r="KA19" s="179"/>
      <c r="KB19" s="179"/>
      <c r="KC19" s="179"/>
      <c r="KD19" s="179"/>
      <c r="KE19" s="179"/>
      <c r="KF19" s="179"/>
      <c r="KG19" s="179"/>
      <c r="KH19" s="179"/>
      <c r="KI19" s="179"/>
      <c r="KJ19" s="179"/>
      <c r="KK19" s="179"/>
      <c r="KL19" s="179"/>
      <c r="KM19" s="179"/>
      <c r="KN19" s="179"/>
      <c r="KO19" s="179"/>
      <c r="KP19" s="179"/>
      <c r="KQ19" s="179"/>
      <c r="KR19" s="179"/>
      <c r="KS19" s="179"/>
      <c r="KT19" s="179"/>
      <c r="KU19" s="179"/>
      <c r="KV19" s="179"/>
      <c r="KW19" s="179"/>
      <c r="KX19" s="179"/>
      <c r="KY19" s="179"/>
      <c r="KZ19" s="179"/>
      <c r="LA19" s="179"/>
      <c r="LB19" s="179"/>
      <c r="LC19" s="179"/>
      <c r="LD19" s="179"/>
      <c r="LE19" s="179"/>
      <c r="LF19" s="179"/>
      <c r="LG19" s="179"/>
      <c r="LH19" s="179"/>
      <c r="LI19" s="179"/>
      <c r="LJ19" s="179"/>
      <c r="LK19" s="179"/>
      <c r="LL19" s="179"/>
      <c r="LM19" s="179"/>
      <c r="LN19" s="179"/>
      <c r="LO19" s="179"/>
      <c r="LP19" s="179"/>
      <c r="LQ19" s="179"/>
      <c r="LR19" s="179"/>
      <c r="LS19" s="179"/>
      <c r="LT19" s="179"/>
      <c r="LU19" s="179"/>
      <c r="LV19" s="179"/>
      <c r="LW19" s="179"/>
      <c r="LX19" s="179"/>
      <c r="LY19" s="179"/>
      <c r="LZ19" s="179"/>
      <c r="MA19" s="179"/>
      <c r="MB19" s="179"/>
      <c r="MC19" s="179"/>
      <c r="MD19" s="179"/>
      <c r="ME19" s="180"/>
      <c r="MF19" s="181"/>
    </row>
    <row r="20" spans="4:344" ht="5.0999999999999996" customHeight="1" x14ac:dyDescent="0.3">
      <c r="D20" s="177"/>
      <c r="E20" s="178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79"/>
      <c r="CA20" s="179"/>
      <c r="CB20" s="179"/>
      <c r="CC20" s="179"/>
      <c r="CD20" s="179"/>
      <c r="CE20" s="179"/>
      <c r="CF20" s="179"/>
      <c r="CG20" s="179"/>
      <c r="CH20" s="179"/>
      <c r="CI20" s="179"/>
      <c r="CJ20" s="179"/>
      <c r="CK20" s="179"/>
      <c r="CL20" s="179"/>
      <c r="CM20" s="179"/>
      <c r="CN20" s="179"/>
      <c r="CO20" s="179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  <c r="DB20" s="179"/>
      <c r="DC20" s="179"/>
      <c r="DD20" s="179"/>
      <c r="DE20" s="179"/>
      <c r="DF20" s="179"/>
      <c r="DG20" s="179"/>
      <c r="DH20" s="179"/>
      <c r="DI20" s="179"/>
      <c r="DJ20" s="179"/>
      <c r="DK20" s="179"/>
      <c r="DL20" s="179"/>
      <c r="DM20" s="179"/>
      <c r="DN20" s="179"/>
      <c r="DO20" s="179"/>
      <c r="DP20" s="179"/>
      <c r="DQ20" s="179"/>
      <c r="DR20" s="179"/>
      <c r="DS20" s="179"/>
      <c r="DT20" s="179"/>
      <c r="DU20" s="179"/>
      <c r="DV20" s="179"/>
      <c r="DW20" s="179"/>
      <c r="DX20" s="179"/>
      <c r="DY20" s="179"/>
      <c r="DZ20" s="179"/>
      <c r="EA20" s="179"/>
      <c r="EB20" s="179"/>
      <c r="EC20" s="179"/>
      <c r="ED20" s="179"/>
      <c r="EE20" s="179"/>
      <c r="EF20" s="179"/>
      <c r="EG20" s="179"/>
      <c r="EH20" s="179"/>
      <c r="EI20" s="179"/>
      <c r="EJ20" s="179"/>
      <c r="EK20" s="179"/>
      <c r="EL20" s="179"/>
      <c r="EM20" s="179"/>
      <c r="EN20" s="179"/>
      <c r="EO20" s="179"/>
      <c r="EP20" s="179"/>
      <c r="EQ20" s="179"/>
      <c r="ER20" s="179"/>
      <c r="ES20" s="179"/>
      <c r="ET20" s="179"/>
      <c r="EU20" s="179"/>
      <c r="EV20" s="179"/>
      <c r="EY20" s="264"/>
      <c r="EZ20" s="265"/>
      <c r="FA20" s="265"/>
      <c r="FB20" s="265"/>
      <c r="FC20" s="265"/>
      <c r="FD20" s="265"/>
      <c r="FE20" s="265"/>
      <c r="FF20" s="265"/>
      <c r="FG20" s="265"/>
      <c r="FH20" s="265"/>
      <c r="FI20" s="265"/>
      <c r="FJ20" s="265"/>
      <c r="FK20" s="265"/>
      <c r="FL20" s="265"/>
      <c r="FM20" s="265"/>
      <c r="FN20" s="265"/>
      <c r="FO20" s="265"/>
      <c r="FP20" s="265"/>
      <c r="FQ20" s="265"/>
      <c r="FR20" s="265"/>
      <c r="FS20" s="265"/>
      <c r="FT20" s="265"/>
      <c r="FU20" s="265"/>
      <c r="FV20" s="265"/>
      <c r="FW20" s="265"/>
      <c r="FX20" s="265"/>
      <c r="FY20" s="265"/>
      <c r="FZ20" s="265"/>
      <c r="GA20" s="265"/>
      <c r="GB20" s="265"/>
      <c r="GC20" s="265"/>
      <c r="GD20" s="265"/>
      <c r="GE20" s="265"/>
      <c r="GF20" s="265"/>
      <c r="GG20" s="265"/>
      <c r="GH20" s="265"/>
      <c r="GI20" s="265"/>
      <c r="GJ20" s="265"/>
      <c r="GK20" s="265"/>
      <c r="GL20" s="265"/>
      <c r="GM20" s="348"/>
      <c r="GN20" s="350"/>
      <c r="GO20" s="350"/>
      <c r="GP20" s="350"/>
      <c r="GQ20" s="350"/>
      <c r="GR20" s="179"/>
      <c r="GS20" s="179"/>
      <c r="GT20" s="179"/>
      <c r="GU20" s="179"/>
      <c r="GV20" s="179"/>
      <c r="GW20" s="179"/>
      <c r="GX20" s="179"/>
      <c r="GY20" s="179"/>
      <c r="GZ20" s="179"/>
      <c r="HA20" s="179"/>
      <c r="HB20" s="179"/>
      <c r="HC20" s="179"/>
      <c r="HD20" s="179"/>
      <c r="HE20" s="179"/>
      <c r="HF20" s="179"/>
      <c r="HG20" s="179"/>
      <c r="HH20" s="179"/>
      <c r="HI20" s="179"/>
      <c r="HJ20" s="179"/>
      <c r="HK20" s="179"/>
      <c r="HL20" s="179"/>
      <c r="HM20" s="179"/>
      <c r="HN20" s="179"/>
      <c r="HO20" s="179"/>
      <c r="HP20" s="179"/>
      <c r="HQ20" s="179"/>
      <c r="HR20" s="179"/>
      <c r="HS20" s="179"/>
      <c r="HT20" s="179"/>
      <c r="HU20" s="179"/>
      <c r="HV20" s="179"/>
      <c r="HW20" s="179"/>
      <c r="HX20" s="179"/>
      <c r="HY20" s="179"/>
      <c r="HZ20" s="179"/>
      <c r="IA20" s="179"/>
      <c r="IB20" s="179"/>
      <c r="IC20" s="179"/>
      <c r="ID20" s="179"/>
      <c r="IE20" s="179"/>
      <c r="IF20" s="179"/>
      <c r="IG20" s="179"/>
      <c r="IH20" s="179"/>
      <c r="II20" s="179"/>
      <c r="IJ20" s="179"/>
      <c r="IK20" s="179"/>
      <c r="JT20" s="179"/>
      <c r="JU20" s="179"/>
      <c r="JV20" s="179"/>
      <c r="JW20" s="179"/>
      <c r="JX20" s="179"/>
      <c r="JY20" s="179"/>
      <c r="JZ20" s="179"/>
      <c r="KA20" s="179"/>
      <c r="KB20" s="179"/>
      <c r="KC20" s="179"/>
      <c r="KD20" s="179"/>
      <c r="KE20" s="179"/>
      <c r="KF20" s="179"/>
      <c r="KG20" s="179"/>
      <c r="KH20" s="179"/>
      <c r="KI20" s="179"/>
      <c r="KJ20" s="179"/>
      <c r="KK20" s="179"/>
      <c r="KL20" s="179"/>
      <c r="KM20" s="179"/>
      <c r="KN20" s="179"/>
      <c r="KO20" s="179"/>
      <c r="KP20" s="179"/>
      <c r="KQ20" s="179"/>
      <c r="KR20" s="179"/>
      <c r="KS20" s="179"/>
      <c r="KT20" s="179"/>
      <c r="KU20" s="179"/>
      <c r="KV20" s="179"/>
      <c r="KW20" s="179"/>
      <c r="KX20" s="179"/>
      <c r="KY20" s="179"/>
      <c r="KZ20" s="179"/>
      <c r="LA20" s="179"/>
      <c r="LB20" s="179"/>
      <c r="LC20" s="179"/>
      <c r="LD20" s="179"/>
      <c r="LE20" s="179"/>
      <c r="LF20" s="179"/>
      <c r="LG20" s="179"/>
      <c r="LH20" s="179"/>
      <c r="LI20" s="179"/>
      <c r="LJ20" s="179"/>
      <c r="LK20" s="179"/>
      <c r="LL20" s="179"/>
      <c r="LM20" s="179"/>
      <c r="LN20" s="179"/>
      <c r="LO20" s="179"/>
      <c r="LP20" s="179"/>
      <c r="LQ20" s="179"/>
      <c r="LR20" s="179"/>
      <c r="LS20" s="179"/>
      <c r="LT20" s="179"/>
      <c r="LU20" s="179"/>
      <c r="LV20" s="179"/>
      <c r="LW20" s="179"/>
      <c r="LX20" s="179"/>
      <c r="LY20" s="179"/>
      <c r="LZ20" s="179"/>
      <c r="MA20" s="179"/>
      <c r="MB20" s="179"/>
      <c r="MC20" s="179"/>
      <c r="MD20" s="179"/>
      <c r="ME20" s="180"/>
      <c r="MF20" s="181"/>
    </row>
    <row r="21" spans="4:344" ht="5.0999999999999996" customHeight="1" x14ac:dyDescent="0.3">
      <c r="D21" s="177"/>
      <c r="E21" s="178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179"/>
      <c r="DQ21" s="179"/>
      <c r="DR21" s="179"/>
      <c r="DS21" s="179"/>
      <c r="DT21" s="179"/>
      <c r="DU21" s="179"/>
      <c r="DV21" s="179"/>
      <c r="DW21" s="179"/>
      <c r="DX21" s="179"/>
      <c r="DY21" s="179"/>
      <c r="DZ21" s="179"/>
      <c r="EA21" s="179"/>
      <c r="EB21" s="179"/>
      <c r="EC21" s="179"/>
      <c r="ED21" s="179"/>
      <c r="EE21" s="179"/>
      <c r="EF21" s="179"/>
      <c r="EG21" s="179"/>
      <c r="EH21" s="179"/>
      <c r="EI21" s="179"/>
      <c r="EJ21" s="179"/>
      <c r="EK21" s="179"/>
      <c r="EL21" s="179"/>
      <c r="EM21" s="179"/>
      <c r="EN21" s="179"/>
      <c r="EO21" s="179"/>
      <c r="EP21" s="179"/>
      <c r="EQ21" s="179"/>
      <c r="ER21" s="179"/>
      <c r="ES21" s="179"/>
      <c r="ET21" s="179"/>
      <c r="EU21" s="179"/>
      <c r="EV21" s="179"/>
      <c r="EY21" s="264"/>
      <c r="EZ21" s="265"/>
      <c r="FA21" s="265"/>
      <c r="FB21" s="265"/>
      <c r="FC21" s="265"/>
      <c r="FD21" s="265"/>
      <c r="FE21" s="265"/>
      <c r="FF21" s="265"/>
      <c r="FG21" s="265"/>
      <c r="FH21" s="265"/>
      <c r="FI21" s="265"/>
      <c r="FJ21" s="265"/>
      <c r="FK21" s="265"/>
      <c r="FL21" s="265"/>
      <c r="FM21" s="265"/>
      <c r="FN21" s="265"/>
      <c r="FO21" s="265"/>
      <c r="FP21" s="265"/>
      <c r="FQ21" s="265"/>
      <c r="FR21" s="265"/>
      <c r="FS21" s="265"/>
      <c r="FT21" s="265"/>
      <c r="FU21" s="265"/>
      <c r="FV21" s="265"/>
      <c r="FW21" s="265"/>
      <c r="FX21" s="265"/>
      <c r="FY21" s="265"/>
      <c r="FZ21" s="265"/>
      <c r="GA21" s="265"/>
      <c r="GB21" s="265"/>
      <c r="GC21" s="265"/>
      <c r="GD21" s="265"/>
      <c r="GE21" s="265"/>
      <c r="GF21" s="265"/>
      <c r="GG21" s="265"/>
      <c r="GH21" s="265"/>
      <c r="GI21" s="265"/>
      <c r="GJ21" s="265"/>
      <c r="GK21" s="265"/>
      <c r="GL21" s="265"/>
      <c r="GM21" s="348"/>
      <c r="GN21" s="350"/>
      <c r="GO21" s="350"/>
      <c r="GP21" s="350"/>
      <c r="GQ21" s="350"/>
      <c r="GR21" s="179"/>
      <c r="GS21" s="179"/>
      <c r="GT21" s="179"/>
      <c r="GU21" s="179"/>
      <c r="GV21" s="179"/>
      <c r="GW21" s="179"/>
      <c r="GX21" s="179"/>
      <c r="GY21" s="179"/>
      <c r="GZ21" s="179"/>
      <c r="HA21" s="179"/>
      <c r="HB21" s="179"/>
      <c r="HC21" s="179"/>
      <c r="HD21" s="179"/>
      <c r="HE21" s="179"/>
      <c r="HF21" s="179"/>
      <c r="HG21" s="179"/>
      <c r="HH21" s="179"/>
      <c r="HI21" s="179"/>
      <c r="HJ21" s="179"/>
      <c r="HK21" s="179"/>
      <c r="HL21" s="179"/>
      <c r="HM21" s="179"/>
      <c r="HN21" s="179"/>
      <c r="HO21" s="179"/>
      <c r="HP21" s="179"/>
      <c r="HQ21" s="179"/>
      <c r="HR21" s="179"/>
      <c r="HS21" s="179"/>
      <c r="HT21" s="179"/>
      <c r="HU21" s="179"/>
      <c r="HV21" s="179"/>
      <c r="HW21" s="179"/>
      <c r="HX21" s="179"/>
      <c r="HY21" s="179"/>
      <c r="HZ21" s="179"/>
      <c r="IA21" s="179"/>
      <c r="IB21" s="179"/>
      <c r="IC21" s="179"/>
      <c r="ID21" s="179"/>
      <c r="IE21" s="179"/>
      <c r="IF21" s="179"/>
      <c r="IG21" s="179"/>
      <c r="IH21" s="179"/>
      <c r="II21" s="179"/>
      <c r="IJ21" s="179"/>
      <c r="IK21" s="179"/>
      <c r="JT21" s="179"/>
      <c r="JU21" s="179"/>
      <c r="JV21" s="179"/>
      <c r="JW21" s="179"/>
      <c r="JX21" s="179"/>
      <c r="JY21" s="179"/>
      <c r="JZ21" s="179"/>
      <c r="KA21" s="179"/>
      <c r="KB21" s="179"/>
      <c r="KC21" s="179"/>
      <c r="KD21" s="179"/>
      <c r="KE21" s="179"/>
      <c r="KF21" s="179"/>
      <c r="KG21" s="179"/>
      <c r="KH21" s="179"/>
      <c r="KI21" s="179"/>
      <c r="KJ21" s="179"/>
      <c r="KK21" s="179"/>
      <c r="KL21" s="179"/>
      <c r="KM21" s="179"/>
      <c r="KN21" s="179"/>
      <c r="KO21" s="179"/>
      <c r="KP21" s="179"/>
      <c r="KQ21" s="179"/>
      <c r="KR21" s="179"/>
      <c r="KS21" s="179"/>
      <c r="KT21" s="179"/>
      <c r="KU21" s="179"/>
      <c r="KV21" s="179"/>
      <c r="KW21" s="179"/>
      <c r="KX21" s="179"/>
      <c r="KY21" s="179"/>
      <c r="KZ21" s="179"/>
      <c r="LA21" s="179"/>
      <c r="LB21" s="179"/>
      <c r="LC21" s="179"/>
      <c r="LD21" s="179"/>
      <c r="LE21" s="179"/>
      <c r="LF21" s="179"/>
      <c r="LG21" s="179"/>
      <c r="LH21" s="179"/>
      <c r="LI21" s="179"/>
      <c r="LJ21" s="179"/>
      <c r="LK21" s="179"/>
      <c r="LL21" s="179"/>
      <c r="LM21" s="179"/>
      <c r="LN21" s="179"/>
      <c r="LO21" s="179"/>
      <c r="LP21" s="179"/>
      <c r="LQ21" s="179"/>
      <c r="LR21" s="179"/>
      <c r="LS21" s="179"/>
      <c r="LT21" s="179"/>
      <c r="LU21" s="179"/>
      <c r="LV21" s="179"/>
      <c r="LW21" s="179"/>
      <c r="LX21" s="179"/>
      <c r="LY21" s="179"/>
      <c r="LZ21" s="179"/>
      <c r="MA21" s="179"/>
      <c r="MB21" s="179"/>
      <c r="MC21" s="179"/>
      <c r="MD21" s="179"/>
      <c r="ME21" s="180"/>
      <c r="MF21" s="181"/>
    </row>
    <row r="22" spans="4:344" ht="5.0999999999999996" customHeight="1" x14ac:dyDescent="0.3">
      <c r="D22" s="177"/>
      <c r="E22" s="178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79"/>
      <c r="DC22" s="179"/>
      <c r="DD22" s="179"/>
      <c r="DE22" s="179"/>
      <c r="DF22" s="179"/>
      <c r="DG22" s="179"/>
      <c r="DH22" s="179"/>
      <c r="DI22" s="179"/>
      <c r="DJ22" s="179"/>
      <c r="DK22" s="179"/>
      <c r="DL22" s="179"/>
      <c r="DM22" s="179"/>
      <c r="DN22" s="179"/>
      <c r="DO22" s="179"/>
      <c r="DP22" s="179"/>
      <c r="DQ22" s="179"/>
      <c r="DR22" s="179"/>
      <c r="DS22" s="179"/>
      <c r="DT22" s="179"/>
      <c r="DU22" s="179"/>
      <c r="DV22" s="179"/>
      <c r="DW22" s="179"/>
      <c r="DX22" s="179"/>
      <c r="DY22" s="179"/>
      <c r="DZ22" s="179"/>
      <c r="EA22" s="179"/>
      <c r="EB22" s="179"/>
      <c r="EC22" s="179"/>
      <c r="ED22" s="179"/>
      <c r="EE22" s="179"/>
      <c r="EF22" s="179"/>
      <c r="EG22" s="179"/>
      <c r="EH22" s="179"/>
      <c r="EI22" s="179"/>
      <c r="EJ22" s="179"/>
      <c r="EK22" s="179"/>
      <c r="EL22" s="179"/>
      <c r="EM22" s="179"/>
      <c r="EN22" s="179"/>
      <c r="EO22" s="179"/>
      <c r="EP22" s="179"/>
      <c r="EQ22" s="179"/>
      <c r="ER22" s="179"/>
      <c r="ES22" s="179"/>
      <c r="ET22" s="179"/>
      <c r="EU22" s="179"/>
      <c r="EV22" s="179"/>
      <c r="EY22" s="264"/>
      <c r="EZ22" s="265"/>
      <c r="FA22" s="265"/>
      <c r="FB22" s="265"/>
      <c r="FC22" s="265"/>
      <c r="FD22" s="265"/>
      <c r="FE22" s="265"/>
      <c r="FF22" s="265"/>
      <c r="FG22" s="265"/>
      <c r="FH22" s="265"/>
      <c r="FI22" s="265"/>
      <c r="FJ22" s="265"/>
      <c r="FK22" s="265"/>
      <c r="FL22" s="265"/>
      <c r="FM22" s="265"/>
      <c r="FN22" s="265"/>
      <c r="FO22" s="265"/>
      <c r="FP22" s="265"/>
      <c r="FQ22" s="265"/>
      <c r="FR22" s="265"/>
      <c r="FS22" s="265"/>
      <c r="FT22" s="265"/>
      <c r="FU22" s="265"/>
      <c r="FV22" s="265"/>
      <c r="FW22" s="265"/>
      <c r="FX22" s="265"/>
      <c r="FY22" s="265"/>
      <c r="FZ22" s="265"/>
      <c r="GA22" s="265"/>
      <c r="GB22" s="265"/>
      <c r="GC22" s="265"/>
      <c r="GD22" s="265"/>
      <c r="GE22" s="265"/>
      <c r="GF22" s="265"/>
      <c r="GG22" s="265"/>
      <c r="GH22" s="265"/>
      <c r="GI22" s="265"/>
      <c r="GJ22" s="265"/>
      <c r="GK22" s="265"/>
      <c r="GL22" s="265"/>
      <c r="GM22" s="348"/>
      <c r="GN22" s="350"/>
      <c r="GO22" s="350"/>
      <c r="GP22" s="350"/>
      <c r="GQ22" s="350"/>
      <c r="GR22" s="179"/>
      <c r="GS22" s="179"/>
      <c r="GT22" s="179"/>
      <c r="GU22" s="179"/>
      <c r="GV22" s="179"/>
      <c r="GW22" s="179"/>
      <c r="GX22" s="179"/>
      <c r="GY22" s="179"/>
      <c r="GZ22" s="179"/>
      <c r="HA22" s="179"/>
      <c r="HB22" s="179"/>
      <c r="HC22" s="179"/>
      <c r="HD22" s="179"/>
      <c r="HE22" s="179"/>
      <c r="HF22" s="179"/>
      <c r="HG22" s="179"/>
      <c r="HH22" s="179"/>
      <c r="HI22" s="179"/>
      <c r="HJ22" s="179"/>
      <c r="HK22" s="179"/>
      <c r="HL22" s="179"/>
      <c r="HM22" s="179"/>
      <c r="HN22" s="179"/>
      <c r="HO22" s="179"/>
      <c r="HP22" s="179"/>
      <c r="HQ22" s="179"/>
      <c r="HR22" s="179"/>
      <c r="HS22" s="179"/>
      <c r="HT22" s="179"/>
      <c r="HU22" s="179"/>
      <c r="HV22" s="179"/>
      <c r="HW22" s="179"/>
      <c r="HX22" s="179"/>
      <c r="HY22" s="179"/>
      <c r="HZ22" s="179"/>
      <c r="IA22" s="179"/>
      <c r="IB22" s="179"/>
      <c r="IC22" s="179"/>
      <c r="ID22" s="179"/>
      <c r="IE22" s="179"/>
      <c r="IF22" s="179"/>
      <c r="IG22" s="179"/>
      <c r="IH22" s="179"/>
      <c r="II22" s="179"/>
      <c r="IJ22" s="179"/>
      <c r="IK22" s="179"/>
      <c r="JT22" s="179"/>
      <c r="JU22" s="179"/>
      <c r="JV22" s="179"/>
      <c r="JW22" s="179"/>
      <c r="JX22" s="179"/>
      <c r="JY22" s="179"/>
      <c r="JZ22" s="179"/>
      <c r="KA22" s="179"/>
      <c r="KB22" s="179"/>
      <c r="KC22" s="179"/>
      <c r="KD22" s="179"/>
      <c r="KE22" s="179"/>
      <c r="KF22" s="179"/>
      <c r="KG22" s="179"/>
      <c r="KH22" s="179"/>
      <c r="KI22" s="179"/>
      <c r="KJ22" s="179"/>
      <c r="KK22" s="179"/>
      <c r="KL22" s="179"/>
      <c r="KM22" s="179"/>
      <c r="KN22" s="179"/>
      <c r="KO22" s="179"/>
      <c r="KP22" s="179"/>
      <c r="KQ22" s="179"/>
      <c r="KR22" s="179"/>
      <c r="KS22" s="179"/>
      <c r="KT22" s="179"/>
      <c r="KU22" s="179"/>
      <c r="KV22" s="179"/>
      <c r="KW22" s="179"/>
      <c r="KX22" s="179"/>
      <c r="KY22" s="179"/>
      <c r="KZ22" s="179"/>
      <c r="LA22" s="179"/>
      <c r="LB22" s="179"/>
      <c r="LC22" s="179"/>
      <c r="LD22" s="179"/>
      <c r="LE22" s="179"/>
      <c r="LF22" s="179"/>
      <c r="LG22" s="179"/>
      <c r="LH22" s="179"/>
      <c r="LI22" s="179"/>
      <c r="LJ22" s="179"/>
      <c r="LK22" s="179"/>
      <c r="LL22" s="179"/>
      <c r="LM22" s="179"/>
      <c r="LN22" s="179"/>
      <c r="LO22" s="179"/>
      <c r="LP22" s="179"/>
      <c r="LQ22" s="179"/>
      <c r="LR22" s="179"/>
      <c r="LS22" s="179"/>
      <c r="LT22" s="179"/>
      <c r="LU22" s="179"/>
      <c r="LV22" s="179"/>
      <c r="LW22" s="179"/>
      <c r="LX22" s="179"/>
      <c r="LY22" s="179"/>
      <c r="LZ22" s="179"/>
      <c r="MA22" s="179"/>
      <c r="MB22" s="179"/>
      <c r="MC22" s="179"/>
      <c r="MD22" s="179"/>
      <c r="ME22" s="180"/>
      <c r="MF22" s="181"/>
    </row>
    <row r="23" spans="4:344" ht="5.0999999999999996" customHeight="1" x14ac:dyDescent="0.3">
      <c r="D23" s="177"/>
      <c r="E23" s="178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79"/>
      <c r="CH23" s="179"/>
      <c r="CI23" s="179"/>
      <c r="CJ23" s="179"/>
      <c r="CK23" s="179"/>
      <c r="CL23" s="179"/>
      <c r="CM23" s="179"/>
      <c r="CN23" s="179"/>
      <c r="CO23" s="179"/>
      <c r="CP23" s="179"/>
      <c r="CQ23" s="179"/>
      <c r="CR23" s="179"/>
      <c r="CS23" s="179"/>
      <c r="CT23" s="179"/>
      <c r="CU23" s="179"/>
      <c r="CV23" s="179"/>
      <c r="CW23" s="179"/>
      <c r="CX23" s="179"/>
      <c r="CY23" s="179"/>
      <c r="CZ23" s="179"/>
      <c r="DA23" s="179"/>
      <c r="DB23" s="179"/>
      <c r="DC23" s="179"/>
      <c r="DD23" s="179"/>
      <c r="DE23" s="179"/>
      <c r="DF23" s="179"/>
      <c r="DG23" s="179"/>
      <c r="DH23" s="179"/>
      <c r="DI23" s="179"/>
      <c r="DJ23" s="179"/>
      <c r="DK23" s="179"/>
      <c r="DL23" s="179"/>
      <c r="DM23" s="179"/>
      <c r="DN23" s="179"/>
      <c r="DO23" s="179"/>
      <c r="DP23" s="179"/>
      <c r="DQ23" s="179"/>
      <c r="DR23" s="179"/>
      <c r="DS23" s="179"/>
      <c r="DT23" s="179"/>
      <c r="DU23" s="179"/>
      <c r="DV23" s="179"/>
      <c r="DW23" s="179"/>
      <c r="DX23" s="179"/>
      <c r="DY23" s="179"/>
      <c r="DZ23" s="179"/>
      <c r="EA23" s="179"/>
      <c r="EB23" s="179"/>
      <c r="EC23" s="179"/>
      <c r="ED23" s="179"/>
      <c r="EE23" s="179"/>
      <c r="EF23" s="179"/>
      <c r="EG23" s="179"/>
      <c r="EH23" s="179"/>
      <c r="EI23" s="179"/>
      <c r="EJ23" s="179"/>
      <c r="EK23" s="179"/>
      <c r="EL23" s="179"/>
      <c r="EM23" s="179"/>
      <c r="EN23" s="179"/>
      <c r="EO23" s="179"/>
      <c r="EP23" s="179"/>
      <c r="EQ23" s="179"/>
      <c r="ER23" s="179"/>
      <c r="ES23" s="179"/>
      <c r="ET23" s="179"/>
      <c r="EU23" s="179"/>
      <c r="EV23" s="179"/>
      <c r="EY23" s="264"/>
      <c r="EZ23" s="265"/>
      <c r="FA23" s="265"/>
      <c r="FB23" s="265"/>
      <c r="FC23" s="265"/>
      <c r="FD23" s="265"/>
      <c r="FE23" s="265"/>
      <c r="FF23" s="265"/>
      <c r="FG23" s="265"/>
      <c r="FH23" s="265"/>
      <c r="FI23" s="265"/>
      <c r="FJ23" s="265"/>
      <c r="FK23" s="265"/>
      <c r="FL23" s="265"/>
      <c r="FM23" s="265"/>
      <c r="FN23" s="265"/>
      <c r="FO23" s="265"/>
      <c r="FP23" s="265"/>
      <c r="FQ23" s="265"/>
      <c r="FR23" s="265"/>
      <c r="FS23" s="265"/>
      <c r="FT23" s="265"/>
      <c r="FU23" s="265"/>
      <c r="FV23" s="265"/>
      <c r="FW23" s="265"/>
      <c r="FX23" s="265"/>
      <c r="FY23" s="265"/>
      <c r="FZ23" s="265"/>
      <c r="GA23" s="265"/>
      <c r="GB23" s="265"/>
      <c r="GC23" s="265"/>
      <c r="GD23" s="265"/>
      <c r="GE23" s="265"/>
      <c r="GF23" s="265"/>
      <c r="GG23" s="265"/>
      <c r="GH23" s="265"/>
      <c r="GI23" s="265"/>
      <c r="GJ23" s="265"/>
      <c r="GK23" s="265"/>
      <c r="GL23" s="265"/>
      <c r="GM23" s="348"/>
      <c r="GN23" s="350"/>
      <c r="GO23" s="350"/>
      <c r="GP23" s="350"/>
      <c r="GQ23" s="350"/>
      <c r="GR23" s="179"/>
      <c r="GS23" s="179"/>
      <c r="GT23" s="179"/>
      <c r="GU23" s="179"/>
      <c r="GV23" s="179"/>
      <c r="GW23" s="179"/>
      <c r="GX23" s="179"/>
      <c r="GY23" s="179"/>
      <c r="GZ23" s="179"/>
      <c r="HA23" s="179"/>
      <c r="HB23" s="179"/>
      <c r="HC23" s="179"/>
      <c r="HD23" s="179"/>
      <c r="HE23" s="179"/>
      <c r="HF23" s="179"/>
      <c r="HG23" s="179"/>
      <c r="HH23" s="179"/>
      <c r="HI23" s="179"/>
      <c r="HJ23" s="179"/>
      <c r="HK23" s="179"/>
      <c r="HL23" s="179"/>
      <c r="HM23" s="179"/>
      <c r="HN23" s="179"/>
      <c r="HO23" s="179"/>
      <c r="HP23" s="179"/>
      <c r="HQ23" s="179"/>
      <c r="HR23" s="179"/>
      <c r="HS23" s="179"/>
      <c r="HT23" s="179"/>
      <c r="HU23" s="179"/>
      <c r="HV23" s="179"/>
      <c r="HW23" s="179"/>
      <c r="HX23" s="179"/>
      <c r="HY23" s="179"/>
      <c r="HZ23" s="179"/>
      <c r="IA23" s="179"/>
      <c r="IB23" s="179"/>
      <c r="IC23" s="179"/>
      <c r="ID23" s="179"/>
      <c r="IE23" s="179"/>
      <c r="IF23" s="179"/>
      <c r="IG23" s="179"/>
      <c r="IH23" s="179"/>
      <c r="II23" s="179"/>
      <c r="IJ23" s="179"/>
      <c r="IK23" s="179"/>
      <c r="JT23" s="179"/>
      <c r="JU23" s="179"/>
      <c r="JV23" s="179"/>
      <c r="JW23" s="179"/>
      <c r="JX23" s="179"/>
      <c r="JY23" s="179"/>
      <c r="JZ23" s="179"/>
      <c r="KA23" s="179"/>
      <c r="KB23" s="179"/>
      <c r="KC23" s="179"/>
      <c r="KD23" s="179"/>
      <c r="KE23" s="179"/>
      <c r="KF23" s="179"/>
      <c r="KG23" s="179"/>
      <c r="KH23" s="179"/>
      <c r="KI23" s="179"/>
      <c r="KJ23" s="179"/>
      <c r="KK23" s="179"/>
      <c r="KL23" s="179"/>
      <c r="KM23" s="179"/>
      <c r="KN23" s="179"/>
      <c r="KO23" s="179"/>
      <c r="KP23" s="179"/>
      <c r="KQ23" s="179"/>
      <c r="KR23" s="179"/>
      <c r="KS23" s="179"/>
      <c r="KT23" s="179"/>
      <c r="KU23" s="179"/>
      <c r="KV23" s="179"/>
      <c r="KW23" s="179"/>
      <c r="KX23" s="179"/>
      <c r="KY23" s="179"/>
      <c r="KZ23" s="179"/>
      <c r="LA23" s="179"/>
      <c r="LB23" s="179"/>
      <c r="LC23" s="179"/>
      <c r="LD23" s="179"/>
      <c r="LE23" s="179"/>
      <c r="LF23" s="179"/>
      <c r="LG23" s="179"/>
      <c r="LH23" s="179"/>
      <c r="LI23" s="179"/>
      <c r="LJ23" s="179"/>
      <c r="LK23" s="179"/>
      <c r="LL23" s="179"/>
      <c r="LM23" s="179"/>
      <c r="LN23" s="179"/>
      <c r="LO23" s="179"/>
      <c r="LP23" s="179"/>
      <c r="LQ23" s="179"/>
      <c r="LR23" s="179"/>
      <c r="LS23" s="179"/>
      <c r="LT23" s="179"/>
      <c r="LU23" s="179"/>
      <c r="LV23" s="179"/>
      <c r="LW23" s="179"/>
      <c r="LX23" s="179"/>
      <c r="LY23" s="179"/>
      <c r="LZ23" s="179"/>
      <c r="MA23" s="179"/>
      <c r="MB23" s="179"/>
      <c r="MC23" s="179"/>
      <c r="MD23" s="179"/>
      <c r="ME23" s="180"/>
      <c r="MF23" s="181"/>
    </row>
    <row r="24" spans="4:344" ht="5.0999999999999996" customHeight="1" x14ac:dyDescent="0.3">
      <c r="D24" s="177"/>
      <c r="E24" s="178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79"/>
      <c r="DC24" s="179"/>
      <c r="DD24" s="179"/>
      <c r="DE24" s="179"/>
      <c r="DF24" s="179"/>
      <c r="DG24" s="179"/>
      <c r="DH24" s="179"/>
      <c r="DI24" s="179"/>
      <c r="DJ24" s="179"/>
      <c r="DK24" s="179"/>
      <c r="DL24" s="179"/>
      <c r="DM24" s="179"/>
      <c r="DN24" s="179"/>
      <c r="DO24" s="179"/>
      <c r="DP24" s="179"/>
      <c r="DQ24" s="179"/>
      <c r="DR24" s="179"/>
      <c r="DS24" s="179"/>
      <c r="DT24" s="179"/>
      <c r="DU24" s="179"/>
      <c r="DV24" s="179"/>
      <c r="DW24" s="179"/>
      <c r="DX24" s="179"/>
      <c r="DY24" s="179"/>
      <c r="DZ24" s="179"/>
      <c r="EA24" s="179"/>
      <c r="EB24" s="179"/>
      <c r="EC24" s="179"/>
      <c r="ED24" s="179"/>
      <c r="EE24" s="179"/>
      <c r="EF24" s="179"/>
      <c r="EG24" s="179"/>
      <c r="EH24" s="179"/>
      <c r="EI24" s="179"/>
      <c r="EJ24" s="179"/>
      <c r="EK24" s="179"/>
      <c r="EL24" s="179"/>
      <c r="EM24" s="179"/>
      <c r="EN24" s="179"/>
      <c r="EO24" s="179"/>
      <c r="EP24" s="179"/>
      <c r="EQ24" s="179"/>
      <c r="ER24" s="179"/>
      <c r="ES24" s="179"/>
      <c r="ET24" s="179"/>
      <c r="EU24" s="179"/>
      <c r="EV24" s="179"/>
      <c r="EY24" s="264"/>
      <c r="EZ24" s="265"/>
      <c r="FA24" s="265"/>
      <c r="FB24" s="265"/>
      <c r="FC24" s="265"/>
      <c r="FD24" s="265"/>
      <c r="FE24" s="265"/>
      <c r="FF24" s="265"/>
      <c r="FG24" s="265"/>
      <c r="FH24" s="265"/>
      <c r="FI24" s="265"/>
      <c r="FJ24" s="265"/>
      <c r="FK24" s="265"/>
      <c r="FL24" s="265"/>
      <c r="FM24" s="265"/>
      <c r="FN24" s="265"/>
      <c r="FO24" s="265"/>
      <c r="FP24" s="265"/>
      <c r="FQ24" s="265"/>
      <c r="FR24" s="265"/>
      <c r="FS24" s="265"/>
      <c r="FT24" s="265"/>
      <c r="FU24" s="265"/>
      <c r="FV24" s="265"/>
      <c r="FW24" s="265"/>
      <c r="FX24" s="265"/>
      <c r="FY24" s="265"/>
      <c r="FZ24" s="265"/>
      <c r="GA24" s="265"/>
      <c r="GB24" s="265"/>
      <c r="GC24" s="265"/>
      <c r="GD24" s="265"/>
      <c r="GE24" s="265"/>
      <c r="GF24" s="265"/>
      <c r="GG24" s="265"/>
      <c r="GH24" s="265"/>
      <c r="GI24" s="265"/>
      <c r="GJ24" s="265"/>
      <c r="GK24" s="265"/>
      <c r="GL24" s="265"/>
      <c r="GM24" s="348"/>
      <c r="GN24" s="350"/>
      <c r="GO24" s="350"/>
      <c r="GP24" s="350"/>
      <c r="GQ24" s="350"/>
      <c r="GR24" s="179"/>
      <c r="GS24" s="179"/>
      <c r="GT24" s="179"/>
      <c r="GU24" s="179"/>
      <c r="GV24" s="179"/>
      <c r="GW24" s="179"/>
      <c r="GX24" s="179"/>
      <c r="GY24" s="179"/>
      <c r="GZ24" s="179"/>
      <c r="HA24" s="179"/>
      <c r="HB24" s="179"/>
      <c r="HC24" s="179"/>
      <c r="HD24" s="179"/>
      <c r="HE24" s="179"/>
      <c r="HF24" s="179"/>
      <c r="HG24" s="179"/>
      <c r="HH24" s="179"/>
      <c r="HI24" s="179"/>
      <c r="HJ24" s="179"/>
      <c r="HK24" s="179"/>
      <c r="HL24" s="179"/>
      <c r="HM24" s="179"/>
      <c r="HN24" s="179"/>
      <c r="HO24" s="179"/>
      <c r="HP24" s="179"/>
      <c r="HQ24" s="179"/>
      <c r="HR24" s="179"/>
      <c r="HS24" s="179"/>
      <c r="HT24" s="179"/>
      <c r="HU24" s="179"/>
      <c r="HV24" s="179"/>
      <c r="HW24" s="179"/>
      <c r="HX24" s="179"/>
      <c r="HY24" s="179"/>
      <c r="HZ24" s="179"/>
      <c r="IA24" s="179"/>
      <c r="IB24" s="179"/>
      <c r="IC24" s="179"/>
      <c r="ID24" s="179"/>
      <c r="IE24" s="179"/>
      <c r="IF24" s="179"/>
      <c r="IG24" s="179"/>
      <c r="IH24" s="179"/>
      <c r="II24" s="179"/>
      <c r="IJ24" s="179"/>
      <c r="IK24" s="179"/>
      <c r="JT24" s="179"/>
      <c r="JU24" s="179"/>
      <c r="JV24" s="179"/>
      <c r="JW24" s="179"/>
      <c r="JX24" s="179"/>
      <c r="JY24" s="179"/>
      <c r="JZ24" s="179"/>
      <c r="KA24" s="179"/>
      <c r="KB24" s="179"/>
      <c r="KC24" s="179"/>
      <c r="KD24" s="179"/>
      <c r="KE24" s="179"/>
      <c r="KF24" s="179"/>
      <c r="KG24" s="179"/>
      <c r="KH24" s="179"/>
      <c r="KI24" s="179"/>
      <c r="KJ24" s="179"/>
      <c r="KK24" s="179"/>
      <c r="KL24" s="179"/>
      <c r="KM24" s="179"/>
      <c r="KN24" s="179"/>
      <c r="KO24" s="179"/>
      <c r="KP24" s="179"/>
      <c r="KQ24" s="179"/>
      <c r="KR24" s="179"/>
      <c r="KS24" s="179"/>
      <c r="KT24" s="179"/>
      <c r="KU24" s="179"/>
      <c r="KV24" s="179"/>
      <c r="KW24" s="179"/>
      <c r="KX24" s="179"/>
      <c r="KY24" s="179"/>
      <c r="KZ24" s="179"/>
      <c r="LA24" s="179"/>
      <c r="LB24" s="179"/>
      <c r="LC24" s="179"/>
      <c r="LD24" s="179"/>
      <c r="LE24" s="179"/>
      <c r="LF24" s="179"/>
      <c r="LG24" s="179"/>
      <c r="LH24" s="179"/>
      <c r="LI24" s="179"/>
      <c r="LJ24" s="179"/>
      <c r="LK24" s="179"/>
      <c r="LL24" s="179"/>
      <c r="LM24" s="179"/>
      <c r="LN24" s="179"/>
      <c r="LO24" s="179"/>
      <c r="LP24" s="179"/>
      <c r="LQ24" s="179"/>
      <c r="LR24" s="179"/>
      <c r="LS24" s="179"/>
      <c r="LT24" s="179"/>
      <c r="LU24" s="179"/>
      <c r="LV24" s="179"/>
      <c r="LW24" s="179"/>
      <c r="LX24" s="179"/>
      <c r="MB24" s="179"/>
      <c r="MC24" s="179"/>
      <c r="MD24" s="179"/>
      <c r="ME24" s="180"/>
      <c r="MF24" s="181"/>
    </row>
    <row r="25" spans="4:344" ht="5.0999999999999996" customHeight="1" x14ac:dyDescent="0.3">
      <c r="D25" s="177"/>
      <c r="E25" s="178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179"/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79"/>
      <c r="DK25" s="179"/>
      <c r="DL25" s="179"/>
      <c r="DM25" s="179"/>
      <c r="DN25" s="179"/>
      <c r="DO25" s="179"/>
      <c r="DP25" s="179"/>
      <c r="DQ25" s="179"/>
      <c r="DR25" s="179"/>
      <c r="DS25" s="179"/>
      <c r="DT25" s="179"/>
      <c r="DU25" s="179"/>
      <c r="DV25" s="179"/>
      <c r="DW25" s="179"/>
      <c r="DX25" s="179"/>
      <c r="DY25" s="179"/>
      <c r="DZ25" s="179"/>
      <c r="EA25" s="179"/>
      <c r="EB25" s="179"/>
      <c r="EC25" s="179"/>
      <c r="ED25" s="179"/>
      <c r="EE25" s="179"/>
      <c r="EF25" s="179"/>
      <c r="EG25" s="179"/>
      <c r="EH25" s="179"/>
      <c r="EI25" s="179"/>
      <c r="EJ25" s="179"/>
      <c r="EK25" s="179"/>
      <c r="EL25" s="179"/>
      <c r="EM25" s="179"/>
      <c r="EN25" s="179"/>
      <c r="EO25" s="179"/>
      <c r="EP25" s="179"/>
      <c r="EQ25" s="179"/>
      <c r="ER25" s="179"/>
      <c r="ES25" s="179"/>
      <c r="ET25" s="179"/>
      <c r="EU25" s="179"/>
      <c r="EV25" s="179"/>
      <c r="EY25" s="264"/>
      <c r="EZ25" s="265"/>
      <c r="FA25" s="265"/>
      <c r="FB25" s="265"/>
      <c r="FC25" s="265"/>
      <c r="FD25" s="265"/>
      <c r="FE25" s="265"/>
      <c r="FF25" s="265"/>
      <c r="FG25" s="265"/>
      <c r="FH25" s="265"/>
      <c r="FI25" s="265"/>
      <c r="FJ25" s="265"/>
      <c r="FK25" s="265"/>
      <c r="FL25" s="265"/>
      <c r="FM25" s="265"/>
      <c r="FN25" s="265"/>
      <c r="FO25" s="265"/>
      <c r="FP25" s="265"/>
      <c r="FQ25" s="265"/>
      <c r="FR25" s="265"/>
      <c r="FS25" s="265"/>
      <c r="FT25" s="265"/>
      <c r="FU25" s="265"/>
      <c r="FV25" s="265"/>
      <c r="FW25" s="265"/>
      <c r="FX25" s="265"/>
      <c r="FY25" s="265"/>
      <c r="FZ25" s="265"/>
      <c r="GA25" s="265"/>
      <c r="GB25" s="265"/>
      <c r="GC25" s="265"/>
      <c r="GD25" s="265"/>
      <c r="GE25" s="265"/>
      <c r="GF25" s="265"/>
      <c r="GG25" s="265"/>
      <c r="GH25" s="265"/>
      <c r="GI25" s="265"/>
      <c r="GJ25" s="265"/>
      <c r="GK25" s="265"/>
      <c r="GL25" s="265"/>
      <c r="GM25" s="348"/>
      <c r="GN25" s="350"/>
      <c r="GO25" s="350"/>
      <c r="GP25" s="350"/>
      <c r="GQ25" s="350"/>
      <c r="HW25" s="179"/>
      <c r="HX25" s="179"/>
      <c r="HY25" s="179"/>
      <c r="HZ25" s="179"/>
      <c r="IA25" s="179"/>
      <c r="IB25" s="179"/>
      <c r="IC25" s="179"/>
      <c r="ID25" s="179"/>
      <c r="IE25" s="179"/>
      <c r="IF25" s="179"/>
      <c r="IG25" s="179"/>
      <c r="IH25" s="179"/>
      <c r="II25" s="179"/>
      <c r="IJ25" s="179"/>
      <c r="IK25" s="179"/>
      <c r="JT25" s="179"/>
      <c r="JU25" s="179"/>
      <c r="JV25" s="179"/>
      <c r="JW25" s="179"/>
      <c r="JX25" s="179"/>
      <c r="JY25" s="179"/>
      <c r="JZ25" s="179"/>
      <c r="KA25" s="179"/>
      <c r="KB25" s="179"/>
      <c r="KC25" s="179"/>
      <c r="KD25" s="179"/>
      <c r="KE25" s="179"/>
      <c r="KF25" s="179"/>
      <c r="KG25" s="179"/>
      <c r="KH25" s="179"/>
      <c r="KI25" s="179"/>
      <c r="KJ25" s="179"/>
      <c r="KK25" s="179"/>
      <c r="KL25" s="179"/>
      <c r="KM25" s="179"/>
      <c r="KN25" s="179"/>
      <c r="KO25" s="179"/>
      <c r="KP25" s="179"/>
      <c r="KQ25" s="179"/>
      <c r="KR25" s="179"/>
      <c r="KS25" s="179"/>
      <c r="KT25" s="179"/>
      <c r="KU25" s="179"/>
      <c r="KV25" s="179"/>
      <c r="KW25" s="179"/>
      <c r="KX25" s="179"/>
      <c r="KY25" s="179"/>
      <c r="KZ25" s="179"/>
      <c r="LA25" s="179"/>
      <c r="LB25" s="179"/>
      <c r="LC25" s="179"/>
      <c r="LD25" s="179"/>
      <c r="LE25" s="179"/>
      <c r="LF25" s="179"/>
      <c r="LG25" s="179"/>
      <c r="LH25" s="179"/>
      <c r="LI25" s="179"/>
      <c r="LJ25" s="179"/>
      <c r="LK25" s="179"/>
      <c r="LL25" s="179"/>
      <c r="LM25" s="179"/>
      <c r="LN25" s="179"/>
      <c r="LO25" s="179"/>
      <c r="LP25" s="179"/>
      <c r="LQ25" s="179"/>
      <c r="LR25" s="179"/>
      <c r="LS25" s="179"/>
      <c r="LT25" s="179"/>
      <c r="LU25" s="179"/>
      <c r="LV25" s="179"/>
      <c r="LW25" s="179"/>
      <c r="LX25" s="179"/>
      <c r="MB25" s="179"/>
      <c r="MC25" s="179"/>
      <c r="MD25" s="179"/>
      <c r="ME25" s="180"/>
      <c r="MF25" s="181"/>
    </row>
    <row r="26" spans="4:344" ht="5.0999999999999996" customHeight="1" x14ac:dyDescent="0.3">
      <c r="D26" s="177"/>
      <c r="E26" s="178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  <c r="BX26" s="179"/>
      <c r="BY26" s="179"/>
      <c r="BZ26" s="179"/>
      <c r="CA26" s="179"/>
      <c r="CB26" s="179"/>
      <c r="CC26" s="179"/>
      <c r="CD26" s="179"/>
      <c r="CE26" s="179"/>
      <c r="CF26" s="179"/>
      <c r="CG26" s="179"/>
      <c r="CH26" s="179"/>
      <c r="CI26" s="179"/>
      <c r="CJ26" s="179"/>
      <c r="CK26" s="179"/>
      <c r="CL26" s="179"/>
      <c r="EY26" s="264"/>
      <c r="EZ26" s="265"/>
      <c r="FA26" s="265"/>
      <c r="FB26" s="265"/>
      <c r="FC26" s="265"/>
      <c r="FD26" s="265"/>
      <c r="FE26" s="265"/>
      <c r="FF26" s="265"/>
      <c r="FG26" s="265"/>
      <c r="FH26" s="265"/>
      <c r="FI26" s="265"/>
      <c r="FJ26" s="265"/>
      <c r="FK26" s="265"/>
      <c r="FL26" s="265"/>
      <c r="FM26" s="265"/>
      <c r="FN26" s="265"/>
      <c r="FO26" s="265"/>
      <c r="FP26" s="265"/>
      <c r="FQ26" s="265"/>
      <c r="FR26" s="265"/>
      <c r="FS26" s="265"/>
      <c r="FT26" s="265"/>
      <c r="FU26" s="265"/>
      <c r="FV26" s="265"/>
      <c r="FW26" s="265"/>
      <c r="FX26" s="265"/>
      <c r="FY26" s="265"/>
      <c r="FZ26" s="265"/>
      <c r="GA26" s="265"/>
      <c r="GB26" s="265"/>
      <c r="GC26" s="265"/>
      <c r="GD26" s="265"/>
      <c r="GE26" s="265"/>
      <c r="GF26" s="265"/>
      <c r="GG26" s="265"/>
      <c r="GH26" s="265"/>
      <c r="GI26" s="265"/>
      <c r="GJ26" s="265"/>
      <c r="GK26" s="265"/>
      <c r="GL26" s="265"/>
      <c r="GM26" s="348"/>
      <c r="GN26" s="350"/>
      <c r="GO26" s="350"/>
      <c r="GP26" s="350"/>
      <c r="GQ26" s="350"/>
      <c r="HW26" s="179"/>
      <c r="HX26" s="179"/>
      <c r="HY26" s="179"/>
      <c r="HZ26" s="179"/>
      <c r="IA26" s="179"/>
      <c r="IB26" s="179"/>
      <c r="IC26" s="179"/>
      <c r="ID26" s="179"/>
      <c r="IE26" s="179"/>
      <c r="IF26" s="179"/>
      <c r="IG26" s="179"/>
      <c r="IH26" s="179"/>
      <c r="II26" s="179"/>
      <c r="IJ26" s="179"/>
      <c r="IK26" s="179"/>
      <c r="JT26" s="179"/>
      <c r="JU26" s="179"/>
      <c r="JV26" s="179"/>
      <c r="JW26" s="179"/>
      <c r="JX26" s="179"/>
      <c r="JY26" s="179"/>
      <c r="JZ26" s="179"/>
      <c r="KA26" s="179"/>
      <c r="KB26" s="179"/>
      <c r="KC26" s="179"/>
      <c r="KD26" s="179"/>
      <c r="KE26" s="179"/>
      <c r="KF26" s="179"/>
      <c r="KG26" s="179"/>
      <c r="KH26" s="179"/>
      <c r="KI26" s="179"/>
      <c r="KJ26" s="179"/>
      <c r="KK26" s="179"/>
      <c r="KL26" s="179"/>
      <c r="KM26" s="179"/>
      <c r="KN26" s="179"/>
      <c r="KO26" s="179"/>
      <c r="KP26" s="179"/>
      <c r="KQ26" s="179"/>
      <c r="KR26" s="179"/>
      <c r="KS26" s="179"/>
      <c r="KT26" s="179"/>
      <c r="KU26" s="179"/>
      <c r="KV26" s="179"/>
      <c r="KW26" s="179"/>
      <c r="KX26" s="179"/>
      <c r="KY26" s="179"/>
      <c r="KZ26" s="179"/>
      <c r="LA26" s="179"/>
      <c r="LB26" s="179"/>
      <c r="LC26" s="179"/>
      <c r="LD26" s="179"/>
      <c r="LE26" s="179"/>
      <c r="LF26" s="179"/>
      <c r="LG26" s="179"/>
      <c r="LH26" s="179"/>
      <c r="LI26" s="179"/>
      <c r="LJ26" s="179"/>
      <c r="LK26" s="179"/>
      <c r="LL26" s="179"/>
      <c r="LM26" s="179"/>
      <c r="LN26" s="179"/>
      <c r="LO26" s="179"/>
      <c r="LP26" s="179"/>
      <c r="LQ26" s="179"/>
      <c r="LR26" s="179"/>
      <c r="LS26" s="179"/>
      <c r="LT26" s="179"/>
      <c r="LU26" s="179"/>
      <c r="LV26" s="179"/>
      <c r="LW26" s="179"/>
      <c r="LX26" s="179"/>
      <c r="MB26" s="179"/>
      <c r="MC26" s="179"/>
      <c r="MD26" s="179"/>
      <c r="ME26" s="180"/>
      <c r="MF26" s="181"/>
    </row>
    <row r="27" spans="4:344" ht="5.0999999999999996" customHeight="1" x14ac:dyDescent="0.3">
      <c r="D27" s="177"/>
      <c r="E27" s="178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EY27" s="267"/>
      <c r="EZ27" s="268"/>
      <c r="FA27" s="268"/>
      <c r="FB27" s="268"/>
      <c r="FC27" s="268"/>
      <c r="FD27" s="268"/>
      <c r="FE27" s="268"/>
      <c r="FF27" s="268"/>
      <c r="FG27" s="268"/>
      <c r="FH27" s="268"/>
      <c r="FI27" s="268"/>
      <c r="FJ27" s="268"/>
      <c r="FK27" s="268"/>
      <c r="FL27" s="268"/>
      <c r="FM27" s="268"/>
      <c r="FN27" s="268"/>
      <c r="FO27" s="268"/>
      <c r="FP27" s="268"/>
      <c r="FQ27" s="268"/>
      <c r="FR27" s="268"/>
      <c r="FS27" s="268"/>
      <c r="FT27" s="268"/>
      <c r="FU27" s="268"/>
      <c r="FV27" s="268"/>
      <c r="FW27" s="268"/>
      <c r="FX27" s="268"/>
      <c r="FY27" s="268"/>
      <c r="FZ27" s="268"/>
      <c r="GA27" s="268"/>
      <c r="GB27" s="268"/>
      <c r="GC27" s="268"/>
      <c r="GD27" s="268"/>
      <c r="GE27" s="268"/>
      <c r="GF27" s="268"/>
      <c r="GG27" s="268"/>
      <c r="GH27" s="268"/>
      <c r="GI27" s="268"/>
      <c r="GJ27" s="268"/>
      <c r="GK27" s="268"/>
      <c r="GL27" s="268"/>
      <c r="GM27" s="349"/>
      <c r="GN27" s="350"/>
      <c r="GO27" s="350"/>
      <c r="GP27" s="350"/>
      <c r="GQ27" s="350"/>
      <c r="HW27" s="179"/>
      <c r="HX27" s="179"/>
      <c r="HY27" s="179"/>
      <c r="HZ27" s="179"/>
      <c r="IA27" s="179"/>
      <c r="IB27" s="179"/>
      <c r="IC27" s="179"/>
      <c r="ID27" s="179"/>
      <c r="IE27" s="179"/>
      <c r="IF27" s="179"/>
      <c r="IG27" s="179"/>
      <c r="IH27" s="179"/>
      <c r="II27" s="179"/>
      <c r="IJ27" s="179"/>
      <c r="IK27" s="179"/>
      <c r="JT27" s="179"/>
      <c r="JU27" s="179"/>
      <c r="JV27" s="179"/>
      <c r="JW27" s="179"/>
      <c r="JX27" s="179"/>
      <c r="JY27" s="179"/>
      <c r="JZ27" s="179"/>
      <c r="KA27" s="179"/>
      <c r="KB27" s="179"/>
      <c r="KC27" s="179"/>
      <c r="KD27" s="179"/>
      <c r="KE27" s="179"/>
      <c r="KF27" s="179"/>
      <c r="KG27" s="179"/>
      <c r="KH27" s="179"/>
      <c r="KI27" s="179"/>
      <c r="KJ27" s="179"/>
      <c r="KK27" s="179"/>
      <c r="KL27" s="179"/>
      <c r="KM27" s="179"/>
      <c r="KN27" s="179"/>
      <c r="KO27" s="179"/>
      <c r="KP27" s="179"/>
      <c r="KQ27" s="179"/>
      <c r="KR27" s="179"/>
      <c r="KS27" s="179"/>
      <c r="KT27" s="179"/>
      <c r="KU27" s="179"/>
      <c r="KV27" s="179"/>
      <c r="KW27" s="179"/>
      <c r="KX27" s="179"/>
      <c r="KY27" s="179"/>
      <c r="KZ27" s="179"/>
      <c r="LA27" s="179"/>
      <c r="LB27" s="179"/>
      <c r="LC27" s="179"/>
      <c r="LD27" s="179"/>
      <c r="LE27" s="179"/>
      <c r="LF27" s="179"/>
      <c r="LG27" s="179"/>
      <c r="LH27" s="179"/>
      <c r="LI27" s="179"/>
      <c r="LJ27" s="179"/>
      <c r="LK27" s="179"/>
      <c r="LL27" s="179"/>
      <c r="LM27" s="179"/>
      <c r="LN27" s="179"/>
      <c r="LO27" s="179"/>
      <c r="LP27" s="179"/>
      <c r="LQ27" s="179"/>
      <c r="LR27" s="179"/>
      <c r="LS27" s="179"/>
      <c r="LT27" s="179"/>
      <c r="LU27" s="179"/>
      <c r="LV27" s="179"/>
      <c r="LW27" s="179"/>
      <c r="LX27" s="179"/>
      <c r="MB27" s="179"/>
      <c r="MC27" s="179"/>
      <c r="MD27" s="179"/>
      <c r="ME27" s="180"/>
      <c r="MF27" s="181"/>
    </row>
    <row r="28" spans="4:344" ht="5.0999999999999996" customHeight="1" x14ac:dyDescent="0.3">
      <c r="D28" s="177"/>
      <c r="E28" s="178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FG28" s="179"/>
      <c r="FH28" s="179"/>
      <c r="FI28" s="179"/>
      <c r="FJ28" s="179"/>
      <c r="FK28" s="179"/>
      <c r="FL28" s="179"/>
      <c r="FM28" s="179"/>
      <c r="FN28" s="179"/>
      <c r="FO28" s="179"/>
      <c r="FP28" s="179"/>
      <c r="FQ28" s="179"/>
      <c r="FR28" s="179"/>
      <c r="FS28" s="182"/>
      <c r="FT28" s="179"/>
      <c r="FU28" s="179"/>
      <c r="FV28" s="179"/>
      <c r="FW28" s="179"/>
      <c r="FX28" s="179"/>
      <c r="FY28" s="179"/>
      <c r="FZ28" s="179"/>
      <c r="GA28" s="179"/>
      <c r="GB28" s="179"/>
      <c r="GC28" s="179"/>
      <c r="GD28" s="179"/>
      <c r="GE28" s="179"/>
      <c r="HW28" s="179"/>
      <c r="HX28" s="179"/>
      <c r="HY28" s="179"/>
      <c r="HZ28" s="179"/>
      <c r="IA28" s="179"/>
      <c r="IB28" s="179"/>
      <c r="IC28" s="179"/>
      <c r="ID28" s="179"/>
      <c r="IE28" s="179"/>
      <c r="IF28" s="179"/>
      <c r="IG28" s="179"/>
      <c r="IH28" s="179"/>
      <c r="II28" s="179"/>
      <c r="IJ28" s="179"/>
      <c r="IK28" s="179"/>
      <c r="JT28" s="179"/>
      <c r="JU28" s="179"/>
      <c r="JV28" s="179"/>
      <c r="JW28" s="179"/>
      <c r="JX28" s="179"/>
      <c r="JY28" s="179"/>
      <c r="JZ28" s="179"/>
      <c r="KA28" s="179"/>
      <c r="KB28" s="179"/>
      <c r="KC28" s="179"/>
      <c r="KD28" s="179"/>
      <c r="KE28" s="179"/>
      <c r="KF28" s="179"/>
      <c r="KG28" s="179"/>
      <c r="KH28" s="179"/>
      <c r="KI28" s="179"/>
      <c r="KJ28" s="179"/>
      <c r="KK28" s="179"/>
      <c r="KL28" s="179"/>
      <c r="KM28" s="179"/>
      <c r="KN28" s="179"/>
      <c r="KO28" s="179"/>
      <c r="KP28" s="179"/>
      <c r="KQ28" s="179"/>
      <c r="KR28" s="179"/>
      <c r="KS28" s="179"/>
      <c r="KT28" s="179"/>
      <c r="KU28" s="179"/>
      <c r="KV28" s="179"/>
      <c r="KW28" s="179"/>
      <c r="KX28" s="179"/>
      <c r="KY28" s="179"/>
      <c r="KZ28" s="179"/>
      <c r="LA28" s="179"/>
      <c r="LB28" s="179"/>
      <c r="LC28" s="179"/>
      <c r="LD28" s="179"/>
      <c r="LE28" s="179"/>
      <c r="LF28" s="179"/>
      <c r="LG28" s="179"/>
      <c r="LH28" s="179"/>
      <c r="LI28" s="179"/>
      <c r="LJ28" s="179"/>
      <c r="LK28" s="179"/>
      <c r="LL28" s="179"/>
      <c r="LM28" s="179"/>
      <c r="LN28" s="179"/>
      <c r="LO28" s="179"/>
      <c r="LP28" s="179"/>
      <c r="LQ28" s="179"/>
      <c r="LR28" s="179"/>
      <c r="LS28" s="179"/>
      <c r="LT28" s="179"/>
      <c r="LU28" s="179"/>
      <c r="LV28" s="179"/>
      <c r="LW28" s="179"/>
      <c r="LX28" s="179"/>
      <c r="MB28" s="179"/>
      <c r="MC28" s="179"/>
      <c r="MD28" s="179"/>
      <c r="ME28" s="180"/>
      <c r="MF28" s="181"/>
    </row>
    <row r="29" spans="4:344" ht="5.0999999999999996" customHeight="1" x14ac:dyDescent="0.3">
      <c r="D29" s="177"/>
      <c r="E29" s="178"/>
      <c r="F29" s="179"/>
      <c r="G29" s="179"/>
      <c r="H29" s="179"/>
      <c r="I29" s="179"/>
      <c r="J29" s="179"/>
      <c r="K29" s="179"/>
      <c r="L29" s="179"/>
      <c r="M29" s="179"/>
      <c r="N29" s="179"/>
      <c r="AQ29" s="179"/>
      <c r="AR29" s="179"/>
      <c r="ED29" s="179"/>
      <c r="EE29" s="179"/>
      <c r="EF29" s="179"/>
      <c r="EG29" s="179"/>
      <c r="EH29" s="179"/>
      <c r="EI29" s="179"/>
      <c r="EJ29" s="179"/>
      <c r="EK29" s="179"/>
      <c r="EL29" s="179"/>
      <c r="EM29" s="179"/>
      <c r="EN29" s="179"/>
      <c r="EO29" s="179"/>
      <c r="EP29" s="179"/>
      <c r="EQ29" s="179"/>
      <c r="ER29" s="179"/>
      <c r="ES29" s="179"/>
      <c r="ET29" s="179"/>
      <c r="EU29" s="179"/>
      <c r="EV29" s="179"/>
      <c r="EW29" s="179"/>
      <c r="EX29" s="179"/>
      <c r="EY29" s="179"/>
      <c r="EZ29" s="179"/>
      <c r="FA29" s="179"/>
      <c r="FB29" s="179"/>
      <c r="FC29" s="179"/>
      <c r="FD29" s="179"/>
      <c r="FE29" s="179"/>
      <c r="FF29" s="179"/>
      <c r="FG29" s="179"/>
      <c r="FH29" s="179"/>
      <c r="FI29" s="179"/>
      <c r="FJ29" s="179"/>
      <c r="FK29" s="179"/>
      <c r="FL29" s="179"/>
      <c r="FM29" s="179"/>
      <c r="FN29" s="179"/>
      <c r="FO29" s="179"/>
      <c r="FP29" s="179"/>
      <c r="FQ29" s="179"/>
      <c r="FR29" s="179"/>
      <c r="FS29" s="182"/>
      <c r="FT29" s="179"/>
      <c r="FU29" s="179"/>
      <c r="FV29" s="179"/>
      <c r="FW29" s="179"/>
      <c r="FX29" s="179"/>
      <c r="FY29" s="179"/>
      <c r="FZ29" s="179"/>
      <c r="GA29" s="179"/>
      <c r="GB29" s="179"/>
      <c r="GC29" s="179"/>
      <c r="GD29" s="179"/>
      <c r="GE29" s="179"/>
      <c r="HW29" s="179"/>
      <c r="HX29" s="179"/>
      <c r="HY29" s="179"/>
      <c r="HZ29" s="179"/>
      <c r="IA29" s="179"/>
      <c r="IB29" s="179"/>
      <c r="IC29" s="179"/>
      <c r="ID29" s="179"/>
      <c r="IE29" s="179"/>
      <c r="IF29" s="179"/>
      <c r="IG29" s="179"/>
      <c r="IH29" s="179"/>
      <c r="II29" s="179"/>
      <c r="IJ29" s="179"/>
      <c r="IK29" s="179"/>
      <c r="JT29" s="179"/>
      <c r="JU29" s="179"/>
      <c r="JV29" s="179"/>
      <c r="JW29" s="179"/>
      <c r="JX29" s="179"/>
      <c r="JY29" s="179"/>
      <c r="JZ29" s="179"/>
      <c r="KA29" s="179"/>
      <c r="KB29" s="179"/>
      <c r="KC29" s="179"/>
      <c r="KD29" s="179"/>
      <c r="KE29" s="179"/>
      <c r="KF29" s="179"/>
      <c r="KG29" s="179"/>
      <c r="KH29" s="179"/>
      <c r="KI29" s="179"/>
      <c r="KJ29" s="179"/>
      <c r="KK29" s="179"/>
      <c r="KL29" s="179"/>
      <c r="KM29" s="179"/>
      <c r="KN29" s="179"/>
      <c r="KO29" s="179"/>
      <c r="KP29" s="179"/>
      <c r="KQ29" s="179"/>
      <c r="KR29" s="179"/>
      <c r="KS29" s="179"/>
      <c r="KT29" s="179"/>
      <c r="KU29" s="179"/>
      <c r="KV29" s="179"/>
      <c r="KW29" s="179"/>
      <c r="KX29" s="179"/>
      <c r="KY29" s="179"/>
      <c r="KZ29" s="179"/>
      <c r="LA29" s="179"/>
      <c r="LB29" s="179"/>
      <c r="LC29" s="179"/>
      <c r="LD29" s="179"/>
      <c r="LE29" s="179"/>
      <c r="LF29" s="179"/>
      <c r="LG29" s="179"/>
      <c r="LH29" s="179"/>
      <c r="LI29" s="179"/>
      <c r="LJ29" s="179"/>
      <c r="LK29" s="179"/>
      <c r="LL29" s="179"/>
      <c r="LM29" s="179"/>
      <c r="LN29" s="179"/>
      <c r="LO29" s="179"/>
      <c r="LP29" s="179"/>
      <c r="LQ29" s="179"/>
      <c r="LR29" s="179"/>
      <c r="LS29" s="179"/>
      <c r="LT29" s="179"/>
      <c r="LU29" s="179"/>
      <c r="LV29" s="179"/>
      <c r="LW29" s="179"/>
      <c r="LX29" s="179"/>
      <c r="MB29" s="179"/>
      <c r="MC29" s="179"/>
      <c r="MD29" s="179"/>
      <c r="ME29" s="180"/>
      <c r="MF29" s="181"/>
    </row>
    <row r="30" spans="4:344" ht="5.0999999999999996" customHeight="1" x14ac:dyDescent="0.3">
      <c r="D30" s="177"/>
      <c r="E30" s="178"/>
      <c r="ED30" s="179"/>
      <c r="EE30" s="179"/>
      <c r="EF30" s="179"/>
      <c r="EG30" s="179"/>
      <c r="EH30" s="179"/>
      <c r="EI30" s="179"/>
      <c r="EJ30" s="179"/>
      <c r="EK30" s="179"/>
      <c r="EL30" s="179"/>
      <c r="EM30" s="179"/>
      <c r="EN30" s="179"/>
      <c r="EO30" s="179"/>
      <c r="EP30" s="179"/>
      <c r="EQ30" s="179"/>
      <c r="ER30" s="179"/>
      <c r="ES30" s="179"/>
      <c r="ET30" s="179"/>
      <c r="EU30" s="179"/>
      <c r="EV30" s="179"/>
      <c r="EW30" s="179"/>
      <c r="EX30" s="179"/>
      <c r="EY30" s="179"/>
      <c r="EZ30" s="179"/>
      <c r="FA30" s="179"/>
      <c r="FB30" s="179"/>
      <c r="FC30" s="179"/>
      <c r="FD30" s="179"/>
      <c r="FE30" s="179"/>
      <c r="FF30" s="179"/>
      <c r="FG30" s="179"/>
      <c r="FH30" s="179"/>
      <c r="FI30" s="179"/>
      <c r="FJ30" s="179"/>
      <c r="FK30" s="179"/>
      <c r="FL30" s="179"/>
      <c r="FM30" s="179"/>
      <c r="FN30" s="179"/>
      <c r="FO30" s="179"/>
      <c r="FP30" s="179"/>
      <c r="FQ30" s="179"/>
      <c r="FR30" s="179"/>
      <c r="FS30" s="183"/>
      <c r="GF30" s="184"/>
      <c r="GG30" s="184"/>
      <c r="GH30" s="184"/>
      <c r="GI30" s="184"/>
      <c r="GJ30" s="184"/>
      <c r="GK30" s="184"/>
      <c r="GL30" s="184"/>
      <c r="GM30" s="184"/>
      <c r="GN30" s="184"/>
      <c r="GO30" s="184"/>
      <c r="GP30" s="184"/>
      <c r="GQ30" s="184"/>
      <c r="GR30" s="184"/>
      <c r="GS30" s="184"/>
      <c r="GT30" s="184"/>
      <c r="GU30" s="184"/>
      <c r="GV30" s="184"/>
      <c r="HF30" s="184"/>
      <c r="HG30" s="184"/>
      <c r="ME30" s="180"/>
      <c r="MF30" s="181"/>
    </row>
    <row r="31" spans="4:344" ht="5.0999999999999996" customHeight="1" x14ac:dyDescent="0.3">
      <c r="D31" s="177"/>
      <c r="E31" s="178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ED31" s="179"/>
      <c r="EE31" s="179"/>
      <c r="EF31" s="179"/>
      <c r="EG31" s="179"/>
      <c r="EH31" s="179"/>
      <c r="EI31" s="179"/>
      <c r="EJ31" s="179"/>
      <c r="EK31" s="179"/>
      <c r="EL31" s="179"/>
      <c r="EM31" s="179"/>
      <c r="EN31" s="179"/>
      <c r="EO31" s="179"/>
      <c r="EP31" s="179"/>
      <c r="EQ31" s="179"/>
      <c r="ER31" s="179"/>
      <c r="ES31" s="179"/>
      <c r="ET31" s="179"/>
      <c r="EU31" s="179"/>
      <c r="EV31" s="179"/>
      <c r="EW31" s="179"/>
      <c r="EX31" s="179"/>
      <c r="EY31" s="179"/>
      <c r="EZ31" s="179"/>
      <c r="FA31" s="179"/>
      <c r="FB31" s="179"/>
      <c r="FC31" s="179"/>
      <c r="FD31" s="179"/>
      <c r="FE31" s="179"/>
      <c r="FF31" s="179"/>
      <c r="FG31" s="179"/>
      <c r="FH31" s="179"/>
      <c r="FI31" s="179"/>
      <c r="FJ31" s="179"/>
      <c r="FK31" s="179"/>
      <c r="FL31" s="179"/>
      <c r="FM31" s="179"/>
      <c r="FN31" s="179"/>
      <c r="FO31" s="179"/>
      <c r="FP31" s="179"/>
      <c r="FQ31" s="179"/>
      <c r="FR31" s="179"/>
      <c r="FS31" s="183"/>
      <c r="GF31" s="184"/>
      <c r="GG31" s="184"/>
      <c r="GH31" s="184"/>
      <c r="GI31" s="184"/>
      <c r="GJ31" s="184"/>
      <c r="GK31" s="184"/>
      <c r="GL31" s="184"/>
      <c r="GM31" s="184"/>
      <c r="GN31" s="184"/>
      <c r="GO31" s="184"/>
      <c r="GP31" s="184"/>
      <c r="GQ31" s="184"/>
      <c r="GR31" s="184"/>
      <c r="GS31" s="184"/>
      <c r="GT31" s="184"/>
      <c r="GU31" s="184"/>
      <c r="GV31" s="184"/>
      <c r="HF31" s="184"/>
      <c r="HG31" s="184"/>
      <c r="ME31" s="180"/>
      <c r="MF31" s="181"/>
    </row>
    <row r="32" spans="4:344" ht="5.0999999999999996" customHeight="1" x14ac:dyDescent="0.3">
      <c r="D32" s="177"/>
      <c r="E32" s="178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ED32" s="179"/>
      <c r="EE32" s="179"/>
      <c r="EF32" s="179"/>
      <c r="EG32" s="179"/>
      <c r="EH32" s="179"/>
      <c r="EI32" s="179"/>
      <c r="EJ32" s="179"/>
      <c r="EK32" s="179"/>
      <c r="EL32" s="179"/>
      <c r="EM32" s="179"/>
      <c r="EN32" s="179"/>
      <c r="EO32" s="179"/>
      <c r="EP32" s="179"/>
      <c r="EQ32" s="179"/>
      <c r="ER32" s="179"/>
      <c r="ES32" s="179"/>
      <c r="ET32" s="179"/>
      <c r="EU32" s="179"/>
      <c r="EV32" s="179"/>
      <c r="EW32" s="179"/>
      <c r="EX32" s="179"/>
      <c r="EY32" s="179"/>
      <c r="EZ32" s="179"/>
      <c r="FA32" s="179"/>
      <c r="FB32" s="179"/>
      <c r="FC32" s="179"/>
      <c r="FD32" s="179"/>
      <c r="FE32" s="179"/>
      <c r="FF32" s="179"/>
      <c r="FG32" s="179"/>
      <c r="FH32" s="179"/>
      <c r="FI32" s="179"/>
      <c r="FJ32" s="179"/>
      <c r="FK32" s="179"/>
      <c r="FL32" s="179"/>
      <c r="FM32" s="179"/>
      <c r="FN32" s="179"/>
      <c r="FO32" s="179"/>
      <c r="FP32" s="179"/>
      <c r="FQ32" s="179"/>
      <c r="FR32" s="179"/>
      <c r="FS32" s="183"/>
      <c r="ME32" s="180"/>
      <c r="MF32" s="181"/>
    </row>
    <row r="33" spans="4:344" ht="5.0999999999999996" customHeight="1" thickBot="1" x14ac:dyDescent="0.35">
      <c r="D33" s="177"/>
      <c r="E33" s="178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ED33" s="179"/>
      <c r="EE33" s="179"/>
      <c r="EF33" s="179"/>
      <c r="EG33" s="179"/>
      <c r="EH33" s="179"/>
      <c r="EI33" s="179"/>
      <c r="EJ33" s="179"/>
      <c r="EK33" s="179"/>
      <c r="EL33" s="179"/>
      <c r="EM33" s="179"/>
      <c r="EN33" s="179"/>
      <c r="EO33" s="179"/>
      <c r="EP33" s="179"/>
      <c r="EQ33" s="179"/>
      <c r="ER33" s="179"/>
      <c r="ES33" s="179"/>
      <c r="ET33" s="179"/>
      <c r="EU33" s="179"/>
      <c r="EV33" s="179"/>
      <c r="EW33" s="179"/>
      <c r="EX33" s="179"/>
      <c r="EY33" s="179"/>
      <c r="EZ33" s="179"/>
      <c r="FA33" s="179"/>
      <c r="FB33" s="179"/>
      <c r="FC33" s="179"/>
      <c r="FD33" s="179"/>
      <c r="FE33" s="179"/>
      <c r="FF33" s="179"/>
      <c r="FG33" s="179"/>
      <c r="FH33" s="179"/>
      <c r="FI33" s="179"/>
      <c r="FJ33" s="179"/>
      <c r="FK33" s="179"/>
      <c r="FL33" s="179"/>
      <c r="FM33" s="179"/>
      <c r="FN33" s="179"/>
      <c r="FO33" s="179"/>
      <c r="FP33" s="179"/>
      <c r="FQ33" s="179"/>
      <c r="FR33" s="179"/>
      <c r="FS33" s="183"/>
      <c r="ME33" s="180"/>
      <c r="MF33" s="181"/>
    </row>
    <row r="34" spans="4:344" ht="5.0999999999999996" customHeight="1" x14ac:dyDescent="0.3">
      <c r="D34" s="177"/>
      <c r="E34" s="178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5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7"/>
      <c r="EE34" s="188"/>
      <c r="EF34" s="188"/>
      <c r="EG34" s="188"/>
      <c r="EH34" s="188"/>
      <c r="EI34" s="188"/>
      <c r="EJ34" s="188"/>
      <c r="EK34" s="188"/>
      <c r="EL34" s="188"/>
      <c r="EM34" s="188"/>
      <c r="EN34" s="188"/>
      <c r="EO34" s="188"/>
      <c r="EP34" s="188"/>
      <c r="EQ34" s="188"/>
      <c r="ER34" s="188"/>
      <c r="ES34" s="188"/>
      <c r="ET34" s="188"/>
      <c r="EU34" s="188"/>
      <c r="EV34" s="188"/>
      <c r="EW34" s="188"/>
      <c r="EX34" s="188"/>
      <c r="EY34" s="188"/>
      <c r="EZ34" s="188"/>
      <c r="FA34" s="188"/>
      <c r="FB34" s="188"/>
      <c r="FC34" s="188"/>
      <c r="FD34" s="188"/>
      <c r="FE34" s="188"/>
      <c r="FF34" s="188"/>
      <c r="FG34" s="188"/>
      <c r="FH34" s="188"/>
      <c r="FI34" s="188"/>
      <c r="FJ34" s="188"/>
      <c r="FK34" s="188"/>
      <c r="FL34" s="188"/>
      <c r="FM34" s="188"/>
      <c r="FN34" s="188"/>
      <c r="FO34" s="188"/>
      <c r="FP34" s="188"/>
      <c r="FQ34" s="188"/>
      <c r="FR34" s="188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6"/>
      <c r="HS34" s="186"/>
      <c r="HT34" s="186"/>
      <c r="HU34" s="186"/>
      <c r="HV34" s="186"/>
      <c r="HW34" s="185"/>
      <c r="HX34" s="186"/>
      <c r="HY34" s="186"/>
      <c r="HZ34" s="186"/>
      <c r="IA34" s="186"/>
      <c r="IB34" s="186"/>
      <c r="IC34" s="186"/>
      <c r="ID34" s="186"/>
      <c r="IE34" s="186"/>
      <c r="IF34" s="186"/>
      <c r="IG34" s="186"/>
      <c r="IH34" s="186"/>
      <c r="II34" s="186"/>
      <c r="IJ34" s="186"/>
      <c r="IK34" s="186"/>
      <c r="IL34" s="186"/>
      <c r="IM34" s="186"/>
      <c r="IN34" s="186"/>
      <c r="IO34" s="186"/>
      <c r="IP34" s="186"/>
      <c r="IQ34" s="186"/>
      <c r="IR34" s="186"/>
      <c r="IS34" s="186"/>
      <c r="IT34" s="186"/>
      <c r="IU34" s="186"/>
      <c r="IV34" s="186"/>
      <c r="IW34" s="186"/>
      <c r="IX34" s="186"/>
      <c r="IY34" s="186"/>
      <c r="IZ34" s="186"/>
      <c r="JA34" s="186"/>
      <c r="JB34" s="186"/>
      <c r="JC34" s="186"/>
      <c r="JD34" s="186"/>
      <c r="JE34" s="186"/>
      <c r="JF34" s="186"/>
      <c r="JG34" s="186"/>
      <c r="JH34" s="186"/>
      <c r="JI34" s="186"/>
      <c r="JJ34" s="186"/>
      <c r="JK34" s="186"/>
      <c r="JL34" s="186"/>
      <c r="JM34" s="186"/>
      <c r="JN34" s="186"/>
      <c r="JO34" s="186"/>
      <c r="JP34" s="186"/>
      <c r="JQ34" s="186"/>
      <c r="JR34" s="186"/>
      <c r="JS34" s="186"/>
      <c r="JT34" s="186"/>
      <c r="JU34" s="186"/>
      <c r="JV34" s="186"/>
      <c r="JW34" s="186"/>
      <c r="JX34" s="186"/>
      <c r="JY34" s="186"/>
      <c r="JZ34" s="186"/>
      <c r="KA34" s="186"/>
      <c r="KB34" s="186"/>
      <c r="KC34" s="186"/>
      <c r="KD34" s="186"/>
      <c r="KE34" s="186"/>
      <c r="KF34" s="186"/>
      <c r="KG34" s="186"/>
      <c r="KH34" s="186"/>
      <c r="KI34" s="186"/>
      <c r="KJ34" s="186"/>
      <c r="KK34" s="186"/>
      <c r="KL34" s="186"/>
      <c r="KM34" s="186"/>
      <c r="KN34" s="186"/>
      <c r="KO34" s="186"/>
      <c r="KP34" s="186"/>
      <c r="KQ34" s="186"/>
      <c r="KR34" s="186"/>
      <c r="KS34" s="186"/>
      <c r="KT34" s="186"/>
      <c r="KU34" s="186"/>
      <c r="KV34" s="189"/>
      <c r="ME34" s="180"/>
      <c r="MF34" s="181"/>
    </row>
    <row r="35" spans="4:344" ht="5.0999999999999996" customHeight="1" x14ac:dyDescent="0.3">
      <c r="D35" s="177"/>
      <c r="E35" s="178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3"/>
      <c r="ED35" s="182"/>
      <c r="EE35" s="179"/>
      <c r="EF35" s="179"/>
      <c r="EG35" s="179"/>
      <c r="EH35" s="179"/>
      <c r="EI35" s="179"/>
      <c r="EJ35" s="179"/>
      <c r="EK35" s="179"/>
      <c r="EL35" s="179"/>
      <c r="EM35" s="179"/>
      <c r="EN35" s="179"/>
      <c r="EO35" s="179"/>
      <c r="EP35" s="179"/>
      <c r="EQ35" s="179"/>
      <c r="ER35" s="179"/>
      <c r="ES35" s="179"/>
      <c r="ET35" s="179"/>
      <c r="EU35" s="179"/>
      <c r="EV35" s="179"/>
      <c r="EW35" s="179"/>
      <c r="EX35" s="179"/>
      <c r="EY35" s="179"/>
      <c r="EZ35" s="179"/>
      <c r="FA35" s="179"/>
      <c r="FB35" s="179"/>
      <c r="FC35" s="179"/>
      <c r="FD35" s="179"/>
      <c r="FE35" s="179"/>
      <c r="FF35" s="179"/>
      <c r="FG35" s="179"/>
      <c r="FH35" s="179"/>
      <c r="FI35" s="179"/>
      <c r="FJ35" s="179"/>
      <c r="FK35" s="179"/>
      <c r="FL35" s="179"/>
      <c r="FM35" s="179"/>
      <c r="FN35" s="179"/>
      <c r="FO35" s="179"/>
      <c r="FP35" s="179"/>
      <c r="FQ35" s="179"/>
      <c r="FR35" s="179"/>
      <c r="HW35" s="183"/>
      <c r="KV35" s="190"/>
      <c r="ME35" s="180"/>
      <c r="MF35" s="181"/>
    </row>
    <row r="36" spans="4:344" ht="5.0999999999999996" customHeight="1" x14ac:dyDescent="0.3">
      <c r="D36" s="177"/>
      <c r="E36" s="178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3"/>
      <c r="ED36" s="182"/>
      <c r="EE36" s="179"/>
      <c r="EF36" s="179"/>
      <c r="EG36" s="179"/>
      <c r="EH36" s="179"/>
      <c r="EI36" s="179"/>
      <c r="EJ36" s="179"/>
      <c r="EK36" s="179"/>
      <c r="EL36" s="179"/>
      <c r="EM36" s="179"/>
      <c r="EN36" s="179"/>
      <c r="EO36" s="179"/>
      <c r="EP36" s="179"/>
      <c r="EQ36" s="179"/>
      <c r="ER36" s="179"/>
      <c r="ES36" s="179"/>
      <c r="ET36" s="179"/>
      <c r="EU36" s="179"/>
      <c r="EV36" s="179"/>
      <c r="EW36" s="179"/>
      <c r="EX36" s="179"/>
      <c r="EY36" s="179"/>
      <c r="EZ36" s="179"/>
      <c r="FA36" s="179"/>
      <c r="FB36" s="179"/>
      <c r="FC36" s="179"/>
      <c r="FD36" s="179"/>
      <c r="FE36" s="179"/>
      <c r="FF36" s="179"/>
      <c r="FG36" s="179"/>
      <c r="FH36" s="179"/>
      <c r="FI36" s="179"/>
      <c r="FJ36" s="179"/>
      <c r="FK36" s="179"/>
      <c r="FL36" s="179"/>
      <c r="FM36" s="179"/>
      <c r="FN36" s="179"/>
      <c r="FO36" s="179"/>
      <c r="FP36" s="179"/>
      <c r="FQ36" s="179"/>
      <c r="FR36" s="179"/>
      <c r="HW36" s="183"/>
      <c r="KV36" s="190"/>
      <c r="ME36" s="180"/>
      <c r="MF36" s="181"/>
    </row>
    <row r="37" spans="4:344" ht="3.75" customHeight="1" x14ac:dyDescent="0.3">
      <c r="D37" s="177"/>
      <c r="E37" s="178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91"/>
      <c r="ED37" s="183"/>
      <c r="HW37" s="183"/>
      <c r="KV37" s="190"/>
      <c r="ME37" s="180"/>
      <c r="MF37" s="181"/>
    </row>
    <row r="38" spans="4:344" ht="5.0999999999999996" customHeight="1" x14ac:dyDescent="0.3">
      <c r="D38" s="177"/>
      <c r="E38" s="178"/>
      <c r="I38" s="350" t="s">
        <v>166</v>
      </c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0">
        <f>SUM(AX49:BB86)</f>
        <v>8</v>
      </c>
      <c r="AY38" s="350"/>
      <c r="AZ38" s="350"/>
      <c r="BA38" s="350"/>
      <c r="BB38" s="350"/>
      <c r="ED38" s="183"/>
      <c r="HW38" s="183"/>
      <c r="JZ38" s="351" t="s">
        <v>167</v>
      </c>
      <c r="KA38" s="352"/>
      <c r="KB38" s="352"/>
      <c r="KC38" s="352"/>
      <c r="KD38" s="352"/>
      <c r="KE38" s="352"/>
      <c r="KF38" s="352"/>
      <c r="KG38" s="352"/>
      <c r="KH38" s="352"/>
      <c r="KI38" s="352"/>
      <c r="KJ38" s="352"/>
      <c r="KK38" s="352"/>
      <c r="KL38" s="352"/>
      <c r="KM38" s="352"/>
      <c r="KN38" s="352"/>
      <c r="KO38" s="352"/>
      <c r="KP38" s="352"/>
      <c r="KQ38" s="352"/>
      <c r="KR38" s="352"/>
      <c r="KS38" s="352"/>
      <c r="KT38" s="352"/>
      <c r="KU38" s="352"/>
      <c r="KV38" s="352"/>
      <c r="KW38" s="352"/>
      <c r="KX38" s="352"/>
      <c r="KY38" s="352"/>
      <c r="KZ38" s="352"/>
      <c r="LA38" s="352"/>
      <c r="LB38" s="352"/>
      <c r="LC38" s="352"/>
      <c r="LD38" s="352"/>
      <c r="LE38" s="352"/>
      <c r="LF38" s="352"/>
      <c r="LG38" s="352"/>
      <c r="LH38" s="352"/>
      <c r="LI38" s="352"/>
      <c r="LJ38" s="352"/>
      <c r="LK38" s="352"/>
      <c r="LL38" s="352"/>
      <c r="LM38" s="352"/>
      <c r="LN38" s="353"/>
      <c r="LO38" s="350">
        <f>SUM(LO49)</f>
        <v>1</v>
      </c>
      <c r="LP38" s="350"/>
      <c r="LQ38" s="350"/>
      <c r="LR38" s="350"/>
      <c r="LS38" s="350"/>
      <c r="LT38" s="350"/>
      <c r="ME38" s="180"/>
      <c r="MF38" s="181"/>
    </row>
    <row r="39" spans="4:344" ht="5.0999999999999996" customHeight="1" x14ac:dyDescent="0.3">
      <c r="D39" s="177"/>
      <c r="E39" s="178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ED39" s="192"/>
      <c r="EE39" s="193"/>
      <c r="EF39" s="193"/>
      <c r="HW39" s="183"/>
      <c r="JZ39" s="354"/>
      <c r="KA39" s="265"/>
      <c r="KB39" s="265"/>
      <c r="KC39" s="265"/>
      <c r="KD39" s="265"/>
      <c r="KE39" s="265"/>
      <c r="KF39" s="265"/>
      <c r="KG39" s="265"/>
      <c r="KH39" s="265"/>
      <c r="KI39" s="265"/>
      <c r="KJ39" s="265"/>
      <c r="KK39" s="265"/>
      <c r="KL39" s="265"/>
      <c r="KM39" s="265"/>
      <c r="KN39" s="265"/>
      <c r="KO39" s="265"/>
      <c r="KP39" s="265"/>
      <c r="KQ39" s="265"/>
      <c r="KR39" s="265"/>
      <c r="KS39" s="265"/>
      <c r="KT39" s="265"/>
      <c r="KU39" s="265"/>
      <c r="KV39" s="265"/>
      <c r="KW39" s="265"/>
      <c r="KX39" s="265"/>
      <c r="KY39" s="265"/>
      <c r="KZ39" s="265"/>
      <c r="LA39" s="265"/>
      <c r="LB39" s="265"/>
      <c r="LC39" s="265"/>
      <c r="LD39" s="265"/>
      <c r="LE39" s="265"/>
      <c r="LF39" s="265"/>
      <c r="LG39" s="265"/>
      <c r="LH39" s="265"/>
      <c r="LI39" s="265"/>
      <c r="LJ39" s="265"/>
      <c r="LK39" s="265"/>
      <c r="LL39" s="265"/>
      <c r="LM39" s="265"/>
      <c r="LN39" s="348"/>
      <c r="LO39" s="350"/>
      <c r="LP39" s="350"/>
      <c r="LQ39" s="350"/>
      <c r="LR39" s="350"/>
      <c r="LS39" s="350"/>
      <c r="LT39" s="350"/>
      <c r="ME39" s="180"/>
      <c r="MF39" s="181"/>
    </row>
    <row r="40" spans="4:344" ht="5.0999999999999996" customHeight="1" x14ac:dyDescent="0.3">
      <c r="D40" s="177"/>
      <c r="E40" s="178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350"/>
      <c r="AB40" s="350"/>
      <c r="AC40" s="350"/>
      <c r="AD40" s="350"/>
      <c r="AE40" s="350"/>
      <c r="AF40" s="350"/>
      <c r="AG40" s="350"/>
      <c r="AH40" s="350"/>
      <c r="AI40" s="350"/>
      <c r="AJ40" s="350"/>
      <c r="AK40" s="350"/>
      <c r="AL40" s="350"/>
      <c r="AM40" s="350"/>
      <c r="AN40" s="350"/>
      <c r="AO40" s="350"/>
      <c r="AP40" s="350"/>
      <c r="AQ40" s="350"/>
      <c r="AR40" s="350"/>
      <c r="AS40" s="350"/>
      <c r="AT40" s="350"/>
      <c r="AU40" s="350"/>
      <c r="AV40" s="350"/>
      <c r="AW40" s="350"/>
      <c r="AX40" s="350"/>
      <c r="AY40" s="350"/>
      <c r="AZ40" s="350"/>
      <c r="BA40" s="350"/>
      <c r="BB40" s="350"/>
      <c r="DG40" s="298" t="s">
        <v>222</v>
      </c>
      <c r="DH40" s="298"/>
      <c r="DI40" s="298"/>
      <c r="DJ40" s="298"/>
      <c r="DK40" s="298"/>
      <c r="DL40" s="298"/>
      <c r="DM40" s="298"/>
      <c r="DN40" s="298"/>
      <c r="DO40" s="298"/>
      <c r="DP40" s="298"/>
      <c r="DQ40" s="298"/>
      <c r="DR40" s="298"/>
      <c r="DS40" s="298"/>
      <c r="DT40" s="298"/>
      <c r="DU40" s="298"/>
      <c r="DV40" s="298"/>
      <c r="DW40" s="298"/>
      <c r="DX40" s="298"/>
      <c r="DY40" s="298"/>
      <c r="DZ40" s="298"/>
      <c r="EA40" s="298"/>
      <c r="EB40" s="298"/>
      <c r="EC40" s="298"/>
      <c r="ED40" s="298"/>
      <c r="EE40" s="298"/>
      <c r="EF40" s="298"/>
      <c r="EG40" s="298"/>
      <c r="EH40" s="298"/>
      <c r="EI40" s="298"/>
      <c r="EJ40" s="298"/>
      <c r="EK40" s="298"/>
      <c r="EL40" s="298"/>
      <c r="EM40" s="298"/>
      <c r="EN40" s="298"/>
      <c r="EO40" s="298"/>
      <c r="EP40" s="298"/>
      <c r="EQ40" s="298"/>
      <c r="ER40" s="298"/>
      <c r="ES40" s="298"/>
      <c r="ET40" s="298"/>
      <c r="EU40" s="298"/>
      <c r="EV40" s="299">
        <v>1</v>
      </c>
      <c r="EW40" s="299"/>
      <c r="EX40" s="299"/>
      <c r="EY40" s="299"/>
      <c r="HW40" s="183"/>
      <c r="JZ40" s="354"/>
      <c r="KA40" s="265"/>
      <c r="KB40" s="265"/>
      <c r="KC40" s="265"/>
      <c r="KD40" s="265"/>
      <c r="KE40" s="265"/>
      <c r="KF40" s="265"/>
      <c r="KG40" s="265"/>
      <c r="KH40" s="265"/>
      <c r="KI40" s="265"/>
      <c r="KJ40" s="265"/>
      <c r="KK40" s="265"/>
      <c r="KL40" s="265"/>
      <c r="KM40" s="265"/>
      <c r="KN40" s="265"/>
      <c r="KO40" s="265"/>
      <c r="KP40" s="265"/>
      <c r="KQ40" s="265"/>
      <c r="KR40" s="265"/>
      <c r="KS40" s="265"/>
      <c r="KT40" s="265"/>
      <c r="KU40" s="265"/>
      <c r="KV40" s="265"/>
      <c r="KW40" s="265"/>
      <c r="KX40" s="265"/>
      <c r="KY40" s="265"/>
      <c r="KZ40" s="265"/>
      <c r="LA40" s="265"/>
      <c r="LB40" s="265"/>
      <c r="LC40" s="265"/>
      <c r="LD40" s="265"/>
      <c r="LE40" s="265"/>
      <c r="LF40" s="265"/>
      <c r="LG40" s="265"/>
      <c r="LH40" s="265"/>
      <c r="LI40" s="265"/>
      <c r="LJ40" s="265"/>
      <c r="LK40" s="265"/>
      <c r="LL40" s="265"/>
      <c r="LM40" s="265"/>
      <c r="LN40" s="348"/>
      <c r="LO40" s="350"/>
      <c r="LP40" s="350"/>
      <c r="LQ40" s="350"/>
      <c r="LR40" s="350"/>
      <c r="LS40" s="350"/>
      <c r="LT40" s="350"/>
      <c r="ME40" s="180"/>
      <c r="MF40" s="181"/>
    </row>
    <row r="41" spans="4:344" ht="5.0999999999999996" customHeight="1" x14ac:dyDescent="0.3">
      <c r="D41" s="177"/>
      <c r="E41" s="178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  <c r="AX41" s="350"/>
      <c r="AY41" s="350"/>
      <c r="AZ41" s="350"/>
      <c r="BA41" s="350"/>
      <c r="BB41" s="350"/>
      <c r="DG41" s="298"/>
      <c r="DH41" s="298"/>
      <c r="DI41" s="298"/>
      <c r="DJ41" s="298"/>
      <c r="DK41" s="298"/>
      <c r="DL41" s="298"/>
      <c r="DM41" s="298"/>
      <c r="DN41" s="298"/>
      <c r="DO41" s="298"/>
      <c r="DP41" s="298"/>
      <c r="DQ41" s="298"/>
      <c r="DR41" s="298"/>
      <c r="DS41" s="298"/>
      <c r="DT41" s="298"/>
      <c r="DU41" s="298"/>
      <c r="DV41" s="298"/>
      <c r="DW41" s="298"/>
      <c r="DX41" s="298"/>
      <c r="DY41" s="298"/>
      <c r="DZ41" s="298"/>
      <c r="EA41" s="298"/>
      <c r="EB41" s="298"/>
      <c r="EC41" s="298"/>
      <c r="ED41" s="298"/>
      <c r="EE41" s="298"/>
      <c r="EF41" s="298"/>
      <c r="EG41" s="298"/>
      <c r="EH41" s="298"/>
      <c r="EI41" s="298"/>
      <c r="EJ41" s="298"/>
      <c r="EK41" s="298"/>
      <c r="EL41" s="298"/>
      <c r="EM41" s="298"/>
      <c r="EN41" s="298"/>
      <c r="EO41" s="298"/>
      <c r="EP41" s="298"/>
      <c r="EQ41" s="298"/>
      <c r="ER41" s="298"/>
      <c r="ES41" s="298"/>
      <c r="ET41" s="298"/>
      <c r="EU41" s="298"/>
      <c r="EV41" s="299"/>
      <c r="EW41" s="299"/>
      <c r="EX41" s="299"/>
      <c r="EY41" s="299"/>
      <c r="HW41" s="183"/>
      <c r="JZ41" s="354"/>
      <c r="KA41" s="265"/>
      <c r="KB41" s="265"/>
      <c r="KC41" s="265"/>
      <c r="KD41" s="265"/>
      <c r="KE41" s="265"/>
      <c r="KF41" s="265"/>
      <c r="KG41" s="265"/>
      <c r="KH41" s="265"/>
      <c r="KI41" s="265"/>
      <c r="KJ41" s="265"/>
      <c r="KK41" s="265"/>
      <c r="KL41" s="265"/>
      <c r="KM41" s="265"/>
      <c r="KN41" s="265"/>
      <c r="KO41" s="265"/>
      <c r="KP41" s="265"/>
      <c r="KQ41" s="265"/>
      <c r="KR41" s="265"/>
      <c r="KS41" s="265"/>
      <c r="KT41" s="265"/>
      <c r="KU41" s="265"/>
      <c r="KV41" s="265"/>
      <c r="KW41" s="265"/>
      <c r="KX41" s="265"/>
      <c r="KY41" s="265"/>
      <c r="KZ41" s="265"/>
      <c r="LA41" s="265"/>
      <c r="LB41" s="265"/>
      <c r="LC41" s="265"/>
      <c r="LD41" s="265"/>
      <c r="LE41" s="265"/>
      <c r="LF41" s="265"/>
      <c r="LG41" s="265"/>
      <c r="LH41" s="265"/>
      <c r="LI41" s="265"/>
      <c r="LJ41" s="265"/>
      <c r="LK41" s="265"/>
      <c r="LL41" s="265"/>
      <c r="LM41" s="265"/>
      <c r="LN41" s="348"/>
      <c r="LO41" s="350"/>
      <c r="LP41" s="350"/>
      <c r="LQ41" s="350"/>
      <c r="LR41" s="350"/>
      <c r="LS41" s="350"/>
      <c r="LT41" s="350"/>
      <c r="ME41" s="180"/>
      <c r="MF41" s="181"/>
    </row>
    <row r="42" spans="4:344" ht="5.0999999999999996" customHeight="1" x14ac:dyDescent="0.3">
      <c r="D42" s="177"/>
      <c r="E42" s="178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  <c r="AR42" s="350"/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DG42" s="298"/>
      <c r="DH42" s="298"/>
      <c r="DI42" s="298"/>
      <c r="DJ42" s="298"/>
      <c r="DK42" s="298"/>
      <c r="DL42" s="298"/>
      <c r="DM42" s="298"/>
      <c r="DN42" s="298"/>
      <c r="DO42" s="298"/>
      <c r="DP42" s="298"/>
      <c r="DQ42" s="298"/>
      <c r="DR42" s="298"/>
      <c r="DS42" s="298"/>
      <c r="DT42" s="298"/>
      <c r="DU42" s="298"/>
      <c r="DV42" s="298"/>
      <c r="DW42" s="298"/>
      <c r="DX42" s="298"/>
      <c r="DY42" s="298"/>
      <c r="DZ42" s="298"/>
      <c r="EA42" s="298"/>
      <c r="EB42" s="298"/>
      <c r="EC42" s="298"/>
      <c r="ED42" s="298"/>
      <c r="EE42" s="298"/>
      <c r="EF42" s="298"/>
      <c r="EG42" s="298"/>
      <c r="EH42" s="298"/>
      <c r="EI42" s="298"/>
      <c r="EJ42" s="298"/>
      <c r="EK42" s="298"/>
      <c r="EL42" s="298"/>
      <c r="EM42" s="298"/>
      <c r="EN42" s="298"/>
      <c r="EO42" s="298"/>
      <c r="EP42" s="298"/>
      <c r="EQ42" s="298"/>
      <c r="ER42" s="298"/>
      <c r="ES42" s="298"/>
      <c r="ET42" s="298"/>
      <c r="EU42" s="298"/>
      <c r="EV42" s="299"/>
      <c r="EW42" s="299"/>
      <c r="EX42" s="299"/>
      <c r="EY42" s="299"/>
      <c r="HW42" s="183"/>
      <c r="JZ42" s="354"/>
      <c r="KA42" s="265"/>
      <c r="KB42" s="265"/>
      <c r="KC42" s="265"/>
      <c r="KD42" s="265"/>
      <c r="KE42" s="265"/>
      <c r="KF42" s="265"/>
      <c r="KG42" s="265"/>
      <c r="KH42" s="265"/>
      <c r="KI42" s="265"/>
      <c r="KJ42" s="265"/>
      <c r="KK42" s="265"/>
      <c r="KL42" s="265"/>
      <c r="KM42" s="265"/>
      <c r="KN42" s="265"/>
      <c r="KO42" s="265"/>
      <c r="KP42" s="265"/>
      <c r="KQ42" s="265"/>
      <c r="KR42" s="265"/>
      <c r="KS42" s="265"/>
      <c r="KT42" s="265"/>
      <c r="KU42" s="265"/>
      <c r="KV42" s="265"/>
      <c r="KW42" s="265"/>
      <c r="KX42" s="265"/>
      <c r="KY42" s="265"/>
      <c r="KZ42" s="265"/>
      <c r="LA42" s="265"/>
      <c r="LB42" s="265"/>
      <c r="LC42" s="265"/>
      <c r="LD42" s="265"/>
      <c r="LE42" s="265"/>
      <c r="LF42" s="265"/>
      <c r="LG42" s="265"/>
      <c r="LH42" s="265"/>
      <c r="LI42" s="265"/>
      <c r="LJ42" s="265"/>
      <c r="LK42" s="265"/>
      <c r="LL42" s="265"/>
      <c r="LM42" s="265"/>
      <c r="LN42" s="348"/>
      <c r="LO42" s="350"/>
      <c r="LP42" s="350"/>
      <c r="LQ42" s="350"/>
      <c r="LR42" s="350"/>
      <c r="LS42" s="350"/>
      <c r="LT42" s="350"/>
      <c r="ME42" s="180"/>
      <c r="MF42" s="181"/>
    </row>
    <row r="43" spans="4:344" ht="5.0999999999999996" customHeight="1" x14ac:dyDescent="0.3">
      <c r="D43" s="177"/>
      <c r="E43" s="178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DG43" s="298"/>
      <c r="DH43" s="298"/>
      <c r="DI43" s="298"/>
      <c r="DJ43" s="298"/>
      <c r="DK43" s="298"/>
      <c r="DL43" s="298"/>
      <c r="DM43" s="298"/>
      <c r="DN43" s="298"/>
      <c r="DO43" s="298"/>
      <c r="DP43" s="298"/>
      <c r="DQ43" s="298"/>
      <c r="DR43" s="298"/>
      <c r="DS43" s="298"/>
      <c r="DT43" s="298"/>
      <c r="DU43" s="298"/>
      <c r="DV43" s="298"/>
      <c r="DW43" s="298"/>
      <c r="DX43" s="298"/>
      <c r="DY43" s="298"/>
      <c r="DZ43" s="298"/>
      <c r="EA43" s="298"/>
      <c r="EB43" s="298"/>
      <c r="EC43" s="298"/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8"/>
      <c r="EQ43" s="298"/>
      <c r="ER43" s="298"/>
      <c r="ES43" s="298"/>
      <c r="ET43" s="298"/>
      <c r="EU43" s="298"/>
      <c r="EV43" s="299"/>
      <c r="EW43" s="299"/>
      <c r="EX43" s="299"/>
      <c r="EY43" s="299"/>
      <c r="HW43" s="183"/>
      <c r="JZ43" s="354"/>
      <c r="KA43" s="265"/>
      <c r="KB43" s="265"/>
      <c r="KC43" s="265"/>
      <c r="KD43" s="265"/>
      <c r="KE43" s="265"/>
      <c r="KF43" s="265"/>
      <c r="KG43" s="265"/>
      <c r="KH43" s="265"/>
      <c r="KI43" s="265"/>
      <c r="KJ43" s="265"/>
      <c r="KK43" s="265"/>
      <c r="KL43" s="265"/>
      <c r="KM43" s="265"/>
      <c r="KN43" s="265"/>
      <c r="KO43" s="265"/>
      <c r="KP43" s="265"/>
      <c r="KQ43" s="265"/>
      <c r="KR43" s="265"/>
      <c r="KS43" s="265"/>
      <c r="KT43" s="265"/>
      <c r="KU43" s="265"/>
      <c r="KV43" s="265"/>
      <c r="KW43" s="265"/>
      <c r="KX43" s="265"/>
      <c r="KY43" s="265"/>
      <c r="KZ43" s="265"/>
      <c r="LA43" s="265"/>
      <c r="LB43" s="265"/>
      <c r="LC43" s="265"/>
      <c r="LD43" s="265"/>
      <c r="LE43" s="265"/>
      <c r="LF43" s="265"/>
      <c r="LG43" s="265"/>
      <c r="LH43" s="265"/>
      <c r="LI43" s="265"/>
      <c r="LJ43" s="265"/>
      <c r="LK43" s="265"/>
      <c r="LL43" s="265"/>
      <c r="LM43" s="265"/>
      <c r="LN43" s="348"/>
      <c r="LO43" s="350"/>
      <c r="LP43" s="350"/>
      <c r="LQ43" s="350"/>
      <c r="LR43" s="350"/>
      <c r="LS43" s="350"/>
      <c r="LT43" s="350"/>
      <c r="ME43" s="180"/>
      <c r="MF43" s="181"/>
    </row>
    <row r="44" spans="4:344" ht="5.0999999999999996" customHeight="1" x14ac:dyDescent="0.3">
      <c r="D44" s="177"/>
      <c r="E44" s="178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  <c r="AB44" s="350"/>
      <c r="AC44" s="350"/>
      <c r="AD44" s="350"/>
      <c r="AE44" s="350"/>
      <c r="AF44" s="350"/>
      <c r="AG44" s="350"/>
      <c r="AH44" s="350"/>
      <c r="AI44" s="350"/>
      <c r="AJ44" s="350"/>
      <c r="AK44" s="350"/>
      <c r="AL44" s="350"/>
      <c r="AM44" s="350"/>
      <c r="AN44" s="350"/>
      <c r="AO44" s="350"/>
      <c r="AP44" s="350"/>
      <c r="AQ44" s="350"/>
      <c r="AR44" s="350"/>
      <c r="AS44" s="350"/>
      <c r="AT44" s="350"/>
      <c r="AU44" s="350"/>
      <c r="AV44" s="350"/>
      <c r="AW44" s="350"/>
      <c r="AX44" s="350"/>
      <c r="AY44" s="350"/>
      <c r="AZ44" s="350"/>
      <c r="BA44" s="350"/>
      <c r="BB44" s="350"/>
      <c r="DG44" s="298"/>
      <c r="DH44" s="298"/>
      <c r="DI44" s="298"/>
      <c r="DJ44" s="298"/>
      <c r="DK44" s="298"/>
      <c r="DL44" s="298"/>
      <c r="DM44" s="298"/>
      <c r="DN44" s="298"/>
      <c r="DO44" s="298"/>
      <c r="DP44" s="298"/>
      <c r="DQ44" s="298"/>
      <c r="DR44" s="298"/>
      <c r="DS44" s="298"/>
      <c r="DT44" s="298"/>
      <c r="DU44" s="298"/>
      <c r="DV44" s="298"/>
      <c r="DW44" s="298"/>
      <c r="DX44" s="298"/>
      <c r="DY44" s="298"/>
      <c r="DZ44" s="298"/>
      <c r="EA44" s="298"/>
      <c r="EB44" s="298"/>
      <c r="EC44" s="298"/>
      <c r="ED44" s="298"/>
      <c r="EE44" s="298"/>
      <c r="EF44" s="298"/>
      <c r="EG44" s="298"/>
      <c r="EH44" s="298"/>
      <c r="EI44" s="298"/>
      <c r="EJ44" s="298"/>
      <c r="EK44" s="298"/>
      <c r="EL44" s="298"/>
      <c r="EM44" s="298"/>
      <c r="EN44" s="298"/>
      <c r="EO44" s="298"/>
      <c r="EP44" s="298"/>
      <c r="EQ44" s="298"/>
      <c r="ER44" s="298"/>
      <c r="ES44" s="298"/>
      <c r="ET44" s="298"/>
      <c r="EU44" s="298"/>
      <c r="EV44" s="299"/>
      <c r="EW44" s="299"/>
      <c r="EX44" s="299"/>
      <c r="EY44" s="299"/>
      <c r="HW44" s="192"/>
      <c r="HX44" s="193"/>
      <c r="HY44" s="193"/>
      <c r="JZ44" s="354"/>
      <c r="KA44" s="265"/>
      <c r="KB44" s="265"/>
      <c r="KC44" s="265"/>
      <c r="KD44" s="265"/>
      <c r="KE44" s="265"/>
      <c r="KF44" s="265"/>
      <c r="KG44" s="265"/>
      <c r="KH44" s="265"/>
      <c r="KI44" s="265"/>
      <c r="KJ44" s="265"/>
      <c r="KK44" s="265"/>
      <c r="KL44" s="265"/>
      <c r="KM44" s="265"/>
      <c r="KN44" s="265"/>
      <c r="KO44" s="265"/>
      <c r="KP44" s="265"/>
      <c r="KQ44" s="265"/>
      <c r="KR44" s="265"/>
      <c r="KS44" s="265"/>
      <c r="KT44" s="265"/>
      <c r="KU44" s="265"/>
      <c r="KV44" s="265"/>
      <c r="KW44" s="265"/>
      <c r="KX44" s="265"/>
      <c r="KY44" s="265"/>
      <c r="KZ44" s="265"/>
      <c r="LA44" s="265"/>
      <c r="LB44" s="265"/>
      <c r="LC44" s="265"/>
      <c r="LD44" s="265"/>
      <c r="LE44" s="265"/>
      <c r="LF44" s="265"/>
      <c r="LG44" s="265"/>
      <c r="LH44" s="265"/>
      <c r="LI44" s="265"/>
      <c r="LJ44" s="265"/>
      <c r="LK44" s="265"/>
      <c r="LL44" s="265"/>
      <c r="LM44" s="265"/>
      <c r="LN44" s="348"/>
      <c r="LO44" s="350"/>
      <c r="LP44" s="350"/>
      <c r="LQ44" s="350"/>
      <c r="LR44" s="350"/>
      <c r="LS44" s="350"/>
      <c r="LT44" s="350"/>
      <c r="ME44" s="180"/>
      <c r="MF44" s="181"/>
    </row>
    <row r="45" spans="4:344" ht="5.0999999999999996" customHeight="1" x14ac:dyDescent="0.3">
      <c r="D45" s="177"/>
      <c r="E45" s="178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0"/>
      <c r="AX45" s="350"/>
      <c r="AY45" s="350"/>
      <c r="AZ45" s="350"/>
      <c r="BA45" s="350"/>
      <c r="BB45" s="350"/>
      <c r="DG45" s="298"/>
      <c r="DH45" s="298"/>
      <c r="DI45" s="298"/>
      <c r="DJ45" s="298"/>
      <c r="DK45" s="298"/>
      <c r="DL45" s="298"/>
      <c r="DM45" s="298"/>
      <c r="DN45" s="298"/>
      <c r="DO45" s="298"/>
      <c r="DP45" s="298"/>
      <c r="DQ45" s="298"/>
      <c r="DR45" s="298"/>
      <c r="DS45" s="298"/>
      <c r="DT45" s="298"/>
      <c r="DU45" s="298"/>
      <c r="DV45" s="298"/>
      <c r="DW45" s="298"/>
      <c r="DX45" s="298"/>
      <c r="DY45" s="298"/>
      <c r="DZ45" s="298"/>
      <c r="EA45" s="298"/>
      <c r="EB45" s="298"/>
      <c r="EC45" s="298"/>
      <c r="ED45" s="298"/>
      <c r="EE45" s="298"/>
      <c r="EF45" s="298"/>
      <c r="EG45" s="298"/>
      <c r="EH45" s="298"/>
      <c r="EI45" s="298"/>
      <c r="EJ45" s="298"/>
      <c r="EK45" s="298"/>
      <c r="EL45" s="298"/>
      <c r="EM45" s="298"/>
      <c r="EN45" s="298"/>
      <c r="EO45" s="298"/>
      <c r="EP45" s="298"/>
      <c r="EQ45" s="298"/>
      <c r="ER45" s="298"/>
      <c r="ES45" s="298"/>
      <c r="ET45" s="298"/>
      <c r="EU45" s="298"/>
      <c r="EV45" s="299"/>
      <c r="EW45" s="299"/>
      <c r="EX45" s="299"/>
      <c r="EY45" s="299"/>
      <c r="HA45" s="320" t="s">
        <v>168</v>
      </c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1">
        <f>SUM(HM95,JK95,LI95,IO61)</f>
        <v>25</v>
      </c>
      <c r="IO45" s="322"/>
      <c r="IP45" s="322"/>
      <c r="IQ45" s="322"/>
      <c r="IR45" s="323"/>
      <c r="JZ45" s="354"/>
      <c r="KA45" s="265"/>
      <c r="KB45" s="265"/>
      <c r="KC45" s="265"/>
      <c r="KD45" s="265"/>
      <c r="KE45" s="265"/>
      <c r="KF45" s="265"/>
      <c r="KG45" s="265"/>
      <c r="KH45" s="265"/>
      <c r="KI45" s="265"/>
      <c r="KJ45" s="265"/>
      <c r="KK45" s="265"/>
      <c r="KL45" s="265"/>
      <c r="KM45" s="265"/>
      <c r="KN45" s="265"/>
      <c r="KO45" s="265"/>
      <c r="KP45" s="265"/>
      <c r="KQ45" s="265"/>
      <c r="KR45" s="265"/>
      <c r="KS45" s="265"/>
      <c r="KT45" s="265"/>
      <c r="KU45" s="265"/>
      <c r="KV45" s="265"/>
      <c r="KW45" s="265"/>
      <c r="KX45" s="265"/>
      <c r="KY45" s="265"/>
      <c r="KZ45" s="265"/>
      <c r="LA45" s="265"/>
      <c r="LB45" s="265"/>
      <c r="LC45" s="265"/>
      <c r="LD45" s="265"/>
      <c r="LE45" s="265"/>
      <c r="LF45" s="265"/>
      <c r="LG45" s="265"/>
      <c r="LH45" s="265"/>
      <c r="LI45" s="265"/>
      <c r="LJ45" s="265"/>
      <c r="LK45" s="265"/>
      <c r="LL45" s="265"/>
      <c r="LM45" s="265"/>
      <c r="LN45" s="348"/>
      <c r="LO45" s="350"/>
      <c r="LP45" s="350"/>
      <c r="LQ45" s="350"/>
      <c r="LR45" s="350"/>
      <c r="LS45" s="350"/>
      <c r="LT45" s="350"/>
      <c r="ME45" s="180"/>
      <c r="MF45" s="181"/>
    </row>
    <row r="46" spans="4:344" ht="5.0999999999999996" customHeight="1" x14ac:dyDescent="0.3">
      <c r="D46" s="177"/>
      <c r="E46" s="178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0"/>
      <c r="AY46" s="350"/>
      <c r="AZ46" s="350"/>
      <c r="BA46" s="350"/>
      <c r="BB46" s="350"/>
      <c r="DG46" s="298"/>
      <c r="DH46" s="298"/>
      <c r="DI46" s="298"/>
      <c r="DJ46" s="298"/>
      <c r="DK46" s="298"/>
      <c r="DL46" s="298"/>
      <c r="DM46" s="298"/>
      <c r="DN46" s="298"/>
      <c r="DO46" s="298"/>
      <c r="DP46" s="298"/>
      <c r="DQ46" s="298"/>
      <c r="DR46" s="298"/>
      <c r="DS46" s="298"/>
      <c r="DT46" s="298"/>
      <c r="DU46" s="298"/>
      <c r="DV46" s="298"/>
      <c r="DW46" s="298"/>
      <c r="DX46" s="298"/>
      <c r="DY46" s="298"/>
      <c r="DZ46" s="298"/>
      <c r="EA46" s="298"/>
      <c r="EB46" s="298"/>
      <c r="EC46" s="298"/>
      <c r="ED46" s="298"/>
      <c r="EE46" s="298"/>
      <c r="EF46" s="298"/>
      <c r="EG46" s="298"/>
      <c r="EH46" s="298"/>
      <c r="EI46" s="298"/>
      <c r="EJ46" s="298"/>
      <c r="EK46" s="298"/>
      <c r="EL46" s="298"/>
      <c r="EM46" s="298"/>
      <c r="EN46" s="298"/>
      <c r="EO46" s="298"/>
      <c r="EP46" s="298"/>
      <c r="EQ46" s="298"/>
      <c r="ER46" s="298"/>
      <c r="ES46" s="298"/>
      <c r="ET46" s="298"/>
      <c r="EU46" s="298"/>
      <c r="EV46" s="299"/>
      <c r="EW46" s="299"/>
      <c r="EX46" s="299"/>
      <c r="EY46" s="299"/>
      <c r="HA46" s="320"/>
      <c r="HB46" s="320"/>
      <c r="HC46" s="320"/>
      <c r="HD46" s="320"/>
      <c r="HE46" s="320"/>
      <c r="HF46" s="320"/>
      <c r="HG46" s="320"/>
      <c r="HH46" s="320"/>
      <c r="HI46" s="320"/>
      <c r="HJ46" s="320"/>
      <c r="HK46" s="320"/>
      <c r="HL46" s="320"/>
      <c r="HM46" s="320"/>
      <c r="HN46" s="320"/>
      <c r="HO46" s="320"/>
      <c r="HP46" s="320"/>
      <c r="HQ46" s="320"/>
      <c r="HR46" s="320"/>
      <c r="HS46" s="320"/>
      <c r="HT46" s="320"/>
      <c r="HU46" s="320"/>
      <c r="HV46" s="320"/>
      <c r="HW46" s="320"/>
      <c r="HX46" s="320"/>
      <c r="HY46" s="320"/>
      <c r="HZ46" s="320"/>
      <c r="IA46" s="320"/>
      <c r="IB46" s="320"/>
      <c r="IC46" s="320"/>
      <c r="ID46" s="320"/>
      <c r="IE46" s="320"/>
      <c r="IF46" s="320"/>
      <c r="IG46" s="320"/>
      <c r="IH46" s="320"/>
      <c r="II46" s="320"/>
      <c r="IJ46" s="320"/>
      <c r="IK46" s="320"/>
      <c r="IL46" s="320"/>
      <c r="IM46" s="320"/>
      <c r="IN46" s="324"/>
      <c r="IO46" s="325"/>
      <c r="IP46" s="325"/>
      <c r="IQ46" s="325"/>
      <c r="IR46" s="326"/>
      <c r="JZ46" s="354"/>
      <c r="KA46" s="265"/>
      <c r="KB46" s="265"/>
      <c r="KC46" s="265"/>
      <c r="KD46" s="265"/>
      <c r="KE46" s="265"/>
      <c r="KF46" s="265"/>
      <c r="KG46" s="265"/>
      <c r="KH46" s="265"/>
      <c r="KI46" s="265"/>
      <c r="KJ46" s="265"/>
      <c r="KK46" s="265"/>
      <c r="KL46" s="265"/>
      <c r="KM46" s="265"/>
      <c r="KN46" s="265"/>
      <c r="KO46" s="265"/>
      <c r="KP46" s="265"/>
      <c r="KQ46" s="265"/>
      <c r="KR46" s="265"/>
      <c r="KS46" s="265"/>
      <c r="KT46" s="265"/>
      <c r="KU46" s="265"/>
      <c r="KV46" s="265"/>
      <c r="KW46" s="265"/>
      <c r="KX46" s="265"/>
      <c r="KY46" s="265"/>
      <c r="KZ46" s="265"/>
      <c r="LA46" s="265"/>
      <c r="LB46" s="265"/>
      <c r="LC46" s="265"/>
      <c r="LD46" s="265"/>
      <c r="LE46" s="265"/>
      <c r="LF46" s="265"/>
      <c r="LG46" s="265"/>
      <c r="LH46" s="265"/>
      <c r="LI46" s="265"/>
      <c r="LJ46" s="265"/>
      <c r="LK46" s="265"/>
      <c r="LL46" s="265"/>
      <c r="LM46" s="265"/>
      <c r="LN46" s="348"/>
      <c r="LO46" s="350"/>
      <c r="LP46" s="350"/>
      <c r="LQ46" s="350"/>
      <c r="LR46" s="350"/>
      <c r="LS46" s="350"/>
      <c r="LT46" s="350"/>
      <c r="ME46" s="180"/>
      <c r="MF46" s="181"/>
    </row>
    <row r="47" spans="4:344" ht="5.0999999999999996" customHeight="1" x14ac:dyDescent="0.3">
      <c r="D47" s="177"/>
      <c r="E47" s="178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0"/>
      <c r="AY47" s="350"/>
      <c r="AZ47" s="350"/>
      <c r="BA47" s="350"/>
      <c r="BB47" s="350"/>
      <c r="DG47" s="298"/>
      <c r="DH47" s="298"/>
      <c r="DI47" s="298"/>
      <c r="DJ47" s="298"/>
      <c r="DK47" s="298"/>
      <c r="DL47" s="298"/>
      <c r="DM47" s="298"/>
      <c r="DN47" s="298"/>
      <c r="DO47" s="298"/>
      <c r="DP47" s="298"/>
      <c r="DQ47" s="298"/>
      <c r="DR47" s="298"/>
      <c r="DS47" s="298"/>
      <c r="DT47" s="298"/>
      <c r="DU47" s="298"/>
      <c r="DV47" s="298"/>
      <c r="DW47" s="298"/>
      <c r="DX47" s="298"/>
      <c r="DY47" s="298"/>
      <c r="DZ47" s="298"/>
      <c r="EA47" s="298"/>
      <c r="EB47" s="298"/>
      <c r="EC47" s="298"/>
      <c r="ED47" s="298"/>
      <c r="EE47" s="298"/>
      <c r="EF47" s="298"/>
      <c r="EG47" s="298"/>
      <c r="EH47" s="298"/>
      <c r="EI47" s="298"/>
      <c r="EJ47" s="298"/>
      <c r="EK47" s="298"/>
      <c r="EL47" s="298"/>
      <c r="EM47" s="298"/>
      <c r="EN47" s="298"/>
      <c r="EO47" s="298"/>
      <c r="EP47" s="298"/>
      <c r="EQ47" s="298"/>
      <c r="ER47" s="298"/>
      <c r="ES47" s="298"/>
      <c r="ET47" s="298"/>
      <c r="EU47" s="298"/>
      <c r="EV47" s="299"/>
      <c r="EW47" s="299"/>
      <c r="EX47" s="299"/>
      <c r="EY47" s="299"/>
      <c r="HA47" s="320"/>
      <c r="HB47" s="320"/>
      <c r="HC47" s="320"/>
      <c r="HD47" s="320"/>
      <c r="HE47" s="320"/>
      <c r="HF47" s="320"/>
      <c r="HG47" s="320"/>
      <c r="HH47" s="320"/>
      <c r="HI47" s="320"/>
      <c r="HJ47" s="320"/>
      <c r="HK47" s="320"/>
      <c r="HL47" s="320"/>
      <c r="HM47" s="320"/>
      <c r="HN47" s="320"/>
      <c r="HO47" s="320"/>
      <c r="HP47" s="320"/>
      <c r="HQ47" s="320"/>
      <c r="HR47" s="320"/>
      <c r="HS47" s="320"/>
      <c r="HT47" s="320"/>
      <c r="HU47" s="320"/>
      <c r="HV47" s="320"/>
      <c r="HW47" s="320"/>
      <c r="HX47" s="320"/>
      <c r="HY47" s="320"/>
      <c r="HZ47" s="320"/>
      <c r="IA47" s="320"/>
      <c r="IB47" s="320"/>
      <c r="IC47" s="320"/>
      <c r="ID47" s="320"/>
      <c r="IE47" s="320"/>
      <c r="IF47" s="320"/>
      <c r="IG47" s="320"/>
      <c r="IH47" s="320"/>
      <c r="II47" s="320"/>
      <c r="IJ47" s="320"/>
      <c r="IK47" s="320"/>
      <c r="IL47" s="320"/>
      <c r="IM47" s="320"/>
      <c r="IN47" s="324"/>
      <c r="IO47" s="325"/>
      <c r="IP47" s="325"/>
      <c r="IQ47" s="325"/>
      <c r="IR47" s="326"/>
      <c r="JZ47" s="355"/>
      <c r="KA47" s="356"/>
      <c r="KB47" s="356"/>
      <c r="KC47" s="356"/>
      <c r="KD47" s="356"/>
      <c r="KE47" s="356"/>
      <c r="KF47" s="356"/>
      <c r="KG47" s="356"/>
      <c r="KH47" s="356"/>
      <c r="KI47" s="356"/>
      <c r="KJ47" s="356"/>
      <c r="KK47" s="356"/>
      <c r="KL47" s="356"/>
      <c r="KM47" s="356"/>
      <c r="KN47" s="356"/>
      <c r="KO47" s="356"/>
      <c r="KP47" s="356"/>
      <c r="KQ47" s="356"/>
      <c r="KR47" s="356"/>
      <c r="KS47" s="356"/>
      <c r="KT47" s="356"/>
      <c r="KU47" s="356"/>
      <c r="KV47" s="356"/>
      <c r="KW47" s="356"/>
      <c r="KX47" s="356"/>
      <c r="KY47" s="356"/>
      <c r="KZ47" s="356"/>
      <c r="LA47" s="356"/>
      <c r="LB47" s="356"/>
      <c r="LC47" s="356"/>
      <c r="LD47" s="356"/>
      <c r="LE47" s="356"/>
      <c r="LF47" s="356"/>
      <c r="LG47" s="356"/>
      <c r="LH47" s="356"/>
      <c r="LI47" s="356"/>
      <c r="LJ47" s="356"/>
      <c r="LK47" s="356"/>
      <c r="LL47" s="356"/>
      <c r="LM47" s="356"/>
      <c r="LN47" s="357"/>
      <c r="LO47" s="350"/>
      <c r="LP47" s="350"/>
      <c r="LQ47" s="350"/>
      <c r="LR47" s="350"/>
      <c r="LS47" s="350"/>
      <c r="LT47" s="350"/>
      <c r="ME47" s="180"/>
      <c r="MF47" s="181"/>
    </row>
    <row r="48" spans="4:344" ht="5.0999999999999996" customHeight="1" x14ac:dyDescent="0.3">
      <c r="D48" s="177"/>
      <c r="E48" s="178"/>
      <c r="Z48" s="192"/>
      <c r="DG48" s="298"/>
      <c r="DH48" s="298"/>
      <c r="DI48" s="298"/>
      <c r="DJ48" s="298"/>
      <c r="DK48" s="298"/>
      <c r="DL48" s="298"/>
      <c r="DM48" s="298"/>
      <c r="DN48" s="298"/>
      <c r="DO48" s="298"/>
      <c r="DP48" s="298"/>
      <c r="DQ48" s="298"/>
      <c r="DR48" s="298"/>
      <c r="DS48" s="298"/>
      <c r="DT48" s="298"/>
      <c r="DU48" s="298"/>
      <c r="DV48" s="298"/>
      <c r="DW48" s="298"/>
      <c r="DX48" s="298"/>
      <c r="DY48" s="298"/>
      <c r="DZ48" s="298"/>
      <c r="EA48" s="298"/>
      <c r="EB48" s="298"/>
      <c r="EC48" s="298"/>
      <c r="ED48" s="298"/>
      <c r="EE48" s="298"/>
      <c r="EF48" s="298"/>
      <c r="EG48" s="298"/>
      <c r="EH48" s="298"/>
      <c r="EI48" s="298"/>
      <c r="EJ48" s="298"/>
      <c r="EK48" s="298"/>
      <c r="EL48" s="298"/>
      <c r="EM48" s="298"/>
      <c r="EN48" s="298"/>
      <c r="EO48" s="298"/>
      <c r="EP48" s="298"/>
      <c r="EQ48" s="298"/>
      <c r="ER48" s="298"/>
      <c r="ES48" s="298"/>
      <c r="ET48" s="298"/>
      <c r="EU48" s="298"/>
      <c r="EV48" s="299"/>
      <c r="EW48" s="299"/>
      <c r="EX48" s="299"/>
      <c r="EY48" s="299"/>
      <c r="HA48" s="320"/>
      <c r="HB48" s="320"/>
      <c r="HC48" s="320"/>
      <c r="HD48" s="320"/>
      <c r="HE48" s="320"/>
      <c r="HF48" s="320"/>
      <c r="HG48" s="320"/>
      <c r="HH48" s="320"/>
      <c r="HI48" s="320"/>
      <c r="HJ48" s="320"/>
      <c r="HK48" s="320"/>
      <c r="HL48" s="320"/>
      <c r="HM48" s="320"/>
      <c r="HN48" s="320"/>
      <c r="HO48" s="320"/>
      <c r="HP48" s="320"/>
      <c r="HQ48" s="320"/>
      <c r="HR48" s="320"/>
      <c r="HS48" s="320"/>
      <c r="HT48" s="320"/>
      <c r="HU48" s="320"/>
      <c r="HV48" s="320"/>
      <c r="HW48" s="320"/>
      <c r="HX48" s="320"/>
      <c r="HY48" s="320"/>
      <c r="HZ48" s="320"/>
      <c r="IA48" s="320"/>
      <c r="IB48" s="320"/>
      <c r="IC48" s="320"/>
      <c r="ID48" s="320"/>
      <c r="IE48" s="320"/>
      <c r="IF48" s="320"/>
      <c r="IG48" s="320"/>
      <c r="IH48" s="320"/>
      <c r="II48" s="320"/>
      <c r="IJ48" s="320"/>
      <c r="IK48" s="320"/>
      <c r="IL48" s="320"/>
      <c r="IM48" s="320"/>
      <c r="IN48" s="324"/>
      <c r="IO48" s="325"/>
      <c r="IP48" s="325"/>
      <c r="IQ48" s="325"/>
      <c r="IR48" s="326"/>
      <c r="KX48" s="194"/>
      <c r="ME48" s="180"/>
      <c r="MF48" s="181"/>
    </row>
    <row r="49" spans="4:349" ht="5.0999999999999996" customHeight="1" x14ac:dyDescent="0.3">
      <c r="D49" s="177"/>
      <c r="E49" s="178"/>
      <c r="I49" s="270" t="s">
        <v>169</v>
      </c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2"/>
      <c r="AX49" s="300">
        <v>2</v>
      </c>
      <c r="AY49" s="301"/>
      <c r="AZ49" s="301"/>
      <c r="BA49" s="301"/>
      <c r="BB49" s="302"/>
      <c r="EC49" s="195"/>
      <c r="ED49" s="196"/>
      <c r="EE49" s="196"/>
      <c r="EF49" s="196"/>
      <c r="EG49" s="196"/>
      <c r="EH49" s="196"/>
      <c r="HA49" s="320"/>
      <c r="HB49" s="320"/>
      <c r="HC49" s="320"/>
      <c r="HD49" s="320"/>
      <c r="HE49" s="320"/>
      <c r="HF49" s="320"/>
      <c r="HG49" s="320"/>
      <c r="HH49" s="320"/>
      <c r="HI49" s="320"/>
      <c r="HJ49" s="320"/>
      <c r="HK49" s="320"/>
      <c r="HL49" s="320"/>
      <c r="HM49" s="320"/>
      <c r="HN49" s="320"/>
      <c r="HO49" s="320"/>
      <c r="HP49" s="320"/>
      <c r="HQ49" s="320"/>
      <c r="HR49" s="320"/>
      <c r="HS49" s="320"/>
      <c r="HT49" s="320"/>
      <c r="HU49" s="320"/>
      <c r="HV49" s="320"/>
      <c r="HW49" s="320"/>
      <c r="HX49" s="320"/>
      <c r="HY49" s="320"/>
      <c r="HZ49" s="320"/>
      <c r="IA49" s="320"/>
      <c r="IB49" s="320"/>
      <c r="IC49" s="320"/>
      <c r="ID49" s="320"/>
      <c r="IE49" s="320"/>
      <c r="IF49" s="320"/>
      <c r="IG49" s="320"/>
      <c r="IH49" s="320"/>
      <c r="II49" s="320"/>
      <c r="IJ49" s="320"/>
      <c r="IK49" s="320"/>
      <c r="IL49" s="320"/>
      <c r="IM49" s="320"/>
      <c r="IN49" s="324"/>
      <c r="IO49" s="325"/>
      <c r="IP49" s="325"/>
      <c r="IQ49" s="325"/>
      <c r="IR49" s="326"/>
      <c r="JZ49" s="330" t="s">
        <v>170</v>
      </c>
      <c r="KA49" s="331"/>
      <c r="KB49" s="331"/>
      <c r="KC49" s="331"/>
      <c r="KD49" s="331"/>
      <c r="KE49" s="331"/>
      <c r="KF49" s="331"/>
      <c r="KG49" s="331"/>
      <c r="KH49" s="331"/>
      <c r="KI49" s="331"/>
      <c r="KJ49" s="331"/>
      <c r="KK49" s="331"/>
      <c r="KL49" s="331"/>
      <c r="KM49" s="331"/>
      <c r="KN49" s="331"/>
      <c r="KO49" s="331"/>
      <c r="KP49" s="331"/>
      <c r="KQ49" s="331"/>
      <c r="KR49" s="331"/>
      <c r="KS49" s="331"/>
      <c r="KT49" s="331"/>
      <c r="KU49" s="331"/>
      <c r="KV49" s="331"/>
      <c r="KW49" s="331"/>
      <c r="KX49" s="331"/>
      <c r="KY49" s="331"/>
      <c r="KZ49" s="331"/>
      <c r="LA49" s="331"/>
      <c r="LB49" s="331"/>
      <c r="LC49" s="331"/>
      <c r="LD49" s="331"/>
      <c r="LE49" s="331"/>
      <c r="LF49" s="331"/>
      <c r="LG49" s="331"/>
      <c r="LH49" s="331"/>
      <c r="LI49" s="331"/>
      <c r="LJ49" s="331"/>
      <c r="LK49" s="331"/>
      <c r="LL49" s="331"/>
      <c r="LM49" s="331"/>
      <c r="LN49" s="332"/>
      <c r="LO49" s="309">
        <v>1</v>
      </c>
      <c r="LP49" s="309"/>
      <c r="LQ49" s="309"/>
      <c r="LR49" s="309"/>
      <c r="LS49" s="309"/>
      <c r="LT49" s="309"/>
      <c r="ME49" s="180"/>
      <c r="MF49" s="181"/>
    </row>
    <row r="50" spans="4:349" ht="5.0999999999999996" customHeight="1" x14ac:dyDescent="0.3">
      <c r="D50" s="177"/>
      <c r="E50" s="178"/>
      <c r="I50" s="273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5"/>
      <c r="AX50" s="303"/>
      <c r="AY50" s="304"/>
      <c r="AZ50" s="304"/>
      <c r="BA50" s="304"/>
      <c r="BB50" s="305"/>
      <c r="EC50" s="183"/>
      <c r="HA50" s="320"/>
      <c r="HB50" s="320"/>
      <c r="HC50" s="320"/>
      <c r="HD50" s="320"/>
      <c r="HE50" s="320"/>
      <c r="HF50" s="320"/>
      <c r="HG50" s="320"/>
      <c r="HH50" s="320"/>
      <c r="HI50" s="320"/>
      <c r="HJ50" s="320"/>
      <c r="HK50" s="320"/>
      <c r="HL50" s="320"/>
      <c r="HM50" s="320"/>
      <c r="HN50" s="320"/>
      <c r="HO50" s="320"/>
      <c r="HP50" s="320"/>
      <c r="HQ50" s="320"/>
      <c r="HR50" s="320"/>
      <c r="HS50" s="320"/>
      <c r="HT50" s="320"/>
      <c r="HU50" s="320"/>
      <c r="HV50" s="320"/>
      <c r="HW50" s="320"/>
      <c r="HX50" s="320"/>
      <c r="HY50" s="320"/>
      <c r="HZ50" s="320"/>
      <c r="IA50" s="320"/>
      <c r="IB50" s="320"/>
      <c r="IC50" s="320"/>
      <c r="ID50" s="320"/>
      <c r="IE50" s="320"/>
      <c r="IF50" s="320"/>
      <c r="IG50" s="320"/>
      <c r="IH50" s="320"/>
      <c r="II50" s="320"/>
      <c r="IJ50" s="320"/>
      <c r="IK50" s="320"/>
      <c r="IL50" s="320"/>
      <c r="IM50" s="320"/>
      <c r="IN50" s="324"/>
      <c r="IO50" s="325"/>
      <c r="IP50" s="325"/>
      <c r="IQ50" s="325"/>
      <c r="IR50" s="326"/>
      <c r="JZ50" s="333"/>
      <c r="KA50" s="274"/>
      <c r="KB50" s="274"/>
      <c r="KC50" s="274"/>
      <c r="KD50" s="274"/>
      <c r="KE50" s="274"/>
      <c r="KF50" s="274"/>
      <c r="KG50" s="274"/>
      <c r="KH50" s="274"/>
      <c r="KI50" s="274"/>
      <c r="KJ50" s="274"/>
      <c r="KK50" s="274"/>
      <c r="KL50" s="274"/>
      <c r="KM50" s="274"/>
      <c r="KN50" s="274"/>
      <c r="KO50" s="274"/>
      <c r="KP50" s="274"/>
      <c r="KQ50" s="274"/>
      <c r="KR50" s="274"/>
      <c r="KS50" s="274"/>
      <c r="KT50" s="274"/>
      <c r="KU50" s="274"/>
      <c r="KV50" s="274"/>
      <c r="KW50" s="274"/>
      <c r="KX50" s="274"/>
      <c r="KY50" s="274"/>
      <c r="KZ50" s="274"/>
      <c r="LA50" s="274"/>
      <c r="LB50" s="274"/>
      <c r="LC50" s="274"/>
      <c r="LD50" s="274"/>
      <c r="LE50" s="274"/>
      <c r="LF50" s="274"/>
      <c r="LG50" s="274"/>
      <c r="LH50" s="274"/>
      <c r="LI50" s="274"/>
      <c r="LJ50" s="274"/>
      <c r="LK50" s="274"/>
      <c r="LL50" s="274"/>
      <c r="LM50" s="274"/>
      <c r="LN50" s="334"/>
      <c r="LO50" s="309"/>
      <c r="LP50" s="309"/>
      <c r="LQ50" s="309"/>
      <c r="LR50" s="309"/>
      <c r="LS50" s="309"/>
      <c r="LT50" s="309"/>
      <c r="ME50" s="180"/>
      <c r="MF50" s="181"/>
    </row>
    <row r="51" spans="4:349" ht="5.0999999999999996" customHeight="1" x14ac:dyDescent="0.3">
      <c r="D51" s="177"/>
      <c r="E51" s="178"/>
      <c r="I51" s="273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5"/>
      <c r="AX51" s="303"/>
      <c r="AY51" s="304"/>
      <c r="AZ51" s="304"/>
      <c r="BA51" s="304"/>
      <c r="BB51" s="305"/>
      <c r="EC51" s="183"/>
      <c r="HA51" s="320"/>
      <c r="HB51" s="320"/>
      <c r="HC51" s="320"/>
      <c r="HD51" s="320"/>
      <c r="HE51" s="320"/>
      <c r="HF51" s="320"/>
      <c r="HG51" s="320"/>
      <c r="HH51" s="320"/>
      <c r="HI51" s="320"/>
      <c r="HJ51" s="320"/>
      <c r="HK51" s="320"/>
      <c r="HL51" s="320"/>
      <c r="HM51" s="320"/>
      <c r="HN51" s="320"/>
      <c r="HO51" s="320"/>
      <c r="HP51" s="320"/>
      <c r="HQ51" s="320"/>
      <c r="HR51" s="320"/>
      <c r="HS51" s="320"/>
      <c r="HT51" s="320"/>
      <c r="HU51" s="320"/>
      <c r="HV51" s="320"/>
      <c r="HW51" s="320"/>
      <c r="HX51" s="320"/>
      <c r="HY51" s="320"/>
      <c r="HZ51" s="320"/>
      <c r="IA51" s="320"/>
      <c r="IB51" s="320"/>
      <c r="IC51" s="320"/>
      <c r="ID51" s="320"/>
      <c r="IE51" s="320"/>
      <c r="IF51" s="320"/>
      <c r="IG51" s="320"/>
      <c r="IH51" s="320"/>
      <c r="II51" s="320"/>
      <c r="IJ51" s="320"/>
      <c r="IK51" s="320"/>
      <c r="IL51" s="320"/>
      <c r="IM51" s="320"/>
      <c r="IN51" s="324"/>
      <c r="IO51" s="325"/>
      <c r="IP51" s="325"/>
      <c r="IQ51" s="325"/>
      <c r="IR51" s="326"/>
      <c r="JZ51" s="333"/>
      <c r="KA51" s="274"/>
      <c r="KB51" s="274"/>
      <c r="KC51" s="274"/>
      <c r="KD51" s="274"/>
      <c r="KE51" s="274"/>
      <c r="KF51" s="274"/>
      <c r="KG51" s="274"/>
      <c r="KH51" s="274"/>
      <c r="KI51" s="274"/>
      <c r="KJ51" s="274"/>
      <c r="KK51" s="274"/>
      <c r="KL51" s="274"/>
      <c r="KM51" s="274"/>
      <c r="KN51" s="274"/>
      <c r="KO51" s="274"/>
      <c r="KP51" s="274"/>
      <c r="KQ51" s="274"/>
      <c r="KR51" s="274"/>
      <c r="KS51" s="274"/>
      <c r="KT51" s="274"/>
      <c r="KU51" s="274"/>
      <c r="KV51" s="274"/>
      <c r="KW51" s="274"/>
      <c r="KX51" s="274"/>
      <c r="KY51" s="274"/>
      <c r="KZ51" s="274"/>
      <c r="LA51" s="274"/>
      <c r="LB51" s="274"/>
      <c r="LC51" s="274"/>
      <c r="LD51" s="274"/>
      <c r="LE51" s="274"/>
      <c r="LF51" s="274"/>
      <c r="LG51" s="274"/>
      <c r="LH51" s="274"/>
      <c r="LI51" s="274"/>
      <c r="LJ51" s="274"/>
      <c r="LK51" s="274"/>
      <c r="LL51" s="274"/>
      <c r="LM51" s="274"/>
      <c r="LN51" s="334"/>
      <c r="LO51" s="309"/>
      <c r="LP51" s="309"/>
      <c r="LQ51" s="309"/>
      <c r="LR51" s="309"/>
      <c r="LS51" s="309"/>
      <c r="LT51" s="309"/>
      <c r="ME51" s="180"/>
      <c r="MF51" s="181"/>
    </row>
    <row r="52" spans="4:349" ht="5.0999999999999996" customHeight="1" x14ac:dyDescent="0.3">
      <c r="D52" s="177"/>
      <c r="E52" s="178"/>
      <c r="I52" s="273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5"/>
      <c r="AX52" s="303"/>
      <c r="AY52" s="304"/>
      <c r="AZ52" s="304"/>
      <c r="BA52" s="304"/>
      <c r="BB52" s="305"/>
      <c r="EC52" s="183"/>
      <c r="HA52" s="320"/>
      <c r="HB52" s="320"/>
      <c r="HC52" s="320"/>
      <c r="HD52" s="320"/>
      <c r="HE52" s="320"/>
      <c r="HF52" s="320"/>
      <c r="HG52" s="320"/>
      <c r="HH52" s="320"/>
      <c r="HI52" s="320"/>
      <c r="HJ52" s="320"/>
      <c r="HK52" s="320"/>
      <c r="HL52" s="320"/>
      <c r="HM52" s="320"/>
      <c r="HN52" s="320"/>
      <c r="HO52" s="320"/>
      <c r="HP52" s="320"/>
      <c r="HQ52" s="320"/>
      <c r="HR52" s="320"/>
      <c r="HS52" s="320"/>
      <c r="HT52" s="320"/>
      <c r="HU52" s="320"/>
      <c r="HV52" s="320"/>
      <c r="HW52" s="320"/>
      <c r="HX52" s="320"/>
      <c r="HY52" s="320"/>
      <c r="HZ52" s="320"/>
      <c r="IA52" s="320"/>
      <c r="IB52" s="320"/>
      <c r="IC52" s="320"/>
      <c r="ID52" s="320"/>
      <c r="IE52" s="320"/>
      <c r="IF52" s="320"/>
      <c r="IG52" s="320"/>
      <c r="IH52" s="320"/>
      <c r="II52" s="320"/>
      <c r="IJ52" s="320"/>
      <c r="IK52" s="320"/>
      <c r="IL52" s="320"/>
      <c r="IM52" s="320"/>
      <c r="IN52" s="324"/>
      <c r="IO52" s="325"/>
      <c r="IP52" s="325"/>
      <c r="IQ52" s="325"/>
      <c r="IR52" s="326"/>
      <c r="JZ52" s="333"/>
      <c r="KA52" s="274"/>
      <c r="KB52" s="274"/>
      <c r="KC52" s="274"/>
      <c r="KD52" s="274"/>
      <c r="KE52" s="274"/>
      <c r="KF52" s="274"/>
      <c r="KG52" s="274"/>
      <c r="KH52" s="274"/>
      <c r="KI52" s="274"/>
      <c r="KJ52" s="274"/>
      <c r="KK52" s="274"/>
      <c r="KL52" s="274"/>
      <c r="KM52" s="274"/>
      <c r="KN52" s="274"/>
      <c r="KO52" s="274"/>
      <c r="KP52" s="274"/>
      <c r="KQ52" s="274"/>
      <c r="KR52" s="274"/>
      <c r="KS52" s="274"/>
      <c r="KT52" s="274"/>
      <c r="KU52" s="274"/>
      <c r="KV52" s="274"/>
      <c r="KW52" s="274"/>
      <c r="KX52" s="274"/>
      <c r="KY52" s="274"/>
      <c r="KZ52" s="274"/>
      <c r="LA52" s="274"/>
      <c r="LB52" s="274"/>
      <c r="LC52" s="274"/>
      <c r="LD52" s="274"/>
      <c r="LE52" s="274"/>
      <c r="LF52" s="274"/>
      <c r="LG52" s="274"/>
      <c r="LH52" s="274"/>
      <c r="LI52" s="274"/>
      <c r="LJ52" s="274"/>
      <c r="LK52" s="274"/>
      <c r="LL52" s="274"/>
      <c r="LM52" s="274"/>
      <c r="LN52" s="334"/>
      <c r="LO52" s="309"/>
      <c r="LP52" s="309"/>
      <c r="LQ52" s="309"/>
      <c r="LR52" s="309"/>
      <c r="LS52" s="309"/>
      <c r="LT52" s="309"/>
      <c r="ME52" s="180"/>
      <c r="MF52" s="181"/>
    </row>
    <row r="53" spans="4:349" ht="5.0999999999999996" customHeight="1" x14ac:dyDescent="0.3">
      <c r="D53" s="177"/>
      <c r="E53" s="178"/>
      <c r="I53" s="273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5"/>
      <c r="AX53" s="303"/>
      <c r="AY53" s="304"/>
      <c r="AZ53" s="304"/>
      <c r="BA53" s="304"/>
      <c r="BB53" s="305"/>
      <c r="EC53" s="183"/>
      <c r="HA53" s="320"/>
      <c r="HB53" s="320"/>
      <c r="HC53" s="320"/>
      <c r="HD53" s="320"/>
      <c r="HE53" s="320"/>
      <c r="HF53" s="320"/>
      <c r="HG53" s="320"/>
      <c r="HH53" s="320"/>
      <c r="HI53" s="320"/>
      <c r="HJ53" s="320"/>
      <c r="HK53" s="320"/>
      <c r="HL53" s="320"/>
      <c r="HM53" s="320"/>
      <c r="HN53" s="320"/>
      <c r="HO53" s="320"/>
      <c r="HP53" s="320"/>
      <c r="HQ53" s="320"/>
      <c r="HR53" s="320"/>
      <c r="HS53" s="320"/>
      <c r="HT53" s="320"/>
      <c r="HU53" s="320"/>
      <c r="HV53" s="320"/>
      <c r="HW53" s="320"/>
      <c r="HX53" s="320"/>
      <c r="HY53" s="320"/>
      <c r="HZ53" s="320"/>
      <c r="IA53" s="320"/>
      <c r="IB53" s="320"/>
      <c r="IC53" s="320"/>
      <c r="ID53" s="320"/>
      <c r="IE53" s="320"/>
      <c r="IF53" s="320"/>
      <c r="IG53" s="320"/>
      <c r="IH53" s="320"/>
      <c r="II53" s="320"/>
      <c r="IJ53" s="320"/>
      <c r="IK53" s="320"/>
      <c r="IL53" s="320"/>
      <c r="IM53" s="320"/>
      <c r="IN53" s="324"/>
      <c r="IO53" s="325"/>
      <c r="IP53" s="325"/>
      <c r="IQ53" s="325"/>
      <c r="IR53" s="326"/>
      <c r="JZ53" s="333"/>
      <c r="KA53" s="274"/>
      <c r="KB53" s="274"/>
      <c r="KC53" s="274"/>
      <c r="KD53" s="274"/>
      <c r="KE53" s="274"/>
      <c r="KF53" s="274"/>
      <c r="KG53" s="274"/>
      <c r="KH53" s="274"/>
      <c r="KI53" s="274"/>
      <c r="KJ53" s="274"/>
      <c r="KK53" s="274"/>
      <c r="KL53" s="274"/>
      <c r="KM53" s="274"/>
      <c r="KN53" s="274"/>
      <c r="KO53" s="274"/>
      <c r="KP53" s="274"/>
      <c r="KQ53" s="274"/>
      <c r="KR53" s="274"/>
      <c r="KS53" s="274"/>
      <c r="KT53" s="274"/>
      <c r="KU53" s="274"/>
      <c r="KV53" s="274"/>
      <c r="KW53" s="274"/>
      <c r="KX53" s="274"/>
      <c r="KY53" s="274"/>
      <c r="KZ53" s="274"/>
      <c r="LA53" s="274"/>
      <c r="LB53" s="274"/>
      <c r="LC53" s="274"/>
      <c r="LD53" s="274"/>
      <c r="LE53" s="274"/>
      <c r="LF53" s="274"/>
      <c r="LG53" s="274"/>
      <c r="LH53" s="274"/>
      <c r="LI53" s="274"/>
      <c r="LJ53" s="274"/>
      <c r="LK53" s="274"/>
      <c r="LL53" s="274"/>
      <c r="LM53" s="274"/>
      <c r="LN53" s="334"/>
      <c r="LO53" s="309"/>
      <c r="LP53" s="309"/>
      <c r="LQ53" s="309"/>
      <c r="LR53" s="309"/>
      <c r="LS53" s="309"/>
      <c r="LT53" s="309"/>
      <c r="ME53" s="180"/>
      <c r="MF53" s="181"/>
    </row>
    <row r="54" spans="4:349" ht="5.0999999999999996" customHeight="1" x14ac:dyDescent="0.3">
      <c r="D54" s="177"/>
      <c r="E54" s="178"/>
      <c r="I54" s="273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5"/>
      <c r="AX54" s="303"/>
      <c r="AY54" s="304"/>
      <c r="AZ54" s="304"/>
      <c r="BA54" s="304"/>
      <c r="BB54" s="305"/>
      <c r="EC54" s="183"/>
      <c r="HA54" s="320"/>
      <c r="HB54" s="320"/>
      <c r="HC54" s="320"/>
      <c r="HD54" s="320"/>
      <c r="HE54" s="320"/>
      <c r="HF54" s="320"/>
      <c r="HG54" s="320"/>
      <c r="HH54" s="320"/>
      <c r="HI54" s="320"/>
      <c r="HJ54" s="320"/>
      <c r="HK54" s="320"/>
      <c r="HL54" s="320"/>
      <c r="HM54" s="320"/>
      <c r="HN54" s="320"/>
      <c r="HO54" s="320"/>
      <c r="HP54" s="320"/>
      <c r="HQ54" s="320"/>
      <c r="HR54" s="320"/>
      <c r="HS54" s="320"/>
      <c r="HT54" s="320"/>
      <c r="HU54" s="320"/>
      <c r="HV54" s="320"/>
      <c r="HW54" s="320"/>
      <c r="HX54" s="320"/>
      <c r="HY54" s="320"/>
      <c r="HZ54" s="320"/>
      <c r="IA54" s="320"/>
      <c r="IB54" s="320"/>
      <c r="IC54" s="320"/>
      <c r="ID54" s="320"/>
      <c r="IE54" s="320"/>
      <c r="IF54" s="320"/>
      <c r="IG54" s="320"/>
      <c r="IH54" s="320"/>
      <c r="II54" s="320"/>
      <c r="IJ54" s="320"/>
      <c r="IK54" s="320"/>
      <c r="IL54" s="320"/>
      <c r="IM54" s="320"/>
      <c r="IN54" s="327"/>
      <c r="IO54" s="328"/>
      <c r="IP54" s="328"/>
      <c r="IQ54" s="328"/>
      <c r="IR54" s="329"/>
      <c r="JZ54" s="333"/>
      <c r="KA54" s="274"/>
      <c r="KB54" s="274"/>
      <c r="KC54" s="274"/>
      <c r="KD54" s="274"/>
      <c r="KE54" s="274"/>
      <c r="KF54" s="274"/>
      <c r="KG54" s="274"/>
      <c r="KH54" s="274"/>
      <c r="KI54" s="274"/>
      <c r="KJ54" s="274"/>
      <c r="KK54" s="274"/>
      <c r="KL54" s="274"/>
      <c r="KM54" s="274"/>
      <c r="KN54" s="274"/>
      <c r="KO54" s="274"/>
      <c r="KP54" s="274"/>
      <c r="KQ54" s="274"/>
      <c r="KR54" s="274"/>
      <c r="KS54" s="274"/>
      <c r="KT54" s="274"/>
      <c r="KU54" s="274"/>
      <c r="KV54" s="274"/>
      <c r="KW54" s="274"/>
      <c r="KX54" s="274"/>
      <c r="KY54" s="274"/>
      <c r="KZ54" s="274"/>
      <c r="LA54" s="274"/>
      <c r="LB54" s="274"/>
      <c r="LC54" s="274"/>
      <c r="LD54" s="274"/>
      <c r="LE54" s="274"/>
      <c r="LF54" s="274"/>
      <c r="LG54" s="274"/>
      <c r="LH54" s="274"/>
      <c r="LI54" s="274"/>
      <c r="LJ54" s="274"/>
      <c r="LK54" s="274"/>
      <c r="LL54" s="274"/>
      <c r="LM54" s="274"/>
      <c r="LN54" s="334"/>
      <c r="LO54" s="309"/>
      <c r="LP54" s="309"/>
      <c r="LQ54" s="309"/>
      <c r="LR54" s="309"/>
      <c r="LS54" s="309"/>
      <c r="LT54" s="309"/>
      <c r="ME54" s="180"/>
      <c r="MF54" s="181"/>
    </row>
    <row r="55" spans="4:349" ht="5.0999999999999996" customHeight="1" thickBot="1" x14ac:dyDescent="0.35">
      <c r="D55" s="177"/>
      <c r="E55" s="178"/>
      <c r="I55" s="273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5"/>
      <c r="AX55" s="303"/>
      <c r="AY55" s="304"/>
      <c r="AZ55" s="304"/>
      <c r="BA55" s="304"/>
      <c r="BB55" s="305"/>
      <c r="EC55" s="183"/>
      <c r="HX55" s="195"/>
      <c r="HY55" s="196"/>
      <c r="JZ55" s="333"/>
      <c r="KA55" s="274"/>
      <c r="KB55" s="274"/>
      <c r="KC55" s="274"/>
      <c r="KD55" s="274"/>
      <c r="KE55" s="274"/>
      <c r="KF55" s="274"/>
      <c r="KG55" s="274"/>
      <c r="KH55" s="274"/>
      <c r="KI55" s="274"/>
      <c r="KJ55" s="274"/>
      <c r="KK55" s="274"/>
      <c r="KL55" s="274"/>
      <c r="KM55" s="274"/>
      <c r="KN55" s="274"/>
      <c r="KO55" s="274"/>
      <c r="KP55" s="274"/>
      <c r="KQ55" s="274"/>
      <c r="KR55" s="274"/>
      <c r="KS55" s="274"/>
      <c r="KT55" s="274"/>
      <c r="KU55" s="274"/>
      <c r="KV55" s="274"/>
      <c r="KW55" s="274"/>
      <c r="KX55" s="274"/>
      <c r="KY55" s="274"/>
      <c r="KZ55" s="274"/>
      <c r="LA55" s="274"/>
      <c r="LB55" s="274"/>
      <c r="LC55" s="274"/>
      <c r="LD55" s="274"/>
      <c r="LE55" s="274"/>
      <c r="LF55" s="274"/>
      <c r="LG55" s="274"/>
      <c r="LH55" s="274"/>
      <c r="LI55" s="274"/>
      <c r="LJ55" s="274"/>
      <c r="LK55" s="274"/>
      <c r="LL55" s="274"/>
      <c r="LM55" s="274"/>
      <c r="LN55" s="334"/>
      <c r="LO55" s="309"/>
      <c r="LP55" s="309"/>
      <c r="LQ55" s="309"/>
      <c r="LR55" s="309"/>
      <c r="LS55" s="309"/>
      <c r="LT55" s="309"/>
      <c r="ME55" s="180"/>
      <c r="MF55" s="181"/>
    </row>
    <row r="56" spans="4:349" ht="5.0999999999999996" customHeight="1" x14ac:dyDescent="0.3">
      <c r="D56" s="177"/>
      <c r="E56" s="178"/>
      <c r="I56" s="273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5"/>
      <c r="AX56" s="303"/>
      <c r="AY56" s="304"/>
      <c r="AZ56" s="304"/>
      <c r="BA56" s="304"/>
      <c r="BB56" s="305"/>
      <c r="CE56" s="185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  <c r="DM56" s="186"/>
      <c r="DN56" s="186"/>
      <c r="DO56" s="186"/>
      <c r="DP56" s="186"/>
      <c r="DQ56" s="186"/>
      <c r="DR56" s="186"/>
      <c r="DS56" s="186"/>
      <c r="DT56" s="186"/>
      <c r="DU56" s="186"/>
      <c r="DV56" s="186"/>
      <c r="DW56" s="186"/>
      <c r="DX56" s="186"/>
      <c r="DY56" s="186"/>
      <c r="DZ56" s="186"/>
      <c r="EA56" s="186"/>
      <c r="EB56" s="186"/>
      <c r="EC56" s="183"/>
      <c r="HX56" s="183"/>
      <c r="JZ56" s="333"/>
      <c r="KA56" s="274"/>
      <c r="KB56" s="274"/>
      <c r="KC56" s="274"/>
      <c r="KD56" s="274"/>
      <c r="KE56" s="274"/>
      <c r="KF56" s="274"/>
      <c r="KG56" s="274"/>
      <c r="KH56" s="274"/>
      <c r="KI56" s="274"/>
      <c r="KJ56" s="274"/>
      <c r="KK56" s="274"/>
      <c r="KL56" s="274"/>
      <c r="KM56" s="274"/>
      <c r="KN56" s="274"/>
      <c r="KO56" s="274"/>
      <c r="KP56" s="274"/>
      <c r="KQ56" s="274"/>
      <c r="KR56" s="274"/>
      <c r="KS56" s="274"/>
      <c r="KT56" s="274"/>
      <c r="KU56" s="274"/>
      <c r="KV56" s="274"/>
      <c r="KW56" s="274"/>
      <c r="KX56" s="274"/>
      <c r="KY56" s="274"/>
      <c r="KZ56" s="274"/>
      <c r="LA56" s="274"/>
      <c r="LB56" s="274"/>
      <c r="LC56" s="274"/>
      <c r="LD56" s="274"/>
      <c r="LE56" s="274"/>
      <c r="LF56" s="274"/>
      <c r="LG56" s="274"/>
      <c r="LH56" s="274"/>
      <c r="LI56" s="274"/>
      <c r="LJ56" s="274"/>
      <c r="LK56" s="274"/>
      <c r="LL56" s="274"/>
      <c r="LM56" s="274"/>
      <c r="LN56" s="334"/>
      <c r="LO56" s="309"/>
      <c r="LP56" s="309"/>
      <c r="LQ56" s="309"/>
      <c r="LR56" s="309"/>
      <c r="LS56" s="309"/>
      <c r="LT56" s="309"/>
      <c r="ME56" s="180"/>
      <c r="MF56" s="181"/>
    </row>
    <row r="57" spans="4:349" ht="5.0999999999999996" customHeight="1" x14ac:dyDescent="0.3">
      <c r="D57" s="177"/>
      <c r="E57" s="178"/>
      <c r="I57" s="273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5"/>
      <c r="AX57" s="303"/>
      <c r="AY57" s="304"/>
      <c r="AZ57" s="304"/>
      <c r="BA57" s="304"/>
      <c r="BB57" s="305"/>
      <c r="CE57" s="183"/>
      <c r="EC57" s="183"/>
      <c r="HX57" s="183"/>
      <c r="JZ57" s="335"/>
      <c r="KA57" s="336"/>
      <c r="KB57" s="336"/>
      <c r="KC57" s="336"/>
      <c r="KD57" s="336"/>
      <c r="KE57" s="336"/>
      <c r="KF57" s="336"/>
      <c r="KG57" s="336"/>
      <c r="KH57" s="336"/>
      <c r="KI57" s="336"/>
      <c r="KJ57" s="336"/>
      <c r="KK57" s="336"/>
      <c r="KL57" s="336"/>
      <c r="KM57" s="336"/>
      <c r="KN57" s="336"/>
      <c r="KO57" s="336"/>
      <c r="KP57" s="336"/>
      <c r="KQ57" s="336"/>
      <c r="KR57" s="336"/>
      <c r="KS57" s="336"/>
      <c r="KT57" s="336"/>
      <c r="KU57" s="336"/>
      <c r="KV57" s="336"/>
      <c r="KW57" s="336"/>
      <c r="KX57" s="336"/>
      <c r="KY57" s="336"/>
      <c r="KZ57" s="336"/>
      <c r="LA57" s="336"/>
      <c r="LB57" s="336"/>
      <c r="LC57" s="336"/>
      <c r="LD57" s="336"/>
      <c r="LE57" s="336"/>
      <c r="LF57" s="336"/>
      <c r="LG57" s="336"/>
      <c r="LH57" s="336"/>
      <c r="LI57" s="336"/>
      <c r="LJ57" s="336"/>
      <c r="LK57" s="336"/>
      <c r="LL57" s="336"/>
      <c r="LM57" s="336"/>
      <c r="LN57" s="337"/>
      <c r="LO57" s="309"/>
      <c r="LP57" s="309"/>
      <c r="LQ57" s="309"/>
      <c r="LR57" s="309"/>
      <c r="LS57" s="309"/>
      <c r="LT57" s="309"/>
      <c r="ME57" s="180"/>
      <c r="MF57" s="181"/>
    </row>
    <row r="58" spans="4:349" ht="5.0999999999999996" customHeight="1" x14ac:dyDescent="0.3">
      <c r="D58" s="177"/>
      <c r="E58" s="178"/>
      <c r="I58" s="276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8"/>
      <c r="AX58" s="306"/>
      <c r="AY58" s="307"/>
      <c r="AZ58" s="307"/>
      <c r="BA58" s="307"/>
      <c r="BB58" s="308"/>
      <c r="CE58" s="183"/>
      <c r="EC58" s="183"/>
      <c r="HX58" s="183"/>
      <c r="ME58" s="180"/>
      <c r="MF58" s="181"/>
    </row>
    <row r="59" spans="4:349" ht="5.0999999999999996" customHeight="1" x14ac:dyDescent="0.3">
      <c r="D59" s="177"/>
      <c r="E59" s="178"/>
      <c r="X59" s="197"/>
      <c r="Y59" s="198"/>
      <c r="CE59" s="183"/>
      <c r="EC59" s="183"/>
      <c r="HX59" s="183"/>
      <c r="ME59" s="180"/>
      <c r="MF59" s="181"/>
    </row>
    <row r="60" spans="4:349" ht="5.0999999999999996" customHeight="1" x14ac:dyDescent="0.3">
      <c r="D60" s="177"/>
      <c r="E60" s="178"/>
      <c r="I60" s="270" t="s">
        <v>171</v>
      </c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2"/>
      <c r="AX60" s="300">
        <v>1</v>
      </c>
      <c r="AY60" s="301"/>
      <c r="AZ60" s="301"/>
      <c r="BA60" s="301"/>
      <c r="BB60" s="302"/>
      <c r="CE60" s="183"/>
      <c r="EC60" s="183"/>
      <c r="HX60" s="192"/>
      <c r="HY60" s="193"/>
      <c r="ME60" s="180"/>
      <c r="MF60" s="181"/>
      <c r="MH60" s="199"/>
      <c r="MI60" s="199"/>
      <c r="MJ60" s="199"/>
      <c r="MK60" s="200"/>
    </row>
    <row r="61" spans="4:349" ht="5.0999999999999996" customHeight="1" x14ac:dyDescent="0.3">
      <c r="D61" s="177"/>
      <c r="E61" s="178"/>
      <c r="I61" s="273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5"/>
      <c r="AX61" s="303"/>
      <c r="AY61" s="304"/>
      <c r="AZ61" s="304"/>
      <c r="BA61" s="304"/>
      <c r="BB61" s="305"/>
      <c r="CE61" s="183"/>
      <c r="EC61" s="183"/>
      <c r="HB61" s="298" t="s">
        <v>172</v>
      </c>
      <c r="HC61" s="298"/>
      <c r="HD61" s="298"/>
      <c r="HE61" s="298"/>
      <c r="HF61" s="298"/>
      <c r="HG61" s="298"/>
      <c r="HH61" s="298"/>
      <c r="HI61" s="298"/>
      <c r="HJ61" s="298"/>
      <c r="HK61" s="298"/>
      <c r="HL61" s="298"/>
      <c r="HM61" s="298"/>
      <c r="HN61" s="298"/>
      <c r="HO61" s="298"/>
      <c r="HP61" s="298"/>
      <c r="HQ61" s="298"/>
      <c r="HR61" s="298"/>
      <c r="HS61" s="298"/>
      <c r="HT61" s="298"/>
      <c r="HU61" s="298"/>
      <c r="HV61" s="298"/>
      <c r="HW61" s="298"/>
      <c r="HX61" s="298"/>
      <c r="HY61" s="298"/>
      <c r="HZ61" s="298"/>
      <c r="IA61" s="298"/>
      <c r="IB61" s="298"/>
      <c r="IC61" s="298"/>
      <c r="ID61" s="298"/>
      <c r="IE61" s="298"/>
      <c r="IF61" s="298"/>
      <c r="IG61" s="298"/>
      <c r="IH61" s="298"/>
      <c r="II61" s="298"/>
      <c r="IJ61" s="298"/>
      <c r="IK61" s="298"/>
      <c r="IL61" s="298"/>
      <c r="IM61" s="298"/>
      <c r="IN61" s="298"/>
      <c r="IO61" s="298">
        <v>1</v>
      </c>
      <c r="IP61" s="298"/>
      <c r="IQ61" s="298"/>
      <c r="IR61" s="298"/>
      <c r="IS61" s="298"/>
      <c r="ME61" s="180"/>
      <c r="MF61" s="181"/>
    </row>
    <row r="62" spans="4:349" ht="5.0999999999999996" customHeight="1" x14ac:dyDescent="0.3">
      <c r="D62" s="177"/>
      <c r="E62" s="178"/>
      <c r="I62" s="273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5"/>
      <c r="AX62" s="303"/>
      <c r="AY62" s="304"/>
      <c r="AZ62" s="304"/>
      <c r="BA62" s="304"/>
      <c r="BB62" s="305"/>
      <c r="CE62" s="183"/>
      <c r="EC62" s="183"/>
      <c r="HB62" s="298"/>
      <c r="HC62" s="298"/>
      <c r="HD62" s="298"/>
      <c r="HE62" s="298"/>
      <c r="HF62" s="298"/>
      <c r="HG62" s="298"/>
      <c r="HH62" s="298"/>
      <c r="HI62" s="298"/>
      <c r="HJ62" s="298"/>
      <c r="HK62" s="298"/>
      <c r="HL62" s="298"/>
      <c r="HM62" s="298"/>
      <c r="HN62" s="298"/>
      <c r="HO62" s="298"/>
      <c r="HP62" s="298"/>
      <c r="HQ62" s="298"/>
      <c r="HR62" s="298"/>
      <c r="HS62" s="298"/>
      <c r="HT62" s="298"/>
      <c r="HU62" s="298"/>
      <c r="HV62" s="298"/>
      <c r="HW62" s="298"/>
      <c r="HX62" s="298"/>
      <c r="HY62" s="298"/>
      <c r="HZ62" s="298"/>
      <c r="IA62" s="298"/>
      <c r="IB62" s="298"/>
      <c r="IC62" s="298"/>
      <c r="ID62" s="298"/>
      <c r="IE62" s="298"/>
      <c r="IF62" s="298"/>
      <c r="IG62" s="298"/>
      <c r="IH62" s="298"/>
      <c r="II62" s="298"/>
      <c r="IJ62" s="298"/>
      <c r="IK62" s="298"/>
      <c r="IL62" s="298"/>
      <c r="IM62" s="298"/>
      <c r="IN62" s="298"/>
      <c r="IO62" s="298"/>
      <c r="IP62" s="298"/>
      <c r="IQ62" s="298"/>
      <c r="IR62" s="298"/>
      <c r="IS62" s="298"/>
      <c r="ME62" s="180"/>
      <c r="MF62" s="181"/>
    </row>
    <row r="63" spans="4:349" ht="5.0999999999999996" customHeight="1" x14ac:dyDescent="0.3">
      <c r="D63" s="177"/>
      <c r="E63" s="178"/>
      <c r="I63" s="273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5"/>
      <c r="AX63" s="303"/>
      <c r="AY63" s="304"/>
      <c r="AZ63" s="304"/>
      <c r="BA63" s="304"/>
      <c r="BB63" s="305"/>
      <c r="CE63" s="183"/>
      <c r="EC63" s="192"/>
      <c r="ED63" s="193"/>
      <c r="EE63" s="193"/>
      <c r="EF63" s="193"/>
      <c r="EG63" s="193"/>
      <c r="EH63" s="193"/>
      <c r="HB63" s="298"/>
      <c r="HC63" s="298"/>
      <c r="HD63" s="298"/>
      <c r="HE63" s="298"/>
      <c r="HF63" s="298"/>
      <c r="HG63" s="298"/>
      <c r="HH63" s="298"/>
      <c r="HI63" s="298"/>
      <c r="HJ63" s="298"/>
      <c r="HK63" s="298"/>
      <c r="HL63" s="298"/>
      <c r="HM63" s="298"/>
      <c r="HN63" s="298"/>
      <c r="HO63" s="298"/>
      <c r="HP63" s="298"/>
      <c r="HQ63" s="298"/>
      <c r="HR63" s="298"/>
      <c r="HS63" s="298"/>
      <c r="HT63" s="298"/>
      <c r="HU63" s="298"/>
      <c r="HV63" s="298"/>
      <c r="HW63" s="298"/>
      <c r="HX63" s="298"/>
      <c r="HY63" s="298"/>
      <c r="HZ63" s="298"/>
      <c r="IA63" s="298"/>
      <c r="IB63" s="298"/>
      <c r="IC63" s="298"/>
      <c r="ID63" s="298"/>
      <c r="IE63" s="298"/>
      <c r="IF63" s="298"/>
      <c r="IG63" s="298"/>
      <c r="IH63" s="298"/>
      <c r="II63" s="298"/>
      <c r="IJ63" s="298"/>
      <c r="IK63" s="298"/>
      <c r="IL63" s="298"/>
      <c r="IM63" s="298"/>
      <c r="IN63" s="298"/>
      <c r="IO63" s="298"/>
      <c r="IP63" s="298"/>
      <c r="IQ63" s="298"/>
      <c r="IR63" s="298"/>
      <c r="IS63" s="298"/>
      <c r="ME63" s="180"/>
      <c r="MF63" s="181"/>
    </row>
    <row r="64" spans="4:349" ht="5.0999999999999996" customHeight="1" x14ac:dyDescent="0.3">
      <c r="D64" s="177"/>
      <c r="E64" s="178"/>
      <c r="I64" s="273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  <c r="AU64" s="274"/>
      <c r="AV64" s="274"/>
      <c r="AW64" s="275"/>
      <c r="AX64" s="303"/>
      <c r="AY64" s="304"/>
      <c r="AZ64" s="304"/>
      <c r="BA64" s="304"/>
      <c r="BB64" s="305"/>
      <c r="BG64" s="311" t="s">
        <v>173</v>
      </c>
      <c r="BH64" s="312"/>
      <c r="BI64" s="312"/>
      <c r="BJ64" s="312"/>
      <c r="BK64" s="312"/>
      <c r="BL64" s="312"/>
      <c r="BM64" s="312"/>
      <c r="BN64" s="312"/>
      <c r="BO64" s="312"/>
      <c r="BP64" s="312"/>
      <c r="BQ64" s="312"/>
      <c r="BR64" s="312"/>
      <c r="BS64" s="312"/>
      <c r="BT64" s="312"/>
      <c r="BU64" s="312"/>
      <c r="BV64" s="312"/>
      <c r="BW64" s="312"/>
      <c r="BX64" s="312"/>
      <c r="BY64" s="312"/>
      <c r="BZ64" s="312"/>
      <c r="CA64" s="312"/>
      <c r="CB64" s="312"/>
      <c r="CC64" s="312"/>
      <c r="CD64" s="312"/>
      <c r="CE64" s="312"/>
      <c r="CF64" s="312"/>
      <c r="CG64" s="312"/>
      <c r="CH64" s="312"/>
      <c r="CI64" s="312"/>
      <c r="CJ64" s="312"/>
      <c r="CK64" s="312"/>
      <c r="CL64" s="312"/>
      <c r="CM64" s="312"/>
      <c r="CN64" s="312"/>
      <c r="CO64" s="312"/>
      <c r="CP64" s="312"/>
      <c r="CQ64" s="312"/>
      <c r="CR64" s="312"/>
      <c r="CS64" s="312"/>
      <c r="CT64" s="312"/>
      <c r="CU64" s="313"/>
      <c r="CV64" s="311">
        <f>SUM(CV76:CZ157)</f>
        <v>17</v>
      </c>
      <c r="CW64" s="312"/>
      <c r="CX64" s="312"/>
      <c r="CY64" s="312"/>
      <c r="CZ64" s="313"/>
      <c r="DG64" s="270" t="s">
        <v>174</v>
      </c>
      <c r="DH64" s="271"/>
      <c r="DI64" s="271"/>
      <c r="DJ64" s="271"/>
      <c r="DK64" s="271"/>
      <c r="DL64" s="271"/>
      <c r="DM64" s="271"/>
      <c r="DN64" s="271"/>
      <c r="DO64" s="271"/>
      <c r="DP64" s="271"/>
      <c r="DQ64" s="271"/>
      <c r="DR64" s="271"/>
      <c r="DS64" s="271"/>
      <c r="DT64" s="271"/>
      <c r="DU64" s="271"/>
      <c r="DV64" s="271"/>
      <c r="DW64" s="271"/>
      <c r="DX64" s="271"/>
      <c r="DY64" s="271"/>
      <c r="DZ64" s="271"/>
      <c r="EA64" s="271"/>
      <c r="EB64" s="271"/>
      <c r="EC64" s="271"/>
      <c r="ED64" s="271"/>
      <c r="EE64" s="271"/>
      <c r="EF64" s="271"/>
      <c r="EG64" s="271"/>
      <c r="EH64" s="271"/>
      <c r="EI64" s="271"/>
      <c r="EJ64" s="271"/>
      <c r="EK64" s="271"/>
      <c r="EL64" s="271"/>
      <c r="EM64" s="271"/>
      <c r="EN64" s="271"/>
      <c r="EO64" s="271"/>
      <c r="EP64" s="271"/>
      <c r="EQ64" s="271"/>
      <c r="ER64" s="271"/>
      <c r="ES64" s="271"/>
      <c r="ET64" s="271"/>
      <c r="EU64" s="272"/>
      <c r="EV64" s="300">
        <v>1</v>
      </c>
      <c r="EW64" s="301"/>
      <c r="EX64" s="301"/>
      <c r="EY64" s="301"/>
      <c r="EZ64" s="302"/>
      <c r="HB64" s="298"/>
      <c r="HC64" s="298"/>
      <c r="HD64" s="298"/>
      <c r="HE64" s="298"/>
      <c r="HF64" s="298"/>
      <c r="HG64" s="298"/>
      <c r="HH64" s="298"/>
      <c r="HI64" s="298"/>
      <c r="HJ64" s="298"/>
      <c r="HK64" s="298"/>
      <c r="HL64" s="298"/>
      <c r="HM64" s="298"/>
      <c r="HN64" s="298"/>
      <c r="HO64" s="298"/>
      <c r="HP64" s="298"/>
      <c r="HQ64" s="298"/>
      <c r="HR64" s="298"/>
      <c r="HS64" s="298"/>
      <c r="HT64" s="298"/>
      <c r="HU64" s="298"/>
      <c r="HV64" s="298"/>
      <c r="HW64" s="298"/>
      <c r="HX64" s="298"/>
      <c r="HY64" s="298"/>
      <c r="HZ64" s="298"/>
      <c r="IA64" s="298"/>
      <c r="IB64" s="298"/>
      <c r="IC64" s="298"/>
      <c r="ID64" s="298"/>
      <c r="IE64" s="298"/>
      <c r="IF64" s="298"/>
      <c r="IG64" s="298"/>
      <c r="IH64" s="298"/>
      <c r="II64" s="298"/>
      <c r="IJ64" s="298"/>
      <c r="IK64" s="298"/>
      <c r="IL64" s="298"/>
      <c r="IM64" s="298"/>
      <c r="IN64" s="298"/>
      <c r="IO64" s="298"/>
      <c r="IP64" s="298"/>
      <c r="IQ64" s="298"/>
      <c r="IR64" s="298"/>
      <c r="IS64" s="298"/>
      <c r="ME64" s="180"/>
      <c r="MF64" s="181"/>
    </row>
    <row r="65" spans="4:349" ht="5.0999999999999996" customHeight="1" x14ac:dyDescent="0.3">
      <c r="D65" s="177"/>
      <c r="E65" s="178"/>
      <c r="I65" s="273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5"/>
      <c r="AX65" s="303"/>
      <c r="AY65" s="304"/>
      <c r="AZ65" s="304"/>
      <c r="BA65" s="304"/>
      <c r="BB65" s="305"/>
      <c r="BG65" s="314"/>
      <c r="BH65" s="315"/>
      <c r="BI65" s="315"/>
      <c r="BJ65" s="315"/>
      <c r="BK65" s="315"/>
      <c r="BL65" s="315"/>
      <c r="BM65" s="315"/>
      <c r="BN65" s="315"/>
      <c r="BO65" s="315"/>
      <c r="BP65" s="315"/>
      <c r="BQ65" s="315"/>
      <c r="BR65" s="315"/>
      <c r="BS65" s="315"/>
      <c r="BT65" s="315"/>
      <c r="BU65" s="315"/>
      <c r="BV65" s="315"/>
      <c r="BW65" s="315"/>
      <c r="BX65" s="315"/>
      <c r="BY65" s="315"/>
      <c r="BZ65" s="315"/>
      <c r="CA65" s="315"/>
      <c r="CB65" s="315"/>
      <c r="CC65" s="315"/>
      <c r="CD65" s="315"/>
      <c r="CE65" s="315"/>
      <c r="CF65" s="315"/>
      <c r="CG65" s="315"/>
      <c r="CH65" s="315"/>
      <c r="CI65" s="315"/>
      <c r="CJ65" s="315"/>
      <c r="CK65" s="315"/>
      <c r="CL65" s="315"/>
      <c r="CM65" s="315"/>
      <c r="CN65" s="315"/>
      <c r="CO65" s="315"/>
      <c r="CP65" s="315"/>
      <c r="CQ65" s="315"/>
      <c r="CR65" s="315"/>
      <c r="CS65" s="315"/>
      <c r="CT65" s="315"/>
      <c r="CU65" s="316"/>
      <c r="CV65" s="314"/>
      <c r="CW65" s="315"/>
      <c r="CX65" s="315"/>
      <c r="CY65" s="315"/>
      <c r="CZ65" s="316"/>
      <c r="DG65" s="273"/>
      <c r="DH65" s="274"/>
      <c r="DI65" s="274"/>
      <c r="DJ65" s="274"/>
      <c r="DK65" s="274"/>
      <c r="DL65" s="274"/>
      <c r="DM65" s="274"/>
      <c r="DN65" s="274"/>
      <c r="DO65" s="274"/>
      <c r="DP65" s="274"/>
      <c r="DQ65" s="274"/>
      <c r="DR65" s="274"/>
      <c r="DS65" s="274"/>
      <c r="DT65" s="274"/>
      <c r="DU65" s="274"/>
      <c r="DV65" s="274"/>
      <c r="DW65" s="274"/>
      <c r="DX65" s="274"/>
      <c r="DY65" s="274"/>
      <c r="DZ65" s="274"/>
      <c r="EA65" s="274"/>
      <c r="EB65" s="274"/>
      <c r="EC65" s="274"/>
      <c r="ED65" s="274"/>
      <c r="EE65" s="274"/>
      <c r="EF65" s="274"/>
      <c r="EG65" s="274"/>
      <c r="EH65" s="274"/>
      <c r="EI65" s="274"/>
      <c r="EJ65" s="274"/>
      <c r="EK65" s="274"/>
      <c r="EL65" s="274"/>
      <c r="EM65" s="274"/>
      <c r="EN65" s="274"/>
      <c r="EO65" s="274"/>
      <c r="EP65" s="274"/>
      <c r="EQ65" s="274"/>
      <c r="ER65" s="274"/>
      <c r="ES65" s="274"/>
      <c r="ET65" s="274"/>
      <c r="EU65" s="275"/>
      <c r="EV65" s="303"/>
      <c r="EW65" s="304"/>
      <c r="EX65" s="304"/>
      <c r="EY65" s="304"/>
      <c r="EZ65" s="305"/>
      <c r="HB65" s="298"/>
      <c r="HC65" s="298"/>
      <c r="HD65" s="298"/>
      <c r="HE65" s="298"/>
      <c r="HF65" s="298"/>
      <c r="HG65" s="298"/>
      <c r="HH65" s="298"/>
      <c r="HI65" s="298"/>
      <c r="HJ65" s="298"/>
      <c r="HK65" s="298"/>
      <c r="HL65" s="298"/>
      <c r="HM65" s="298"/>
      <c r="HN65" s="298"/>
      <c r="HO65" s="298"/>
      <c r="HP65" s="298"/>
      <c r="HQ65" s="298"/>
      <c r="HR65" s="298"/>
      <c r="HS65" s="298"/>
      <c r="HT65" s="298"/>
      <c r="HU65" s="298"/>
      <c r="HV65" s="298"/>
      <c r="HW65" s="298"/>
      <c r="HX65" s="298"/>
      <c r="HY65" s="298"/>
      <c r="HZ65" s="298"/>
      <c r="IA65" s="298"/>
      <c r="IB65" s="298"/>
      <c r="IC65" s="298"/>
      <c r="ID65" s="298"/>
      <c r="IE65" s="298"/>
      <c r="IF65" s="298"/>
      <c r="IG65" s="298"/>
      <c r="IH65" s="298"/>
      <c r="II65" s="298"/>
      <c r="IJ65" s="298"/>
      <c r="IK65" s="298"/>
      <c r="IL65" s="298"/>
      <c r="IM65" s="298"/>
      <c r="IN65" s="298"/>
      <c r="IO65" s="298"/>
      <c r="IP65" s="298"/>
      <c r="IQ65" s="298"/>
      <c r="IR65" s="298"/>
      <c r="IS65" s="298"/>
      <c r="ME65" s="180"/>
      <c r="MF65" s="181"/>
    </row>
    <row r="66" spans="4:349" ht="5.0999999999999996" customHeight="1" x14ac:dyDescent="0.3">
      <c r="D66" s="177"/>
      <c r="E66" s="178"/>
      <c r="I66" s="273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  <c r="AU66" s="274"/>
      <c r="AV66" s="274"/>
      <c r="AW66" s="275"/>
      <c r="AX66" s="303"/>
      <c r="AY66" s="304"/>
      <c r="AZ66" s="304"/>
      <c r="BA66" s="304"/>
      <c r="BB66" s="305"/>
      <c r="BG66" s="314"/>
      <c r="BH66" s="315"/>
      <c r="BI66" s="315"/>
      <c r="BJ66" s="315"/>
      <c r="BK66" s="315"/>
      <c r="BL66" s="315"/>
      <c r="BM66" s="315"/>
      <c r="BN66" s="315"/>
      <c r="BO66" s="315"/>
      <c r="BP66" s="315"/>
      <c r="BQ66" s="315"/>
      <c r="BR66" s="315"/>
      <c r="BS66" s="315"/>
      <c r="BT66" s="315"/>
      <c r="BU66" s="315"/>
      <c r="BV66" s="315"/>
      <c r="BW66" s="315"/>
      <c r="BX66" s="315"/>
      <c r="BY66" s="315"/>
      <c r="BZ66" s="315"/>
      <c r="CA66" s="315"/>
      <c r="CB66" s="315"/>
      <c r="CC66" s="315"/>
      <c r="CD66" s="315"/>
      <c r="CE66" s="315"/>
      <c r="CF66" s="315"/>
      <c r="CG66" s="315"/>
      <c r="CH66" s="315"/>
      <c r="CI66" s="315"/>
      <c r="CJ66" s="315"/>
      <c r="CK66" s="315"/>
      <c r="CL66" s="315"/>
      <c r="CM66" s="315"/>
      <c r="CN66" s="315"/>
      <c r="CO66" s="315"/>
      <c r="CP66" s="315"/>
      <c r="CQ66" s="315"/>
      <c r="CR66" s="315"/>
      <c r="CS66" s="315"/>
      <c r="CT66" s="315"/>
      <c r="CU66" s="316"/>
      <c r="CV66" s="314"/>
      <c r="CW66" s="315"/>
      <c r="CX66" s="315"/>
      <c r="CY66" s="315"/>
      <c r="CZ66" s="316"/>
      <c r="DG66" s="273"/>
      <c r="DH66" s="274"/>
      <c r="DI66" s="274"/>
      <c r="DJ66" s="274"/>
      <c r="DK66" s="274"/>
      <c r="DL66" s="274"/>
      <c r="DM66" s="274"/>
      <c r="DN66" s="274"/>
      <c r="DO66" s="274"/>
      <c r="DP66" s="274"/>
      <c r="DQ66" s="274"/>
      <c r="DR66" s="274"/>
      <c r="DS66" s="274"/>
      <c r="DT66" s="274"/>
      <c r="DU66" s="274"/>
      <c r="DV66" s="274"/>
      <c r="DW66" s="274"/>
      <c r="DX66" s="274"/>
      <c r="DY66" s="274"/>
      <c r="DZ66" s="274"/>
      <c r="EA66" s="274"/>
      <c r="EB66" s="274"/>
      <c r="EC66" s="274"/>
      <c r="ED66" s="274"/>
      <c r="EE66" s="274"/>
      <c r="EF66" s="274"/>
      <c r="EG66" s="274"/>
      <c r="EH66" s="274"/>
      <c r="EI66" s="274"/>
      <c r="EJ66" s="274"/>
      <c r="EK66" s="274"/>
      <c r="EL66" s="274"/>
      <c r="EM66" s="274"/>
      <c r="EN66" s="274"/>
      <c r="EO66" s="274"/>
      <c r="EP66" s="274"/>
      <c r="EQ66" s="274"/>
      <c r="ER66" s="274"/>
      <c r="ES66" s="274"/>
      <c r="ET66" s="274"/>
      <c r="EU66" s="275"/>
      <c r="EV66" s="303"/>
      <c r="EW66" s="304"/>
      <c r="EX66" s="304"/>
      <c r="EY66" s="304"/>
      <c r="EZ66" s="305"/>
      <c r="HB66" s="298"/>
      <c r="HC66" s="298"/>
      <c r="HD66" s="298"/>
      <c r="HE66" s="298"/>
      <c r="HF66" s="298"/>
      <c r="HG66" s="298"/>
      <c r="HH66" s="298"/>
      <c r="HI66" s="298"/>
      <c r="HJ66" s="298"/>
      <c r="HK66" s="298"/>
      <c r="HL66" s="298"/>
      <c r="HM66" s="298"/>
      <c r="HN66" s="298"/>
      <c r="HO66" s="298"/>
      <c r="HP66" s="298"/>
      <c r="HQ66" s="298"/>
      <c r="HR66" s="298"/>
      <c r="HS66" s="298"/>
      <c r="HT66" s="298"/>
      <c r="HU66" s="298"/>
      <c r="HV66" s="298"/>
      <c r="HW66" s="298"/>
      <c r="HX66" s="298"/>
      <c r="HY66" s="298"/>
      <c r="HZ66" s="298"/>
      <c r="IA66" s="298"/>
      <c r="IB66" s="298"/>
      <c r="IC66" s="298"/>
      <c r="ID66" s="298"/>
      <c r="IE66" s="298"/>
      <c r="IF66" s="298"/>
      <c r="IG66" s="298"/>
      <c r="IH66" s="298"/>
      <c r="II66" s="298"/>
      <c r="IJ66" s="298"/>
      <c r="IK66" s="298"/>
      <c r="IL66" s="298"/>
      <c r="IM66" s="298"/>
      <c r="IN66" s="298"/>
      <c r="IO66" s="298"/>
      <c r="IP66" s="298"/>
      <c r="IQ66" s="298"/>
      <c r="IR66" s="298"/>
      <c r="IS66" s="298"/>
      <c r="ME66" s="180"/>
      <c r="MF66" s="181"/>
    </row>
    <row r="67" spans="4:349" ht="5.0999999999999996" customHeight="1" x14ac:dyDescent="0.3">
      <c r="D67" s="177"/>
      <c r="E67" s="178"/>
      <c r="I67" s="273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5"/>
      <c r="AX67" s="303"/>
      <c r="AY67" s="304"/>
      <c r="AZ67" s="304"/>
      <c r="BA67" s="304"/>
      <c r="BB67" s="305"/>
      <c r="BG67" s="314"/>
      <c r="BH67" s="315"/>
      <c r="BI67" s="315"/>
      <c r="BJ67" s="315"/>
      <c r="BK67" s="315"/>
      <c r="BL67" s="315"/>
      <c r="BM67" s="315"/>
      <c r="BN67" s="315"/>
      <c r="BO67" s="315"/>
      <c r="BP67" s="315"/>
      <c r="BQ67" s="315"/>
      <c r="BR67" s="315"/>
      <c r="BS67" s="315"/>
      <c r="BT67" s="315"/>
      <c r="BU67" s="315"/>
      <c r="BV67" s="315"/>
      <c r="BW67" s="315"/>
      <c r="BX67" s="315"/>
      <c r="BY67" s="315"/>
      <c r="BZ67" s="315"/>
      <c r="CA67" s="315"/>
      <c r="CB67" s="315"/>
      <c r="CC67" s="315"/>
      <c r="CD67" s="315"/>
      <c r="CE67" s="315"/>
      <c r="CF67" s="315"/>
      <c r="CG67" s="315"/>
      <c r="CH67" s="315"/>
      <c r="CI67" s="315"/>
      <c r="CJ67" s="315"/>
      <c r="CK67" s="315"/>
      <c r="CL67" s="315"/>
      <c r="CM67" s="315"/>
      <c r="CN67" s="315"/>
      <c r="CO67" s="315"/>
      <c r="CP67" s="315"/>
      <c r="CQ67" s="315"/>
      <c r="CR67" s="315"/>
      <c r="CS67" s="315"/>
      <c r="CT67" s="315"/>
      <c r="CU67" s="316"/>
      <c r="CV67" s="314"/>
      <c r="CW67" s="315"/>
      <c r="CX67" s="315"/>
      <c r="CY67" s="315"/>
      <c r="CZ67" s="316"/>
      <c r="DG67" s="273"/>
      <c r="DH67" s="274"/>
      <c r="DI67" s="274"/>
      <c r="DJ67" s="274"/>
      <c r="DK67" s="274"/>
      <c r="DL67" s="274"/>
      <c r="DM67" s="274"/>
      <c r="DN67" s="274"/>
      <c r="DO67" s="274"/>
      <c r="DP67" s="274"/>
      <c r="DQ67" s="274"/>
      <c r="DR67" s="274"/>
      <c r="DS67" s="274"/>
      <c r="DT67" s="274"/>
      <c r="DU67" s="274"/>
      <c r="DV67" s="274"/>
      <c r="DW67" s="274"/>
      <c r="DX67" s="274"/>
      <c r="DY67" s="274"/>
      <c r="DZ67" s="274"/>
      <c r="EA67" s="274"/>
      <c r="EB67" s="274"/>
      <c r="EC67" s="274"/>
      <c r="ED67" s="274"/>
      <c r="EE67" s="274"/>
      <c r="EF67" s="274"/>
      <c r="EG67" s="274"/>
      <c r="EH67" s="274"/>
      <c r="EI67" s="274"/>
      <c r="EJ67" s="274"/>
      <c r="EK67" s="274"/>
      <c r="EL67" s="274"/>
      <c r="EM67" s="274"/>
      <c r="EN67" s="274"/>
      <c r="EO67" s="274"/>
      <c r="EP67" s="274"/>
      <c r="EQ67" s="274"/>
      <c r="ER67" s="274"/>
      <c r="ES67" s="274"/>
      <c r="ET67" s="274"/>
      <c r="EU67" s="275"/>
      <c r="EV67" s="303"/>
      <c r="EW67" s="304"/>
      <c r="EX67" s="304"/>
      <c r="EY67" s="304"/>
      <c r="EZ67" s="305"/>
      <c r="HB67" s="298"/>
      <c r="HC67" s="298"/>
      <c r="HD67" s="298"/>
      <c r="HE67" s="298"/>
      <c r="HF67" s="298"/>
      <c r="HG67" s="298"/>
      <c r="HH67" s="298"/>
      <c r="HI67" s="298"/>
      <c r="HJ67" s="298"/>
      <c r="HK67" s="298"/>
      <c r="HL67" s="298"/>
      <c r="HM67" s="298"/>
      <c r="HN67" s="298"/>
      <c r="HO67" s="298"/>
      <c r="HP67" s="298"/>
      <c r="HQ67" s="298"/>
      <c r="HR67" s="298"/>
      <c r="HS67" s="298"/>
      <c r="HT67" s="298"/>
      <c r="HU67" s="298"/>
      <c r="HV67" s="298"/>
      <c r="HW67" s="298"/>
      <c r="HX67" s="298"/>
      <c r="HY67" s="298"/>
      <c r="HZ67" s="298"/>
      <c r="IA67" s="298"/>
      <c r="IB67" s="298"/>
      <c r="IC67" s="298"/>
      <c r="ID67" s="298"/>
      <c r="IE67" s="298"/>
      <c r="IF67" s="298"/>
      <c r="IG67" s="298"/>
      <c r="IH67" s="298"/>
      <c r="II67" s="298"/>
      <c r="IJ67" s="298"/>
      <c r="IK67" s="298"/>
      <c r="IL67" s="298"/>
      <c r="IM67" s="298"/>
      <c r="IN67" s="298"/>
      <c r="IO67" s="298"/>
      <c r="IP67" s="298"/>
      <c r="IQ67" s="298"/>
      <c r="IR67" s="298"/>
      <c r="IS67" s="298"/>
      <c r="ME67" s="180"/>
      <c r="MF67" s="181"/>
    </row>
    <row r="68" spans="4:349" ht="5.0999999999999996" customHeight="1" x14ac:dyDescent="0.3">
      <c r="D68" s="177"/>
      <c r="E68" s="178"/>
      <c r="I68" s="276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7"/>
      <c r="AQ68" s="277"/>
      <c r="AR68" s="277"/>
      <c r="AS68" s="277"/>
      <c r="AT68" s="277"/>
      <c r="AU68" s="277"/>
      <c r="AV68" s="277"/>
      <c r="AW68" s="278"/>
      <c r="AX68" s="306"/>
      <c r="AY68" s="307"/>
      <c r="AZ68" s="307"/>
      <c r="BA68" s="307"/>
      <c r="BB68" s="308"/>
      <c r="BG68" s="314"/>
      <c r="BH68" s="315"/>
      <c r="BI68" s="315"/>
      <c r="BJ68" s="315"/>
      <c r="BK68" s="315"/>
      <c r="BL68" s="315"/>
      <c r="BM68" s="315"/>
      <c r="BN68" s="315"/>
      <c r="BO68" s="315"/>
      <c r="BP68" s="315"/>
      <c r="BQ68" s="315"/>
      <c r="BR68" s="315"/>
      <c r="BS68" s="315"/>
      <c r="BT68" s="315"/>
      <c r="BU68" s="315"/>
      <c r="BV68" s="315"/>
      <c r="BW68" s="315"/>
      <c r="BX68" s="315"/>
      <c r="BY68" s="315"/>
      <c r="BZ68" s="315"/>
      <c r="CA68" s="315"/>
      <c r="CB68" s="315"/>
      <c r="CC68" s="315"/>
      <c r="CD68" s="315"/>
      <c r="CE68" s="315"/>
      <c r="CF68" s="315"/>
      <c r="CG68" s="315"/>
      <c r="CH68" s="315"/>
      <c r="CI68" s="315"/>
      <c r="CJ68" s="315"/>
      <c r="CK68" s="315"/>
      <c r="CL68" s="315"/>
      <c r="CM68" s="315"/>
      <c r="CN68" s="315"/>
      <c r="CO68" s="315"/>
      <c r="CP68" s="315"/>
      <c r="CQ68" s="315"/>
      <c r="CR68" s="315"/>
      <c r="CS68" s="315"/>
      <c r="CT68" s="315"/>
      <c r="CU68" s="316"/>
      <c r="CV68" s="314"/>
      <c r="CW68" s="315"/>
      <c r="CX68" s="315"/>
      <c r="CY68" s="315"/>
      <c r="CZ68" s="316"/>
      <c r="DG68" s="273"/>
      <c r="DH68" s="274"/>
      <c r="DI68" s="274"/>
      <c r="DJ68" s="274"/>
      <c r="DK68" s="274"/>
      <c r="DL68" s="274"/>
      <c r="DM68" s="274"/>
      <c r="DN68" s="274"/>
      <c r="DO68" s="274"/>
      <c r="DP68" s="274"/>
      <c r="DQ68" s="274"/>
      <c r="DR68" s="274"/>
      <c r="DS68" s="274"/>
      <c r="DT68" s="274"/>
      <c r="DU68" s="274"/>
      <c r="DV68" s="274"/>
      <c r="DW68" s="274"/>
      <c r="DX68" s="274"/>
      <c r="DY68" s="274"/>
      <c r="DZ68" s="274"/>
      <c r="EA68" s="274"/>
      <c r="EB68" s="274"/>
      <c r="EC68" s="274"/>
      <c r="ED68" s="274"/>
      <c r="EE68" s="274"/>
      <c r="EF68" s="274"/>
      <c r="EG68" s="274"/>
      <c r="EH68" s="274"/>
      <c r="EI68" s="274"/>
      <c r="EJ68" s="274"/>
      <c r="EK68" s="274"/>
      <c r="EL68" s="274"/>
      <c r="EM68" s="274"/>
      <c r="EN68" s="274"/>
      <c r="EO68" s="274"/>
      <c r="EP68" s="274"/>
      <c r="EQ68" s="274"/>
      <c r="ER68" s="274"/>
      <c r="ES68" s="274"/>
      <c r="ET68" s="274"/>
      <c r="EU68" s="275"/>
      <c r="EV68" s="303"/>
      <c r="EW68" s="304"/>
      <c r="EX68" s="304"/>
      <c r="EY68" s="304"/>
      <c r="EZ68" s="305"/>
      <c r="HB68" s="298"/>
      <c r="HC68" s="298"/>
      <c r="HD68" s="298"/>
      <c r="HE68" s="298"/>
      <c r="HF68" s="298"/>
      <c r="HG68" s="298"/>
      <c r="HH68" s="298"/>
      <c r="HI68" s="298"/>
      <c r="HJ68" s="298"/>
      <c r="HK68" s="298"/>
      <c r="HL68" s="298"/>
      <c r="HM68" s="298"/>
      <c r="HN68" s="298"/>
      <c r="HO68" s="298"/>
      <c r="HP68" s="298"/>
      <c r="HQ68" s="298"/>
      <c r="HR68" s="298"/>
      <c r="HS68" s="298"/>
      <c r="HT68" s="298"/>
      <c r="HU68" s="298"/>
      <c r="HV68" s="298"/>
      <c r="HW68" s="298"/>
      <c r="HX68" s="298"/>
      <c r="HY68" s="298"/>
      <c r="HZ68" s="298"/>
      <c r="IA68" s="298"/>
      <c r="IB68" s="298"/>
      <c r="IC68" s="298"/>
      <c r="ID68" s="298"/>
      <c r="IE68" s="298"/>
      <c r="IF68" s="298"/>
      <c r="IG68" s="298"/>
      <c r="IH68" s="298"/>
      <c r="II68" s="298"/>
      <c r="IJ68" s="298"/>
      <c r="IK68" s="298"/>
      <c r="IL68" s="298"/>
      <c r="IM68" s="298"/>
      <c r="IN68" s="298"/>
      <c r="IO68" s="298"/>
      <c r="IP68" s="298"/>
      <c r="IQ68" s="298"/>
      <c r="IR68" s="298"/>
      <c r="IS68" s="298"/>
      <c r="ME68" s="180"/>
      <c r="MF68" s="181"/>
    </row>
    <row r="69" spans="4:349" ht="5.0999999999999996" customHeight="1" x14ac:dyDescent="0.3">
      <c r="D69" s="177"/>
      <c r="E69" s="178"/>
      <c r="I69" s="270" t="s">
        <v>175</v>
      </c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2"/>
      <c r="AX69" s="300">
        <v>2</v>
      </c>
      <c r="AY69" s="301"/>
      <c r="AZ69" s="301"/>
      <c r="BA69" s="301"/>
      <c r="BB69" s="302"/>
      <c r="BG69" s="314"/>
      <c r="BH69" s="315"/>
      <c r="BI69" s="315"/>
      <c r="BJ69" s="315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315"/>
      <c r="BV69" s="315"/>
      <c r="BW69" s="315"/>
      <c r="BX69" s="315"/>
      <c r="BY69" s="315"/>
      <c r="BZ69" s="315"/>
      <c r="CA69" s="315"/>
      <c r="CB69" s="315"/>
      <c r="CC69" s="315"/>
      <c r="CD69" s="315"/>
      <c r="CE69" s="315"/>
      <c r="CF69" s="315"/>
      <c r="CG69" s="315"/>
      <c r="CH69" s="315"/>
      <c r="CI69" s="315"/>
      <c r="CJ69" s="315"/>
      <c r="CK69" s="315"/>
      <c r="CL69" s="315"/>
      <c r="CM69" s="315"/>
      <c r="CN69" s="315"/>
      <c r="CO69" s="315"/>
      <c r="CP69" s="315"/>
      <c r="CQ69" s="315"/>
      <c r="CR69" s="315"/>
      <c r="CS69" s="315"/>
      <c r="CT69" s="315"/>
      <c r="CU69" s="316"/>
      <c r="CV69" s="314"/>
      <c r="CW69" s="315"/>
      <c r="CX69" s="315"/>
      <c r="CY69" s="315"/>
      <c r="CZ69" s="316"/>
      <c r="DG69" s="273"/>
      <c r="DH69" s="274"/>
      <c r="DI69" s="274"/>
      <c r="DJ69" s="274"/>
      <c r="DK69" s="274"/>
      <c r="DL69" s="274"/>
      <c r="DM69" s="274"/>
      <c r="DN69" s="274"/>
      <c r="DO69" s="274"/>
      <c r="DP69" s="274"/>
      <c r="DQ69" s="274"/>
      <c r="DR69" s="274"/>
      <c r="DS69" s="274"/>
      <c r="DT69" s="274"/>
      <c r="DU69" s="274"/>
      <c r="DV69" s="274"/>
      <c r="DW69" s="274"/>
      <c r="DX69" s="274"/>
      <c r="DY69" s="274"/>
      <c r="DZ69" s="274"/>
      <c r="EA69" s="274"/>
      <c r="EB69" s="274"/>
      <c r="EC69" s="274"/>
      <c r="ED69" s="274"/>
      <c r="EE69" s="274"/>
      <c r="EF69" s="274"/>
      <c r="EG69" s="274"/>
      <c r="EH69" s="274"/>
      <c r="EI69" s="274"/>
      <c r="EJ69" s="274"/>
      <c r="EK69" s="274"/>
      <c r="EL69" s="274"/>
      <c r="EM69" s="274"/>
      <c r="EN69" s="274"/>
      <c r="EO69" s="274"/>
      <c r="EP69" s="274"/>
      <c r="EQ69" s="274"/>
      <c r="ER69" s="274"/>
      <c r="ES69" s="274"/>
      <c r="ET69" s="274"/>
      <c r="EU69" s="275"/>
      <c r="EV69" s="303"/>
      <c r="EW69" s="304"/>
      <c r="EX69" s="304"/>
      <c r="EY69" s="304"/>
      <c r="EZ69" s="305"/>
      <c r="HB69" s="298"/>
      <c r="HC69" s="298"/>
      <c r="HD69" s="298"/>
      <c r="HE69" s="298"/>
      <c r="HF69" s="298"/>
      <c r="HG69" s="298"/>
      <c r="HH69" s="298"/>
      <c r="HI69" s="298"/>
      <c r="HJ69" s="298"/>
      <c r="HK69" s="298"/>
      <c r="HL69" s="298"/>
      <c r="HM69" s="298"/>
      <c r="HN69" s="298"/>
      <c r="HO69" s="298"/>
      <c r="HP69" s="298"/>
      <c r="HQ69" s="298"/>
      <c r="HR69" s="298"/>
      <c r="HS69" s="298"/>
      <c r="HT69" s="298"/>
      <c r="HU69" s="298"/>
      <c r="HV69" s="298"/>
      <c r="HW69" s="298"/>
      <c r="HX69" s="298"/>
      <c r="HY69" s="298"/>
      <c r="HZ69" s="298"/>
      <c r="IA69" s="298"/>
      <c r="IB69" s="298"/>
      <c r="IC69" s="298"/>
      <c r="ID69" s="298"/>
      <c r="IE69" s="298"/>
      <c r="IF69" s="298"/>
      <c r="IG69" s="298"/>
      <c r="IH69" s="298"/>
      <c r="II69" s="298"/>
      <c r="IJ69" s="298"/>
      <c r="IK69" s="298"/>
      <c r="IL69" s="298"/>
      <c r="IM69" s="298"/>
      <c r="IN69" s="298"/>
      <c r="IO69" s="298"/>
      <c r="IP69" s="298"/>
      <c r="IQ69" s="298"/>
      <c r="IR69" s="298"/>
      <c r="IS69" s="298"/>
      <c r="ME69" s="180"/>
      <c r="MF69" s="181"/>
    </row>
    <row r="70" spans="4:349" ht="5.0999999999999996" customHeight="1" x14ac:dyDescent="0.3">
      <c r="D70" s="177"/>
      <c r="E70" s="178"/>
      <c r="I70" s="273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  <c r="AU70" s="274"/>
      <c r="AV70" s="274"/>
      <c r="AW70" s="275"/>
      <c r="AX70" s="303"/>
      <c r="AY70" s="304"/>
      <c r="AZ70" s="304"/>
      <c r="BA70" s="304"/>
      <c r="BB70" s="305"/>
      <c r="BG70" s="314"/>
      <c r="BH70" s="315"/>
      <c r="BI70" s="315"/>
      <c r="BJ70" s="315"/>
      <c r="BK70" s="315"/>
      <c r="BL70" s="315"/>
      <c r="BM70" s="315"/>
      <c r="BN70" s="315"/>
      <c r="BO70" s="315"/>
      <c r="BP70" s="315"/>
      <c r="BQ70" s="315"/>
      <c r="BR70" s="315"/>
      <c r="BS70" s="315"/>
      <c r="BT70" s="315"/>
      <c r="BU70" s="315"/>
      <c r="BV70" s="315"/>
      <c r="BW70" s="315"/>
      <c r="BX70" s="315"/>
      <c r="BY70" s="315"/>
      <c r="BZ70" s="315"/>
      <c r="CA70" s="315"/>
      <c r="CB70" s="315"/>
      <c r="CC70" s="315"/>
      <c r="CD70" s="315"/>
      <c r="CE70" s="315"/>
      <c r="CF70" s="315"/>
      <c r="CG70" s="315"/>
      <c r="CH70" s="315"/>
      <c r="CI70" s="315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5"/>
      <c r="CU70" s="316"/>
      <c r="CV70" s="314"/>
      <c r="CW70" s="315"/>
      <c r="CX70" s="315"/>
      <c r="CY70" s="315"/>
      <c r="CZ70" s="316"/>
      <c r="DG70" s="273"/>
      <c r="DH70" s="274"/>
      <c r="DI70" s="274"/>
      <c r="DJ70" s="274"/>
      <c r="DK70" s="274"/>
      <c r="DL70" s="274"/>
      <c r="DM70" s="274"/>
      <c r="DN70" s="274"/>
      <c r="DO70" s="274"/>
      <c r="DP70" s="274"/>
      <c r="DQ70" s="274"/>
      <c r="DR70" s="274"/>
      <c r="DS70" s="274"/>
      <c r="DT70" s="274"/>
      <c r="DU70" s="274"/>
      <c r="DV70" s="274"/>
      <c r="DW70" s="274"/>
      <c r="DX70" s="274"/>
      <c r="DY70" s="274"/>
      <c r="DZ70" s="274"/>
      <c r="EA70" s="274"/>
      <c r="EB70" s="274"/>
      <c r="EC70" s="274"/>
      <c r="ED70" s="274"/>
      <c r="EE70" s="274"/>
      <c r="EF70" s="274"/>
      <c r="EG70" s="274"/>
      <c r="EH70" s="274"/>
      <c r="EI70" s="274"/>
      <c r="EJ70" s="274"/>
      <c r="EK70" s="274"/>
      <c r="EL70" s="274"/>
      <c r="EM70" s="274"/>
      <c r="EN70" s="274"/>
      <c r="EO70" s="274"/>
      <c r="EP70" s="274"/>
      <c r="EQ70" s="274"/>
      <c r="ER70" s="274"/>
      <c r="ES70" s="274"/>
      <c r="ET70" s="274"/>
      <c r="EU70" s="275"/>
      <c r="EV70" s="303"/>
      <c r="EW70" s="304"/>
      <c r="EX70" s="304"/>
      <c r="EY70" s="304"/>
      <c r="EZ70" s="305"/>
      <c r="HB70" s="298"/>
      <c r="HC70" s="298"/>
      <c r="HD70" s="298"/>
      <c r="HE70" s="298"/>
      <c r="HF70" s="298"/>
      <c r="HG70" s="298"/>
      <c r="HH70" s="298"/>
      <c r="HI70" s="298"/>
      <c r="HJ70" s="298"/>
      <c r="HK70" s="298"/>
      <c r="HL70" s="298"/>
      <c r="HM70" s="298"/>
      <c r="HN70" s="298"/>
      <c r="HO70" s="298"/>
      <c r="HP70" s="298"/>
      <c r="HQ70" s="298"/>
      <c r="HR70" s="298"/>
      <c r="HS70" s="298"/>
      <c r="HT70" s="298"/>
      <c r="HU70" s="298"/>
      <c r="HV70" s="298"/>
      <c r="HW70" s="298"/>
      <c r="HX70" s="298"/>
      <c r="HY70" s="298"/>
      <c r="HZ70" s="298"/>
      <c r="IA70" s="310"/>
      <c r="IB70" s="310"/>
      <c r="IC70" s="310"/>
      <c r="ID70" s="310"/>
      <c r="IE70" s="310"/>
      <c r="IF70" s="310"/>
      <c r="IG70" s="310"/>
      <c r="IH70" s="310"/>
      <c r="II70" s="310"/>
      <c r="IJ70" s="310"/>
      <c r="IK70" s="310"/>
      <c r="IL70" s="310"/>
      <c r="IM70" s="310"/>
      <c r="IN70" s="310"/>
      <c r="IO70" s="310"/>
      <c r="IP70" s="310"/>
      <c r="IQ70" s="310"/>
      <c r="IR70" s="310"/>
      <c r="IS70" s="310"/>
      <c r="ME70" s="180"/>
      <c r="MF70" s="181"/>
      <c r="MH70" s="199"/>
      <c r="MI70" s="199"/>
      <c r="MJ70" s="199"/>
      <c r="MK70" s="200"/>
    </row>
    <row r="71" spans="4:349" ht="5.0999999999999996" customHeight="1" x14ac:dyDescent="0.3">
      <c r="D71" s="177"/>
      <c r="E71" s="178"/>
      <c r="I71" s="273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  <c r="AU71" s="274"/>
      <c r="AV71" s="274"/>
      <c r="AW71" s="275"/>
      <c r="AX71" s="303"/>
      <c r="AY71" s="304"/>
      <c r="AZ71" s="304"/>
      <c r="BA71" s="304"/>
      <c r="BB71" s="305"/>
      <c r="BG71" s="314"/>
      <c r="BH71" s="315"/>
      <c r="BI71" s="315"/>
      <c r="BJ71" s="315"/>
      <c r="BK71" s="315"/>
      <c r="BL71" s="315"/>
      <c r="BM71" s="315"/>
      <c r="BN71" s="315"/>
      <c r="BO71" s="315"/>
      <c r="BP71" s="315"/>
      <c r="BQ71" s="315"/>
      <c r="BR71" s="315"/>
      <c r="BS71" s="315"/>
      <c r="BT71" s="315"/>
      <c r="BU71" s="315"/>
      <c r="BV71" s="315"/>
      <c r="BW71" s="315"/>
      <c r="BX71" s="315"/>
      <c r="BY71" s="315"/>
      <c r="BZ71" s="315"/>
      <c r="CA71" s="315"/>
      <c r="CB71" s="315"/>
      <c r="CC71" s="315"/>
      <c r="CD71" s="315"/>
      <c r="CE71" s="315"/>
      <c r="CF71" s="315"/>
      <c r="CG71" s="315"/>
      <c r="CH71" s="315"/>
      <c r="CI71" s="315"/>
      <c r="CJ71" s="315"/>
      <c r="CK71" s="315"/>
      <c r="CL71" s="315"/>
      <c r="CM71" s="315"/>
      <c r="CN71" s="315"/>
      <c r="CO71" s="315"/>
      <c r="CP71" s="315"/>
      <c r="CQ71" s="315"/>
      <c r="CR71" s="315"/>
      <c r="CS71" s="315"/>
      <c r="CT71" s="315"/>
      <c r="CU71" s="316"/>
      <c r="CV71" s="314"/>
      <c r="CW71" s="315"/>
      <c r="CX71" s="315"/>
      <c r="CY71" s="315"/>
      <c r="CZ71" s="316"/>
      <c r="DG71" s="273"/>
      <c r="DH71" s="274"/>
      <c r="DI71" s="274"/>
      <c r="DJ71" s="274"/>
      <c r="DK71" s="274"/>
      <c r="DL71" s="274"/>
      <c r="DM71" s="274"/>
      <c r="DN71" s="274"/>
      <c r="DO71" s="274"/>
      <c r="DP71" s="274"/>
      <c r="DQ71" s="274"/>
      <c r="DR71" s="274"/>
      <c r="DS71" s="274"/>
      <c r="DT71" s="274"/>
      <c r="DU71" s="274"/>
      <c r="DV71" s="274"/>
      <c r="DW71" s="274"/>
      <c r="DX71" s="274"/>
      <c r="DY71" s="274"/>
      <c r="DZ71" s="274"/>
      <c r="EA71" s="274"/>
      <c r="EB71" s="274"/>
      <c r="EC71" s="274"/>
      <c r="ED71" s="274"/>
      <c r="EE71" s="274"/>
      <c r="EF71" s="274"/>
      <c r="EG71" s="274"/>
      <c r="EH71" s="274"/>
      <c r="EI71" s="274"/>
      <c r="EJ71" s="274"/>
      <c r="EK71" s="274"/>
      <c r="EL71" s="274"/>
      <c r="EM71" s="274"/>
      <c r="EN71" s="274"/>
      <c r="EO71" s="274"/>
      <c r="EP71" s="274"/>
      <c r="EQ71" s="274"/>
      <c r="ER71" s="274"/>
      <c r="ES71" s="274"/>
      <c r="ET71" s="274"/>
      <c r="EU71" s="275"/>
      <c r="EV71" s="303"/>
      <c r="EW71" s="304"/>
      <c r="EX71" s="304"/>
      <c r="EY71" s="304"/>
      <c r="EZ71" s="305"/>
      <c r="HX71" s="195"/>
      <c r="HY71" s="196"/>
      <c r="HZ71" s="196"/>
      <c r="IA71" s="196"/>
      <c r="IB71" s="196"/>
      <c r="IC71" s="196"/>
      <c r="ID71" s="196"/>
      <c r="IE71" s="196"/>
      <c r="IF71" s="196"/>
      <c r="IG71" s="196"/>
      <c r="IH71" s="196"/>
      <c r="II71" s="196"/>
      <c r="IJ71" s="196"/>
      <c r="IK71" s="196"/>
      <c r="IL71" s="196"/>
      <c r="IM71" s="196"/>
      <c r="IN71" s="196"/>
      <c r="IO71" s="196"/>
      <c r="IP71" s="196"/>
      <c r="IQ71" s="196"/>
      <c r="IR71" s="196"/>
      <c r="IS71" s="196"/>
      <c r="ME71" s="180"/>
      <c r="MF71" s="181"/>
    </row>
    <row r="72" spans="4:349" ht="5.0999999999999996" customHeight="1" x14ac:dyDescent="0.3">
      <c r="D72" s="177"/>
      <c r="E72" s="178"/>
      <c r="I72" s="273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  <c r="AU72" s="274"/>
      <c r="AV72" s="274"/>
      <c r="AW72" s="275"/>
      <c r="AX72" s="303"/>
      <c r="AY72" s="304"/>
      <c r="AZ72" s="304"/>
      <c r="BA72" s="304"/>
      <c r="BB72" s="305"/>
      <c r="BG72" s="314"/>
      <c r="BH72" s="315"/>
      <c r="BI72" s="315"/>
      <c r="BJ72" s="315"/>
      <c r="BK72" s="315"/>
      <c r="BL72" s="315"/>
      <c r="BM72" s="315"/>
      <c r="BN72" s="315"/>
      <c r="BO72" s="315"/>
      <c r="BP72" s="315"/>
      <c r="BQ72" s="315"/>
      <c r="BR72" s="315"/>
      <c r="BS72" s="315"/>
      <c r="BT72" s="315"/>
      <c r="BU72" s="315"/>
      <c r="BV72" s="315"/>
      <c r="BW72" s="315"/>
      <c r="BX72" s="315"/>
      <c r="BY72" s="315"/>
      <c r="BZ72" s="315"/>
      <c r="CA72" s="315"/>
      <c r="CB72" s="315"/>
      <c r="CC72" s="315"/>
      <c r="CD72" s="315"/>
      <c r="CE72" s="315"/>
      <c r="CF72" s="315"/>
      <c r="CG72" s="315"/>
      <c r="CH72" s="315"/>
      <c r="CI72" s="315"/>
      <c r="CJ72" s="315"/>
      <c r="CK72" s="315"/>
      <c r="CL72" s="315"/>
      <c r="CM72" s="315"/>
      <c r="CN72" s="315"/>
      <c r="CO72" s="315"/>
      <c r="CP72" s="315"/>
      <c r="CQ72" s="315"/>
      <c r="CR72" s="315"/>
      <c r="CS72" s="315"/>
      <c r="CT72" s="315"/>
      <c r="CU72" s="316"/>
      <c r="CV72" s="314"/>
      <c r="CW72" s="315"/>
      <c r="CX72" s="315"/>
      <c r="CY72" s="315"/>
      <c r="CZ72" s="316"/>
      <c r="DG72" s="273"/>
      <c r="DH72" s="274"/>
      <c r="DI72" s="274"/>
      <c r="DJ72" s="274"/>
      <c r="DK72" s="274"/>
      <c r="DL72" s="274"/>
      <c r="DM72" s="274"/>
      <c r="DN72" s="274"/>
      <c r="DO72" s="274"/>
      <c r="DP72" s="274"/>
      <c r="DQ72" s="274"/>
      <c r="DR72" s="274"/>
      <c r="DS72" s="274"/>
      <c r="DT72" s="274"/>
      <c r="DU72" s="274"/>
      <c r="DV72" s="274"/>
      <c r="DW72" s="274"/>
      <c r="DX72" s="274"/>
      <c r="DY72" s="274"/>
      <c r="DZ72" s="274"/>
      <c r="EA72" s="274"/>
      <c r="EB72" s="274"/>
      <c r="EC72" s="274"/>
      <c r="ED72" s="274"/>
      <c r="EE72" s="274"/>
      <c r="EF72" s="274"/>
      <c r="EG72" s="274"/>
      <c r="EH72" s="274"/>
      <c r="EI72" s="274"/>
      <c r="EJ72" s="274"/>
      <c r="EK72" s="274"/>
      <c r="EL72" s="274"/>
      <c r="EM72" s="274"/>
      <c r="EN72" s="274"/>
      <c r="EO72" s="274"/>
      <c r="EP72" s="274"/>
      <c r="EQ72" s="274"/>
      <c r="ER72" s="274"/>
      <c r="ES72" s="274"/>
      <c r="ET72" s="274"/>
      <c r="EU72" s="275"/>
      <c r="EV72" s="303"/>
      <c r="EW72" s="304"/>
      <c r="EX72" s="304"/>
      <c r="EY72" s="304"/>
      <c r="EZ72" s="305"/>
      <c r="HX72" s="183"/>
      <c r="ME72" s="180"/>
      <c r="MF72" s="181"/>
    </row>
    <row r="73" spans="4:349" ht="5.0999999999999996" customHeight="1" x14ac:dyDescent="0.3">
      <c r="D73" s="177"/>
      <c r="E73" s="178"/>
      <c r="I73" s="273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  <c r="AU73" s="274"/>
      <c r="AV73" s="274"/>
      <c r="AW73" s="275"/>
      <c r="AX73" s="303"/>
      <c r="AY73" s="304"/>
      <c r="AZ73" s="304"/>
      <c r="BA73" s="304"/>
      <c r="BB73" s="305"/>
      <c r="BG73" s="317"/>
      <c r="BH73" s="318"/>
      <c r="BI73" s="318"/>
      <c r="BJ73" s="318"/>
      <c r="BK73" s="318"/>
      <c r="BL73" s="318"/>
      <c r="BM73" s="318"/>
      <c r="BN73" s="318"/>
      <c r="BO73" s="318"/>
      <c r="BP73" s="318"/>
      <c r="BQ73" s="318"/>
      <c r="BR73" s="318"/>
      <c r="BS73" s="318"/>
      <c r="BT73" s="318"/>
      <c r="BU73" s="318"/>
      <c r="BV73" s="318"/>
      <c r="BW73" s="318"/>
      <c r="BX73" s="318"/>
      <c r="BY73" s="318"/>
      <c r="BZ73" s="318"/>
      <c r="CA73" s="318"/>
      <c r="CB73" s="318"/>
      <c r="CC73" s="318"/>
      <c r="CD73" s="318"/>
      <c r="CE73" s="318"/>
      <c r="CF73" s="318"/>
      <c r="CG73" s="318"/>
      <c r="CH73" s="318"/>
      <c r="CI73" s="318"/>
      <c r="CJ73" s="318"/>
      <c r="CK73" s="318"/>
      <c r="CL73" s="318"/>
      <c r="CM73" s="318"/>
      <c r="CN73" s="318"/>
      <c r="CO73" s="318"/>
      <c r="CP73" s="318"/>
      <c r="CQ73" s="318"/>
      <c r="CR73" s="318"/>
      <c r="CS73" s="318"/>
      <c r="CT73" s="318"/>
      <c r="CU73" s="319"/>
      <c r="CV73" s="317"/>
      <c r="CW73" s="318"/>
      <c r="CX73" s="318"/>
      <c r="CY73" s="318"/>
      <c r="CZ73" s="319"/>
      <c r="DG73" s="276"/>
      <c r="DH73" s="277"/>
      <c r="DI73" s="277"/>
      <c r="DJ73" s="277"/>
      <c r="DK73" s="277"/>
      <c r="DL73" s="277"/>
      <c r="DM73" s="277"/>
      <c r="DN73" s="277"/>
      <c r="DO73" s="277"/>
      <c r="DP73" s="277"/>
      <c r="DQ73" s="277"/>
      <c r="DR73" s="277"/>
      <c r="DS73" s="277"/>
      <c r="DT73" s="277"/>
      <c r="DU73" s="277"/>
      <c r="DV73" s="277"/>
      <c r="DW73" s="277"/>
      <c r="DX73" s="277"/>
      <c r="DY73" s="277"/>
      <c r="DZ73" s="277"/>
      <c r="EA73" s="277"/>
      <c r="EB73" s="277"/>
      <c r="EC73" s="277"/>
      <c r="ED73" s="277"/>
      <c r="EE73" s="277"/>
      <c r="EF73" s="277"/>
      <c r="EG73" s="277"/>
      <c r="EH73" s="277"/>
      <c r="EI73" s="277"/>
      <c r="EJ73" s="277"/>
      <c r="EK73" s="277"/>
      <c r="EL73" s="277"/>
      <c r="EM73" s="277"/>
      <c r="EN73" s="277"/>
      <c r="EO73" s="277"/>
      <c r="EP73" s="277"/>
      <c r="EQ73" s="277"/>
      <c r="ER73" s="277"/>
      <c r="ES73" s="277"/>
      <c r="ET73" s="277"/>
      <c r="EU73" s="278"/>
      <c r="EV73" s="306"/>
      <c r="EW73" s="307"/>
      <c r="EX73" s="307"/>
      <c r="EY73" s="307"/>
      <c r="EZ73" s="308"/>
      <c r="HX73" s="183"/>
      <c r="ME73" s="180"/>
      <c r="MF73" s="181"/>
    </row>
    <row r="74" spans="4:349" ht="5.0999999999999996" customHeight="1" x14ac:dyDescent="0.3">
      <c r="D74" s="177"/>
      <c r="E74" s="178"/>
      <c r="I74" s="273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5"/>
      <c r="AX74" s="303"/>
      <c r="AY74" s="304"/>
      <c r="AZ74" s="304"/>
      <c r="BA74" s="304"/>
      <c r="BB74" s="305"/>
      <c r="CD74" s="201"/>
      <c r="DG74" s="270" t="s">
        <v>220</v>
      </c>
      <c r="DH74" s="271"/>
      <c r="DI74" s="271"/>
      <c r="DJ74" s="271"/>
      <c r="DK74" s="271"/>
      <c r="DL74" s="271"/>
      <c r="DM74" s="271"/>
      <c r="DN74" s="271"/>
      <c r="DO74" s="271"/>
      <c r="DP74" s="271"/>
      <c r="DQ74" s="271"/>
      <c r="DR74" s="271"/>
      <c r="DS74" s="271"/>
      <c r="DT74" s="271"/>
      <c r="DU74" s="271"/>
      <c r="DV74" s="271"/>
      <c r="DW74" s="271"/>
      <c r="DX74" s="271"/>
      <c r="DY74" s="271"/>
      <c r="DZ74" s="271"/>
      <c r="EA74" s="271"/>
      <c r="EB74" s="271"/>
      <c r="EC74" s="271"/>
      <c r="ED74" s="271"/>
      <c r="EE74" s="271"/>
      <c r="EF74" s="271"/>
      <c r="EG74" s="271"/>
      <c r="EH74" s="271"/>
      <c r="EI74" s="271"/>
      <c r="EJ74" s="271"/>
      <c r="EK74" s="271"/>
      <c r="EL74" s="271"/>
      <c r="EM74" s="271"/>
      <c r="EN74" s="271"/>
      <c r="EO74" s="271"/>
      <c r="EP74" s="271"/>
      <c r="EQ74" s="271"/>
      <c r="ER74" s="271"/>
      <c r="ES74" s="271"/>
      <c r="ET74" s="271"/>
      <c r="EU74" s="272"/>
      <c r="EV74" s="300">
        <v>2</v>
      </c>
      <c r="EW74" s="301"/>
      <c r="EX74" s="301"/>
      <c r="EY74" s="301"/>
      <c r="EZ74" s="302"/>
      <c r="HX74" s="183"/>
      <c r="ME74" s="180"/>
      <c r="MF74" s="181"/>
    </row>
    <row r="75" spans="4:349" ht="5.0999999999999996" customHeight="1" x14ac:dyDescent="0.3">
      <c r="D75" s="177"/>
      <c r="E75" s="178"/>
      <c r="I75" s="273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5"/>
      <c r="AX75" s="303"/>
      <c r="AY75" s="304"/>
      <c r="AZ75" s="304"/>
      <c r="BA75" s="304"/>
      <c r="BB75" s="305"/>
      <c r="CD75" s="202"/>
      <c r="DG75" s="273"/>
      <c r="DH75" s="274"/>
      <c r="DI75" s="274"/>
      <c r="DJ75" s="274"/>
      <c r="DK75" s="274"/>
      <c r="DL75" s="274"/>
      <c r="DM75" s="274"/>
      <c r="DN75" s="274"/>
      <c r="DO75" s="274"/>
      <c r="DP75" s="274"/>
      <c r="DQ75" s="274"/>
      <c r="DR75" s="274"/>
      <c r="DS75" s="274"/>
      <c r="DT75" s="274"/>
      <c r="DU75" s="274"/>
      <c r="DV75" s="274"/>
      <c r="DW75" s="274"/>
      <c r="DX75" s="274"/>
      <c r="DY75" s="274"/>
      <c r="DZ75" s="274"/>
      <c r="EA75" s="274"/>
      <c r="EB75" s="274"/>
      <c r="EC75" s="274"/>
      <c r="ED75" s="274"/>
      <c r="EE75" s="274"/>
      <c r="EF75" s="274"/>
      <c r="EG75" s="274"/>
      <c r="EH75" s="274"/>
      <c r="EI75" s="274"/>
      <c r="EJ75" s="274"/>
      <c r="EK75" s="274"/>
      <c r="EL75" s="274"/>
      <c r="EM75" s="274"/>
      <c r="EN75" s="274"/>
      <c r="EO75" s="274"/>
      <c r="EP75" s="274"/>
      <c r="EQ75" s="274"/>
      <c r="ER75" s="274"/>
      <c r="ES75" s="274"/>
      <c r="ET75" s="274"/>
      <c r="EU75" s="275"/>
      <c r="EV75" s="303"/>
      <c r="EW75" s="304"/>
      <c r="EX75" s="304"/>
      <c r="EY75" s="304"/>
      <c r="EZ75" s="305"/>
      <c r="HX75" s="183"/>
      <c r="ME75" s="180"/>
      <c r="MF75" s="181"/>
    </row>
    <row r="76" spans="4:349" ht="5.0999999999999996" customHeight="1" x14ac:dyDescent="0.3">
      <c r="D76" s="177"/>
      <c r="E76" s="178"/>
      <c r="I76" s="273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5"/>
      <c r="AX76" s="303"/>
      <c r="AY76" s="304"/>
      <c r="AZ76" s="304"/>
      <c r="BA76" s="304"/>
      <c r="BB76" s="305"/>
      <c r="BG76" s="270" t="s">
        <v>176</v>
      </c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S76" s="271"/>
      <c r="BT76" s="271"/>
      <c r="BU76" s="271"/>
      <c r="BV76" s="271"/>
      <c r="BW76" s="271"/>
      <c r="BX76" s="271"/>
      <c r="BY76" s="271"/>
      <c r="BZ76" s="271"/>
      <c r="CA76" s="271"/>
      <c r="CB76" s="271"/>
      <c r="CC76" s="271"/>
      <c r="CD76" s="271"/>
      <c r="CE76" s="271"/>
      <c r="CF76" s="271"/>
      <c r="CG76" s="271"/>
      <c r="CH76" s="271"/>
      <c r="CI76" s="271"/>
      <c r="CJ76" s="271"/>
      <c r="CK76" s="271"/>
      <c r="CL76" s="271"/>
      <c r="CM76" s="271"/>
      <c r="CN76" s="271"/>
      <c r="CO76" s="271"/>
      <c r="CP76" s="271"/>
      <c r="CQ76" s="271"/>
      <c r="CR76" s="271"/>
      <c r="CS76" s="271"/>
      <c r="CT76" s="271"/>
      <c r="CU76" s="272"/>
      <c r="CV76" s="270">
        <v>1</v>
      </c>
      <c r="CW76" s="271"/>
      <c r="CX76" s="271"/>
      <c r="CY76" s="271"/>
      <c r="CZ76" s="272"/>
      <c r="DG76" s="273"/>
      <c r="DH76" s="274"/>
      <c r="DI76" s="274"/>
      <c r="DJ76" s="274"/>
      <c r="DK76" s="274"/>
      <c r="DL76" s="274"/>
      <c r="DM76" s="274"/>
      <c r="DN76" s="274"/>
      <c r="DO76" s="274"/>
      <c r="DP76" s="274"/>
      <c r="DQ76" s="274"/>
      <c r="DR76" s="274"/>
      <c r="DS76" s="274"/>
      <c r="DT76" s="274"/>
      <c r="DU76" s="274"/>
      <c r="DV76" s="274"/>
      <c r="DW76" s="274"/>
      <c r="DX76" s="274"/>
      <c r="DY76" s="274"/>
      <c r="DZ76" s="274"/>
      <c r="EA76" s="274"/>
      <c r="EB76" s="274"/>
      <c r="EC76" s="274"/>
      <c r="ED76" s="274"/>
      <c r="EE76" s="274"/>
      <c r="EF76" s="274"/>
      <c r="EG76" s="274"/>
      <c r="EH76" s="274"/>
      <c r="EI76" s="274"/>
      <c r="EJ76" s="274"/>
      <c r="EK76" s="274"/>
      <c r="EL76" s="274"/>
      <c r="EM76" s="274"/>
      <c r="EN76" s="274"/>
      <c r="EO76" s="274"/>
      <c r="EP76" s="274"/>
      <c r="EQ76" s="274"/>
      <c r="ER76" s="274"/>
      <c r="ES76" s="274"/>
      <c r="ET76" s="274"/>
      <c r="EU76" s="275"/>
      <c r="EV76" s="303"/>
      <c r="EW76" s="304"/>
      <c r="EX76" s="304"/>
      <c r="EY76" s="304"/>
      <c r="EZ76" s="305"/>
      <c r="HX76" s="183"/>
      <c r="ME76" s="180"/>
      <c r="MF76" s="181"/>
    </row>
    <row r="77" spans="4:349" ht="5.0999999999999996" customHeight="1" x14ac:dyDescent="0.3">
      <c r="D77" s="177"/>
      <c r="E77" s="178"/>
      <c r="I77" s="276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  <c r="AW77" s="278"/>
      <c r="AX77" s="306"/>
      <c r="AY77" s="307"/>
      <c r="AZ77" s="307"/>
      <c r="BA77" s="307"/>
      <c r="BB77" s="308"/>
      <c r="BG77" s="273"/>
      <c r="BH77" s="274"/>
      <c r="BI77" s="274"/>
      <c r="BJ77" s="274"/>
      <c r="BK77" s="274"/>
      <c r="BL77" s="274"/>
      <c r="BM77" s="274"/>
      <c r="BN77" s="274"/>
      <c r="BO77" s="274"/>
      <c r="BP77" s="274"/>
      <c r="BQ77" s="274"/>
      <c r="BR77" s="274"/>
      <c r="BS77" s="274"/>
      <c r="BT77" s="274"/>
      <c r="BU77" s="274"/>
      <c r="BV77" s="274"/>
      <c r="BW77" s="274"/>
      <c r="BX77" s="274"/>
      <c r="BY77" s="274"/>
      <c r="BZ77" s="274"/>
      <c r="CA77" s="274"/>
      <c r="CB77" s="274"/>
      <c r="CC77" s="274"/>
      <c r="CD77" s="274"/>
      <c r="CE77" s="274"/>
      <c r="CF77" s="274"/>
      <c r="CG77" s="274"/>
      <c r="CH77" s="274"/>
      <c r="CI77" s="274"/>
      <c r="CJ77" s="274"/>
      <c r="CK77" s="274"/>
      <c r="CL77" s="274"/>
      <c r="CM77" s="274"/>
      <c r="CN77" s="274"/>
      <c r="CO77" s="274"/>
      <c r="CP77" s="274"/>
      <c r="CQ77" s="274"/>
      <c r="CR77" s="274"/>
      <c r="CS77" s="274"/>
      <c r="CT77" s="274"/>
      <c r="CU77" s="275"/>
      <c r="CV77" s="273"/>
      <c r="CW77" s="274"/>
      <c r="CX77" s="274"/>
      <c r="CY77" s="274"/>
      <c r="CZ77" s="275"/>
      <c r="DG77" s="273"/>
      <c r="DH77" s="274"/>
      <c r="DI77" s="274"/>
      <c r="DJ77" s="274"/>
      <c r="DK77" s="274"/>
      <c r="DL77" s="274"/>
      <c r="DM77" s="274"/>
      <c r="DN77" s="274"/>
      <c r="DO77" s="274"/>
      <c r="DP77" s="274"/>
      <c r="DQ77" s="274"/>
      <c r="DR77" s="274"/>
      <c r="DS77" s="274"/>
      <c r="DT77" s="274"/>
      <c r="DU77" s="274"/>
      <c r="DV77" s="274"/>
      <c r="DW77" s="274"/>
      <c r="DX77" s="274"/>
      <c r="DY77" s="274"/>
      <c r="DZ77" s="274"/>
      <c r="EA77" s="274"/>
      <c r="EB77" s="274"/>
      <c r="EC77" s="274"/>
      <c r="ED77" s="274"/>
      <c r="EE77" s="274"/>
      <c r="EF77" s="274"/>
      <c r="EG77" s="274"/>
      <c r="EH77" s="274"/>
      <c r="EI77" s="274"/>
      <c r="EJ77" s="274"/>
      <c r="EK77" s="274"/>
      <c r="EL77" s="274"/>
      <c r="EM77" s="274"/>
      <c r="EN77" s="274"/>
      <c r="EO77" s="274"/>
      <c r="EP77" s="274"/>
      <c r="EQ77" s="274"/>
      <c r="ER77" s="274"/>
      <c r="ES77" s="274"/>
      <c r="ET77" s="274"/>
      <c r="EU77" s="275"/>
      <c r="EV77" s="303"/>
      <c r="EW77" s="304"/>
      <c r="EX77" s="304"/>
      <c r="EY77" s="304"/>
      <c r="EZ77" s="305"/>
      <c r="HX77" s="183"/>
      <c r="ME77" s="180"/>
      <c r="MF77" s="181"/>
    </row>
    <row r="78" spans="4:349" ht="5.0999999999999996" customHeight="1" x14ac:dyDescent="0.3">
      <c r="D78" s="177"/>
      <c r="E78" s="178"/>
      <c r="I78" s="270" t="s">
        <v>177</v>
      </c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2"/>
      <c r="AX78" s="300">
        <v>3</v>
      </c>
      <c r="AY78" s="301"/>
      <c r="AZ78" s="301"/>
      <c r="BA78" s="301"/>
      <c r="BB78" s="302"/>
      <c r="BG78" s="273"/>
      <c r="BH78" s="274"/>
      <c r="BI78" s="274"/>
      <c r="BJ78" s="274"/>
      <c r="BK78" s="274"/>
      <c r="BL78" s="274"/>
      <c r="BM78" s="274"/>
      <c r="BN78" s="274"/>
      <c r="BO78" s="274"/>
      <c r="BP78" s="274"/>
      <c r="BQ78" s="274"/>
      <c r="BR78" s="274"/>
      <c r="BS78" s="274"/>
      <c r="BT78" s="274"/>
      <c r="BU78" s="274"/>
      <c r="BV78" s="274"/>
      <c r="BW78" s="274"/>
      <c r="BX78" s="274"/>
      <c r="BY78" s="274"/>
      <c r="BZ78" s="274"/>
      <c r="CA78" s="274"/>
      <c r="CB78" s="274"/>
      <c r="CC78" s="274"/>
      <c r="CD78" s="274"/>
      <c r="CE78" s="274"/>
      <c r="CF78" s="274"/>
      <c r="CG78" s="274"/>
      <c r="CH78" s="274"/>
      <c r="CI78" s="274"/>
      <c r="CJ78" s="274"/>
      <c r="CK78" s="274"/>
      <c r="CL78" s="274"/>
      <c r="CM78" s="274"/>
      <c r="CN78" s="274"/>
      <c r="CO78" s="274"/>
      <c r="CP78" s="274"/>
      <c r="CQ78" s="274"/>
      <c r="CR78" s="274"/>
      <c r="CS78" s="274"/>
      <c r="CT78" s="274"/>
      <c r="CU78" s="275"/>
      <c r="CV78" s="273"/>
      <c r="CW78" s="274"/>
      <c r="CX78" s="274"/>
      <c r="CY78" s="274"/>
      <c r="CZ78" s="275"/>
      <c r="DG78" s="273"/>
      <c r="DH78" s="274"/>
      <c r="DI78" s="274"/>
      <c r="DJ78" s="274"/>
      <c r="DK78" s="274"/>
      <c r="DL78" s="274"/>
      <c r="DM78" s="274"/>
      <c r="DN78" s="274"/>
      <c r="DO78" s="274"/>
      <c r="DP78" s="274"/>
      <c r="DQ78" s="274"/>
      <c r="DR78" s="274"/>
      <c r="DS78" s="274"/>
      <c r="DT78" s="274"/>
      <c r="DU78" s="274"/>
      <c r="DV78" s="274"/>
      <c r="DW78" s="274"/>
      <c r="DX78" s="274"/>
      <c r="DY78" s="274"/>
      <c r="DZ78" s="274"/>
      <c r="EA78" s="274"/>
      <c r="EB78" s="274"/>
      <c r="EC78" s="274"/>
      <c r="ED78" s="274"/>
      <c r="EE78" s="274"/>
      <c r="EF78" s="274"/>
      <c r="EG78" s="274"/>
      <c r="EH78" s="274"/>
      <c r="EI78" s="274"/>
      <c r="EJ78" s="274"/>
      <c r="EK78" s="274"/>
      <c r="EL78" s="274"/>
      <c r="EM78" s="274"/>
      <c r="EN78" s="274"/>
      <c r="EO78" s="274"/>
      <c r="EP78" s="274"/>
      <c r="EQ78" s="274"/>
      <c r="ER78" s="274"/>
      <c r="ES78" s="274"/>
      <c r="ET78" s="274"/>
      <c r="EU78" s="275"/>
      <c r="EV78" s="303"/>
      <c r="EW78" s="304"/>
      <c r="EX78" s="304"/>
      <c r="EY78" s="304"/>
      <c r="EZ78" s="305"/>
      <c r="HX78" s="183"/>
      <c r="ME78" s="180"/>
      <c r="MF78" s="181"/>
    </row>
    <row r="79" spans="4:349" ht="5.0999999999999996" customHeight="1" x14ac:dyDescent="0.3">
      <c r="D79" s="177"/>
      <c r="E79" s="178"/>
      <c r="I79" s="273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5"/>
      <c r="AX79" s="303"/>
      <c r="AY79" s="304"/>
      <c r="AZ79" s="304"/>
      <c r="BA79" s="304"/>
      <c r="BB79" s="305"/>
      <c r="BG79" s="273"/>
      <c r="BH79" s="274"/>
      <c r="BI79" s="274"/>
      <c r="BJ79" s="274"/>
      <c r="BK79" s="274"/>
      <c r="BL79" s="274"/>
      <c r="BM79" s="274"/>
      <c r="BN79" s="274"/>
      <c r="BO79" s="274"/>
      <c r="BP79" s="274"/>
      <c r="BQ79" s="274"/>
      <c r="BR79" s="274"/>
      <c r="BS79" s="274"/>
      <c r="BT79" s="274"/>
      <c r="BU79" s="274"/>
      <c r="BV79" s="274"/>
      <c r="BW79" s="274"/>
      <c r="BX79" s="274"/>
      <c r="BY79" s="274"/>
      <c r="BZ79" s="274"/>
      <c r="CA79" s="274"/>
      <c r="CB79" s="274"/>
      <c r="CC79" s="274"/>
      <c r="CD79" s="274"/>
      <c r="CE79" s="274"/>
      <c r="CF79" s="274"/>
      <c r="CG79" s="274"/>
      <c r="CH79" s="274"/>
      <c r="CI79" s="274"/>
      <c r="CJ79" s="274"/>
      <c r="CK79" s="274"/>
      <c r="CL79" s="274"/>
      <c r="CM79" s="274"/>
      <c r="CN79" s="274"/>
      <c r="CO79" s="274"/>
      <c r="CP79" s="274"/>
      <c r="CQ79" s="274"/>
      <c r="CR79" s="274"/>
      <c r="CS79" s="274"/>
      <c r="CT79" s="274"/>
      <c r="CU79" s="275"/>
      <c r="CV79" s="273"/>
      <c r="CW79" s="274"/>
      <c r="CX79" s="274"/>
      <c r="CY79" s="274"/>
      <c r="CZ79" s="275"/>
      <c r="DG79" s="273"/>
      <c r="DH79" s="274"/>
      <c r="DI79" s="274"/>
      <c r="DJ79" s="274"/>
      <c r="DK79" s="274"/>
      <c r="DL79" s="274"/>
      <c r="DM79" s="274"/>
      <c r="DN79" s="274"/>
      <c r="DO79" s="274"/>
      <c r="DP79" s="274"/>
      <c r="DQ79" s="274"/>
      <c r="DR79" s="274"/>
      <c r="DS79" s="274"/>
      <c r="DT79" s="274"/>
      <c r="DU79" s="274"/>
      <c r="DV79" s="274"/>
      <c r="DW79" s="274"/>
      <c r="DX79" s="274"/>
      <c r="DY79" s="274"/>
      <c r="DZ79" s="274"/>
      <c r="EA79" s="274"/>
      <c r="EB79" s="274"/>
      <c r="EC79" s="274"/>
      <c r="ED79" s="274"/>
      <c r="EE79" s="274"/>
      <c r="EF79" s="274"/>
      <c r="EG79" s="274"/>
      <c r="EH79" s="274"/>
      <c r="EI79" s="274"/>
      <c r="EJ79" s="274"/>
      <c r="EK79" s="274"/>
      <c r="EL79" s="274"/>
      <c r="EM79" s="274"/>
      <c r="EN79" s="274"/>
      <c r="EO79" s="274"/>
      <c r="EP79" s="274"/>
      <c r="EQ79" s="274"/>
      <c r="ER79" s="274"/>
      <c r="ES79" s="274"/>
      <c r="ET79" s="274"/>
      <c r="EU79" s="275"/>
      <c r="EV79" s="303"/>
      <c r="EW79" s="304"/>
      <c r="EX79" s="304"/>
      <c r="EY79" s="304"/>
      <c r="EZ79" s="305"/>
      <c r="HX79" s="183"/>
      <c r="ME79" s="180"/>
      <c r="MF79" s="181"/>
    </row>
    <row r="80" spans="4:349" ht="5.0999999999999996" customHeight="1" x14ac:dyDescent="0.3">
      <c r="D80" s="177"/>
      <c r="E80" s="178"/>
      <c r="I80" s="273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5"/>
      <c r="AX80" s="303"/>
      <c r="AY80" s="304"/>
      <c r="AZ80" s="304"/>
      <c r="BA80" s="304"/>
      <c r="BB80" s="305"/>
      <c r="BG80" s="273"/>
      <c r="BH80" s="274"/>
      <c r="BI80" s="274"/>
      <c r="BJ80" s="274"/>
      <c r="BK80" s="274"/>
      <c r="BL80" s="274"/>
      <c r="BM80" s="274"/>
      <c r="BN80" s="274"/>
      <c r="BO80" s="274"/>
      <c r="BP80" s="274"/>
      <c r="BQ80" s="274"/>
      <c r="BR80" s="274"/>
      <c r="BS80" s="274"/>
      <c r="BT80" s="274"/>
      <c r="BU80" s="274"/>
      <c r="BV80" s="274"/>
      <c r="BW80" s="274"/>
      <c r="BX80" s="274"/>
      <c r="BY80" s="274"/>
      <c r="BZ80" s="274"/>
      <c r="CA80" s="274"/>
      <c r="CB80" s="274"/>
      <c r="CC80" s="274"/>
      <c r="CD80" s="274"/>
      <c r="CE80" s="274"/>
      <c r="CF80" s="274"/>
      <c r="CG80" s="274"/>
      <c r="CH80" s="274"/>
      <c r="CI80" s="274"/>
      <c r="CJ80" s="274"/>
      <c r="CK80" s="274"/>
      <c r="CL80" s="274"/>
      <c r="CM80" s="274"/>
      <c r="CN80" s="274"/>
      <c r="CO80" s="274"/>
      <c r="CP80" s="274"/>
      <c r="CQ80" s="274"/>
      <c r="CR80" s="274"/>
      <c r="CS80" s="274"/>
      <c r="CT80" s="274"/>
      <c r="CU80" s="275"/>
      <c r="CV80" s="273"/>
      <c r="CW80" s="274"/>
      <c r="CX80" s="274"/>
      <c r="CY80" s="274"/>
      <c r="CZ80" s="275"/>
      <c r="DG80" s="273"/>
      <c r="DH80" s="274"/>
      <c r="DI80" s="274"/>
      <c r="DJ80" s="274"/>
      <c r="DK80" s="274"/>
      <c r="DL80" s="274"/>
      <c r="DM80" s="274"/>
      <c r="DN80" s="274"/>
      <c r="DO80" s="274"/>
      <c r="DP80" s="274"/>
      <c r="DQ80" s="274"/>
      <c r="DR80" s="274"/>
      <c r="DS80" s="274"/>
      <c r="DT80" s="274"/>
      <c r="DU80" s="274"/>
      <c r="DV80" s="274"/>
      <c r="DW80" s="274"/>
      <c r="DX80" s="274"/>
      <c r="DY80" s="274"/>
      <c r="DZ80" s="274"/>
      <c r="EA80" s="274"/>
      <c r="EB80" s="274"/>
      <c r="EC80" s="274"/>
      <c r="ED80" s="274"/>
      <c r="EE80" s="274"/>
      <c r="EF80" s="274"/>
      <c r="EG80" s="274"/>
      <c r="EH80" s="274"/>
      <c r="EI80" s="274"/>
      <c r="EJ80" s="274"/>
      <c r="EK80" s="274"/>
      <c r="EL80" s="274"/>
      <c r="EM80" s="274"/>
      <c r="EN80" s="274"/>
      <c r="EO80" s="274"/>
      <c r="EP80" s="274"/>
      <c r="EQ80" s="274"/>
      <c r="ER80" s="274"/>
      <c r="ES80" s="274"/>
      <c r="ET80" s="274"/>
      <c r="EU80" s="275"/>
      <c r="EV80" s="303"/>
      <c r="EW80" s="304"/>
      <c r="EX80" s="304"/>
      <c r="EY80" s="304"/>
      <c r="EZ80" s="305"/>
      <c r="HX80" s="183"/>
      <c r="ME80" s="180"/>
      <c r="MF80" s="181"/>
    </row>
    <row r="81" spans="4:349" ht="5.0999999999999996" customHeight="1" x14ac:dyDescent="0.3">
      <c r="D81" s="177"/>
      <c r="E81" s="178"/>
      <c r="I81" s="273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5"/>
      <c r="AX81" s="303"/>
      <c r="AY81" s="304"/>
      <c r="AZ81" s="304"/>
      <c r="BA81" s="304"/>
      <c r="BB81" s="305"/>
      <c r="BG81" s="273"/>
      <c r="BH81" s="274"/>
      <c r="BI81" s="274"/>
      <c r="BJ81" s="274"/>
      <c r="BK81" s="274"/>
      <c r="BL81" s="274"/>
      <c r="BM81" s="274"/>
      <c r="BN81" s="274"/>
      <c r="BO81" s="274"/>
      <c r="BP81" s="274"/>
      <c r="BQ81" s="274"/>
      <c r="BR81" s="274"/>
      <c r="BS81" s="274"/>
      <c r="BT81" s="274"/>
      <c r="BU81" s="274"/>
      <c r="BV81" s="274"/>
      <c r="BW81" s="274"/>
      <c r="BX81" s="274"/>
      <c r="BY81" s="274"/>
      <c r="BZ81" s="274"/>
      <c r="CA81" s="274"/>
      <c r="CB81" s="274"/>
      <c r="CC81" s="274"/>
      <c r="CD81" s="274"/>
      <c r="CE81" s="274"/>
      <c r="CF81" s="274"/>
      <c r="CG81" s="274"/>
      <c r="CH81" s="274"/>
      <c r="CI81" s="274"/>
      <c r="CJ81" s="274"/>
      <c r="CK81" s="274"/>
      <c r="CL81" s="274"/>
      <c r="CM81" s="274"/>
      <c r="CN81" s="274"/>
      <c r="CO81" s="274"/>
      <c r="CP81" s="274"/>
      <c r="CQ81" s="274"/>
      <c r="CR81" s="274"/>
      <c r="CS81" s="274"/>
      <c r="CT81" s="274"/>
      <c r="CU81" s="275"/>
      <c r="CV81" s="273"/>
      <c r="CW81" s="274"/>
      <c r="CX81" s="274"/>
      <c r="CY81" s="274"/>
      <c r="CZ81" s="275"/>
      <c r="DG81" s="273"/>
      <c r="DH81" s="274"/>
      <c r="DI81" s="274"/>
      <c r="DJ81" s="274"/>
      <c r="DK81" s="274"/>
      <c r="DL81" s="274"/>
      <c r="DM81" s="274"/>
      <c r="DN81" s="274"/>
      <c r="DO81" s="274"/>
      <c r="DP81" s="274"/>
      <c r="DQ81" s="274"/>
      <c r="DR81" s="274"/>
      <c r="DS81" s="274"/>
      <c r="DT81" s="274"/>
      <c r="DU81" s="274"/>
      <c r="DV81" s="274"/>
      <c r="DW81" s="274"/>
      <c r="DX81" s="274"/>
      <c r="DY81" s="274"/>
      <c r="DZ81" s="274"/>
      <c r="EA81" s="274"/>
      <c r="EB81" s="274"/>
      <c r="EC81" s="274"/>
      <c r="ED81" s="274"/>
      <c r="EE81" s="274"/>
      <c r="EF81" s="274"/>
      <c r="EG81" s="274"/>
      <c r="EH81" s="274"/>
      <c r="EI81" s="274"/>
      <c r="EJ81" s="274"/>
      <c r="EK81" s="274"/>
      <c r="EL81" s="274"/>
      <c r="EM81" s="274"/>
      <c r="EN81" s="274"/>
      <c r="EO81" s="274"/>
      <c r="EP81" s="274"/>
      <c r="EQ81" s="274"/>
      <c r="ER81" s="274"/>
      <c r="ES81" s="274"/>
      <c r="ET81" s="274"/>
      <c r="EU81" s="275"/>
      <c r="EV81" s="303"/>
      <c r="EW81" s="304"/>
      <c r="EX81" s="304"/>
      <c r="EY81" s="304"/>
      <c r="EZ81" s="305"/>
      <c r="HX81" s="183"/>
      <c r="ME81" s="180"/>
      <c r="MF81" s="181"/>
    </row>
    <row r="82" spans="4:349" ht="5.0999999999999996" customHeight="1" x14ac:dyDescent="0.3">
      <c r="D82" s="177"/>
      <c r="E82" s="178"/>
      <c r="I82" s="273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5"/>
      <c r="AX82" s="303"/>
      <c r="AY82" s="304"/>
      <c r="AZ82" s="304"/>
      <c r="BA82" s="304"/>
      <c r="BB82" s="305"/>
      <c r="BG82" s="273"/>
      <c r="BH82" s="274"/>
      <c r="BI82" s="274"/>
      <c r="BJ82" s="274"/>
      <c r="BK82" s="274"/>
      <c r="BL82" s="274"/>
      <c r="BM82" s="274"/>
      <c r="BN82" s="274"/>
      <c r="BO82" s="274"/>
      <c r="BP82" s="274"/>
      <c r="BQ82" s="274"/>
      <c r="BR82" s="274"/>
      <c r="BS82" s="274"/>
      <c r="BT82" s="274"/>
      <c r="BU82" s="274"/>
      <c r="BV82" s="274"/>
      <c r="BW82" s="274"/>
      <c r="BX82" s="274"/>
      <c r="BY82" s="274"/>
      <c r="BZ82" s="274"/>
      <c r="CA82" s="274"/>
      <c r="CB82" s="274"/>
      <c r="CC82" s="274"/>
      <c r="CD82" s="274"/>
      <c r="CE82" s="274"/>
      <c r="CF82" s="274"/>
      <c r="CG82" s="274"/>
      <c r="CH82" s="274"/>
      <c r="CI82" s="274"/>
      <c r="CJ82" s="274"/>
      <c r="CK82" s="274"/>
      <c r="CL82" s="274"/>
      <c r="CM82" s="274"/>
      <c r="CN82" s="274"/>
      <c r="CO82" s="274"/>
      <c r="CP82" s="274"/>
      <c r="CQ82" s="274"/>
      <c r="CR82" s="274"/>
      <c r="CS82" s="274"/>
      <c r="CT82" s="274"/>
      <c r="CU82" s="275"/>
      <c r="CV82" s="273"/>
      <c r="CW82" s="274"/>
      <c r="CX82" s="274"/>
      <c r="CY82" s="274"/>
      <c r="CZ82" s="275"/>
      <c r="DG82" s="273"/>
      <c r="DH82" s="274"/>
      <c r="DI82" s="274"/>
      <c r="DJ82" s="274"/>
      <c r="DK82" s="274"/>
      <c r="DL82" s="274"/>
      <c r="DM82" s="274"/>
      <c r="DN82" s="274"/>
      <c r="DO82" s="274"/>
      <c r="DP82" s="274"/>
      <c r="DQ82" s="274"/>
      <c r="DR82" s="274"/>
      <c r="DS82" s="274"/>
      <c r="DT82" s="274"/>
      <c r="DU82" s="274"/>
      <c r="DV82" s="274"/>
      <c r="DW82" s="274"/>
      <c r="DX82" s="274"/>
      <c r="DY82" s="274"/>
      <c r="DZ82" s="274"/>
      <c r="EA82" s="274"/>
      <c r="EB82" s="274"/>
      <c r="EC82" s="274"/>
      <c r="ED82" s="274"/>
      <c r="EE82" s="274"/>
      <c r="EF82" s="274"/>
      <c r="EG82" s="274"/>
      <c r="EH82" s="274"/>
      <c r="EI82" s="274"/>
      <c r="EJ82" s="274"/>
      <c r="EK82" s="274"/>
      <c r="EL82" s="274"/>
      <c r="EM82" s="274"/>
      <c r="EN82" s="274"/>
      <c r="EO82" s="274"/>
      <c r="EP82" s="274"/>
      <c r="EQ82" s="274"/>
      <c r="ER82" s="274"/>
      <c r="ES82" s="274"/>
      <c r="ET82" s="274"/>
      <c r="EU82" s="275"/>
      <c r="EV82" s="303"/>
      <c r="EW82" s="304"/>
      <c r="EX82" s="304"/>
      <c r="EY82" s="304"/>
      <c r="EZ82" s="305"/>
      <c r="HX82" s="183"/>
      <c r="ME82" s="180"/>
      <c r="MF82" s="181"/>
    </row>
    <row r="83" spans="4:349" ht="5.0999999999999996" customHeight="1" x14ac:dyDescent="0.3">
      <c r="D83" s="177"/>
      <c r="E83" s="178"/>
      <c r="I83" s="273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5"/>
      <c r="AX83" s="303"/>
      <c r="AY83" s="304"/>
      <c r="AZ83" s="304"/>
      <c r="BA83" s="304"/>
      <c r="BB83" s="305"/>
      <c r="BG83" s="273"/>
      <c r="BH83" s="274"/>
      <c r="BI83" s="274"/>
      <c r="BJ83" s="274"/>
      <c r="BK83" s="274"/>
      <c r="BL83" s="274"/>
      <c r="BM83" s="274"/>
      <c r="BN83" s="274"/>
      <c r="BO83" s="274"/>
      <c r="BP83" s="274"/>
      <c r="BQ83" s="274"/>
      <c r="BR83" s="274"/>
      <c r="BS83" s="274"/>
      <c r="BT83" s="274"/>
      <c r="BU83" s="274"/>
      <c r="BV83" s="274"/>
      <c r="BW83" s="274"/>
      <c r="BX83" s="274"/>
      <c r="BY83" s="274"/>
      <c r="BZ83" s="274"/>
      <c r="CA83" s="274"/>
      <c r="CB83" s="274"/>
      <c r="CC83" s="274"/>
      <c r="CD83" s="274"/>
      <c r="CE83" s="274"/>
      <c r="CF83" s="274"/>
      <c r="CG83" s="274"/>
      <c r="CH83" s="274"/>
      <c r="CI83" s="274"/>
      <c r="CJ83" s="274"/>
      <c r="CK83" s="274"/>
      <c r="CL83" s="274"/>
      <c r="CM83" s="274"/>
      <c r="CN83" s="274"/>
      <c r="CO83" s="274"/>
      <c r="CP83" s="274"/>
      <c r="CQ83" s="274"/>
      <c r="CR83" s="274"/>
      <c r="CS83" s="274"/>
      <c r="CT83" s="274"/>
      <c r="CU83" s="275"/>
      <c r="CV83" s="273"/>
      <c r="CW83" s="274"/>
      <c r="CX83" s="274"/>
      <c r="CY83" s="274"/>
      <c r="CZ83" s="275"/>
      <c r="DG83" s="276"/>
      <c r="DH83" s="277"/>
      <c r="DI83" s="277"/>
      <c r="DJ83" s="277"/>
      <c r="DK83" s="277"/>
      <c r="DL83" s="277"/>
      <c r="DM83" s="277"/>
      <c r="DN83" s="277"/>
      <c r="DO83" s="277"/>
      <c r="DP83" s="277"/>
      <c r="DQ83" s="277"/>
      <c r="DR83" s="277"/>
      <c r="DS83" s="277"/>
      <c r="DT83" s="277"/>
      <c r="DU83" s="277"/>
      <c r="DV83" s="277"/>
      <c r="DW83" s="277"/>
      <c r="DX83" s="277"/>
      <c r="DY83" s="277"/>
      <c r="DZ83" s="277"/>
      <c r="EA83" s="277"/>
      <c r="EB83" s="277"/>
      <c r="EC83" s="277"/>
      <c r="ED83" s="277"/>
      <c r="EE83" s="277"/>
      <c r="EF83" s="277"/>
      <c r="EG83" s="277"/>
      <c r="EH83" s="277"/>
      <c r="EI83" s="277"/>
      <c r="EJ83" s="277"/>
      <c r="EK83" s="277"/>
      <c r="EL83" s="277"/>
      <c r="EM83" s="277"/>
      <c r="EN83" s="277"/>
      <c r="EO83" s="277"/>
      <c r="EP83" s="277"/>
      <c r="EQ83" s="277"/>
      <c r="ER83" s="277"/>
      <c r="ES83" s="277"/>
      <c r="ET83" s="277"/>
      <c r="EU83" s="278"/>
      <c r="EV83" s="306"/>
      <c r="EW83" s="307"/>
      <c r="EX83" s="307"/>
      <c r="EY83" s="307"/>
      <c r="EZ83" s="308"/>
      <c r="HX83" s="183"/>
      <c r="ME83" s="180"/>
      <c r="MF83" s="181"/>
    </row>
    <row r="84" spans="4:349" ht="5.0999999999999996" customHeight="1" x14ac:dyDescent="0.3">
      <c r="D84" s="177"/>
      <c r="E84" s="178"/>
      <c r="I84" s="273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5"/>
      <c r="AX84" s="303"/>
      <c r="AY84" s="304"/>
      <c r="AZ84" s="304"/>
      <c r="BA84" s="304"/>
      <c r="BB84" s="305"/>
      <c r="BG84" s="273"/>
      <c r="BH84" s="274"/>
      <c r="BI84" s="274"/>
      <c r="BJ84" s="274"/>
      <c r="BK84" s="274"/>
      <c r="BL84" s="274"/>
      <c r="BM84" s="274"/>
      <c r="BN84" s="274"/>
      <c r="BO84" s="274"/>
      <c r="BP84" s="274"/>
      <c r="BQ84" s="274"/>
      <c r="BR84" s="274"/>
      <c r="BS84" s="274"/>
      <c r="BT84" s="274"/>
      <c r="BU84" s="274"/>
      <c r="BV84" s="274"/>
      <c r="BW84" s="274"/>
      <c r="BX84" s="274"/>
      <c r="BY84" s="274"/>
      <c r="BZ84" s="274"/>
      <c r="CA84" s="274"/>
      <c r="CB84" s="274"/>
      <c r="CC84" s="274"/>
      <c r="CD84" s="274"/>
      <c r="CE84" s="274"/>
      <c r="CF84" s="274"/>
      <c r="CG84" s="274"/>
      <c r="CH84" s="274"/>
      <c r="CI84" s="274"/>
      <c r="CJ84" s="274"/>
      <c r="CK84" s="274"/>
      <c r="CL84" s="274"/>
      <c r="CM84" s="274"/>
      <c r="CN84" s="274"/>
      <c r="CO84" s="274"/>
      <c r="CP84" s="274"/>
      <c r="CQ84" s="274"/>
      <c r="CR84" s="274"/>
      <c r="CS84" s="274"/>
      <c r="CT84" s="274"/>
      <c r="CU84" s="275"/>
      <c r="CV84" s="273"/>
      <c r="CW84" s="274"/>
      <c r="CX84" s="274"/>
      <c r="CY84" s="274"/>
      <c r="CZ84" s="275"/>
      <c r="HX84" s="183"/>
      <c r="ME84" s="180"/>
      <c r="MF84" s="181"/>
    </row>
    <row r="85" spans="4:349" ht="5.0999999999999996" customHeight="1" x14ac:dyDescent="0.3">
      <c r="D85" s="177"/>
      <c r="E85" s="178"/>
      <c r="I85" s="273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5"/>
      <c r="AX85" s="303"/>
      <c r="AY85" s="304"/>
      <c r="AZ85" s="304"/>
      <c r="BA85" s="304"/>
      <c r="BB85" s="305"/>
      <c r="BG85" s="276"/>
      <c r="BH85" s="277"/>
      <c r="BI85" s="277"/>
      <c r="BJ85" s="277"/>
      <c r="BK85" s="277"/>
      <c r="BL85" s="277"/>
      <c r="BM85" s="277"/>
      <c r="BN85" s="277"/>
      <c r="BO85" s="277"/>
      <c r="BP85" s="277"/>
      <c r="BQ85" s="277"/>
      <c r="BR85" s="277"/>
      <c r="BS85" s="277"/>
      <c r="BT85" s="277"/>
      <c r="BU85" s="277"/>
      <c r="BV85" s="277"/>
      <c r="BW85" s="277"/>
      <c r="BX85" s="277"/>
      <c r="BY85" s="277"/>
      <c r="BZ85" s="277"/>
      <c r="CA85" s="277"/>
      <c r="CB85" s="277"/>
      <c r="CC85" s="277"/>
      <c r="CD85" s="277"/>
      <c r="CE85" s="277"/>
      <c r="CF85" s="277"/>
      <c r="CG85" s="277"/>
      <c r="CH85" s="277"/>
      <c r="CI85" s="277"/>
      <c r="CJ85" s="277"/>
      <c r="CK85" s="277"/>
      <c r="CL85" s="277"/>
      <c r="CM85" s="277"/>
      <c r="CN85" s="277"/>
      <c r="CO85" s="277"/>
      <c r="CP85" s="277"/>
      <c r="CQ85" s="277"/>
      <c r="CR85" s="277"/>
      <c r="CS85" s="277"/>
      <c r="CT85" s="277"/>
      <c r="CU85" s="278"/>
      <c r="CV85" s="276"/>
      <c r="CW85" s="277"/>
      <c r="CX85" s="277"/>
      <c r="CY85" s="277"/>
      <c r="CZ85" s="278"/>
      <c r="HX85" s="183"/>
      <c r="ME85" s="180"/>
      <c r="MF85" s="181"/>
    </row>
    <row r="86" spans="4:349" ht="5.0999999999999996" customHeight="1" x14ac:dyDescent="0.3">
      <c r="D86" s="177"/>
      <c r="E86" s="178"/>
      <c r="I86" s="276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7"/>
      <c r="AS86" s="277"/>
      <c r="AT86" s="277"/>
      <c r="AU86" s="277"/>
      <c r="AV86" s="277"/>
      <c r="AW86" s="278"/>
      <c r="AX86" s="306"/>
      <c r="AY86" s="307"/>
      <c r="AZ86" s="307"/>
      <c r="BA86" s="307"/>
      <c r="BB86" s="308"/>
      <c r="CD86" s="183"/>
      <c r="HX86" s="183"/>
      <c r="ME86" s="180"/>
      <c r="MF86" s="181"/>
    </row>
    <row r="87" spans="4:349" ht="5.0999999999999996" customHeight="1" thickBot="1" x14ac:dyDescent="0.35">
      <c r="D87" s="177"/>
      <c r="E87" s="178"/>
      <c r="CD87" s="192"/>
      <c r="CE87" s="193"/>
      <c r="HX87" s="203"/>
      <c r="HY87" s="204"/>
      <c r="HZ87" s="204"/>
      <c r="IA87" s="204"/>
      <c r="IB87" s="204"/>
      <c r="IC87" s="204"/>
      <c r="ID87" s="204"/>
      <c r="IE87" s="204"/>
      <c r="IF87" s="204"/>
      <c r="IG87" s="204"/>
      <c r="IH87" s="204"/>
      <c r="II87" s="204"/>
      <c r="IJ87" s="204"/>
      <c r="IK87" s="204"/>
      <c r="IL87" s="204"/>
      <c r="IM87" s="204"/>
      <c r="IN87" s="204"/>
      <c r="IO87" s="204"/>
      <c r="IP87" s="204"/>
      <c r="IQ87" s="204"/>
      <c r="IR87" s="204"/>
      <c r="IS87" s="204"/>
      <c r="ME87" s="180"/>
      <c r="MF87" s="181"/>
    </row>
    <row r="88" spans="4:349" ht="5.0999999999999996" customHeight="1" x14ac:dyDescent="0.3">
      <c r="D88" s="177"/>
      <c r="E88" s="178"/>
      <c r="BG88" s="270" t="s">
        <v>178</v>
      </c>
      <c r="BH88" s="271"/>
      <c r="BI88" s="271"/>
      <c r="BJ88" s="271"/>
      <c r="BK88" s="271"/>
      <c r="BL88" s="271"/>
      <c r="BM88" s="271"/>
      <c r="BN88" s="271"/>
      <c r="BO88" s="271"/>
      <c r="BP88" s="271"/>
      <c r="BQ88" s="271"/>
      <c r="BR88" s="271"/>
      <c r="BS88" s="271"/>
      <c r="BT88" s="271"/>
      <c r="BU88" s="271"/>
      <c r="BV88" s="271"/>
      <c r="BW88" s="271"/>
      <c r="BX88" s="271"/>
      <c r="BY88" s="271"/>
      <c r="BZ88" s="271"/>
      <c r="CA88" s="271"/>
      <c r="CB88" s="271"/>
      <c r="CC88" s="271"/>
      <c r="CD88" s="271"/>
      <c r="CE88" s="271"/>
      <c r="CF88" s="271"/>
      <c r="CG88" s="271"/>
      <c r="CH88" s="271"/>
      <c r="CI88" s="271"/>
      <c r="CJ88" s="271"/>
      <c r="CK88" s="271"/>
      <c r="CL88" s="271"/>
      <c r="CM88" s="271"/>
      <c r="CN88" s="271"/>
      <c r="CO88" s="271"/>
      <c r="CP88" s="271"/>
      <c r="CQ88" s="271"/>
      <c r="CR88" s="271"/>
      <c r="CS88" s="271"/>
      <c r="CT88" s="271"/>
      <c r="CU88" s="272"/>
      <c r="CV88" s="270">
        <v>2</v>
      </c>
      <c r="CW88" s="271"/>
      <c r="CX88" s="271"/>
      <c r="CY88" s="271"/>
      <c r="CZ88" s="272"/>
      <c r="EX88" s="185"/>
      <c r="EY88" s="186"/>
      <c r="EZ88" s="186"/>
      <c r="FA88" s="186"/>
      <c r="FB88" s="186"/>
      <c r="FC88" s="186"/>
      <c r="FD88" s="186"/>
      <c r="FE88" s="186"/>
      <c r="FF88" s="186"/>
      <c r="FG88" s="186"/>
      <c r="FH88" s="186"/>
      <c r="FI88" s="186"/>
      <c r="FJ88" s="186"/>
      <c r="FK88" s="186"/>
      <c r="FL88" s="186"/>
      <c r="FM88" s="186"/>
      <c r="FN88" s="186"/>
      <c r="FO88" s="186"/>
      <c r="FP88" s="186"/>
      <c r="FQ88" s="186"/>
      <c r="FR88" s="186"/>
      <c r="FS88" s="186"/>
      <c r="FT88" s="186"/>
      <c r="FU88" s="186"/>
      <c r="FV88" s="186"/>
      <c r="FW88" s="186"/>
      <c r="FX88" s="186"/>
      <c r="FY88" s="186"/>
      <c r="FZ88" s="186"/>
      <c r="GA88" s="186"/>
      <c r="GB88" s="186"/>
      <c r="GC88" s="186"/>
      <c r="GD88" s="186"/>
      <c r="GE88" s="186"/>
      <c r="GF88" s="186"/>
      <c r="GG88" s="186"/>
      <c r="GH88" s="186"/>
      <c r="GI88" s="186"/>
      <c r="GJ88" s="186"/>
      <c r="GK88" s="186"/>
      <c r="GL88" s="186"/>
      <c r="GM88" s="186"/>
      <c r="GN88" s="186"/>
      <c r="GO88" s="186"/>
      <c r="GP88" s="186"/>
      <c r="GQ88" s="186"/>
      <c r="GR88" s="186"/>
      <c r="GS88" s="186"/>
      <c r="GT88" s="189"/>
      <c r="GU88" s="185"/>
      <c r="GV88" s="186"/>
      <c r="GW88" s="186"/>
      <c r="GX88" s="186"/>
      <c r="GY88" s="186"/>
      <c r="GZ88" s="186"/>
      <c r="HA88" s="186"/>
      <c r="HB88" s="186"/>
      <c r="HC88" s="186"/>
      <c r="HD88" s="186"/>
      <c r="HE88" s="186"/>
      <c r="HF88" s="186"/>
      <c r="HG88" s="186"/>
      <c r="HH88" s="186"/>
      <c r="HI88" s="186"/>
      <c r="HJ88" s="186"/>
      <c r="HK88" s="186"/>
      <c r="HL88" s="186"/>
      <c r="HM88" s="186"/>
      <c r="HN88" s="186"/>
      <c r="HO88" s="186"/>
      <c r="HP88" s="186"/>
      <c r="HQ88" s="186"/>
      <c r="HR88" s="186"/>
      <c r="HS88" s="186"/>
      <c r="HT88" s="186"/>
      <c r="HU88" s="186"/>
      <c r="HV88" s="186"/>
      <c r="HW88" s="186"/>
      <c r="HX88" s="186"/>
      <c r="HY88" s="186"/>
      <c r="HZ88" s="186"/>
      <c r="IP88" s="183"/>
      <c r="IT88" s="186"/>
      <c r="IU88" s="186"/>
      <c r="IV88" s="186"/>
      <c r="IW88" s="186"/>
      <c r="IX88" s="186"/>
      <c r="IY88" s="186"/>
      <c r="IZ88" s="186"/>
      <c r="JA88" s="186"/>
      <c r="JB88" s="186"/>
      <c r="JC88" s="186"/>
      <c r="JD88" s="186"/>
      <c r="JE88" s="186"/>
      <c r="JF88" s="186"/>
      <c r="JG88" s="186"/>
      <c r="JH88" s="186"/>
      <c r="JI88" s="186"/>
      <c r="JJ88" s="186"/>
      <c r="JK88" s="186"/>
      <c r="JL88" s="186"/>
      <c r="JM88" s="186"/>
      <c r="JN88" s="186"/>
      <c r="JO88" s="186"/>
      <c r="JP88" s="186"/>
      <c r="JQ88" s="186"/>
      <c r="JR88" s="186"/>
      <c r="JS88" s="186"/>
      <c r="JT88" s="186"/>
      <c r="JU88" s="186"/>
      <c r="JV88" s="186"/>
      <c r="JW88" s="186"/>
      <c r="JX88" s="186"/>
      <c r="JY88" s="186"/>
      <c r="JZ88" s="186"/>
      <c r="KA88" s="186"/>
      <c r="KB88" s="186"/>
      <c r="KC88" s="186"/>
      <c r="KD88" s="186"/>
      <c r="KE88" s="186"/>
      <c r="KF88" s="186"/>
      <c r="KG88" s="186"/>
      <c r="KH88" s="186"/>
      <c r="KI88" s="186"/>
      <c r="KJ88" s="186"/>
      <c r="KK88" s="186"/>
      <c r="KL88" s="186"/>
      <c r="KM88" s="186"/>
      <c r="KN88" s="186"/>
      <c r="KO88" s="186"/>
      <c r="KP88" s="186"/>
      <c r="KQ88" s="186"/>
      <c r="KR88" s="186"/>
      <c r="KS88" s="186"/>
      <c r="KT88" s="186"/>
      <c r="KU88" s="186"/>
      <c r="KV88" s="189"/>
      <c r="ME88" s="180"/>
      <c r="MF88" s="181"/>
    </row>
    <row r="89" spans="4:349" ht="5.0999999999999996" customHeight="1" x14ac:dyDescent="0.3">
      <c r="D89" s="177"/>
      <c r="E89" s="178"/>
      <c r="BG89" s="273"/>
      <c r="BH89" s="274"/>
      <c r="BI89" s="274"/>
      <c r="BJ89" s="274"/>
      <c r="BK89" s="274"/>
      <c r="BL89" s="274"/>
      <c r="BM89" s="274"/>
      <c r="BN89" s="274"/>
      <c r="BO89" s="274"/>
      <c r="BP89" s="274"/>
      <c r="BQ89" s="274"/>
      <c r="BR89" s="274"/>
      <c r="BS89" s="274"/>
      <c r="BT89" s="274"/>
      <c r="BU89" s="274"/>
      <c r="BV89" s="274"/>
      <c r="BW89" s="274"/>
      <c r="BX89" s="274"/>
      <c r="BY89" s="274"/>
      <c r="BZ89" s="274"/>
      <c r="CA89" s="274"/>
      <c r="CB89" s="274"/>
      <c r="CC89" s="274"/>
      <c r="CD89" s="274"/>
      <c r="CE89" s="274"/>
      <c r="CF89" s="274"/>
      <c r="CG89" s="274"/>
      <c r="CH89" s="274"/>
      <c r="CI89" s="274"/>
      <c r="CJ89" s="274"/>
      <c r="CK89" s="274"/>
      <c r="CL89" s="274"/>
      <c r="CM89" s="274"/>
      <c r="CN89" s="274"/>
      <c r="CO89" s="274"/>
      <c r="CP89" s="274"/>
      <c r="CQ89" s="274"/>
      <c r="CR89" s="274"/>
      <c r="CS89" s="274"/>
      <c r="CT89" s="274"/>
      <c r="CU89" s="275"/>
      <c r="CV89" s="273"/>
      <c r="CW89" s="274"/>
      <c r="CX89" s="274"/>
      <c r="CY89" s="274"/>
      <c r="CZ89" s="275"/>
      <c r="EX89" s="183"/>
      <c r="GT89" s="190"/>
      <c r="GU89" s="183"/>
      <c r="IP89" s="183"/>
      <c r="KV89" s="190"/>
      <c r="ME89" s="180"/>
      <c r="MF89" s="181"/>
    </row>
    <row r="90" spans="4:349" ht="5.0999999999999996" customHeight="1" x14ac:dyDescent="0.3">
      <c r="D90" s="177"/>
      <c r="E90" s="178"/>
      <c r="BG90" s="273"/>
      <c r="BH90" s="274"/>
      <c r="BI90" s="274"/>
      <c r="BJ90" s="274"/>
      <c r="BK90" s="274"/>
      <c r="BL90" s="274"/>
      <c r="BM90" s="274"/>
      <c r="BN90" s="274"/>
      <c r="BO90" s="274"/>
      <c r="BP90" s="274"/>
      <c r="BQ90" s="274"/>
      <c r="BR90" s="274"/>
      <c r="BS90" s="274"/>
      <c r="BT90" s="274"/>
      <c r="BU90" s="274"/>
      <c r="BV90" s="274"/>
      <c r="BW90" s="274"/>
      <c r="BX90" s="274"/>
      <c r="BY90" s="274"/>
      <c r="BZ90" s="274"/>
      <c r="CA90" s="274"/>
      <c r="CB90" s="274"/>
      <c r="CC90" s="274"/>
      <c r="CD90" s="274"/>
      <c r="CE90" s="274"/>
      <c r="CF90" s="274"/>
      <c r="CG90" s="274"/>
      <c r="CH90" s="274"/>
      <c r="CI90" s="274"/>
      <c r="CJ90" s="274"/>
      <c r="CK90" s="274"/>
      <c r="CL90" s="274"/>
      <c r="CM90" s="274"/>
      <c r="CN90" s="274"/>
      <c r="CO90" s="274"/>
      <c r="CP90" s="274"/>
      <c r="CQ90" s="274"/>
      <c r="CR90" s="274"/>
      <c r="CS90" s="274"/>
      <c r="CT90" s="274"/>
      <c r="CU90" s="275"/>
      <c r="CV90" s="273"/>
      <c r="CW90" s="274"/>
      <c r="CX90" s="274"/>
      <c r="CY90" s="274"/>
      <c r="CZ90" s="275"/>
      <c r="EX90" s="183"/>
      <c r="GT90" s="190"/>
      <c r="GU90" s="183"/>
      <c r="IP90" s="183"/>
      <c r="KV90" s="190"/>
      <c r="ME90" s="180"/>
      <c r="MF90" s="181"/>
    </row>
    <row r="91" spans="4:349" ht="5.0999999999999996" customHeight="1" x14ac:dyDescent="0.3">
      <c r="D91" s="177"/>
      <c r="E91" s="178"/>
      <c r="BG91" s="273"/>
      <c r="BH91" s="274"/>
      <c r="BI91" s="274"/>
      <c r="BJ91" s="274"/>
      <c r="BK91" s="274"/>
      <c r="BL91" s="274"/>
      <c r="BM91" s="274"/>
      <c r="BN91" s="274"/>
      <c r="BO91" s="274"/>
      <c r="BP91" s="274"/>
      <c r="BQ91" s="274"/>
      <c r="BR91" s="274"/>
      <c r="BS91" s="274"/>
      <c r="BT91" s="274"/>
      <c r="BU91" s="274"/>
      <c r="BV91" s="274"/>
      <c r="BW91" s="274"/>
      <c r="BX91" s="274"/>
      <c r="BY91" s="274"/>
      <c r="BZ91" s="274"/>
      <c r="CA91" s="274"/>
      <c r="CB91" s="274"/>
      <c r="CC91" s="274"/>
      <c r="CD91" s="274"/>
      <c r="CE91" s="274"/>
      <c r="CF91" s="274"/>
      <c r="CG91" s="274"/>
      <c r="CH91" s="274"/>
      <c r="CI91" s="274"/>
      <c r="CJ91" s="274"/>
      <c r="CK91" s="274"/>
      <c r="CL91" s="274"/>
      <c r="CM91" s="274"/>
      <c r="CN91" s="274"/>
      <c r="CO91" s="274"/>
      <c r="CP91" s="274"/>
      <c r="CQ91" s="274"/>
      <c r="CR91" s="274"/>
      <c r="CS91" s="274"/>
      <c r="CT91" s="274"/>
      <c r="CU91" s="275"/>
      <c r="CV91" s="273"/>
      <c r="CW91" s="274"/>
      <c r="CX91" s="274"/>
      <c r="CY91" s="274"/>
      <c r="CZ91" s="275"/>
      <c r="EX91" s="183"/>
      <c r="GT91" s="190"/>
      <c r="GU91" s="183"/>
      <c r="IP91" s="183"/>
      <c r="KV91" s="190"/>
      <c r="ME91" s="180"/>
      <c r="MF91" s="181"/>
    </row>
    <row r="92" spans="4:349" ht="5.0999999999999996" customHeight="1" x14ac:dyDescent="0.3">
      <c r="D92" s="177"/>
      <c r="E92" s="178"/>
      <c r="BG92" s="273"/>
      <c r="BH92" s="274"/>
      <c r="BI92" s="274"/>
      <c r="BJ92" s="274"/>
      <c r="BK92" s="274"/>
      <c r="BL92" s="274"/>
      <c r="BM92" s="274"/>
      <c r="BN92" s="274"/>
      <c r="BO92" s="274"/>
      <c r="BP92" s="274"/>
      <c r="BQ92" s="274"/>
      <c r="BR92" s="274"/>
      <c r="BS92" s="274"/>
      <c r="BT92" s="274"/>
      <c r="BU92" s="274"/>
      <c r="BV92" s="274"/>
      <c r="BW92" s="274"/>
      <c r="BX92" s="274"/>
      <c r="BY92" s="274"/>
      <c r="BZ92" s="274"/>
      <c r="CA92" s="274"/>
      <c r="CB92" s="274"/>
      <c r="CC92" s="274"/>
      <c r="CD92" s="274"/>
      <c r="CE92" s="274"/>
      <c r="CF92" s="274"/>
      <c r="CG92" s="274"/>
      <c r="CH92" s="274"/>
      <c r="CI92" s="274"/>
      <c r="CJ92" s="274"/>
      <c r="CK92" s="274"/>
      <c r="CL92" s="274"/>
      <c r="CM92" s="274"/>
      <c r="CN92" s="274"/>
      <c r="CO92" s="274"/>
      <c r="CP92" s="274"/>
      <c r="CQ92" s="274"/>
      <c r="CR92" s="274"/>
      <c r="CS92" s="274"/>
      <c r="CT92" s="274"/>
      <c r="CU92" s="275"/>
      <c r="CV92" s="273"/>
      <c r="CW92" s="274"/>
      <c r="CX92" s="274"/>
      <c r="CY92" s="274"/>
      <c r="CZ92" s="275"/>
      <c r="EX92" s="183"/>
      <c r="GT92" s="190"/>
      <c r="GU92" s="183"/>
      <c r="IP92" s="183"/>
      <c r="KV92" s="190"/>
      <c r="ME92" s="180"/>
      <c r="MF92" s="181"/>
    </row>
    <row r="93" spans="4:349" ht="5.0999999999999996" customHeight="1" x14ac:dyDescent="0.3">
      <c r="D93" s="177"/>
      <c r="E93" s="178"/>
      <c r="BG93" s="273"/>
      <c r="BH93" s="274"/>
      <c r="BI93" s="274"/>
      <c r="BJ93" s="274"/>
      <c r="BK93" s="274"/>
      <c r="BL93" s="274"/>
      <c r="BM93" s="274"/>
      <c r="BN93" s="274"/>
      <c r="BO93" s="274"/>
      <c r="BP93" s="274"/>
      <c r="BQ93" s="274"/>
      <c r="BR93" s="274"/>
      <c r="BS93" s="274"/>
      <c r="BT93" s="274"/>
      <c r="BU93" s="274"/>
      <c r="BV93" s="274"/>
      <c r="BW93" s="274"/>
      <c r="BX93" s="274"/>
      <c r="BY93" s="274"/>
      <c r="BZ93" s="274"/>
      <c r="CA93" s="274"/>
      <c r="CB93" s="274"/>
      <c r="CC93" s="274"/>
      <c r="CD93" s="274"/>
      <c r="CE93" s="274"/>
      <c r="CF93" s="274"/>
      <c r="CG93" s="274"/>
      <c r="CH93" s="274"/>
      <c r="CI93" s="274"/>
      <c r="CJ93" s="274"/>
      <c r="CK93" s="274"/>
      <c r="CL93" s="274"/>
      <c r="CM93" s="274"/>
      <c r="CN93" s="274"/>
      <c r="CO93" s="274"/>
      <c r="CP93" s="274"/>
      <c r="CQ93" s="274"/>
      <c r="CR93" s="274"/>
      <c r="CS93" s="274"/>
      <c r="CT93" s="274"/>
      <c r="CU93" s="275"/>
      <c r="CV93" s="273"/>
      <c r="CW93" s="274"/>
      <c r="CX93" s="274"/>
      <c r="CY93" s="274"/>
      <c r="CZ93" s="275"/>
      <c r="EX93" s="183"/>
      <c r="GT93" s="190"/>
      <c r="GU93" s="183"/>
      <c r="IP93" s="183"/>
      <c r="KV93" s="190"/>
      <c r="ME93" s="180"/>
      <c r="MF93" s="181"/>
    </row>
    <row r="94" spans="4:349" ht="5.0999999999999996" customHeight="1" x14ac:dyDescent="0.3">
      <c r="D94" s="177"/>
      <c r="E94" s="178"/>
      <c r="BG94" s="273"/>
      <c r="BH94" s="274"/>
      <c r="BI94" s="274"/>
      <c r="BJ94" s="274"/>
      <c r="BK94" s="274"/>
      <c r="BL94" s="274"/>
      <c r="BM94" s="274"/>
      <c r="BN94" s="274"/>
      <c r="BO94" s="274"/>
      <c r="BP94" s="274"/>
      <c r="BQ94" s="274"/>
      <c r="BR94" s="274"/>
      <c r="BS94" s="274"/>
      <c r="BT94" s="274"/>
      <c r="BU94" s="274"/>
      <c r="BV94" s="274"/>
      <c r="BW94" s="274"/>
      <c r="BX94" s="274"/>
      <c r="BY94" s="274"/>
      <c r="BZ94" s="274"/>
      <c r="CA94" s="274"/>
      <c r="CB94" s="274"/>
      <c r="CC94" s="274"/>
      <c r="CD94" s="274"/>
      <c r="CE94" s="274"/>
      <c r="CF94" s="274"/>
      <c r="CG94" s="274"/>
      <c r="CH94" s="274"/>
      <c r="CI94" s="274"/>
      <c r="CJ94" s="274"/>
      <c r="CK94" s="274"/>
      <c r="CL94" s="274"/>
      <c r="CM94" s="274"/>
      <c r="CN94" s="274"/>
      <c r="CO94" s="274"/>
      <c r="CP94" s="274"/>
      <c r="CQ94" s="274"/>
      <c r="CR94" s="274"/>
      <c r="CS94" s="274"/>
      <c r="CT94" s="274"/>
      <c r="CU94" s="275"/>
      <c r="CV94" s="273"/>
      <c r="CW94" s="274"/>
      <c r="CX94" s="274"/>
      <c r="CY94" s="274"/>
      <c r="CZ94" s="275"/>
      <c r="EX94" s="183"/>
      <c r="GT94" s="190"/>
      <c r="GU94" s="183"/>
      <c r="IP94" s="192"/>
      <c r="IQ94" s="193"/>
      <c r="IR94" s="193"/>
      <c r="IS94" s="193"/>
      <c r="IT94" s="193"/>
      <c r="KV94" s="190"/>
      <c r="ME94" s="180"/>
      <c r="MF94" s="181"/>
    </row>
    <row r="95" spans="4:349" ht="5.0999999999999996" customHeight="1" x14ac:dyDescent="0.3">
      <c r="D95" s="177"/>
      <c r="E95" s="178"/>
      <c r="BG95" s="273"/>
      <c r="BH95" s="274"/>
      <c r="BI95" s="274"/>
      <c r="BJ95" s="274"/>
      <c r="BK95" s="274"/>
      <c r="BL95" s="274"/>
      <c r="BM95" s="274"/>
      <c r="BN95" s="274"/>
      <c r="BO95" s="274"/>
      <c r="BP95" s="274"/>
      <c r="BQ95" s="274"/>
      <c r="BR95" s="274"/>
      <c r="BS95" s="274"/>
      <c r="BT95" s="274"/>
      <c r="BU95" s="274"/>
      <c r="BV95" s="274"/>
      <c r="BW95" s="274"/>
      <c r="BX95" s="274"/>
      <c r="BY95" s="274"/>
      <c r="BZ95" s="274"/>
      <c r="CA95" s="274"/>
      <c r="CB95" s="274"/>
      <c r="CC95" s="274"/>
      <c r="CD95" s="274"/>
      <c r="CE95" s="274"/>
      <c r="CF95" s="274"/>
      <c r="CG95" s="274"/>
      <c r="CH95" s="274"/>
      <c r="CI95" s="274"/>
      <c r="CJ95" s="274"/>
      <c r="CK95" s="274"/>
      <c r="CL95" s="274"/>
      <c r="CM95" s="274"/>
      <c r="CN95" s="274"/>
      <c r="CO95" s="274"/>
      <c r="CP95" s="274"/>
      <c r="CQ95" s="274"/>
      <c r="CR95" s="274"/>
      <c r="CS95" s="274"/>
      <c r="CT95" s="274"/>
      <c r="CU95" s="275"/>
      <c r="CV95" s="273"/>
      <c r="CW95" s="274"/>
      <c r="CX95" s="274"/>
      <c r="CY95" s="274"/>
      <c r="CZ95" s="275"/>
      <c r="DZ95" s="299" t="s">
        <v>179</v>
      </c>
      <c r="EA95" s="299"/>
      <c r="EB95" s="299"/>
      <c r="EC95" s="299"/>
      <c r="ED95" s="299"/>
      <c r="EE95" s="299"/>
      <c r="EF95" s="299"/>
      <c r="EG95" s="299"/>
      <c r="EH95" s="299"/>
      <c r="EI95" s="299"/>
      <c r="EJ95" s="299"/>
      <c r="EK95" s="299"/>
      <c r="EL95" s="299"/>
      <c r="EM95" s="299"/>
      <c r="EN95" s="299"/>
      <c r="EO95" s="299"/>
      <c r="EP95" s="299"/>
      <c r="EQ95" s="299"/>
      <c r="ER95" s="299"/>
      <c r="ES95" s="299"/>
      <c r="ET95" s="299"/>
      <c r="EU95" s="299"/>
      <c r="EV95" s="299"/>
      <c r="EW95" s="299"/>
      <c r="EX95" s="299"/>
      <c r="EY95" s="299"/>
      <c r="EZ95" s="299"/>
      <c r="FA95" s="299"/>
      <c r="FB95" s="299"/>
      <c r="FC95" s="299"/>
      <c r="FD95" s="299"/>
      <c r="FE95" s="299"/>
      <c r="FF95" s="299"/>
      <c r="FG95" s="299"/>
      <c r="FH95" s="299"/>
      <c r="FI95" s="299"/>
      <c r="FJ95" s="299"/>
      <c r="FK95" s="299"/>
      <c r="FL95" s="299"/>
      <c r="FM95" s="299"/>
      <c r="FN95" s="299">
        <v>1</v>
      </c>
      <c r="FO95" s="299"/>
      <c r="FP95" s="299"/>
      <c r="FQ95" s="299"/>
      <c r="FR95" s="299"/>
      <c r="FY95" s="299" t="s">
        <v>180</v>
      </c>
      <c r="FZ95" s="299"/>
      <c r="GA95" s="299"/>
      <c r="GB95" s="299"/>
      <c r="GC95" s="299"/>
      <c r="GD95" s="299"/>
      <c r="GE95" s="299"/>
      <c r="GF95" s="299"/>
      <c r="GG95" s="299"/>
      <c r="GH95" s="299"/>
      <c r="GI95" s="299"/>
      <c r="GJ95" s="299"/>
      <c r="GK95" s="299"/>
      <c r="GL95" s="299"/>
      <c r="GM95" s="299"/>
      <c r="GN95" s="299"/>
      <c r="GO95" s="299"/>
      <c r="GP95" s="299"/>
      <c r="GQ95" s="299"/>
      <c r="GR95" s="299"/>
      <c r="GS95" s="299"/>
      <c r="GT95" s="299"/>
      <c r="GU95" s="299"/>
      <c r="GV95" s="299"/>
      <c r="GW95" s="299"/>
      <c r="GX95" s="299"/>
      <c r="GY95" s="299"/>
      <c r="GZ95" s="299"/>
      <c r="HA95" s="299"/>
      <c r="HB95" s="299"/>
      <c r="HC95" s="299"/>
      <c r="HD95" s="299"/>
      <c r="HE95" s="299"/>
      <c r="HF95" s="299"/>
      <c r="HG95" s="299"/>
      <c r="HH95" s="299"/>
      <c r="HI95" s="299"/>
      <c r="HJ95" s="299"/>
      <c r="HK95" s="299"/>
      <c r="HL95" s="299"/>
      <c r="HM95" s="299">
        <f>SUM(HM109,HM121,HM131)</f>
        <v>9</v>
      </c>
      <c r="HN95" s="299"/>
      <c r="HO95" s="299"/>
      <c r="HP95" s="299"/>
      <c r="HQ95" s="299"/>
      <c r="HW95" s="261" t="s">
        <v>181</v>
      </c>
      <c r="HX95" s="262"/>
      <c r="HY95" s="262"/>
      <c r="HZ95" s="262"/>
      <c r="IA95" s="262"/>
      <c r="IB95" s="262"/>
      <c r="IC95" s="262"/>
      <c r="ID95" s="262"/>
      <c r="IE95" s="262"/>
      <c r="IF95" s="262"/>
      <c r="IG95" s="262"/>
      <c r="IH95" s="262"/>
      <c r="II95" s="262"/>
      <c r="IJ95" s="262"/>
      <c r="IK95" s="262"/>
      <c r="IL95" s="262"/>
      <c r="IM95" s="262"/>
      <c r="IN95" s="262"/>
      <c r="IO95" s="262"/>
      <c r="IP95" s="262"/>
      <c r="IQ95" s="262"/>
      <c r="IR95" s="262"/>
      <c r="IS95" s="262"/>
      <c r="IT95" s="262"/>
      <c r="IU95" s="262"/>
      <c r="IV95" s="262"/>
      <c r="IW95" s="262"/>
      <c r="IX95" s="262"/>
      <c r="IY95" s="262"/>
      <c r="IZ95" s="262"/>
      <c r="JA95" s="262"/>
      <c r="JB95" s="262"/>
      <c r="JC95" s="262"/>
      <c r="JD95" s="262"/>
      <c r="JE95" s="262"/>
      <c r="JF95" s="262"/>
      <c r="JG95" s="262"/>
      <c r="JH95" s="262"/>
      <c r="JI95" s="262"/>
      <c r="JJ95" s="263"/>
      <c r="JK95" s="261">
        <f>SUM(JK109,JK119,JK129)</f>
        <v>12</v>
      </c>
      <c r="JL95" s="262"/>
      <c r="JM95" s="262"/>
      <c r="JN95" s="262"/>
      <c r="JO95" s="263"/>
      <c r="JU95" s="261" t="s">
        <v>182</v>
      </c>
      <c r="JV95" s="262"/>
      <c r="JW95" s="262"/>
      <c r="JX95" s="262"/>
      <c r="JY95" s="262"/>
      <c r="JZ95" s="262"/>
      <c r="KA95" s="262"/>
      <c r="KB95" s="262"/>
      <c r="KC95" s="262"/>
      <c r="KD95" s="262"/>
      <c r="KE95" s="262"/>
      <c r="KF95" s="262"/>
      <c r="KG95" s="262"/>
      <c r="KH95" s="262"/>
      <c r="KI95" s="262"/>
      <c r="KJ95" s="262"/>
      <c r="KK95" s="262"/>
      <c r="KL95" s="262"/>
      <c r="KM95" s="262"/>
      <c r="KN95" s="262"/>
      <c r="KO95" s="262"/>
      <c r="KP95" s="262"/>
      <c r="KQ95" s="262"/>
      <c r="KR95" s="262"/>
      <c r="KS95" s="262"/>
      <c r="KT95" s="262"/>
      <c r="KU95" s="262"/>
      <c r="KV95" s="262"/>
      <c r="KW95" s="262"/>
      <c r="KX95" s="262"/>
      <c r="KY95" s="262"/>
      <c r="KZ95" s="262"/>
      <c r="LA95" s="262"/>
      <c r="LB95" s="262"/>
      <c r="LC95" s="262"/>
      <c r="LD95" s="262"/>
      <c r="LE95" s="262"/>
      <c r="LF95" s="262"/>
      <c r="LG95" s="262"/>
      <c r="LH95" s="263"/>
      <c r="LI95" s="261">
        <f>SUM(LI109:LM128)</f>
        <v>3</v>
      </c>
      <c r="LJ95" s="262"/>
      <c r="LK95" s="262"/>
      <c r="LL95" s="262"/>
      <c r="LM95" s="263"/>
      <c r="ME95" s="180"/>
      <c r="MF95" s="181"/>
      <c r="MG95" s="199"/>
      <c r="MH95" s="199"/>
      <c r="MI95" s="199"/>
      <c r="MJ95" s="199"/>
      <c r="MK95" s="200"/>
    </row>
    <row r="96" spans="4:349" ht="5.0999999999999996" customHeight="1" x14ac:dyDescent="0.3">
      <c r="D96" s="177"/>
      <c r="E96" s="178"/>
      <c r="BG96" s="273"/>
      <c r="BH96" s="274"/>
      <c r="BI96" s="274"/>
      <c r="BJ96" s="274"/>
      <c r="BK96" s="274"/>
      <c r="BL96" s="274"/>
      <c r="BM96" s="274"/>
      <c r="BN96" s="274"/>
      <c r="BO96" s="274"/>
      <c r="BP96" s="274"/>
      <c r="BQ96" s="274"/>
      <c r="BR96" s="274"/>
      <c r="BS96" s="274"/>
      <c r="BT96" s="274"/>
      <c r="BU96" s="274"/>
      <c r="BV96" s="274"/>
      <c r="BW96" s="274"/>
      <c r="BX96" s="274"/>
      <c r="BY96" s="274"/>
      <c r="BZ96" s="274"/>
      <c r="CA96" s="274"/>
      <c r="CB96" s="274"/>
      <c r="CC96" s="274"/>
      <c r="CD96" s="274"/>
      <c r="CE96" s="274"/>
      <c r="CF96" s="274"/>
      <c r="CG96" s="274"/>
      <c r="CH96" s="274"/>
      <c r="CI96" s="274"/>
      <c r="CJ96" s="274"/>
      <c r="CK96" s="274"/>
      <c r="CL96" s="274"/>
      <c r="CM96" s="274"/>
      <c r="CN96" s="274"/>
      <c r="CO96" s="274"/>
      <c r="CP96" s="274"/>
      <c r="CQ96" s="274"/>
      <c r="CR96" s="274"/>
      <c r="CS96" s="274"/>
      <c r="CT96" s="274"/>
      <c r="CU96" s="275"/>
      <c r="CV96" s="273"/>
      <c r="CW96" s="274"/>
      <c r="CX96" s="274"/>
      <c r="CY96" s="274"/>
      <c r="CZ96" s="275"/>
      <c r="DZ96" s="299"/>
      <c r="EA96" s="299"/>
      <c r="EB96" s="299"/>
      <c r="EC96" s="299"/>
      <c r="ED96" s="299"/>
      <c r="EE96" s="299"/>
      <c r="EF96" s="299"/>
      <c r="EG96" s="299"/>
      <c r="EH96" s="299"/>
      <c r="EI96" s="299"/>
      <c r="EJ96" s="299"/>
      <c r="EK96" s="299"/>
      <c r="EL96" s="299"/>
      <c r="EM96" s="299"/>
      <c r="EN96" s="299"/>
      <c r="EO96" s="299"/>
      <c r="EP96" s="299"/>
      <c r="EQ96" s="299"/>
      <c r="ER96" s="299"/>
      <c r="ES96" s="299"/>
      <c r="ET96" s="299"/>
      <c r="EU96" s="299"/>
      <c r="EV96" s="299"/>
      <c r="EW96" s="299"/>
      <c r="EX96" s="299"/>
      <c r="EY96" s="299"/>
      <c r="EZ96" s="299"/>
      <c r="FA96" s="299"/>
      <c r="FB96" s="299"/>
      <c r="FC96" s="299"/>
      <c r="FD96" s="299"/>
      <c r="FE96" s="299"/>
      <c r="FF96" s="299"/>
      <c r="FG96" s="299"/>
      <c r="FH96" s="299"/>
      <c r="FI96" s="299"/>
      <c r="FJ96" s="299"/>
      <c r="FK96" s="299"/>
      <c r="FL96" s="299"/>
      <c r="FM96" s="299"/>
      <c r="FN96" s="299"/>
      <c r="FO96" s="299"/>
      <c r="FP96" s="299"/>
      <c r="FQ96" s="299"/>
      <c r="FR96" s="299"/>
      <c r="FY96" s="299"/>
      <c r="FZ96" s="299"/>
      <c r="GA96" s="299"/>
      <c r="GB96" s="299"/>
      <c r="GC96" s="299"/>
      <c r="GD96" s="299"/>
      <c r="GE96" s="299"/>
      <c r="GF96" s="299"/>
      <c r="GG96" s="299"/>
      <c r="GH96" s="299"/>
      <c r="GI96" s="299"/>
      <c r="GJ96" s="299"/>
      <c r="GK96" s="299"/>
      <c r="GL96" s="299"/>
      <c r="GM96" s="299"/>
      <c r="GN96" s="299"/>
      <c r="GO96" s="299"/>
      <c r="GP96" s="299"/>
      <c r="GQ96" s="299"/>
      <c r="GR96" s="299"/>
      <c r="GS96" s="299"/>
      <c r="GT96" s="299"/>
      <c r="GU96" s="299"/>
      <c r="GV96" s="299"/>
      <c r="GW96" s="299"/>
      <c r="GX96" s="299"/>
      <c r="GY96" s="299"/>
      <c r="GZ96" s="299"/>
      <c r="HA96" s="299"/>
      <c r="HB96" s="299"/>
      <c r="HC96" s="299"/>
      <c r="HD96" s="299"/>
      <c r="HE96" s="299"/>
      <c r="HF96" s="299"/>
      <c r="HG96" s="299"/>
      <c r="HH96" s="299"/>
      <c r="HI96" s="299"/>
      <c r="HJ96" s="299"/>
      <c r="HK96" s="299"/>
      <c r="HL96" s="299"/>
      <c r="HM96" s="299"/>
      <c r="HN96" s="299"/>
      <c r="HO96" s="299"/>
      <c r="HP96" s="299"/>
      <c r="HQ96" s="299"/>
      <c r="HW96" s="264"/>
      <c r="HX96" s="265"/>
      <c r="HY96" s="265"/>
      <c r="HZ96" s="265"/>
      <c r="IA96" s="265"/>
      <c r="IB96" s="265"/>
      <c r="IC96" s="265"/>
      <c r="ID96" s="265"/>
      <c r="IE96" s="265"/>
      <c r="IF96" s="265"/>
      <c r="IG96" s="265"/>
      <c r="IH96" s="265"/>
      <c r="II96" s="265"/>
      <c r="IJ96" s="265"/>
      <c r="IK96" s="265"/>
      <c r="IL96" s="265"/>
      <c r="IM96" s="265"/>
      <c r="IN96" s="265"/>
      <c r="IO96" s="265"/>
      <c r="IP96" s="265"/>
      <c r="IQ96" s="265"/>
      <c r="IR96" s="265"/>
      <c r="IS96" s="265"/>
      <c r="IT96" s="265"/>
      <c r="IU96" s="265"/>
      <c r="IV96" s="265"/>
      <c r="IW96" s="265"/>
      <c r="IX96" s="265"/>
      <c r="IY96" s="265"/>
      <c r="IZ96" s="265"/>
      <c r="JA96" s="265"/>
      <c r="JB96" s="265"/>
      <c r="JC96" s="265"/>
      <c r="JD96" s="265"/>
      <c r="JE96" s="265"/>
      <c r="JF96" s="265"/>
      <c r="JG96" s="265"/>
      <c r="JH96" s="265"/>
      <c r="JI96" s="265"/>
      <c r="JJ96" s="266"/>
      <c r="JK96" s="264"/>
      <c r="JL96" s="265"/>
      <c r="JM96" s="265"/>
      <c r="JN96" s="265"/>
      <c r="JO96" s="266"/>
      <c r="JU96" s="264"/>
      <c r="JV96" s="265"/>
      <c r="JW96" s="265"/>
      <c r="JX96" s="265"/>
      <c r="JY96" s="265"/>
      <c r="JZ96" s="265"/>
      <c r="KA96" s="265"/>
      <c r="KB96" s="265"/>
      <c r="KC96" s="265"/>
      <c r="KD96" s="265"/>
      <c r="KE96" s="265"/>
      <c r="KF96" s="265"/>
      <c r="KG96" s="265"/>
      <c r="KH96" s="265"/>
      <c r="KI96" s="265"/>
      <c r="KJ96" s="265"/>
      <c r="KK96" s="265"/>
      <c r="KL96" s="265"/>
      <c r="KM96" s="265"/>
      <c r="KN96" s="265"/>
      <c r="KO96" s="265"/>
      <c r="KP96" s="265"/>
      <c r="KQ96" s="265"/>
      <c r="KR96" s="265"/>
      <c r="KS96" s="265"/>
      <c r="KT96" s="265"/>
      <c r="KU96" s="265"/>
      <c r="KV96" s="265"/>
      <c r="KW96" s="265"/>
      <c r="KX96" s="265"/>
      <c r="KY96" s="265"/>
      <c r="KZ96" s="265"/>
      <c r="LA96" s="265"/>
      <c r="LB96" s="265"/>
      <c r="LC96" s="265"/>
      <c r="LD96" s="265"/>
      <c r="LE96" s="265"/>
      <c r="LF96" s="265"/>
      <c r="LG96" s="265"/>
      <c r="LH96" s="266"/>
      <c r="LI96" s="264"/>
      <c r="LJ96" s="265"/>
      <c r="LK96" s="265"/>
      <c r="LL96" s="265"/>
      <c r="LM96" s="266"/>
      <c r="ME96" s="180"/>
      <c r="MF96" s="181"/>
      <c r="MG96" s="199"/>
      <c r="MH96" s="199"/>
      <c r="MI96" s="199"/>
      <c r="MJ96" s="199"/>
      <c r="MK96" s="200"/>
    </row>
    <row r="97" spans="4:349" ht="5.0999999999999996" customHeight="1" x14ac:dyDescent="0.3">
      <c r="D97" s="177"/>
      <c r="E97" s="178"/>
      <c r="BG97" s="276"/>
      <c r="BH97" s="277"/>
      <c r="BI97" s="277"/>
      <c r="BJ97" s="277"/>
      <c r="BK97" s="277"/>
      <c r="BL97" s="277"/>
      <c r="BM97" s="277"/>
      <c r="BN97" s="277"/>
      <c r="BO97" s="277"/>
      <c r="BP97" s="277"/>
      <c r="BQ97" s="277"/>
      <c r="BR97" s="277"/>
      <c r="BS97" s="277"/>
      <c r="BT97" s="277"/>
      <c r="BU97" s="277"/>
      <c r="BV97" s="277"/>
      <c r="BW97" s="277"/>
      <c r="BX97" s="277"/>
      <c r="BY97" s="277"/>
      <c r="BZ97" s="277"/>
      <c r="CA97" s="277"/>
      <c r="CB97" s="277"/>
      <c r="CC97" s="277"/>
      <c r="CD97" s="277"/>
      <c r="CE97" s="277"/>
      <c r="CF97" s="277"/>
      <c r="CG97" s="277"/>
      <c r="CH97" s="277"/>
      <c r="CI97" s="277"/>
      <c r="CJ97" s="277"/>
      <c r="CK97" s="277"/>
      <c r="CL97" s="277"/>
      <c r="CM97" s="277"/>
      <c r="CN97" s="277"/>
      <c r="CO97" s="277"/>
      <c r="CP97" s="277"/>
      <c r="CQ97" s="277"/>
      <c r="CR97" s="277"/>
      <c r="CS97" s="277"/>
      <c r="CT97" s="277"/>
      <c r="CU97" s="278"/>
      <c r="CV97" s="276"/>
      <c r="CW97" s="277"/>
      <c r="CX97" s="277"/>
      <c r="CY97" s="277"/>
      <c r="CZ97" s="278"/>
      <c r="DZ97" s="299"/>
      <c r="EA97" s="299"/>
      <c r="EB97" s="299"/>
      <c r="EC97" s="299"/>
      <c r="ED97" s="299"/>
      <c r="EE97" s="299"/>
      <c r="EF97" s="299"/>
      <c r="EG97" s="299"/>
      <c r="EH97" s="299"/>
      <c r="EI97" s="299"/>
      <c r="EJ97" s="299"/>
      <c r="EK97" s="299"/>
      <c r="EL97" s="299"/>
      <c r="EM97" s="299"/>
      <c r="EN97" s="299"/>
      <c r="EO97" s="299"/>
      <c r="EP97" s="299"/>
      <c r="EQ97" s="299"/>
      <c r="ER97" s="299"/>
      <c r="ES97" s="299"/>
      <c r="ET97" s="299"/>
      <c r="EU97" s="299"/>
      <c r="EV97" s="299"/>
      <c r="EW97" s="299"/>
      <c r="EX97" s="299"/>
      <c r="EY97" s="299"/>
      <c r="EZ97" s="299"/>
      <c r="FA97" s="299"/>
      <c r="FB97" s="299"/>
      <c r="FC97" s="299"/>
      <c r="FD97" s="299"/>
      <c r="FE97" s="299"/>
      <c r="FF97" s="299"/>
      <c r="FG97" s="299"/>
      <c r="FH97" s="299"/>
      <c r="FI97" s="299"/>
      <c r="FJ97" s="299"/>
      <c r="FK97" s="299"/>
      <c r="FL97" s="299"/>
      <c r="FM97" s="299"/>
      <c r="FN97" s="299"/>
      <c r="FO97" s="299"/>
      <c r="FP97" s="299"/>
      <c r="FQ97" s="299"/>
      <c r="FR97" s="299"/>
      <c r="FY97" s="299"/>
      <c r="FZ97" s="299"/>
      <c r="GA97" s="299"/>
      <c r="GB97" s="299"/>
      <c r="GC97" s="299"/>
      <c r="GD97" s="299"/>
      <c r="GE97" s="299"/>
      <c r="GF97" s="299"/>
      <c r="GG97" s="299"/>
      <c r="GH97" s="299"/>
      <c r="GI97" s="299"/>
      <c r="GJ97" s="299"/>
      <c r="GK97" s="299"/>
      <c r="GL97" s="299"/>
      <c r="GM97" s="299"/>
      <c r="GN97" s="299"/>
      <c r="GO97" s="299"/>
      <c r="GP97" s="299"/>
      <c r="GQ97" s="299"/>
      <c r="GR97" s="299"/>
      <c r="GS97" s="299"/>
      <c r="GT97" s="299"/>
      <c r="GU97" s="299"/>
      <c r="GV97" s="299"/>
      <c r="GW97" s="299"/>
      <c r="GX97" s="299"/>
      <c r="GY97" s="299"/>
      <c r="GZ97" s="299"/>
      <c r="HA97" s="299"/>
      <c r="HB97" s="299"/>
      <c r="HC97" s="299"/>
      <c r="HD97" s="299"/>
      <c r="HE97" s="299"/>
      <c r="HF97" s="299"/>
      <c r="HG97" s="299"/>
      <c r="HH97" s="299"/>
      <c r="HI97" s="299"/>
      <c r="HJ97" s="299"/>
      <c r="HK97" s="299"/>
      <c r="HL97" s="299"/>
      <c r="HM97" s="299"/>
      <c r="HN97" s="299"/>
      <c r="HO97" s="299"/>
      <c r="HP97" s="299"/>
      <c r="HQ97" s="299"/>
      <c r="HW97" s="264"/>
      <c r="HX97" s="265"/>
      <c r="HY97" s="265"/>
      <c r="HZ97" s="265"/>
      <c r="IA97" s="265"/>
      <c r="IB97" s="265"/>
      <c r="IC97" s="265"/>
      <c r="ID97" s="265"/>
      <c r="IE97" s="265"/>
      <c r="IF97" s="265"/>
      <c r="IG97" s="265"/>
      <c r="IH97" s="265"/>
      <c r="II97" s="265"/>
      <c r="IJ97" s="265"/>
      <c r="IK97" s="265"/>
      <c r="IL97" s="265"/>
      <c r="IM97" s="265"/>
      <c r="IN97" s="265"/>
      <c r="IO97" s="265"/>
      <c r="IP97" s="265"/>
      <c r="IQ97" s="265"/>
      <c r="IR97" s="265"/>
      <c r="IS97" s="265"/>
      <c r="IT97" s="265"/>
      <c r="IU97" s="265"/>
      <c r="IV97" s="265"/>
      <c r="IW97" s="265"/>
      <c r="IX97" s="265"/>
      <c r="IY97" s="265"/>
      <c r="IZ97" s="265"/>
      <c r="JA97" s="265"/>
      <c r="JB97" s="265"/>
      <c r="JC97" s="265"/>
      <c r="JD97" s="265"/>
      <c r="JE97" s="265"/>
      <c r="JF97" s="265"/>
      <c r="JG97" s="265"/>
      <c r="JH97" s="265"/>
      <c r="JI97" s="265"/>
      <c r="JJ97" s="266"/>
      <c r="JK97" s="264"/>
      <c r="JL97" s="265"/>
      <c r="JM97" s="265"/>
      <c r="JN97" s="265"/>
      <c r="JO97" s="266"/>
      <c r="JU97" s="264"/>
      <c r="JV97" s="265"/>
      <c r="JW97" s="265"/>
      <c r="JX97" s="265"/>
      <c r="JY97" s="265"/>
      <c r="JZ97" s="265"/>
      <c r="KA97" s="265"/>
      <c r="KB97" s="265"/>
      <c r="KC97" s="265"/>
      <c r="KD97" s="265"/>
      <c r="KE97" s="265"/>
      <c r="KF97" s="265"/>
      <c r="KG97" s="265"/>
      <c r="KH97" s="265"/>
      <c r="KI97" s="265"/>
      <c r="KJ97" s="265"/>
      <c r="KK97" s="265"/>
      <c r="KL97" s="265"/>
      <c r="KM97" s="265"/>
      <c r="KN97" s="265"/>
      <c r="KO97" s="265"/>
      <c r="KP97" s="265"/>
      <c r="KQ97" s="265"/>
      <c r="KR97" s="265"/>
      <c r="KS97" s="265"/>
      <c r="KT97" s="265"/>
      <c r="KU97" s="265"/>
      <c r="KV97" s="265"/>
      <c r="KW97" s="265"/>
      <c r="KX97" s="265"/>
      <c r="KY97" s="265"/>
      <c r="KZ97" s="265"/>
      <c r="LA97" s="265"/>
      <c r="LB97" s="265"/>
      <c r="LC97" s="265"/>
      <c r="LD97" s="265"/>
      <c r="LE97" s="265"/>
      <c r="LF97" s="265"/>
      <c r="LG97" s="265"/>
      <c r="LH97" s="266"/>
      <c r="LI97" s="264"/>
      <c r="LJ97" s="265"/>
      <c r="LK97" s="265"/>
      <c r="LL97" s="265"/>
      <c r="LM97" s="266"/>
      <c r="ME97" s="180"/>
      <c r="MF97" s="181"/>
      <c r="MG97" s="199"/>
      <c r="MH97" s="199"/>
      <c r="MI97" s="199"/>
      <c r="MJ97" s="199"/>
      <c r="MK97" s="200"/>
    </row>
    <row r="98" spans="4:349" ht="5.0999999999999996" customHeight="1" x14ac:dyDescent="0.3">
      <c r="D98" s="177"/>
      <c r="E98" s="178"/>
      <c r="BG98" s="270" t="s">
        <v>183</v>
      </c>
      <c r="BH98" s="271"/>
      <c r="BI98" s="271"/>
      <c r="BJ98" s="271"/>
      <c r="BK98" s="271"/>
      <c r="BL98" s="271"/>
      <c r="BM98" s="271"/>
      <c r="BN98" s="271"/>
      <c r="BO98" s="271"/>
      <c r="BP98" s="271"/>
      <c r="BQ98" s="271"/>
      <c r="BR98" s="271"/>
      <c r="BS98" s="271"/>
      <c r="BT98" s="271"/>
      <c r="BU98" s="271"/>
      <c r="BV98" s="271"/>
      <c r="BW98" s="271"/>
      <c r="BX98" s="271"/>
      <c r="BY98" s="271"/>
      <c r="BZ98" s="271"/>
      <c r="CA98" s="271"/>
      <c r="CB98" s="271"/>
      <c r="CC98" s="271"/>
      <c r="CD98" s="271"/>
      <c r="CE98" s="271"/>
      <c r="CF98" s="271"/>
      <c r="CG98" s="271"/>
      <c r="CH98" s="271"/>
      <c r="CI98" s="271"/>
      <c r="CJ98" s="271"/>
      <c r="CK98" s="271"/>
      <c r="CL98" s="271"/>
      <c r="CM98" s="271"/>
      <c r="CN98" s="271"/>
      <c r="CO98" s="271"/>
      <c r="CP98" s="271"/>
      <c r="CQ98" s="271"/>
      <c r="CR98" s="271"/>
      <c r="CS98" s="271"/>
      <c r="CT98" s="271"/>
      <c r="CU98" s="272"/>
      <c r="CV98" s="270">
        <v>3</v>
      </c>
      <c r="CW98" s="271"/>
      <c r="CX98" s="271"/>
      <c r="CY98" s="271"/>
      <c r="CZ98" s="272"/>
      <c r="DZ98" s="299"/>
      <c r="EA98" s="299"/>
      <c r="EB98" s="299"/>
      <c r="EC98" s="299"/>
      <c r="ED98" s="299"/>
      <c r="EE98" s="299"/>
      <c r="EF98" s="299"/>
      <c r="EG98" s="299"/>
      <c r="EH98" s="299"/>
      <c r="EI98" s="299"/>
      <c r="EJ98" s="299"/>
      <c r="EK98" s="299"/>
      <c r="EL98" s="299"/>
      <c r="EM98" s="299"/>
      <c r="EN98" s="299"/>
      <c r="EO98" s="299"/>
      <c r="EP98" s="299"/>
      <c r="EQ98" s="299"/>
      <c r="ER98" s="299"/>
      <c r="ES98" s="299"/>
      <c r="ET98" s="299"/>
      <c r="EU98" s="299"/>
      <c r="EV98" s="299"/>
      <c r="EW98" s="299"/>
      <c r="EX98" s="299"/>
      <c r="EY98" s="299"/>
      <c r="EZ98" s="299"/>
      <c r="FA98" s="299"/>
      <c r="FB98" s="299"/>
      <c r="FC98" s="299"/>
      <c r="FD98" s="299"/>
      <c r="FE98" s="299"/>
      <c r="FF98" s="299"/>
      <c r="FG98" s="299"/>
      <c r="FH98" s="299"/>
      <c r="FI98" s="299"/>
      <c r="FJ98" s="299"/>
      <c r="FK98" s="299"/>
      <c r="FL98" s="299"/>
      <c r="FM98" s="299"/>
      <c r="FN98" s="299"/>
      <c r="FO98" s="299"/>
      <c r="FP98" s="299"/>
      <c r="FQ98" s="299"/>
      <c r="FR98" s="299"/>
      <c r="FY98" s="299"/>
      <c r="FZ98" s="299"/>
      <c r="GA98" s="299"/>
      <c r="GB98" s="299"/>
      <c r="GC98" s="299"/>
      <c r="GD98" s="299"/>
      <c r="GE98" s="299"/>
      <c r="GF98" s="299"/>
      <c r="GG98" s="299"/>
      <c r="GH98" s="299"/>
      <c r="GI98" s="299"/>
      <c r="GJ98" s="299"/>
      <c r="GK98" s="299"/>
      <c r="GL98" s="299"/>
      <c r="GM98" s="299"/>
      <c r="GN98" s="299"/>
      <c r="GO98" s="299"/>
      <c r="GP98" s="299"/>
      <c r="GQ98" s="299"/>
      <c r="GR98" s="299"/>
      <c r="GS98" s="299"/>
      <c r="GT98" s="299"/>
      <c r="GU98" s="299"/>
      <c r="GV98" s="299"/>
      <c r="GW98" s="299"/>
      <c r="GX98" s="299"/>
      <c r="GY98" s="299"/>
      <c r="GZ98" s="299"/>
      <c r="HA98" s="299"/>
      <c r="HB98" s="299"/>
      <c r="HC98" s="299"/>
      <c r="HD98" s="299"/>
      <c r="HE98" s="299"/>
      <c r="HF98" s="299"/>
      <c r="HG98" s="299"/>
      <c r="HH98" s="299"/>
      <c r="HI98" s="299"/>
      <c r="HJ98" s="299"/>
      <c r="HK98" s="299"/>
      <c r="HL98" s="299"/>
      <c r="HM98" s="299"/>
      <c r="HN98" s="299"/>
      <c r="HO98" s="299"/>
      <c r="HP98" s="299"/>
      <c r="HQ98" s="299"/>
      <c r="HW98" s="264"/>
      <c r="HX98" s="265"/>
      <c r="HY98" s="265"/>
      <c r="HZ98" s="265"/>
      <c r="IA98" s="265"/>
      <c r="IB98" s="265"/>
      <c r="IC98" s="265"/>
      <c r="ID98" s="265"/>
      <c r="IE98" s="265"/>
      <c r="IF98" s="265"/>
      <c r="IG98" s="265"/>
      <c r="IH98" s="265"/>
      <c r="II98" s="265"/>
      <c r="IJ98" s="265"/>
      <c r="IK98" s="265"/>
      <c r="IL98" s="265"/>
      <c r="IM98" s="265"/>
      <c r="IN98" s="265"/>
      <c r="IO98" s="265"/>
      <c r="IP98" s="265"/>
      <c r="IQ98" s="265"/>
      <c r="IR98" s="265"/>
      <c r="IS98" s="265"/>
      <c r="IT98" s="265"/>
      <c r="IU98" s="265"/>
      <c r="IV98" s="265"/>
      <c r="IW98" s="265"/>
      <c r="IX98" s="265"/>
      <c r="IY98" s="265"/>
      <c r="IZ98" s="265"/>
      <c r="JA98" s="265"/>
      <c r="JB98" s="265"/>
      <c r="JC98" s="265"/>
      <c r="JD98" s="265"/>
      <c r="JE98" s="265"/>
      <c r="JF98" s="265"/>
      <c r="JG98" s="265"/>
      <c r="JH98" s="265"/>
      <c r="JI98" s="265"/>
      <c r="JJ98" s="266"/>
      <c r="JK98" s="264"/>
      <c r="JL98" s="265"/>
      <c r="JM98" s="265"/>
      <c r="JN98" s="265"/>
      <c r="JO98" s="266"/>
      <c r="JU98" s="264"/>
      <c r="JV98" s="265"/>
      <c r="JW98" s="265"/>
      <c r="JX98" s="265"/>
      <c r="JY98" s="265"/>
      <c r="JZ98" s="265"/>
      <c r="KA98" s="265"/>
      <c r="KB98" s="265"/>
      <c r="KC98" s="265"/>
      <c r="KD98" s="265"/>
      <c r="KE98" s="265"/>
      <c r="KF98" s="265"/>
      <c r="KG98" s="265"/>
      <c r="KH98" s="265"/>
      <c r="KI98" s="265"/>
      <c r="KJ98" s="265"/>
      <c r="KK98" s="265"/>
      <c r="KL98" s="265"/>
      <c r="KM98" s="265"/>
      <c r="KN98" s="265"/>
      <c r="KO98" s="265"/>
      <c r="KP98" s="265"/>
      <c r="KQ98" s="265"/>
      <c r="KR98" s="265"/>
      <c r="KS98" s="265"/>
      <c r="KT98" s="265"/>
      <c r="KU98" s="265"/>
      <c r="KV98" s="265"/>
      <c r="KW98" s="265"/>
      <c r="KX98" s="265"/>
      <c r="KY98" s="265"/>
      <c r="KZ98" s="265"/>
      <c r="LA98" s="265"/>
      <c r="LB98" s="265"/>
      <c r="LC98" s="265"/>
      <c r="LD98" s="265"/>
      <c r="LE98" s="265"/>
      <c r="LF98" s="265"/>
      <c r="LG98" s="265"/>
      <c r="LH98" s="266"/>
      <c r="LI98" s="264"/>
      <c r="LJ98" s="265"/>
      <c r="LK98" s="265"/>
      <c r="LL98" s="265"/>
      <c r="LM98" s="266"/>
      <c r="ME98" s="180"/>
      <c r="MF98" s="181"/>
      <c r="MG98" s="199"/>
      <c r="MH98" s="199"/>
      <c r="MI98" s="199"/>
      <c r="MJ98" s="199"/>
      <c r="MK98" s="200"/>
    </row>
    <row r="99" spans="4:349" ht="5.0999999999999996" customHeight="1" x14ac:dyDescent="0.3">
      <c r="D99" s="177"/>
      <c r="E99" s="178"/>
      <c r="BG99" s="273"/>
      <c r="BH99" s="274"/>
      <c r="BI99" s="274"/>
      <c r="BJ99" s="274"/>
      <c r="BK99" s="274"/>
      <c r="BL99" s="274"/>
      <c r="BM99" s="274"/>
      <c r="BN99" s="274"/>
      <c r="BO99" s="274"/>
      <c r="BP99" s="274"/>
      <c r="BQ99" s="274"/>
      <c r="BR99" s="274"/>
      <c r="BS99" s="274"/>
      <c r="BT99" s="274"/>
      <c r="BU99" s="274"/>
      <c r="BV99" s="274"/>
      <c r="BW99" s="274"/>
      <c r="BX99" s="274"/>
      <c r="BY99" s="274"/>
      <c r="BZ99" s="274"/>
      <c r="CA99" s="274"/>
      <c r="CB99" s="274"/>
      <c r="CC99" s="274"/>
      <c r="CD99" s="274"/>
      <c r="CE99" s="274"/>
      <c r="CF99" s="274"/>
      <c r="CG99" s="274"/>
      <c r="CH99" s="274"/>
      <c r="CI99" s="274"/>
      <c r="CJ99" s="274"/>
      <c r="CK99" s="274"/>
      <c r="CL99" s="274"/>
      <c r="CM99" s="274"/>
      <c r="CN99" s="274"/>
      <c r="CO99" s="274"/>
      <c r="CP99" s="274"/>
      <c r="CQ99" s="274"/>
      <c r="CR99" s="274"/>
      <c r="CS99" s="274"/>
      <c r="CT99" s="274"/>
      <c r="CU99" s="275"/>
      <c r="CV99" s="273"/>
      <c r="CW99" s="274"/>
      <c r="CX99" s="274"/>
      <c r="CY99" s="274"/>
      <c r="CZ99" s="275"/>
      <c r="DZ99" s="299"/>
      <c r="EA99" s="299"/>
      <c r="EB99" s="299"/>
      <c r="EC99" s="299"/>
      <c r="ED99" s="299"/>
      <c r="EE99" s="299"/>
      <c r="EF99" s="299"/>
      <c r="EG99" s="299"/>
      <c r="EH99" s="299"/>
      <c r="EI99" s="299"/>
      <c r="EJ99" s="299"/>
      <c r="EK99" s="299"/>
      <c r="EL99" s="299"/>
      <c r="EM99" s="299"/>
      <c r="EN99" s="299"/>
      <c r="EO99" s="299"/>
      <c r="EP99" s="299"/>
      <c r="EQ99" s="299"/>
      <c r="ER99" s="299"/>
      <c r="ES99" s="299"/>
      <c r="ET99" s="299"/>
      <c r="EU99" s="299"/>
      <c r="EV99" s="299"/>
      <c r="EW99" s="299"/>
      <c r="EX99" s="299"/>
      <c r="EY99" s="299"/>
      <c r="EZ99" s="299"/>
      <c r="FA99" s="299"/>
      <c r="FB99" s="299"/>
      <c r="FC99" s="299"/>
      <c r="FD99" s="299"/>
      <c r="FE99" s="299"/>
      <c r="FF99" s="299"/>
      <c r="FG99" s="299"/>
      <c r="FH99" s="299"/>
      <c r="FI99" s="299"/>
      <c r="FJ99" s="299"/>
      <c r="FK99" s="299"/>
      <c r="FL99" s="299"/>
      <c r="FM99" s="299"/>
      <c r="FN99" s="299"/>
      <c r="FO99" s="299"/>
      <c r="FP99" s="299"/>
      <c r="FQ99" s="299"/>
      <c r="FR99" s="299"/>
      <c r="FY99" s="299"/>
      <c r="FZ99" s="299"/>
      <c r="GA99" s="299"/>
      <c r="GB99" s="299"/>
      <c r="GC99" s="299"/>
      <c r="GD99" s="299"/>
      <c r="GE99" s="299"/>
      <c r="GF99" s="299"/>
      <c r="GG99" s="299"/>
      <c r="GH99" s="299"/>
      <c r="GI99" s="299"/>
      <c r="GJ99" s="299"/>
      <c r="GK99" s="299"/>
      <c r="GL99" s="299"/>
      <c r="GM99" s="299"/>
      <c r="GN99" s="299"/>
      <c r="GO99" s="299"/>
      <c r="GP99" s="299"/>
      <c r="GQ99" s="299"/>
      <c r="GR99" s="299"/>
      <c r="GS99" s="299"/>
      <c r="GT99" s="299"/>
      <c r="GU99" s="299"/>
      <c r="GV99" s="299"/>
      <c r="GW99" s="299"/>
      <c r="GX99" s="299"/>
      <c r="GY99" s="299"/>
      <c r="GZ99" s="299"/>
      <c r="HA99" s="299"/>
      <c r="HB99" s="299"/>
      <c r="HC99" s="299"/>
      <c r="HD99" s="299"/>
      <c r="HE99" s="299"/>
      <c r="HF99" s="299"/>
      <c r="HG99" s="299"/>
      <c r="HH99" s="299"/>
      <c r="HI99" s="299"/>
      <c r="HJ99" s="299"/>
      <c r="HK99" s="299"/>
      <c r="HL99" s="299"/>
      <c r="HM99" s="299"/>
      <c r="HN99" s="299"/>
      <c r="HO99" s="299"/>
      <c r="HP99" s="299"/>
      <c r="HQ99" s="299"/>
      <c r="HW99" s="264"/>
      <c r="HX99" s="265"/>
      <c r="HY99" s="265"/>
      <c r="HZ99" s="265"/>
      <c r="IA99" s="265"/>
      <c r="IB99" s="265"/>
      <c r="IC99" s="265"/>
      <c r="ID99" s="265"/>
      <c r="IE99" s="265"/>
      <c r="IF99" s="265"/>
      <c r="IG99" s="265"/>
      <c r="IH99" s="265"/>
      <c r="II99" s="265"/>
      <c r="IJ99" s="265"/>
      <c r="IK99" s="265"/>
      <c r="IL99" s="265"/>
      <c r="IM99" s="265"/>
      <c r="IN99" s="265"/>
      <c r="IO99" s="265"/>
      <c r="IP99" s="265"/>
      <c r="IQ99" s="265"/>
      <c r="IR99" s="265"/>
      <c r="IS99" s="265"/>
      <c r="IT99" s="265"/>
      <c r="IU99" s="265"/>
      <c r="IV99" s="265"/>
      <c r="IW99" s="265"/>
      <c r="IX99" s="265"/>
      <c r="IY99" s="265"/>
      <c r="IZ99" s="265"/>
      <c r="JA99" s="265"/>
      <c r="JB99" s="265"/>
      <c r="JC99" s="265"/>
      <c r="JD99" s="265"/>
      <c r="JE99" s="265"/>
      <c r="JF99" s="265"/>
      <c r="JG99" s="265"/>
      <c r="JH99" s="265"/>
      <c r="JI99" s="265"/>
      <c r="JJ99" s="266"/>
      <c r="JK99" s="264"/>
      <c r="JL99" s="265"/>
      <c r="JM99" s="265"/>
      <c r="JN99" s="265"/>
      <c r="JO99" s="266"/>
      <c r="JU99" s="264"/>
      <c r="JV99" s="265"/>
      <c r="JW99" s="265"/>
      <c r="JX99" s="265"/>
      <c r="JY99" s="265"/>
      <c r="JZ99" s="265"/>
      <c r="KA99" s="265"/>
      <c r="KB99" s="265"/>
      <c r="KC99" s="265"/>
      <c r="KD99" s="265"/>
      <c r="KE99" s="265"/>
      <c r="KF99" s="265"/>
      <c r="KG99" s="265"/>
      <c r="KH99" s="265"/>
      <c r="KI99" s="265"/>
      <c r="KJ99" s="265"/>
      <c r="KK99" s="265"/>
      <c r="KL99" s="265"/>
      <c r="KM99" s="265"/>
      <c r="KN99" s="265"/>
      <c r="KO99" s="265"/>
      <c r="KP99" s="265"/>
      <c r="KQ99" s="265"/>
      <c r="KR99" s="265"/>
      <c r="KS99" s="265"/>
      <c r="KT99" s="265"/>
      <c r="KU99" s="265"/>
      <c r="KV99" s="265"/>
      <c r="KW99" s="265"/>
      <c r="KX99" s="265"/>
      <c r="KY99" s="265"/>
      <c r="KZ99" s="265"/>
      <c r="LA99" s="265"/>
      <c r="LB99" s="265"/>
      <c r="LC99" s="265"/>
      <c r="LD99" s="265"/>
      <c r="LE99" s="265"/>
      <c r="LF99" s="265"/>
      <c r="LG99" s="265"/>
      <c r="LH99" s="266"/>
      <c r="LI99" s="264"/>
      <c r="LJ99" s="265"/>
      <c r="LK99" s="265"/>
      <c r="LL99" s="265"/>
      <c r="LM99" s="266"/>
      <c r="ME99" s="180"/>
      <c r="MF99" s="181"/>
      <c r="MG99" s="199"/>
      <c r="MH99" s="199"/>
      <c r="MI99" s="199"/>
      <c r="MJ99" s="199"/>
      <c r="MK99" s="200"/>
    </row>
    <row r="100" spans="4:349" ht="5.0999999999999996" customHeight="1" x14ac:dyDescent="0.3">
      <c r="D100" s="177"/>
      <c r="E100" s="178"/>
      <c r="BG100" s="273"/>
      <c r="BH100" s="274"/>
      <c r="BI100" s="274"/>
      <c r="BJ100" s="274"/>
      <c r="BK100" s="274"/>
      <c r="BL100" s="274"/>
      <c r="BM100" s="274"/>
      <c r="BN100" s="274"/>
      <c r="BO100" s="274"/>
      <c r="BP100" s="274"/>
      <c r="BQ100" s="274"/>
      <c r="BR100" s="274"/>
      <c r="BS100" s="274"/>
      <c r="BT100" s="274"/>
      <c r="BU100" s="274"/>
      <c r="BV100" s="274"/>
      <c r="BW100" s="274"/>
      <c r="BX100" s="274"/>
      <c r="BY100" s="274"/>
      <c r="BZ100" s="274"/>
      <c r="CA100" s="274"/>
      <c r="CB100" s="274"/>
      <c r="CC100" s="274"/>
      <c r="CD100" s="274"/>
      <c r="CE100" s="274"/>
      <c r="CF100" s="274"/>
      <c r="CG100" s="274"/>
      <c r="CH100" s="274"/>
      <c r="CI100" s="274"/>
      <c r="CJ100" s="274"/>
      <c r="CK100" s="274"/>
      <c r="CL100" s="274"/>
      <c r="CM100" s="274"/>
      <c r="CN100" s="274"/>
      <c r="CO100" s="274"/>
      <c r="CP100" s="274"/>
      <c r="CQ100" s="274"/>
      <c r="CR100" s="274"/>
      <c r="CS100" s="274"/>
      <c r="CT100" s="274"/>
      <c r="CU100" s="275"/>
      <c r="CV100" s="273"/>
      <c r="CW100" s="274"/>
      <c r="CX100" s="274"/>
      <c r="CY100" s="274"/>
      <c r="CZ100" s="275"/>
      <c r="DZ100" s="299"/>
      <c r="EA100" s="299"/>
      <c r="EB100" s="299"/>
      <c r="EC100" s="299"/>
      <c r="ED100" s="299"/>
      <c r="EE100" s="299"/>
      <c r="EF100" s="299"/>
      <c r="EG100" s="299"/>
      <c r="EH100" s="299"/>
      <c r="EI100" s="299"/>
      <c r="EJ100" s="299"/>
      <c r="EK100" s="299"/>
      <c r="EL100" s="299"/>
      <c r="EM100" s="299"/>
      <c r="EN100" s="299"/>
      <c r="EO100" s="299"/>
      <c r="EP100" s="299"/>
      <c r="EQ100" s="299"/>
      <c r="ER100" s="299"/>
      <c r="ES100" s="299"/>
      <c r="ET100" s="299"/>
      <c r="EU100" s="299"/>
      <c r="EV100" s="299"/>
      <c r="EW100" s="299"/>
      <c r="EX100" s="299"/>
      <c r="EY100" s="299"/>
      <c r="EZ100" s="299"/>
      <c r="FA100" s="299"/>
      <c r="FB100" s="299"/>
      <c r="FC100" s="299"/>
      <c r="FD100" s="299"/>
      <c r="FE100" s="299"/>
      <c r="FF100" s="299"/>
      <c r="FG100" s="299"/>
      <c r="FH100" s="299"/>
      <c r="FI100" s="299"/>
      <c r="FJ100" s="299"/>
      <c r="FK100" s="299"/>
      <c r="FL100" s="299"/>
      <c r="FM100" s="299"/>
      <c r="FN100" s="299"/>
      <c r="FO100" s="299"/>
      <c r="FP100" s="299"/>
      <c r="FQ100" s="299"/>
      <c r="FR100" s="299"/>
      <c r="FY100" s="299"/>
      <c r="FZ100" s="299"/>
      <c r="GA100" s="299"/>
      <c r="GB100" s="299"/>
      <c r="GC100" s="299"/>
      <c r="GD100" s="299"/>
      <c r="GE100" s="299"/>
      <c r="GF100" s="299"/>
      <c r="GG100" s="299"/>
      <c r="GH100" s="299"/>
      <c r="GI100" s="299"/>
      <c r="GJ100" s="299"/>
      <c r="GK100" s="299"/>
      <c r="GL100" s="299"/>
      <c r="GM100" s="299"/>
      <c r="GN100" s="299"/>
      <c r="GO100" s="299"/>
      <c r="GP100" s="299"/>
      <c r="GQ100" s="299"/>
      <c r="GR100" s="299"/>
      <c r="GS100" s="299"/>
      <c r="GT100" s="299"/>
      <c r="GU100" s="299"/>
      <c r="GV100" s="299"/>
      <c r="GW100" s="299"/>
      <c r="GX100" s="299"/>
      <c r="GY100" s="299"/>
      <c r="GZ100" s="299"/>
      <c r="HA100" s="299"/>
      <c r="HB100" s="299"/>
      <c r="HC100" s="299"/>
      <c r="HD100" s="299"/>
      <c r="HE100" s="299"/>
      <c r="HF100" s="299"/>
      <c r="HG100" s="299"/>
      <c r="HH100" s="299"/>
      <c r="HI100" s="299"/>
      <c r="HJ100" s="299"/>
      <c r="HK100" s="299"/>
      <c r="HL100" s="299"/>
      <c r="HM100" s="299"/>
      <c r="HN100" s="299"/>
      <c r="HO100" s="299"/>
      <c r="HP100" s="299"/>
      <c r="HQ100" s="299"/>
      <c r="HW100" s="264"/>
      <c r="HX100" s="265"/>
      <c r="HY100" s="265"/>
      <c r="HZ100" s="265"/>
      <c r="IA100" s="265"/>
      <c r="IB100" s="265"/>
      <c r="IC100" s="265"/>
      <c r="ID100" s="265"/>
      <c r="IE100" s="265"/>
      <c r="IF100" s="265"/>
      <c r="IG100" s="265"/>
      <c r="IH100" s="265"/>
      <c r="II100" s="265"/>
      <c r="IJ100" s="265"/>
      <c r="IK100" s="265"/>
      <c r="IL100" s="265"/>
      <c r="IM100" s="265"/>
      <c r="IN100" s="265"/>
      <c r="IO100" s="265"/>
      <c r="IP100" s="265"/>
      <c r="IQ100" s="265"/>
      <c r="IR100" s="265"/>
      <c r="IS100" s="265"/>
      <c r="IT100" s="265"/>
      <c r="IU100" s="265"/>
      <c r="IV100" s="265"/>
      <c r="IW100" s="265"/>
      <c r="IX100" s="265"/>
      <c r="IY100" s="265"/>
      <c r="IZ100" s="265"/>
      <c r="JA100" s="265"/>
      <c r="JB100" s="265"/>
      <c r="JC100" s="265"/>
      <c r="JD100" s="265"/>
      <c r="JE100" s="265"/>
      <c r="JF100" s="265"/>
      <c r="JG100" s="265"/>
      <c r="JH100" s="265"/>
      <c r="JI100" s="265"/>
      <c r="JJ100" s="266"/>
      <c r="JK100" s="264"/>
      <c r="JL100" s="265"/>
      <c r="JM100" s="265"/>
      <c r="JN100" s="265"/>
      <c r="JO100" s="266"/>
      <c r="JU100" s="264"/>
      <c r="JV100" s="265"/>
      <c r="JW100" s="265"/>
      <c r="JX100" s="265"/>
      <c r="JY100" s="265"/>
      <c r="JZ100" s="265"/>
      <c r="KA100" s="265"/>
      <c r="KB100" s="265"/>
      <c r="KC100" s="265"/>
      <c r="KD100" s="265"/>
      <c r="KE100" s="265"/>
      <c r="KF100" s="265"/>
      <c r="KG100" s="265"/>
      <c r="KH100" s="265"/>
      <c r="KI100" s="265"/>
      <c r="KJ100" s="265"/>
      <c r="KK100" s="265"/>
      <c r="KL100" s="265"/>
      <c r="KM100" s="265"/>
      <c r="KN100" s="265"/>
      <c r="KO100" s="265"/>
      <c r="KP100" s="265"/>
      <c r="KQ100" s="265"/>
      <c r="KR100" s="265"/>
      <c r="KS100" s="265"/>
      <c r="KT100" s="265"/>
      <c r="KU100" s="265"/>
      <c r="KV100" s="265"/>
      <c r="KW100" s="265"/>
      <c r="KX100" s="265"/>
      <c r="KY100" s="265"/>
      <c r="KZ100" s="265"/>
      <c r="LA100" s="265"/>
      <c r="LB100" s="265"/>
      <c r="LC100" s="265"/>
      <c r="LD100" s="265"/>
      <c r="LE100" s="265"/>
      <c r="LF100" s="265"/>
      <c r="LG100" s="265"/>
      <c r="LH100" s="266"/>
      <c r="LI100" s="264"/>
      <c r="LJ100" s="265"/>
      <c r="LK100" s="265"/>
      <c r="LL100" s="265"/>
      <c r="LM100" s="266"/>
      <c r="ME100" s="180"/>
      <c r="MF100" s="181"/>
      <c r="MG100" s="199"/>
      <c r="MH100" s="199"/>
      <c r="MI100" s="199"/>
      <c r="MJ100" s="199"/>
      <c r="MK100" s="200"/>
    </row>
    <row r="101" spans="4:349" ht="5.0999999999999996" customHeight="1" x14ac:dyDescent="0.3">
      <c r="D101" s="177"/>
      <c r="E101" s="178"/>
      <c r="BG101" s="273"/>
      <c r="BH101" s="274"/>
      <c r="BI101" s="274"/>
      <c r="BJ101" s="274"/>
      <c r="BK101" s="274"/>
      <c r="BL101" s="274"/>
      <c r="BM101" s="274"/>
      <c r="BN101" s="274"/>
      <c r="BO101" s="274"/>
      <c r="BP101" s="274"/>
      <c r="BQ101" s="274"/>
      <c r="BR101" s="274"/>
      <c r="BS101" s="274"/>
      <c r="BT101" s="274"/>
      <c r="BU101" s="274"/>
      <c r="BV101" s="274"/>
      <c r="BW101" s="274"/>
      <c r="BX101" s="274"/>
      <c r="BY101" s="274"/>
      <c r="BZ101" s="274"/>
      <c r="CA101" s="274"/>
      <c r="CB101" s="274"/>
      <c r="CC101" s="274"/>
      <c r="CD101" s="274"/>
      <c r="CE101" s="274"/>
      <c r="CF101" s="274"/>
      <c r="CG101" s="274"/>
      <c r="CH101" s="274"/>
      <c r="CI101" s="274"/>
      <c r="CJ101" s="274"/>
      <c r="CK101" s="274"/>
      <c r="CL101" s="274"/>
      <c r="CM101" s="274"/>
      <c r="CN101" s="274"/>
      <c r="CO101" s="274"/>
      <c r="CP101" s="274"/>
      <c r="CQ101" s="274"/>
      <c r="CR101" s="274"/>
      <c r="CS101" s="274"/>
      <c r="CT101" s="274"/>
      <c r="CU101" s="275"/>
      <c r="CV101" s="273"/>
      <c r="CW101" s="274"/>
      <c r="CX101" s="274"/>
      <c r="CY101" s="274"/>
      <c r="CZ101" s="275"/>
      <c r="DZ101" s="299"/>
      <c r="EA101" s="299"/>
      <c r="EB101" s="299"/>
      <c r="EC101" s="299"/>
      <c r="ED101" s="299"/>
      <c r="EE101" s="299"/>
      <c r="EF101" s="299"/>
      <c r="EG101" s="299"/>
      <c r="EH101" s="299"/>
      <c r="EI101" s="299"/>
      <c r="EJ101" s="299"/>
      <c r="EK101" s="299"/>
      <c r="EL101" s="299"/>
      <c r="EM101" s="299"/>
      <c r="EN101" s="299"/>
      <c r="EO101" s="299"/>
      <c r="EP101" s="299"/>
      <c r="EQ101" s="299"/>
      <c r="ER101" s="299"/>
      <c r="ES101" s="299"/>
      <c r="ET101" s="299"/>
      <c r="EU101" s="299"/>
      <c r="EV101" s="299"/>
      <c r="EW101" s="299"/>
      <c r="EX101" s="299"/>
      <c r="EY101" s="299"/>
      <c r="EZ101" s="299"/>
      <c r="FA101" s="299"/>
      <c r="FB101" s="299"/>
      <c r="FC101" s="299"/>
      <c r="FD101" s="299"/>
      <c r="FE101" s="299"/>
      <c r="FF101" s="299"/>
      <c r="FG101" s="299"/>
      <c r="FH101" s="299"/>
      <c r="FI101" s="299"/>
      <c r="FJ101" s="299"/>
      <c r="FK101" s="299"/>
      <c r="FL101" s="299"/>
      <c r="FM101" s="299"/>
      <c r="FN101" s="299"/>
      <c r="FO101" s="299"/>
      <c r="FP101" s="299"/>
      <c r="FQ101" s="299"/>
      <c r="FR101" s="299"/>
      <c r="FY101" s="299"/>
      <c r="FZ101" s="299"/>
      <c r="GA101" s="299"/>
      <c r="GB101" s="299"/>
      <c r="GC101" s="299"/>
      <c r="GD101" s="299"/>
      <c r="GE101" s="299"/>
      <c r="GF101" s="299"/>
      <c r="GG101" s="299"/>
      <c r="GH101" s="299"/>
      <c r="GI101" s="299"/>
      <c r="GJ101" s="299"/>
      <c r="GK101" s="299"/>
      <c r="GL101" s="299"/>
      <c r="GM101" s="299"/>
      <c r="GN101" s="299"/>
      <c r="GO101" s="299"/>
      <c r="GP101" s="299"/>
      <c r="GQ101" s="299"/>
      <c r="GR101" s="299"/>
      <c r="GS101" s="299"/>
      <c r="GT101" s="299"/>
      <c r="GU101" s="299"/>
      <c r="GV101" s="299"/>
      <c r="GW101" s="299"/>
      <c r="GX101" s="299"/>
      <c r="GY101" s="299"/>
      <c r="GZ101" s="299"/>
      <c r="HA101" s="299"/>
      <c r="HB101" s="299"/>
      <c r="HC101" s="299"/>
      <c r="HD101" s="299"/>
      <c r="HE101" s="299"/>
      <c r="HF101" s="299"/>
      <c r="HG101" s="299"/>
      <c r="HH101" s="299"/>
      <c r="HI101" s="299"/>
      <c r="HJ101" s="299"/>
      <c r="HK101" s="299"/>
      <c r="HL101" s="299"/>
      <c r="HM101" s="299"/>
      <c r="HN101" s="299"/>
      <c r="HO101" s="299"/>
      <c r="HP101" s="299"/>
      <c r="HQ101" s="299"/>
      <c r="HW101" s="264"/>
      <c r="HX101" s="265"/>
      <c r="HY101" s="265"/>
      <c r="HZ101" s="265"/>
      <c r="IA101" s="265"/>
      <c r="IB101" s="265"/>
      <c r="IC101" s="265"/>
      <c r="ID101" s="265"/>
      <c r="IE101" s="265"/>
      <c r="IF101" s="265"/>
      <c r="IG101" s="265"/>
      <c r="IH101" s="265"/>
      <c r="II101" s="265"/>
      <c r="IJ101" s="265"/>
      <c r="IK101" s="265"/>
      <c r="IL101" s="265"/>
      <c r="IM101" s="265"/>
      <c r="IN101" s="265"/>
      <c r="IO101" s="265"/>
      <c r="IP101" s="265"/>
      <c r="IQ101" s="265"/>
      <c r="IR101" s="265"/>
      <c r="IS101" s="265"/>
      <c r="IT101" s="265"/>
      <c r="IU101" s="265"/>
      <c r="IV101" s="265"/>
      <c r="IW101" s="265"/>
      <c r="IX101" s="265"/>
      <c r="IY101" s="265"/>
      <c r="IZ101" s="265"/>
      <c r="JA101" s="265"/>
      <c r="JB101" s="265"/>
      <c r="JC101" s="265"/>
      <c r="JD101" s="265"/>
      <c r="JE101" s="265"/>
      <c r="JF101" s="265"/>
      <c r="JG101" s="265"/>
      <c r="JH101" s="265"/>
      <c r="JI101" s="265"/>
      <c r="JJ101" s="266"/>
      <c r="JK101" s="264"/>
      <c r="JL101" s="265"/>
      <c r="JM101" s="265"/>
      <c r="JN101" s="265"/>
      <c r="JO101" s="266"/>
      <c r="JU101" s="264"/>
      <c r="JV101" s="265"/>
      <c r="JW101" s="265"/>
      <c r="JX101" s="265"/>
      <c r="JY101" s="265"/>
      <c r="JZ101" s="265"/>
      <c r="KA101" s="265"/>
      <c r="KB101" s="265"/>
      <c r="KC101" s="265"/>
      <c r="KD101" s="265"/>
      <c r="KE101" s="265"/>
      <c r="KF101" s="265"/>
      <c r="KG101" s="265"/>
      <c r="KH101" s="265"/>
      <c r="KI101" s="265"/>
      <c r="KJ101" s="265"/>
      <c r="KK101" s="265"/>
      <c r="KL101" s="265"/>
      <c r="KM101" s="265"/>
      <c r="KN101" s="265"/>
      <c r="KO101" s="265"/>
      <c r="KP101" s="265"/>
      <c r="KQ101" s="265"/>
      <c r="KR101" s="265"/>
      <c r="KS101" s="265"/>
      <c r="KT101" s="265"/>
      <c r="KU101" s="265"/>
      <c r="KV101" s="265"/>
      <c r="KW101" s="265"/>
      <c r="KX101" s="265"/>
      <c r="KY101" s="265"/>
      <c r="KZ101" s="265"/>
      <c r="LA101" s="265"/>
      <c r="LB101" s="265"/>
      <c r="LC101" s="265"/>
      <c r="LD101" s="265"/>
      <c r="LE101" s="265"/>
      <c r="LF101" s="265"/>
      <c r="LG101" s="265"/>
      <c r="LH101" s="266"/>
      <c r="LI101" s="264"/>
      <c r="LJ101" s="265"/>
      <c r="LK101" s="265"/>
      <c r="LL101" s="265"/>
      <c r="LM101" s="266"/>
      <c r="ME101" s="180"/>
      <c r="MF101" s="181"/>
      <c r="MG101" s="199"/>
      <c r="MH101" s="199"/>
      <c r="MI101" s="199"/>
      <c r="MJ101" s="199"/>
      <c r="MK101" s="200"/>
    </row>
    <row r="102" spans="4:349" ht="5.0999999999999996" customHeight="1" x14ac:dyDescent="0.3">
      <c r="D102" s="177"/>
      <c r="E102" s="178"/>
      <c r="BG102" s="273"/>
      <c r="BH102" s="274"/>
      <c r="BI102" s="274"/>
      <c r="BJ102" s="274"/>
      <c r="BK102" s="274"/>
      <c r="BL102" s="274"/>
      <c r="BM102" s="274"/>
      <c r="BN102" s="274"/>
      <c r="BO102" s="274"/>
      <c r="BP102" s="274"/>
      <c r="BQ102" s="274"/>
      <c r="BR102" s="274"/>
      <c r="BS102" s="274"/>
      <c r="BT102" s="274"/>
      <c r="BU102" s="274"/>
      <c r="BV102" s="274"/>
      <c r="BW102" s="274"/>
      <c r="BX102" s="274"/>
      <c r="BY102" s="274"/>
      <c r="BZ102" s="274"/>
      <c r="CA102" s="274"/>
      <c r="CB102" s="274"/>
      <c r="CC102" s="274"/>
      <c r="CD102" s="274"/>
      <c r="CE102" s="274"/>
      <c r="CF102" s="274"/>
      <c r="CG102" s="274"/>
      <c r="CH102" s="274"/>
      <c r="CI102" s="274"/>
      <c r="CJ102" s="274"/>
      <c r="CK102" s="274"/>
      <c r="CL102" s="274"/>
      <c r="CM102" s="274"/>
      <c r="CN102" s="274"/>
      <c r="CO102" s="274"/>
      <c r="CP102" s="274"/>
      <c r="CQ102" s="274"/>
      <c r="CR102" s="274"/>
      <c r="CS102" s="274"/>
      <c r="CT102" s="274"/>
      <c r="CU102" s="275"/>
      <c r="CV102" s="273"/>
      <c r="CW102" s="274"/>
      <c r="CX102" s="274"/>
      <c r="CY102" s="274"/>
      <c r="CZ102" s="275"/>
      <c r="DZ102" s="299"/>
      <c r="EA102" s="299"/>
      <c r="EB102" s="299"/>
      <c r="EC102" s="299"/>
      <c r="ED102" s="299"/>
      <c r="EE102" s="299"/>
      <c r="EF102" s="299"/>
      <c r="EG102" s="299"/>
      <c r="EH102" s="299"/>
      <c r="EI102" s="299"/>
      <c r="EJ102" s="299"/>
      <c r="EK102" s="299"/>
      <c r="EL102" s="299"/>
      <c r="EM102" s="299"/>
      <c r="EN102" s="299"/>
      <c r="EO102" s="299"/>
      <c r="EP102" s="299"/>
      <c r="EQ102" s="299"/>
      <c r="ER102" s="299"/>
      <c r="ES102" s="299"/>
      <c r="ET102" s="299"/>
      <c r="EU102" s="299"/>
      <c r="EV102" s="299"/>
      <c r="EW102" s="299"/>
      <c r="EX102" s="299"/>
      <c r="EY102" s="299"/>
      <c r="EZ102" s="299"/>
      <c r="FA102" s="299"/>
      <c r="FB102" s="299"/>
      <c r="FC102" s="299"/>
      <c r="FD102" s="299"/>
      <c r="FE102" s="299"/>
      <c r="FF102" s="299"/>
      <c r="FG102" s="299"/>
      <c r="FH102" s="299"/>
      <c r="FI102" s="299"/>
      <c r="FJ102" s="299"/>
      <c r="FK102" s="299"/>
      <c r="FL102" s="299"/>
      <c r="FM102" s="299"/>
      <c r="FN102" s="299"/>
      <c r="FO102" s="299"/>
      <c r="FP102" s="299"/>
      <c r="FQ102" s="299"/>
      <c r="FR102" s="299"/>
      <c r="FY102" s="299"/>
      <c r="FZ102" s="299"/>
      <c r="GA102" s="299"/>
      <c r="GB102" s="299"/>
      <c r="GC102" s="299"/>
      <c r="GD102" s="299"/>
      <c r="GE102" s="299"/>
      <c r="GF102" s="299"/>
      <c r="GG102" s="299"/>
      <c r="GH102" s="299"/>
      <c r="GI102" s="299"/>
      <c r="GJ102" s="299"/>
      <c r="GK102" s="299"/>
      <c r="GL102" s="299"/>
      <c r="GM102" s="299"/>
      <c r="GN102" s="299"/>
      <c r="GO102" s="299"/>
      <c r="GP102" s="299"/>
      <c r="GQ102" s="299"/>
      <c r="GR102" s="299"/>
      <c r="GS102" s="299"/>
      <c r="GT102" s="299"/>
      <c r="GU102" s="299"/>
      <c r="GV102" s="299"/>
      <c r="GW102" s="299"/>
      <c r="GX102" s="299"/>
      <c r="GY102" s="299"/>
      <c r="GZ102" s="299"/>
      <c r="HA102" s="299"/>
      <c r="HB102" s="299"/>
      <c r="HC102" s="299"/>
      <c r="HD102" s="299"/>
      <c r="HE102" s="299"/>
      <c r="HF102" s="299"/>
      <c r="HG102" s="299"/>
      <c r="HH102" s="299"/>
      <c r="HI102" s="299"/>
      <c r="HJ102" s="299"/>
      <c r="HK102" s="299"/>
      <c r="HL102" s="299"/>
      <c r="HM102" s="299"/>
      <c r="HN102" s="299"/>
      <c r="HO102" s="299"/>
      <c r="HP102" s="299"/>
      <c r="HQ102" s="299"/>
      <c r="HW102" s="264"/>
      <c r="HX102" s="265"/>
      <c r="HY102" s="265"/>
      <c r="HZ102" s="265"/>
      <c r="IA102" s="265"/>
      <c r="IB102" s="265"/>
      <c r="IC102" s="265"/>
      <c r="ID102" s="265"/>
      <c r="IE102" s="265"/>
      <c r="IF102" s="265"/>
      <c r="IG102" s="265"/>
      <c r="IH102" s="265"/>
      <c r="II102" s="265"/>
      <c r="IJ102" s="265"/>
      <c r="IK102" s="265"/>
      <c r="IL102" s="265"/>
      <c r="IM102" s="265"/>
      <c r="IN102" s="265"/>
      <c r="IO102" s="265"/>
      <c r="IP102" s="265"/>
      <c r="IQ102" s="265"/>
      <c r="IR102" s="265"/>
      <c r="IS102" s="265"/>
      <c r="IT102" s="265"/>
      <c r="IU102" s="265"/>
      <c r="IV102" s="265"/>
      <c r="IW102" s="265"/>
      <c r="IX102" s="265"/>
      <c r="IY102" s="265"/>
      <c r="IZ102" s="265"/>
      <c r="JA102" s="265"/>
      <c r="JB102" s="265"/>
      <c r="JC102" s="265"/>
      <c r="JD102" s="265"/>
      <c r="JE102" s="265"/>
      <c r="JF102" s="265"/>
      <c r="JG102" s="265"/>
      <c r="JH102" s="265"/>
      <c r="JI102" s="265"/>
      <c r="JJ102" s="266"/>
      <c r="JK102" s="264"/>
      <c r="JL102" s="265"/>
      <c r="JM102" s="265"/>
      <c r="JN102" s="265"/>
      <c r="JO102" s="266"/>
      <c r="JU102" s="264"/>
      <c r="JV102" s="265"/>
      <c r="JW102" s="265"/>
      <c r="JX102" s="265"/>
      <c r="JY102" s="265"/>
      <c r="JZ102" s="265"/>
      <c r="KA102" s="265"/>
      <c r="KB102" s="265"/>
      <c r="KC102" s="265"/>
      <c r="KD102" s="265"/>
      <c r="KE102" s="265"/>
      <c r="KF102" s="265"/>
      <c r="KG102" s="265"/>
      <c r="KH102" s="265"/>
      <c r="KI102" s="265"/>
      <c r="KJ102" s="265"/>
      <c r="KK102" s="265"/>
      <c r="KL102" s="265"/>
      <c r="KM102" s="265"/>
      <c r="KN102" s="265"/>
      <c r="KO102" s="265"/>
      <c r="KP102" s="265"/>
      <c r="KQ102" s="265"/>
      <c r="KR102" s="265"/>
      <c r="KS102" s="265"/>
      <c r="KT102" s="265"/>
      <c r="KU102" s="265"/>
      <c r="KV102" s="265"/>
      <c r="KW102" s="265"/>
      <c r="KX102" s="265"/>
      <c r="KY102" s="265"/>
      <c r="KZ102" s="265"/>
      <c r="LA102" s="265"/>
      <c r="LB102" s="265"/>
      <c r="LC102" s="265"/>
      <c r="LD102" s="265"/>
      <c r="LE102" s="265"/>
      <c r="LF102" s="265"/>
      <c r="LG102" s="265"/>
      <c r="LH102" s="266"/>
      <c r="LI102" s="264"/>
      <c r="LJ102" s="265"/>
      <c r="LK102" s="265"/>
      <c r="LL102" s="265"/>
      <c r="LM102" s="266"/>
      <c r="ME102" s="180"/>
      <c r="MF102" s="181"/>
      <c r="MG102" s="199"/>
      <c r="MH102" s="199"/>
      <c r="MI102" s="199"/>
      <c r="MJ102" s="199"/>
      <c r="MK102" s="200"/>
    </row>
    <row r="103" spans="4:349" ht="5.0999999999999996" customHeight="1" x14ac:dyDescent="0.3">
      <c r="D103" s="177"/>
      <c r="E103" s="178"/>
      <c r="BG103" s="273"/>
      <c r="BH103" s="274"/>
      <c r="BI103" s="274"/>
      <c r="BJ103" s="274"/>
      <c r="BK103" s="274"/>
      <c r="BL103" s="274"/>
      <c r="BM103" s="274"/>
      <c r="BN103" s="274"/>
      <c r="BO103" s="274"/>
      <c r="BP103" s="274"/>
      <c r="BQ103" s="274"/>
      <c r="BR103" s="274"/>
      <c r="BS103" s="274"/>
      <c r="BT103" s="274"/>
      <c r="BU103" s="274"/>
      <c r="BV103" s="274"/>
      <c r="BW103" s="274"/>
      <c r="BX103" s="274"/>
      <c r="BY103" s="274"/>
      <c r="BZ103" s="274"/>
      <c r="CA103" s="274"/>
      <c r="CB103" s="274"/>
      <c r="CC103" s="274"/>
      <c r="CD103" s="274"/>
      <c r="CE103" s="274"/>
      <c r="CF103" s="274"/>
      <c r="CG103" s="274"/>
      <c r="CH103" s="274"/>
      <c r="CI103" s="274"/>
      <c r="CJ103" s="274"/>
      <c r="CK103" s="274"/>
      <c r="CL103" s="274"/>
      <c r="CM103" s="274"/>
      <c r="CN103" s="274"/>
      <c r="CO103" s="274"/>
      <c r="CP103" s="274"/>
      <c r="CQ103" s="274"/>
      <c r="CR103" s="274"/>
      <c r="CS103" s="274"/>
      <c r="CT103" s="274"/>
      <c r="CU103" s="275"/>
      <c r="CV103" s="273"/>
      <c r="CW103" s="274"/>
      <c r="CX103" s="274"/>
      <c r="CY103" s="274"/>
      <c r="CZ103" s="275"/>
      <c r="DZ103" s="299"/>
      <c r="EA103" s="299"/>
      <c r="EB103" s="299"/>
      <c r="EC103" s="299"/>
      <c r="ED103" s="299"/>
      <c r="EE103" s="299"/>
      <c r="EF103" s="299"/>
      <c r="EG103" s="299"/>
      <c r="EH103" s="299"/>
      <c r="EI103" s="299"/>
      <c r="EJ103" s="299"/>
      <c r="EK103" s="299"/>
      <c r="EL103" s="299"/>
      <c r="EM103" s="299"/>
      <c r="EN103" s="299"/>
      <c r="EO103" s="299"/>
      <c r="EP103" s="299"/>
      <c r="EQ103" s="299"/>
      <c r="ER103" s="299"/>
      <c r="ES103" s="299"/>
      <c r="ET103" s="299"/>
      <c r="EU103" s="299"/>
      <c r="EV103" s="299"/>
      <c r="EW103" s="299"/>
      <c r="EX103" s="299"/>
      <c r="EY103" s="299"/>
      <c r="EZ103" s="299"/>
      <c r="FA103" s="299"/>
      <c r="FB103" s="299"/>
      <c r="FC103" s="299"/>
      <c r="FD103" s="299"/>
      <c r="FE103" s="299"/>
      <c r="FF103" s="299"/>
      <c r="FG103" s="299"/>
      <c r="FH103" s="299"/>
      <c r="FI103" s="299"/>
      <c r="FJ103" s="299"/>
      <c r="FK103" s="299"/>
      <c r="FL103" s="299"/>
      <c r="FM103" s="299"/>
      <c r="FN103" s="299"/>
      <c r="FO103" s="299"/>
      <c r="FP103" s="299"/>
      <c r="FQ103" s="299"/>
      <c r="FR103" s="299"/>
      <c r="FY103" s="299"/>
      <c r="FZ103" s="299"/>
      <c r="GA103" s="299"/>
      <c r="GB103" s="299"/>
      <c r="GC103" s="299"/>
      <c r="GD103" s="299"/>
      <c r="GE103" s="299"/>
      <c r="GF103" s="299"/>
      <c r="GG103" s="299"/>
      <c r="GH103" s="299"/>
      <c r="GI103" s="299"/>
      <c r="GJ103" s="299"/>
      <c r="GK103" s="299"/>
      <c r="GL103" s="299"/>
      <c r="GM103" s="299"/>
      <c r="GN103" s="299"/>
      <c r="GO103" s="299"/>
      <c r="GP103" s="299"/>
      <c r="GQ103" s="299"/>
      <c r="GR103" s="299"/>
      <c r="GS103" s="299"/>
      <c r="GT103" s="299"/>
      <c r="GU103" s="299"/>
      <c r="GV103" s="299"/>
      <c r="GW103" s="299"/>
      <c r="GX103" s="299"/>
      <c r="GY103" s="299"/>
      <c r="GZ103" s="299"/>
      <c r="HA103" s="299"/>
      <c r="HB103" s="299"/>
      <c r="HC103" s="299"/>
      <c r="HD103" s="299"/>
      <c r="HE103" s="299"/>
      <c r="HF103" s="299"/>
      <c r="HG103" s="299"/>
      <c r="HH103" s="299"/>
      <c r="HI103" s="299"/>
      <c r="HJ103" s="299"/>
      <c r="HK103" s="299"/>
      <c r="HL103" s="299"/>
      <c r="HM103" s="299"/>
      <c r="HN103" s="299"/>
      <c r="HO103" s="299"/>
      <c r="HP103" s="299"/>
      <c r="HQ103" s="299"/>
      <c r="HW103" s="264"/>
      <c r="HX103" s="265"/>
      <c r="HY103" s="265"/>
      <c r="HZ103" s="265"/>
      <c r="IA103" s="265"/>
      <c r="IB103" s="265"/>
      <c r="IC103" s="265"/>
      <c r="ID103" s="265"/>
      <c r="IE103" s="265"/>
      <c r="IF103" s="265"/>
      <c r="IG103" s="265"/>
      <c r="IH103" s="265"/>
      <c r="II103" s="265"/>
      <c r="IJ103" s="265"/>
      <c r="IK103" s="265"/>
      <c r="IL103" s="265"/>
      <c r="IM103" s="265"/>
      <c r="IN103" s="265"/>
      <c r="IO103" s="265"/>
      <c r="IP103" s="265"/>
      <c r="IQ103" s="265"/>
      <c r="IR103" s="265"/>
      <c r="IS103" s="265"/>
      <c r="IT103" s="265"/>
      <c r="IU103" s="265"/>
      <c r="IV103" s="265"/>
      <c r="IW103" s="265"/>
      <c r="IX103" s="265"/>
      <c r="IY103" s="265"/>
      <c r="IZ103" s="265"/>
      <c r="JA103" s="265"/>
      <c r="JB103" s="265"/>
      <c r="JC103" s="265"/>
      <c r="JD103" s="265"/>
      <c r="JE103" s="265"/>
      <c r="JF103" s="265"/>
      <c r="JG103" s="265"/>
      <c r="JH103" s="265"/>
      <c r="JI103" s="265"/>
      <c r="JJ103" s="266"/>
      <c r="JK103" s="264"/>
      <c r="JL103" s="265"/>
      <c r="JM103" s="265"/>
      <c r="JN103" s="265"/>
      <c r="JO103" s="266"/>
      <c r="JU103" s="264"/>
      <c r="JV103" s="265"/>
      <c r="JW103" s="265"/>
      <c r="JX103" s="265"/>
      <c r="JY103" s="265"/>
      <c r="JZ103" s="265"/>
      <c r="KA103" s="265"/>
      <c r="KB103" s="265"/>
      <c r="KC103" s="265"/>
      <c r="KD103" s="265"/>
      <c r="KE103" s="265"/>
      <c r="KF103" s="265"/>
      <c r="KG103" s="265"/>
      <c r="KH103" s="265"/>
      <c r="KI103" s="265"/>
      <c r="KJ103" s="265"/>
      <c r="KK103" s="265"/>
      <c r="KL103" s="265"/>
      <c r="KM103" s="265"/>
      <c r="KN103" s="265"/>
      <c r="KO103" s="265"/>
      <c r="KP103" s="265"/>
      <c r="KQ103" s="265"/>
      <c r="KR103" s="265"/>
      <c r="KS103" s="265"/>
      <c r="KT103" s="265"/>
      <c r="KU103" s="265"/>
      <c r="KV103" s="265"/>
      <c r="KW103" s="265"/>
      <c r="KX103" s="265"/>
      <c r="KY103" s="265"/>
      <c r="KZ103" s="265"/>
      <c r="LA103" s="265"/>
      <c r="LB103" s="265"/>
      <c r="LC103" s="265"/>
      <c r="LD103" s="265"/>
      <c r="LE103" s="265"/>
      <c r="LF103" s="265"/>
      <c r="LG103" s="265"/>
      <c r="LH103" s="266"/>
      <c r="LI103" s="264"/>
      <c r="LJ103" s="265"/>
      <c r="LK103" s="265"/>
      <c r="LL103" s="265"/>
      <c r="LM103" s="266"/>
      <c r="ME103" s="180"/>
      <c r="MF103" s="181"/>
      <c r="MG103" s="199"/>
      <c r="MH103" s="199"/>
      <c r="MI103" s="199"/>
      <c r="MJ103" s="199"/>
      <c r="MK103" s="200"/>
    </row>
    <row r="104" spans="4:349" ht="5.0999999999999996" customHeight="1" x14ac:dyDescent="0.3">
      <c r="D104" s="177"/>
      <c r="E104" s="178"/>
      <c r="BG104" s="273"/>
      <c r="BH104" s="274"/>
      <c r="BI104" s="274"/>
      <c r="BJ104" s="274"/>
      <c r="BK104" s="274"/>
      <c r="BL104" s="274"/>
      <c r="BM104" s="274"/>
      <c r="BN104" s="274"/>
      <c r="BO104" s="274"/>
      <c r="BP104" s="274"/>
      <c r="BQ104" s="274"/>
      <c r="BR104" s="274"/>
      <c r="BS104" s="274"/>
      <c r="BT104" s="274"/>
      <c r="BU104" s="274"/>
      <c r="BV104" s="274"/>
      <c r="BW104" s="274"/>
      <c r="BX104" s="274"/>
      <c r="BY104" s="274"/>
      <c r="BZ104" s="274"/>
      <c r="CA104" s="274"/>
      <c r="CB104" s="274"/>
      <c r="CC104" s="274"/>
      <c r="CD104" s="274"/>
      <c r="CE104" s="274"/>
      <c r="CF104" s="274"/>
      <c r="CG104" s="274"/>
      <c r="CH104" s="274"/>
      <c r="CI104" s="274"/>
      <c r="CJ104" s="274"/>
      <c r="CK104" s="274"/>
      <c r="CL104" s="274"/>
      <c r="CM104" s="274"/>
      <c r="CN104" s="274"/>
      <c r="CO104" s="274"/>
      <c r="CP104" s="274"/>
      <c r="CQ104" s="274"/>
      <c r="CR104" s="274"/>
      <c r="CS104" s="274"/>
      <c r="CT104" s="274"/>
      <c r="CU104" s="275"/>
      <c r="CV104" s="273"/>
      <c r="CW104" s="274"/>
      <c r="CX104" s="274"/>
      <c r="CY104" s="274"/>
      <c r="CZ104" s="275"/>
      <c r="DZ104" s="299"/>
      <c r="EA104" s="299"/>
      <c r="EB104" s="299"/>
      <c r="EC104" s="299"/>
      <c r="ED104" s="299"/>
      <c r="EE104" s="299"/>
      <c r="EF104" s="299"/>
      <c r="EG104" s="299"/>
      <c r="EH104" s="299"/>
      <c r="EI104" s="299"/>
      <c r="EJ104" s="299"/>
      <c r="EK104" s="299"/>
      <c r="EL104" s="299"/>
      <c r="EM104" s="299"/>
      <c r="EN104" s="299"/>
      <c r="EO104" s="299"/>
      <c r="EP104" s="299"/>
      <c r="EQ104" s="299"/>
      <c r="ER104" s="299"/>
      <c r="ES104" s="299"/>
      <c r="ET104" s="299"/>
      <c r="EU104" s="299"/>
      <c r="EV104" s="299"/>
      <c r="EW104" s="299"/>
      <c r="EX104" s="299"/>
      <c r="EY104" s="299"/>
      <c r="EZ104" s="299"/>
      <c r="FA104" s="299"/>
      <c r="FB104" s="299"/>
      <c r="FC104" s="299"/>
      <c r="FD104" s="299"/>
      <c r="FE104" s="299"/>
      <c r="FF104" s="299"/>
      <c r="FG104" s="299"/>
      <c r="FH104" s="299"/>
      <c r="FI104" s="299"/>
      <c r="FJ104" s="299"/>
      <c r="FK104" s="299"/>
      <c r="FL104" s="299"/>
      <c r="FM104" s="299"/>
      <c r="FN104" s="299"/>
      <c r="FO104" s="299"/>
      <c r="FP104" s="299"/>
      <c r="FQ104" s="299"/>
      <c r="FR104" s="299"/>
      <c r="FY104" s="299"/>
      <c r="FZ104" s="299"/>
      <c r="GA104" s="299"/>
      <c r="GB104" s="299"/>
      <c r="GC104" s="299"/>
      <c r="GD104" s="299"/>
      <c r="GE104" s="299"/>
      <c r="GF104" s="299"/>
      <c r="GG104" s="299"/>
      <c r="GH104" s="299"/>
      <c r="GI104" s="299"/>
      <c r="GJ104" s="299"/>
      <c r="GK104" s="299"/>
      <c r="GL104" s="299"/>
      <c r="GM104" s="299"/>
      <c r="GN104" s="299"/>
      <c r="GO104" s="299"/>
      <c r="GP104" s="299"/>
      <c r="GQ104" s="299"/>
      <c r="GR104" s="299"/>
      <c r="GS104" s="299"/>
      <c r="GT104" s="299"/>
      <c r="GU104" s="299"/>
      <c r="GV104" s="299"/>
      <c r="GW104" s="299"/>
      <c r="GX104" s="299"/>
      <c r="GY104" s="299"/>
      <c r="GZ104" s="299"/>
      <c r="HA104" s="299"/>
      <c r="HB104" s="299"/>
      <c r="HC104" s="299"/>
      <c r="HD104" s="299"/>
      <c r="HE104" s="299"/>
      <c r="HF104" s="299"/>
      <c r="HG104" s="299"/>
      <c r="HH104" s="299"/>
      <c r="HI104" s="299"/>
      <c r="HJ104" s="299"/>
      <c r="HK104" s="299"/>
      <c r="HL104" s="299"/>
      <c r="HM104" s="299"/>
      <c r="HN104" s="299"/>
      <c r="HO104" s="299"/>
      <c r="HP104" s="299"/>
      <c r="HQ104" s="299"/>
      <c r="HW104" s="267"/>
      <c r="HX104" s="268"/>
      <c r="HY104" s="268"/>
      <c r="HZ104" s="268"/>
      <c r="IA104" s="268"/>
      <c r="IB104" s="268"/>
      <c r="IC104" s="268"/>
      <c r="ID104" s="268"/>
      <c r="IE104" s="268"/>
      <c r="IF104" s="268"/>
      <c r="IG104" s="268"/>
      <c r="IH104" s="268"/>
      <c r="II104" s="268"/>
      <c r="IJ104" s="268"/>
      <c r="IK104" s="268"/>
      <c r="IL104" s="268"/>
      <c r="IM104" s="268"/>
      <c r="IN104" s="268"/>
      <c r="IO104" s="268"/>
      <c r="IP104" s="268"/>
      <c r="IQ104" s="268"/>
      <c r="IR104" s="268"/>
      <c r="IS104" s="268"/>
      <c r="IT104" s="268"/>
      <c r="IU104" s="268"/>
      <c r="IV104" s="268"/>
      <c r="IW104" s="268"/>
      <c r="IX104" s="268"/>
      <c r="IY104" s="268"/>
      <c r="IZ104" s="268"/>
      <c r="JA104" s="268"/>
      <c r="JB104" s="268"/>
      <c r="JC104" s="268"/>
      <c r="JD104" s="268"/>
      <c r="JE104" s="268"/>
      <c r="JF104" s="268"/>
      <c r="JG104" s="268"/>
      <c r="JH104" s="268"/>
      <c r="JI104" s="268"/>
      <c r="JJ104" s="269"/>
      <c r="JK104" s="267"/>
      <c r="JL104" s="268"/>
      <c r="JM104" s="268"/>
      <c r="JN104" s="268"/>
      <c r="JO104" s="269"/>
      <c r="JU104" s="267"/>
      <c r="JV104" s="268"/>
      <c r="JW104" s="268"/>
      <c r="JX104" s="268"/>
      <c r="JY104" s="268"/>
      <c r="JZ104" s="268"/>
      <c r="KA104" s="268"/>
      <c r="KB104" s="268"/>
      <c r="KC104" s="268"/>
      <c r="KD104" s="268"/>
      <c r="KE104" s="268"/>
      <c r="KF104" s="268"/>
      <c r="KG104" s="268"/>
      <c r="KH104" s="268"/>
      <c r="KI104" s="268"/>
      <c r="KJ104" s="268"/>
      <c r="KK104" s="268"/>
      <c r="KL104" s="268"/>
      <c r="KM104" s="268"/>
      <c r="KN104" s="268"/>
      <c r="KO104" s="268"/>
      <c r="KP104" s="268"/>
      <c r="KQ104" s="268"/>
      <c r="KR104" s="268"/>
      <c r="KS104" s="268"/>
      <c r="KT104" s="268"/>
      <c r="KU104" s="268"/>
      <c r="KV104" s="268"/>
      <c r="KW104" s="268"/>
      <c r="KX104" s="268"/>
      <c r="KY104" s="268"/>
      <c r="KZ104" s="268"/>
      <c r="LA104" s="268"/>
      <c r="LB104" s="268"/>
      <c r="LC104" s="268"/>
      <c r="LD104" s="268"/>
      <c r="LE104" s="268"/>
      <c r="LF104" s="268"/>
      <c r="LG104" s="268"/>
      <c r="LH104" s="269"/>
      <c r="LI104" s="267"/>
      <c r="LJ104" s="268"/>
      <c r="LK104" s="268"/>
      <c r="LL104" s="268"/>
      <c r="LM104" s="269"/>
      <c r="ME104" s="180"/>
      <c r="MF104" s="181"/>
      <c r="MG104" s="199"/>
      <c r="MH104" s="199"/>
      <c r="MI104" s="199"/>
      <c r="MJ104" s="199"/>
      <c r="MK104" s="200"/>
    </row>
    <row r="105" spans="4:349" ht="5.0999999999999996" customHeight="1" x14ac:dyDescent="0.3">
      <c r="D105" s="177"/>
      <c r="E105" s="178"/>
      <c r="BG105" s="273"/>
      <c r="BH105" s="274"/>
      <c r="BI105" s="274"/>
      <c r="BJ105" s="274"/>
      <c r="BK105" s="274"/>
      <c r="BL105" s="274"/>
      <c r="BM105" s="274"/>
      <c r="BN105" s="274"/>
      <c r="BO105" s="274"/>
      <c r="BP105" s="274"/>
      <c r="BQ105" s="274"/>
      <c r="BR105" s="274"/>
      <c r="BS105" s="274"/>
      <c r="BT105" s="274"/>
      <c r="BU105" s="274"/>
      <c r="BV105" s="274"/>
      <c r="BW105" s="274"/>
      <c r="BX105" s="274"/>
      <c r="BY105" s="274"/>
      <c r="BZ105" s="274"/>
      <c r="CA105" s="274"/>
      <c r="CB105" s="274"/>
      <c r="CC105" s="274"/>
      <c r="CD105" s="274"/>
      <c r="CE105" s="274"/>
      <c r="CF105" s="274"/>
      <c r="CG105" s="274"/>
      <c r="CH105" s="274"/>
      <c r="CI105" s="274"/>
      <c r="CJ105" s="274"/>
      <c r="CK105" s="274"/>
      <c r="CL105" s="274"/>
      <c r="CM105" s="274"/>
      <c r="CN105" s="274"/>
      <c r="CO105" s="274"/>
      <c r="CP105" s="274"/>
      <c r="CQ105" s="274"/>
      <c r="CR105" s="274"/>
      <c r="CS105" s="274"/>
      <c r="CT105" s="274"/>
      <c r="CU105" s="275"/>
      <c r="CV105" s="273"/>
      <c r="CW105" s="274"/>
      <c r="CX105" s="274"/>
      <c r="CY105" s="274"/>
      <c r="CZ105" s="275"/>
      <c r="EW105" s="195"/>
      <c r="EX105" s="196"/>
      <c r="GV105" s="195"/>
      <c r="GW105" s="196"/>
      <c r="IT105" s="195"/>
      <c r="IU105" s="196"/>
      <c r="KR105" s="195"/>
      <c r="ME105" s="180"/>
      <c r="MF105" s="181"/>
      <c r="MG105" s="199"/>
      <c r="MH105" s="199"/>
      <c r="MI105" s="199"/>
      <c r="MJ105" s="199"/>
      <c r="MK105" s="200"/>
    </row>
    <row r="106" spans="4:349" ht="5.0999999999999996" customHeight="1" x14ac:dyDescent="0.3">
      <c r="D106" s="177"/>
      <c r="E106" s="178"/>
      <c r="BG106" s="273"/>
      <c r="BH106" s="274"/>
      <c r="BI106" s="274"/>
      <c r="BJ106" s="274"/>
      <c r="BK106" s="274"/>
      <c r="BL106" s="274"/>
      <c r="BM106" s="274"/>
      <c r="BN106" s="274"/>
      <c r="BO106" s="274"/>
      <c r="BP106" s="274"/>
      <c r="BQ106" s="274"/>
      <c r="BR106" s="274"/>
      <c r="BS106" s="274"/>
      <c r="BT106" s="274"/>
      <c r="BU106" s="274"/>
      <c r="BV106" s="274"/>
      <c r="BW106" s="274"/>
      <c r="BX106" s="274"/>
      <c r="BY106" s="274"/>
      <c r="BZ106" s="274"/>
      <c r="CA106" s="274"/>
      <c r="CB106" s="274"/>
      <c r="CC106" s="274"/>
      <c r="CD106" s="274"/>
      <c r="CE106" s="274"/>
      <c r="CF106" s="274"/>
      <c r="CG106" s="274"/>
      <c r="CH106" s="274"/>
      <c r="CI106" s="274"/>
      <c r="CJ106" s="274"/>
      <c r="CK106" s="274"/>
      <c r="CL106" s="274"/>
      <c r="CM106" s="274"/>
      <c r="CN106" s="274"/>
      <c r="CO106" s="274"/>
      <c r="CP106" s="274"/>
      <c r="CQ106" s="274"/>
      <c r="CR106" s="274"/>
      <c r="CS106" s="274"/>
      <c r="CT106" s="274"/>
      <c r="CU106" s="275"/>
      <c r="CV106" s="273"/>
      <c r="CW106" s="274"/>
      <c r="CX106" s="274"/>
      <c r="CY106" s="274"/>
      <c r="CZ106" s="275"/>
      <c r="EW106" s="183"/>
      <c r="GV106" s="183"/>
      <c r="IT106" s="183"/>
      <c r="KR106" s="183"/>
      <c r="ME106" s="180"/>
      <c r="MF106" s="181"/>
      <c r="MG106" s="199"/>
      <c r="MH106" s="199"/>
      <c r="MI106" s="199"/>
      <c r="MJ106" s="199"/>
      <c r="MK106" s="200"/>
    </row>
    <row r="107" spans="4:349" ht="5.0999999999999996" customHeight="1" x14ac:dyDescent="0.3">
      <c r="D107" s="177"/>
      <c r="E107" s="178"/>
      <c r="BG107" s="276"/>
      <c r="BH107" s="277"/>
      <c r="BI107" s="277"/>
      <c r="BJ107" s="277"/>
      <c r="BK107" s="277"/>
      <c r="BL107" s="277"/>
      <c r="BM107" s="277"/>
      <c r="BN107" s="277"/>
      <c r="BO107" s="277"/>
      <c r="BP107" s="277"/>
      <c r="BQ107" s="277"/>
      <c r="BR107" s="277"/>
      <c r="BS107" s="277"/>
      <c r="BT107" s="277"/>
      <c r="BU107" s="277"/>
      <c r="BV107" s="277"/>
      <c r="BW107" s="277"/>
      <c r="BX107" s="277"/>
      <c r="BY107" s="277"/>
      <c r="BZ107" s="277"/>
      <c r="CA107" s="277"/>
      <c r="CB107" s="277"/>
      <c r="CC107" s="277"/>
      <c r="CD107" s="277"/>
      <c r="CE107" s="277"/>
      <c r="CF107" s="277"/>
      <c r="CG107" s="277"/>
      <c r="CH107" s="277"/>
      <c r="CI107" s="277"/>
      <c r="CJ107" s="277"/>
      <c r="CK107" s="277"/>
      <c r="CL107" s="277"/>
      <c r="CM107" s="277"/>
      <c r="CN107" s="277"/>
      <c r="CO107" s="277"/>
      <c r="CP107" s="277"/>
      <c r="CQ107" s="277"/>
      <c r="CR107" s="277"/>
      <c r="CS107" s="277"/>
      <c r="CT107" s="277"/>
      <c r="CU107" s="278"/>
      <c r="CV107" s="276"/>
      <c r="CW107" s="277"/>
      <c r="CX107" s="277"/>
      <c r="CY107" s="277"/>
      <c r="CZ107" s="278"/>
      <c r="EW107" s="183"/>
      <c r="GV107" s="183"/>
      <c r="IT107" s="183"/>
      <c r="KR107" s="183"/>
      <c r="ME107" s="180"/>
      <c r="MF107" s="181"/>
      <c r="MG107" s="199"/>
      <c r="MH107" s="199"/>
      <c r="MI107" s="199"/>
      <c r="MJ107" s="199"/>
      <c r="MK107" s="200"/>
    </row>
    <row r="108" spans="4:349" ht="5.0999999999999996" customHeight="1" x14ac:dyDescent="0.3">
      <c r="D108" s="177"/>
      <c r="E108" s="178"/>
      <c r="BG108" s="270" t="s">
        <v>184</v>
      </c>
      <c r="BH108" s="271"/>
      <c r="BI108" s="271"/>
      <c r="BJ108" s="271"/>
      <c r="BK108" s="271"/>
      <c r="BL108" s="271"/>
      <c r="BM108" s="271"/>
      <c r="BN108" s="271"/>
      <c r="BO108" s="271"/>
      <c r="BP108" s="271"/>
      <c r="BQ108" s="271"/>
      <c r="BR108" s="271"/>
      <c r="BS108" s="271"/>
      <c r="BT108" s="271"/>
      <c r="BU108" s="271"/>
      <c r="BV108" s="271"/>
      <c r="BW108" s="271"/>
      <c r="BX108" s="271"/>
      <c r="BY108" s="271"/>
      <c r="BZ108" s="271"/>
      <c r="CA108" s="271"/>
      <c r="CB108" s="271"/>
      <c r="CC108" s="271"/>
      <c r="CD108" s="271"/>
      <c r="CE108" s="271"/>
      <c r="CF108" s="271"/>
      <c r="CG108" s="271"/>
      <c r="CH108" s="271"/>
      <c r="CI108" s="271"/>
      <c r="CJ108" s="271"/>
      <c r="CK108" s="271"/>
      <c r="CL108" s="271"/>
      <c r="CM108" s="271"/>
      <c r="CN108" s="271"/>
      <c r="CO108" s="271"/>
      <c r="CP108" s="271"/>
      <c r="CQ108" s="271"/>
      <c r="CR108" s="271"/>
      <c r="CS108" s="271"/>
      <c r="CT108" s="271"/>
      <c r="CU108" s="272"/>
      <c r="CV108" s="270">
        <v>3</v>
      </c>
      <c r="CW108" s="271"/>
      <c r="CX108" s="271"/>
      <c r="CY108" s="271"/>
      <c r="CZ108" s="272"/>
      <c r="EW108" s="192"/>
      <c r="EX108" s="193"/>
      <c r="GV108" s="192"/>
      <c r="GW108" s="193"/>
      <c r="IT108" s="192"/>
      <c r="IU108" s="193"/>
      <c r="KR108" s="192"/>
      <c r="ME108" s="180"/>
      <c r="MF108" s="181"/>
      <c r="MG108" s="199"/>
      <c r="MH108" s="199"/>
      <c r="MI108" s="199"/>
      <c r="MJ108" s="199"/>
      <c r="MK108" s="200"/>
    </row>
    <row r="109" spans="4:349" ht="5.0999999999999996" customHeight="1" x14ac:dyDescent="0.3">
      <c r="D109" s="177"/>
      <c r="E109" s="178"/>
      <c r="BG109" s="273"/>
      <c r="BH109" s="274"/>
      <c r="BI109" s="274"/>
      <c r="BJ109" s="274"/>
      <c r="BK109" s="274"/>
      <c r="BL109" s="274"/>
      <c r="BM109" s="274"/>
      <c r="BN109" s="274"/>
      <c r="BO109" s="274"/>
      <c r="BP109" s="274"/>
      <c r="BQ109" s="274"/>
      <c r="BR109" s="274"/>
      <c r="BS109" s="274"/>
      <c r="BT109" s="274"/>
      <c r="BU109" s="274"/>
      <c r="BV109" s="274"/>
      <c r="BW109" s="274"/>
      <c r="BX109" s="274"/>
      <c r="BY109" s="274"/>
      <c r="BZ109" s="274"/>
      <c r="CA109" s="274"/>
      <c r="CB109" s="274"/>
      <c r="CC109" s="274"/>
      <c r="CD109" s="274"/>
      <c r="CE109" s="274"/>
      <c r="CF109" s="274"/>
      <c r="CG109" s="274"/>
      <c r="CH109" s="274"/>
      <c r="CI109" s="274"/>
      <c r="CJ109" s="274"/>
      <c r="CK109" s="274"/>
      <c r="CL109" s="274"/>
      <c r="CM109" s="274"/>
      <c r="CN109" s="274"/>
      <c r="CO109" s="274"/>
      <c r="CP109" s="274"/>
      <c r="CQ109" s="274"/>
      <c r="CR109" s="274"/>
      <c r="CS109" s="274"/>
      <c r="CT109" s="274"/>
      <c r="CU109" s="275"/>
      <c r="CV109" s="273"/>
      <c r="CW109" s="274"/>
      <c r="CX109" s="274"/>
      <c r="CY109" s="274"/>
      <c r="CZ109" s="275"/>
      <c r="DZ109" s="298" t="s">
        <v>221</v>
      </c>
      <c r="EA109" s="298"/>
      <c r="EB109" s="298"/>
      <c r="EC109" s="298"/>
      <c r="ED109" s="298"/>
      <c r="EE109" s="298"/>
      <c r="EF109" s="298"/>
      <c r="EG109" s="298"/>
      <c r="EH109" s="298"/>
      <c r="EI109" s="298"/>
      <c r="EJ109" s="298"/>
      <c r="EK109" s="298"/>
      <c r="EL109" s="298"/>
      <c r="EM109" s="298"/>
      <c r="EN109" s="298"/>
      <c r="EO109" s="298"/>
      <c r="EP109" s="298"/>
      <c r="EQ109" s="298"/>
      <c r="ER109" s="298"/>
      <c r="ES109" s="298"/>
      <c r="ET109" s="298"/>
      <c r="EU109" s="298"/>
      <c r="EV109" s="298"/>
      <c r="EW109" s="298"/>
      <c r="EX109" s="298"/>
      <c r="EY109" s="298"/>
      <c r="EZ109" s="298"/>
      <c r="FA109" s="298"/>
      <c r="FB109" s="298"/>
      <c r="FC109" s="298"/>
      <c r="FD109" s="298"/>
      <c r="FE109" s="298"/>
      <c r="FF109" s="298"/>
      <c r="FG109" s="298"/>
      <c r="FH109" s="298"/>
      <c r="FI109" s="298"/>
      <c r="FJ109" s="298"/>
      <c r="FK109" s="298"/>
      <c r="FL109" s="298"/>
      <c r="FM109" s="298"/>
      <c r="FN109" s="298">
        <v>1</v>
      </c>
      <c r="FO109" s="298"/>
      <c r="FP109" s="298"/>
      <c r="FQ109" s="298"/>
      <c r="FR109" s="298"/>
      <c r="FY109" s="298" t="s">
        <v>185</v>
      </c>
      <c r="FZ109" s="298"/>
      <c r="GA109" s="298"/>
      <c r="GB109" s="298"/>
      <c r="GC109" s="298"/>
      <c r="GD109" s="298"/>
      <c r="GE109" s="298"/>
      <c r="GF109" s="298"/>
      <c r="GG109" s="298"/>
      <c r="GH109" s="298"/>
      <c r="GI109" s="298"/>
      <c r="GJ109" s="298"/>
      <c r="GK109" s="298"/>
      <c r="GL109" s="298"/>
      <c r="GM109" s="298"/>
      <c r="GN109" s="298"/>
      <c r="GO109" s="298"/>
      <c r="GP109" s="298"/>
      <c r="GQ109" s="298"/>
      <c r="GR109" s="298"/>
      <c r="GS109" s="298"/>
      <c r="GT109" s="298"/>
      <c r="GU109" s="298"/>
      <c r="GV109" s="298"/>
      <c r="GW109" s="298"/>
      <c r="GX109" s="298"/>
      <c r="GY109" s="298"/>
      <c r="GZ109" s="298"/>
      <c r="HA109" s="298"/>
      <c r="HB109" s="298"/>
      <c r="HC109" s="298"/>
      <c r="HD109" s="298"/>
      <c r="HE109" s="298"/>
      <c r="HF109" s="298"/>
      <c r="HG109" s="298"/>
      <c r="HH109" s="298"/>
      <c r="HI109" s="298"/>
      <c r="HJ109" s="298"/>
      <c r="HK109" s="298">
        <v>4</v>
      </c>
      <c r="HL109" s="298"/>
      <c r="HM109" s="298">
        <v>2</v>
      </c>
      <c r="HN109" s="298"/>
      <c r="HO109" s="298"/>
      <c r="HP109" s="298"/>
      <c r="HQ109" s="298"/>
      <c r="HW109" s="270" t="s">
        <v>186</v>
      </c>
      <c r="HX109" s="271"/>
      <c r="HY109" s="271"/>
      <c r="HZ109" s="271"/>
      <c r="IA109" s="271"/>
      <c r="IB109" s="271"/>
      <c r="IC109" s="271"/>
      <c r="ID109" s="271"/>
      <c r="IE109" s="271"/>
      <c r="IF109" s="271"/>
      <c r="IG109" s="271"/>
      <c r="IH109" s="271"/>
      <c r="II109" s="271"/>
      <c r="IJ109" s="271"/>
      <c r="IK109" s="271"/>
      <c r="IL109" s="271"/>
      <c r="IM109" s="271"/>
      <c r="IN109" s="271"/>
      <c r="IO109" s="271"/>
      <c r="IP109" s="271"/>
      <c r="IQ109" s="271"/>
      <c r="IR109" s="271"/>
      <c r="IS109" s="271"/>
      <c r="IT109" s="271"/>
      <c r="IU109" s="271"/>
      <c r="IV109" s="271"/>
      <c r="IW109" s="271"/>
      <c r="IX109" s="271"/>
      <c r="IY109" s="271"/>
      <c r="IZ109" s="271"/>
      <c r="JA109" s="271"/>
      <c r="JB109" s="271"/>
      <c r="JC109" s="271"/>
      <c r="JD109" s="271"/>
      <c r="JE109" s="271"/>
      <c r="JF109" s="271"/>
      <c r="JG109" s="271"/>
      <c r="JH109" s="271"/>
      <c r="JI109" s="271">
        <v>4</v>
      </c>
      <c r="JJ109" s="272"/>
      <c r="JK109" s="270">
        <v>2</v>
      </c>
      <c r="JL109" s="271"/>
      <c r="JM109" s="271"/>
      <c r="JN109" s="271"/>
      <c r="JO109" s="272"/>
      <c r="JU109" s="270" t="s">
        <v>187</v>
      </c>
      <c r="JV109" s="271"/>
      <c r="JW109" s="271"/>
      <c r="JX109" s="271"/>
      <c r="JY109" s="271"/>
      <c r="JZ109" s="271"/>
      <c r="KA109" s="271"/>
      <c r="KB109" s="271"/>
      <c r="KC109" s="271"/>
      <c r="KD109" s="271"/>
      <c r="KE109" s="271"/>
      <c r="KF109" s="271"/>
      <c r="KG109" s="271"/>
      <c r="KH109" s="271"/>
      <c r="KI109" s="271"/>
      <c r="KJ109" s="271"/>
      <c r="KK109" s="271"/>
      <c r="KL109" s="271"/>
      <c r="KM109" s="271"/>
      <c r="KN109" s="271"/>
      <c r="KO109" s="271"/>
      <c r="KP109" s="271"/>
      <c r="KQ109" s="271"/>
      <c r="KR109" s="271"/>
      <c r="KS109" s="271"/>
      <c r="KT109" s="271"/>
      <c r="KU109" s="271"/>
      <c r="KV109" s="271"/>
      <c r="KW109" s="271"/>
      <c r="KX109" s="271"/>
      <c r="KY109" s="271"/>
      <c r="KZ109" s="271"/>
      <c r="LA109" s="271"/>
      <c r="LB109" s="271"/>
      <c r="LC109" s="271"/>
      <c r="LD109" s="271"/>
      <c r="LE109" s="271"/>
      <c r="LF109" s="271"/>
      <c r="LG109" s="271"/>
      <c r="LH109" s="272"/>
      <c r="LI109" s="270">
        <v>1</v>
      </c>
      <c r="LJ109" s="271"/>
      <c r="LK109" s="271"/>
      <c r="LL109" s="271"/>
      <c r="LM109" s="272"/>
      <c r="ME109" s="180"/>
      <c r="MF109" s="181"/>
      <c r="MG109" s="199"/>
      <c r="MH109" s="199"/>
      <c r="MI109" s="199"/>
      <c r="MJ109" s="199"/>
      <c r="MK109" s="200"/>
    </row>
    <row r="110" spans="4:349" ht="5.0999999999999996" customHeight="1" x14ac:dyDescent="0.3">
      <c r="D110" s="177"/>
      <c r="E110" s="178"/>
      <c r="BG110" s="273"/>
      <c r="BH110" s="274"/>
      <c r="BI110" s="274"/>
      <c r="BJ110" s="274"/>
      <c r="BK110" s="274"/>
      <c r="BL110" s="274"/>
      <c r="BM110" s="274"/>
      <c r="BN110" s="274"/>
      <c r="BO110" s="274"/>
      <c r="BP110" s="274"/>
      <c r="BQ110" s="274"/>
      <c r="BR110" s="274"/>
      <c r="BS110" s="274"/>
      <c r="BT110" s="274"/>
      <c r="BU110" s="274"/>
      <c r="BV110" s="274"/>
      <c r="BW110" s="274"/>
      <c r="BX110" s="274"/>
      <c r="BY110" s="274"/>
      <c r="BZ110" s="274"/>
      <c r="CA110" s="274"/>
      <c r="CB110" s="274"/>
      <c r="CC110" s="274"/>
      <c r="CD110" s="274"/>
      <c r="CE110" s="274"/>
      <c r="CF110" s="274"/>
      <c r="CG110" s="274"/>
      <c r="CH110" s="274"/>
      <c r="CI110" s="274"/>
      <c r="CJ110" s="274"/>
      <c r="CK110" s="274"/>
      <c r="CL110" s="274"/>
      <c r="CM110" s="274"/>
      <c r="CN110" s="274"/>
      <c r="CO110" s="274"/>
      <c r="CP110" s="274"/>
      <c r="CQ110" s="274"/>
      <c r="CR110" s="274"/>
      <c r="CS110" s="274"/>
      <c r="CT110" s="274"/>
      <c r="CU110" s="275"/>
      <c r="CV110" s="273"/>
      <c r="CW110" s="274"/>
      <c r="CX110" s="274"/>
      <c r="CY110" s="274"/>
      <c r="CZ110" s="275"/>
      <c r="DZ110" s="298"/>
      <c r="EA110" s="298"/>
      <c r="EB110" s="298"/>
      <c r="EC110" s="298"/>
      <c r="ED110" s="298"/>
      <c r="EE110" s="298"/>
      <c r="EF110" s="298"/>
      <c r="EG110" s="298"/>
      <c r="EH110" s="298"/>
      <c r="EI110" s="298"/>
      <c r="EJ110" s="298"/>
      <c r="EK110" s="298"/>
      <c r="EL110" s="298"/>
      <c r="EM110" s="298"/>
      <c r="EN110" s="298"/>
      <c r="EO110" s="298"/>
      <c r="EP110" s="298"/>
      <c r="EQ110" s="298"/>
      <c r="ER110" s="298"/>
      <c r="ES110" s="298"/>
      <c r="ET110" s="298"/>
      <c r="EU110" s="298"/>
      <c r="EV110" s="298"/>
      <c r="EW110" s="298"/>
      <c r="EX110" s="298"/>
      <c r="EY110" s="298"/>
      <c r="EZ110" s="298"/>
      <c r="FA110" s="298"/>
      <c r="FB110" s="298"/>
      <c r="FC110" s="298"/>
      <c r="FD110" s="298"/>
      <c r="FE110" s="298"/>
      <c r="FF110" s="298"/>
      <c r="FG110" s="298"/>
      <c r="FH110" s="298"/>
      <c r="FI110" s="298"/>
      <c r="FJ110" s="298"/>
      <c r="FK110" s="298"/>
      <c r="FL110" s="298"/>
      <c r="FM110" s="298"/>
      <c r="FN110" s="298"/>
      <c r="FO110" s="298"/>
      <c r="FP110" s="298"/>
      <c r="FQ110" s="298"/>
      <c r="FR110" s="298"/>
      <c r="FY110" s="298"/>
      <c r="FZ110" s="298"/>
      <c r="GA110" s="298"/>
      <c r="GB110" s="298"/>
      <c r="GC110" s="298"/>
      <c r="GD110" s="298"/>
      <c r="GE110" s="298"/>
      <c r="GF110" s="298"/>
      <c r="GG110" s="298"/>
      <c r="GH110" s="298"/>
      <c r="GI110" s="298"/>
      <c r="GJ110" s="298"/>
      <c r="GK110" s="298"/>
      <c r="GL110" s="298"/>
      <c r="GM110" s="298"/>
      <c r="GN110" s="298"/>
      <c r="GO110" s="298"/>
      <c r="GP110" s="298"/>
      <c r="GQ110" s="298"/>
      <c r="GR110" s="298"/>
      <c r="GS110" s="298"/>
      <c r="GT110" s="298"/>
      <c r="GU110" s="298"/>
      <c r="GV110" s="298"/>
      <c r="GW110" s="298"/>
      <c r="GX110" s="298"/>
      <c r="GY110" s="298"/>
      <c r="GZ110" s="298"/>
      <c r="HA110" s="298"/>
      <c r="HB110" s="298"/>
      <c r="HC110" s="298"/>
      <c r="HD110" s="298"/>
      <c r="HE110" s="298"/>
      <c r="HF110" s="298"/>
      <c r="HG110" s="298"/>
      <c r="HH110" s="298"/>
      <c r="HI110" s="298"/>
      <c r="HJ110" s="298"/>
      <c r="HK110" s="298"/>
      <c r="HL110" s="298"/>
      <c r="HM110" s="298"/>
      <c r="HN110" s="298"/>
      <c r="HO110" s="298"/>
      <c r="HP110" s="298"/>
      <c r="HQ110" s="298"/>
      <c r="HW110" s="273"/>
      <c r="HX110" s="274"/>
      <c r="HY110" s="274"/>
      <c r="HZ110" s="274"/>
      <c r="IA110" s="274"/>
      <c r="IB110" s="274"/>
      <c r="IC110" s="274"/>
      <c r="ID110" s="274"/>
      <c r="IE110" s="274"/>
      <c r="IF110" s="274"/>
      <c r="IG110" s="274"/>
      <c r="IH110" s="274"/>
      <c r="II110" s="274"/>
      <c r="IJ110" s="274"/>
      <c r="IK110" s="274"/>
      <c r="IL110" s="274"/>
      <c r="IM110" s="274"/>
      <c r="IN110" s="274"/>
      <c r="IO110" s="274"/>
      <c r="IP110" s="274"/>
      <c r="IQ110" s="274"/>
      <c r="IR110" s="274"/>
      <c r="IS110" s="274"/>
      <c r="IT110" s="274"/>
      <c r="IU110" s="274"/>
      <c r="IV110" s="274"/>
      <c r="IW110" s="274"/>
      <c r="IX110" s="274"/>
      <c r="IY110" s="274"/>
      <c r="IZ110" s="274"/>
      <c r="JA110" s="274"/>
      <c r="JB110" s="274"/>
      <c r="JC110" s="274"/>
      <c r="JD110" s="274"/>
      <c r="JE110" s="274"/>
      <c r="JF110" s="274"/>
      <c r="JG110" s="274"/>
      <c r="JH110" s="274"/>
      <c r="JI110" s="274"/>
      <c r="JJ110" s="275"/>
      <c r="JK110" s="273"/>
      <c r="JL110" s="274"/>
      <c r="JM110" s="274"/>
      <c r="JN110" s="274"/>
      <c r="JO110" s="275"/>
      <c r="JU110" s="273"/>
      <c r="JV110" s="274"/>
      <c r="JW110" s="274"/>
      <c r="JX110" s="274"/>
      <c r="JY110" s="274"/>
      <c r="JZ110" s="274"/>
      <c r="KA110" s="274"/>
      <c r="KB110" s="274"/>
      <c r="KC110" s="274"/>
      <c r="KD110" s="274"/>
      <c r="KE110" s="274"/>
      <c r="KF110" s="274"/>
      <c r="KG110" s="274"/>
      <c r="KH110" s="274"/>
      <c r="KI110" s="274"/>
      <c r="KJ110" s="274"/>
      <c r="KK110" s="274"/>
      <c r="KL110" s="274"/>
      <c r="KM110" s="274"/>
      <c r="KN110" s="274"/>
      <c r="KO110" s="274"/>
      <c r="KP110" s="274"/>
      <c r="KQ110" s="274"/>
      <c r="KR110" s="274"/>
      <c r="KS110" s="274"/>
      <c r="KT110" s="274"/>
      <c r="KU110" s="274"/>
      <c r="KV110" s="274"/>
      <c r="KW110" s="274"/>
      <c r="KX110" s="274"/>
      <c r="KY110" s="274"/>
      <c r="KZ110" s="274"/>
      <c r="LA110" s="274"/>
      <c r="LB110" s="274"/>
      <c r="LC110" s="274"/>
      <c r="LD110" s="274"/>
      <c r="LE110" s="274"/>
      <c r="LF110" s="274"/>
      <c r="LG110" s="274"/>
      <c r="LH110" s="275"/>
      <c r="LI110" s="273"/>
      <c r="LJ110" s="274"/>
      <c r="LK110" s="274"/>
      <c r="LL110" s="274"/>
      <c r="LM110" s="275"/>
      <c r="ME110" s="180"/>
      <c r="MF110" s="181"/>
      <c r="MG110" s="199"/>
      <c r="MH110" s="199"/>
      <c r="MI110" s="199"/>
      <c r="MJ110" s="199"/>
      <c r="MK110" s="200"/>
    </row>
    <row r="111" spans="4:349" ht="5.0999999999999996" customHeight="1" x14ac:dyDescent="0.3">
      <c r="D111" s="177"/>
      <c r="E111" s="178"/>
      <c r="BG111" s="273"/>
      <c r="BH111" s="274"/>
      <c r="BI111" s="274"/>
      <c r="BJ111" s="274"/>
      <c r="BK111" s="274"/>
      <c r="BL111" s="274"/>
      <c r="BM111" s="274"/>
      <c r="BN111" s="274"/>
      <c r="BO111" s="274"/>
      <c r="BP111" s="274"/>
      <c r="BQ111" s="274"/>
      <c r="BR111" s="274"/>
      <c r="BS111" s="274"/>
      <c r="BT111" s="274"/>
      <c r="BU111" s="274"/>
      <c r="BV111" s="274"/>
      <c r="BW111" s="274"/>
      <c r="BX111" s="274"/>
      <c r="BY111" s="274"/>
      <c r="BZ111" s="274"/>
      <c r="CA111" s="274"/>
      <c r="CB111" s="274"/>
      <c r="CC111" s="274"/>
      <c r="CD111" s="274"/>
      <c r="CE111" s="274"/>
      <c r="CF111" s="274"/>
      <c r="CG111" s="274"/>
      <c r="CH111" s="274"/>
      <c r="CI111" s="274"/>
      <c r="CJ111" s="274"/>
      <c r="CK111" s="274"/>
      <c r="CL111" s="274"/>
      <c r="CM111" s="274"/>
      <c r="CN111" s="274"/>
      <c r="CO111" s="274"/>
      <c r="CP111" s="274"/>
      <c r="CQ111" s="274"/>
      <c r="CR111" s="274"/>
      <c r="CS111" s="274"/>
      <c r="CT111" s="274"/>
      <c r="CU111" s="275"/>
      <c r="CV111" s="273"/>
      <c r="CW111" s="274"/>
      <c r="CX111" s="274"/>
      <c r="CY111" s="274"/>
      <c r="CZ111" s="275"/>
      <c r="DZ111" s="298"/>
      <c r="EA111" s="298"/>
      <c r="EB111" s="298"/>
      <c r="EC111" s="298"/>
      <c r="ED111" s="298"/>
      <c r="EE111" s="298"/>
      <c r="EF111" s="298"/>
      <c r="EG111" s="298"/>
      <c r="EH111" s="298"/>
      <c r="EI111" s="298"/>
      <c r="EJ111" s="298"/>
      <c r="EK111" s="298"/>
      <c r="EL111" s="298"/>
      <c r="EM111" s="298"/>
      <c r="EN111" s="298"/>
      <c r="EO111" s="298"/>
      <c r="EP111" s="298"/>
      <c r="EQ111" s="298"/>
      <c r="ER111" s="298"/>
      <c r="ES111" s="298"/>
      <c r="ET111" s="298"/>
      <c r="EU111" s="298"/>
      <c r="EV111" s="298"/>
      <c r="EW111" s="298"/>
      <c r="EX111" s="298"/>
      <c r="EY111" s="298"/>
      <c r="EZ111" s="298"/>
      <c r="FA111" s="298"/>
      <c r="FB111" s="298"/>
      <c r="FC111" s="298"/>
      <c r="FD111" s="298"/>
      <c r="FE111" s="298"/>
      <c r="FF111" s="298"/>
      <c r="FG111" s="298"/>
      <c r="FH111" s="298"/>
      <c r="FI111" s="298"/>
      <c r="FJ111" s="298"/>
      <c r="FK111" s="298"/>
      <c r="FL111" s="298"/>
      <c r="FM111" s="298"/>
      <c r="FN111" s="298"/>
      <c r="FO111" s="298"/>
      <c r="FP111" s="298"/>
      <c r="FQ111" s="298"/>
      <c r="FR111" s="298"/>
      <c r="FY111" s="298"/>
      <c r="FZ111" s="298"/>
      <c r="GA111" s="298"/>
      <c r="GB111" s="298"/>
      <c r="GC111" s="298"/>
      <c r="GD111" s="298"/>
      <c r="GE111" s="298"/>
      <c r="GF111" s="298"/>
      <c r="GG111" s="298"/>
      <c r="GH111" s="298"/>
      <c r="GI111" s="298"/>
      <c r="GJ111" s="298"/>
      <c r="GK111" s="298"/>
      <c r="GL111" s="298"/>
      <c r="GM111" s="298"/>
      <c r="GN111" s="298"/>
      <c r="GO111" s="298"/>
      <c r="GP111" s="298"/>
      <c r="GQ111" s="298"/>
      <c r="GR111" s="298"/>
      <c r="GS111" s="298"/>
      <c r="GT111" s="298"/>
      <c r="GU111" s="298"/>
      <c r="GV111" s="298"/>
      <c r="GW111" s="298"/>
      <c r="GX111" s="298"/>
      <c r="GY111" s="298"/>
      <c r="GZ111" s="298"/>
      <c r="HA111" s="298"/>
      <c r="HB111" s="298"/>
      <c r="HC111" s="298"/>
      <c r="HD111" s="298"/>
      <c r="HE111" s="298"/>
      <c r="HF111" s="298"/>
      <c r="HG111" s="298"/>
      <c r="HH111" s="298"/>
      <c r="HI111" s="298"/>
      <c r="HJ111" s="298"/>
      <c r="HK111" s="298"/>
      <c r="HL111" s="298"/>
      <c r="HM111" s="298"/>
      <c r="HN111" s="298"/>
      <c r="HO111" s="298"/>
      <c r="HP111" s="298"/>
      <c r="HQ111" s="298"/>
      <c r="HW111" s="273"/>
      <c r="HX111" s="274"/>
      <c r="HY111" s="274"/>
      <c r="HZ111" s="274"/>
      <c r="IA111" s="274"/>
      <c r="IB111" s="274"/>
      <c r="IC111" s="274"/>
      <c r="ID111" s="274"/>
      <c r="IE111" s="274"/>
      <c r="IF111" s="274"/>
      <c r="IG111" s="274"/>
      <c r="IH111" s="274"/>
      <c r="II111" s="274"/>
      <c r="IJ111" s="274"/>
      <c r="IK111" s="274"/>
      <c r="IL111" s="274"/>
      <c r="IM111" s="274"/>
      <c r="IN111" s="274"/>
      <c r="IO111" s="274"/>
      <c r="IP111" s="274"/>
      <c r="IQ111" s="274"/>
      <c r="IR111" s="274"/>
      <c r="IS111" s="274"/>
      <c r="IT111" s="274"/>
      <c r="IU111" s="274"/>
      <c r="IV111" s="274"/>
      <c r="IW111" s="274"/>
      <c r="IX111" s="274"/>
      <c r="IY111" s="274"/>
      <c r="IZ111" s="274"/>
      <c r="JA111" s="274"/>
      <c r="JB111" s="274"/>
      <c r="JC111" s="274"/>
      <c r="JD111" s="274"/>
      <c r="JE111" s="274"/>
      <c r="JF111" s="274"/>
      <c r="JG111" s="274"/>
      <c r="JH111" s="274"/>
      <c r="JI111" s="274"/>
      <c r="JJ111" s="275"/>
      <c r="JK111" s="273"/>
      <c r="JL111" s="274"/>
      <c r="JM111" s="274"/>
      <c r="JN111" s="274"/>
      <c r="JO111" s="275"/>
      <c r="JU111" s="273"/>
      <c r="JV111" s="274"/>
      <c r="JW111" s="274"/>
      <c r="JX111" s="274"/>
      <c r="JY111" s="274"/>
      <c r="JZ111" s="274"/>
      <c r="KA111" s="274"/>
      <c r="KB111" s="274"/>
      <c r="KC111" s="274"/>
      <c r="KD111" s="274"/>
      <c r="KE111" s="274"/>
      <c r="KF111" s="274"/>
      <c r="KG111" s="274"/>
      <c r="KH111" s="274"/>
      <c r="KI111" s="274"/>
      <c r="KJ111" s="274"/>
      <c r="KK111" s="274"/>
      <c r="KL111" s="274"/>
      <c r="KM111" s="274"/>
      <c r="KN111" s="274"/>
      <c r="KO111" s="274"/>
      <c r="KP111" s="274"/>
      <c r="KQ111" s="274"/>
      <c r="KR111" s="274"/>
      <c r="KS111" s="274"/>
      <c r="KT111" s="274"/>
      <c r="KU111" s="274"/>
      <c r="KV111" s="274"/>
      <c r="KW111" s="274"/>
      <c r="KX111" s="274"/>
      <c r="KY111" s="274"/>
      <c r="KZ111" s="274"/>
      <c r="LA111" s="274"/>
      <c r="LB111" s="274"/>
      <c r="LC111" s="274"/>
      <c r="LD111" s="274"/>
      <c r="LE111" s="274"/>
      <c r="LF111" s="274"/>
      <c r="LG111" s="274"/>
      <c r="LH111" s="275"/>
      <c r="LI111" s="273"/>
      <c r="LJ111" s="274"/>
      <c r="LK111" s="274"/>
      <c r="LL111" s="274"/>
      <c r="LM111" s="275"/>
      <c r="ME111" s="180"/>
      <c r="MF111" s="181"/>
      <c r="MG111" s="199"/>
      <c r="MH111" s="199"/>
      <c r="MI111" s="199"/>
      <c r="MJ111" s="199"/>
      <c r="MK111" s="200"/>
    </row>
    <row r="112" spans="4:349" ht="3.75" customHeight="1" x14ac:dyDescent="0.3">
      <c r="D112" s="177"/>
      <c r="E112" s="178"/>
      <c r="BG112" s="273"/>
      <c r="BH112" s="274"/>
      <c r="BI112" s="274"/>
      <c r="BJ112" s="274"/>
      <c r="BK112" s="274"/>
      <c r="BL112" s="274"/>
      <c r="BM112" s="274"/>
      <c r="BN112" s="274"/>
      <c r="BO112" s="274"/>
      <c r="BP112" s="274"/>
      <c r="BQ112" s="274"/>
      <c r="BR112" s="274"/>
      <c r="BS112" s="274"/>
      <c r="BT112" s="274"/>
      <c r="BU112" s="274"/>
      <c r="BV112" s="274"/>
      <c r="BW112" s="274"/>
      <c r="BX112" s="274"/>
      <c r="BY112" s="274"/>
      <c r="BZ112" s="274"/>
      <c r="CA112" s="274"/>
      <c r="CB112" s="274"/>
      <c r="CC112" s="274"/>
      <c r="CD112" s="274"/>
      <c r="CE112" s="274"/>
      <c r="CF112" s="274"/>
      <c r="CG112" s="274"/>
      <c r="CH112" s="274"/>
      <c r="CI112" s="274"/>
      <c r="CJ112" s="274"/>
      <c r="CK112" s="274"/>
      <c r="CL112" s="274"/>
      <c r="CM112" s="274"/>
      <c r="CN112" s="274"/>
      <c r="CO112" s="274"/>
      <c r="CP112" s="274"/>
      <c r="CQ112" s="274"/>
      <c r="CR112" s="274"/>
      <c r="CS112" s="274"/>
      <c r="CT112" s="274"/>
      <c r="CU112" s="275"/>
      <c r="CV112" s="273"/>
      <c r="CW112" s="274"/>
      <c r="CX112" s="274"/>
      <c r="CY112" s="274"/>
      <c r="CZ112" s="275"/>
      <c r="DZ112" s="298"/>
      <c r="EA112" s="298"/>
      <c r="EB112" s="298"/>
      <c r="EC112" s="298"/>
      <c r="ED112" s="298"/>
      <c r="EE112" s="298"/>
      <c r="EF112" s="298"/>
      <c r="EG112" s="298"/>
      <c r="EH112" s="298"/>
      <c r="EI112" s="298"/>
      <c r="EJ112" s="298"/>
      <c r="EK112" s="298"/>
      <c r="EL112" s="298"/>
      <c r="EM112" s="298"/>
      <c r="EN112" s="298"/>
      <c r="EO112" s="298"/>
      <c r="EP112" s="298"/>
      <c r="EQ112" s="298"/>
      <c r="ER112" s="298"/>
      <c r="ES112" s="298"/>
      <c r="ET112" s="298"/>
      <c r="EU112" s="298"/>
      <c r="EV112" s="298"/>
      <c r="EW112" s="298"/>
      <c r="EX112" s="298"/>
      <c r="EY112" s="298"/>
      <c r="EZ112" s="298"/>
      <c r="FA112" s="298"/>
      <c r="FB112" s="298"/>
      <c r="FC112" s="298"/>
      <c r="FD112" s="298"/>
      <c r="FE112" s="298"/>
      <c r="FF112" s="298"/>
      <c r="FG112" s="298"/>
      <c r="FH112" s="298"/>
      <c r="FI112" s="298"/>
      <c r="FJ112" s="298"/>
      <c r="FK112" s="298"/>
      <c r="FL112" s="298"/>
      <c r="FM112" s="298"/>
      <c r="FN112" s="298"/>
      <c r="FO112" s="298"/>
      <c r="FP112" s="298"/>
      <c r="FQ112" s="298"/>
      <c r="FR112" s="298"/>
      <c r="FY112" s="298"/>
      <c r="FZ112" s="298"/>
      <c r="GA112" s="298"/>
      <c r="GB112" s="298"/>
      <c r="GC112" s="298"/>
      <c r="GD112" s="298"/>
      <c r="GE112" s="298"/>
      <c r="GF112" s="298"/>
      <c r="GG112" s="298"/>
      <c r="GH112" s="298"/>
      <c r="GI112" s="298"/>
      <c r="GJ112" s="298"/>
      <c r="GK112" s="298"/>
      <c r="GL112" s="298"/>
      <c r="GM112" s="298"/>
      <c r="GN112" s="298"/>
      <c r="GO112" s="298"/>
      <c r="GP112" s="298"/>
      <c r="GQ112" s="298"/>
      <c r="GR112" s="298"/>
      <c r="GS112" s="298"/>
      <c r="GT112" s="298"/>
      <c r="GU112" s="298"/>
      <c r="GV112" s="298"/>
      <c r="GW112" s="298"/>
      <c r="GX112" s="298"/>
      <c r="GY112" s="298"/>
      <c r="GZ112" s="298"/>
      <c r="HA112" s="298"/>
      <c r="HB112" s="298"/>
      <c r="HC112" s="298"/>
      <c r="HD112" s="298"/>
      <c r="HE112" s="298"/>
      <c r="HF112" s="298"/>
      <c r="HG112" s="298"/>
      <c r="HH112" s="298"/>
      <c r="HI112" s="298"/>
      <c r="HJ112" s="298"/>
      <c r="HK112" s="298"/>
      <c r="HL112" s="298"/>
      <c r="HM112" s="298"/>
      <c r="HN112" s="298"/>
      <c r="HO112" s="298"/>
      <c r="HP112" s="298"/>
      <c r="HQ112" s="298"/>
      <c r="HW112" s="273"/>
      <c r="HX112" s="274"/>
      <c r="HY112" s="274"/>
      <c r="HZ112" s="274"/>
      <c r="IA112" s="274"/>
      <c r="IB112" s="274"/>
      <c r="IC112" s="274"/>
      <c r="ID112" s="274"/>
      <c r="IE112" s="274"/>
      <c r="IF112" s="274"/>
      <c r="IG112" s="274"/>
      <c r="IH112" s="274"/>
      <c r="II112" s="274"/>
      <c r="IJ112" s="274"/>
      <c r="IK112" s="274"/>
      <c r="IL112" s="274"/>
      <c r="IM112" s="274"/>
      <c r="IN112" s="274"/>
      <c r="IO112" s="274"/>
      <c r="IP112" s="274"/>
      <c r="IQ112" s="274"/>
      <c r="IR112" s="274"/>
      <c r="IS112" s="274"/>
      <c r="IT112" s="274"/>
      <c r="IU112" s="274"/>
      <c r="IV112" s="274"/>
      <c r="IW112" s="274"/>
      <c r="IX112" s="274"/>
      <c r="IY112" s="274"/>
      <c r="IZ112" s="274"/>
      <c r="JA112" s="274"/>
      <c r="JB112" s="274"/>
      <c r="JC112" s="274"/>
      <c r="JD112" s="274"/>
      <c r="JE112" s="274"/>
      <c r="JF112" s="274"/>
      <c r="JG112" s="274"/>
      <c r="JH112" s="274"/>
      <c r="JI112" s="274"/>
      <c r="JJ112" s="275"/>
      <c r="JK112" s="273"/>
      <c r="JL112" s="274"/>
      <c r="JM112" s="274"/>
      <c r="JN112" s="274"/>
      <c r="JO112" s="275"/>
      <c r="JU112" s="273"/>
      <c r="JV112" s="274"/>
      <c r="JW112" s="274"/>
      <c r="JX112" s="274"/>
      <c r="JY112" s="274"/>
      <c r="JZ112" s="274"/>
      <c r="KA112" s="274"/>
      <c r="KB112" s="274"/>
      <c r="KC112" s="274"/>
      <c r="KD112" s="274"/>
      <c r="KE112" s="274"/>
      <c r="KF112" s="274"/>
      <c r="KG112" s="274"/>
      <c r="KH112" s="274"/>
      <c r="KI112" s="274"/>
      <c r="KJ112" s="274"/>
      <c r="KK112" s="274"/>
      <c r="KL112" s="274"/>
      <c r="KM112" s="274"/>
      <c r="KN112" s="274"/>
      <c r="KO112" s="274"/>
      <c r="KP112" s="274"/>
      <c r="KQ112" s="274"/>
      <c r="KR112" s="274"/>
      <c r="KS112" s="274"/>
      <c r="KT112" s="274"/>
      <c r="KU112" s="274"/>
      <c r="KV112" s="274"/>
      <c r="KW112" s="274"/>
      <c r="KX112" s="274"/>
      <c r="KY112" s="274"/>
      <c r="KZ112" s="274"/>
      <c r="LA112" s="274"/>
      <c r="LB112" s="274"/>
      <c r="LC112" s="274"/>
      <c r="LD112" s="274"/>
      <c r="LE112" s="274"/>
      <c r="LF112" s="274"/>
      <c r="LG112" s="274"/>
      <c r="LH112" s="275"/>
      <c r="LI112" s="273"/>
      <c r="LJ112" s="274"/>
      <c r="LK112" s="274"/>
      <c r="LL112" s="274"/>
      <c r="LM112" s="275"/>
      <c r="ME112" s="180"/>
      <c r="MF112" s="181"/>
      <c r="MG112" s="199"/>
      <c r="MH112" s="199"/>
      <c r="MI112" s="199"/>
      <c r="MJ112" s="199"/>
      <c r="MK112" s="200"/>
    </row>
    <row r="113" spans="4:349" ht="5.0999999999999996" customHeight="1" x14ac:dyDescent="0.3">
      <c r="D113" s="177"/>
      <c r="E113" s="178"/>
      <c r="BG113" s="273"/>
      <c r="BH113" s="274"/>
      <c r="BI113" s="274"/>
      <c r="BJ113" s="274"/>
      <c r="BK113" s="274"/>
      <c r="BL113" s="274"/>
      <c r="BM113" s="274"/>
      <c r="BN113" s="274"/>
      <c r="BO113" s="274"/>
      <c r="BP113" s="274"/>
      <c r="BQ113" s="274"/>
      <c r="BR113" s="274"/>
      <c r="BS113" s="274"/>
      <c r="BT113" s="274"/>
      <c r="BU113" s="274"/>
      <c r="BV113" s="274"/>
      <c r="BW113" s="274"/>
      <c r="BX113" s="274"/>
      <c r="BY113" s="274"/>
      <c r="BZ113" s="274"/>
      <c r="CA113" s="274"/>
      <c r="CB113" s="274"/>
      <c r="CC113" s="274"/>
      <c r="CD113" s="274"/>
      <c r="CE113" s="274"/>
      <c r="CF113" s="274"/>
      <c r="CG113" s="274"/>
      <c r="CH113" s="274"/>
      <c r="CI113" s="274"/>
      <c r="CJ113" s="274"/>
      <c r="CK113" s="274"/>
      <c r="CL113" s="274"/>
      <c r="CM113" s="274"/>
      <c r="CN113" s="274"/>
      <c r="CO113" s="274"/>
      <c r="CP113" s="274"/>
      <c r="CQ113" s="274"/>
      <c r="CR113" s="274"/>
      <c r="CS113" s="274"/>
      <c r="CT113" s="274"/>
      <c r="CU113" s="275"/>
      <c r="CV113" s="273"/>
      <c r="CW113" s="274"/>
      <c r="CX113" s="274"/>
      <c r="CY113" s="274"/>
      <c r="CZ113" s="275"/>
      <c r="DZ113" s="298"/>
      <c r="EA113" s="298"/>
      <c r="EB113" s="298"/>
      <c r="EC113" s="298"/>
      <c r="ED113" s="298"/>
      <c r="EE113" s="298"/>
      <c r="EF113" s="298"/>
      <c r="EG113" s="298"/>
      <c r="EH113" s="298"/>
      <c r="EI113" s="298"/>
      <c r="EJ113" s="298"/>
      <c r="EK113" s="298"/>
      <c r="EL113" s="298"/>
      <c r="EM113" s="298"/>
      <c r="EN113" s="298"/>
      <c r="EO113" s="298"/>
      <c r="EP113" s="298"/>
      <c r="EQ113" s="298"/>
      <c r="ER113" s="298"/>
      <c r="ES113" s="298"/>
      <c r="ET113" s="298"/>
      <c r="EU113" s="298"/>
      <c r="EV113" s="298"/>
      <c r="EW113" s="298"/>
      <c r="EX113" s="298"/>
      <c r="EY113" s="298"/>
      <c r="EZ113" s="298"/>
      <c r="FA113" s="298"/>
      <c r="FB113" s="298"/>
      <c r="FC113" s="298"/>
      <c r="FD113" s="298"/>
      <c r="FE113" s="298"/>
      <c r="FF113" s="298"/>
      <c r="FG113" s="298"/>
      <c r="FH113" s="298"/>
      <c r="FI113" s="298"/>
      <c r="FJ113" s="298"/>
      <c r="FK113" s="298"/>
      <c r="FL113" s="298"/>
      <c r="FM113" s="298"/>
      <c r="FN113" s="298"/>
      <c r="FO113" s="298"/>
      <c r="FP113" s="298"/>
      <c r="FQ113" s="298"/>
      <c r="FR113" s="298"/>
      <c r="FY113" s="298"/>
      <c r="FZ113" s="298"/>
      <c r="GA113" s="298"/>
      <c r="GB113" s="298"/>
      <c r="GC113" s="298"/>
      <c r="GD113" s="298"/>
      <c r="GE113" s="298"/>
      <c r="GF113" s="298"/>
      <c r="GG113" s="298"/>
      <c r="GH113" s="298"/>
      <c r="GI113" s="298"/>
      <c r="GJ113" s="298"/>
      <c r="GK113" s="298"/>
      <c r="GL113" s="298"/>
      <c r="GM113" s="298"/>
      <c r="GN113" s="298"/>
      <c r="GO113" s="298"/>
      <c r="GP113" s="298"/>
      <c r="GQ113" s="298"/>
      <c r="GR113" s="298"/>
      <c r="GS113" s="298"/>
      <c r="GT113" s="298"/>
      <c r="GU113" s="298"/>
      <c r="GV113" s="298"/>
      <c r="GW113" s="298"/>
      <c r="GX113" s="298"/>
      <c r="GY113" s="298"/>
      <c r="GZ113" s="298"/>
      <c r="HA113" s="298"/>
      <c r="HB113" s="298"/>
      <c r="HC113" s="298"/>
      <c r="HD113" s="298"/>
      <c r="HE113" s="298"/>
      <c r="HF113" s="298"/>
      <c r="HG113" s="298"/>
      <c r="HH113" s="298"/>
      <c r="HI113" s="298"/>
      <c r="HJ113" s="298"/>
      <c r="HK113" s="298"/>
      <c r="HL113" s="298"/>
      <c r="HM113" s="298"/>
      <c r="HN113" s="298"/>
      <c r="HO113" s="298"/>
      <c r="HP113" s="298"/>
      <c r="HQ113" s="298"/>
      <c r="HW113" s="273"/>
      <c r="HX113" s="274"/>
      <c r="HY113" s="274"/>
      <c r="HZ113" s="274"/>
      <c r="IA113" s="274"/>
      <c r="IB113" s="274"/>
      <c r="IC113" s="274"/>
      <c r="ID113" s="274"/>
      <c r="IE113" s="274"/>
      <c r="IF113" s="274"/>
      <c r="IG113" s="274"/>
      <c r="IH113" s="274"/>
      <c r="II113" s="274"/>
      <c r="IJ113" s="274"/>
      <c r="IK113" s="274"/>
      <c r="IL113" s="274"/>
      <c r="IM113" s="274"/>
      <c r="IN113" s="274"/>
      <c r="IO113" s="274"/>
      <c r="IP113" s="274"/>
      <c r="IQ113" s="274"/>
      <c r="IR113" s="274"/>
      <c r="IS113" s="274"/>
      <c r="IT113" s="274"/>
      <c r="IU113" s="274"/>
      <c r="IV113" s="274"/>
      <c r="IW113" s="274"/>
      <c r="IX113" s="274"/>
      <c r="IY113" s="274"/>
      <c r="IZ113" s="274"/>
      <c r="JA113" s="274"/>
      <c r="JB113" s="274"/>
      <c r="JC113" s="274"/>
      <c r="JD113" s="274"/>
      <c r="JE113" s="274"/>
      <c r="JF113" s="274"/>
      <c r="JG113" s="274"/>
      <c r="JH113" s="274"/>
      <c r="JI113" s="274"/>
      <c r="JJ113" s="275"/>
      <c r="JK113" s="273"/>
      <c r="JL113" s="274"/>
      <c r="JM113" s="274"/>
      <c r="JN113" s="274"/>
      <c r="JO113" s="275"/>
      <c r="JU113" s="273"/>
      <c r="JV113" s="274"/>
      <c r="JW113" s="274"/>
      <c r="JX113" s="274"/>
      <c r="JY113" s="274"/>
      <c r="JZ113" s="274"/>
      <c r="KA113" s="274"/>
      <c r="KB113" s="274"/>
      <c r="KC113" s="274"/>
      <c r="KD113" s="274"/>
      <c r="KE113" s="274"/>
      <c r="KF113" s="274"/>
      <c r="KG113" s="274"/>
      <c r="KH113" s="274"/>
      <c r="KI113" s="274"/>
      <c r="KJ113" s="274"/>
      <c r="KK113" s="274"/>
      <c r="KL113" s="274"/>
      <c r="KM113" s="274"/>
      <c r="KN113" s="274"/>
      <c r="KO113" s="274"/>
      <c r="KP113" s="274"/>
      <c r="KQ113" s="274"/>
      <c r="KR113" s="274"/>
      <c r="KS113" s="274"/>
      <c r="KT113" s="274"/>
      <c r="KU113" s="274"/>
      <c r="KV113" s="274"/>
      <c r="KW113" s="274"/>
      <c r="KX113" s="274"/>
      <c r="KY113" s="274"/>
      <c r="KZ113" s="274"/>
      <c r="LA113" s="274"/>
      <c r="LB113" s="274"/>
      <c r="LC113" s="274"/>
      <c r="LD113" s="274"/>
      <c r="LE113" s="274"/>
      <c r="LF113" s="274"/>
      <c r="LG113" s="274"/>
      <c r="LH113" s="275"/>
      <c r="LI113" s="273"/>
      <c r="LJ113" s="274"/>
      <c r="LK113" s="274"/>
      <c r="LL113" s="274"/>
      <c r="LM113" s="275"/>
      <c r="ME113" s="180"/>
      <c r="MF113" s="181"/>
      <c r="MG113" s="199"/>
      <c r="MH113" s="199"/>
      <c r="MI113" s="199"/>
      <c r="MJ113" s="199"/>
      <c r="MK113" s="200"/>
    </row>
    <row r="114" spans="4:349" ht="5.0999999999999996" customHeight="1" x14ac:dyDescent="0.3">
      <c r="D114" s="177"/>
      <c r="E114" s="178"/>
      <c r="BG114" s="273"/>
      <c r="BH114" s="274"/>
      <c r="BI114" s="274"/>
      <c r="BJ114" s="274"/>
      <c r="BK114" s="274"/>
      <c r="BL114" s="274"/>
      <c r="BM114" s="274"/>
      <c r="BN114" s="274"/>
      <c r="BO114" s="274"/>
      <c r="BP114" s="274"/>
      <c r="BQ114" s="274"/>
      <c r="BR114" s="274"/>
      <c r="BS114" s="274"/>
      <c r="BT114" s="274"/>
      <c r="BU114" s="274"/>
      <c r="BV114" s="274"/>
      <c r="BW114" s="274"/>
      <c r="BX114" s="274"/>
      <c r="BY114" s="274"/>
      <c r="BZ114" s="274"/>
      <c r="CA114" s="274"/>
      <c r="CB114" s="274"/>
      <c r="CC114" s="274"/>
      <c r="CD114" s="274"/>
      <c r="CE114" s="274"/>
      <c r="CF114" s="274"/>
      <c r="CG114" s="274"/>
      <c r="CH114" s="274"/>
      <c r="CI114" s="274"/>
      <c r="CJ114" s="274"/>
      <c r="CK114" s="274"/>
      <c r="CL114" s="274"/>
      <c r="CM114" s="274"/>
      <c r="CN114" s="274"/>
      <c r="CO114" s="274"/>
      <c r="CP114" s="274"/>
      <c r="CQ114" s="274"/>
      <c r="CR114" s="274"/>
      <c r="CS114" s="274"/>
      <c r="CT114" s="274"/>
      <c r="CU114" s="275"/>
      <c r="CV114" s="273"/>
      <c r="CW114" s="274"/>
      <c r="CX114" s="274"/>
      <c r="CY114" s="274"/>
      <c r="CZ114" s="275"/>
      <c r="DZ114" s="298"/>
      <c r="EA114" s="298"/>
      <c r="EB114" s="298"/>
      <c r="EC114" s="298"/>
      <c r="ED114" s="298"/>
      <c r="EE114" s="298"/>
      <c r="EF114" s="298"/>
      <c r="EG114" s="298"/>
      <c r="EH114" s="298"/>
      <c r="EI114" s="298"/>
      <c r="EJ114" s="298"/>
      <c r="EK114" s="298"/>
      <c r="EL114" s="298"/>
      <c r="EM114" s="298"/>
      <c r="EN114" s="298"/>
      <c r="EO114" s="298"/>
      <c r="EP114" s="298"/>
      <c r="EQ114" s="298"/>
      <c r="ER114" s="298"/>
      <c r="ES114" s="298"/>
      <c r="ET114" s="298"/>
      <c r="EU114" s="298"/>
      <c r="EV114" s="298"/>
      <c r="EW114" s="298"/>
      <c r="EX114" s="298"/>
      <c r="EY114" s="298"/>
      <c r="EZ114" s="298"/>
      <c r="FA114" s="298"/>
      <c r="FB114" s="298"/>
      <c r="FC114" s="298"/>
      <c r="FD114" s="298"/>
      <c r="FE114" s="298"/>
      <c r="FF114" s="298"/>
      <c r="FG114" s="298"/>
      <c r="FH114" s="298"/>
      <c r="FI114" s="298"/>
      <c r="FJ114" s="298"/>
      <c r="FK114" s="298"/>
      <c r="FL114" s="298"/>
      <c r="FM114" s="298"/>
      <c r="FN114" s="298"/>
      <c r="FO114" s="298"/>
      <c r="FP114" s="298"/>
      <c r="FQ114" s="298"/>
      <c r="FR114" s="298"/>
      <c r="FY114" s="298"/>
      <c r="FZ114" s="298"/>
      <c r="GA114" s="298"/>
      <c r="GB114" s="298"/>
      <c r="GC114" s="298"/>
      <c r="GD114" s="298"/>
      <c r="GE114" s="298"/>
      <c r="GF114" s="298"/>
      <c r="GG114" s="298"/>
      <c r="GH114" s="298"/>
      <c r="GI114" s="298"/>
      <c r="GJ114" s="298"/>
      <c r="GK114" s="298"/>
      <c r="GL114" s="298"/>
      <c r="GM114" s="298"/>
      <c r="GN114" s="298"/>
      <c r="GO114" s="298"/>
      <c r="GP114" s="298"/>
      <c r="GQ114" s="298"/>
      <c r="GR114" s="298"/>
      <c r="GS114" s="298"/>
      <c r="GT114" s="298"/>
      <c r="GU114" s="298"/>
      <c r="GV114" s="298"/>
      <c r="GW114" s="298"/>
      <c r="GX114" s="298"/>
      <c r="GY114" s="298"/>
      <c r="GZ114" s="298"/>
      <c r="HA114" s="298"/>
      <c r="HB114" s="298"/>
      <c r="HC114" s="298"/>
      <c r="HD114" s="298"/>
      <c r="HE114" s="298"/>
      <c r="HF114" s="298"/>
      <c r="HG114" s="298"/>
      <c r="HH114" s="298"/>
      <c r="HI114" s="298"/>
      <c r="HJ114" s="298"/>
      <c r="HK114" s="298"/>
      <c r="HL114" s="298"/>
      <c r="HM114" s="298"/>
      <c r="HN114" s="298"/>
      <c r="HO114" s="298"/>
      <c r="HP114" s="298"/>
      <c r="HQ114" s="298"/>
      <c r="HW114" s="273"/>
      <c r="HX114" s="274"/>
      <c r="HY114" s="274"/>
      <c r="HZ114" s="274"/>
      <c r="IA114" s="274"/>
      <c r="IB114" s="274"/>
      <c r="IC114" s="274"/>
      <c r="ID114" s="274"/>
      <c r="IE114" s="274"/>
      <c r="IF114" s="274"/>
      <c r="IG114" s="274"/>
      <c r="IH114" s="274"/>
      <c r="II114" s="274"/>
      <c r="IJ114" s="274"/>
      <c r="IK114" s="274"/>
      <c r="IL114" s="274"/>
      <c r="IM114" s="274"/>
      <c r="IN114" s="274"/>
      <c r="IO114" s="274"/>
      <c r="IP114" s="274"/>
      <c r="IQ114" s="274"/>
      <c r="IR114" s="274"/>
      <c r="IS114" s="274"/>
      <c r="IT114" s="274"/>
      <c r="IU114" s="274"/>
      <c r="IV114" s="274"/>
      <c r="IW114" s="274"/>
      <c r="IX114" s="274"/>
      <c r="IY114" s="274"/>
      <c r="IZ114" s="274"/>
      <c r="JA114" s="274"/>
      <c r="JB114" s="274"/>
      <c r="JC114" s="274"/>
      <c r="JD114" s="274"/>
      <c r="JE114" s="274"/>
      <c r="JF114" s="274"/>
      <c r="JG114" s="274"/>
      <c r="JH114" s="274"/>
      <c r="JI114" s="274"/>
      <c r="JJ114" s="275"/>
      <c r="JK114" s="273"/>
      <c r="JL114" s="274"/>
      <c r="JM114" s="274"/>
      <c r="JN114" s="274"/>
      <c r="JO114" s="275"/>
      <c r="JU114" s="273"/>
      <c r="JV114" s="274"/>
      <c r="JW114" s="274"/>
      <c r="JX114" s="274"/>
      <c r="JY114" s="274"/>
      <c r="JZ114" s="274"/>
      <c r="KA114" s="274"/>
      <c r="KB114" s="274"/>
      <c r="KC114" s="274"/>
      <c r="KD114" s="274"/>
      <c r="KE114" s="274"/>
      <c r="KF114" s="274"/>
      <c r="KG114" s="274"/>
      <c r="KH114" s="274"/>
      <c r="KI114" s="274"/>
      <c r="KJ114" s="274"/>
      <c r="KK114" s="274"/>
      <c r="KL114" s="274"/>
      <c r="KM114" s="274"/>
      <c r="KN114" s="274"/>
      <c r="KO114" s="274"/>
      <c r="KP114" s="274"/>
      <c r="KQ114" s="274"/>
      <c r="KR114" s="274"/>
      <c r="KS114" s="274"/>
      <c r="KT114" s="274"/>
      <c r="KU114" s="274"/>
      <c r="KV114" s="274"/>
      <c r="KW114" s="274"/>
      <c r="KX114" s="274"/>
      <c r="KY114" s="274"/>
      <c r="KZ114" s="274"/>
      <c r="LA114" s="274"/>
      <c r="LB114" s="274"/>
      <c r="LC114" s="274"/>
      <c r="LD114" s="274"/>
      <c r="LE114" s="274"/>
      <c r="LF114" s="274"/>
      <c r="LG114" s="274"/>
      <c r="LH114" s="275"/>
      <c r="LI114" s="273"/>
      <c r="LJ114" s="274"/>
      <c r="LK114" s="274"/>
      <c r="LL114" s="274"/>
      <c r="LM114" s="275"/>
      <c r="ME114" s="180"/>
      <c r="MF114" s="181"/>
      <c r="MG114" s="199"/>
      <c r="MH114" s="199"/>
      <c r="MI114" s="199"/>
      <c r="MJ114" s="199"/>
      <c r="MK114" s="200"/>
    </row>
    <row r="115" spans="4:349" ht="5.0999999999999996" customHeight="1" x14ac:dyDescent="0.3">
      <c r="D115" s="177"/>
      <c r="E115" s="178"/>
      <c r="BG115" s="273"/>
      <c r="BH115" s="274"/>
      <c r="BI115" s="274"/>
      <c r="BJ115" s="274"/>
      <c r="BK115" s="274"/>
      <c r="BL115" s="274"/>
      <c r="BM115" s="274"/>
      <c r="BN115" s="274"/>
      <c r="BO115" s="274"/>
      <c r="BP115" s="274"/>
      <c r="BQ115" s="274"/>
      <c r="BR115" s="274"/>
      <c r="BS115" s="274"/>
      <c r="BT115" s="274"/>
      <c r="BU115" s="274"/>
      <c r="BV115" s="274"/>
      <c r="BW115" s="274"/>
      <c r="BX115" s="274"/>
      <c r="BY115" s="274"/>
      <c r="BZ115" s="274"/>
      <c r="CA115" s="274"/>
      <c r="CB115" s="274"/>
      <c r="CC115" s="274"/>
      <c r="CD115" s="274"/>
      <c r="CE115" s="274"/>
      <c r="CF115" s="274"/>
      <c r="CG115" s="274"/>
      <c r="CH115" s="274"/>
      <c r="CI115" s="274"/>
      <c r="CJ115" s="274"/>
      <c r="CK115" s="274"/>
      <c r="CL115" s="274"/>
      <c r="CM115" s="274"/>
      <c r="CN115" s="274"/>
      <c r="CO115" s="274"/>
      <c r="CP115" s="274"/>
      <c r="CQ115" s="274"/>
      <c r="CR115" s="274"/>
      <c r="CS115" s="274"/>
      <c r="CT115" s="274"/>
      <c r="CU115" s="275"/>
      <c r="CV115" s="273"/>
      <c r="CW115" s="274"/>
      <c r="CX115" s="274"/>
      <c r="CY115" s="274"/>
      <c r="CZ115" s="275"/>
      <c r="DZ115" s="298"/>
      <c r="EA115" s="298"/>
      <c r="EB115" s="298"/>
      <c r="EC115" s="298"/>
      <c r="ED115" s="298"/>
      <c r="EE115" s="298"/>
      <c r="EF115" s="298"/>
      <c r="EG115" s="298"/>
      <c r="EH115" s="298"/>
      <c r="EI115" s="298"/>
      <c r="EJ115" s="298"/>
      <c r="EK115" s="298"/>
      <c r="EL115" s="298"/>
      <c r="EM115" s="298"/>
      <c r="EN115" s="298"/>
      <c r="EO115" s="298"/>
      <c r="EP115" s="298"/>
      <c r="EQ115" s="298"/>
      <c r="ER115" s="298"/>
      <c r="ES115" s="298"/>
      <c r="ET115" s="298"/>
      <c r="EU115" s="298"/>
      <c r="EV115" s="298"/>
      <c r="EW115" s="298"/>
      <c r="EX115" s="298"/>
      <c r="EY115" s="298"/>
      <c r="EZ115" s="298"/>
      <c r="FA115" s="298"/>
      <c r="FB115" s="298"/>
      <c r="FC115" s="298"/>
      <c r="FD115" s="298"/>
      <c r="FE115" s="298"/>
      <c r="FF115" s="298"/>
      <c r="FG115" s="298"/>
      <c r="FH115" s="298"/>
      <c r="FI115" s="298"/>
      <c r="FJ115" s="298"/>
      <c r="FK115" s="298"/>
      <c r="FL115" s="298"/>
      <c r="FM115" s="298"/>
      <c r="FN115" s="298"/>
      <c r="FO115" s="298"/>
      <c r="FP115" s="298"/>
      <c r="FQ115" s="298"/>
      <c r="FR115" s="298"/>
      <c r="FY115" s="298"/>
      <c r="FZ115" s="298"/>
      <c r="GA115" s="298"/>
      <c r="GB115" s="298"/>
      <c r="GC115" s="298"/>
      <c r="GD115" s="298"/>
      <c r="GE115" s="298"/>
      <c r="GF115" s="298"/>
      <c r="GG115" s="298"/>
      <c r="GH115" s="298"/>
      <c r="GI115" s="298"/>
      <c r="GJ115" s="298"/>
      <c r="GK115" s="298"/>
      <c r="GL115" s="298"/>
      <c r="GM115" s="298"/>
      <c r="GN115" s="298"/>
      <c r="GO115" s="298"/>
      <c r="GP115" s="298"/>
      <c r="GQ115" s="298"/>
      <c r="GR115" s="298"/>
      <c r="GS115" s="298"/>
      <c r="GT115" s="298"/>
      <c r="GU115" s="298"/>
      <c r="GV115" s="298"/>
      <c r="GW115" s="298"/>
      <c r="GX115" s="298"/>
      <c r="GY115" s="298"/>
      <c r="GZ115" s="298"/>
      <c r="HA115" s="298"/>
      <c r="HB115" s="298"/>
      <c r="HC115" s="298"/>
      <c r="HD115" s="298"/>
      <c r="HE115" s="298"/>
      <c r="HF115" s="298"/>
      <c r="HG115" s="298"/>
      <c r="HH115" s="298"/>
      <c r="HI115" s="298"/>
      <c r="HJ115" s="298"/>
      <c r="HK115" s="298"/>
      <c r="HL115" s="298"/>
      <c r="HM115" s="298"/>
      <c r="HN115" s="298"/>
      <c r="HO115" s="298"/>
      <c r="HP115" s="298"/>
      <c r="HQ115" s="298"/>
      <c r="HW115" s="273"/>
      <c r="HX115" s="274"/>
      <c r="HY115" s="274"/>
      <c r="HZ115" s="274"/>
      <c r="IA115" s="274"/>
      <c r="IB115" s="274"/>
      <c r="IC115" s="274"/>
      <c r="ID115" s="274"/>
      <c r="IE115" s="274"/>
      <c r="IF115" s="274"/>
      <c r="IG115" s="274"/>
      <c r="IH115" s="274"/>
      <c r="II115" s="274"/>
      <c r="IJ115" s="274"/>
      <c r="IK115" s="274"/>
      <c r="IL115" s="274"/>
      <c r="IM115" s="274"/>
      <c r="IN115" s="274"/>
      <c r="IO115" s="274"/>
      <c r="IP115" s="274"/>
      <c r="IQ115" s="274"/>
      <c r="IR115" s="274"/>
      <c r="IS115" s="274"/>
      <c r="IT115" s="274"/>
      <c r="IU115" s="274"/>
      <c r="IV115" s="274"/>
      <c r="IW115" s="274"/>
      <c r="IX115" s="274"/>
      <c r="IY115" s="274"/>
      <c r="IZ115" s="274"/>
      <c r="JA115" s="274"/>
      <c r="JB115" s="274"/>
      <c r="JC115" s="274"/>
      <c r="JD115" s="274"/>
      <c r="JE115" s="274"/>
      <c r="JF115" s="274"/>
      <c r="JG115" s="274"/>
      <c r="JH115" s="274"/>
      <c r="JI115" s="274"/>
      <c r="JJ115" s="275"/>
      <c r="JK115" s="273"/>
      <c r="JL115" s="274"/>
      <c r="JM115" s="274"/>
      <c r="JN115" s="274"/>
      <c r="JO115" s="275"/>
      <c r="JU115" s="273"/>
      <c r="JV115" s="274"/>
      <c r="JW115" s="274"/>
      <c r="JX115" s="274"/>
      <c r="JY115" s="274"/>
      <c r="JZ115" s="274"/>
      <c r="KA115" s="274"/>
      <c r="KB115" s="274"/>
      <c r="KC115" s="274"/>
      <c r="KD115" s="274"/>
      <c r="KE115" s="274"/>
      <c r="KF115" s="274"/>
      <c r="KG115" s="274"/>
      <c r="KH115" s="274"/>
      <c r="KI115" s="274"/>
      <c r="KJ115" s="274"/>
      <c r="KK115" s="274"/>
      <c r="KL115" s="274"/>
      <c r="KM115" s="274"/>
      <c r="KN115" s="274"/>
      <c r="KO115" s="274"/>
      <c r="KP115" s="274"/>
      <c r="KQ115" s="274"/>
      <c r="KR115" s="274"/>
      <c r="KS115" s="274"/>
      <c r="KT115" s="274"/>
      <c r="KU115" s="274"/>
      <c r="KV115" s="274"/>
      <c r="KW115" s="274"/>
      <c r="KX115" s="274"/>
      <c r="KY115" s="274"/>
      <c r="KZ115" s="274"/>
      <c r="LA115" s="274"/>
      <c r="LB115" s="274"/>
      <c r="LC115" s="274"/>
      <c r="LD115" s="274"/>
      <c r="LE115" s="274"/>
      <c r="LF115" s="274"/>
      <c r="LG115" s="274"/>
      <c r="LH115" s="275"/>
      <c r="LI115" s="273"/>
      <c r="LJ115" s="274"/>
      <c r="LK115" s="274"/>
      <c r="LL115" s="274"/>
      <c r="LM115" s="275"/>
      <c r="ME115" s="180"/>
      <c r="MF115" s="181"/>
      <c r="MG115" s="199"/>
      <c r="MH115" s="199"/>
      <c r="MI115" s="199"/>
      <c r="MJ115" s="199"/>
      <c r="MK115" s="200"/>
    </row>
    <row r="116" spans="4:349" ht="5.0999999999999996" customHeight="1" x14ac:dyDescent="0.3">
      <c r="D116" s="177"/>
      <c r="E116" s="178"/>
      <c r="BG116" s="273"/>
      <c r="BH116" s="274"/>
      <c r="BI116" s="274"/>
      <c r="BJ116" s="274"/>
      <c r="BK116" s="274"/>
      <c r="BL116" s="274"/>
      <c r="BM116" s="274"/>
      <c r="BN116" s="274"/>
      <c r="BO116" s="274"/>
      <c r="BP116" s="274"/>
      <c r="BQ116" s="274"/>
      <c r="BR116" s="274"/>
      <c r="BS116" s="274"/>
      <c r="BT116" s="274"/>
      <c r="BU116" s="274"/>
      <c r="BV116" s="274"/>
      <c r="BW116" s="274"/>
      <c r="BX116" s="274"/>
      <c r="BY116" s="274"/>
      <c r="BZ116" s="274"/>
      <c r="CA116" s="274"/>
      <c r="CB116" s="274"/>
      <c r="CC116" s="274"/>
      <c r="CD116" s="274"/>
      <c r="CE116" s="274"/>
      <c r="CF116" s="274"/>
      <c r="CG116" s="274"/>
      <c r="CH116" s="274"/>
      <c r="CI116" s="274"/>
      <c r="CJ116" s="274"/>
      <c r="CK116" s="274"/>
      <c r="CL116" s="274"/>
      <c r="CM116" s="274"/>
      <c r="CN116" s="274"/>
      <c r="CO116" s="274"/>
      <c r="CP116" s="274"/>
      <c r="CQ116" s="274"/>
      <c r="CR116" s="274"/>
      <c r="CS116" s="274"/>
      <c r="CT116" s="274"/>
      <c r="CU116" s="275"/>
      <c r="CV116" s="273"/>
      <c r="CW116" s="274"/>
      <c r="CX116" s="274"/>
      <c r="CY116" s="274"/>
      <c r="CZ116" s="275"/>
      <c r="DZ116" s="298"/>
      <c r="EA116" s="298"/>
      <c r="EB116" s="298"/>
      <c r="EC116" s="298"/>
      <c r="ED116" s="298"/>
      <c r="EE116" s="298"/>
      <c r="EF116" s="298"/>
      <c r="EG116" s="298"/>
      <c r="EH116" s="298"/>
      <c r="EI116" s="298"/>
      <c r="EJ116" s="298"/>
      <c r="EK116" s="298"/>
      <c r="EL116" s="298"/>
      <c r="EM116" s="298"/>
      <c r="EN116" s="298"/>
      <c r="EO116" s="298"/>
      <c r="EP116" s="298"/>
      <c r="EQ116" s="298"/>
      <c r="ER116" s="298"/>
      <c r="ES116" s="298"/>
      <c r="ET116" s="298"/>
      <c r="EU116" s="298"/>
      <c r="EV116" s="298"/>
      <c r="EW116" s="298"/>
      <c r="EX116" s="298"/>
      <c r="EY116" s="298"/>
      <c r="EZ116" s="298"/>
      <c r="FA116" s="298"/>
      <c r="FB116" s="298"/>
      <c r="FC116" s="298"/>
      <c r="FD116" s="298"/>
      <c r="FE116" s="298"/>
      <c r="FF116" s="298"/>
      <c r="FG116" s="298"/>
      <c r="FH116" s="298"/>
      <c r="FI116" s="298"/>
      <c r="FJ116" s="298"/>
      <c r="FK116" s="298"/>
      <c r="FL116" s="298"/>
      <c r="FM116" s="298"/>
      <c r="FN116" s="298"/>
      <c r="FO116" s="298"/>
      <c r="FP116" s="298"/>
      <c r="FQ116" s="298"/>
      <c r="FR116" s="298"/>
      <c r="FY116" s="298"/>
      <c r="FZ116" s="298"/>
      <c r="GA116" s="298"/>
      <c r="GB116" s="298"/>
      <c r="GC116" s="298"/>
      <c r="GD116" s="298"/>
      <c r="GE116" s="298"/>
      <c r="GF116" s="298"/>
      <c r="GG116" s="298"/>
      <c r="GH116" s="298"/>
      <c r="GI116" s="298"/>
      <c r="GJ116" s="298"/>
      <c r="GK116" s="298"/>
      <c r="GL116" s="298"/>
      <c r="GM116" s="298"/>
      <c r="GN116" s="298"/>
      <c r="GO116" s="298"/>
      <c r="GP116" s="298"/>
      <c r="GQ116" s="298"/>
      <c r="GR116" s="298"/>
      <c r="GS116" s="298"/>
      <c r="GT116" s="298"/>
      <c r="GU116" s="298"/>
      <c r="GV116" s="298"/>
      <c r="GW116" s="298"/>
      <c r="GX116" s="298"/>
      <c r="GY116" s="298"/>
      <c r="GZ116" s="298"/>
      <c r="HA116" s="298"/>
      <c r="HB116" s="298"/>
      <c r="HC116" s="298"/>
      <c r="HD116" s="298"/>
      <c r="HE116" s="298"/>
      <c r="HF116" s="298"/>
      <c r="HG116" s="298"/>
      <c r="HH116" s="298"/>
      <c r="HI116" s="298"/>
      <c r="HJ116" s="298"/>
      <c r="HK116" s="298"/>
      <c r="HL116" s="298"/>
      <c r="HM116" s="298"/>
      <c r="HN116" s="298"/>
      <c r="HO116" s="298"/>
      <c r="HP116" s="298"/>
      <c r="HQ116" s="298"/>
      <c r="HW116" s="273"/>
      <c r="HX116" s="274"/>
      <c r="HY116" s="274"/>
      <c r="HZ116" s="274"/>
      <c r="IA116" s="274"/>
      <c r="IB116" s="274"/>
      <c r="IC116" s="274"/>
      <c r="ID116" s="274"/>
      <c r="IE116" s="274"/>
      <c r="IF116" s="274"/>
      <c r="IG116" s="274"/>
      <c r="IH116" s="274"/>
      <c r="II116" s="274"/>
      <c r="IJ116" s="274"/>
      <c r="IK116" s="274"/>
      <c r="IL116" s="274"/>
      <c r="IM116" s="274"/>
      <c r="IN116" s="274"/>
      <c r="IO116" s="274"/>
      <c r="IP116" s="274"/>
      <c r="IQ116" s="274"/>
      <c r="IR116" s="274"/>
      <c r="IS116" s="274"/>
      <c r="IT116" s="274"/>
      <c r="IU116" s="274"/>
      <c r="IV116" s="274"/>
      <c r="IW116" s="274"/>
      <c r="IX116" s="274"/>
      <c r="IY116" s="274"/>
      <c r="IZ116" s="274"/>
      <c r="JA116" s="274"/>
      <c r="JB116" s="274"/>
      <c r="JC116" s="274"/>
      <c r="JD116" s="274"/>
      <c r="JE116" s="274"/>
      <c r="JF116" s="274"/>
      <c r="JG116" s="274"/>
      <c r="JH116" s="274"/>
      <c r="JI116" s="274"/>
      <c r="JJ116" s="275"/>
      <c r="JK116" s="273"/>
      <c r="JL116" s="274"/>
      <c r="JM116" s="274"/>
      <c r="JN116" s="274"/>
      <c r="JO116" s="275"/>
      <c r="JU116" s="273"/>
      <c r="JV116" s="274"/>
      <c r="JW116" s="274"/>
      <c r="JX116" s="274"/>
      <c r="JY116" s="274"/>
      <c r="JZ116" s="274"/>
      <c r="KA116" s="274"/>
      <c r="KB116" s="274"/>
      <c r="KC116" s="274"/>
      <c r="KD116" s="274"/>
      <c r="KE116" s="274"/>
      <c r="KF116" s="274"/>
      <c r="KG116" s="274"/>
      <c r="KH116" s="274"/>
      <c r="KI116" s="274"/>
      <c r="KJ116" s="274"/>
      <c r="KK116" s="274"/>
      <c r="KL116" s="274"/>
      <c r="KM116" s="274"/>
      <c r="KN116" s="274"/>
      <c r="KO116" s="274"/>
      <c r="KP116" s="274"/>
      <c r="KQ116" s="274"/>
      <c r="KR116" s="274"/>
      <c r="KS116" s="274"/>
      <c r="KT116" s="274"/>
      <c r="KU116" s="274"/>
      <c r="KV116" s="274"/>
      <c r="KW116" s="274"/>
      <c r="KX116" s="274"/>
      <c r="KY116" s="274"/>
      <c r="KZ116" s="274"/>
      <c r="LA116" s="274"/>
      <c r="LB116" s="274"/>
      <c r="LC116" s="274"/>
      <c r="LD116" s="274"/>
      <c r="LE116" s="274"/>
      <c r="LF116" s="274"/>
      <c r="LG116" s="274"/>
      <c r="LH116" s="275"/>
      <c r="LI116" s="273"/>
      <c r="LJ116" s="274"/>
      <c r="LK116" s="274"/>
      <c r="LL116" s="274"/>
      <c r="LM116" s="275"/>
      <c r="ME116" s="180"/>
      <c r="MF116" s="181"/>
      <c r="MG116" s="199"/>
      <c r="MH116" s="199"/>
      <c r="MI116" s="199"/>
      <c r="MJ116" s="199"/>
      <c r="MK116" s="200"/>
    </row>
    <row r="117" spans="4:349" ht="5.0999999999999996" customHeight="1" x14ac:dyDescent="0.3">
      <c r="D117" s="177"/>
      <c r="E117" s="178"/>
      <c r="BG117" s="276"/>
      <c r="BH117" s="277"/>
      <c r="BI117" s="277"/>
      <c r="BJ117" s="277"/>
      <c r="BK117" s="277"/>
      <c r="BL117" s="277"/>
      <c r="BM117" s="277"/>
      <c r="BN117" s="277"/>
      <c r="BO117" s="277"/>
      <c r="BP117" s="277"/>
      <c r="BQ117" s="277"/>
      <c r="BR117" s="277"/>
      <c r="BS117" s="277"/>
      <c r="BT117" s="277"/>
      <c r="BU117" s="277"/>
      <c r="BV117" s="277"/>
      <c r="BW117" s="277"/>
      <c r="BX117" s="277"/>
      <c r="BY117" s="277"/>
      <c r="BZ117" s="277"/>
      <c r="CA117" s="277"/>
      <c r="CB117" s="277"/>
      <c r="CC117" s="277"/>
      <c r="CD117" s="277"/>
      <c r="CE117" s="277"/>
      <c r="CF117" s="277"/>
      <c r="CG117" s="277"/>
      <c r="CH117" s="277"/>
      <c r="CI117" s="277"/>
      <c r="CJ117" s="277"/>
      <c r="CK117" s="277"/>
      <c r="CL117" s="277"/>
      <c r="CM117" s="277"/>
      <c r="CN117" s="277"/>
      <c r="CO117" s="277"/>
      <c r="CP117" s="277"/>
      <c r="CQ117" s="277"/>
      <c r="CR117" s="277"/>
      <c r="CS117" s="277"/>
      <c r="CT117" s="277"/>
      <c r="CU117" s="278"/>
      <c r="CV117" s="276"/>
      <c r="CW117" s="277"/>
      <c r="CX117" s="277"/>
      <c r="CY117" s="277"/>
      <c r="CZ117" s="278"/>
      <c r="DZ117" s="298"/>
      <c r="EA117" s="298"/>
      <c r="EB117" s="298"/>
      <c r="EC117" s="298"/>
      <c r="ED117" s="298"/>
      <c r="EE117" s="298"/>
      <c r="EF117" s="298"/>
      <c r="EG117" s="298"/>
      <c r="EH117" s="298"/>
      <c r="EI117" s="298"/>
      <c r="EJ117" s="298"/>
      <c r="EK117" s="298"/>
      <c r="EL117" s="298"/>
      <c r="EM117" s="298"/>
      <c r="EN117" s="298"/>
      <c r="EO117" s="298"/>
      <c r="EP117" s="298"/>
      <c r="EQ117" s="298"/>
      <c r="ER117" s="298"/>
      <c r="ES117" s="298"/>
      <c r="ET117" s="298"/>
      <c r="EU117" s="298"/>
      <c r="EV117" s="298"/>
      <c r="EW117" s="298"/>
      <c r="EX117" s="298"/>
      <c r="EY117" s="298"/>
      <c r="EZ117" s="298"/>
      <c r="FA117" s="298"/>
      <c r="FB117" s="298"/>
      <c r="FC117" s="298"/>
      <c r="FD117" s="298"/>
      <c r="FE117" s="298"/>
      <c r="FF117" s="298"/>
      <c r="FG117" s="298"/>
      <c r="FH117" s="298"/>
      <c r="FI117" s="298"/>
      <c r="FJ117" s="298"/>
      <c r="FK117" s="298"/>
      <c r="FL117" s="298"/>
      <c r="FM117" s="298"/>
      <c r="FN117" s="298"/>
      <c r="FO117" s="298"/>
      <c r="FP117" s="298"/>
      <c r="FQ117" s="298"/>
      <c r="FR117" s="298"/>
      <c r="FY117" s="298"/>
      <c r="FZ117" s="298"/>
      <c r="GA117" s="298"/>
      <c r="GB117" s="298"/>
      <c r="GC117" s="298"/>
      <c r="GD117" s="298"/>
      <c r="GE117" s="298"/>
      <c r="GF117" s="298"/>
      <c r="GG117" s="298"/>
      <c r="GH117" s="298"/>
      <c r="GI117" s="298"/>
      <c r="GJ117" s="298"/>
      <c r="GK117" s="298"/>
      <c r="GL117" s="298"/>
      <c r="GM117" s="298"/>
      <c r="GN117" s="298"/>
      <c r="GO117" s="298"/>
      <c r="GP117" s="298"/>
      <c r="GQ117" s="298"/>
      <c r="GR117" s="298"/>
      <c r="GS117" s="298"/>
      <c r="GT117" s="298"/>
      <c r="GU117" s="298"/>
      <c r="GV117" s="298"/>
      <c r="GW117" s="298"/>
      <c r="GX117" s="298"/>
      <c r="GY117" s="298"/>
      <c r="GZ117" s="298"/>
      <c r="HA117" s="298"/>
      <c r="HB117" s="298"/>
      <c r="HC117" s="298"/>
      <c r="HD117" s="298"/>
      <c r="HE117" s="298"/>
      <c r="HF117" s="298"/>
      <c r="HG117" s="298"/>
      <c r="HH117" s="298"/>
      <c r="HI117" s="298"/>
      <c r="HJ117" s="298"/>
      <c r="HK117" s="298"/>
      <c r="HL117" s="298"/>
      <c r="HM117" s="298"/>
      <c r="HN117" s="298"/>
      <c r="HO117" s="298"/>
      <c r="HP117" s="298"/>
      <c r="HQ117" s="298"/>
      <c r="HW117" s="273"/>
      <c r="HX117" s="274"/>
      <c r="HY117" s="274"/>
      <c r="HZ117" s="274"/>
      <c r="IA117" s="274"/>
      <c r="IB117" s="274"/>
      <c r="IC117" s="274"/>
      <c r="ID117" s="274"/>
      <c r="IE117" s="274"/>
      <c r="IF117" s="274"/>
      <c r="IG117" s="274"/>
      <c r="IH117" s="274"/>
      <c r="II117" s="274"/>
      <c r="IJ117" s="274"/>
      <c r="IK117" s="274"/>
      <c r="IL117" s="274"/>
      <c r="IM117" s="274"/>
      <c r="IN117" s="274"/>
      <c r="IO117" s="274"/>
      <c r="IP117" s="274"/>
      <c r="IQ117" s="274"/>
      <c r="IR117" s="274"/>
      <c r="IS117" s="274"/>
      <c r="IT117" s="274"/>
      <c r="IU117" s="274"/>
      <c r="IV117" s="274"/>
      <c r="IW117" s="274"/>
      <c r="IX117" s="274"/>
      <c r="IY117" s="274"/>
      <c r="IZ117" s="274"/>
      <c r="JA117" s="274"/>
      <c r="JB117" s="274"/>
      <c r="JC117" s="274"/>
      <c r="JD117" s="274"/>
      <c r="JE117" s="274"/>
      <c r="JF117" s="274"/>
      <c r="JG117" s="274"/>
      <c r="JH117" s="274"/>
      <c r="JI117" s="274"/>
      <c r="JJ117" s="275"/>
      <c r="JK117" s="273"/>
      <c r="JL117" s="274"/>
      <c r="JM117" s="274"/>
      <c r="JN117" s="274"/>
      <c r="JO117" s="275"/>
      <c r="JU117" s="273"/>
      <c r="JV117" s="274"/>
      <c r="JW117" s="274"/>
      <c r="JX117" s="274"/>
      <c r="JY117" s="274"/>
      <c r="JZ117" s="274"/>
      <c r="KA117" s="274"/>
      <c r="KB117" s="274"/>
      <c r="KC117" s="274"/>
      <c r="KD117" s="274"/>
      <c r="KE117" s="274"/>
      <c r="KF117" s="274"/>
      <c r="KG117" s="274"/>
      <c r="KH117" s="274"/>
      <c r="KI117" s="274"/>
      <c r="KJ117" s="274"/>
      <c r="KK117" s="274"/>
      <c r="KL117" s="274"/>
      <c r="KM117" s="274"/>
      <c r="KN117" s="274"/>
      <c r="KO117" s="274"/>
      <c r="KP117" s="274"/>
      <c r="KQ117" s="274"/>
      <c r="KR117" s="274"/>
      <c r="KS117" s="274"/>
      <c r="KT117" s="274"/>
      <c r="KU117" s="274"/>
      <c r="KV117" s="274"/>
      <c r="KW117" s="274"/>
      <c r="KX117" s="274"/>
      <c r="KY117" s="274"/>
      <c r="KZ117" s="274"/>
      <c r="LA117" s="274"/>
      <c r="LB117" s="274"/>
      <c r="LC117" s="274"/>
      <c r="LD117" s="274"/>
      <c r="LE117" s="274"/>
      <c r="LF117" s="274"/>
      <c r="LG117" s="274"/>
      <c r="LH117" s="275"/>
      <c r="LI117" s="273"/>
      <c r="LJ117" s="274"/>
      <c r="LK117" s="274"/>
      <c r="LL117" s="274"/>
      <c r="LM117" s="275"/>
      <c r="ME117" s="180"/>
      <c r="MF117" s="181"/>
      <c r="MG117" s="199"/>
      <c r="MH117" s="199"/>
      <c r="MI117" s="199"/>
      <c r="MJ117" s="199"/>
      <c r="MK117" s="200"/>
    </row>
    <row r="118" spans="4:349" ht="5.0999999999999996" customHeight="1" x14ac:dyDescent="0.3">
      <c r="D118" s="177"/>
      <c r="E118" s="178"/>
      <c r="BG118" s="270" t="s">
        <v>188</v>
      </c>
      <c r="BH118" s="271"/>
      <c r="BI118" s="271"/>
      <c r="BJ118" s="271"/>
      <c r="BK118" s="271"/>
      <c r="BL118" s="271"/>
      <c r="BM118" s="271"/>
      <c r="BN118" s="271"/>
      <c r="BO118" s="271"/>
      <c r="BP118" s="271"/>
      <c r="BQ118" s="271"/>
      <c r="BR118" s="271"/>
      <c r="BS118" s="271"/>
      <c r="BT118" s="271"/>
      <c r="BU118" s="271"/>
      <c r="BV118" s="271"/>
      <c r="BW118" s="271"/>
      <c r="BX118" s="271"/>
      <c r="BY118" s="271"/>
      <c r="BZ118" s="271"/>
      <c r="CA118" s="271"/>
      <c r="CB118" s="271"/>
      <c r="CC118" s="271"/>
      <c r="CD118" s="271"/>
      <c r="CE118" s="271"/>
      <c r="CF118" s="271"/>
      <c r="CG118" s="271"/>
      <c r="CH118" s="271"/>
      <c r="CI118" s="271"/>
      <c r="CJ118" s="271"/>
      <c r="CK118" s="271"/>
      <c r="CL118" s="271"/>
      <c r="CM118" s="271"/>
      <c r="CN118" s="271"/>
      <c r="CO118" s="271"/>
      <c r="CP118" s="271"/>
      <c r="CQ118" s="271"/>
      <c r="CR118" s="271"/>
      <c r="CS118" s="271"/>
      <c r="CT118" s="271"/>
      <c r="CU118" s="272"/>
      <c r="CV118" s="270">
        <v>2</v>
      </c>
      <c r="CW118" s="271"/>
      <c r="CX118" s="271"/>
      <c r="CY118" s="271"/>
      <c r="CZ118" s="272"/>
      <c r="DZ118" s="298"/>
      <c r="EA118" s="298"/>
      <c r="EB118" s="298"/>
      <c r="EC118" s="298"/>
      <c r="ED118" s="298"/>
      <c r="EE118" s="298"/>
      <c r="EF118" s="298"/>
      <c r="EG118" s="298"/>
      <c r="EH118" s="298"/>
      <c r="EI118" s="298"/>
      <c r="EJ118" s="298"/>
      <c r="EK118" s="298"/>
      <c r="EL118" s="298"/>
      <c r="EM118" s="298"/>
      <c r="EN118" s="298"/>
      <c r="EO118" s="298"/>
      <c r="EP118" s="298"/>
      <c r="EQ118" s="298"/>
      <c r="ER118" s="298"/>
      <c r="ES118" s="298"/>
      <c r="ET118" s="298"/>
      <c r="EU118" s="298"/>
      <c r="EV118" s="298"/>
      <c r="EW118" s="298"/>
      <c r="EX118" s="298"/>
      <c r="EY118" s="298"/>
      <c r="EZ118" s="298"/>
      <c r="FA118" s="298"/>
      <c r="FB118" s="298"/>
      <c r="FC118" s="298"/>
      <c r="FD118" s="298"/>
      <c r="FE118" s="298"/>
      <c r="FF118" s="298"/>
      <c r="FG118" s="298"/>
      <c r="FH118" s="298"/>
      <c r="FI118" s="298"/>
      <c r="FJ118" s="298"/>
      <c r="FK118" s="298"/>
      <c r="FL118" s="298"/>
      <c r="FM118" s="298"/>
      <c r="FN118" s="298"/>
      <c r="FO118" s="298"/>
      <c r="FP118" s="298"/>
      <c r="FQ118" s="298"/>
      <c r="FR118" s="298"/>
      <c r="FY118" s="298"/>
      <c r="FZ118" s="298"/>
      <c r="GA118" s="298"/>
      <c r="GB118" s="298"/>
      <c r="GC118" s="298"/>
      <c r="GD118" s="298"/>
      <c r="GE118" s="298"/>
      <c r="GF118" s="298"/>
      <c r="GG118" s="298"/>
      <c r="GH118" s="298"/>
      <c r="GI118" s="298"/>
      <c r="GJ118" s="298"/>
      <c r="GK118" s="298"/>
      <c r="GL118" s="298"/>
      <c r="GM118" s="298"/>
      <c r="GN118" s="298"/>
      <c r="GO118" s="298"/>
      <c r="GP118" s="298"/>
      <c r="GQ118" s="298"/>
      <c r="GR118" s="298"/>
      <c r="GS118" s="298"/>
      <c r="GT118" s="298"/>
      <c r="GU118" s="298"/>
      <c r="GV118" s="298"/>
      <c r="GW118" s="298"/>
      <c r="GX118" s="298"/>
      <c r="GY118" s="298"/>
      <c r="GZ118" s="298"/>
      <c r="HA118" s="298"/>
      <c r="HB118" s="298"/>
      <c r="HC118" s="298"/>
      <c r="HD118" s="298"/>
      <c r="HE118" s="298"/>
      <c r="HF118" s="298"/>
      <c r="HG118" s="298"/>
      <c r="HH118" s="298"/>
      <c r="HI118" s="298"/>
      <c r="HJ118" s="298"/>
      <c r="HK118" s="298"/>
      <c r="HL118" s="298"/>
      <c r="HM118" s="298"/>
      <c r="HN118" s="298"/>
      <c r="HO118" s="298"/>
      <c r="HP118" s="298"/>
      <c r="HQ118" s="298"/>
      <c r="HW118" s="276"/>
      <c r="HX118" s="277"/>
      <c r="HY118" s="277"/>
      <c r="HZ118" s="277"/>
      <c r="IA118" s="277"/>
      <c r="IB118" s="277"/>
      <c r="IC118" s="277"/>
      <c r="ID118" s="277"/>
      <c r="IE118" s="277"/>
      <c r="IF118" s="277"/>
      <c r="IG118" s="277"/>
      <c r="IH118" s="277"/>
      <c r="II118" s="277"/>
      <c r="IJ118" s="277"/>
      <c r="IK118" s="277"/>
      <c r="IL118" s="277"/>
      <c r="IM118" s="277"/>
      <c r="IN118" s="277"/>
      <c r="IO118" s="277"/>
      <c r="IP118" s="277"/>
      <c r="IQ118" s="277"/>
      <c r="IR118" s="277"/>
      <c r="IS118" s="277"/>
      <c r="IT118" s="277"/>
      <c r="IU118" s="277"/>
      <c r="IV118" s="277"/>
      <c r="IW118" s="277"/>
      <c r="IX118" s="277"/>
      <c r="IY118" s="277"/>
      <c r="IZ118" s="277"/>
      <c r="JA118" s="277"/>
      <c r="JB118" s="277"/>
      <c r="JC118" s="277"/>
      <c r="JD118" s="277"/>
      <c r="JE118" s="277"/>
      <c r="JF118" s="277"/>
      <c r="JG118" s="277"/>
      <c r="JH118" s="277"/>
      <c r="JI118" s="277"/>
      <c r="JJ118" s="278"/>
      <c r="JK118" s="276"/>
      <c r="JL118" s="277"/>
      <c r="JM118" s="277"/>
      <c r="JN118" s="277"/>
      <c r="JO118" s="278"/>
      <c r="JU118" s="276"/>
      <c r="JV118" s="277"/>
      <c r="JW118" s="277"/>
      <c r="JX118" s="277"/>
      <c r="JY118" s="277"/>
      <c r="JZ118" s="277"/>
      <c r="KA118" s="277"/>
      <c r="KB118" s="277"/>
      <c r="KC118" s="277"/>
      <c r="KD118" s="277"/>
      <c r="KE118" s="277"/>
      <c r="KF118" s="277"/>
      <c r="KG118" s="277"/>
      <c r="KH118" s="277"/>
      <c r="KI118" s="277"/>
      <c r="KJ118" s="277"/>
      <c r="KK118" s="277"/>
      <c r="KL118" s="277"/>
      <c r="KM118" s="277"/>
      <c r="KN118" s="277"/>
      <c r="KO118" s="277"/>
      <c r="KP118" s="277"/>
      <c r="KQ118" s="277"/>
      <c r="KR118" s="277"/>
      <c r="KS118" s="277"/>
      <c r="KT118" s="277"/>
      <c r="KU118" s="277"/>
      <c r="KV118" s="277"/>
      <c r="KW118" s="277"/>
      <c r="KX118" s="277"/>
      <c r="KY118" s="277"/>
      <c r="KZ118" s="277"/>
      <c r="LA118" s="277"/>
      <c r="LB118" s="277"/>
      <c r="LC118" s="277"/>
      <c r="LD118" s="277"/>
      <c r="LE118" s="277"/>
      <c r="LF118" s="277"/>
      <c r="LG118" s="277"/>
      <c r="LH118" s="278"/>
      <c r="LI118" s="276"/>
      <c r="LJ118" s="277"/>
      <c r="LK118" s="277"/>
      <c r="LL118" s="277"/>
      <c r="LM118" s="278"/>
      <c r="ME118" s="180"/>
      <c r="MF118" s="181"/>
      <c r="MG118" s="199"/>
      <c r="MH118" s="199"/>
      <c r="MI118" s="199"/>
      <c r="MJ118" s="199"/>
      <c r="MK118" s="200"/>
    </row>
    <row r="119" spans="4:349" ht="5.0999999999999996" customHeight="1" x14ac:dyDescent="0.3">
      <c r="D119" s="177"/>
      <c r="E119" s="178"/>
      <c r="BG119" s="273"/>
      <c r="BH119" s="274"/>
      <c r="BI119" s="274"/>
      <c r="BJ119" s="274"/>
      <c r="BK119" s="274"/>
      <c r="BL119" s="274"/>
      <c r="BM119" s="274"/>
      <c r="BN119" s="274"/>
      <c r="BO119" s="274"/>
      <c r="BP119" s="274"/>
      <c r="BQ119" s="274"/>
      <c r="BR119" s="274"/>
      <c r="BS119" s="274"/>
      <c r="BT119" s="274"/>
      <c r="BU119" s="274"/>
      <c r="BV119" s="274"/>
      <c r="BW119" s="274"/>
      <c r="BX119" s="274"/>
      <c r="BY119" s="274"/>
      <c r="BZ119" s="274"/>
      <c r="CA119" s="274"/>
      <c r="CB119" s="274"/>
      <c r="CC119" s="274"/>
      <c r="CD119" s="274"/>
      <c r="CE119" s="274"/>
      <c r="CF119" s="274"/>
      <c r="CG119" s="274"/>
      <c r="CH119" s="274"/>
      <c r="CI119" s="274"/>
      <c r="CJ119" s="274"/>
      <c r="CK119" s="274"/>
      <c r="CL119" s="274"/>
      <c r="CM119" s="274"/>
      <c r="CN119" s="274"/>
      <c r="CO119" s="274"/>
      <c r="CP119" s="274"/>
      <c r="CQ119" s="274"/>
      <c r="CR119" s="274"/>
      <c r="CS119" s="274"/>
      <c r="CT119" s="274"/>
      <c r="CU119" s="275"/>
      <c r="CV119" s="273"/>
      <c r="CW119" s="274"/>
      <c r="CX119" s="274"/>
      <c r="CY119" s="274"/>
      <c r="CZ119" s="275"/>
      <c r="GU119" s="205"/>
      <c r="GV119" s="196"/>
      <c r="HW119" s="270" t="s">
        <v>189</v>
      </c>
      <c r="HX119" s="271"/>
      <c r="HY119" s="271"/>
      <c r="HZ119" s="271"/>
      <c r="IA119" s="271"/>
      <c r="IB119" s="271"/>
      <c r="IC119" s="271"/>
      <c r="ID119" s="271"/>
      <c r="IE119" s="271"/>
      <c r="IF119" s="271"/>
      <c r="IG119" s="271"/>
      <c r="IH119" s="271"/>
      <c r="II119" s="271"/>
      <c r="IJ119" s="271"/>
      <c r="IK119" s="271"/>
      <c r="IL119" s="271"/>
      <c r="IM119" s="271"/>
      <c r="IN119" s="271"/>
      <c r="IO119" s="271"/>
      <c r="IP119" s="271"/>
      <c r="IQ119" s="271"/>
      <c r="IR119" s="271"/>
      <c r="IS119" s="271"/>
      <c r="IT119" s="271"/>
      <c r="IU119" s="271"/>
      <c r="IV119" s="271"/>
      <c r="IW119" s="271"/>
      <c r="IX119" s="271"/>
      <c r="IY119" s="271"/>
      <c r="IZ119" s="271"/>
      <c r="JA119" s="271"/>
      <c r="JB119" s="271"/>
      <c r="JC119" s="271"/>
      <c r="JD119" s="271"/>
      <c r="JE119" s="271"/>
      <c r="JF119" s="271"/>
      <c r="JG119" s="271"/>
      <c r="JH119" s="271"/>
      <c r="JI119" s="271">
        <v>1</v>
      </c>
      <c r="JJ119" s="272"/>
      <c r="JK119" s="270">
        <v>8</v>
      </c>
      <c r="JL119" s="271"/>
      <c r="JM119" s="271"/>
      <c r="JN119" s="271"/>
      <c r="JO119" s="272"/>
      <c r="JU119" s="270" t="s">
        <v>190</v>
      </c>
      <c r="JV119" s="271"/>
      <c r="JW119" s="271"/>
      <c r="JX119" s="271"/>
      <c r="JY119" s="271"/>
      <c r="JZ119" s="271"/>
      <c r="KA119" s="271"/>
      <c r="KB119" s="271"/>
      <c r="KC119" s="271"/>
      <c r="KD119" s="271"/>
      <c r="KE119" s="271"/>
      <c r="KF119" s="271"/>
      <c r="KG119" s="271"/>
      <c r="KH119" s="271"/>
      <c r="KI119" s="271"/>
      <c r="KJ119" s="271"/>
      <c r="KK119" s="271"/>
      <c r="KL119" s="271"/>
      <c r="KM119" s="271"/>
      <c r="KN119" s="271"/>
      <c r="KO119" s="271"/>
      <c r="KP119" s="271"/>
      <c r="KQ119" s="271"/>
      <c r="KR119" s="271"/>
      <c r="KS119" s="271"/>
      <c r="KT119" s="271"/>
      <c r="KU119" s="271"/>
      <c r="KV119" s="271"/>
      <c r="KW119" s="271"/>
      <c r="KX119" s="271"/>
      <c r="KY119" s="271"/>
      <c r="KZ119" s="271"/>
      <c r="LA119" s="271"/>
      <c r="LB119" s="271"/>
      <c r="LC119" s="271"/>
      <c r="LD119" s="271"/>
      <c r="LE119" s="271"/>
      <c r="LF119" s="271"/>
      <c r="LG119" s="271"/>
      <c r="LH119" s="272"/>
      <c r="LI119" s="270">
        <v>2</v>
      </c>
      <c r="LJ119" s="271"/>
      <c r="LK119" s="271"/>
      <c r="LL119" s="271"/>
      <c r="LM119" s="272"/>
      <c r="ME119" s="180"/>
      <c r="MF119" s="181"/>
      <c r="MG119" s="199"/>
      <c r="MH119" s="199"/>
      <c r="MI119" s="199"/>
      <c r="MJ119" s="199"/>
      <c r="MK119" s="200"/>
    </row>
    <row r="120" spans="4:349" ht="5.0999999999999996" customHeight="1" x14ac:dyDescent="0.3">
      <c r="D120" s="177"/>
      <c r="E120" s="178"/>
      <c r="BG120" s="273"/>
      <c r="BH120" s="274"/>
      <c r="BI120" s="274"/>
      <c r="BJ120" s="274"/>
      <c r="BK120" s="274"/>
      <c r="BL120" s="274"/>
      <c r="BM120" s="274"/>
      <c r="BN120" s="274"/>
      <c r="BO120" s="274"/>
      <c r="BP120" s="274"/>
      <c r="BQ120" s="274"/>
      <c r="BR120" s="274"/>
      <c r="BS120" s="274"/>
      <c r="BT120" s="274"/>
      <c r="BU120" s="274"/>
      <c r="BV120" s="274"/>
      <c r="BW120" s="274"/>
      <c r="BX120" s="274"/>
      <c r="BY120" s="274"/>
      <c r="BZ120" s="274"/>
      <c r="CA120" s="274"/>
      <c r="CB120" s="274"/>
      <c r="CC120" s="274"/>
      <c r="CD120" s="274"/>
      <c r="CE120" s="274"/>
      <c r="CF120" s="274"/>
      <c r="CG120" s="274"/>
      <c r="CH120" s="274"/>
      <c r="CI120" s="274"/>
      <c r="CJ120" s="274"/>
      <c r="CK120" s="274"/>
      <c r="CL120" s="274"/>
      <c r="CM120" s="274"/>
      <c r="CN120" s="274"/>
      <c r="CO120" s="274"/>
      <c r="CP120" s="274"/>
      <c r="CQ120" s="274"/>
      <c r="CR120" s="274"/>
      <c r="CS120" s="274"/>
      <c r="CT120" s="274"/>
      <c r="CU120" s="275"/>
      <c r="CV120" s="273"/>
      <c r="CW120" s="274"/>
      <c r="CX120" s="274"/>
      <c r="CY120" s="274"/>
      <c r="CZ120" s="275"/>
      <c r="GU120" s="190"/>
      <c r="HW120" s="273"/>
      <c r="HX120" s="274"/>
      <c r="HY120" s="274"/>
      <c r="HZ120" s="274"/>
      <c r="IA120" s="274"/>
      <c r="IB120" s="274"/>
      <c r="IC120" s="274"/>
      <c r="ID120" s="274"/>
      <c r="IE120" s="274"/>
      <c r="IF120" s="274"/>
      <c r="IG120" s="274"/>
      <c r="IH120" s="274"/>
      <c r="II120" s="274"/>
      <c r="IJ120" s="274"/>
      <c r="IK120" s="274"/>
      <c r="IL120" s="274"/>
      <c r="IM120" s="274"/>
      <c r="IN120" s="274"/>
      <c r="IO120" s="274"/>
      <c r="IP120" s="274"/>
      <c r="IQ120" s="274"/>
      <c r="IR120" s="274"/>
      <c r="IS120" s="274"/>
      <c r="IT120" s="274"/>
      <c r="IU120" s="274"/>
      <c r="IV120" s="274"/>
      <c r="IW120" s="274"/>
      <c r="IX120" s="274"/>
      <c r="IY120" s="274"/>
      <c r="IZ120" s="274"/>
      <c r="JA120" s="274"/>
      <c r="JB120" s="274"/>
      <c r="JC120" s="274"/>
      <c r="JD120" s="274"/>
      <c r="JE120" s="274"/>
      <c r="JF120" s="274"/>
      <c r="JG120" s="274"/>
      <c r="JH120" s="274"/>
      <c r="JI120" s="274"/>
      <c r="JJ120" s="275"/>
      <c r="JK120" s="273"/>
      <c r="JL120" s="274"/>
      <c r="JM120" s="274"/>
      <c r="JN120" s="274"/>
      <c r="JO120" s="275"/>
      <c r="JU120" s="273"/>
      <c r="JV120" s="274"/>
      <c r="JW120" s="274"/>
      <c r="JX120" s="274"/>
      <c r="JY120" s="274"/>
      <c r="JZ120" s="274"/>
      <c r="KA120" s="274"/>
      <c r="KB120" s="274"/>
      <c r="KC120" s="274"/>
      <c r="KD120" s="274"/>
      <c r="KE120" s="274"/>
      <c r="KF120" s="274"/>
      <c r="KG120" s="274"/>
      <c r="KH120" s="274"/>
      <c r="KI120" s="274"/>
      <c r="KJ120" s="274"/>
      <c r="KK120" s="274"/>
      <c r="KL120" s="274"/>
      <c r="KM120" s="274"/>
      <c r="KN120" s="274"/>
      <c r="KO120" s="274"/>
      <c r="KP120" s="274"/>
      <c r="KQ120" s="274"/>
      <c r="KR120" s="274"/>
      <c r="KS120" s="274"/>
      <c r="KT120" s="274"/>
      <c r="KU120" s="274"/>
      <c r="KV120" s="274"/>
      <c r="KW120" s="274"/>
      <c r="KX120" s="274"/>
      <c r="KY120" s="274"/>
      <c r="KZ120" s="274"/>
      <c r="LA120" s="274"/>
      <c r="LB120" s="274"/>
      <c r="LC120" s="274"/>
      <c r="LD120" s="274"/>
      <c r="LE120" s="274"/>
      <c r="LF120" s="274"/>
      <c r="LG120" s="274"/>
      <c r="LH120" s="275"/>
      <c r="LI120" s="273"/>
      <c r="LJ120" s="274"/>
      <c r="LK120" s="274"/>
      <c r="LL120" s="274"/>
      <c r="LM120" s="275"/>
      <c r="ME120" s="180"/>
      <c r="MF120" s="181"/>
      <c r="MG120" s="199"/>
      <c r="MH120" s="199"/>
      <c r="MI120" s="199"/>
      <c r="MJ120" s="199"/>
      <c r="MK120" s="200"/>
    </row>
    <row r="121" spans="4:349" ht="5.0999999999999996" customHeight="1" x14ac:dyDescent="0.3">
      <c r="D121" s="177"/>
      <c r="E121" s="178"/>
      <c r="BG121" s="273"/>
      <c r="BH121" s="274"/>
      <c r="BI121" s="274"/>
      <c r="BJ121" s="274"/>
      <c r="BK121" s="274"/>
      <c r="BL121" s="274"/>
      <c r="BM121" s="274"/>
      <c r="BN121" s="274"/>
      <c r="BO121" s="274"/>
      <c r="BP121" s="274"/>
      <c r="BQ121" s="274"/>
      <c r="BR121" s="274"/>
      <c r="BS121" s="274"/>
      <c r="BT121" s="274"/>
      <c r="BU121" s="274"/>
      <c r="BV121" s="274"/>
      <c r="BW121" s="274"/>
      <c r="BX121" s="274"/>
      <c r="BY121" s="274"/>
      <c r="BZ121" s="274"/>
      <c r="CA121" s="274"/>
      <c r="CB121" s="274"/>
      <c r="CC121" s="274"/>
      <c r="CD121" s="274"/>
      <c r="CE121" s="274"/>
      <c r="CF121" s="274"/>
      <c r="CG121" s="274"/>
      <c r="CH121" s="274"/>
      <c r="CI121" s="274"/>
      <c r="CJ121" s="274"/>
      <c r="CK121" s="274"/>
      <c r="CL121" s="274"/>
      <c r="CM121" s="274"/>
      <c r="CN121" s="274"/>
      <c r="CO121" s="274"/>
      <c r="CP121" s="274"/>
      <c r="CQ121" s="274"/>
      <c r="CR121" s="274"/>
      <c r="CS121" s="274"/>
      <c r="CT121" s="274"/>
      <c r="CU121" s="275"/>
      <c r="CV121" s="273"/>
      <c r="CW121" s="274"/>
      <c r="CX121" s="274"/>
      <c r="CY121" s="274"/>
      <c r="CZ121" s="275"/>
      <c r="FY121" s="298" t="s">
        <v>191</v>
      </c>
      <c r="FZ121" s="298"/>
      <c r="GA121" s="298"/>
      <c r="GB121" s="298"/>
      <c r="GC121" s="298"/>
      <c r="GD121" s="298"/>
      <c r="GE121" s="298"/>
      <c r="GF121" s="298"/>
      <c r="GG121" s="298"/>
      <c r="GH121" s="298"/>
      <c r="GI121" s="298"/>
      <c r="GJ121" s="298"/>
      <c r="GK121" s="298"/>
      <c r="GL121" s="298"/>
      <c r="GM121" s="298"/>
      <c r="GN121" s="298"/>
      <c r="GO121" s="298"/>
      <c r="GP121" s="298"/>
      <c r="GQ121" s="298"/>
      <c r="GR121" s="298"/>
      <c r="GS121" s="298"/>
      <c r="GT121" s="298"/>
      <c r="GU121" s="298"/>
      <c r="GV121" s="298"/>
      <c r="GW121" s="298"/>
      <c r="GX121" s="298"/>
      <c r="GY121" s="298"/>
      <c r="GZ121" s="298"/>
      <c r="HA121" s="298"/>
      <c r="HB121" s="298"/>
      <c r="HC121" s="298"/>
      <c r="HD121" s="298"/>
      <c r="HE121" s="298"/>
      <c r="HF121" s="298"/>
      <c r="HG121" s="298"/>
      <c r="HH121" s="298"/>
      <c r="HI121" s="298"/>
      <c r="HJ121" s="298"/>
      <c r="HK121" s="298">
        <v>1</v>
      </c>
      <c r="HL121" s="298"/>
      <c r="HM121" s="298">
        <v>6</v>
      </c>
      <c r="HN121" s="298"/>
      <c r="HO121" s="298"/>
      <c r="HP121" s="298"/>
      <c r="HQ121" s="298"/>
      <c r="HW121" s="273"/>
      <c r="HX121" s="274"/>
      <c r="HY121" s="274"/>
      <c r="HZ121" s="274"/>
      <c r="IA121" s="274"/>
      <c r="IB121" s="274"/>
      <c r="IC121" s="274"/>
      <c r="ID121" s="274"/>
      <c r="IE121" s="274"/>
      <c r="IF121" s="274"/>
      <c r="IG121" s="274"/>
      <c r="IH121" s="274"/>
      <c r="II121" s="274"/>
      <c r="IJ121" s="274"/>
      <c r="IK121" s="274"/>
      <c r="IL121" s="274"/>
      <c r="IM121" s="274"/>
      <c r="IN121" s="274"/>
      <c r="IO121" s="274"/>
      <c r="IP121" s="274"/>
      <c r="IQ121" s="274"/>
      <c r="IR121" s="274"/>
      <c r="IS121" s="274"/>
      <c r="IT121" s="274"/>
      <c r="IU121" s="274"/>
      <c r="IV121" s="274"/>
      <c r="IW121" s="274"/>
      <c r="IX121" s="274"/>
      <c r="IY121" s="274"/>
      <c r="IZ121" s="274"/>
      <c r="JA121" s="274"/>
      <c r="JB121" s="274"/>
      <c r="JC121" s="274"/>
      <c r="JD121" s="274"/>
      <c r="JE121" s="274"/>
      <c r="JF121" s="274"/>
      <c r="JG121" s="274"/>
      <c r="JH121" s="274"/>
      <c r="JI121" s="274"/>
      <c r="JJ121" s="275"/>
      <c r="JK121" s="273"/>
      <c r="JL121" s="274"/>
      <c r="JM121" s="274"/>
      <c r="JN121" s="274"/>
      <c r="JO121" s="275"/>
      <c r="JU121" s="273"/>
      <c r="JV121" s="274"/>
      <c r="JW121" s="274"/>
      <c r="JX121" s="274"/>
      <c r="JY121" s="274"/>
      <c r="JZ121" s="274"/>
      <c r="KA121" s="274"/>
      <c r="KB121" s="274"/>
      <c r="KC121" s="274"/>
      <c r="KD121" s="274"/>
      <c r="KE121" s="274"/>
      <c r="KF121" s="274"/>
      <c r="KG121" s="274"/>
      <c r="KH121" s="274"/>
      <c r="KI121" s="274"/>
      <c r="KJ121" s="274"/>
      <c r="KK121" s="274"/>
      <c r="KL121" s="274"/>
      <c r="KM121" s="274"/>
      <c r="KN121" s="274"/>
      <c r="KO121" s="274"/>
      <c r="KP121" s="274"/>
      <c r="KQ121" s="274"/>
      <c r="KR121" s="274"/>
      <c r="KS121" s="274"/>
      <c r="KT121" s="274"/>
      <c r="KU121" s="274"/>
      <c r="KV121" s="274"/>
      <c r="KW121" s="274"/>
      <c r="KX121" s="274"/>
      <c r="KY121" s="274"/>
      <c r="KZ121" s="274"/>
      <c r="LA121" s="274"/>
      <c r="LB121" s="274"/>
      <c r="LC121" s="274"/>
      <c r="LD121" s="274"/>
      <c r="LE121" s="274"/>
      <c r="LF121" s="274"/>
      <c r="LG121" s="274"/>
      <c r="LH121" s="275"/>
      <c r="LI121" s="273"/>
      <c r="LJ121" s="274"/>
      <c r="LK121" s="274"/>
      <c r="LL121" s="274"/>
      <c r="LM121" s="275"/>
      <c r="ME121" s="180"/>
      <c r="MF121" s="181"/>
      <c r="MG121" s="199"/>
      <c r="MH121" s="199"/>
      <c r="MI121" s="199"/>
      <c r="MJ121" s="199"/>
      <c r="MK121" s="200"/>
    </row>
    <row r="122" spans="4:349" ht="5.0999999999999996" customHeight="1" x14ac:dyDescent="0.3">
      <c r="D122" s="177"/>
      <c r="E122" s="178"/>
      <c r="BG122" s="273"/>
      <c r="BH122" s="274"/>
      <c r="BI122" s="274"/>
      <c r="BJ122" s="274"/>
      <c r="BK122" s="274"/>
      <c r="BL122" s="274"/>
      <c r="BM122" s="274"/>
      <c r="BN122" s="274"/>
      <c r="BO122" s="274"/>
      <c r="BP122" s="274"/>
      <c r="BQ122" s="274"/>
      <c r="BR122" s="274"/>
      <c r="BS122" s="274"/>
      <c r="BT122" s="274"/>
      <c r="BU122" s="274"/>
      <c r="BV122" s="274"/>
      <c r="BW122" s="274"/>
      <c r="BX122" s="274"/>
      <c r="BY122" s="274"/>
      <c r="BZ122" s="274"/>
      <c r="CA122" s="274"/>
      <c r="CB122" s="274"/>
      <c r="CC122" s="274"/>
      <c r="CD122" s="274"/>
      <c r="CE122" s="274"/>
      <c r="CF122" s="274"/>
      <c r="CG122" s="274"/>
      <c r="CH122" s="274"/>
      <c r="CI122" s="274"/>
      <c r="CJ122" s="274"/>
      <c r="CK122" s="274"/>
      <c r="CL122" s="274"/>
      <c r="CM122" s="274"/>
      <c r="CN122" s="274"/>
      <c r="CO122" s="274"/>
      <c r="CP122" s="274"/>
      <c r="CQ122" s="274"/>
      <c r="CR122" s="274"/>
      <c r="CS122" s="274"/>
      <c r="CT122" s="274"/>
      <c r="CU122" s="275"/>
      <c r="CV122" s="273"/>
      <c r="CW122" s="274"/>
      <c r="CX122" s="274"/>
      <c r="CY122" s="274"/>
      <c r="CZ122" s="275"/>
      <c r="FY122" s="298"/>
      <c r="FZ122" s="298"/>
      <c r="GA122" s="298"/>
      <c r="GB122" s="298"/>
      <c r="GC122" s="298"/>
      <c r="GD122" s="298"/>
      <c r="GE122" s="298"/>
      <c r="GF122" s="298"/>
      <c r="GG122" s="298"/>
      <c r="GH122" s="298"/>
      <c r="GI122" s="298"/>
      <c r="GJ122" s="298"/>
      <c r="GK122" s="298"/>
      <c r="GL122" s="298"/>
      <c r="GM122" s="298"/>
      <c r="GN122" s="298"/>
      <c r="GO122" s="298"/>
      <c r="GP122" s="298"/>
      <c r="GQ122" s="298"/>
      <c r="GR122" s="298"/>
      <c r="GS122" s="298"/>
      <c r="GT122" s="298"/>
      <c r="GU122" s="298"/>
      <c r="GV122" s="298"/>
      <c r="GW122" s="298"/>
      <c r="GX122" s="298"/>
      <c r="GY122" s="298"/>
      <c r="GZ122" s="298"/>
      <c r="HA122" s="298"/>
      <c r="HB122" s="298"/>
      <c r="HC122" s="298"/>
      <c r="HD122" s="298"/>
      <c r="HE122" s="298"/>
      <c r="HF122" s="298"/>
      <c r="HG122" s="298"/>
      <c r="HH122" s="298"/>
      <c r="HI122" s="298"/>
      <c r="HJ122" s="298"/>
      <c r="HK122" s="298"/>
      <c r="HL122" s="298"/>
      <c r="HM122" s="298"/>
      <c r="HN122" s="298"/>
      <c r="HO122" s="298"/>
      <c r="HP122" s="298"/>
      <c r="HQ122" s="298"/>
      <c r="HW122" s="273"/>
      <c r="HX122" s="274"/>
      <c r="HY122" s="274"/>
      <c r="HZ122" s="274"/>
      <c r="IA122" s="274"/>
      <c r="IB122" s="274"/>
      <c r="IC122" s="274"/>
      <c r="ID122" s="274"/>
      <c r="IE122" s="274"/>
      <c r="IF122" s="274"/>
      <c r="IG122" s="274"/>
      <c r="IH122" s="274"/>
      <c r="II122" s="274"/>
      <c r="IJ122" s="274"/>
      <c r="IK122" s="274"/>
      <c r="IL122" s="274"/>
      <c r="IM122" s="274"/>
      <c r="IN122" s="274"/>
      <c r="IO122" s="274"/>
      <c r="IP122" s="274"/>
      <c r="IQ122" s="274"/>
      <c r="IR122" s="274"/>
      <c r="IS122" s="274"/>
      <c r="IT122" s="274"/>
      <c r="IU122" s="274"/>
      <c r="IV122" s="274"/>
      <c r="IW122" s="274"/>
      <c r="IX122" s="274"/>
      <c r="IY122" s="274"/>
      <c r="IZ122" s="274"/>
      <c r="JA122" s="274"/>
      <c r="JB122" s="274"/>
      <c r="JC122" s="274"/>
      <c r="JD122" s="274"/>
      <c r="JE122" s="274"/>
      <c r="JF122" s="274"/>
      <c r="JG122" s="274"/>
      <c r="JH122" s="274"/>
      <c r="JI122" s="274"/>
      <c r="JJ122" s="275"/>
      <c r="JK122" s="273"/>
      <c r="JL122" s="274"/>
      <c r="JM122" s="274"/>
      <c r="JN122" s="274"/>
      <c r="JO122" s="275"/>
      <c r="JU122" s="273"/>
      <c r="JV122" s="274"/>
      <c r="JW122" s="274"/>
      <c r="JX122" s="274"/>
      <c r="JY122" s="274"/>
      <c r="JZ122" s="274"/>
      <c r="KA122" s="274"/>
      <c r="KB122" s="274"/>
      <c r="KC122" s="274"/>
      <c r="KD122" s="274"/>
      <c r="KE122" s="274"/>
      <c r="KF122" s="274"/>
      <c r="KG122" s="274"/>
      <c r="KH122" s="274"/>
      <c r="KI122" s="274"/>
      <c r="KJ122" s="274"/>
      <c r="KK122" s="274"/>
      <c r="KL122" s="274"/>
      <c r="KM122" s="274"/>
      <c r="KN122" s="274"/>
      <c r="KO122" s="274"/>
      <c r="KP122" s="274"/>
      <c r="KQ122" s="274"/>
      <c r="KR122" s="274"/>
      <c r="KS122" s="274"/>
      <c r="KT122" s="274"/>
      <c r="KU122" s="274"/>
      <c r="KV122" s="274"/>
      <c r="KW122" s="274"/>
      <c r="KX122" s="274"/>
      <c r="KY122" s="274"/>
      <c r="KZ122" s="274"/>
      <c r="LA122" s="274"/>
      <c r="LB122" s="274"/>
      <c r="LC122" s="274"/>
      <c r="LD122" s="274"/>
      <c r="LE122" s="274"/>
      <c r="LF122" s="274"/>
      <c r="LG122" s="274"/>
      <c r="LH122" s="275"/>
      <c r="LI122" s="273"/>
      <c r="LJ122" s="274"/>
      <c r="LK122" s="274"/>
      <c r="LL122" s="274"/>
      <c r="LM122" s="275"/>
      <c r="ME122" s="180"/>
      <c r="MF122" s="181"/>
      <c r="MG122" s="199"/>
      <c r="MH122" s="199"/>
      <c r="MI122" s="199"/>
      <c r="MJ122" s="199"/>
      <c r="MK122" s="200"/>
    </row>
    <row r="123" spans="4:349" ht="5.0999999999999996" customHeight="1" x14ac:dyDescent="0.3">
      <c r="D123" s="177"/>
      <c r="E123" s="178"/>
      <c r="BG123" s="273"/>
      <c r="BH123" s="274"/>
      <c r="BI123" s="274"/>
      <c r="BJ123" s="274"/>
      <c r="BK123" s="274"/>
      <c r="BL123" s="274"/>
      <c r="BM123" s="274"/>
      <c r="BN123" s="274"/>
      <c r="BO123" s="274"/>
      <c r="BP123" s="274"/>
      <c r="BQ123" s="274"/>
      <c r="BR123" s="274"/>
      <c r="BS123" s="274"/>
      <c r="BT123" s="274"/>
      <c r="BU123" s="274"/>
      <c r="BV123" s="274"/>
      <c r="BW123" s="274"/>
      <c r="BX123" s="274"/>
      <c r="BY123" s="274"/>
      <c r="BZ123" s="274"/>
      <c r="CA123" s="274"/>
      <c r="CB123" s="274"/>
      <c r="CC123" s="274"/>
      <c r="CD123" s="274"/>
      <c r="CE123" s="274"/>
      <c r="CF123" s="274"/>
      <c r="CG123" s="274"/>
      <c r="CH123" s="274"/>
      <c r="CI123" s="274"/>
      <c r="CJ123" s="274"/>
      <c r="CK123" s="274"/>
      <c r="CL123" s="274"/>
      <c r="CM123" s="274"/>
      <c r="CN123" s="274"/>
      <c r="CO123" s="274"/>
      <c r="CP123" s="274"/>
      <c r="CQ123" s="274"/>
      <c r="CR123" s="274"/>
      <c r="CS123" s="274"/>
      <c r="CT123" s="274"/>
      <c r="CU123" s="275"/>
      <c r="CV123" s="273"/>
      <c r="CW123" s="274"/>
      <c r="CX123" s="274"/>
      <c r="CY123" s="274"/>
      <c r="CZ123" s="275"/>
      <c r="FY123" s="298"/>
      <c r="FZ123" s="298"/>
      <c r="GA123" s="298"/>
      <c r="GB123" s="298"/>
      <c r="GC123" s="298"/>
      <c r="GD123" s="298"/>
      <c r="GE123" s="298"/>
      <c r="GF123" s="298"/>
      <c r="GG123" s="298"/>
      <c r="GH123" s="298"/>
      <c r="GI123" s="298"/>
      <c r="GJ123" s="298"/>
      <c r="GK123" s="298"/>
      <c r="GL123" s="298"/>
      <c r="GM123" s="298"/>
      <c r="GN123" s="298"/>
      <c r="GO123" s="298"/>
      <c r="GP123" s="298"/>
      <c r="GQ123" s="298"/>
      <c r="GR123" s="298"/>
      <c r="GS123" s="298"/>
      <c r="GT123" s="298"/>
      <c r="GU123" s="298"/>
      <c r="GV123" s="298"/>
      <c r="GW123" s="298"/>
      <c r="GX123" s="298"/>
      <c r="GY123" s="298"/>
      <c r="GZ123" s="298"/>
      <c r="HA123" s="298"/>
      <c r="HB123" s="298"/>
      <c r="HC123" s="298"/>
      <c r="HD123" s="298"/>
      <c r="HE123" s="298"/>
      <c r="HF123" s="298"/>
      <c r="HG123" s="298"/>
      <c r="HH123" s="298"/>
      <c r="HI123" s="298"/>
      <c r="HJ123" s="298"/>
      <c r="HK123" s="298"/>
      <c r="HL123" s="298"/>
      <c r="HM123" s="298"/>
      <c r="HN123" s="298"/>
      <c r="HO123" s="298"/>
      <c r="HP123" s="298"/>
      <c r="HQ123" s="298"/>
      <c r="HW123" s="273"/>
      <c r="HX123" s="274"/>
      <c r="HY123" s="274"/>
      <c r="HZ123" s="274"/>
      <c r="IA123" s="274"/>
      <c r="IB123" s="274"/>
      <c r="IC123" s="274"/>
      <c r="ID123" s="274"/>
      <c r="IE123" s="274"/>
      <c r="IF123" s="274"/>
      <c r="IG123" s="274"/>
      <c r="IH123" s="274"/>
      <c r="II123" s="274"/>
      <c r="IJ123" s="274"/>
      <c r="IK123" s="274"/>
      <c r="IL123" s="274"/>
      <c r="IM123" s="274"/>
      <c r="IN123" s="274"/>
      <c r="IO123" s="274"/>
      <c r="IP123" s="274"/>
      <c r="IQ123" s="274"/>
      <c r="IR123" s="274"/>
      <c r="IS123" s="274"/>
      <c r="IT123" s="274"/>
      <c r="IU123" s="274"/>
      <c r="IV123" s="274"/>
      <c r="IW123" s="274"/>
      <c r="IX123" s="274"/>
      <c r="IY123" s="274"/>
      <c r="IZ123" s="274"/>
      <c r="JA123" s="274"/>
      <c r="JB123" s="274"/>
      <c r="JC123" s="274"/>
      <c r="JD123" s="274"/>
      <c r="JE123" s="274"/>
      <c r="JF123" s="274"/>
      <c r="JG123" s="274"/>
      <c r="JH123" s="274"/>
      <c r="JI123" s="274"/>
      <c r="JJ123" s="275"/>
      <c r="JK123" s="273"/>
      <c r="JL123" s="274"/>
      <c r="JM123" s="274"/>
      <c r="JN123" s="274"/>
      <c r="JO123" s="275"/>
      <c r="JU123" s="273"/>
      <c r="JV123" s="274"/>
      <c r="JW123" s="274"/>
      <c r="JX123" s="274"/>
      <c r="JY123" s="274"/>
      <c r="JZ123" s="274"/>
      <c r="KA123" s="274"/>
      <c r="KB123" s="274"/>
      <c r="KC123" s="274"/>
      <c r="KD123" s="274"/>
      <c r="KE123" s="274"/>
      <c r="KF123" s="274"/>
      <c r="KG123" s="274"/>
      <c r="KH123" s="274"/>
      <c r="KI123" s="274"/>
      <c r="KJ123" s="274"/>
      <c r="KK123" s="274"/>
      <c r="KL123" s="274"/>
      <c r="KM123" s="274"/>
      <c r="KN123" s="274"/>
      <c r="KO123" s="274"/>
      <c r="KP123" s="274"/>
      <c r="KQ123" s="274"/>
      <c r="KR123" s="274"/>
      <c r="KS123" s="274"/>
      <c r="KT123" s="274"/>
      <c r="KU123" s="274"/>
      <c r="KV123" s="274"/>
      <c r="KW123" s="274"/>
      <c r="KX123" s="274"/>
      <c r="KY123" s="274"/>
      <c r="KZ123" s="274"/>
      <c r="LA123" s="274"/>
      <c r="LB123" s="274"/>
      <c r="LC123" s="274"/>
      <c r="LD123" s="274"/>
      <c r="LE123" s="274"/>
      <c r="LF123" s="274"/>
      <c r="LG123" s="274"/>
      <c r="LH123" s="275"/>
      <c r="LI123" s="273"/>
      <c r="LJ123" s="274"/>
      <c r="LK123" s="274"/>
      <c r="LL123" s="274"/>
      <c r="LM123" s="275"/>
      <c r="ME123" s="180"/>
      <c r="MF123" s="181"/>
      <c r="MG123" s="199"/>
      <c r="MH123" s="199"/>
      <c r="MI123" s="199"/>
      <c r="MJ123" s="199"/>
      <c r="MK123" s="200"/>
    </row>
    <row r="124" spans="4:349" ht="5.0999999999999996" customHeight="1" x14ac:dyDescent="0.3">
      <c r="D124" s="177"/>
      <c r="E124" s="178"/>
      <c r="BG124" s="273"/>
      <c r="BH124" s="274"/>
      <c r="BI124" s="274"/>
      <c r="BJ124" s="274"/>
      <c r="BK124" s="274"/>
      <c r="BL124" s="274"/>
      <c r="BM124" s="274"/>
      <c r="BN124" s="274"/>
      <c r="BO124" s="274"/>
      <c r="BP124" s="274"/>
      <c r="BQ124" s="274"/>
      <c r="BR124" s="274"/>
      <c r="BS124" s="274"/>
      <c r="BT124" s="274"/>
      <c r="BU124" s="274"/>
      <c r="BV124" s="274"/>
      <c r="BW124" s="274"/>
      <c r="BX124" s="274"/>
      <c r="BY124" s="274"/>
      <c r="BZ124" s="274"/>
      <c r="CA124" s="274"/>
      <c r="CB124" s="274"/>
      <c r="CC124" s="274"/>
      <c r="CD124" s="274"/>
      <c r="CE124" s="274"/>
      <c r="CF124" s="274"/>
      <c r="CG124" s="274"/>
      <c r="CH124" s="274"/>
      <c r="CI124" s="274"/>
      <c r="CJ124" s="274"/>
      <c r="CK124" s="274"/>
      <c r="CL124" s="274"/>
      <c r="CM124" s="274"/>
      <c r="CN124" s="274"/>
      <c r="CO124" s="274"/>
      <c r="CP124" s="274"/>
      <c r="CQ124" s="274"/>
      <c r="CR124" s="274"/>
      <c r="CS124" s="274"/>
      <c r="CT124" s="274"/>
      <c r="CU124" s="275"/>
      <c r="CV124" s="273"/>
      <c r="CW124" s="274"/>
      <c r="CX124" s="274"/>
      <c r="CY124" s="274"/>
      <c r="CZ124" s="275"/>
      <c r="FY124" s="298"/>
      <c r="FZ124" s="298"/>
      <c r="GA124" s="298"/>
      <c r="GB124" s="298"/>
      <c r="GC124" s="298"/>
      <c r="GD124" s="298"/>
      <c r="GE124" s="298"/>
      <c r="GF124" s="298"/>
      <c r="GG124" s="298"/>
      <c r="GH124" s="298"/>
      <c r="GI124" s="298"/>
      <c r="GJ124" s="298"/>
      <c r="GK124" s="298"/>
      <c r="GL124" s="298"/>
      <c r="GM124" s="298"/>
      <c r="GN124" s="298"/>
      <c r="GO124" s="298"/>
      <c r="GP124" s="298"/>
      <c r="GQ124" s="298"/>
      <c r="GR124" s="298"/>
      <c r="GS124" s="298"/>
      <c r="GT124" s="298"/>
      <c r="GU124" s="298"/>
      <c r="GV124" s="298"/>
      <c r="GW124" s="298"/>
      <c r="GX124" s="298"/>
      <c r="GY124" s="298"/>
      <c r="GZ124" s="298"/>
      <c r="HA124" s="298"/>
      <c r="HB124" s="298"/>
      <c r="HC124" s="298"/>
      <c r="HD124" s="298"/>
      <c r="HE124" s="298"/>
      <c r="HF124" s="298"/>
      <c r="HG124" s="298"/>
      <c r="HH124" s="298"/>
      <c r="HI124" s="298"/>
      <c r="HJ124" s="298"/>
      <c r="HK124" s="298"/>
      <c r="HL124" s="298"/>
      <c r="HM124" s="298"/>
      <c r="HN124" s="298"/>
      <c r="HO124" s="298"/>
      <c r="HP124" s="298"/>
      <c r="HQ124" s="298"/>
      <c r="HW124" s="273"/>
      <c r="HX124" s="274"/>
      <c r="HY124" s="274"/>
      <c r="HZ124" s="274"/>
      <c r="IA124" s="274"/>
      <c r="IB124" s="274"/>
      <c r="IC124" s="274"/>
      <c r="ID124" s="274"/>
      <c r="IE124" s="274"/>
      <c r="IF124" s="274"/>
      <c r="IG124" s="274"/>
      <c r="IH124" s="274"/>
      <c r="II124" s="274"/>
      <c r="IJ124" s="274"/>
      <c r="IK124" s="274"/>
      <c r="IL124" s="274"/>
      <c r="IM124" s="274"/>
      <c r="IN124" s="274"/>
      <c r="IO124" s="274"/>
      <c r="IP124" s="274"/>
      <c r="IQ124" s="274"/>
      <c r="IR124" s="274"/>
      <c r="IS124" s="274"/>
      <c r="IT124" s="274"/>
      <c r="IU124" s="274"/>
      <c r="IV124" s="274"/>
      <c r="IW124" s="274"/>
      <c r="IX124" s="274"/>
      <c r="IY124" s="274"/>
      <c r="IZ124" s="274"/>
      <c r="JA124" s="274"/>
      <c r="JB124" s="274"/>
      <c r="JC124" s="274"/>
      <c r="JD124" s="274"/>
      <c r="JE124" s="274"/>
      <c r="JF124" s="274"/>
      <c r="JG124" s="274"/>
      <c r="JH124" s="274"/>
      <c r="JI124" s="274"/>
      <c r="JJ124" s="275"/>
      <c r="JK124" s="273"/>
      <c r="JL124" s="274"/>
      <c r="JM124" s="274"/>
      <c r="JN124" s="274"/>
      <c r="JO124" s="275"/>
      <c r="JU124" s="273"/>
      <c r="JV124" s="274"/>
      <c r="JW124" s="274"/>
      <c r="JX124" s="274"/>
      <c r="JY124" s="274"/>
      <c r="JZ124" s="274"/>
      <c r="KA124" s="274"/>
      <c r="KB124" s="274"/>
      <c r="KC124" s="274"/>
      <c r="KD124" s="274"/>
      <c r="KE124" s="274"/>
      <c r="KF124" s="274"/>
      <c r="KG124" s="274"/>
      <c r="KH124" s="274"/>
      <c r="KI124" s="274"/>
      <c r="KJ124" s="274"/>
      <c r="KK124" s="274"/>
      <c r="KL124" s="274"/>
      <c r="KM124" s="274"/>
      <c r="KN124" s="274"/>
      <c r="KO124" s="274"/>
      <c r="KP124" s="274"/>
      <c r="KQ124" s="274"/>
      <c r="KR124" s="274"/>
      <c r="KS124" s="274"/>
      <c r="KT124" s="274"/>
      <c r="KU124" s="274"/>
      <c r="KV124" s="274"/>
      <c r="KW124" s="274"/>
      <c r="KX124" s="274"/>
      <c r="KY124" s="274"/>
      <c r="KZ124" s="274"/>
      <c r="LA124" s="274"/>
      <c r="LB124" s="274"/>
      <c r="LC124" s="274"/>
      <c r="LD124" s="274"/>
      <c r="LE124" s="274"/>
      <c r="LF124" s="274"/>
      <c r="LG124" s="274"/>
      <c r="LH124" s="275"/>
      <c r="LI124" s="273"/>
      <c r="LJ124" s="274"/>
      <c r="LK124" s="274"/>
      <c r="LL124" s="274"/>
      <c r="LM124" s="275"/>
      <c r="ME124" s="180"/>
      <c r="MF124" s="181"/>
      <c r="MG124" s="199"/>
      <c r="MH124" s="199"/>
      <c r="MI124" s="199"/>
      <c r="MJ124" s="199"/>
      <c r="MK124" s="200"/>
    </row>
    <row r="125" spans="4:349" ht="5.0999999999999996" customHeight="1" x14ac:dyDescent="0.3">
      <c r="D125" s="177"/>
      <c r="E125" s="178"/>
      <c r="BG125" s="273"/>
      <c r="BH125" s="274"/>
      <c r="BI125" s="274"/>
      <c r="BJ125" s="274"/>
      <c r="BK125" s="274"/>
      <c r="BL125" s="274"/>
      <c r="BM125" s="274"/>
      <c r="BN125" s="274"/>
      <c r="BO125" s="274"/>
      <c r="BP125" s="274"/>
      <c r="BQ125" s="274"/>
      <c r="BR125" s="274"/>
      <c r="BS125" s="274"/>
      <c r="BT125" s="274"/>
      <c r="BU125" s="274"/>
      <c r="BV125" s="274"/>
      <c r="BW125" s="274"/>
      <c r="BX125" s="274"/>
      <c r="BY125" s="274"/>
      <c r="BZ125" s="274"/>
      <c r="CA125" s="274"/>
      <c r="CB125" s="274"/>
      <c r="CC125" s="274"/>
      <c r="CD125" s="274"/>
      <c r="CE125" s="274"/>
      <c r="CF125" s="274"/>
      <c r="CG125" s="274"/>
      <c r="CH125" s="274"/>
      <c r="CI125" s="274"/>
      <c r="CJ125" s="274"/>
      <c r="CK125" s="274"/>
      <c r="CL125" s="274"/>
      <c r="CM125" s="274"/>
      <c r="CN125" s="274"/>
      <c r="CO125" s="274"/>
      <c r="CP125" s="274"/>
      <c r="CQ125" s="274"/>
      <c r="CR125" s="274"/>
      <c r="CS125" s="274"/>
      <c r="CT125" s="274"/>
      <c r="CU125" s="275"/>
      <c r="CV125" s="273"/>
      <c r="CW125" s="274"/>
      <c r="CX125" s="274"/>
      <c r="CY125" s="274"/>
      <c r="CZ125" s="275"/>
      <c r="FY125" s="298"/>
      <c r="FZ125" s="298"/>
      <c r="GA125" s="298"/>
      <c r="GB125" s="298"/>
      <c r="GC125" s="298"/>
      <c r="GD125" s="298"/>
      <c r="GE125" s="298"/>
      <c r="GF125" s="298"/>
      <c r="GG125" s="298"/>
      <c r="GH125" s="298"/>
      <c r="GI125" s="298"/>
      <c r="GJ125" s="298"/>
      <c r="GK125" s="298"/>
      <c r="GL125" s="298"/>
      <c r="GM125" s="298"/>
      <c r="GN125" s="298"/>
      <c r="GO125" s="298"/>
      <c r="GP125" s="298"/>
      <c r="GQ125" s="298"/>
      <c r="GR125" s="298"/>
      <c r="GS125" s="298"/>
      <c r="GT125" s="298"/>
      <c r="GU125" s="298"/>
      <c r="GV125" s="298"/>
      <c r="GW125" s="298"/>
      <c r="GX125" s="298"/>
      <c r="GY125" s="298"/>
      <c r="GZ125" s="298"/>
      <c r="HA125" s="298"/>
      <c r="HB125" s="298"/>
      <c r="HC125" s="298"/>
      <c r="HD125" s="298"/>
      <c r="HE125" s="298"/>
      <c r="HF125" s="298"/>
      <c r="HG125" s="298"/>
      <c r="HH125" s="298"/>
      <c r="HI125" s="298"/>
      <c r="HJ125" s="298"/>
      <c r="HK125" s="298"/>
      <c r="HL125" s="298"/>
      <c r="HM125" s="298"/>
      <c r="HN125" s="298"/>
      <c r="HO125" s="298"/>
      <c r="HP125" s="298"/>
      <c r="HQ125" s="298"/>
      <c r="HW125" s="273"/>
      <c r="HX125" s="274"/>
      <c r="HY125" s="274"/>
      <c r="HZ125" s="274"/>
      <c r="IA125" s="274"/>
      <c r="IB125" s="274"/>
      <c r="IC125" s="274"/>
      <c r="ID125" s="274"/>
      <c r="IE125" s="274"/>
      <c r="IF125" s="274"/>
      <c r="IG125" s="274"/>
      <c r="IH125" s="274"/>
      <c r="II125" s="274"/>
      <c r="IJ125" s="274"/>
      <c r="IK125" s="274"/>
      <c r="IL125" s="274"/>
      <c r="IM125" s="274"/>
      <c r="IN125" s="274"/>
      <c r="IO125" s="274"/>
      <c r="IP125" s="274"/>
      <c r="IQ125" s="274"/>
      <c r="IR125" s="274"/>
      <c r="IS125" s="274"/>
      <c r="IT125" s="274"/>
      <c r="IU125" s="274"/>
      <c r="IV125" s="274"/>
      <c r="IW125" s="274"/>
      <c r="IX125" s="274"/>
      <c r="IY125" s="274"/>
      <c r="IZ125" s="274"/>
      <c r="JA125" s="274"/>
      <c r="JB125" s="274"/>
      <c r="JC125" s="274"/>
      <c r="JD125" s="274"/>
      <c r="JE125" s="274"/>
      <c r="JF125" s="274"/>
      <c r="JG125" s="274"/>
      <c r="JH125" s="274"/>
      <c r="JI125" s="274"/>
      <c r="JJ125" s="275"/>
      <c r="JK125" s="273"/>
      <c r="JL125" s="274"/>
      <c r="JM125" s="274"/>
      <c r="JN125" s="274"/>
      <c r="JO125" s="275"/>
      <c r="JU125" s="273"/>
      <c r="JV125" s="274"/>
      <c r="JW125" s="274"/>
      <c r="JX125" s="274"/>
      <c r="JY125" s="274"/>
      <c r="JZ125" s="274"/>
      <c r="KA125" s="274"/>
      <c r="KB125" s="274"/>
      <c r="KC125" s="274"/>
      <c r="KD125" s="274"/>
      <c r="KE125" s="274"/>
      <c r="KF125" s="274"/>
      <c r="KG125" s="274"/>
      <c r="KH125" s="274"/>
      <c r="KI125" s="274"/>
      <c r="KJ125" s="274"/>
      <c r="KK125" s="274"/>
      <c r="KL125" s="274"/>
      <c r="KM125" s="274"/>
      <c r="KN125" s="274"/>
      <c r="KO125" s="274"/>
      <c r="KP125" s="274"/>
      <c r="KQ125" s="274"/>
      <c r="KR125" s="274"/>
      <c r="KS125" s="274"/>
      <c r="KT125" s="274"/>
      <c r="KU125" s="274"/>
      <c r="KV125" s="274"/>
      <c r="KW125" s="274"/>
      <c r="KX125" s="274"/>
      <c r="KY125" s="274"/>
      <c r="KZ125" s="274"/>
      <c r="LA125" s="274"/>
      <c r="LB125" s="274"/>
      <c r="LC125" s="274"/>
      <c r="LD125" s="274"/>
      <c r="LE125" s="274"/>
      <c r="LF125" s="274"/>
      <c r="LG125" s="274"/>
      <c r="LH125" s="275"/>
      <c r="LI125" s="273"/>
      <c r="LJ125" s="274"/>
      <c r="LK125" s="274"/>
      <c r="LL125" s="274"/>
      <c r="LM125" s="275"/>
      <c r="ME125" s="180"/>
      <c r="MF125" s="181"/>
      <c r="MG125" s="199"/>
      <c r="MH125" s="199"/>
      <c r="MI125" s="199"/>
      <c r="MJ125" s="199"/>
      <c r="MK125" s="200"/>
    </row>
    <row r="126" spans="4:349" ht="5.0999999999999996" customHeight="1" x14ac:dyDescent="0.3">
      <c r="D126" s="177"/>
      <c r="E126" s="178"/>
      <c r="BG126" s="273"/>
      <c r="BH126" s="274"/>
      <c r="BI126" s="274"/>
      <c r="BJ126" s="274"/>
      <c r="BK126" s="274"/>
      <c r="BL126" s="274"/>
      <c r="BM126" s="274"/>
      <c r="BN126" s="274"/>
      <c r="BO126" s="274"/>
      <c r="BP126" s="274"/>
      <c r="BQ126" s="274"/>
      <c r="BR126" s="274"/>
      <c r="BS126" s="274"/>
      <c r="BT126" s="274"/>
      <c r="BU126" s="274"/>
      <c r="BV126" s="274"/>
      <c r="BW126" s="274"/>
      <c r="BX126" s="274"/>
      <c r="BY126" s="274"/>
      <c r="BZ126" s="274"/>
      <c r="CA126" s="274"/>
      <c r="CB126" s="274"/>
      <c r="CC126" s="274"/>
      <c r="CD126" s="274"/>
      <c r="CE126" s="274"/>
      <c r="CF126" s="274"/>
      <c r="CG126" s="274"/>
      <c r="CH126" s="274"/>
      <c r="CI126" s="274"/>
      <c r="CJ126" s="274"/>
      <c r="CK126" s="274"/>
      <c r="CL126" s="274"/>
      <c r="CM126" s="274"/>
      <c r="CN126" s="274"/>
      <c r="CO126" s="274"/>
      <c r="CP126" s="274"/>
      <c r="CQ126" s="274"/>
      <c r="CR126" s="274"/>
      <c r="CS126" s="274"/>
      <c r="CT126" s="274"/>
      <c r="CU126" s="275"/>
      <c r="CV126" s="273"/>
      <c r="CW126" s="274"/>
      <c r="CX126" s="274"/>
      <c r="CY126" s="274"/>
      <c r="CZ126" s="275"/>
      <c r="FY126" s="298"/>
      <c r="FZ126" s="298"/>
      <c r="GA126" s="298"/>
      <c r="GB126" s="298"/>
      <c r="GC126" s="298"/>
      <c r="GD126" s="298"/>
      <c r="GE126" s="298"/>
      <c r="GF126" s="298"/>
      <c r="GG126" s="298"/>
      <c r="GH126" s="298"/>
      <c r="GI126" s="298"/>
      <c r="GJ126" s="298"/>
      <c r="GK126" s="298"/>
      <c r="GL126" s="298"/>
      <c r="GM126" s="298"/>
      <c r="GN126" s="298"/>
      <c r="GO126" s="298"/>
      <c r="GP126" s="298"/>
      <c r="GQ126" s="298"/>
      <c r="GR126" s="298"/>
      <c r="GS126" s="298"/>
      <c r="GT126" s="298"/>
      <c r="GU126" s="298"/>
      <c r="GV126" s="298"/>
      <c r="GW126" s="298"/>
      <c r="GX126" s="298"/>
      <c r="GY126" s="298"/>
      <c r="GZ126" s="298"/>
      <c r="HA126" s="298"/>
      <c r="HB126" s="298"/>
      <c r="HC126" s="298"/>
      <c r="HD126" s="298"/>
      <c r="HE126" s="298"/>
      <c r="HF126" s="298"/>
      <c r="HG126" s="298"/>
      <c r="HH126" s="298"/>
      <c r="HI126" s="298"/>
      <c r="HJ126" s="298"/>
      <c r="HK126" s="298"/>
      <c r="HL126" s="298"/>
      <c r="HM126" s="298"/>
      <c r="HN126" s="298"/>
      <c r="HO126" s="298"/>
      <c r="HP126" s="298"/>
      <c r="HQ126" s="298"/>
      <c r="HW126" s="273"/>
      <c r="HX126" s="274"/>
      <c r="HY126" s="274"/>
      <c r="HZ126" s="274"/>
      <c r="IA126" s="274"/>
      <c r="IB126" s="274"/>
      <c r="IC126" s="274"/>
      <c r="ID126" s="274"/>
      <c r="IE126" s="274"/>
      <c r="IF126" s="274"/>
      <c r="IG126" s="274"/>
      <c r="IH126" s="274"/>
      <c r="II126" s="274"/>
      <c r="IJ126" s="274"/>
      <c r="IK126" s="274"/>
      <c r="IL126" s="274"/>
      <c r="IM126" s="274"/>
      <c r="IN126" s="274"/>
      <c r="IO126" s="274"/>
      <c r="IP126" s="274"/>
      <c r="IQ126" s="274"/>
      <c r="IR126" s="274"/>
      <c r="IS126" s="274"/>
      <c r="IT126" s="274"/>
      <c r="IU126" s="274"/>
      <c r="IV126" s="274"/>
      <c r="IW126" s="274"/>
      <c r="IX126" s="274"/>
      <c r="IY126" s="274"/>
      <c r="IZ126" s="274"/>
      <c r="JA126" s="274"/>
      <c r="JB126" s="274"/>
      <c r="JC126" s="274"/>
      <c r="JD126" s="274"/>
      <c r="JE126" s="274"/>
      <c r="JF126" s="274"/>
      <c r="JG126" s="274"/>
      <c r="JH126" s="274"/>
      <c r="JI126" s="274"/>
      <c r="JJ126" s="275"/>
      <c r="JK126" s="273"/>
      <c r="JL126" s="274"/>
      <c r="JM126" s="274"/>
      <c r="JN126" s="274"/>
      <c r="JO126" s="275"/>
      <c r="JU126" s="273"/>
      <c r="JV126" s="274"/>
      <c r="JW126" s="274"/>
      <c r="JX126" s="274"/>
      <c r="JY126" s="274"/>
      <c r="JZ126" s="274"/>
      <c r="KA126" s="274"/>
      <c r="KB126" s="274"/>
      <c r="KC126" s="274"/>
      <c r="KD126" s="274"/>
      <c r="KE126" s="274"/>
      <c r="KF126" s="274"/>
      <c r="KG126" s="274"/>
      <c r="KH126" s="274"/>
      <c r="KI126" s="274"/>
      <c r="KJ126" s="274"/>
      <c r="KK126" s="274"/>
      <c r="KL126" s="274"/>
      <c r="KM126" s="274"/>
      <c r="KN126" s="274"/>
      <c r="KO126" s="274"/>
      <c r="KP126" s="274"/>
      <c r="KQ126" s="274"/>
      <c r="KR126" s="274"/>
      <c r="KS126" s="274"/>
      <c r="KT126" s="274"/>
      <c r="KU126" s="274"/>
      <c r="KV126" s="274"/>
      <c r="KW126" s="274"/>
      <c r="KX126" s="274"/>
      <c r="KY126" s="274"/>
      <c r="KZ126" s="274"/>
      <c r="LA126" s="274"/>
      <c r="LB126" s="274"/>
      <c r="LC126" s="274"/>
      <c r="LD126" s="274"/>
      <c r="LE126" s="274"/>
      <c r="LF126" s="274"/>
      <c r="LG126" s="274"/>
      <c r="LH126" s="275"/>
      <c r="LI126" s="273"/>
      <c r="LJ126" s="274"/>
      <c r="LK126" s="274"/>
      <c r="LL126" s="274"/>
      <c r="LM126" s="275"/>
      <c r="ME126" s="180"/>
      <c r="MF126" s="181"/>
      <c r="MG126" s="199"/>
      <c r="MH126" s="199"/>
      <c r="MI126" s="199"/>
      <c r="MJ126" s="199"/>
      <c r="MK126" s="200"/>
    </row>
    <row r="127" spans="4:349" ht="5.0999999999999996" customHeight="1" x14ac:dyDescent="0.3">
      <c r="D127" s="177"/>
      <c r="E127" s="178"/>
      <c r="BG127" s="276"/>
      <c r="BH127" s="277"/>
      <c r="BI127" s="277"/>
      <c r="BJ127" s="277"/>
      <c r="BK127" s="277"/>
      <c r="BL127" s="277"/>
      <c r="BM127" s="277"/>
      <c r="BN127" s="277"/>
      <c r="BO127" s="277"/>
      <c r="BP127" s="277"/>
      <c r="BQ127" s="277"/>
      <c r="BR127" s="277"/>
      <c r="BS127" s="277"/>
      <c r="BT127" s="277"/>
      <c r="BU127" s="277"/>
      <c r="BV127" s="277"/>
      <c r="BW127" s="277"/>
      <c r="BX127" s="277"/>
      <c r="BY127" s="277"/>
      <c r="BZ127" s="277"/>
      <c r="CA127" s="277"/>
      <c r="CB127" s="277"/>
      <c r="CC127" s="277"/>
      <c r="CD127" s="277"/>
      <c r="CE127" s="277"/>
      <c r="CF127" s="277"/>
      <c r="CG127" s="277"/>
      <c r="CH127" s="277"/>
      <c r="CI127" s="277"/>
      <c r="CJ127" s="277"/>
      <c r="CK127" s="277"/>
      <c r="CL127" s="277"/>
      <c r="CM127" s="277"/>
      <c r="CN127" s="277"/>
      <c r="CO127" s="277"/>
      <c r="CP127" s="277"/>
      <c r="CQ127" s="277"/>
      <c r="CR127" s="277"/>
      <c r="CS127" s="277"/>
      <c r="CT127" s="277"/>
      <c r="CU127" s="278"/>
      <c r="CV127" s="276"/>
      <c r="CW127" s="277"/>
      <c r="CX127" s="277"/>
      <c r="CY127" s="277"/>
      <c r="CZ127" s="278"/>
      <c r="FY127" s="298"/>
      <c r="FZ127" s="298"/>
      <c r="GA127" s="298"/>
      <c r="GB127" s="298"/>
      <c r="GC127" s="298"/>
      <c r="GD127" s="298"/>
      <c r="GE127" s="298"/>
      <c r="GF127" s="298"/>
      <c r="GG127" s="298"/>
      <c r="GH127" s="298"/>
      <c r="GI127" s="298"/>
      <c r="GJ127" s="298"/>
      <c r="GK127" s="298"/>
      <c r="GL127" s="298"/>
      <c r="GM127" s="298"/>
      <c r="GN127" s="298"/>
      <c r="GO127" s="298"/>
      <c r="GP127" s="298"/>
      <c r="GQ127" s="298"/>
      <c r="GR127" s="298"/>
      <c r="GS127" s="298"/>
      <c r="GT127" s="298"/>
      <c r="GU127" s="298"/>
      <c r="GV127" s="298"/>
      <c r="GW127" s="298"/>
      <c r="GX127" s="298"/>
      <c r="GY127" s="298"/>
      <c r="GZ127" s="298"/>
      <c r="HA127" s="298"/>
      <c r="HB127" s="298"/>
      <c r="HC127" s="298"/>
      <c r="HD127" s="298"/>
      <c r="HE127" s="298"/>
      <c r="HF127" s="298"/>
      <c r="HG127" s="298"/>
      <c r="HH127" s="298"/>
      <c r="HI127" s="298"/>
      <c r="HJ127" s="298"/>
      <c r="HK127" s="298"/>
      <c r="HL127" s="298"/>
      <c r="HM127" s="298"/>
      <c r="HN127" s="298"/>
      <c r="HO127" s="298"/>
      <c r="HP127" s="298"/>
      <c r="HQ127" s="298"/>
      <c r="HW127" s="273"/>
      <c r="HX127" s="274"/>
      <c r="HY127" s="274"/>
      <c r="HZ127" s="274"/>
      <c r="IA127" s="274"/>
      <c r="IB127" s="274"/>
      <c r="IC127" s="274"/>
      <c r="ID127" s="274"/>
      <c r="IE127" s="274"/>
      <c r="IF127" s="274"/>
      <c r="IG127" s="274"/>
      <c r="IH127" s="274"/>
      <c r="II127" s="274"/>
      <c r="IJ127" s="274"/>
      <c r="IK127" s="274"/>
      <c r="IL127" s="274"/>
      <c r="IM127" s="274"/>
      <c r="IN127" s="274"/>
      <c r="IO127" s="274"/>
      <c r="IP127" s="274"/>
      <c r="IQ127" s="274"/>
      <c r="IR127" s="274"/>
      <c r="IS127" s="274"/>
      <c r="IT127" s="274"/>
      <c r="IU127" s="274"/>
      <c r="IV127" s="274"/>
      <c r="IW127" s="274"/>
      <c r="IX127" s="274"/>
      <c r="IY127" s="274"/>
      <c r="IZ127" s="274"/>
      <c r="JA127" s="274"/>
      <c r="JB127" s="274"/>
      <c r="JC127" s="274"/>
      <c r="JD127" s="274"/>
      <c r="JE127" s="274"/>
      <c r="JF127" s="274"/>
      <c r="JG127" s="274"/>
      <c r="JH127" s="274"/>
      <c r="JI127" s="274"/>
      <c r="JJ127" s="275"/>
      <c r="JK127" s="273"/>
      <c r="JL127" s="274"/>
      <c r="JM127" s="274"/>
      <c r="JN127" s="274"/>
      <c r="JO127" s="275"/>
      <c r="JU127" s="273"/>
      <c r="JV127" s="274"/>
      <c r="JW127" s="274"/>
      <c r="JX127" s="274"/>
      <c r="JY127" s="274"/>
      <c r="JZ127" s="274"/>
      <c r="KA127" s="274"/>
      <c r="KB127" s="274"/>
      <c r="KC127" s="274"/>
      <c r="KD127" s="274"/>
      <c r="KE127" s="274"/>
      <c r="KF127" s="274"/>
      <c r="KG127" s="274"/>
      <c r="KH127" s="274"/>
      <c r="KI127" s="274"/>
      <c r="KJ127" s="274"/>
      <c r="KK127" s="274"/>
      <c r="KL127" s="274"/>
      <c r="KM127" s="274"/>
      <c r="KN127" s="274"/>
      <c r="KO127" s="274"/>
      <c r="KP127" s="274"/>
      <c r="KQ127" s="274"/>
      <c r="KR127" s="274"/>
      <c r="KS127" s="274"/>
      <c r="KT127" s="274"/>
      <c r="KU127" s="274"/>
      <c r="KV127" s="274"/>
      <c r="KW127" s="274"/>
      <c r="KX127" s="274"/>
      <c r="KY127" s="274"/>
      <c r="KZ127" s="274"/>
      <c r="LA127" s="274"/>
      <c r="LB127" s="274"/>
      <c r="LC127" s="274"/>
      <c r="LD127" s="274"/>
      <c r="LE127" s="274"/>
      <c r="LF127" s="274"/>
      <c r="LG127" s="274"/>
      <c r="LH127" s="275"/>
      <c r="LI127" s="273"/>
      <c r="LJ127" s="274"/>
      <c r="LK127" s="274"/>
      <c r="LL127" s="274"/>
      <c r="LM127" s="275"/>
      <c r="ME127" s="180"/>
      <c r="MF127" s="181"/>
      <c r="MG127" s="199"/>
      <c r="MH127" s="199"/>
      <c r="MI127" s="199"/>
      <c r="MJ127" s="199"/>
      <c r="MK127" s="200"/>
    </row>
    <row r="128" spans="4:349" ht="5.0999999999999996" customHeight="1" x14ac:dyDescent="0.3">
      <c r="D128" s="177"/>
      <c r="E128" s="178"/>
      <c r="BG128" s="270" t="s">
        <v>192</v>
      </c>
      <c r="BH128" s="271"/>
      <c r="BI128" s="271"/>
      <c r="BJ128" s="271"/>
      <c r="BK128" s="271"/>
      <c r="BL128" s="271"/>
      <c r="BM128" s="271"/>
      <c r="BN128" s="271"/>
      <c r="BO128" s="271"/>
      <c r="BP128" s="271"/>
      <c r="BQ128" s="271"/>
      <c r="BR128" s="271"/>
      <c r="BS128" s="271"/>
      <c r="BT128" s="271"/>
      <c r="BU128" s="271"/>
      <c r="BV128" s="271"/>
      <c r="BW128" s="271"/>
      <c r="BX128" s="271"/>
      <c r="BY128" s="271"/>
      <c r="BZ128" s="271"/>
      <c r="CA128" s="271"/>
      <c r="CB128" s="271"/>
      <c r="CC128" s="271"/>
      <c r="CD128" s="271"/>
      <c r="CE128" s="271"/>
      <c r="CF128" s="271"/>
      <c r="CG128" s="271"/>
      <c r="CH128" s="271"/>
      <c r="CI128" s="271"/>
      <c r="CJ128" s="271"/>
      <c r="CK128" s="271"/>
      <c r="CL128" s="271"/>
      <c r="CM128" s="271"/>
      <c r="CN128" s="271"/>
      <c r="CO128" s="271"/>
      <c r="CP128" s="271"/>
      <c r="CQ128" s="271"/>
      <c r="CR128" s="271"/>
      <c r="CS128" s="271"/>
      <c r="CT128" s="271"/>
      <c r="CU128" s="272"/>
      <c r="CV128" s="270">
        <v>2</v>
      </c>
      <c r="CW128" s="271"/>
      <c r="CX128" s="271"/>
      <c r="CY128" s="271"/>
      <c r="CZ128" s="272"/>
      <c r="FY128" s="298"/>
      <c r="FZ128" s="298"/>
      <c r="GA128" s="298"/>
      <c r="GB128" s="298"/>
      <c r="GC128" s="298"/>
      <c r="GD128" s="298"/>
      <c r="GE128" s="298"/>
      <c r="GF128" s="298"/>
      <c r="GG128" s="298"/>
      <c r="GH128" s="298"/>
      <c r="GI128" s="298"/>
      <c r="GJ128" s="298"/>
      <c r="GK128" s="298"/>
      <c r="GL128" s="298"/>
      <c r="GM128" s="298"/>
      <c r="GN128" s="298"/>
      <c r="GO128" s="298"/>
      <c r="GP128" s="298"/>
      <c r="GQ128" s="298"/>
      <c r="GR128" s="298"/>
      <c r="GS128" s="298"/>
      <c r="GT128" s="298"/>
      <c r="GU128" s="298"/>
      <c r="GV128" s="298"/>
      <c r="GW128" s="298"/>
      <c r="GX128" s="298"/>
      <c r="GY128" s="298"/>
      <c r="GZ128" s="298"/>
      <c r="HA128" s="298"/>
      <c r="HB128" s="298"/>
      <c r="HC128" s="298"/>
      <c r="HD128" s="298"/>
      <c r="HE128" s="298"/>
      <c r="HF128" s="298"/>
      <c r="HG128" s="298"/>
      <c r="HH128" s="298"/>
      <c r="HI128" s="298"/>
      <c r="HJ128" s="298"/>
      <c r="HK128" s="298"/>
      <c r="HL128" s="298"/>
      <c r="HM128" s="298"/>
      <c r="HN128" s="298"/>
      <c r="HO128" s="298"/>
      <c r="HP128" s="298"/>
      <c r="HQ128" s="298"/>
      <c r="HW128" s="276"/>
      <c r="HX128" s="277"/>
      <c r="HY128" s="277"/>
      <c r="HZ128" s="277"/>
      <c r="IA128" s="277"/>
      <c r="IB128" s="277"/>
      <c r="IC128" s="277"/>
      <c r="ID128" s="277"/>
      <c r="IE128" s="277"/>
      <c r="IF128" s="277"/>
      <c r="IG128" s="277"/>
      <c r="IH128" s="277"/>
      <c r="II128" s="277"/>
      <c r="IJ128" s="277"/>
      <c r="IK128" s="277"/>
      <c r="IL128" s="277"/>
      <c r="IM128" s="277"/>
      <c r="IN128" s="277"/>
      <c r="IO128" s="277"/>
      <c r="IP128" s="277"/>
      <c r="IQ128" s="277"/>
      <c r="IR128" s="277"/>
      <c r="IS128" s="277"/>
      <c r="IT128" s="277"/>
      <c r="IU128" s="277"/>
      <c r="IV128" s="277"/>
      <c r="IW128" s="277"/>
      <c r="IX128" s="277"/>
      <c r="IY128" s="277"/>
      <c r="IZ128" s="277"/>
      <c r="JA128" s="277"/>
      <c r="JB128" s="277"/>
      <c r="JC128" s="277"/>
      <c r="JD128" s="277"/>
      <c r="JE128" s="277"/>
      <c r="JF128" s="277"/>
      <c r="JG128" s="277"/>
      <c r="JH128" s="277"/>
      <c r="JI128" s="277"/>
      <c r="JJ128" s="278"/>
      <c r="JK128" s="276"/>
      <c r="JL128" s="277"/>
      <c r="JM128" s="277"/>
      <c r="JN128" s="277"/>
      <c r="JO128" s="278"/>
      <c r="JU128" s="276"/>
      <c r="JV128" s="277"/>
      <c r="JW128" s="277"/>
      <c r="JX128" s="277"/>
      <c r="JY128" s="277"/>
      <c r="JZ128" s="277"/>
      <c r="KA128" s="277"/>
      <c r="KB128" s="277"/>
      <c r="KC128" s="277"/>
      <c r="KD128" s="277"/>
      <c r="KE128" s="277"/>
      <c r="KF128" s="277"/>
      <c r="KG128" s="277"/>
      <c r="KH128" s="277"/>
      <c r="KI128" s="277"/>
      <c r="KJ128" s="277"/>
      <c r="KK128" s="277"/>
      <c r="KL128" s="277"/>
      <c r="KM128" s="277"/>
      <c r="KN128" s="277"/>
      <c r="KO128" s="277"/>
      <c r="KP128" s="277"/>
      <c r="KQ128" s="277"/>
      <c r="KR128" s="277"/>
      <c r="KS128" s="277"/>
      <c r="KT128" s="277"/>
      <c r="KU128" s="277"/>
      <c r="KV128" s="277"/>
      <c r="KW128" s="277"/>
      <c r="KX128" s="277"/>
      <c r="KY128" s="277"/>
      <c r="KZ128" s="277"/>
      <c r="LA128" s="277"/>
      <c r="LB128" s="277"/>
      <c r="LC128" s="277"/>
      <c r="LD128" s="277"/>
      <c r="LE128" s="277"/>
      <c r="LF128" s="277"/>
      <c r="LG128" s="277"/>
      <c r="LH128" s="278"/>
      <c r="LI128" s="276"/>
      <c r="LJ128" s="277"/>
      <c r="LK128" s="277"/>
      <c r="LL128" s="277"/>
      <c r="LM128" s="278"/>
      <c r="ME128" s="180"/>
      <c r="MF128" s="181"/>
      <c r="MG128" s="199"/>
      <c r="MH128" s="199"/>
      <c r="MI128" s="199"/>
      <c r="MJ128" s="199"/>
      <c r="MK128" s="200"/>
    </row>
    <row r="129" spans="4:349" ht="5.0999999999999996" customHeight="1" x14ac:dyDescent="0.3">
      <c r="D129" s="177"/>
      <c r="E129" s="178"/>
      <c r="BG129" s="273"/>
      <c r="BH129" s="274"/>
      <c r="BI129" s="274"/>
      <c r="BJ129" s="274"/>
      <c r="BK129" s="274"/>
      <c r="BL129" s="274"/>
      <c r="BM129" s="274"/>
      <c r="BN129" s="274"/>
      <c r="BO129" s="274"/>
      <c r="BP129" s="274"/>
      <c r="BQ129" s="274"/>
      <c r="BR129" s="274"/>
      <c r="BS129" s="274"/>
      <c r="BT129" s="274"/>
      <c r="BU129" s="274"/>
      <c r="BV129" s="274"/>
      <c r="BW129" s="274"/>
      <c r="BX129" s="274"/>
      <c r="BY129" s="274"/>
      <c r="BZ129" s="274"/>
      <c r="CA129" s="274"/>
      <c r="CB129" s="274"/>
      <c r="CC129" s="274"/>
      <c r="CD129" s="274"/>
      <c r="CE129" s="274"/>
      <c r="CF129" s="274"/>
      <c r="CG129" s="274"/>
      <c r="CH129" s="274"/>
      <c r="CI129" s="274"/>
      <c r="CJ129" s="274"/>
      <c r="CK129" s="274"/>
      <c r="CL129" s="274"/>
      <c r="CM129" s="274"/>
      <c r="CN129" s="274"/>
      <c r="CO129" s="274"/>
      <c r="CP129" s="274"/>
      <c r="CQ129" s="274"/>
      <c r="CR129" s="274"/>
      <c r="CS129" s="274"/>
      <c r="CT129" s="274"/>
      <c r="CU129" s="275"/>
      <c r="CV129" s="273"/>
      <c r="CW129" s="274"/>
      <c r="CX129" s="274"/>
      <c r="CY129" s="274"/>
      <c r="CZ129" s="275"/>
      <c r="FY129" s="298"/>
      <c r="FZ129" s="298"/>
      <c r="GA129" s="298"/>
      <c r="GB129" s="298"/>
      <c r="GC129" s="298"/>
      <c r="GD129" s="298"/>
      <c r="GE129" s="298"/>
      <c r="GF129" s="298"/>
      <c r="GG129" s="298"/>
      <c r="GH129" s="298"/>
      <c r="GI129" s="298"/>
      <c r="GJ129" s="298"/>
      <c r="GK129" s="298"/>
      <c r="GL129" s="298"/>
      <c r="GM129" s="298"/>
      <c r="GN129" s="298"/>
      <c r="GO129" s="298"/>
      <c r="GP129" s="298"/>
      <c r="GQ129" s="298"/>
      <c r="GR129" s="298"/>
      <c r="GS129" s="298"/>
      <c r="GT129" s="298"/>
      <c r="GU129" s="298"/>
      <c r="GV129" s="298"/>
      <c r="GW129" s="298"/>
      <c r="GX129" s="298"/>
      <c r="GY129" s="298"/>
      <c r="GZ129" s="298"/>
      <c r="HA129" s="298"/>
      <c r="HB129" s="298"/>
      <c r="HC129" s="298"/>
      <c r="HD129" s="298"/>
      <c r="HE129" s="298"/>
      <c r="HF129" s="298"/>
      <c r="HG129" s="298"/>
      <c r="HH129" s="298"/>
      <c r="HI129" s="298"/>
      <c r="HJ129" s="298"/>
      <c r="HK129" s="298"/>
      <c r="HL129" s="298"/>
      <c r="HM129" s="298"/>
      <c r="HN129" s="298"/>
      <c r="HO129" s="298"/>
      <c r="HP129" s="298"/>
      <c r="HQ129" s="298"/>
      <c r="HW129" s="270" t="s">
        <v>193</v>
      </c>
      <c r="HX129" s="271"/>
      <c r="HY129" s="271"/>
      <c r="HZ129" s="271"/>
      <c r="IA129" s="271"/>
      <c r="IB129" s="271"/>
      <c r="IC129" s="271"/>
      <c r="ID129" s="271"/>
      <c r="IE129" s="271"/>
      <c r="IF129" s="271"/>
      <c r="IG129" s="271"/>
      <c r="IH129" s="271"/>
      <c r="II129" s="271"/>
      <c r="IJ129" s="271"/>
      <c r="IK129" s="271"/>
      <c r="IL129" s="271"/>
      <c r="IM129" s="271"/>
      <c r="IN129" s="271"/>
      <c r="IO129" s="271"/>
      <c r="IP129" s="271"/>
      <c r="IQ129" s="271"/>
      <c r="IR129" s="271"/>
      <c r="IS129" s="271"/>
      <c r="IT129" s="271"/>
      <c r="IU129" s="271"/>
      <c r="IV129" s="271"/>
      <c r="IW129" s="271"/>
      <c r="IX129" s="271"/>
      <c r="IY129" s="271"/>
      <c r="IZ129" s="271"/>
      <c r="JA129" s="271"/>
      <c r="JB129" s="271"/>
      <c r="JC129" s="271"/>
      <c r="JD129" s="271"/>
      <c r="JE129" s="271"/>
      <c r="JF129" s="271"/>
      <c r="JG129" s="271"/>
      <c r="JH129" s="271"/>
      <c r="JI129" s="271"/>
      <c r="JJ129" s="272"/>
      <c r="JK129" s="270">
        <v>2</v>
      </c>
      <c r="JL129" s="271">
        <v>2</v>
      </c>
      <c r="JM129" s="271"/>
      <c r="JN129" s="271"/>
      <c r="JO129" s="272"/>
      <c r="ME129" s="180"/>
      <c r="MF129" s="181"/>
      <c r="MG129" s="199"/>
      <c r="MH129" s="199"/>
      <c r="MI129" s="199"/>
      <c r="MJ129" s="199"/>
      <c r="MK129" s="200"/>
    </row>
    <row r="130" spans="4:349" ht="5.0999999999999996" customHeight="1" x14ac:dyDescent="0.3">
      <c r="D130" s="177"/>
      <c r="E130" s="178"/>
      <c r="BG130" s="273"/>
      <c r="BH130" s="274"/>
      <c r="BI130" s="274"/>
      <c r="BJ130" s="274"/>
      <c r="BK130" s="274"/>
      <c r="BL130" s="274"/>
      <c r="BM130" s="274"/>
      <c r="BN130" s="274"/>
      <c r="BO130" s="274"/>
      <c r="BP130" s="274"/>
      <c r="BQ130" s="274"/>
      <c r="BR130" s="274"/>
      <c r="BS130" s="274"/>
      <c r="BT130" s="274"/>
      <c r="BU130" s="274"/>
      <c r="BV130" s="274"/>
      <c r="BW130" s="274"/>
      <c r="BX130" s="274"/>
      <c r="BY130" s="274"/>
      <c r="BZ130" s="274"/>
      <c r="CA130" s="274"/>
      <c r="CB130" s="274"/>
      <c r="CC130" s="274"/>
      <c r="CD130" s="274"/>
      <c r="CE130" s="274"/>
      <c r="CF130" s="274"/>
      <c r="CG130" s="274"/>
      <c r="CH130" s="274"/>
      <c r="CI130" s="274"/>
      <c r="CJ130" s="274"/>
      <c r="CK130" s="274"/>
      <c r="CL130" s="274"/>
      <c r="CM130" s="274"/>
      <c r="CN130" s="274"/>
      <c r="CO130" s="274"/>
      <c r="CP130" s="274"/>
      <c r="CQ130" s="274"/>
      <c r="CR130" s="274"/>
      <c r="CS130" s="274"/>
      <c r="CT130" s="274"/>
      <c r="CU130" s="275"/>
      <c r="CV130" s="273"/>
      <c r="CW130" s="274"/>
      <c r="CX130" s="274"/>
      <c r="CY130" s="274"/>
      <c r="CZ130" s="275"/>
      <c r="FY130" s="298"/>
      <c r="FZ130" s="298"/>
      <c r="GA130" s="298"/>
      <c r="GB130" s="298"/>
      <c r="GC130" s="298"/>
      <c r="GD130" s="298"/>
      <c r="GE130" s="298"/>
      <c r="GF130" s="298"/>
      <c r="GG130" s="298"/>
      <c r="GH130" s="298"/>
      <c r="GI130" s="298"/>
      <c r="GJ130" s="298"/>
      <c r="GK130" s="298"/>
      <c r="GL130" s="298"/>
      <c r="GM130" s="298"/>
      <c r="GN130" s="298"/>
      <c r="GO130" s="298"/>
      <c r="GP130" s="298"/>
      <c r="GQ130" s="298"/>
      <c r="GR130" s="298"/>
      <c r="GS130" s="298"/>
      <c r="GT130" s="298"/>
      <c r="GU130" s="298"/>
      <c r="GV130" s="298"/>
      <c r="GW130" s="298"/>
      <c r="GX130" s="298"/>
      <c r="GY130" s="298"/>
      <c r="GZ130" s="298"/>
      <c r="HA130" s="298"/>
      <c r="HB130" s="298"/>
      <c r="HC130" s="298"/>
      <c r="HD130" s="298"/>
      <c r="HE130" s="298"/>
      <c r="HF130" s="298"/>
      <c r="HG130" s="298"/>
      <c r="HH130" s="298"/>
      <c r="HI130" s="298"/>
      <c r="HJ130" s="298"/>
      <c r="HK130" s="298"/>
      <c r="HL130" s="298"/>
      <c r="HM130" s="298"/>
      <c r="HN130" s="298"/>
      <c r="HO130" s="298"/>
      <c r="HP130" s="298"/>
      <c r="HQ130" s="298"/>
      <c r="HW130" s="273"/>
      <c r="HX130" s="274"/>
      <c r="HY130" s="274"/>
      <c r="HZ130" s="274"/>
      <c r="IA130" s="274"/>
      <c r="IB130" s="274"/>
      <c r="IC130" s="274"/>
      <c r="ID130" s="274"/>
      <c r="IE130" s="274"/>
      <c r="IF130" s="274"/>
      <c r="IG130" s="274"/>
      <c r="IH130" s="274"/>
      <c r="II130" s="274"/>
      <c r="IJ130" s="274"/>
      <c r="IK130" s="274"/>
      <c r="IL130" s="274"/>
      <c r="IM130" s="274"/>
      <c r="IN130" s="274"/>
      <c r="IO130" s="274"/>
      <c r="IP130" s="274"/>
      <c r="IQ130" s="274"/>
      <c r="IR130" s="274"/>
      <c r="IS130" s="274"/>
      <c r="IT130" s="274"/>
      <c r="IU130" s="274"/>
      <c r="IV130" s="274"/>
      <c r="IW130" s="274"/>
      <c r="IX130" s="274"/>
      <c r="IY130" s="274"/>
      <c r="IZ130" s="274"/>
      <c r="JA130" s="274"/>
      <c r="JB130" s="274"/>
      <c r="JC130" s="274"/>
      <c r="JD130" s="274"/>
      <c r="JE130" s="274"/>
      <c r="JF130" s="274"/>
      <c r="JG130" s="274"/>
      <c r="JH130" s="274"/>
      <c r="JI130" s="274"/>
      <c r="JJ130" s="275"/>
      <c r="JK130" s="273"/>
      <c r="JL130" s="274"/>
      <c r="JM130" s="274"/>
      <c r="JN130" s="274"/>
      <c r="JO130" s="275"/>
      <c r="ME130" s="180"/>
      <c r="MF130" s="181"/>
      <c r="MG130" s="199"/>
      <c r="MH130" s="199"/>
      <c r="MI130" s="199"/>
      <c r="MJ130" s="199"/>
      <c r="MK130" s="200"/>
    </row>
    <row r="131" spans="4:349" ht="5.0999999999999996" customHeight="1" x14ac:dyDescent="0.3">
      <c r="D131" s="177"/>
      <c r="E131" s="178"/>
      <c r="BG131" s="273"/>
      <c r="BH131" s="274"/>
      <c r="BI131" s="274"/>
      <c r="BJ131" s="274"/>
      <c r="BK131" s="274"/>
      <c r="BL131" s="274"/>
      <c r="BM131" s="274"/>
      <c r="BN131" s="274"/>
      <c r="BO131" s="274"/>
      <c r="BP131" s="274"/>
      <c r="BQ131" s="274"/>
      <c r="BR131" s="274"/>
      <c r="BS131" s="274"/>
      <c r="BT131" s="274"/>
      <c r="BU131" s="274"/>
      <c r="BV131" s="274"/>
      <c r="BW131" s="274"/>
      <c r="BX131" s="274"/>
      <c r="BY131" s="274"/>
      <c r="BZ131" s="274"/>
      <c r="CA131" s="274"/>
      <c r="CB131" s="274"/>
      <c r="CC131" s="274"/>
      <c r="CD131" s="274"/>
      <c r="CE131" s="274"/>
      <c r="CF131" s="274"/>
      <c r="CG131" s="274"/>
      <c r="CH131" s="274"/>
      <c r="CI131" s="274"/>
      <c r="CJ131" s="274"/>
      <c r="CK131" s="274"/>
      <c r="CL131" s="274"/>
      <c r="CM131" s="274"/>
      <c r="CN131" s="274"/>
      <c r="CO131" s="274"/>
      <c r="CP131" s="274"/>
      <c r="CQ131" s="274"/>
      <c r="CR131" s="274"/>
      <c r="CS131" s="274"/>
      <c r="CT131" s="274"/>
      <c r="CU131" s="275"/>
      <c r="CV131" s="273"/>
      <c r="CW131" s="274"/>
      <c r="CX131" s="274"/>
      <c r="CY131" s="274"/>
      <c r="CZ131" s="275"/>
      <c r="FY131" s="298" t="s">
        <v>194</v>
      </c>
      <c r="FZ131" s="298"/>
      <c r="GA131" s="298"/>
      <c r="GB131" s="298"/>
      <c r="GC131" s="298"/>
      <c r="GD131" s="298"/>
      <c r="GE131" s="298"/>
      <c r="GF131" s="298"/>
      <c r="GG131" s="298"/>
      <c r="GH131" s="298"/>
      <c r="GI131" s="298"/>
      <c r="GJ131" s="298"/>
      <c r="GK131" s="298"/>
      <c r="GL131" s="298"/>
      <c r="GM131" s="298"/>
      <c r="GN131" s="298"/>
      <c r="GO131" s="298"/>
      <c r="GP131" s="298"/>
      <c r="GQ131" s="298"/>
      <c r="GR131" s="298"/>
      <c r="GS131" s="298"/>
      <c r="GT131" s="298"/>
      <c r="GU131" s="298"/>
      <c r="GV131" s="298"/>
      <c r="GW131" s="298"/>
      <c r="GX131" s="298"/>
      <c r="GY131" s="298"/>
      <c r="GZ131" s="298"/>
      <c r="HA131" s="298"/>
      <c r="HB131" s="298"/>
      <c r="HC131" s="298"/>
      <c r="HD131" s="298"/>
      <c r="HE131" s="298"/>
      <c r="HF131" s="298"/>
      <c r="HG131" s="298"/>
      <c r="HH131" s="298"/>
      <c r="HI131" s="298"/>
      <c r="HJ131" s="298"/>
      <c r="HK131" s="298">
        <v>1</v>
      </c>
      <c r="HL131" s="298"/>
      <c r="HM131" s="298">
        <v>1</v>
      </c>
      <c r="HN131" s="298"/>
      <c r="HO131" s="298"/>
      <c r="HP131" s="298"/>
      <c r="HQ131" s="298"/>
      <c r="HW131" s="273"/>
      <c r="HX131" s="274"/>
      <c r="HY131" s="274"/>
      <c r="HZ131" s="274"/>
      <c r="IA131" s="274"/>
      <c r="IB131" s="274"/>
      <c r="IC131" s="274"/>
      <c r="ID131" s="274"/>
      <c r="IE131" s="274"/>
      <c r="IF131" s="274"/>
      <c r="IG131" s="274"/>
      <c r="IH131" s="274"/>
      <c r="II131" s="274"/>
      <c r="IJ131" s="274"/>
      <c r="IK131" s="274"/>
      <c r="IL131" s="274"/>
      <c r="IM131" s="274"/>
      <c r="IN131" s="274"/>
      <c r="IO131" s="274"/>
      <c r="IP131" s="274"/>
      <c r="IQ131" s="274"/>
      <c r="IR131" s="274"/>
      <c r="IS131" s="274"/>
      <c r="IT131" s="274"/>
      <c r="IU131" s="274"/>
      <c r="IV131" s="274"/>
      <c r="IW131" s="274"/>
      <c r="IX131" s="274"/>
      <c r="IY131" s="274"/>
      <c r="IZ131" s="274"/>
      <c r="JA131" s="274"/>
      <c r="JB131" s="274"/>
      <c r="JC131" s="274"/>
      <c r="JD131" s="274"/>
      <c r="JE131" s="274"/>
      <c r="JF131" s="274"/>
      <c r="JG131" s="274"/>
      <c r="JH131" s="274"/>
      <c r="JI131" s="274"/>
      <c r="JJ131" s="275"/>
      <c r="JK131" s="273"/>
      <c r="JL131" s="274"/>
      <c r="JM131" s="274"/>
      <c r="JN131" s="274"/>
      <c r="JO131" s="275"/>
      <c r="ME131" s="180"/>
      <c r="MF131" s="181"/>
      <c r="MG131" s="199"/>
      <c r="MH131" s="199"/>
      <c r="MI131" s="199"/>
      <c r="MJ131" s="199"/>
      <c r="MK131" s="200"/>
    </row>
    <row r="132" spans="4:349" ht="5.0999999999999996" customHeight="1" x14ac:dyDescent="0.3">
      <c r="D132" s="177"/>
      <c r="E132" s="178"/>
      <c r="BG132" s="273"/>
      <c r="BH132" s="274"/>
      <c r="BI132" s="274"/>
      <c r="BJ132" s="274"/>
      <c r="BK132" s="274"/>
      <c r="BL132" s="274"/>
      <c r="BM132" s="274"/>
      <c r="BN132" s="274"/>
      <c r="BO132" s="274"/>
      <c r="BP132" s="274"/>
      <c r="BQ132" s="274"/>
      <c r="BR132" s="274"/>
      <c r="BS132" s="274"/>
      <c r="BT132" s="274"/>
      <c r="BU132" s="274"/>
      <c r="BV132" s="274"/>
      <c r="BW132" s="274"/>
      <c r="BX132" s="274"/>
      <c r="BY132" s="274"/>
      <c r="BZ132" s="274"/>
      <c r="CA132" s="274"/>
      <c r="CB132" s="274"/>
      <c r="CC132" s="274"/>
      <c r="CD132" s="274"/>
      <c r="CE132" s="274"/>
      <c r="CF132" s="274"/>
      <c r="CG132" s="274"/>
      <c r="CH132" s="274"/>
      <c r="CI132" s="274"/>
      <c r="CJ132" s="274"/>
      <c r="CK132" s="274"/>
      <c r="CL132" s="274"/>
      <c r="CM132" s="274"/>
      <c r="CN132" s="274"/>
      <c r="CO132" s="274"/>
      <c r="CP132" s="274"/>
      <c r="CQ132" s="274"/>
      <c r="CR132" s="274"/>
      <c r="CS132" s="274"/>
      <c r="CT132" s="274"/>
      <c r="CU132" s="275"/>
      <c r="CV132" s="273"/>
      <c r="CW132" s="274"/>
      <c r="CX132" s="274"/>
      <c r="CY132" s="274"/>
      <c r="CZ132" s="275"/>
      <c r="FY132" s="298"/>
      <c r="FZ132" s="298"/>
      <c r="GA132" s="298"/>
      <c r="GB132" s="298"/>
      <c r="GC132" s="298"/>
      <c r="GD132" s="298"/>
      <c r="GE132" s="298"/>
      <c r="GF132" s="298"/>
      <c r="GG132" s="298"/>
      <c r="GH132" s="298"/>
      <c r="GI132" s="298"/>
      <c r="GJ132" s="298"/>
      <c r="GK132" s="298"/>
      <c r="GL132" s="298"/>
      <c r="GM132" s="298"/>
      <c r="GN132" s="298"/>
      <c r="GO132" s="298"/>
      <c r="GP132" s="298"/>
      <c r="GQ132" s="298"/>
      <c r="GR132" s="298"/>
      <c r="GS132" s="298"/>
      <c r="GT132" s="298"/>
      <c r="GU132" s="298"/>
      <c r="GV132" s="298"/>
      <c r="GW132" s="298"/>
      <c r="GX132" s="298"/>
      <c r="GY132" s="298"/>
      <c r="GZ132" s="298"/>
      <c r="HA132" s="298"/>
      <c r="HB132" s="298"/>
      <c r="HC132" s="298"/>
      <c r="HD132" s="298"/>
      <c r="HE132" s="298"/>
      <c r="HF132" s="298"/>
      <c r="HG132" s="298"/>
      <c r="HH132" s="298"/>
      <c r="HI132" s="298"/>
      <c r="HJ132" s="298"/>
      <c r="HK132" s="298"/>
      <c r="HL132" s="298"/>
      <c r="HM132" s="298"/>
      <c r="HN132" s="298"/>
      <c r="HO132" s="298"/>
      <c r="HP132" s="298"/>
      <c r="HQ132" s="298"/>
      <c r="HW132" s="273"/>
      <c r="HX132" s="274"/>
      <c r="HY132" s="274"/>
      <c r="HZ132" s="274"/>
      <c r="IA132" s="274"/>
      <c r="IB132" s="274"/>
      <c r="IC132" s="274"/>
      <c r="ID132" s="274"/>
      <c r="IE132" s="274"/>
      <c r="IF132" s="274"/>
      <c r="IG132" s="274"/>
      <c r="IH132" s="274"/>
      <c r="II132" s="274"/>
      <c r="IJ132" s="274"/>
      <c r="IK132" s="274"/>
      <c r="IL132" s="274"/>
      <c r="IM132" s="274"/>
      <c r="IN132" s="274"/>
      <c r="IO132" s="274"/>
      <c r="IP132" s="274"/>
      <c r="IQ132" s="274"/>
      <c r="IR132" s="274"/>
      <c r="IS132" s="274"/>
      <c r="IT132" s="274"/>
      <c r="IU132" s="274"/>
      <c r="IV132" s="274"/>
      <c r="IW132" s="274"/>
      <c r="IX132" s="274"/>
      <c r="IY132" s="274"/>
      <c r="IZ132" s="274"/>
      <c r="JA132" s="274"/>
      <c r="JB132" s="274"/>
      <c r="JC132" s="274"/>
      <c r="JD132" s="274"/>
      <c r="JE132" s="274"/>
      <c r="JF132" s="274"/>
      <c r="JG132" s="274"/>
      <c r="JH132" s="274"/>
      <c r="JI132" s="274"/>
      <c r="JJ132" s="275"/>
      <c r="JK132" s="273"/>
      <c r="JL132" s="274"/>
      <c r="JM132" s="274"/>
      <c r="JN132" s="274"/>
      <c r="JO132" s="275"/>
      <c r="ME132" s="180"/>
      <c r="MF132" s="181"/>
      <c r="MG132" s="199"/>
      <c r="MH132" s="199"/>
      <c r="MI132" s="199"/>
      <c r="MJ132" s="199"/>
      <c r="MK132" s="200"/>
    </row>
    <row r="133" spans="4:349" ht="5.0999999999999996" customHeight="1" x14ac:dyDescent="0.3">
      <c r="D133" s="177"/>
      <c r="E133" s="178"/>
      <c r="BG133" s="273"/>
      <c r="BH133" s="274"/>
      <c r="BI133" s="274"/>
      <c r="BJ133" s="274"/>
      <c r="BK133" s="274"/>
      <c r="BL133" s="274"/>
      <c r="BM133" s="274"/>
      <c r="BN133" s="274"/>
      <c r="BO133" s="274"/>
      <c r="BP133" s="274"/>
      <c r="BQ133" s="274"/>
      <c r="BR133" s="274"/>
      <c r="BS133" s="274"/>
      <c r="BT133" s="274"/>
      <c r="BU133" s="274"/>
      <c r="BV133" s="274"/>
      <c r="BW133" s="274"/>
      <c r="BX133" s="274"/>
      <c r="BY133" s="274"/>
      <c r="BZ133" s="274"/>
      <c r="CA133" s="274"/>
      <c r="CB133" s="274"/>
      <c r="CC133" s="274"/>
      <c r="CD133" s="274"/>
      <c r="CE133" s="274"/>
      <c r="CF133" s="274"/>
      <c r="CG133" s="274"/>
      <c r="CH133" s="274"/>
      <c r="CI133" s="274"/>
      <c r="CJ133" s="274"/>
      <c r="CK133" s="274"/>
      <c r="CL133" s="274"/>
      <c r="CM133" s="274"/>
      <c r="CN133" s="274"/>
      <c r="CO133" s="274"/>
      <c r="CP133" s="274"/>
      <c r="CQ133" s="274"/>
      <c r="CR133" s="274"/>
      <c r="CS133" s="274"/>
      <c r="CT133" s="274"/>
      <c r="CU133" s="275"/>
      <c r="CV133" s="273"/>
      <c r="CW133" s="274"/>
      <c r="CX133" s="274"/>
      <c r="CY133" s="274"/>
      <c r="CZ133" s="275"/>
      <c r="FY133" s="298"/>
      <c r="FZ133" s="298"/>
      <c r="GA133" s="298"/>
      <c r="GB133" s="298"/>
      <c r="GC133" s="298"/>
      <c r="GD133" s="298"/>
      <c r="GE133" s="298"/>
      <c r="GF133" s="298"/>
      <c r="GG133" s="298"/>
      <c r="GH133" s="298"/>
      <c r="GI133" s="298"/>
      <c r="GJ133" s="298"/>
      <c r="GK133" s="298"/>
      <c r="GL133" s="298"/>
      <c r="GM133" s="298"/>
      <c r="GN133" s="298"/>
      <c r="GO133" s="298"/>
      <c r="GP133" s="298"/>
      <c r="GQ133" s="298"/>
      <c r="GR133" s="298"/>
      <c r="GS133" s="298"/>
      <c r="GT133" s="298"/>
      <c r="GU133" s="298"/>
      <c r="GV133" s="298"/>
      <c r="GW133" s="298"/>
      <c r="GX133" s="298"/>
      <c r="GY133" s="298"/>
      <c r="GZ133" s="298"/>
      <c r="HA133" s="298"/>
      <c r="HB133" s="298"/>
      <c r="HC133" s="298"/>
      <c r="HD133" s="298"/>
      <c r="HE133" s="298"/>
      <c r="HF133" s="298"/>
      <c r="HG133" s="298"/>
      <c r="HH133" s="298"/>
      <c r="HI133" s="298"/>
      <c r="HJ133" s="298"/>
      <c r="HK133" s="298"/>
      <c r="HL133" s="298"/>
      <c r="HM133" s="298"/>
      <c r="HN133" s="298"/>
      <c r="HO133" s="298"/>
      <c r="HP133" s="298"/>
      <c r="HQ133" s="298"/>
      <c r="HW133" s="273"/>
      <c r="HX133" s="274"/>
      <c r="HY133" s="274"/>
      <c r="HZ133" s="274"/>
      <c r="IA133" s="274"/>
      <c r="IB133" s="274"/>
      <c r="IC133" s="274"/>
      <c r="ID133" s="274"/>
      <c r="IE133" s="274"/>
      <c r="IF133" s="274"/>
      <c r="IG133" s="274"/>
      <c r="IH133" s="274"/>
      <c r="II133" s="274"/>
      <c r="IJ133" s="274"/>
      <c r="IK133" s="274"/>
      <c r="IL133" s="274"/>
      <c r="IM133" s="274"/>
      <c r="IN133" s="274"/>
      <c r="IO133" s="274"/>
      <c r="IP133" s="274"/>
      <c r="IQ133" s="274"/>
      <c r="IR133" s="274"/>
      <c r="IS133" s="274"/>
      <c r="IT133" s="274"/>
      <c r="IU133" s="274"/>
      <c r="IV133" s="274"/>
      <c r="IW133" s="274"/>
      <c r="IX133" s="274"/>
      <c r="IY133" s="274"/>
      <c r="IZ133" s="274"/>
      <c r="JA133" s="274"/>
      <c r="JB133" s="274"/>
      <c r="JC133" s="274"/>
      <c r="JD133" s="274"/>
      <c r="JE133" s="274"/>
      <c r="JF133" s="274"/>
      <c r="JG133" s="274"/>
      <c r="JH133" s="274"/>
      <c r="JI133" s="274"/>
      <c r="JJ133" s="275"/>
      <c r="JK133" s="273"/>
      <c r="JL133" s="274"/>
      <c r="JM133" s="274"/>
      <c r="JN133" s="274"/>
      <c r="JO133" s="275"/>
      <c r="ME133" s="180"/>
      <c r="MF133" s="181"/>
      <c r="MG133" s="199"/>
      <c r="MH133" s="199"/>
      <c r="MI133" s="199"/>
      <c r="MJ133" s="199"/>
      <c r="MK133" s="200"/>
    </row>
    <row r="134" spans="4:349" ht="5.0999999999999996" customHeight="1" x14ac:dyDescent="0.3">
      <c r="D134" s="177"/>
      <c r="E134" s="178"/>
      <c r="BG134" s="273"/>
      <c r="BH134" s="274"/>
      <c r="BI134" s="274"/>
      <c r="BJ134" s="274"/>
      <c r="BK134" s="274"/>
      <c r="BL134" s="274"/>
      <c r="BM134" s="274"/>
      <c r="BN134" s="274"/>
      <c r="BO134" s="274"/>
      <c r="BP134" s="274"/>
      <c r="BQ134" s="274"/>
      <c r="BR134" s="274"/>
      <c r="BS134" s="274"/>
      <c r="BT134" s="274"/>
      <c r="BU134" s="274"/>
      <c r="BV134" s="274"/>
      <c r="BW134" s="274"/>
      <c r="BX134" s="274"/>
      <c r="BY134" s="274"/>
      <c r="BZ134" s="274"/>
      <c r="CA134" s="274"/>
      <c r="CB134" s="274"/>
      <c r="CC134" s="274"/>
      <c r="CD134" s="274"/>
      <c r="CE134" s="274"/>
      <c r="CF134" s="274"/>
      <c r="CG134" s="274"/>
      <c r="CH134" s="274"/>
      <c r="CI134" s="274"/>
      <c r="CJ134" s="274"/>
      <c r="CK134" s="274"/>
      <c r="CL134" s="274"/>
      <c r="CM134" s="274"/>
      <c r="CN134" s="274"/>
      <c r="CO134" s="274"/>
      <c r="CP134" s="274"/>
      <c r="CQ134" s="274"/>
      <c r="CR134" s="274"/>
      <c r="CS134" s="274"/>
      <c r="CT134" s="274"/>
      <c r="CU134" s="275"/>
      <c r="CV134" s="273"/>
      <c r="CW134" s="274"/>
      <c r="CX134" s="274"/>
      <c r="CY134" s="274"/>
      <c r="CZ134" s="275"/>
      <c r="FY134" s="298"/>
      <c r="FZ134" s="298"/>
      <c r="GA134" s="298"/>
      <c r="GB134" s="298"/>
      <c r="GC134" s="298"/>
      <c r="GD134" s="298"/>
      <c r="GE134" s="298"/>
      <c r="GF134" s="298"/>
      <c r="GG134" s="298"/>
      <c r="GH134" s="298"/>
      <c r="GI134" s="298"/>
      <c r="GJ134" s="298"/>
      <c r="GK134" s="298"/>
      <c r="GL134" s="298"/>
      <c r="GM134" s="298"/>
      <c r="GN134" s="298"/>
      <c r="GO134" s="298"/>
      <c r="GP134" s="298"/>
      <c r="GQ134" s="298"/>
      <c r="GR134" s="298"/>
      <c r="GS134" s="298"/>
      <c r="GT134" s="298"/>
      <c r="GU134" s="298"/>
      <c r="GV134" s="298"/>
      <c r="GW134" s="298"/>
      <c r="GX134" s="298"/>
      <c r="GY134" s="298"/>
      <c r="GZ134" s="298"/>
      <c r="HA134" s="298"/>
      <c r="HB134" s="298"/>
      <c r="HC134" s="298"/>
      <c r="HD134" s="298"/>
      <c r="HE134" s="298"/>
      <c r="HF134" s="298"/>
      <c r="HG134" s="298"/>
      <c r="HH134" s="298"/>
      <c r="HI134" s="298"/>
      <c r="HJ134" s="298"/>
      <c r="HK134" s="298"/>
      <c r="HL134" s="298"/>
      <c r="HM134" s="298"/>
      <c r="HN134" s="298"/>
      <c r="HO134" s="298"/>
      <c r="HP134" s="298"/>
      <c r="HQ134" s="298"/>
      <c r="HW134" s="273"/>
      <c r="HX134" s="274"/>
      <c r="HY134" s="274"/>
      <c r="HZ134" s="274"/>
      <c r="IA134" s="274"/>
      <c r="IB134" s="274"/>
      <c r="IC134" s="274"/>
      <c r="ID134" s="274"/>
      <c r="IE134" s="274"/>
      <c r="IF134" s="274"/>
      <c r="IG134" s="274"/>
      <c r="IH134" s="274"/>
      <c r="II134" s="274"/>
      <c r="IJ134" s="274"/>
      <c r="IK134" s="274"/>
      <c r="IL134" s="274"/>
      <c r="IM134" s="274"/>
      <c r="IN134" s="274"/>
      <c r="IO134" s="274"/>
      <c r="IP134" s="274"/>
      <c r="IQ134" s="274"/>
      <c r="IR134" s="274"/>
      <c r="IS134" s="274"/>
      <c r="IT134" s="274"/>
      <c r="IU134" s="274"/>
      <c r="IV134" s="274"/>
      <c r="IW134" s="274"/>
      <c r="IX134" s="274"/>
      <c r="IY134" s="274"/>
      <c r="IZ134" s="274"/>
      <c r="JA134" s="274"/>
      <c r="JB134" s="274"/>
      <c r="JC134" s="274"/>
      <c r="JD134" s="274"/>
      <c r="JE134" s="274"/>
      <c r="JF134" s="274"/>
      <c r="JG134" s="274"/>
      <c r="JH134" s="274"/>
      <c r="JI134" s="274"/>
      <c r="JJ134" s="275"/>
      <c r="JK134" s="273"/>
      <c r="JL134" s="274"/>
      <c r="JM134" s="274"/>
      <c r="JN134" s="274"/>
      <c r="JO134" s="275"/>
      <c r="ME134" s="180"/>
      <c r="MF134" s="181"/>
      <c r="MG134" s="199"/>
      <c r="MH134" s="199"/>
      <c r="MI134" s="199"/>
      <c r="MJ134" s="199"/>
      <c r="MK134" s="200"/>
    </row>
    <row r="135" spans="4:349" ht="5.0999999999999996" customHeight="1" x14ac:dyDescent="0.3">
      <c r="D135" s="177"/>
      <c r="E135" s="178"/>
      <c r="BG135" s="273"/>
      <c r="BH135" s="274"/>
      <c r="BI135" s="274"/>
      <c r="BJ135" s="274"/>
      <c r="BK135" s="274"/>
      <c r="BL135" s="274"/>
      <c r="BM135" s="274"/>
      <c r="BN135" s="274"/>
      <c r="BO135" s="274"/>
      <c r="BP135" s="274"/>
      <c r="BQ135" s="274"/>
      <c r="BR135" s="274"/>
      <c r="BS135" s="274"/>
      <c r="BT135" s="274"/>
      <c r="BU135" s="274"/>
      <c r="BV135" s="274"/>
      <c r="BW135" s="274"/>
      <c r="BX135" s="274"/>
      <c r="BY135" s="274"/>
      <c r="BZ135" s="274"/>
      <c r="CA135" s="274"/>
      <c r="CB135" s="274"/>
      <c r="CC135" s="274"/>
      <c r="CD135" s="274"/>
      <c r="CE135" s="274"/>
      <c r="CF135" s="274"/>
      <c r="CG135" s="274"/>
      <c r="CH135" s="274"/>
      <c r="CI135" s="274"/>
      <c r="CJ135" s="274"/>
      <c r="CK135" s="274"/>
      <c r="CL135" s="274"/>
      <c r="CM135" s="274"/>
      <c r="CN135" s="274"/>
      <c r="CO135" s="274"/>
      <c r="CP135" s="274"/>
      <c r="CQ135" s="274"/>
      <c r="CR135" s="274"/>
      <c r="CS135" s="274"/>
      <c r="CT135" s="274"/>
      <c r="CU135" s="275"/>
      <c r="CV135" s="273"/>
      <c r="CW135" s="274"/>
      <c r="CX135" s="274"/>
      <c r="CY135" s="274"/>
      <c r="CZ135" s="275"/>
      <c r="FY135" s="298"/>
      <c r="FZ135" s="298"/>
      <c r="GA135" s="298"/>
      <c r="GB135" s="298"/>
      <c r="GC135" s="298"/>
      <c r="GD135" s="298"/>
      <c r="GE135" s="298"/>
      <c r="GF135" s="298"/>
      <c r="GG135" s="298"/>
      <c r="GH135" s="298"/>
      <c r="GI135" s="298"/>
      <c r="GJ135" s="298"/>
      <c r="GK135" s="298"/>
      <c r="GL135" s="298"/>
      <c r="GM135" s="298"/>
      <c r="GN135" s="298"/>
      <c r="GO135" s="298"/>
      <c r="GP135" s="298"/>
      <c r="GQ135" s="298"/>
      <c r="GR135" s="298"/>
      <c r="GS135" s="298"/>
      <c r="GT135" s="298"/>
      <c r="GU135" s="298"/>
      <c r="GV135" s="298"/>
      <c r="GW135" s="298"/>
      <c r="GX135" s="298"/>
      <c r="GY135" s="298"/>
      <c r="GZ135" s="298"/>
      <c r="HA135" s="298"/>
      <c r="HB135" s="298"/>
      <c r="HC135" s="298"/>
      <c r="HD135" s="298"/>
      <c r="HE135" s="298"/>
      <c r="HF135" s="298"/>
      <c r="HG135" s="298"/>
      <c r="HH135" s="298"/>
      <c r="HI135" s="298"/>
      <c r="HJ135" s="298"/>
      <c r="HK135" s="298"/>
      <c r="HL135" s="298"/>
      <c r="HM135" s="298"/>
      <c r="HN135" s="298"/>
      <c r="HO135" s="298"/>
      <c r="HP135" s="298"/>
      <c r="HQ135" s="298"/>
      <c r="HW135" s="273"/>
      <c r="HX135" s="274"/>
      <c r="HY135" s="274"/>
      <c r="HZ135" s="274"/>
      <c r="IA135" s="274"/>
      <c r="IB135" s="274"/>
      <c r="IC135" s="274"/>
      <c r="ID135" s="274"/>
      <c r="IE135" s="274"/>
      <c r="IF135" s="274"/>
      <c r="IG135" s="274"/>
      <c r="IH135" s="274"/>
      <c r="II135" s="274"/>
      <c r="IJ135" s="274"/>
      <c r="IK135" s="274"/>
      <c r="IL135" s="274"/>
      <c r="IM135" s="274"/>
      <c r="IN135" s="274"/>
      <c r="IO135" s="274"/>
      <c r="IP135" s="274"/>
      <c r="IQ135" s="274"/>
      <c r="IR135" s="274"/>
      <c r="IS135" s="274"/>
      <c r="IT135" s="274"/>
      <c r="IU135" s="274"/>
      <c r="IV135" s="274"/>
      <c r="IW135" s="274"/>
      <c r="IX135" s="274"/>
      <c r="IY135" s="274"/>
      <c r="IZ135" s="274"/>
      <c r="JA135" s="274"/>
      <c r="JB135" s="274"/>
      <c r="JC135" s="274"/>
      <c r="JD135" s="274"/>
      <c r="JE135" s="274"/>
      <c r="JF135" s="274"/>
      <c r="JG135" s="274"/>
      <c r="JH135" s="274"/>
      <c r="JI135" s="274"/>
      <c r="JJ135" s="275"/>
      <c r="JK135" s="273"/>
      <c r="JL135" s="274"/>
      <c r="JM135" s="274"/>
      <c r="JN135" s="274"/>
      <c r="JO135" s="275"/>
      <c r="ME135" s="180"/>
      <c r="MF135" s="181"/>
      <c r="MG135" s="199"/>
      <c r="MH135" s="199"/>
      <c r="MI135" s="199"/>
      <c r="MJ135" s="199"/>
      <c r="MK135" s="200"/>
    </row>
    <row r="136" spans="4:349" ht="5.0999999999999996" customHeight="1" x14ac:dyDescent="0.3">
      <c r="D136" s="177"/>
      <c r="E136" s="178"/>
      <c r="BG136" s="273"/>
      <c r="BH136" s="274"/>
      <c r="BI136" s="274"/>
      <c r="BJ136" s="274"/>
      <c r="BK136" s="274"/>
      <c r="BL136" s="274"/>
      <c r="BM136" s="274"/>
      <c r="BN136" s="274"/>
      <c r="BO136" s="274"/>
      <c r="BP136" s="274"/>
      <c r="BQ136" s="274"/>
      <c r="BR136" s="274"/>
      <c r="BS136" s="274"/>
      <c r="BT136" s="274"/>
      <c r="BU136" s="274"/>
      <c r="BV136" s="274"/>
      <c r="BW136" s="274"/>
      <c r="BX136" s="274"/>
      <c r="BY136" s="274"/>
      <c r="BZ136" s="274"/>
      <c r="CA136" s="274"/>
      <c r="CB136" s="274"/>
      <c r="CC136" s="274"/>
      <c r="CD136" s="274"/>
      <c r="CE136" s="274"/>
      <c r="CF136" s="274"/>
      <c r="CG136" s="274"/>
      <c r="CH136" s="274"/>
      <c r="CI136" s="274"/>
      <c r="CJ136" s="274"/>
      <c r="CK136" s="274"/>
      <c r="CL136" s="274"/>
      <c r="CM136" s="274"/>
      <c r="CN136" s="274"/>
      <c r="CO136" s="274"/>
      <c r="CP136" s="274"/>
      <c r="CQ136" s="274"/>
      <c r="CR136" s="274"/>
      <c r="CS136" s="274"/>
      <c r="CT136" s="274"/>
      <c r="CU136" s="275"/>
      <c r="CV136" s="273"/>
      <c r="CW136" s="274"/>
      <c r="CX136" s="274"/>
      <c r="CY136" s="274"/>
      <c r="CZ136" s="275"/>
      <c r="FY136" s="298"/>
      <c r="FZ136" s="298"/>
      <c r="GA136" s="298"/>
      <c r="GB136" s="298"/>
      <c r="GC136" s="298"/>
      <c r="GD136" s="298"/>
      <c r="GE136" s="298"/>
      <c r="GF136" s="298"/>
      <c r="GG136" s="298"/>
      <c r="GH136" s="298"/>
      <c r="GI136" s="298"/>
      <c r="GJ136" s="298"/>
      <c r="GK136" s="298"/>
      <c r="GL136" s="298"/>
      <c r="GM136" s="298"/>
      <c r="GN136" s="298"/>
      <c r="GO136" s="298"/>
      <c r="GP136" s="298"/>
      <c r="GQ136" s="298"/>
      <c r="GR136" s="298"/>
      <c r="GS136" s="298"/>
      <c r="GT136" s="298"/>
      <c r="GU136" s="298"/>
      <c r="GV136" s="298"/>
      <c r="GW136" s="298"/>
      <c r="GX136" s="298"/>
      <c r="GY136" s="298"/>
      <c r="GZ136" s="298"/>
      <c r="HA136" s="298"/>
      <c r="HB136" s="298"/>
      <c r="HC136" s="298"/>
      <c r="HD136" s="298"/>
      <c r="HE136" s="298"/>
      <c r="HF136" s="298"/>
      <c r="HG136" s="298"/>
      <c r="HH136" s="298"/>
      <c r="HI136" s="298"/>
      <c r="HJ136" s="298"/>
      <c r="HK136" s="298"/>
      <c r="HL136" s="298"/>
      <c r="HM136" s="298"/>
      <c r="HN136" s="298"/>
      <c r="HO136" s="298"/>
      <c r="HP136" s="298"/>
      <c r="HQ136" s="298"/>
      <c r="HW136" s="273"/>
      <c r="HX136" s="274"/>
      <c r="HY136" s="274"/>
      <c r="HZ136" s="274"/>
      <c r="IA136" s="274"/>
      <c r="IB136" s="274"/>
      <c r="IC136" s="274"/>
      <c r="ID136" s="274"/>
      <c r="IE136" s="274"/>
      <c r="IF136" s="274"/>
      <c r="IG136" s="274"/>
      <c r="IH136" s="274"/>
      <c r="II136" s="274"/>
      <c r="IJ136" s="274"/>
      <c r="IK136" s="274"/>
      <c r="IL136" s="274"/>
      <c r="IM136" s="274"/>
      <c r="IN136" s="274"/>
      <c r="IO136" s="274"/>
      <c r="IP136" s="274"/>
      <c r="IQ136" s="274"/>
      <c r="IR136" s="274"/>
      <c r="IS136" s="274"/>
      <c r="IT136" s="274"/>
      <c r="IU136" s="274"/>
      <c r="IV136" s="274"/>
      <c r="IW136" s="274"/>
      <c r="IX136" s="274"/>
      <c r="IY136" s="274"/>
      <c r="IZ136" s="274"/>
      <c r="JA136" s="274"/>
      <c r="JB136" s="274"/>
      <c r="JC136" s="274"/>
      <c r="JD136" s="274"/>
      <c r="JE136" s="274"/>
      <c r="JF136" s="274"/>
      <c r="JG136" s="274"/>
      <c r="JH136" s="274"/>
      <c r="JI136" s="274"/>
      <c r="JJ136" s="275"/>
      <c r="JK136" s="273"/>
      <c r="JL136" s="274"/>
      <c r="JM136" s="274"/>
      <c r="JN136" s="274"/>
      <c r="JO136" s="275"/>
      <c r="ME136" s="180"/>
      <c r="MF136" s="181"/>
      <c r="MG136" s="199"/>
      <c r="MH136" s="199"/>
      <c r="MI136" s="199"/>
      <c r="MJ136" s="199"/>
      <c r="MK136" s="200"/>
    </row>
    <row r="137" spans="4:349" ht="5.0999999999999996" customHeight="1" x14ac:dyDescent="0.3">
      <c r="D137" s="177"/>
      <c r="E137" s="178"/>
      <c r="BG137" s="276"/>
      <c r="BH137" s="277"/>
      <c r="BI137" s="277"/>
      <c r="BJ137" s="277"/>
      <c r="BK137" s="277"/>
      <c r="BL137" s="277"/>
      <c r="BM137" s="277"/>
      <c r="BN137" s="277"/>
      <c r="BO137" s="277"/>
      <c r="BP137" s="277"/>
      <c r="BQ137" s="277"/>
      <c r="BR137" s="277"/>
      <c r="BS137" s="277"/>
      <c r="BT137" s="277"/>
      <c r="BU137" s="277"/>
      <c r="BV137" s="277"/>
      <c r="BW137" s="277"/>
      <c r="BX137" s="277"/>
      <c r="BY137" s="277"/>
      <c r="BZ137" s="277"/>
      <c r="CA137" s="277"/>
      <c r="CB137" s="277"/>
      <c r="CC137" s="277"/>
      <c r="CD137" s="277"/>
      <c r="CE137" s="277"/>
      <c r="CF137" s="277"/>
      <c r="CG137" s="277"/>
      <c r="CH137" s="277"/>
      <c r="CI137" s="277"/>
      <c r="CJ137" s="277"/>
      <c r="CK137" s="277"/>
      <c r="CL137" s="277"/>
      <c r="CM137" s="277"/>
      <c r="CN137" s="277"/>
      <c r="CO137" s="277"/>
      <c r="CP137" s="277"/>
      <c r="CQ137" s="277"/>
      <c r="CR137" s="277"/>
      <c r="CS137" s="277"/>
      <c r="CT137" s="277"/>
      <c r="CU137" s="278"/>
      <c r="CV137" s="276"/>
      <c r="CW137" s="277"/>
      <c r="CX137" s="277"/>
      <c r="CY137" s="277"/>
      <c r="CZ137" s="278"/>
      <c r="FY137" s="298"/>
      <c r="FZ137" s="298"/>
      <c r="GA137" s="298"/>
      <c r="GB137" s="298"/>
      <c r="GC137" s="298"/>
      <c r="GD137" s="298"/>
      <c r="GE137" s="298"/>
      <c r="GF137" s="298"/>
      <c r="GG137" s="298"/>
      <c r="GH137" s="298"/>
      <c r="GI137" s="298"/>
      <c r="GJ137" s="298"/>
      <c r="GK137" s="298"/>
      <c r="GL137" s="298"/>
      <c r="GM137" s="298"/>
      <c r="GN137" s="298"/>
      <c r="GO137" s="298"/>
      <c r="GP137" s="298"/>
      <c r="GQ137" s="298"/>
      <c r="GR137" s="298"/>
      <c r="GS137" s="298"/>
      <c r="GT137" s="298"/>
      <c r="GU137" s="298"/>
      <c r="GV137" s="298"/>
      <c r="GW137" s="298"/>
      <c r="GX137" s="298"/>
      <c r="GY137" s="298"/>
      <c r="GZ137" s="298"/>
      <c r="HA137" s="298"/>
      <c r="HB137" s="298"/>
      <c r="HC137" s="298"/>
      <c r="HD137" s="298"/>
      <c r="HE137" s="298"/>
      <c r="HF137" s="298"/>
      <c r="HG137" s="298"/>
      <c r="HH137" s="298"/>
      <c r="HI137" s="298"/>
      <c r="HJ137" s="298"/>
      <c r="HK137" s="298"/>
      <c r="HL137" s="298"/>
      <c r="HM137" s="298"/>
      <c r="HN137" s="298"/>
      <c r="HO137" s="298"/>
      <c r="HP137" s="298"/>
      <c r="HQ137" s="298"/>
      <c r="HW137" s="273"/>
      <c r="HX137" s="274"/>
      <c r="HY137" s="274"/>
      <c r="HZ137" s="274"/>
      <c r="IA137" s="274"/>
      <c r="IB137" s="274"/>
      <c r="IC137" s="274"/>
      <c r="ID137" s="274"/>
      <c r="IE137" s="274"/>
      <c r="IF137" s="274"/>
      <c r="IG137" s="274"/>
      <c r="IH137" s="274"/>
      <c r="II137" s="274"/>
      <c r="IJ137" s="274"/>
      <c r="IK137" s="274"/>
      <c r="IL137" s="274"/>
      <c r="IM137" s="274"/>
      <c r="IN137" s="274"/>
      <c r="IO137" s="274"/>
      <c r="IP137" s="274"/>
      <c r="IQ137" s="274"/>
      <c r="IR137" s="274"/>
      <c r="IS137" s="274"/>
      <c r="IT137" s="274"/>
      <c r="IU137" s="274"/>
      <c r="IV137" s="274"/>
      <c r="IW137" s="274"/>
      <c r="IX137" s="274"/>
      <c r="IY137" s="274"/>
      <c r="IZ137" s="274"/>
      <c r="JA137" s="274"/>
      <c r="JB137" s="274"/>
      <c r="JC137" s="274"/>
      <c r="JD137" s="274"/>
      <c r="JE137" s="274"/>
      <c r="JF137" s="274"/>
      <c r="JG137" s="274"/>
      <c r="JH137" s="274"/>
      <c r="JI137" s="274"/>
      <c r="JJ137" s="275"/>
      <c r="JK137" s="273"/>
      <c r="JL137" s="274"/>
      <c r="JM137" s="274"/>
      <c r="JN137" s="274"/>
      <c r="JO137" s="275"/>
      <c r="ME137" s="180"/>
      <c r="MF137" s="181"/>
      <c r="MG137" s="199"/>
      <c r="MH137" s="199"/>
      <c r="MI137" s="199"/>
      <c r="MJ137" s="199"/>
      <c r="MK137" s="200"/>
    </row>
    <row r="138" spans="4:349" ht="5.0999999999999996" customHeight="1" x14ac:dyDescent="0.3">
      <c r="D138" s="177"/>
      <c r="E138" s="178"/>
      <c r="BG138" s="270" t="s">
        <v>195</v>
      </c>
      <c r="BH138" s="271"/>
      <c r="BI138" s="271"/>
      <c r="BJ138" s="271"/>
      <c r="BK138" s="271"/>
      <c r="BL138" s="271"/>
      <c r="BM138" s="271"/>
      <c r="BN138" s="271"/>
      <c r="BO138" s="271"/>
      <c r="BP138" s="271"/>
      <c r="BQ138" s="271"/>
      <c r="BR138" s="271"/>
      <c r="BS138" s="271"/>
      <c r="BT138" s="271"/>
      <c r="BU138" s="271"/>
      <c r="BV138" s="271"/>
      <c r="BW138" s="271"/>
      <c r="BX138" s="271"/>
      <c r="BY138" s="271"/>
      <c r="BZ138" s="271"/>
      <c r="CA138" s="271"/>
      <c r="CB138" s="271"/>
      <c r="CC138" s="271"/>
      <c r="CD138" s="271"/>
      <c r="CE138" s="271"/>
      <c r="CF138" s="271"/>
      <c r="CG138" s="271"/>
      <c r="CH138" s="271"/>
      <c r="CI138" s="271"/>
      <c r="CJ138" s="271"/>
      <c r="CK138" s="271"/>
      <c r="CL138" s="271"/>
      <c r="CM138" s="271"/>
      <c r="CN138" s="271"/>
      <c r="CO138" s="271"/>
      <c r="CP138" s="271"/>
      <c r="CQ138" s="271"/>
      <c r="CR138" s="271"/>
      <c r="CS138" s="271"/>
      <c r="CT138" s="271"/>
      <c r="CU138" s="272"/>
      <c r="CV138" s="270">
        <v>1</v>
      </c>
      <c r="CW138" s="271"/>
      <c r="CX138" s="271"/>
      <c r="CY138" s="271"/>
      <c r="CZ138" s="272"/>
      <c r="FY138" s="298"/>
      <c r="FZ138" s="298"/>
      <c r="GA138" s="298"/>
      <c r="GB138" s="298"/>
      <c r="GC138" s="298"/>
      <c r="GD138" s="298"/>
      <c r="GE138" s="298"/>
      <c r="GF138" s="298"/>
      <c r="GG138" s="298"/>
      <c r="GH138" s="298"/>
      <c r="GI138" s="298"/>
      <c r="GJ138" s="298"/>
      <c r="GK138" s="298"/>
      <c r="GL138" s="298"/>
      <c r="GM138" s="298"/>
      <c r="GN138" s="298"/>
      <c r="GO138" s="298"/>
      <c r="GP138" s="298"/>
      <c r="GQ138" s="298"/>
      <c r="GR138" s="298"/>
      <c r="GS138" s="298"/>
      <c r="GT138" s="298"/>
      <c r="GU138" s="298"/>
      <c r="GV138" s="298"/>
      <c r="GW138" s="298"/>
      <c r="GX138" s="298"/>
      <c r="GY138" s="298"/>
      <c r="GZ138" s="298"/>
      <c r="HA138" s="298"/>
      <c r="HB138" s="298"/>
      <c r="HC138" s="298"/>
      <c r="HD138" s="298"/>
      <c r="HE138" s="298"/>
      <c r="HF138" s="298"/>
      <c r="HG138" s="298"/>
      <c r="HH138" s="298"/>
      <c r="HI138" s="298"/>
      <c r="HJ138" s="298"/>
      <c r="HK138" s="298"/>
      <c r="HL138" s="298"/>
      <c r="HM138" s="298"/>
      <c r="HN138" s="298"/>
      <c r="HO138" s="298"/>
      <c r="HP138" s="298"/>
      <c r="HQ138" s="298"/>
      <c r="HW138" s="276"/>
      <c r="HX138" s="277"/>
      <c r="HY138" s="277"/>
      <c r="HZ138" s="277"/>
      <c r="IA138" s="277"/>
      <c r="IB138" s="277"/>
      <c r="IC138" s="277"/>
      <c r="ID138" s="277"/>
      <c r="IE138" s="277"/>
      <c r="IF138" s="277"/>
      <c r="IG138" s="277"/>
      <c r="IH138" s="277"/>
      <c r="II138" s="277"/>
      <c r="IJ138" s="277"/>
      <c r="IK138" s="277"/>
      <c r="IL138" s="277"/>
      <c r="IM138" s="277"/>
      <c r="IN138" s="277"/>
      <c r="IO138" s="277"/>
      <c r="IP138" s="277"/>
      <c r="IQ138" s="277"/>
      <c r="IR138" s="277"/>
      <c r="IS138" s="277"/>
      <c r="IT138" s="277"/>
      <c r="IU138" s="277"/>
      <c r="IV138" s="277"/>
      <c r="IW138" s="277"/>
      <c r="IX138" s="277"/>
      <c r="IY138" s="277"/>
      <c r="IZ138" s="277"/>
      <c r="JA138" s="277"/>
      <c r="JB138" s="277"/>
      <c r="JC138" s="277"/>
      <c r="JD138" s="277"/>
      <c r="JE138" s="277"/>
      <c r="JF138" s="277"/>
      <c r="JG138" s="277"/>
      <c r="JH138" s="277"/>
      <c r="JI138" s="277"/>
      <c r="JJ138" s="278"/>
      <c r="JK138" s="276"/>
      <c r="JL138" s="277"/>
      <c r="JM138" s="277"/>
      <c r="JN138" s="277"/>
      <c r="JO138" s="278"/>
      <c r="ME138" s="180"/>
      <c r="MF138" s="181"/>
      <c r="MG138" s="199"/>
      <c r="MH138" s="199"/>
      <c r="MI138" s="199"/>
      <c r="MJ138" s="199"/>
      <c r="MK138" s="200"/>
    </row>
    <row r="139" spans="4:349" ht="5.0999999999999996" customHeight="1" x14ac:dyDescent="0.3">
      <c r="D139" s="177"/>
      <c r="E139" s="178"/>
      <c r="BG139" s="273"/>
      <c r="BH139" s="274"/>
      <c r="BI139" s="274"/>
      <c r="BJ139" s="274"/>
      <c r="BK139" s="274"/>
      <c r="BL139" s="274"/>
      <c r="BM139" s="274"/>
      <c r="BN139" s="274"/>
      <c r="BO139" s="274"/>
      <c r="BP139" s="274"/>
      <c r="BQ139" s="274"/>
      <c r="BR139" s="274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274"/>
      <c r="CC139" s="274"/>
      <c r="CD139" s="274"/>
      <c r="CE139" s="274"/>
      <c r="CF139" s="274"/>
      <c r="CG139" s="274"/>
      <c r="CH139" s="274"/>
      <c r="CI139" s="274"/>
      <c r="CJ139" s="274"/>
      <c r="CK139" s="274"/>
      <c r="CL139" s="274"/>
      <c r="CM139" s="274"/>
      <c r="CN139" s="274"/>
      <c r="CO139" s="274"/>
      <c r="CP139" s="274"/>
      <c r="CQ139" s="274"/>
      <c r="CR139" s="274"/>
      <c r="CS139" s="274"/>
      <c r="CT139" s="274"/>
      <c r="CU139" s="275"/>
      <c r="CV139" s="273"/>
      <c r="CW139" s="274"/>
      <c r="CX139" s="274"/>
      <c r="CY139" s="274"/>
      <c r="CZ139" s="275"/>
      <c r="FY139" s="298"/>
      <c r="FZ139" s="298"/>
      <c r="GA139" s="298"/>
      <c r="GB139" s="298"/>
      <c r="GC139" s="298"/>
      <c r="GD139" s="298"/>
      <c r="GE139" s="298"/>
      <c r="GF139" s="298"/>
      <c r="GG139" s="298"/>
      <c r="GH139" s="298"/>
      <c r="GI139" s="298"/>
      <c r="GJ139" s="298"/>
      <c r="GK139" s="298"/>
      <c r="GL139" s="298"/>
      <c r="GM139" s="298"/>
      <c r="GN139" s="298"/>
      <c r="GO139" s="298"/>
      <c r="GP139" s="298"/>
      <c r="GQ139" s="298"/>
      <c r="GR139" s="298"/>
      <c r="GS139" s="298"/>
      <c r="GT139" s="298"/>
      <c r="GU139" s="298"/>
      <c r="GV139" s="298"/>
      <c r="GW139" s="298"/>
      <c r="GX139" s="298"/>
      <c r="GY139" s="298"/>
      <c r="GZ139" s="298"/>
      <c r="HA139" s="298"/>
      <c r="HB139" s="298"/>
      <c r="HC139" s="298"/>
      <c r="HD139" s="298"/>
      <c r="HE139" s="298"/>
      <c r="HF139" s="298"/>
      <c r="HG139" s="298"/>
      <c r="HH139" s="298"/>
      <c r="HI139" s="298"/>
      <c r="HJ139" s="298"/>
      <c r="HK139" s="298"/>
      <c r="HL139" s="298"/>
      <c r="HM139" s="298"/>
      <c r="HN139" s="298"/>
      <c r="HO139" s="298"/>
      <c r="HP139" s="298"/>
      <c r="HQ139" s="298"/>
      <c r="HW139" s="289" t="s">
        <v>196</v>
      </c>
      <c r="HX139" s="290"/>
      <c r="HY139" s="290"/>
      <c r="HZ139" s="290"/>
      <c r="IA139" s="290"/>
      <c r="IB139" s="290"/>
      <c r="IC139" s="290"/>
      <c r="ID139" s="290"/>
      <c r="IE139" s="290"/>
      <c r="IF139" s="290"/>
      <c r="IG139" s="290"/>
      <c r="IH139" s="290"/>
      <c r="II139" s="290"/>
      <c r="IJ139" s="290"/>
      <c r="IK139" s="290"/>
      <c r="IL139" s="290"/>
      <c r="IM139" s="290"/>
      <c r="IN139" s="290"/>
      <c r="IO139" s="290"/>
      <c r="IP139" s="290"/>
      <c r="IQ139" s="290"/>
      <c r="IR139" s="290"/>
      <c r="IS139" s="290"/>
      <c r="IT139" s="290"/>
      <c r="IU139" s="290"/>
      <c r="IV139" s="290"/>
      <c r="IW139" s="290"/>
      <c r="IX139" s="290"/>
      <c r="IY139" s="290"/>
      <c r="IZ139" s="290"/>
      <c r="JA139" s="290"/>
      <c r="JB139" s="290"/>
      <c r="JC139" s="290"/>
      <c r="JD139" s="290"/>
      <c r="JE139" s="290"/>
      <c r="JF139" s="290"/>
      <c r="JG139" s="290"/>
      <c r="JH139" s="290"/>
      <c r="JI139" s="290"/>
      <c r="JJ139" s="291"/>
      <c r="JK139" s="270"/>
      <c r="JL139" s="271"/>
      <c r="JM139" s="271"/>
      <c r="JN139" s="271"/>
      <c r="JO139" s="272"/>
      <c r="ME139" s="180"/>
      <c r="MF139" s="181"/>
      <c r="MG139" s="199"/>
      <c r="MH139" s="199"/>
      <c r="MI139" s="199"/>
      <c r="MJ139" s="199"/>
      <c r="MK139" s="200"/>
    </row>
    <row r="140" spans="4:349" ht="5.0999999999999996" customHeight="1" x14ac:dyDescent="0.3">
      <c r="D140" s="177"/>
      <c r="E140" s="178"/>
      <c r="BG140" s="273"/>
      <c r="BH140" s="274"/>
      <c r="BI140" s="274"/>
      <c r="BJ140" s="274"/>
      <c r="BK140" s="274"/>
      <c r="BL140" s="274"/>
      <c r="BM140" s="274"/>
      <c r="BN140" s="274"/>
      <c r="BO140" s="274"/>
      <c r="BP140" s="274"/>
      <c r="BQ140" s="274"/>
      <c r="BR140" s="274"/>
      <c r="BS140" s="274"/>
      <c r="BT140" s="274"/>
      <c r="BU140" s="274"/>
      <c r="BV140" s="274"/>
      <c r="BW140" s="274"/>
      <c r="BX140" s="274"/>
      <c r="BY140" s="274"/>
      <c r="BZ140" s="274"/>
      <c r="CA140" s="274"/>
      <c r="CB140" s="274"/>
      <c r="CC140" s="274"/>
      <c r="CD140" s="274"/>
      <c r="CE140" s="274"/>
      <c r="CF140" s="274"/>
      <c r="CG140" s="274"/>
      <c r="CH140" s="274"/>
      <c r="CI140" s="274"/>
      <c r="CJ140" s="274"/>
      <c r="CK140" s="274"/>
      <c r="CL140" s="274"/>
      <c r="CM140" s="274"/>
      <c r="CN140" s="274"/>
      <c r="CO140" s="274"/>
      <c r="CP140" s="274"/>
      <c r="CQ140" s="274"/>
      <c r="CR140" s="274"/>
      <c r="CS140" s="274"/>
      <c r="CT140" s="274"/>
      <c r="CU140" s="275"/>
      <c r="CV140" s="273"/>
      <c r="CW140" s="274"/>
      <c r="CX140" s="274"/>
      <c r="CY140" s="274"/>
      <c r="CZ140" s="275"/>
      <c r="FY140" s="298"/>
      <c r="FZ140" s="298"/>
      <c r="GA140" s="298"/>
      <c r="GB140" s="298"/>
      <c r="GC140" s="298"/>
      <c r="GD140" s="298"/>
      <c r="GE140" s="298"/>
      <c r="GF140" s="298"/>
      <c r="GG140" s="298"/>
      <c r="GH140" s="298"/>
      <c r="GI140" s="298"/>
      <c r="GJ140" s="298"/>
      <c r="GK140" s="298"/>
      <c r="GL140" s="298"/>
      <c r="GM140" s="298"/>
      <c r="GN140" s="298"/>
      <c r="GO140" s="298"/>
      <c r="GP140" s="298"/>
      <c r="GQ140" s="298"/>
      <c r="GR140" s="298"/>
      <c r="GS140" s="298"/>
      <c r="GT140" s="298"/>
      <c r="GU140" s="298"/>
      <c r="GV140" s="298"/>
      <c r="GW140" s="298"/>
      <c r="GX140" s="298"/>
      <c r="GY140" s="298"/>
      <c r="GZ140" s="298"/>
      <c r="HA140" s="298"/>
      <c r="HB140" s="298"/>
      <c r="HC140" s="298"/>
      <c r="HD140" s="298"/>
      <c r="HE140" s="298"/>
      <c r="HF140" s="298"/>
      <c r="HG140" s="298"/>
      <c r="HH140" s="298"/>
      <c r="HI140" s="298"/>
      <c r="HJ140" s="298"/>
      <c r="HK140" s="298"/>
      <c r="HL140" s="298"/>
      <c r="HM140" s="298"/>
      <c r="HN140" s="298"/>
      <c r="HO140" s="298"/>
      <c r="HP140" s="298"/>
      <c r="HQ140" s="298"/>
      <c r="HW140" s="292"/>
      <c r="HX140" s="293"/>
      <c r="HY140" s="293"/>
      <c r="HZ140" s="293"/>
      <c r="IA140" s="293"/>
      <c r="IB140" s="293"/>
      <c r="IC140" s="293"/>
      <c r="ID140" s="293"/>
      <c r="IE140" s="293"/>
      <c r="IF140" s="293"/>
      <c r="IG140" s="293"/>
      <c r="IH140" s="293"/>
      <c r="II140" s="293"/>
      <c r="IJ140" s="293"/>
      <c r="IK140" s="293"/>
      <c r="IL140" s="293"/>
      <c r="IM140" s="293"/>
      <c r="IN140" s="293"/>
      <c r="IO140" s="293"/>
      <c r="IP140" s="293"/>
      <c r="IQ140" s="293"/>
      <c r="IR140" s="293"/>
      <c r="IS140" s="293"/>
      <c r="IT140" s="293"/>
      <c r="IU140" s="293"/>
      <c r="IV140" s="293"/>
      <c r="IW140" s="293"/>
      <c r="IX140" s="293"/>
      <c r="IY140" s="293"/>
      <c r="IZ140" s="293"/>
      <c r="JA140" s="293"/>
      <c r="JB140" s="293"/>
      <c r="JC140" s="293"/>
      <c r="JD140" s="293"/>
      <c r="JE140" s="293"/>
      <c r="JF140" s="293"/>
      <c r="JG140" s="293"/>
      <c r="JH140" s="293"/>
      <c r="JI140" s="293"/>
      <c r="JJ140" s="294"/>
      <c r="JK140" s="273"/>
      <c r="JL140" s="274"/>
      <c r="JM140" s="274"/>
      <c r="JN140" s="274"/>
      <c r="JO140" s="275"/>
      <c r="ME140" s="180"/>
      <c r="MF140" s="181"/>
      <c r="MG140" s="199"/>
      <c r="MH140" s="199"/>
      <c r="MI140" s="199"/>
      <c r="MJ140" s="199"/>
      <c r="MK140" s="200"/>
    </row>
    <row r="141" spans="4:349" ht="5.0999999999999996" customHeight="1" x14ac:dyDescent="0.3">
      <c r="D141" s="177"/>
      <c r="E141" s="178"/>
      <c r="BG141" s="273"/>
      <c r="BH141" s="274"/>
      <c r="BI141" s="274"/>
      <c r="BJ141" s="274"/>
      <c r="BK141" s="274"/>
      <c r="BL141" s="274"/>
      <c r="BM141" s="274"/>
      <c r="BN141" s="274"/>
      <c r="BO141" s="274"/>
      <c r="BP141" s="274"/>
      <c r="BQ141" s="274"/>
      <c r="BR141" s="274"/>
      <c r="BS141" s="274"/>
      <c r="BT141" s="274"/>
      <c r="BU141" s="274"/>
      <c r="BV141" s="274"/>
      <c r="BW141" s="274"/>
      <c r="BX141" s="274"/>
      <c r="BY141" s="274"/>
      <c r="BZ141" s="274"/>
      <c r="CA141" s="274"/>
      <c r="CB141" s="274"/>
      <c r="CC141" s="274"/>
      <c r="CD141" s="274"/>
      <c r="CE141" s="274"/>
      <c r="CF141" s="274"/>
      <c r="CG141" s="274"/>
      <c r="CH141" s="274"/>
      <c r="CI141" s="274"/>
      <c r="CJ141" s="274"/>
      <c r="CK141" s="274"/>
      <c r="CL141" s="274"/>
      <c r="CM141" s="274"/>
      <c r="CN141" s="274"/>
      <c r="CO141" s="274"/>
      <c r="CP141" s="274"/>
      <c r="CQ141" s="274"/>
      <c r="CR141" s="274"/>
      <c r="CS141" s="274"/>
      <c r="CT141" s="274"/>
      <c r="CU141" s="275"/>
      <c r="CV141" s="273"/>
      <c r="CW141" s="274"/>
      <c r="CX141" s="274"/>
      <c r="CY141" s="274"/>
      <c r="CZ141" s="275"/>
      <c r="HW141" s="292"/>
      <c r="HX141" s="293"/>
      <c r="HY141" s="293"/>
      <c r="HZ141" s="293"/>
      <c r="IA141" s="293"/>
      <c r="IB141" s="293"/>
      <c r="IC141" s="293"/>
      <c r="ID141" s="293"/>
      <c r="IE141" s="293"/>
      <c r="IF141" s="293"/>
      <c r="IG141" s="293"/>
      <c r="IH141" s="293"/>
      <c r="II141" s="293"/>
      <c r="IJ141" s="293"/>
      <c r="IK141" s="293"/>
      <c r="IL141" s="293"/>
      <c r="IM141" s="293"/>
      <c r="IN141" s="293"/>
      <c r="IO141" s="293"/>
      <c r="IP141" s="293"/>
      <c r="IQ141" s="293"/>
      <c r="IR141" s="293"/>
      <c r="IS141" s="293"/>
      <c r="IT141" s="293"/>
      <c r="IU141" s="293"/>
      <c r="IV141" s="293"/>
      <c r="IW141" s="293"/>
      <c r="IX141" s="293"/>
      <c r="IY141" s="293"/>
      <c r="IZ141" s="293"/>
      <c r="JA141" s="293"/>
      <c r="JB141" s="293"/>
      <c r="JC141" s="293"/>
      <c r="JD141" s="293"/>
      <c r="JE141" s="293"/>
      <c r="JF141" s="293"/>
      <c r="JG141" s="293"/>
      <c r="JH141" s="293"/>
      <c r="JI141" s="293"/>
      <c r="JJ141" s="294"/>
      <c r="JK141" s="273"/>
      <c r="JL141" s="274"/>
      <c r="JM141" s="274"/>
      <c r="JN141" s="274"/>
      <c r="JO141" s="275"/>
      <c r="ME141" s="180"/>
      <c r="MF141" s="181"/>
      <c r="MG141" s="199"/>
      <c r="MH141" s="199"/>
      <c r="MI141" s="199"/>
      <c r="MJ141" s="199"/>
      <c r="MK141" s="200"/>
    </row>
    <row r="142" spans="4:349" ht="5.0999999999999996" customHeight="1" x14ac:dyDescent="0.3">
      <c r="D142" s="177"/>
      <c r="E142" s="178"/>
      <c r="BG142" s="273"/>
      <c r="BH142" s="274"/>
      <c r="BI142" s="274"/>
      <c r="BJ142" s="274"/>
      <c r="BK142" s="274"/>
      <c r="BL142" s="274"/>
      <c r="BM142" s="274"/>
      <c r="BN142" s="274"/>
      <c r="BO142" s="274"/>
      <c r="BP142" s="274"/>
      <c r="BQ142" s="274"/>
      <c r="BR142" s="274"/>
      <c r="BS142" s="274"/>
      <c r="BT142" s="274"/>
      <c r="BU142" s="274"/>
      <c r="BV142" s="274"/>
      <c r="BW142" s="274"/>
      <c r="BX142" s="274"/>
      <c r="BY142" s="274"/>
      <c r="BZ142" s="274"/>
      <c r="CA142" s="274"/>
      <c r="CB142" s="274"/>
      <c r="CC142" s="274"/>
      <c r="CD142" s="274"/>
      <c r="CE142" s="274"/>
      <c r="CF142" s="274"/>
      <c r="CG142" s="274"/>
      <c r="CH142" s="274"/>
      <c r="CI142" s="274"/>
      <c r="CJ142" s="274"/>
      <c r="CK142" s="274"/>
      <c r="CL142" s="274"/>
      <c r="CM142" s="274"/>
      <c r="CN142" s="274"/>
      <c r="CO142" s="274"/>
      <c r="CP142" s="274"/>
      <c r="CQ142" s="274"/>
      <c r="CR142" s="274"/>
      <c r="CS142" s="274"/>
      <c r="CT142" s="274"/>
      <c r="CU142" s="275"/>
      <c r="CV142" s="273"/>
      <c r="CW142" s="274"/>
      <c r="CX142" s="274"/>
      <c r="CY142" s="274"/>
      <c r="CZ142" s="275"/>
      <c r="HW142" s="292"/>
      <c r="HX142" s="293"/>
      <c r="HY142" s="293"/>
      <c r="HZ142" s="293"/>
      <c r="IA142" s="293"/>
      <c r="IB142" s="293"/>
      <c r="IC142" s="293"/>
      <c r="ID142" s="293"/>
      <c r="IE142" s="293"/>
      <c r="IF142" s="293"/>
      <c r="IG142" s="293"/>
      <c r="IH142" s="293"/>
      <c r="II142" s="293"/>
      <c r="IJ142" s="293"/>
      <c r="IK142" s="293"/>
      <c r="IL142" s="293"/>
      <c r="IM142" s="293"/>
      <c r="IN142" s="293"/>
      <c r="IO142" s="293"/>
      <c r="IP142" s="293"/>
      <c r="IQ142" s="293"/>
      <c r="IR142" s="293"/>
      <c r="IS142" s="293"/>
      <c r="IT142" s="293"/>
      <c r="IU142" s="293"/>
      <c r="IV142" s="293"/>
      <c r="IW142" s="293"/>
      <c r="IX142" s="293"/>
      <c r="IY142" s="293"/>
      <c r="IZ142" s="293"/>
      <c r="JA142" s="293"/>
      <c r="JB142" s="293"/>
      <c r="JC142" s="293"/>
      <c r="JD142" s="293"/>
      <c r="JE142" s="293"/>
      <c r="JF142" s="293"/>
      <c r="JG142" s="293"/>
      <c r="JH142" s="293"/>
      <c r="JI142" s="293"/>
      <c r="JJ142" s="294"/>
      <c r="JK142" s="273"/>
      <c r="JL142" s="274"/>
      <c r="JM142" s="274"/>
      <c r="JN142" s="274"/>
      <c r="JO142" s="275"/>
      <c r="ME142" s="180"/>
      <c r="MF142" s="181"/>
      <c r="MG142" s="199"/>
      <c r="MH142" s="199"/>
      <c r="MI142" s="199"/>
      <c r="MJ142" s="199"/>
      <c r="MK142" s="200"/>
    </row>
    <row r="143" spans="4:349" ht="5.0999999999999996" customHeight="1" x14ac:dyDescent="0.3">
      <c r="D143" s="177"/>
      <c r="E143" s="178"/>
      <c r="BG143" s="273"/>
      <c r="BH143" s="274"/>
      <c r="BI143" s="274"/>
      <c r="BJ143" s="274"/>
      <c r="BK143" s="274"/>
      <c r="BL143" s="274"/>
      <c r="BM143" s="274"/>
      <c r="BN143" s="274"/>
      <c r="BO143" s="274"/>
      <c r="BP143" s="274"/>
      <c r="BQ143" s="274"/>
      <c r="BR143" s="274"/>
      <c r="BS143" s="274"/>
      <c r="BT143" s="274"/>
      <c r="BU143" s="274"/>
      <c r="BV143" s="274"/>
      <c r="BW143" s="274"/>
      <c r="BX143" s="274"/>
      <c r="BY143" s="274"/>
      <c r="BZ143" s="274"/>
      <c r="CA143" s="274"/>
      <c r="CB143" s="274"/>
      <c r="CC143" s="274"/>
      <c r="CD143" s="274"/>
      <c r="CE143" s="274"/>
      <c r="CF143" s="274"/>
      <c r="CG143" s="274"/>
      <c r="CH143" s="274"/>
      <c r="CI143" s="274"/>
      <c r="CJ143" s="274"/>
      <c r="CK143" s="274"/>
      <c r="CL143" s="274"/>
      <c r="CM143" s="274"/>
      <c r="CN143" s="274"/>
      <c r="CO143" s="274"/>
      <c r="CP143" s="274"/>
      <c r="CQ143" s="274"/>
      <c r="CR143" s="274"/>
      <c r="CS143" s="274"/>
      <c r="CT143" s="274"/>
      <c r="CU143" s="275"/>
      <c r="CV143" s="273"/>
      <c r="CW143" s="274"/>
      <c r="CX143" s="274"/>
      <c r="CY143" s="274"/>
      <c r="CZ143" s="275"/>
      <c r="HW143" s="292"/>
      <c r="HX143" s="293"/>
      <c r="HY143" s="293"/>
      <c r="HZ143" s="293"/>
      <c r="IA143" s="293"/>
      <c r="IB143" s="293"/>
      <c r="IC143" s="293"/>
      <c r="ID143" s="293"/>
      <c r="IE143" s="293"/>
      <c r="IF143" s="293"/>
      <c r="IG143" s="293"/>
      <c r="IH143" s="293"/>
      <c r="II143" s="293"/>
      <c r="IJ143" s="293"/>
      <c r="IK143" s="293"/>
      <c r="IL143" s="293"/>
      <c r="IM143" s="293"/>
      <c r="IN143" s="293"/>
      <c r="IO143" s="293"/>
      <c r="IP143" s="293"/>
      <c r="IQ143" s="293"/>
      <c r="IR143" s="293"/>
      <c r="IS143" s="293"/>
      <c r="IT143" s="293"/>
      <c r="IU143" s="293"/>
      <c r="IV143" s="293"/>
      <c r="IW143" s="293"/>
      <c r="IX143" s="293"/>
      <c r="IY143" s="293"/>
      <c r="IZ143" s="293"/>
      <c r="JA143" s="293"/>
      <c r="JB143" s="293"/>
      <c r="JC143" s="293"/>
      <c r="JD143" s="293"/>
      <c r="JE143" s="293"/>
      <c r="JF143" s="293"/>
      <c r="JG143" s="293"/>
      <c r="JH143" s="293"/>
      <c r="JI143" s="293"/>
      <c r="JJ143" s="294"/>
      <c r="JK143" s="273"/>
      <c r="JL143" s="274"/>
      <c r="JM143" s="274"/>
      <c r="JN143" s="274"/>
      <c r="JO143" s="275"/>
      <c r="ME143" s="180"/>
      <c r="MF143" s="181"/>
      <c r="MG143" s="199"/>
      <c r="MH143" s="199"/>
      <c r="MI143" s="199"/>
      <c r="MJ143" s="199"/>
      <c r="MK143" s="200"/>
    </row>
    <row r="144" spans="4:349" ht="5.0999999999999996" customHeight="1" x14ac:dyDescent="0.3">
      <c r="D144" s="177"/>
      <c r="E144" s="178"/>
      <c r="BG144" s="273"/>
      <c r="BH144" s="274"/>
      <c r="BI144" s="274"/>
      <c r="BJ144" s="274"/>
      <c r="BK144" s="274"/>
      <c r="BL144" s="274"/>
      <c r="BM144" s="274"/>
      <c r="BN144" s="274"/>
      <c r="BO144" s="274"/>
      <c r="BP144" s="274"/>
      <c r="BQ144" s="274"/>
      <c r="BR144" s="274"/>
      <c r="BS144" s="274"/>
      <c r="BT144" s="274"/>
      <c r="BU144" s="274"/>
      <c r="BV144" s="274"/>
      <c r="BW144" s="274"/>
      <c r="BX144" s="274"/>
      <c r="BY144" s="274"/>
      <c r="BZ144" s="274"/>
      <c r="CA144" s="274"/>
      <c r="CB144" s="274"/>
      <c r="CC144" s="274"/>
      <c r="CD144" s="274"/>
      <c r="CE144" s="274"/>
      <c r="CF144" s="274"/>
      <c r="CG144" s="274"/>
      <c r="CH144" s="274"/>
      <c r="CI144" s="274"/>
      <c r="CJ144" s="274"/>
      <c r="CK144" s="274"/>
      <c r="CL144" s="274"/>
      <c r="CM144" s="274"/>
      <c r="CN144" s="274"/>
      <c r="CO144" s="274"/>
      <c r="CP144" s="274"/>
      <c r="CQ144" s="274"/>
      <c r="CR144" s="274"/>
      <c r="CS144" s="274"/>
      <c r="CT144" s="274"/>
      <c r="CU144" s="275"/>
      <c r="CV144" s="273"/>
      <c r="CW144" s="274"/>
      <c r="CX144" s="274"/>
      <c r="CY144" s="274"/>
      <c r="CZ144" s="275"/>
      <c r="HW144" s="292"/>
      <c r="HX144" s="293"/>
      <c r="HY144" s="293"/>
      <c r="HZ144" s="293"/>
      <c r="IA144" s="293"/>
      <c r="IB144" s="293"/>
      <c r="IC144" s="293"/>
      <c r="ID144" s="293"/>
      <c r="IE144" s="293"/>
      <c r="IF144" s="293"/>
      <c r="IG144" s="293"/>
      <c r="IH144" s="293"/>
      <c r="II144" s="293"/>
      <c r="IJ144" s="293"/>
      <c r="IK144" s="293"/>
      <c r="IL144" s="293"/>
      <c r="IM144" s="293"/>
      <c r="IN144" s="293"/>
      <c r="IO144" s="293"/>
      <c r="IP144" s="293"/>
      <c r="IQ144" s="293"/>
      <c r="IR144" s="293"/>
      <c r="IS144" s="293"/>
      <c r="IT144" s="293"/>
      <c r="IU144" s="293"/>
      <c r="IV144" s="293"/>
      <c r="IW144" s="293"/>
      <c r="IX144" s="293"/>
      <c r="IY144" s="293"/>
      <c r="IZ144" s="293"/>
      <c r="JA144" s="293"/>
      <c r="JB144" s="293"/>
      <c r="JC144" s="293"/>
      <c r="JD144" s="293"/>
      <c r="JE144" s="293"/>
      <c r="JF144" s="293"/>
      <c r="JG144" s="293"/>
      <c r="JH144" s="293"/>
      <c r="JI144" s="293"/>
      <c r="JJ144" s="294"/>
      <c r="JK144" s="273"/>
      <c r="JL144" s="274"/>
      <c r="JM144" s="274"/>
      <c r="JN144" s="274"/>
      <c r="JO144" s="275"/>
      <c r="ME144" s="180"/>
      <c r="MF144" s="181"/>
      <c r="MG144" s="199"/>
      <c r="MH144" s="199"/>
      <c r="MI144" s="199"/>
      <c r="MJ144" s="199"/>
      <c r="MK144" s="200"/>
    </row>
    <row r="145" spans="4:368" ht="5.0999999999999996" customHeight="1" x14ac:dyDescent="0.3">
      <c r="D145" s="177"/>
      <c r="E145" s="178"/>
      <c r="BG145" s="273"/>
      <c r="BH145" s="274"/>
      <c r="BI145" s="274"/>
      <c r="BJ145" s="274"/>
      <c r="BK145" s="274"/>
      <c r="BL145" s="274"/>
      <c r="BM145" s="274"/>
      <c r="BN145" s="274"/>
      <c r="BO145" s="274"/>
      <c r="BP145" s="274"/>
      <c r="BQ145" s="274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274"/>
      <c r="CD145" s="274"/>
      <c r="CE145" s="274"/>
      <c r="CF145" s="274"/>
      <c r="CG145" s="274"/>
      <c r="CH145" s="274"/>
      <c r="CI145" s="274"/>
      <c r="CJ145" s="274"/>
      <c r="CK145" s="274"/>
      <c r="CL145" s="274"/>
      <c r="CM145" s="274"/>
      <c r="CN145" s="274"/>
      <c r="CO145" s="274"/>
      <c r="CP145" s="274"/>
      <c r="CQ145" s="274"/>
      <c r="CR145" s="274"/>
      <c r="CS145" s="274"/>
      <c r="CT145" s="274"/>
      <c r="CU145" s="275"/>
      <c r="CV145" s="273"/>
      <c r="CW145" s="274"/>
      <c r="CX145" s="274"/>
      <c r="CY145" s="274"/>
      <c r="CZ145" s="275"/>
      <c r="HW145" s="292"/>
      <c r="HX145" s="293"/>
      <c r="HY145" s="293"/>
      <c r="HZ145" s="293"/>
      <c r="IA145" s="293"/>
      <c r="IB145" s="293"/>
      <c r="IC145" s="293"/>
      <c r="ID145" s="293"/>
      <c r="IE145" s="293"/>
      <c r="IF145" s="293"/>
      <c r="IG145" s="293"/>
      <c r="IH145" s="293"/>
      <c r="II145" s="293"/>
      <c r="IJ145" s="293"/>
      <c r="IK145" s="293"/>
      <c r="IL145" s="293"/>
      <c r="IM145" s="293"/>
      <c r="IN145" s="293"/>
      <c r="IO145" s="293"/>
      <c r="IP145" s="293"/>
      <c r="IQ145" s="293"/>
      <c r="IR145" s="293"/>
      <c r="IS145" s="293"/>
      <c r="IT145" s="293"/>
      <c r="IU145" s="293"/>
      <c r="IV145" s="293"/>
      <c r="IW145" s="293"/>
      <c r="IX145" s="293"/>
      <c r="IY145" s="293"/>
      <c r="IZ145" s="293"/>
      <c r="JA145" s="293"/>
      <c r="JB145" s="293"/>
      <c r="JC145" s="293"/>
      <c r="JD145" s="293"/>
      <c r="JE145" s="293"/>
      <c r="JF145" s="293"/>
      <c r="JG145" s="293"/>
      <c r="JH145" s="293"/>
      <c r="JI145" s="293"/>
      <c r="JJ145" s="294"/>
      <c r="JK145" s="273"/>
      <c r="JL145" s="274"/>
      <c r="JM145" s="274"/>
      <c r="JN145" s="274"/>
      <c r="JO145" s="275"/>
      <c r="ME145" s="180"/>
      <c r="MF145" s="181"/>
      <c r="MG145" s="199"/>
      <c r="MH145" s="199"/>
      <c r="MI145" s="199"/>
      <c r="MJ145" s="199"/>
      <c r="MK145" s="200"/>
    </row>
    <row r="146" spans="4:368" ht="5.0999999999999996" customHeight="1" x14ac:dyDescent="0.3">
      <c r="D146" s="177"/>
      <c r="E146" s="178"/>
      <c r="BG146" s="273"/>
      <c r="BH146" s="274"/>
      <c r="BI146" s="274"/>
      <c r="BJ146" s="274"/>
      <c r="BK146" s="274"/>
      <c r="BL146" s="274"/>
      <c r="BM146" s="274"/>
      <c r="BN146" s="274"/>
      <c r="BO146" s="274"/>
      <c r="BP146" s="274"/>
      <c r="BQ146" s="274"/>
      <c r="BR146" s="274"/>
      <c r="BS146" s="274"/>
      <c r="BT146" s="274"/>
      <c r="BU146" s="274"/>
      <c r="BV146" s="274"/>
      <c r="BW146" s="274"/>
      <c r="BX146" s="274"/>
      <c r="BY146" s="274"/>
      <c r="BZ146" s="274"/>
      <c r="CA146" s="274"/>
      <c r="CB146" s="274"/>
      <c r="CC146" s="274"/>
      <c r="CD146" s="274"/>
      <c r="CE146" s="274"/>
      <c r="CF146" s="274"/>
      <c r="CG146" s="274"/>
      <c r="CH146" s="274"/>
      <c r="CI146" s="274"/>
      <c r="CJ146" s="274"/>
      <c r="CK146" s="274"/>
      <c r="CL146" s="274"/>
      <c r="CM146" s="274"/>
      <c r="CN146" s="274"/>
      <c r="CO146" s="274"/>
      <c r="CP146" s="274"/>
      <c r="CQ146" s="274"/>
      <c r="CR146" s="274"/>
      <c r="CS146" s="274"/>
      <c r="CT146" s="274"/>
      <c r="CU146" s="275"/>
      <c r="CV146" s="273"/>
      <c r="CW146" s="274"/>
      <c r="CX146" s="274"/>
      <c r="CY146" s="274"/>
      <c r="CZ146" s="275"/>
      <c r="HW146" s="292"/>
      <c r="HX146" s="293"/>
      <c r="HY146" s="293"/>
      <c r="HZ146" s="293"/>
      <c r="IA146" s="293"/>
      <c r="IB146" s="293"/>
      <c r="IC146" s="293"/>
      <c r="ID146" s="293"/>
      <c r="IE146" s="293"/>
      <c r="IF146" s="293"/>
      <c r="IG146" s="293"/>
      <c r="IH146" s="293"/>
      <c r="II146" s="293"/>
      <c r="IJ146" s="293"/>
      <c r="IK146" s="293"/>
      <c r="IL146" s="293"/>
      <c r="IM146" s="293"/>
      <c r="IN146" s="293"/>
      <c r="IO146" s="293"/>
      <c r="IP146" s="293"/>
      <c r="IQ146" s="293"/>
      <c r="IR146" s="293"/>
      <c r="IS146" s="293"/>
      <c r="IT146" s="293"/>
      <c r="IU146" s="293"/>
      <c r="IV146" s="293"/>
      <c r="IW146" s="293"/>
      <c r="IX146" s="293"/>
      <c r="IY146" s="293"/>
      <c r="IZ146" s="293"/>
      <c r="JA146" s="293"/>
      <c r="JB146" s="293"/>
      <c r="JC146" s="293"/>
      <c r="JD146" s="293"/>
      <c r="JE146" s="293"/>
      <c r="JF146" s="293"/>
      <c r="JG146" s="293"/>
      <c r="JH146" s="293"/>
      <c r="JI146" s="293"/>
      <c r="JJ146" s="294"/>
      <c r="JK146" s="273"/>
      <c r="JL146" s="274"/>
      <c r="JM146" s="274"/>
      <c r="JN146" s="274"/>
      <c r="JO146" s="275"/>
      <c r="ME146" s="180"/>
      <c r="MF146" s="181"/>
      <c r="MG146" s="199"/>
      <c r="MH146" s="199"/>
      <c r="MI146" s="199"/>
      <c r="MJ146" s="199"/>
      <c r="MK146" s="200"/>
    </row>
    <row r="147" spans="4:368" ht="5.0999999999999996" customHeight="1" x14ac:dyDescent="0.3">
      <c r="D147" s="177"/>
      <c r="E147" s="178"/>
      <c r="BG147" s="276"/>
      <c r="BH147" s="277"/>
      <c r="BI147" s="277"/>
      <c r="BJ147" s="277"/>
      <c r="BK147" s="277"/>
      <c r="BL147" s="277"/>
      <c r="BM147" s="277"/>
      <c r="BN147" s="277"/>
      <c r="BO147" s="277"/>
      <c r="BP147" s="277"/>
      <c r="BQ147" s="277"/>
      <c r="BR147" s="277"/>
      <c r="BS147" s="277"/>
      <c r="BT147" s="277"/>
      <c r="BU147" s="277"/>
      <c r="BV147" s="277"/>
      <c r="BW147" s="277"/>
      <c r="BX147" s="277"/>
      <c r="BY147" s="277"/>
      <c r="BZ147" s="277"/>
      <c r="CA147" s="277"/>
      <c r="CB147" s="277"/>
      <c r="CC147" s="277"/>
      <c r="CD147" s="277"/>
      <c r="CE147" s="277"/>
      <c r="CF147" s="277"/>
      <c r="CG147" s="277"/>
      <c r="CH147" s="277"/>
      <c r="CI147" s="277"/>
      <c r="CJ147" s="277"/>
      <c r="CK147" s="277"/>
      <c r="CL147" s="277"/>
      <c r="CM147" s="277"/>
      <c r="CN147" s="277"/>
      <c r="CO147" s="277"/>
      <c r="CP147" s="277"/>
      <c r="CQ147" s="277"/>
      <c r="CR147" s="277"/>
      <c r="CS147" s="277"/>
      <c r="CT147" s="277"/>
      <c r="CU147" s="278"/>
      <c r="CV147" s="276"/>
      <c r="CW147" s="277"/>
      <c r="CX147" s="277"/>
      <c r="CY147" s="277"/>
      <c r="CZ147" s="278"/>
      <c r="HW147" s="292"/>
      <c r="HX147" s="293"/>
      <c r="HY147" s="293"/>
      <c r="HZ147" s="293"/>
      <c r="IA147" s="293"/>
      <c r="IB147" s="293"/>
      <c r="IC147" s="293"/>
      <c r="ID147" s="293"/>
      <c r="IE147" s="293"/>
      <c r="IF147" s="293"/>
      <c r="IG147" s="293"/>
      <c r="IH147" s="293"/>
      <c r="II147" s="293"/>
      <c r="IJ147" s="293"/>
      <c r="IK147" s="293"/>
      <c r="IL147" s="293"/>
      <c r="IM147" s="293"/>
      <c r="IN147" s="293"/>
      <c r="IO147" s="293"/>
      <c r="IP147" s="293"/>
      <c r="IQ147" s="293"/>
      <c r="IR147" s="293"/>
      <c r="IS147" s="293"/>
      <c r="IT147" s="293"/>
      <c r="IU147" s="293"/>
      <c r="IV147" s="293"/>
      <c r="IW147" s="293"/>
      <c r="IX147" s="293"/>
      <c r="IY147" s="293"/>
      <c r="IZ147" s="293"/>
      <c r="JA147" s="293"/>
      <c r="JB147" s="293"/>
      <c r="JC147" s="293"/>
      <c r="JD147" s="293"/>
      <c r="JE147" s="293"/>
      <c r="JF147" s="293"/>
      <c r="JG147" s="293"/>
      <c r="JH147" s="293"/>
      <c r="JI147" s="293"/>
      <c r="JJ147" s="294"/>
      <c r="JK147" s="273"/>
      <c r="JL147" s="274"/>
      <c r="JM147" s="274"/>
      <c r="JN147" s="274"/>
      <c r="JO147" s="275"/>
      <c r="ME147" s="180"/>
      <c r="MF147" s="181"/>
      <c r="MG147" s="199"/>
      <c r="MH147" s="199"/>
      <c r="MI147" s="199"/>
      <c r="MJ147" s="199"/>
      <c r="MK147" s="200"/>
    </row>
    <row r="148" spans="4:368" ht="5.0999999999999996" customHeight="1" x14ac:dyDescent="0.3">
      <c r="D148" s="177"/>
      <c r="E148" s="178"/>
      <c r="BG148" s="270" t="s">
        <v>197</v>
      </c>
      <c r="BH148" s="271"/>
      <c r="BI148" s="271"/>
      <c r="BJ148" s="271"/>
      <c r="BK148" s="271"/>
      <c r="BL148" s="271"/>
      <c r="BM148" s="271"/>
      <c r="BN148" s="271"/>
      <c r="BO148" s="271"/>
      <c r="BP148" s="271"/>
      <c r="BQ148" s="271"/>
      <c r="BR148" s="271"/>
      <c r="BS148" s="271"/>
      <c r="BT148" s="271"/>
      <c r="BU148" s="271"/>
      <c r="BV148" s="271"/>
      <c r="BW148" s="271"/>
      <c r="BX148" s="271"/>
      <c r="BY148" s="271"/>
      <c r="BZ148" s="271"/>
      <c r="CA148" s="271"/>
      <c r="CB148" s="271"/>
      <c r="CC148" s="271"/>
      <c r="CD148" s="271"/>
      <c r="CE148" s="271"/>
      <c r="CF148" s="271"/>
      <c r="CG148" s="271"/>
      <c r="CH148" s="271"/>
      <c r="CI148" s="271"/>
      <c r="CJ148" s="271"/>
      <c r="CK148" s="271"/>
      <c r="CL148" s="271"/>
      <c r="CM148" s="271"/>
      <c r="CN148" s="271"/>
      <c r="CO148" s="271"/>
      <c r="CP148" s="271"/>
      <c r="CQ148" s="271"/>
      <c r="CR148" s="271"/>
      <c r="CS148" s="271"/>
      <c r="CT148" s="271"/>
      <c r="CU148" s="272"/>
      <c r="CV148" s="270">
        <v>3</v>
      </c>
      <c r="CW148" s="271"/>
      <c r="CX148" s="271"/>
      <c r="CY148" s="271"/>
      <c r="CZ148" s="272"/>
      <c r="HW148" s="295"/>
      <c r="HX148" s="296"/>
      <c r="HY148" s="296"/>
      <c r="HZ148" s="296"/>
      <c r="IA148" s="296"/>
      <c r="IB148" s="296"/>
      <c r="IC148" s="296"/>
      <c r="ID148" s="296"/>
      <c r="IE148" s="296"/>
      <c r="IF148" s="296"/>
      <c r="IG148" s="296"/>
      <c r="IH148" s="296"/>
      <c r="II148" s="296"/>
      <c r="IJ148" s="296"/>
      <c r="IK148" s="296"/>
      <c r="IL148" s="296"/>
      <c r="IM148" s="296"/>
      <c r="IN148" s="296"/>
      <c r="IO148" s="296"/>
      <c r="IP148" s="296"/>
      <c r="IQ148" s="296"/>
      <c r="IR148" s="296"/>
      <c r="IS148" s="296"/>
      <c r="IT148" s="296"/>
      <c r="IU148" s="296"/>
      <c r="IV148" s="296"/>
      <c r="IW148" s="296"/>
      <c r="IX148" s="296"/>
      <c r="IY148" s="296"/>
      <c r="IZ148" s="296"/>
      <c r="JA148" s="296"/>
      <c r="JB148" s="296"/>
      <c r="JC148" s="296"/>
      <c r="JD148" s="296"/>
      <c r="JE148" s="296"/>
      <c r="JF148" s="296"/>
      <c r="JG148" s="296"/>
      <c r="JH148" s="296"/>
      <c r="JI148" s="296"/>
      <c r="JJ148" s="297"/>
      <c r="JK148" s="276"/>
      <c r="JL148" s="277"/>
      <c r="JM148" s="277"/>
      <c r="JN148" s="277"/>
      <c r="JO148" s="278"/>
      <c r="ME148" s="180"/>
      <c r="MF148" s="181"/>
      <c r="MG148" s="199"/>
      <c r="MH148" s="199"/>
      <c r="MI148" s="199"/>
      <c r="MJ148" s="199"/>
      <c r="MK148" s="200"/>
    </row>
    <row r="149" spans="4:368" ht="5.0999999999999996" customHeight="1" x14ac:dyDescent="0.3">
      <c r="D149" s="177"/>
      <c r="E149" s="178"/>
      <c r="BG149" s="273"/>
      <c r="BH149" s="274"/>
      <c r="BI149" s="274"/>
      <c r="BJ149" s="274"/>
      <c r="BK149" s="274"/>
      <c r="BL149" s="274"/>
      <c r="BM149" s="274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4"/>
      <c r="BY149" s="274"/>
      <c r="BZ149" s="274"/>
      <c r="CA149" s="274"/>
      <c r="CB149" s="274"/>
      <c r="CC149" s="274"/>
      <c r="CD149" s="274"/>
      <c r="CE149" s="274"/>
      <c r="CF149" s="274"/>
      <c r="CG149" s="274"/>
      <c r="CH149" s="274"/>
      <c r="CI149" s="274"/>
      <c r="CJ149" s="274"/>
      <c r="CK149" s="274"/>
      <c r="CL149" s="274"/>
      <c r="CM149" s="274"/>
      <c r="CN149" s="274"/>
      <c r="CO149" s="274"/>
      <c r="CP149" s="274"/>
      <c r="CQ149" s="274"/>
      <c r="CR149" s="274"/>
      <c r="CS149" s="274"/>
      <c r="CT149" s="274"/>
      <c r="CU149" s="275"/>
      <c r="CV149" s="273"/>
      <c r="CW149" s="274"/>
      <c r="CX149" s="274"/>
      <c r="CY149" s="274"/>
      <c r="CZ149" s="275"/>
      <c r="HW149" s="289" t="s">
        <v>198</v>
      </c>
      <c r="HX149" s="290"/>
      <c r="HY149" s="290"/>
      <c r="HZ149" s="290"/>
      <c r="IA149" s="290"/>
      <c r="IB149" s="290"/>
      <c r="IC149" s="290"/>
      <c r="ID149" s="290"/>
      <c r="IE149" s="290"/>
      <c r="IF149" s="290"/>
      <c r="IG149" s="290"/>
      <c r="IH149" s="290"/>
      <c r="II149" s="290"/>
      <c r="IJ149" s="290"/>
      <c r="IK149" s="290"/>
      <c r="IL149" s="290"/>
      <c r="IM149" s="290"/>
      <c r="IN149" s="290"/>
      <c r="IO149" s="290"/>
      <c r="IP149" s="290"/>
      <c r="IQ149" s="290"/>
      <c r="IR149" s="290"/>
      <c r="IS149" s="290"/>
      <c r="IT149" s="290"/>
      <c r="IU149" s="290"/>
      <c r="IV149" s="290"/>
      <c r="IW149" s="290"/>
      <c r="IX149" s="290"/>
      <c r="IY149" s="290"/>
      <c r="IZ149" s="290"/>
      <c r="JA149" s="290"/>
      <c r="JB149" s="290"/>
      <c r="JC149" s="290"/>
      <c r="JD149" s="290"/>
      <c r="JE149" s="290"/>
      <c r="JF149" s="290"/>
      <c r="JG149" s="290"/>
      <c r="JH149" s="290"/>
      <c r="JI149" s="290"/>
      <c r="JJ149" s="291"/>
      <c r="JK149" s="270"/>
      <c r="JL149" s="271"/>
      <c r="JM149" s="271"/>
      <c r="JN149" s="271"/>
      <c r="JO149" s="272"/>
      <c r="ME149" s="180"/>
      <c r="MF149" s="181"/>
      <c r="MG149" s="199"/>
      <c r="MH149" s="199"/>
      <c r="MI149" s="199"/>
      <c r="MJ149" s="199"/>
      <c r="MK149" s="200"/>
    </row>
    <row r="150" spans="4:368" ht="5.0999999999999996" customHeight="1" x14ac:dyDescent="0.3">
      <c r="D150" s="177"/>
      <c r="E150" s="178"/>
      <c r="BG150" s="273"/>
      <c r="BH150" s="274"/>
      <c r="BI150" s="274"/>
      <c r="BJ150" s="274"/>
      <c r="BK150" s="274"/>
      <c r="BL150" s="274"/>
      <c r="BM150" s="274"/>
      <c r="BN150" s="274"/>
      <c r="BO150" s="274"/>
      <c r="BP150" s="274"/>
      <c r="BQ150" s="274"/>
      <c r="BR150" s="274"/>
      <c r="BS150" s="274"/>
      <c r="BT150" s="274"/>
      <c r="BU150" s="274"/>
      <c r="BV150" s="274"/>
      <c r="BW150" s="274"/>
      <c r="BX150" s="274"/>
      <c r="BY150" s="274"/>
      <c r="BZ150" s="274"/>
      <c r="CA150" s="274"/>
      <c r="CB150" s="274"/>
      <c r="CC150" s="274"/>
      <c r="CD150" s="274"/>
      <c r="CE150" s="274"/>
      <c r="CF150" s="274"/>
      <c r="CG150" s="274"/>
      <c r="CH150" s="274"/>
      <c r="CI150" s="274"/>
      <c r="CJ150" s="274"/>
      <c r="CK150" s="274"/>
      <c r="CL150" s="274"/>
      <c r="CM150" s="274"/>
      <c r="CN150" s="274"/>
      <c r="CO150" s="274"/>
      <c r="CP150" s="274"/>
      <c r="CQ150" s="274"/>
      <c r="CR150" s="274"/>
      <c r="CS150" s="274"/>
      <c r="CT150" s="274"/>
      <c r="CU150" s="275"/>
      <c r="CV150" s="273"/>
      <c r="CW150" s="274"/>
      <c r="CX150" s="274"/>
      <c r="CY150" s="274"/>
      <c r="CZ150" s="275"/>
      <c r="HW150" s="292"/>
      <c r="HX150" s="293"/>
      <c r="HY150" s="293"/>
      <c r="HZ150" s="293"/>
      <c r="IA150" s="293"/>
      <c r="IB150" s="293"/>
      <c r="IC150" s="293"/>
      <c r="ID150" s="293"/>
      <c r="IE150" s="293"/>
      <c r="IF150" s="293"/>
      <c r="IG150" s="293"/>
      <c r="IH150" s="293"/>
      <c r="II150" s="293"/>
      <c r="IJ150" s="293"/>
      <c r="IK150" s="293"/>
      <c r="IL150" s="293"/>
      <c r="IM150" s="293"/>
      <c r="IN150" s="293"/>
      <c r="IO150" s="293"/>
      <c r="IP150" s="293"/>
      <c r="IQ150" s="293"/>
      <c r="IR150" s="293"/>
      <c r="IS150" s="293"/>
      <c r="IT150" s="293"/>
      <c r="IU150" s="293"/>
      <c r="IV150" s="293"/>
      <c r="IW150" s="293"/>
      <c r="IX150" s="293"/>
      <c r="IY150" s="293"/>
      <c r="IZ150" s="293"/>
      <c r="JA150" s="293"/>
      <c r="JB150" s="293"/>
      <c r="JC150" s="293"/>
      <c r="JD150" s="293"/>
      <c r="JE150" s="293"/>
      <c r="JF150" s="293"/>
      <c r="JG150" s="293"/>
      <c r="JH150" s="293"/>
      <c r="JI150" s="293"/>
      <c r="JJ150" s="294"/>
      <c r="JK150" s="273"/>
      <c r="JL150" s="274"/>
      <c r="JM150" s="274"/>
      <c r="JN150" s="274"/>
      <c r="JO150" s="275"/>
      <c r="ME150" s="180"/>
      <c r="MF150" s="181"/>
      <c r="MG150" s="199"/>
      <c r="MH150" s="199"/>
      <c r="MI150" s="199"/>
      <c r="MJ150" s="199"/>
      <c r="MK150" s="200"/>
    </row>
    <row r="151" spans="4:368" ht="5.0999999999999996" customHeight="1" x14ac:dyDescent="0.3">
      <c r="D151" s="177"/>
      <c r="E151" s="178"/>
      <c r="BG151" s="273"/>
      <c r="BH151" s="274"/>
      <c r="BI151" s="274"/>
      <c r="BJ151" s="274"/>
      <c r="BK151" s="274"/>
      <c r="BL151" s="274"/>
      <c r="BM151" s="274"/>
      <c r="BN151" s="274"/>
      <c r="BO151" s="274"/>
      <c r="BP151" s="274"/>
      <c r="BQ151" s="274"/>
      <c r="BR151" s="274"/>
      <c r="BS151" s="274"/>
      <c r="BT151" s="274"/>
      <c r="BU151" s="274"/>
      <c r="BV151" s="274"/>
      <c r="BW151" s="274"/>
      <c r="BX151" s="274"/>
      <c r="BY151" s="274"/>
      <c r="BZ151" s="274"/>
      <c r="CA151" s="274"/>
      <c r="CB151" s="274"/>
      <c r="CC151" s="274"/>
      <c r="CD151" s="274"/>
      <c r="CE151" s="274"/>
      <c r="CF151" s="274"/>
      <c r="CG151" s="274"/>
      <c r="CH151" s="274"/>
      <c r="CI151" s="274"/>
      <c r="CJ151" s="274"/>
      <c r="CK151" s="274"/>
      <c r="CL151" s="274"/>
      <c r="CM151" s="274"/>
      <c r="CN151" s="274"/>
      <c r="CO151" s="274"/>
      <c r="CP151" s="274"/>
      <c r="CQ151" s="274"/>
      <c r="CR151" s="274"/>
      <c r="CS151" s="274"/>
      <c r="CT151" s="274"/>
      <c r="CU151" s="275"/>
      <c r="CV151" s="273"/>
      <c r="CW151" s="274"/>
      <c r="CX151" s="274"/>
      <c r="CY151" s="274"/>
      <c r="CZ151" s="275"/>
      <c r="HW151" s="292"/>
      <c r="HX151" s="293"/>
      <c r="HY151" s="293"/>
      <c r="HZ151" s="293"/>
      <c r="IA151" s="293"/>
      <c r="IB151" s="293"/>
      <c r="IC151" s="293"/>
      <c r="ID151" s="293"/>
      <c r="IE151" s="293"/>
      <c r="IF151" s="293"/>
      <c r="IG151" s="293"/>
      <c r="IH151" s="293"/>
      <c r="II151" s="293"/>
      <c r="IJ151" s="293"/>
      <c r="IK151" s="293"/>
      <c r="IL151" s="293"/>
      <c r="IM151" s="293"/>
      <c r="IN151" s="293"/>
      <c r="IO151" s="293"/>
      <c r="IP151" s="293"/>
      <c r="IQ151" s="293"/>
      <c r="IR151" s="293"/>
      <c r="IS151" s="293"/>
      <c r="IT151" s="293"/>
      <c r="IU151" s="293"/>
      <c r="IV151" s="293"/>
      <c r="IW151" s="293"/>
      <c r="IX151" s="293"/>
      <c r="IY151" s="293"/>
      <c r="IZ151" s="293"/>
      <c r="JA151" s="293"/>
      <c r="JB151" s="293"/>
      <c r="JC151" s="293"/>
      <c r="JD151" s="293"/>
      <c r="JE151" s="293"/>
      <c r="JF151" s="293"/>
      <c r="JG151" s="293"/>
      <c r="JH151" s="293"/>
      <c r="JI151" s="293"/>
      <c r="JJ151" s="294"/>
      <c r="JK151" s="273"/>
      <c r="JL151" s="274"/>
      <c r="JM151" s="274"/>
      <c r="JN151" s="274"/>
      <c r="JO151" s="275"/>
      <c r="JX151" s="163" t="s">
        <v>199</v>
      </c>
      <c r="ME151" s="180"/>
      <c r="MF151" s="181"/>
      <c r="MG151" s="199"/>
      <c r="MH151" s="199"/>
      <c r="MI151" s="199"/>
      <c r="MJ151" s="199"/>
      <c r="MK151" s="200"/>
    </row>
    <row r="152" spans="4:368" ht="5.0999999999999996" customHeight="1" x14ac:dyDescent="0.3">
      <c r="D152" s="177"/>
      <c r="E152" s="178"/>
      <c r="BG152" s="273"/>
      <c r="BH152" s="274"/>
      <c r="BI152" s="274"/>
      <c r="BJ152" s="274"/>
      <c r="BK152" s="274"/>
      <c r="BL152" s="274"/>
      <c r="BM152" s="274"/>
      <c r="BN152" s="274"/>
      <c r="BO152" s="274"/>
      <c r="BP152" s="274"/>
      <c r="BQ152" s="274"/>
      <c r="BR152" s="274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274"/>
      <c r="CC152" s="274"/>
      <c r="CD152" s="274"/>
      <c r="CE152" s="274"/>
      <c r="CF152" s="274"/>
      <c r="CG152" s="274"/>
      <c r="CH152" s="274"/>
      <c r="CI152" s="274"/>
      <c r="CJ152" s="274"/>
      <c r="CK152" s="274"/>
      <c r="CL152" s="274"/>
      <c r="CM152" s="274"/>
      <c r="CN152" s="274"/>
      <c r="CO152" s="274"/>
      <c r="CP152" s="274"/>
      <c r="CQ152" s="274"/>
      <c r="CR152" s="274"/>
      <c r="CS152" s="274"/>
      <c r="CT152" s="274"/>
      <c r="CU152" s="275"/>
      <c r="CV152" s="273"/>
      <c r="CW152" s="274"/>
      <c r="CX152" s="274"/>
      <c r="CY152" s="274"/>
      <c r="CZ152" s="275"/>
      <c r="HW152" s="292"/>
      <c r="HX152" s="293"/>
      <c r="HY152" s="293"/>
      <c r="HZ152" s="293"/>
      <c r="IA152" s="293"/>
      <c r="IB152" s="293"/>
      <c r="IC152" s="293"/>
      <c r="ID152" s="293"/>
      <c r="IE152" s="293"/>
      <c r="IF152" s="293"/>
      <c r="IG152" s="293"/>
      <c r="IH152" s="293"/>
      <c r="II152" s="293"/>
      <c r="IJ152" s="293"/>
      <c r="IK152" s="293"/>
      <c r="IL152" s="293"/>
      <c r="IM152" s="293"/>
      <c r="IN152" s="293"/>
      <c r="IO152" s="293"/>
      <c r="IP152" s="293"/>
      <c r="IQ152" s="293"/>
      <c r="IR152" s="293"/>
      <c r="IS152" s="293"/>
      <c r="IT152" s="293"/>
      <c r="IU152" s="293"/>
      <c r="IV152" s="293"/>
      <c r="IW152" s="293"/>
      <c r="IX152" s="293"/>
      <c r="IY152" s="293"/>
      <c r="IZ152" s="293"/>
      <c r="JA152" s="293"/>
      <c r="JB152" s="293"/>
      <c r="JC152" s="293"/>
      <c r="JD152" s="293"/>
      <c r="JE152" s="293"/>
      <c r="JF152" s="293"/>
      <c r="JG152" s="293"/>
      <c r="JH152" s="293"/>
      <c r="JI152" s="293"/>
      <c r="JJ152" s="294"/>
      <c r="JK152" s="273"/>
      <c r="JL152" s="274"/>
      <c r="JM152" s="274"/>
      <c r="JN152" s="274"/>
      <c r="JO152" s="275"/>
      <c r="ME152" s="180"/>
      <c r="MF152" s="181"/>
      <c r="MG152" s="199"/>
      <c r="MH152" s="199"/>
      <c r="MI152" s="199"/>
      <c r="MJ152" s="199"/>
      <c r="MK152" s="200"/>
    </row>
    <row r="153" spans="4:368" ht="5.0999999999999996" customHeight="1" x14ac:dyDescent="0.3">
      <c r="D153" s="177"/>
      <c r="E153" s="178"/>
      <c r="BG153" s="273"/>
      <c r="BH153" s="274"/>
      <c r="BI153" s="274"/>
      <c r="BJ153" s="274"/>
      <c r="BK153" s="274"/>
      <c r="BL153" s="274"/>
      <c r="BM153" s="274"/>
      <c r="BN153" s="274"/>
      <c r="BO153" s="274"/>
      <c r="BP153" s="274"/>
      <c r="BQ153" s="274"/>
      <c r="BR153" s="274"/>
      <c r="BS153" s="274"/>
      <c r="BT153" s="274"/>
      <c r="BU153" s="274"/>
      <c r="BV153" s="274"/>
      <c r="BW153" s="274"/>
      <c r="BX153" s="274"/>
      <c r="BY153" s="274"/>
      <c r="BZ153" s="274"/>
      <c r="CA153" s="274"/>
      <c r="CB153" s="274"/>
      <c r="CC153" s="274"/>
      <c r="CD153" s="274"/>
      <c r="CE153" s="274"/>
      <c r="CF153" s="274"/>
      <c r="CG153" s="274"/>
      <c r="CH153" s="274"/>
      <c r="CI153" s="274"/>
      <c r="CJ153" s="274"/>
      <c r="CK153" s="274"/>
      <c r="CL153" s="274"/>
      <c r="CM153" s="274"/>
      <c r="CN153" s="274"/>
      <c r="CO153" s="274"/>
      <c r="CP153" s="274"/>
      <c r="CQ153" s="274"/>
      <c r="CR153" s="274"/>
      <c r="CS153" s="274"/>
      <c r="CT153" s="274"/>
      <c r="CU153" s="275"/>
      <c r="CV153" s="273"/>
      <c r="CW153" s="274"/>
      <c r="CX153" s="274"/>
      <c r="CY153" s="274"/>
      <c r="CZ153" s="275"/>
      <c r="HW153" s="292"/>
      <c r="HX153" s="293"/>
      <c r="HY153" s="293"/>
      <c r="HZ153" s="293"/>
      <c r="IA153" s="293"/>
      <c r="IB153" s="293"/>
      <c r="IC153" s="293"/>
      <c r="ID153" s="293"/>
      <c r="IE153" s="293"/>
      <c r="IF153" s="293"/>
      <c r="IG153" s="293"/>
      <c r="IH153" s="293"/>
      <c r="II153" s="293"/>
      <c r="IJ153" s="293"/>
      <c r="IK153" s="293"/>
      <c r="IL153" s="293"/>
      <c r="IM153" s="293"/>
      <c r="IN153" s="293"/>
      <c r="IO153" s="293"/>
      <c r="IP153" s="293"/>
      <c r="IQ153" s="293"/>
      <c r="IR153" s="293"/>
      <c r="IS153" s="293"/>
      <c r="IT153" s="293"/>
      <c r="IU153" s="293"/>
      <c r="IV153" s="293"/>
      <c r="IW153" s="293"/>
      <c r="IX153" s="293"/>
      <c r="IY153" s="293"/>
      <c r="IZ153" s="293"/>
      <c r="JA153" s="293"/>
      <c r="JB153" s="293"/>
      <c r="JC153" s="293"/>
      <c r="JD153" s="293"/>
      <c r="JE153" s="293"/>
      <c r="JF153" s="293"/>
      <c r="JG153" s="293"/>
      <c r="JH153" s="293"/>
      <c r="JI153" s="293"/>
      <c r="JJ153" s="294"/>
      <c r="JK153" s="273"/>
      <c r="JL153" s="274"/>
      <c r="JM153" s="274"/>
      <c r="JN153" s="274"/>
      <c r="JO153" s="275"/>
      <c r="ME153" s="180"/>
      <c r="MF153" s="181"/>
      <c r="MG153" s="199"/>
      <c r="MH153" s="199"/>
      <c r="MI153" s="199"/>
      <c r="MJ153" s="199"/>
      <c r="MK153" s="200"/>
      <c r="MY153" s="199"/>
      <c r="MZ153" s="199"/>
      <c r="NA153" s="199"/>
      <c r="NB153" s="199"/>
      <c r="NC153" s="199"/>
      <c r="ND153" s="200"/>
    </row>
    <row r="154" spans="4:368" ht="5.0999999999999996" customHeight="1" x14ac:dyDescent="0.3">
      <c r="D154" s="177"/>
      <c r="E154" s="178"/>
      <c r="BG154" s="273"/>
      <c r="BH154" s="274"/>
      <c r="BI154" s="274"/>
      <c r="BJ154" s="274"/>
      <c r="BK154" s="274"/>
      <c r="BL154" s="274"/>
      <c r="BM154" s="274"/>
      <c r="BN154" s="274"/>
      <c r="BO154" s="274"/>
      <c r="BP154" s="274"/>
      <c r="BQ154" s="274"/>
      <c r="BR154" s="274"/>
      <c r="BS154" s="274"/>
      <c r="BT154" s="274"/>
      <c r="BU154" s="274"/>
      <c r="BV154" s="274"/>
      <c r="BW154" s="274"/>
      <c r="BX154" s="274"/>
      <c r="BY154" s="274"/>
      <c r="BZ154" s="274"/>
      <c r="CA154" s="274"/>
      <c r="CB154" s="274"/>
      <c r="CC154" s="274"/>
      <c r="CD154" s="274"/>
      <c r="CE154" s="274"/>
      <c r="CF154" s="274"/>
      <c r="CG154" s="274"/>
      <c r="CH154" s="274"/>
      <c r="CI154" s="274"/>
      <c r="CJ154" s="274"/>
      <c r="CK154" s="274"/>
      <c r="CL154" s="274"/>
      <c r="CM154" s="274"/>
      <c r="CN154" s="274"/>
      <c r="CO154" s="274"/>
      <c r="CP154" s="274"/>
      <c r="CQ154" s="274"/>
      <c r="CR154" s="274"/>
      <c r="CS154" s="274"/>
      <c r="CT154" s="274"/>
      <c r="CU154" s="275"/>
      <c r="CV154" s="273"/>
      <c r="CW154" s="274"/>
      <c r="CX154" s="274"/>
      <c r="CY154" s="274"/>
      <c r="CZ154" s="275"/>
      <c r="HW154" s="292"/>
      <c r="HX154" s="293"/>
      <c r="HY154" s="293"/>
      <c r="HZ154" s="293"/>
      <c r="IA154" s="293"/>
      <c r="IB154" s="293"/>
      <c r="IC154" s="293"/>
      <c r="ID154" s="293"/>
      <c r="IE154" s="293"/>
      <c r="IF154" s="293"/>
      <c r="IG154" s="293"/>
      <c r="IH154" s="293"/>
      <c r="II154" s="293"/>
      <c r="IJ154" s="293"/>
      <c r="IK154" s="293"/>
      <c r="IL154" s="293"/>
      <c r="IM154" s="293"/>
      <c r="IN154" s="293"/>
      <c r="IO154" s="293"/>
      <c r="IP154" s="293"/>
      <c r="IQ154" s="293"/>
      <c r="IR154" s="293"/>
      <c r="IS154" s="293"/>
      <c r="IT154" s="293"/>
      <c r="IU154" s="293"/>
      <c r="IV154" s="293"/>
      <c r="IW154" s="293"/>
      <c r="IX154" s="293"/>
      <c r="IY154" s="293"/>
      <c r="IZ154" s="293"/>
      <c r="JA154" s="293"/>
      <c r="JB154" s="293"/>
      <c r="JC154" s="293"/>
      <c r="JD154" s="293"/>
      <c r="JE154" s="293"/>
      <c r="JF154" s="293"/>
      <c r="JG154" s="293"/>
      <c r="JH154" s="293"/>
      <c r="JI154" s="293"/>
      <c r="JJ154" s="294"/>
      <c r="JK154" s="273"/>
      <c r="JL154" s="274"/>
      <c r="JM154" s="274"/>
      <c r="JN154" s="274"/>
      <c r="JO154" s="275"/>
      <c r="ME154" s="180"/>
      <c r="MF154" s="181"/>
      <c r="MG154" s="199"/>
      <c r="MH154" s="199"/>
      <c r="MI154" s="199"/>
      <c r="MJ154" s="199"/>
      <c r="MK154" s="200"/>
      <c r="MY154" s="199"/>
      <c r="MZ154" s="199"/>
      <c r="NA154" s="199"/>
      <c r="NB154" s="199"/>
      <c r="NC154" s="199"/>
      <c r="ND154" s="200"/>
    </row>
    <row r="155" spans="4:368" ht="5.0999999999999996" customHeight="1" x14ac:dyDescent="0.3">
      <c r="D155" s="177"/>
      <c r="E155" s="178"/>
      <c r="BG155" s="273"/>
      <c r="BH155" s="274"/>
      <c r="BI155" s="274"/>
      <c r="BJ155" s="274"/>
      <c r="BK155" s="274"/>
      <c r="BL155" s="274"/>
      <c r="BM155" s="274"/>
      <c r="BN155" s="274"/>
      <c r="BO155" s="274"/>
      <c r="BP155" s="274"/>
      <c r="BQ155" s="274"/>
      <c r="BR155" s="274"/>
      <c r="BS155" s="274"/>
      <c r="BT155" s="274"/>
      <c r="BU155" s="274"/>
      <c r="BV155" s="274"/>
      <c r="BW155" s="274"/>
      <c r="BX155" s="274"/>
      <c r="BY155" s="274"/>
      <c r="BZ155" s="274"/>
      <c r="CA155" s="274"/>
      <c r="CB155" s="274"/>
      <c r="CC155" s="274"/>
      <c r="CD155" s="274"/>
      <c r="CE155" s="274"/>
      <c r="CF155" s="274"/>
      <c r="CG155" s="274"/>
      <c r="CH155" s="274"/>
      <c r="CI155" s="274"/>
      <c r="CJ155" s="274"/>
      <c r="CK155" s="274"/>
      <c r="CL155" s="274"/>
      <c r="CM155" s="274"/>
      <c r="CN155" s="274"/>
      <c r="CO155" s="274"/>
      <c r="CP155" s="274"/>
      <c r="CQ155" s="274"/>
      <c r="CR155" s="274"/>
      <c r="CS155" s="274"/>
      <c r="CT155" s="274"/>
      <c r="CU155" s="275"/>
      <c r="CV155" s="273"/>
      <c r="CW155" s="274"/>
      <c r="CX155" s="274"/>
      <c r="CY155" s="274"/>
      <c r="CZ155" s="275"/>
      <c r="HW155" s="292"/>
      <c r="HX155" s="293"/>
      <c r="HY155" s="293"/>
      <c r="HZ155" s="293"/>
      <c r="IA155" s="293"/>
      <c r="IB155" s="293"/>
      <c r="IC155" s="293"/>
      <c r="ID155" s="293"/>
      <c r="IE155" s="293"/>
      <c r="IF155" s="293"/>
      <c r="IG155" s="293"/>
      <c r="IH155" s="293"/>
      <c r="II155" s="293"/>
      <c r="IJ155" s="293"/>
      <c r="IK155" s="293"/>
      <c r="IL155" s="293"/>
      <c r="IM155" s="293"/>
      <c r="IN155" s="293"/>
      <c r="IO155" s="293"/>
      <c r="IP155" s="293"/>
      <c r="IQ155" s="293"/>
      <c r="IR155" s="293"/>
      <c r="IS155" s="293"/>
      <c r="IT155" s="293"/>
      <c r="IU155" s="293"/>
      <c r="IV155" s="293"/>
      <c r="IW155" s="293"/>
      <c r="IX155" s="293"/>
      <c r="IY155" s="293"/>
      <c r="IZ155" s="293"/>
      <c r="JA155" s="293"/>
      <c r="JB155" s="293"/>
      <c r="JC155" s="293"/>
      <c r="JD155" s="293"/>
      <c r="JE155" s="293"/>
      <c r="JF155" s="293"/>
      <c r="JG155" s="293"/>
      <c r="JH155" s="293"/>
      <c r="JI155" s="293"/>
      <c r="JJ155" s="294"/>
      <c r="JK155" s="273"/>
      <c r="JL155" s="274"/>
      <c r="JM155" s="274"/>
      <c r="JN155" s="274"/>
      <c r="JO155" s="275"/>
      <c r="ME155" s="180"/>
      <c r="MF155" s="181"/>
      <c r="MG155" s="199"/>
      <c r="MH155" s="199"/>
      <c r="MI155" s="199"/>
      <c r="MJ155" s="199"/>
      <c r="MK155" s="200"/>
      <c r="MY155" s="199"/>
      <c r="MZ155" s="199"/>
      <c r="NA155" s="199"/>
      <c r="NB155" s="199"/>
      <c r="NC155" s="199"/>
      <c r="ND155" s="200"/>
    </row>
    <row r="156" spans="4:368" ht="5.0999999999999996" customHeight="1" x14ac:dyDescent="0.3">
      <c r="D156" s="177"/>
      <c r="E156" s="178"/>
      <c r="BG156" s="273"/>
      <c r="BH156" s="274"/>
      <c r="BI156" s="274"/>
      <c r="BJ156" s="274"/>
      <c r="BK156" s="274"/>
      <c r="BL156" s="274"/>
      <c r="BM156" s="274"/>
      <c r="BN156" s="274"/>
      <c r="BO156" s="274"/>
      <c r="BP156" s="274"/>
      <c r="BQ156" s="274"/>
      <c r="BR156" s="274"/>
      <c r="BS156" s="274"/>
      <c r="BT156" s="274"/>
      <c r="BU156" s="274"/>
      <c r="BV156" s="274"/>
      <c r="BW156" s="274"/>
      <c r="BX156" s="274"/>
      <c r="BY156" s="274"/>
      <c r="BZ156" s="274"/>
      <c r="CA156" s="274"/>
      <c r="CB156" s="274"/>
      <c r="CC156" s="274"/>
      <c r="CD156" s="274"/>
      <c r="CE156" s="274"/>
      <c r="CF156" s="274"/>
      <c r="CG156" s="274"/>
      <c r="CH156" s="274"/>
      <c r="CI156" s="274"/>
      <c r="CJ156" s="274"/>
      <c r="CK156" s="274"/>
      <c r="CL156" s="274"/>
      <c r="CM156" s="274"/>
      <c r="CN156" s="274"/>
      <c r="CO156" s="274"/>
      <c r="CP156" s="274"/>
      <c r="CQ156" s="274"/>
      <c r="CR156" s="274"/>
      <c r="CS156" s="274"/>
      <c r="CT156" s="274"/>
      <c r="CU156" s="275"/>
      <c r="CV156" s="273"/>
      <c r="CW156" s="274"/>
      <c r="CX156" s="274"/>
      <c r="CY156" s="274"/>
      <c r="CZ156" s="275"/>
      <c r="HW156" s="292"/>
      <c r="HX156" s="293"/>
      <c r="HY156" s="293"/>
      <c r="HZ156" s="293"/>
      <c r="IA156" s="293"/>
      <c r="IB156" s="293"/>
      <c r="IC156" s="293"/>
      <c r="ID156" s="293"/>
      <c r="IE156" s="293"/>
      <c r="IF156" s="293"/>
      <c r="IG156" s="293"/>
      <c r="IH156" s="293"/>
      <c r="II156" s="293"/>
      <c r="IJ156" s="293"/>
      <c r="IK156" s="293"/>
      <c r="IL156" s="293"/>
      <c r="IM156" s="293"/>
      <c r="IN156" s="293"/>
      <c r="IO156" s="293"/>
      <c r="IP156" s="293"/>
      <c r="IQ156" s="293"/>
      <c r="IR156" s="293"/>
      <c r="IS156" s="293"/>
      <c r="IT156" s="293"/>
      <c r="IU156" s="293"/>
      <c r="IV156" s="293"/>
      <c r="IW156" s="293"/>
      <c r="IX156" s="293"/>
      <c r="IY156" s="293"/>
      <c r="IZ156" s="293"/>
      <c r="JA156" s="293"/>
      <c r="JB156" s="293"/>
      <c r="JC156" s="293"/>
      <c r="JD156" s="293"/>
      <c r="JE156" s="293"/>
      <c r="JF156" s="293"/>
      <c r="JG156" s="293"/>
      <c r="JH156" s="293"/>
      <c r="JI156" s="293"/>
      <c r="JJ156" s="294"/>
      <c r="JK156" s="273"/>
      <c r="JL156" s="274"/>
      <c r="JM156" s="274"/>
      <c r="JN156" s="274"/>
      <c r="JO156" s="275"/>
      <c r="ME156" s="180"/>
      <c r="MF156" s="181"/>
      <c r="MG156" s="199"/>
      <c r="MH156" s="199"/>
      <c r="MI156" s="199"/>
      <c r="MJ156" s="199"/>
      <c r="MK156" s="200"/>
      <c r="MY156" s="199"/>
      <c r="MZ156" s="199"/>
      <c r="NA156" s="199"/>
      <c r="NB156" s="199"/>
      <c r="NC156" s="199"/>
      <c r="ND156" s="200"/>
    </row>
    <row r="157" spans="4:368" ht="5.0999999999999996" customHeight="1" x14ac:dyDescent="0.3">
      <c r="D157" s="177"/>
      <c r="E157" s="178"/>
      <c r="BG157" s="276"/>
      <c r="BH157" s="277"/>
      <c r="BI157" s="277"/>
      <c r="BJ157" s="277"/>
      <c r="BK157" s="277"/>
      <c r="BL157" s="277"/>
      <c r="BM157" s="277"/>
      <c r="BN157" s="277"/>
      <c r="BO157" s="277"/>
      <c r="BP157" s="277"/>
      <c r="BQ157" s="277"/>
      <c r="BR157" s="277"/>
      <c r="BS157" s="277"/>
      <c r="BT157" s="277"/>
      <c r="BU157" s="277"/>
      <c r="BV157" s="277"/>
      <c r="BW157" s="277"/>
      <c r="BX157" s="277"/>
      <c r="BY157" s="277"/>
      <c r="BZ157" s="277"/>
      <c r="CA157" s="277"/>
      <c r="CB157" s="277"/>
      <c r="CC157" s="277"/>
      <c r="CD157" s="277"/>
      <c r="CE157" s="277"/>
      <c r="CF157" s="277"/>
      <c r="CG157" s="277"/>
      <c r="CH157" s="277"/>
      <c r="CI157" s="277"/>
      <c r="CJ157" s="277"/>
      <c r="CK157" s="277"/>
      <c r="CL157" s="277"/>
      <c r="CM157" s="277"/>
      <c r="CN157" s="277"/>
      <c r="CO157" s="277"/>
      <c r="CP157" s="277"/>
      <c r="CQ157" s="277"/>
      <c r="CR157" s="277"/>
      <c r="CS157" s="277"/>
      <c r="CT157" s="277"/>
      <c r="CU157" s="278"/>
      <c r="CV157" s="276"/>
      <c r="CW157" s="277"/>
      <c r="CX157" s="277"/>
      <c r="CY157" s="277"/>
      <c r="CZ157" s="278"/>
      <c r="HW157" s="292"/>
      <c r="HX157" s="293"/>
      <c r="HY157" s="293"/>
      <c r="HZ157" s="293"/>
      <c r="IA157" s="293"/>
      <c r="IB157" s="293"/>
      <c r="IC157" s="293"/>
      <c r="ID157" s="293"/>
      <c r="IE157" s="293"/>
      <c r="IF157" s="293"/>
      <c r="IG157" s="293"/>
      <c r="IH157" s="293"/>
      <c r="II157" s="293"/>
      <c r="IJ157" s="293"/>
      <c r="IK157" s="293"/>
      <c r="IL157" s="293"/>
      <c r="IM157" s="293"/>
      <c r="IN157" s="293"/>
      <c r="IO157" s="293"/>
      <c r="IP157" s="293"/>
      <c r="IQ157" s="293"/>
      <c r="IR157" s="293"/>
      <c r="IS157" s="293"/>
      <c r="IT157" s="293"/>
      <c r="IU157" s="293"/>
      <c r="IV157" s="293"/>
      <c r="IW157" s="293"/>
      <c r="IX157" s="293"/>
      <c r="IY157" s="293"/>
      <c r="IZ157" s="293"/>
      <c r="JA157" s="293"/>
      <c r="JB157" s="293"/>
      <c r="JC157" s="293"/>
      <c r="JD157" s="293"/>
      <c r="JE157" s="293"/>
      <c r="JF157" s="293"/>
      <c r="JG157" s="293"/>
      <c r="JH157" s="293"/>
      <c r="JI157" s="293"/>
      <c r="JJ157" s="294"/>
      <c r="JK157" s="273"/>
      <c r="JL157" s="274"/>
      <c r="JM157" s="274"/>
      <c r="JN157" s="274"/>
      <c r="JO157" s="275"/>
      <c r="ME157" s="180"/>
      <c r="MF157" s="181"/>
      <c r="MG157" s="199"/>
      <c r="MH157" s="199"/>
      <c r="MI157" s="199"/>
      <c r="MJ157" s="199"/>
      <c r="MK157" s="200"/>
      <c r="MY157" s="199"/>
      <c r="MZ157" s="199"/>
      <c r="NA157" s="199"/>
      <c r="NB157" s="199"/>
      <c r="NC157" s="199"/>
      <c r="ND157" s="200"/>
    </row>
    <row r="158" spans="4:368" ht="5.0999999999999996" customHeight="1" x14ac:dyDescent="0.3">
      <c r="D158" s="177"/>
      <c r="E158" s="178"/>
      <c r="HW158" s="295"/>
      <c r="HX158" s="296"/>
      <c r="HY158" s="296"/>
      <c r="HZ158" s="296"/>
      <c r="IA158" s="296"/>
      <c r="IB158" s="296"/>
      <c r="IC158" s="296"/>
      <c r="ID158" s="296"/>
      <c r="IE158" s="296"/>
      <c r="IF158" s="296"/>
      <c r="IG158" s="296"/>
      <c r="IH158" s="296"/>
      <c r="II158" s="296"/>
      <c r="IJ158" s="296"/>
      <c r="IK158" s="296"/>
      <c r="IL158" s="296"/>
      <c r="IM158" s="296"/>
      <c r="IN158" s="296"/>
      <c r="IO158" s="296"/>
      <c r="IP158" s="296"/>
      <c r="IQ158" s="296"/>
      <c r="IR158" s="296"/>
      <c r="IS158" s="296"/>
      <c r="IT158" s="296"/>
      <c r="IU158" s="296"/>
      <c r="IV158" s="296"/>
      <c r="IW158" s="296"/>
      <c r="IX158" s="296"/>
      <c r="IY158" s="296"/>
      <c r="IZ158" s="296"/>
      <c r="JA158" s="296"/>
      <c r="JB158" s="296"/>
      <c r="JC158" s="296"/>
      <c r="JD158" s="296"/>
      <c r="JE158" s="296"/>
      <c r="JF158" s="296"/>
      <c r="JG158" s="296"/>
      <c r="JH158" s="296"/>
      <c r="JI158" s="296"/>
      <c r="JJ158" s="297"/>
      <c r="JK158" s="276"/>
      <c r="JL158" s="277"/>
      <c r="JM158" s="277"/>
      <c r="JN158" s="277"/>
      <c r="JO158" s="278"/>
      <c r="ME158" s="180"/>
      <c r="MF158" s="181"/>
      <c r="MG158" s="199"/>
      <c r="MH158" s="199"/>
      <c r="MI158" s="199"/>
      <c r="MJ158" s="199"/>
      <c r="MK158" s="200"/>
      <c r="MY158" s="199"/>
      <c r="MZ158" s="199"/>
      <c r="NA158" s="199"/>
      <c r="NB158" s="199"/>
      <c r="NC158" s="199"/>
      <c r="ND158" s="200"/>
    </row>
    <row r="159" spans="4:368" ht="5.0999999999999996" customHeight="1" x14ac:dyDescent="0.3">
      <c r="D159" s="177"/>
      <c r="E159" s="178"/>
      <c r="JX159" s="206"/>
      <c r="ME159" s="180"/>
      <c r="MF159" s="181"/>
      <c r="MG159" s="199"/>
      <c r="MH159" s="199"/>
      <c r="MI159" s="199"/>
      <c r="MJ159" s="199"/>
      <c r="MK159" s="200"/>
      <c r="MY159" s="199"/>
      <c r="MZ159" s="199"/>
      <c r="NA159" s="199"/>
      <c r="NB159" s="199"/>
      <c r="NC159" s="199"/>
      <c r="ND159" s="200"/>
    </row>
    <row r="160" spans="4:368" ht="5.0999999999999996" customHeight="1" x14ac:dyDescent="0.3">
      <c r="D160" s="177"/>
      <c r="E160" s="178"/>
      <c r="JX160" s="206"/>
      <c r="ME160" s="180"/>
      <c r="MF160" s="181"/>
    </row>
    <row r="161" spans="4:368" ht="5.0999999999999996" customHeight="1" x14ac:dyDescent="0.3">
      <c r="D161" s="177"/>
      <c r="E161" s="178"/>
      <c r="JX161" s="206"/>
      <c r="ME161" s="180"/>
      <c r="MF161" s="181"/>
    </row>
    <row r="162" spans="4:368" ht="5.0999999999999996" customHeight="1" x14ac:dyDescent="0.3">
      <c r="D162" s="177"/>
      <c r="E162" s="178"/>
      <c r="JX162" s="206"/>
      <c r="ME162" s="180"/>
      <c r="MF162" s="181"/>
    </row>
    <row r="163" spans="4:368" ht="5.0999999999999996" customHeight="1" x14ac:dyDescent="0.3">
      <c r="D163" s="177"/>
      <c r="E163" s="178"/>
      <c r="JX163" s="206"/>
      <c r="KD163" s="279" t="s">
        <v>200</v>
      </c>
      <c r="KE163" s="280"/>
      <c r="KF163" s="280"/>
      <c r="KG163" s="280"/>
      <c r="KH163" s="280"/>
      <c r="KI163" s="280"/>
      <c r="KJ163" s="280"/>
      <c r="KK163" s="280"/>
      <c r="KL163" s="280"/>
      <c r="KM163" s="280"/>
      <c r="KN163" s="280"/>
      <c r="KO163" s="280"/>
      <c r="KP163" s="280"/>
      <c r="KQ163" s="280"/>
      <c r="KR163" s="280"/>
      <c r="KS163" s="280"/>
      <c r="KT163" s="280"/>
      <c r="KU163" s="280"/>
      <c r="KV163" s="280"/>
      <c r="KW163" s="280"/>
      <c r="KX163" s="280"/>
      <c r="KY163" s="280"/>
      <c r="KZ163" s="280"/>
      <c r="LA163" s="280"/>
      <c r="LB163" s="280"/>
      <c r="LC163" s="280"/>
      <c r="LD163" s="280"/>
      <c r="LE163" s="280"/>
      <c r="LF163" s="280"/>
      <c r="LG163" s="280"/>
      <c r="LH163" s="280"/>
      <c r="LI163" s="280"/>
      <c r="LJ163" s="280"/>
      <c r="LK163" s="280"/>
      <c r="LL163" s="280"/>
      <c r="LM163" s="280"/>
      <c r="LN163" s="280"/>
      <c r="LO163" s="280"/>
      <c r="LP163" s="280"/>
      <c r="LQ163" s="280"/>
      <c r="LR163" s="285">
        <f>LR173</f>
        <v>10</v>
      </c>
      <c r="LS163" s="285"/>
      <c r="LT163" s="285"/>
      <c r="LU163" s="285"/>
      <c r="LV163" s="285"/>
      <c r="LW163" s="285"/>
      <c r="ME163" s="180"/>
      <c r="MF163" s="181"/>
    </row>
    <row r="164" spans="4:368" ht="5.0999999999999996" customHeight="1" x14ac:dyDescent="0.3">
      <c r="D164" s="177"/>
      <c r="E164" s="178"/>
      <c r="KD164" s="281"/>
      <c r="KE164" s="282"/>
      <c r="KF164" s="282"/>
      <c r="KG164" s="282"/>
      <c r="KH164" s="282"/>
      <c r="KI164" s="282"/>
      <c r="KJ164" s="282"/>
      <c r="KK164" s="282"/>
      <c r="KL164" s="282"/>
      <c r="KM164" s="282"/>
      <c r="KN164" s="282"/>
      <c r="KO164" s="282"/>
      <c r="KP164" s="282"/>
      <c r="KQ164" s="282"/>
      <c r="KR164" s="282"/>
      <c r="KS164" s="282"/>
      <c r="KT164" s="282"/>
      <c r="KU164" s="282"/>
      <c r="KV164" s="282"/>
      <c r="KW164" s="282"/>
      <c r="KX164" s="282"/>
      <c r="KY164" s="282"/>
      <c r="KZ164" s="282"/>
      <c r="LA164" s="282"/>
      <c r="LB164" s="282"/>
      <c r="LC164" s="282"/>
      <c r="LD164" s="282"/>
      <c r="LE164" s="282"/>
      <c r="LF164" s="282"/>
      <c r="LG164" s="282"/>
      <c r="LH164" s="282"/>
      <c r="LI164" s="282"/>
      <c r="LJ164" s="282"/>
      <c r="LK164" s="282"/>
      <c r="LL164" s="282"/>
      <c r="LM164" s="282"/>
      <c r="LN164" s="282"/>
      <c r="LO164" s="282"/>
      <c r="LP164" s="282"/>
      <c r="LQ164" s="282"/>
      <c r="LR164" s="285"/>
      <c r="LS164" s="285"/>
      <c r="LT164" s="285"/>
      <c r="LU164" s="285"/>
      <c r="LV164" s="285"/>
      <c r="LW164" s="285"/>
      <c r="ME164" s="180"/>
      <c r="MF164" s="181"/>
    </row>
    <row r="165" spans="4:368" ht="5.0999999999999996" customHeight="1" x14ac:dyDescent="0.3">
      <c r="D165" s="177"/>
      <c r="E165" s="178"/>
      <c r="KD165" s="281"/>
      <c r="KE165" s="282"/>
      <c r="KF165" s="282"/>
      <c r="KG165" s="282"/>
      <c r="KH165" s="282"/>
      <c r="KI165" s="282"/>
      <c r="KJ165" s="282"/>
      <c r="KK165" s="282"/>
      <c r="KL165" s="282"/>
      <c r="KM165" s="282"/>
      <c r="KN165" s="282"/>
      <c r="KO165" s="282"/>
      <c r="KP165" s="282"/>
      <c r="KQ165" s="282"/>
      <c r="KR165" s="282"/>
      <c r="KS165" s="282"/>
      <c r="KT165" s="282"/>
      <c r="KU165" s="282"/>
      <c r="KV165" s="282"/>
      <c r="KW165" s="282"/>
      <c r="KX165" s="282"/>
      <c r="KY165" s="282"/>
      <c r="KZ165" s="282"/>
      <c r="LA165" s="282"/>
      <c r="LB165" s="282"/>
      <c r="LC165" s="282"/>
      <c r="LD165" s="282"/>
      <c r="LE165" s="282"/>
      <c r="LF165" s="282"/>
      <c r="LG165" s="282"/>
      <c r="LH165" s="282"/>
      <c r="LI165" s="282"/>
      <c r="LJ165" s="282"/>
      <c r="LK165" s="282"/>
      <c r="LL165" s="282"/>
      <c r="LM165" s="282"/>
      <c r="LN165" s="282"/>
      <c r="LO165" s="282"/>
      <c r="LP165" s="282"/>
      <c r="LQ165" s="282"/>
      <c r="LR165" s="285"/>
      <c r="LS165" s="285"/>
      <c r="LT165" s="285"/>
      <c r="LU165" s="285"/>
      <c r="LV165" s="285"/>
      <c r="LW165" s="285"/>
      <c r="ME165" s="180"/>
      <c r="MF165" s="181"/>
    </row>
    <row r="166" spans="4:368" ht="5.0999999999999996" customHeight="1" x14ac:dyDescent="0.3">
      <c r="D166" s="177"/>
      <c r="E166" s="178"/>
      <c r="KD166" s="281"/>
      <c r="KE166" s="282"/>
      <c r="KF166" s="282"/>
      <c r="KG166" s="282"/>
      <c r="KH166" s="282"/>
      <c r="KI166" s="282"/>
      <c r="KJ166" s="282"/>
      <c r="KK166" s="282"/>
      <c r="KL166" s="282"/>
      <c r="KM166" s="282"/>
      <c r="KN166" s="282"/>
      <c r="KO166" s="282"/>
      <c r="KP166" s="282"/>
      <c r="KQ166" s="282"/>
      <c r="KR166" s="282"/>
      <c r="KS166" s="282"/>
      <c r="KT166" s="282"/>
      <c r="KU166" s="282"/>
      <c r="KV166" s="282"/>
      <c r="KW166" s="282"/>
      <c r="KX166" s="282"/>
      <c r="KY166" s="282"/>
      <c r="KZ166" s="282"/>
      <c r="LA166" s="282"/>
      <c r="LB166" s="282"/>
      <c r="LC166" s="282"/>
      <c r="LD166" s="282"/>
      <c r="LE166" s="282"/>
      <c r="LF166" s="282"/>
      <c r="LG166" s="282"/>
      <c r="LH166" s="282"/>
      <c r="LI166" s="282"/>
      <c r="LJ166" s="282"/>
      <c r="LK166" s="282"/>
      <c r="LL166" s="282"/>
      <c r="LM166" s="282"/>
      <c r="LN166" s="282"/>
      <c r="LO166" s="282"/>
      <c r="LP166" s="282"/>
      <c r="LQ166" s="282"/>
      <c r="LR166" s="285"/>
      <c r="LS166" s="285"/>
      <c r="LT166" s="285"/>
      <c r="LU166" s="285"/>
      <c r="LV166" s="285"/>
      <c r="LW166" s="285"/>
      <c r="ME166" s="180"/>
      <c r="MF166" s="181"/>
    </row>
    <row r="167" spans="4:368" ht="5.0999999999999996" customHeight="1" x14ac:dyDescent="0.3">
      <c r="D167" s="177"/>
      <c r="E167" s="178"/>
      <c r="KD167" s="281"/>
      <c r="KE167" s="282"/>
      <c r="KF167" s="282"/>
      <c r="KG167" s="282"/>
      <c r="KH167" s="282"/>
      <c r="KI167" s="282"/>
      <c r="KJ167" s="282"/>
      <c r="KK167" s="282"/>
      <c r="KL167" s="282"/>
      <c r="KM167" s="282"/>
      <c r="KN167" s="282"/>
      <c r="KO167" s="282"/>
      <c r="KP167" s="282"/>
      <c r="KQ167" s="282"/>
      <c r="KR167" s="282"/>
      <c r="KS167" s="282"/>
      <c r="KT167" s="282"/>
      <c r="KU167" s="282"/>
      <c r="KV167" s="282"/>
      <c r="KW167" s="282"/>
      <c r="KX167" s="282"/>
      <c r="KY167" s="282"/>
      <c r="KZ167" s="282"/>
      <c r="LA167" s="282"/>
      <c r="LB167" s="282"/>
      <c r="LC167" s="282"/>
      <c r="LD167" s="282"/>
      <c r="LE167" s="282"/>
      <c r="LF167" s="282"/>
      <c r="LG167" s="282"/>
      <c r="LH167" s="282"/>
      <c r="LI167" s="282"/>
      <c r="LJ167" s="282"/>
      <c r="LK167" s="282"/>
      <c r="LL167" s="282"/>
      <c r="LM167" s="282"/>
      <c r="LN167" s="282"/>
      <c r="LO167" s="282"/>
      <c r="LP167" s="282"/>
      <c r="LQ167" s="282"/>
      <c r="LR167" s="285"/>
      <c r="LS167" s="285"/>
      <c r="LT167" s="285"/>
      <c r="LU167" s="285"/>
      <c r="LV167" s="285"/>
      <c r="LW167" s="285"/>
      <c r="ME167" s="180"/>
      <c r="MF167" s="181"/>
    </row>
    <row r="168" spans="4:368" ht="5.0999999999999996" customHeight="1" x14ac:dyDescent="0.3">
      <c r="D168" s="177"/>
      <c r="E168" s="178"/>
      <c r="KD168" s="281"/>
      <c r="KE168" s="282"/>
      <c r="KF168" s="282"/>
      <c r="KG168" s="282"/>
      <c r="KH168" s="282"/>
      <c r="KI168" s="282"/>
      <c r="KJ168" s="282"/>
      <c r="KK168" s="282"/>
      <c r="KL168" s="282"/>
      <c r="KM168" s="282"/>
      <c r="KN168" s="282"/>
      <c r="KO168" s="282"/>
      <c r="KP168" s="282"/>
      <c r="KQ168" s="282"/>
      <c r="KR168" s="282"/>
      <c r="KS168" s="282"/>
      <c r="KT168" s="282"/>
      <c r="KU168" s="282"/>
      <c r="KV168" s="282"/>
      <c r="KW168" s="282"/>
      <c r="KX168" s="282"/>
      <c r="KY168" s="282"/>
      <c r="KZ168" s="282"/>
      <c r="LA168" s="282"/>
      <c r="LB168" s="282"/>
      <c r="LC168" s="282"/>
      <c r="LD168" s="282"/>
      <c r="LE168" s="282"/>
      <c r="LF168" s="282"/>
      <c r="LG168" s="282"/>
      <c r="LH168" s="282"/>
      <c r="LI168" s="282"/>
      <c r="LJ168" s="282"/>
      <c r="LK168" s="282"/>
      <c r="LL168" s="282"/>
      <c r="LM168" s="282"/>
      <c r="LN168" s="282"/>
      <c r="LO168" s="282"/>
      <c r="LP168" s="282"/>
      <c r="LQ168" s="282"/>
      <c r="LR168" s="285"/>
      <c r="LS168" s="285"/>
      <c r="LT168" s="285"/>
      <c r="LU168" s="285"/>
      <c r="LV168" s="285"/>
      <c r="LW168" s="285"/>
      <c r="ME168" s="180"/>
      <c r="MF168" s="181"/>
      <c r="MG168" s="199"/>
      <c r="MH168" s="199"/>
      <c r="MI168" s="199"/>
      <c r="MJ168" s="199"/>
      <c r="MK168" s="200"/>
      <c r="MY168" s="199"/>
      <c r="MZ168" s="199"/>
      <c r="NA168" s="199"/>
      <c r="NB168" s="199"/>
      <c r="NC168" s="199"/>
      <c r="ND168" s="200"/>
    </row>
    <row r="169" spans="4:368" ht="5.0999999999999996" customHeight="1" x14ac:dyDescent="0.3">
      <c r="D169" s="177"/>
      <c r="E169" s="178"/>
      <c r="KD169" s="281"/>
      <c r="KE169" s="282"/>
      <c r="KF169" s="282"/>
      <c r="KG169" s="282"/>
      <c r="KH169" s="282"/>
      <c r="KI169" s="282"/>
      <c r="KJ169" s="282"/>
      <c r="KK169" s="282"/>
      <c r="KL169" s="282"/>
      <c r="KM169" s="282"/>
      <c r="KN169" s="282"/>
      <c r="KO169" s="282"/>
      <c r="KP169" s="282"/>
      <c r="KQ169" s="282"/>
      <c r="KR169" s="282"/>
      <c r="KS169" s="282"/>
      <c r="KT169" s="282"/>
      <c r="KU169" s="282"/>
      <c r="KV169" s="282"/>
      <c r="KW169" s="282"/>
      <c r="KX169" s="282"/>
      <c r="KY169" s="282"/>
      <c r="KZ169" s="282"/>
      <c r="LA169" s="282"/>
      <c r="LB169" s="282"/>
      <c r="LC169" s="282"/>
      <c r="LD169" s="282"/>
      <c r="LE169" s="282"/>
      <c r="LF169" s="282"/>
      <c r="LG169" s="282"/>
      <c r="LH169" s="282"/>
      <c r="LI169" s="282"/>
      <c r="LJ169" s="282"/>
      <c r="LK169" s="282"/>
      <c r="LL169" s="282"/>
      <c r="LM169" s="282"/>
      <c r="LN169" s="282"/>
      <c r="LO169" s="282"/>
      <c r="LP169" s="282"/>
      <c r="LQ169" s="282"/>
      <c r="LR169" s="285"/>
      <c r="LS169" s="285"/>
      <c r="LT169" s="285"/>
      <c r="LU169" s="285"/>
      <c r="LV169" s="285"/>
      <c r="LW169" s="285"/>
      <c r="ME169" s="180"/>
      <c r="MF169" s="181"/>
      <c r="MG169" s="199"/>
      <c r="MH169" s="199"/>
      <c r="MI169" s="199"/>
      <c r="MJ169" s="199"/>
      <c r="MK169" s="200"/>
      <c r="MY169" s="199"/>
      <c r="MZ169" s="199"/>
      <c r="NA169" s="199"/>
      <c r="NB169" s="199"/>
      <c r="NC169" s="199"/>
      <c r="ND169" s="200"/>
    </row>
    <row r="170" spans="4:368" ht="3.75" customHeight="1" x14ac:dyDescent="0.3">
      <c r="D170" s="177"/>
      <c r="E170" s="178"/>
      <c r="KD170" s="281"/>
      <c r="KE170" s="282"/>
      <c r="KF170" s="282"/>
      <c r="KG170" s="282"/>
      <c r="KH170" s="282"/>
      <c r="KI170" s="282"/>
      <c r="KJ170" s="282"/>
      <c r="KK170" s="282"/>
      <c r="KL170" s="282"/>
      <c r="KM170" s="282"/>
      <c r="KN170" s="282"/>
      <c r="KO170" s="282"/>
      <c r="KP170" s="282"/>
      <c r="KQ170" s="282"/>
      <c r="KR170" s="282"/>
      <c r="KS170" s="282"/>
      <c r="KT170" s="282"/>
      <c r="KU170" s="282"/>
      <c r="KV170" s="282"/>
      <c r="KW170" s="282"/>
      <c r="KX170" s="282"/>
      <c r="KY170" s="282"/>
      <c r="KZ170" s="282"/>
      <c r="LA170" s="282"/>
      <c r="LB170" s="282"/>
      <c r="LC170" s="282"/>
      <c r="LD170" s="282"/>
      <c r="LE170" s="282"/>
      <c r="LF170" s="282"/>
      <c r="LG170" s="282"/>
      <c r="LH170" s="282"/>
      <c r="LI170" s="282"/>
      <c r="LJ170" s="282"/>
      <c r="LK170" s="282"/>
      <c r="LL170" s="282"/>
      <c r="LM170" s="282"/>
      <c r="LN170" s="282"/>
      <c r="LO170" s="282"/>
      <c r="LP170" s="282"/>
      <c r="LQ170" s="282"/>
      <c r="LR170" s="285"/>
      <c r="LS170" s="285"/>
      <c r="LT170" s="285"/>
      <c r="LU170" s="285"/>
      <c r="LV170" s="285"/>
      <c r="LW170" s="285"/>
      <c r="ME170" s="180"/>
      <c r="MF170" s="181"/>
      <c r="MG170" s="199"/>
      <c r="MH170" s="199"/>
      <c r="MI170" s="199"/>
      <c r="MJ170" s="199"/>
      <c r="MK170" s="200"/>
      <c r="MY170" s="199"/>
      <c r="MZ170" s="199"/>
      <c r="NA170" s="199"/>
      <c r="NB170" s="199"/>
      <c r="NC170" s="199"/>
      <c r="ND170" s="200"/>
    </row>
    <row r="171" spans="4:368" ht="5.0999999999999996" customHeight="1" x14ac:dyDescent="0.3">
      <c r="D171" s="177"/>
      <c r="E171" s="178"/>
      <c r="KD171" s="281"/>
      <c r="KE171" s="282"/>
      <c r="KF171" s="282"/>
      <c r="KG171" s="282"/>
      <c r="KH171" s="282"/>
      <c r="KI171" s="282"/>
      <c r="KJ171" s="282"/>
      <c r="KK171" s="282"/>
      <c r="KL171" s="282"/>
      <c r="KM171" s="282"/>
      <c r="KN171" s="282"/>
      <c r="KO171" s="282"/>
      <c r="KP171" s="282"/>
      <c r="KQ171" s="282"/>
      <c r="KR171" s="282"/>
      <c r="KS171" s="282"/>
      <c r="KT171" s="282"/>
      <c r="KU171" s="282"/>
      <c r="KV171" s="282"/>
      <c r="KW171" s="282"/>
      <c r="KX171" s="282"/>
      <c r="KY171" s="282"/>
      <c r="KZ171" s="282"/>
      <c r="LA171" s="282"/>
      <c r="LB171" s="282"/>
      <c r="LC171" s="282"/>
      <c r="LD171" s="282"/>
      <c r="LE171" s="282"/>
      <c r="LF171" s="282"/>
      <c r="LG171" s="282"/>
      <c r="LH171" s="282"/>
      <c r="LI171" s="282"/>
      <c r="LJ171" s="282"/>
      <c r="LK171" s="282"/>
      <c r="LL171" s="282"/>
      <c r="LM171" s="282"/>
      <c r="LN171" s="282"/>
      <c r="LO171" s="282"/>
      <c r="LP171" s="282"/>
      <c r="LQ171" s="282"/>
      <c r="LR171" s="285"/>
      <c r="LS171" s="285"/>
      <c r="LT171" s="285"/>
      <c r="LU171" s="285"/>
      <c r="LV171" s="285"/>
      <c r="LW171" s="285"/>
      <c r="ME171" s="180"/>
      <c r="MF171" s="181"/>
      <c r="MG171" s="199"/>
      <c r="MH171" s="199"/>
      <c r="MI171" s="199"/>
      <c r="MJ171" s="199"/>
      <c r="MK171" s="200"/>
      <c r="MY171" s="199"/>
      <c r="MZ171" s="199"/>
      <c r="NA171" s="199"/>
      <c r="NB171" s="199"/>
      <c r="NC171" s="199"/>
      <c r="ND171" s="200"/>
    </row>
    <row r="172" spans="4:368" ht="5.0999999999999996" customHeight="1" thickBot="1" x14ac:dyDescent="0.35">
      <c r="D172" s="177"/>
      <c r="E172" s="178"/>
      <c r="KD172" s="283"/>
      <c r="KE172" s="284"/>
      <c r="KF172" s="284"/>
      <c r="KG172" s="284"/>
      <c r="KH172" s="284"/>
      <c r="KI172" s="284"/>
      <c r="KJ172" s="284"/>
      <c r="KK172" s="284"/>
      <c r="KL172" s="284"/>
      <c r="KM172" s="284"/>
      <c r="KN172" s="284"/>
      <c r="KO172" s="284"/>
      <c r="KP172" s="284"/>
      <c r="KQ172" s="284"/>
      <c r="KR172" s="284"/>
      <c r="KS172" s="284"/>
      <c r="KT172" s="284"/>
      <c r="KU172" s="284"/>
      <c r="KV172" s="284"/>
      <c r="KW172" s="284"/>
      <c r="KX172" s="284"/>
      <c r="KY172" s="284"/>
      <c r="KZ172" s="284"/>
      <c r="LA172" s="284"/>
      <c r="LB172" s="284"/>
      <c r="LC172" s="284"/>
      <c r="LD172" s="284"/>
      <c r="LE172" s="284"/>
      <c r="LF172" s="284"/>
      <c r="LG172" s="284"/>
      <c r="LH172" s="284"/>
      <c r="LI172" s="284"/>
      <c r="LJ172" s="284"/>
      <c r="LK172" s="284"/>
      <c r="LL172" s="284"/>
      <c r="LM172" s="284"/>
      <c r="LN172" s="284"/>
      <c r="LO172" s="284"/>
      <c r="LP172" s="284"/>
      <c r="LQ172" s="284"/>
      <c r="LR172" s="285"/>
      <c r="LS172" s="285"/>
      <c r="LT172" s="285"/>
      <c r="LU172" s="285"/>
      <c r="LV172" s="285"/>
      <c r="LW172" s="285"/>
      <c r="ME172" s="180"/>
      <c r="MF172" s="181"/>
      <c r="MG172" s="199"/>
      <c r="MH172" s="199"/>
      <c r="MI172" s="199"/>
      <c r="MJ172" s="199"/>
      <c r="MK172" s="200"/>
      <c r="MY172" s="199"/>
      <c r="MZ172" s="199"/>
      <c r="NA172" s="199"/>
      <c r="NB172" s="199"/>
      <c r="NC172" s="199"/>
      <c r="ND172" s="200"/>
    </row>
    <row r="173" spans="4:368" ht="5.0999999999999996" customHeight="1" x14ac:dyDescent="0.3">
      <c r="D173" s="177"/>
      <c r="E173" s="178"/>
      <c r="KD173" s="261" t="s">
        <v>201</v>
      </c>
      <c r="KE173" s="262"/>
      <c r="KF173" s="262"/>
      <c r="KG173" s="262"/>
      <c r="KH173" s="262"/>
      <c r="KI173" s="262"/>
      <c r="KJ173" s="262"/>
      <c r="KK173" s="262"/>
      <c r="KL173" s="262"/>
      <c r="KM173" s="262"/>
      <c r="KN173" s="262"/>
      <c r="KO173" s="262"/>
      <c r="KP173" s="262"/>
      <c r="KQ173" s="262"/>
      <c r="KR173" s="262"/>
      <c r="KS173" s="262"/>
      <c r="KT173" s="262"/>
      <c r="KU173" s="262"/>
      <c r="KV173" s="262"/>
      <c r="KW173" s="262"/>
      <c r="KX173" s="262"/>
      <c r="KY173" s="262"/>
      <c r="KZ173" s="262"/>
      <c r="LA173" s="262"/>
      <c r="LB173" s="262"/>
      <c r="LC173" s="262"/>
      <c r="LD173" s="262"/>
      <c r="LE173" s="262"/>
      <c r="LF173" s="262"/>
      <c r="LG173" s="262"/>
      <c r="LH173" s="262"/>
      <c r="LI173" s="262"/>
      <c r="LJ173" s="262"/>
      <c r="LK173" s="262"/>
      <c r="LL173" s="262"/>
      <c r="LM173" s="262"/>
      <c r="LN173" s="262"/>
      <c r="LO173" s="262"/>
      <c r="LP173" s="262"/>
      <c r="LQ173" s="262"/>
      <c r="LR173" s="273">
        <v>10</v>
      </c>
      <c r="LS173" s="274"/>
      <c r="LT173" s="274"/>
      <c r="LU173" s="274"/>
      <c r="LV173" s="274"/>
      <c r="LW173" s="275"/>
      <c r="LX173" s="207"/>
      <c r="ME173" s="180"/>
      <c r="MF173" s="181"/>
    </row>
    <row r="174" spans="4:368" ht="5.0999999999999996" customHeight="1" x14ac:dyDescent="0.3">
      <c r="D174" s="177"/>
      <c r="E174" s="178"/>
      <c r="KD174" s="264"/>
      <c r="KE174" s="265"/>
      <c r="KF174" s="265"/>
      <c r="KG174" s="265"/>
      <c r="KH174" s="265"/>
      <c r="KI174" s="265"/>
      <c r="KJ174" s="265"/>
      <c r="KK174" s="265"/>
      <c r="KL174" s="265"/>
      <c r="KM174" s="265"/>
      <c r="KN174" s="265"/>
      <c r="KO174" s="265"/>
      <c r="KP174" s="265"/>
      <c r="KQ174" s="265"/>
      <c r="KR174" s="265"/>
      <c r="KS174" s="265"/>
      <c r="KT174" s="265"/>
      <c r="KU174" s="265"/>
      <c r="KV174" s="265"/>
      <c r="KW174" s="265"/>
      <c r="KX174" s="265"/>
      <c r="KY174" s="265"/>
      <c r="KZ174" s="265"/>
      <c r="LA174" s="265"/>
      <c r="LB174" s="265"/>
      <c r="LC174" s="265"/>
      <c r="LD174" s="265"/>
      <c r="LE174" s="265"/>
      <c r="LF174" s="265"/>
      <c r="LG174" s="265"/>
      <c r="LH174" s="265"/>
      <c r="LI174" s="265"/>
      <c r="LJ174" s="265"/>
      <c r="LK174" s="265"/>
      <c r="LL174" s="265"/>
      <c r="LM174" s="265"/>
      <c r="LN174" s="265"/>
      <c r="LO174" s="265"/>
      <c r="LP174" s="265"/>
      <c r="LQ174" s="265"/>
      <c r="LR174" s="273"/>
      <c r="LS174" s="274"/>
      <c r="LT174" s="274"/>
      <c r="LU174" s="274"/>
      <c r="LV174" s="274"/>
      <c r="LW174" s="275"/>
      <c r="LX174" s="208"/>
      <c r="ME174" s="180"/>
      <c r="MF174" s="181"/>
    </row>
    <row r="175" spans="4:368" ht="5.0999999999999996" customHeight="1" x14ac:dyDescent="0.3">
      <c r="D175" s="177"/>
      <c r="E175" s="178"/>
      <c r="KD175" s="264"/>
      <c r="KE175" s="265"/>
      <c r="KF175" s="265"/>
      <c r="KG175" s="265"/>
      <c r="KH175" s="265"/>
      <c r="KI175" s="265"/>
      <c r="KJ175" s="265"/>
      <c r="KK175" s="265"/>
      <c r="KL175" s="265"/>
      <c r="KM175" s="265"/>
      <c r="KN175" s="265"/>
      <c r="KO175" s="265"/>
      <c r="KP175" s="265"/>
      <c r="KQ175" s="265"/>
      <c r="KR175" s="265"/>
      <c r="KS175" s="265"/>
      <c r="KT175" s="265"/>
      <c r="KU175" s="265"/>
      <c r="KV175" s="265"/>
      <c r="KW175" s="265"/>
      <c r="KX175" s="265"/>
      <c r="KY175" s="265"/>
      <c r="KZ175" s="265"/>
      <c r="LA175" s="265"/>
      <c r="LB175" s="265"/>
      <c r="LC175" s="265"/>
      <c r="LD175" s="265"/>
      <c r="LE175" s="265"/>
      <c r="LF175" s="265"/>
      <c r="LG175" s="265"/>
      <c r="LH175" s="265"/>
      <c r="LI175" s="265"/>
      <c r="LJ175" s="265"/>
      <c r="LK175" s="265"/>
      <c r="LL175" s="265"/>
      <c r="LM175" s="265"/>
      <c r="LN175" s="265"/>
      <c r="LO175" s="265"/>
      <c r="LP175" s="265"/>
      <c r="LQ175" s="265"/>
      <c r="LR175" s="273"/>
      <c r="LS175" s="274"/>
      <c r="LT175" s="274"/>
      <c r="LU175" s="274"/>
      <c r="LV175" s="274"/>
      <c r="LW175" s="275"/>
      <c r="LX175" s="208"/>
      <c r="ME175" s="180"/>
      <c r="MF175" s="181"/>
      <c r="MG175" s="199"/>
      <c r="MH175" s="199"/>
      <c r="MI175" s="199"/>
      <c r="MJ175" s="199"/>
      <c r="MK175" s="200"/>
      <c r="MY175" s="199"/>
      <c r="MZ175" s="199"/>
      <c r="NA175" s="199"/>
      <c r="NB175" s="199"/>
      <c r="NC175" s="199"/>
      <c r="ND175" s="200"/>
    </row>
    <row r="176" spans="4:368" ht="5.0999999999999996" customHeight="1" x14ac:dyDescent="0.3">
      <c r="D176" s="177"/>
      <c r="E176" s="178"/>
      <c r="KD176" s="264"/>
      <c r="KE176" s="265"/>
      <c r="KF176" s="265"/>
      <c r="KG176" s="265"/>
      <c r="KH176" s="265"/>
      <c r="KI176" s="265"/>
      <c r="KJ176" s="265"/>
      <c r="KK176" s="265"/>
      <c r="KL176" s="265"/>
      <c r="KM176" s="265"/>
      <c r="KN176" s="265"/>
      <c r="KO176" s="265"/>
      <c r="KP176" s="265"/>
      <c r="KQ176" s="265"/>
      <c r="KR176" s="265"/>
      <c r="KS176" s="265"/>
      <c r="KT176" s="265"/>
      <c r="KU176" s="265"/>
      <c r="KV176" s="265"/>
      <c r="KW176" s="265"/>
      <c r="KX176" s="265"/>
      <c r="KY176" s="265"/>
      <c r="KZ176" s="265"/>
      <c r="LA176" s="265"/>
      <c r="LB176" s="265"/>
      <c r="LC176" s="265"/>
      <c r="LD176" s="265"/>
      <c r="LE176" s="265"/>
      <c r="LF176" s="265"/>
      <c r="LG176" s="265"/>
      <c r="LH176" s="265"/>
      <c r="LI176" s="265"/>
      <c r="LJ176" s="265"/>
      <c r="LK176" s="265"/>
      <c r="LL176" s="265"/>
      <c r="LM176" s="265"/>
      <c r="LN176" s="265"/>
      <c r="LO176" s="265"/>
      <c r="LP176" s="265"/>
      <c r="LQ176" s="265"/>
      <c r="LR176" s="273"/>
      <c r="LS176" s="274"/>
      <c r="LT176" s="274"/>
      <c r="LU176" s="274"/>
      <c r="LV176" s="274"/>
      <c r="LW176" s="275"/>
      <c r="LX176" s="190"/>
      <c r="ME176" s="180"/>
      <c r="MF176" s="181"/>
      <c r="MG176" s="199"/>
      <c r="MH176" s="199"/>
      <c r="MI176" s="199"/>
      <c r="MJ176" s="199"/>
      <c r="MK176" s="200"/>
      <c r="MY176" s="199"/>
      <c r="MZ176" s="199"/>
      <c r="NA176" s="199"/>
      <c r="NB176" s="199"/>
      <c r="NC176" s="199"/>
      <c r="ND176" s="200"/>
    </row>
    <row r="177" spans="4:368" ht="5.0999999999999996" customHeight="1" x14ac:dyDescent="0.3">
      <c r="D177" s="177"/>
      <c r="E177" s="178"/>
      <c r="KD177" s="264"/>
      <c r="KE177" s="265"/>
      <c r="KF177" s="265"/>
      <c r="KG177" s="265"/>
      <c r="KH177" s="265"/>
      <c r="KI177" s="265"/>
      <c r="KJ177" s="265"/>
      <c r="KK177" s="265"/>
      <c r="KL177" s="265"/>
      <c r="KM177" s="265"/>
      <c r="KN177" s="265"/>
      <c r="KO177" s="265"/>
      <c r="KP177" s="265"/>
      <c r="KQ177" s="265"/>
      <c r="KR177" s="265"/>
      <c r="KS177" s="265"/>
      <c r="KT177" s="265"/>
      <c r="KU177" s="265"/>
      <c r="KV177" s="265"/>
      <c r="KW177" s="265"/>
      <c r="KX177" s="265"/>
      <c r="KY177" s="265"/>
      <c r="KZ177" s="265"/>
      <c r="LA177" s="265"/>
      <c r="LB177" s="265"/>
      <c r="LC177" s="265"/>
      <c r="LD177" s="265"/>
      <c r="LE177" s="265"/>
      <c r="LF177" s="265"/>
      <c r="LG177" s="265"/>
      <c r="LH177" s="265"/>
      <c r="LI177" s="265"/>
      <c r="LJ177" s="265"/>
      <c r="LK177" s="265"/>
      <c r="LL177" s="265"/>
      <c r="LM177" s="265"/>
      <c r="LN177" s="265"/>
      <c r="LO177" s="265"/>
      <c r="LP177" s="265"/>
      <c r="LQ177" s="265"/>
      <c r="LR177" s="273"/>
      <c r="LS177" s="274"/>
      <c r="LT177" s="274"/>
      <c r="LU177" s="274"/>
      <c r="LV177" s="274"/>
      <c r="LW177" s="275"/>
      <c r="LX177" s="190"/>
      <c r="ME177" s="180"/>
      <c r="MF177" s="181"/>
      <c r="MG177" s="199"/>
      <c r="MH177" s="199"/>
      <c r="MI177" s="199"/>
      <c r="MJ177" s="199"/>
      <c r="MK177" s="200"/>
      <c r="MY177" s="199"/>
      <c r="MZ177" s="199"/>
      <c r="NA177" s="199"/>
      <c r="NB177" s="199"/>
      <c r="NC177" s="199"/>
      <c r="ND177" s="200"/>
    </row>
    <row r="178" spans="4:368" ht="5.0999999999999996" customHeight="1" x14ac:dyDescent="0.3">
      <c r="D178" s="177"/>
      <c r="E178" s="178"/>
      <c r="KD178" s="264"/>
      <c r="KE178" s="265"/>
      <c r="KF178" s="265"/>
      <c r="KG178" s="265"/>
      <c r="KH178" s="265"/>
      <c r="KI178" s="265"/>
      <c r="KJ178" s="265"/>
      <c r="KK178" s="265"/>
      <c r="KL178" s="265"/>
      <c r="KM178" s="265"/>
      <c r="KN178" s="265"/>
      <c r="KO178" s="265"/>
      <c r="KP178" s="265"/>
      <c r="KQ178" s="265"/>
      <c r="KR178" s="265"/>
      <c r="KS178" s="265"/>
      <c r="KT178" s="265"/>
      <c r="KU178" s="265"/>
      <c r="KV178" s="265"/>
      <c r="KW178" s="265"/>
      <c r="KX178" s="265"/>
      <c r="KY178" s="265"/>
      <c r="KZ178" s="265"/>
      <c r="LA178" s="265"/>
      <c r="LB178" s="265"/>
      <c r="LC178" s="265"/>
      <c r="LD178" s="265"/>
      <c r="LE178" s="265"/>
      <c r="LF178" s="265"/>
      <c r="LG178" s="265"/>
      <c r="LH178" s="265"/>
      <c r="LI178" s="265"/>
      <c r="LJ178" s="265"/>
      <c r="LK178" s="265"/>
      <c r="LL178" s="265"/>
      <c r="LM178" s="265"/>
      <c r="LN178" s="265"/>
      <c r="LO178" s="265"/>
      <c r="LP178" s="265"/>
      <c r="LQ178" s="265"/>
      <c r="LR178" s="273"/>
      <c r="LS178" s="274"/>
      <c r="LT178" s="274"/>
      <c r="LU178" s="274"/>
      <c r="LV178" s="274"/>
      <c r="LW178" s="275"/>
      <c r="LX178" s="190"/>
      <c r="ME178" s="180"/>
      <c r="MF178" s="181"/>
      <c r="MG178" s="199"/>
      <c r="MH178" s="199"/>
      <c r="MI178" s="199"/>
      <c r="MJ178" s="199"/>
      <c r="MK178" s="200"/>
      <c r="MY178" s="199"/>
      <c r="MZ178" s="199"/>
      <c r="NA178" s="199"/>
      <c r="NB178" s="199"/>
      <c r="NC178" s="199"/>
      <c r="ND178" s="200"/>
    </row>
    <row r="179" spans="4:368" ht="5.0999999999999996" customHeight="1" x14ac:dyDescent="0.3">
      <c r="D179" s="177"/>
      <c r="E179" s="178"/>
      <c r="KD179" s="264"/>
      <c r="KE179" s="265"/>
      <c r="KF179" s="265"/>
      <c r="KG179" s="265"/>
      <c r="KH179" s="265"/>
      <c r="KI179" s="265"/>
      <c r="KJ179" s="265"/>
      <c r="KK179" s="265"/>
      <c r="KL179" s="265"/>
      <c r="KM179" s="265"/>
      <c r="KN179" s="265"/>
      <c r="KO179" s="265"/>
      <c r="KP179" s="265"/>
      <c r="KQ179" s="265"/>
      <c r="KR179" s="265"/>
      <c r="KS179" s="265"/>
      <c r="KT179" s="265"/>
      <c r="KU179" s="265"/>
      <c r="KV179" s="265"/>
      <c r="KW179" s="265"/>
      <c r="KX179" s="265"/>
      <c r="KY179" s="265"/>
      <c r="KZ179" s="265"/>
      <c r="LA179" s="265"/>
      <c r="LB179" s="265"/>
      <c r="LC179" s="265"/>
      <c r="LD179" s="265"/>
      <c r="LE179" s="265"/>
      <c r="LF179" s="265"/>
      <c r="LG179" s="265"/>
      <c r="LH179" s="265"/>
      <c r="LI179" s="265"/>
      <c r="LJ179" s="265"/>
      <c r="LK179" s="265"/>
      <c r="LL179" s="265"/>
      <c r="LM179" s="265"/>
      <c r="LN179" s="265"/>
      <c r="LO179" s="265"/>
      <c r="LP179" s="265"/>
      <c r="LQ179" s="265"/>
      <c r="LR179" s="273"/>
      <c r="LS179" s="274"/>
      <c r="LT179" s="274"/>
      <c r="LU179" s="274"/>
      <c r="LV179" s="274"/>
      <c r="LW179" s="275"/>
      <c r="LX179" s="190"/>
      <c r="ME179" s="180"/>
      <c r="MF179" s="181"/>
      <c r="MG179" s="199"/>
      <c r="MH179" s="199"/>
      <c r="MI179" s="199"/>
      <c r="MJ179" s="199"/>
      <c r="MK179" s="200"/>
      <c r="MY179" s="199"/>
      <c r="MZ179" s="199"/>
      <c r="NA179" s="199"/>
      <c r="NB179" s="199"/>
      <c r="NC179" s="199"/>
      <c r="ND179" s="200"/>
    </row>
    <row r="180" spans="4:368" ht="5.0999999999999996" customHeight="1" x14ac:dyDescent="0.3">
      <c r="D180" s="177"/>
      <c r="E180" s="178"/>
      <c r="KD180" s="264"/>
      <c r="KE180" s="265"/>
      <c r="KF180" s="265"/>
      <c r="KG180" s="265"/>
      <c r="KH180" s="265"/>
      <c r="KI180" s="265"/>
      <c r="KJ180" s="265"/>
      <c r="KK180" s="265"/>
      <c r="KL180" s="265"/>
      <c r="KM180" s="265"/>
      <c r="KN180" s="265"/>
      <c r="KO180" s="265"/>
      <c r="KP180" s="265"/>
      <c r="KQ180" s="265"/>
      <c r="KR180" s="265"/>
      <c r="KS180" s="265"/>
      <c r="KT180" s="265"/>
      <c r="KU180" s="265"/>
      <c r="KV180" s="265"/>
      <c r="KW180" s="265"/>
      <c r="KX180" s="265"/>
      <c r="KY180" s="265"/>
      <c r="KZ180" s="265"/>
      <c r="LA180" s="265"/>
      <c r="LB180" s="265"/>
      <c r="LC180" s="265"/>
      <c r="LD180" s="265"/>
      <c r="LE180" s="265"/>
      <c r="LF180" s="265"/>
      <c r="LG180" s="265"/>
      <c r="LH180" s="265"/>
      <c r="LI180" s="265"/>
      <c r="LJ180" s="265"/>
      <c r="LK180" s="265"/>
      <c r="LL180" s="265"/>
      <c r="LM180" s="265"/>
      <c r="LN180" s="265"/>
      <c r="LO180" s="265"/>
      <c r="LP180" s="265"/>
      <c r="LQ180" s="265"/>
      <c r="LR180" s="273"/>
      <c r="LS180" s="274"/>
      <c r="LT180" s="274"/>
      <c r="LU180" s="274"/>
      <c r="LV180" s="274"/>
      <c r="LW180" s="275"/>
      <c r="LX180" s="190"/>
      <c r="ME180" s="180"/>
      <c r="MF180" s="181"/>
      <c r="MG180" s="199"/>
      <c r="MH180" s="199"/>
      <c r="MI180" s="199"/>
      <c r="MJ180" s="199"/>
      <c r="MK180" s="200"/>
      <c r="MY180" s="199"/>
      <c r="MZ180" s="199"/>
      <c r="NA180" s="199"/>
      <c r="NB180" s="199"/>
      <c r="NC180" s="199"/>
      <c r="ND180" s="200"/>
    </row>
    <row r="181" spans="4:368" ht="5.0999999999999996" customHeight="1" x14ac:dyDescent="0.3">
      <c r="D181" s="177"/>
      <c r="E181" s="178"/>
      <c r="KD181" s="264"/>
      <c r="KE181" s="265"/>
      <c r="KF181" s="265"/>
      <c r="KG181" s="265"/>
      <c r="KH181" s="265"/>
      <c r="KI181" s="265"/>
      <c r="KJ181" s="265"/>
      <c r="KK181" s="265"/>
      <c r="KL181" s="265"/>
      <c r="KM181" s="265"/>
      <c r="KN181" s="265"/>
      <c r="KO181" s="265"/>
      <c r="KP181" s="265"/>
      <c r="KQ181" s="265"/>
      <c r="KR181" s="265"/>
      <c r="KS181" s="265"/>
      <c r="KT181" s="265"/>
      <c r="KU181" s="265"/>
      <c r="KV181" s="265"/>
      <c r="KW181" s="265"/>
      <c r="KX181" s="265"/>
      <c r="KY181" s="265"/>
      <c r="KZ181" s="265"/>
      <c r="LA181" s="265"/>
      <c r="LB181" s="265"/>
      <c r="LC181" s="265"/>
      <c r="LD181" s="265"/>
      <c r="LE181" s="265"/>
      <c r="LF181" s="265"/>
      <c r="LG181" s="265"/>
      <c r="LH181" s="265"/>
      <c r="LI181" s="265"/>
      <c r="LJ181" s="265"/>
      <c r="LK181" s="265"/>
      <c r="LL181" s="265"/>
      <c r="LM181" s="265"/>
      <c r="LN181" s="265"/>
      <c r="LO181" s="265"/>
      <c r="LP181" s="265"/>
      <c r="LQ181" s="265"/>
      <c r="LR181" s="273"/>
      <c r="LS181" s="274"/>
      <c r="LT181" s="274"/>
      <c r="LU181" s="274"/>
      <c r="LV181" s="274"/>
      <c r="LW181" s="275"/>
      <c r="LX181" s="190"/>
      <c r="ME181" s="180"/>
      <c r="MF181" s="181"/>
      <c r="MG181" s="199"/>
      <c r="MH181" s="199"/>
      <c r="MI181" s="199"/>
      <c r="MJ181" s="199"/>
      <c r="MK181" s="200"/>
      <c r="MY181" s="199"/>
      <c r="MZ181" s="199"/>
      <c r="NA181" s="199"/>
      <c r="NB181" s="199"/>
      <c r="NC181" s="199"/>
      <c r="ND181" s="200"/>
    </row>
    <row r="182" spans="4:368" ht="5.0999999999999996" customHeight="1" x14ac:dyDescent="0.3">
      <c r="D182" s="177"/>
      <c r="E182" s="178"/>
      <c r="KD182" s="267"/>
      <c r="KE182" s="268"/>
      <c r="KF182" s="268"/>
      <c r="KG182" s="268"/>
      <c r="KH182" s="268"/>
      <c r="KI182" s="268"/>
      <c r="KJ182" s="268"/>
      <c r="KK182" s="268"/>
      <c r="KL182" s="268"/>
      <c r="KM182" s="268"/>
      <c r="KN182" s="268"/>
      <c r="KO182" s="268"/>
      <c r="KP182" s="268"/>
      <c r="KQ182" s="268"/>
      <c r="KR182" s="268"/>
      <c r="KS182" s="268"/>
      <c r="KT182" s="268"/>
      <c r="KU182" s="268"/>
      <c r="KV182" s="268"/>
      <c r="KW182" s="268"/>
      <c r="KX182" s="268"/>
      <c r="KY182" s="268"/>
      <c r="KZ182" s="268"/>
      <c r="LA182" s="268"/>
      <c r="LB182" s="268"/>
      <c r="LC182" s="268"/>
      <c r="LD182" s="268"/>
      <c r="LE182" s="268"/>
      <c r="LF182" s="268"/>
      <c r="LG182" s="268"/>
      <c r="LH182" s="268"/>
      <c r="LI182" s="268"/>
      <c r="LJ182" s="268"/>
      <c r="LK182" s="268"/>
      <c r="LL182" s="268"/>
      <c r="LM182" s="268"/>
      <c r="LN182" s="268"/>
      <c r="LO182" s="268"/>
      <c r="LP182" s="268"/>
      <c r="LQ182" s="268"/>
      <c r="LR182" s="276"/>
      <c r="LS182" s="277"/>
      <c r="LT182" s="277"/>
      <c r="LU182" s="277"/>
      <c r="LV182" s="277"/>
      <c r="LW182" s="278"/>
      <c r="LX182" s="190"/>
      <c r="ME182" s="180"/>
      <c r="MF182" s="181"/>
      <c r="MG182" s="199"/>
      <c r="MH182" s="199"/>
      <c r="MI182" s="199"/>
      <c r="MJ182" s="199"/>
      <c r="MK182" s="200"/>
      <c r="MY182" s="199"/>
      <c r="MZ182" s="199"/>
      <c r="NA182" s="199"/>
      <c r="NB182" s="199"/>
      <c r="NC182" s="199"/>
      <c r="ND182" s="200"/>
    </row>
    <row r="183" spans="4:368" ht="5.0999999999999996" customHeight="1" x14ac:dyDescent="0.3">
      <c r="D183" s="177"/>
      <c r="E183" s="178"/>
      <c r="LX183" s="190"/>
      <c r="ME183" s="180"/>
      <c r="MF183" s="181"/>
      <c r="MG183" s="199"/>
      <c r="MH183" s="199"/>
      <c r="MI183" s="199"/>
      <c r="MJ183" s="199"/>
      <c r="MK183" s="200"/>
      <c r="MY183" s="199"/>
      <c r="MZ183" s="199"/>
      <c r="NA183" s="199"/>
      <c r="NB183" s="199"/>
      <c r="NC183" s="199"/>
      <c r="ND183" s="200"/>
    </row>
    <row r="184" spans="4:368" ht="5.0999999999999996" customHeight="1" x14ac:dyDescent="0.3">
      <c r="D184" s="177"/>
      <c r="E184" s="178"/>
      <c r="LX184" s="190"/>
      <c r="ME184" s="180"/>
      <c r="MF184" s="181"/>
      <c r="MG184" s="199"/>
      <c r="MH184" s="199"/>
      <c r="MI184" s="199"/>
      <c r="MJ184" s="199"/>
      <c r="MK184" s="200"/>
      <c r="MY184" s="199"/>
      <c r="MZ184" s="199"/>
      <c r="NA184" s="199"/>
      <c r="NB184" s="199"/>
      <c r="NC184" s="199"/>
      <c r="ND184" s="200"/>
    </row>
    <row r="185" spans="4:368" ht="5.0999999999999996" customHeight="1" x14ac:dyDescent="0.3">
      <c r="D185" s="177"/>
      <c r="E185" s="178"/>
      <c r="KD185" s="279" t="s">
        <v>202</v>
      </c>
      <c r="KE185" s="280"/>
      <c r="KF185" s="280"/>
      <c r="KG185" s="280"/>
      <c r="KH185" s="280"/>
      <c r="KI185" s="280"/>
      <c r="KJ185" s="280"/>
      <c r="KK185" s="280"/>
      <c r="KL185" s="280"/>
      <c r="KM185" s="280"/>
      <c r="KN185" s="280"/>
      <c r="KO185" s="280"/>
      <c r="KP185" s="280"/>
      <c r="KQ185" s="280"/>
      <c r="KR185" s="280"/>
      <c r="KS185" s="280"/>
      <c r="KT185" s="280"/>
      <c r="KU185" s="280"/>
      <c r="KV185" s="280"/>
      <c r="KW185" s="280"/>
      <c r="KX185" s="280"/>
      <c r="KY185" s="280"/>
      <c r="KZ185" s="280"/>
      <c r="LA185" s="280"/>
      <c r="LB185" s="280"/>
      <c r="LC185" s="280"/>
      <c r="LD185" s="280"/>
      <c r="LE185" s="280"/>
      <c r="LF185" s="280"/>
      <c r="LG185" s="280"/>
      <c r="LH185" s="280"/>
      <c r="LI185" s="280"/>
      <c r="LJ185" s="280"/>
      <c r="LK185" s="280"/>
      <c r="LL185" s="280"/>
      <c r="LM185" s="280"/>
      <c r="LN185" s="280"/>
      <c r="LO185" s="280"/>
      <c r="LP185" s="280"/>
      <c r="LQ185" s="286"/>
      <c r="LR185" s="285">
        <f>LR195</f>
        <v>32</v>
      </c>
      <c r="LS185" s="285"/>
      <c r="LT185" s="285"/>
      <c r="LU185" s="285"/>
      <c r="LV185" s="285"/>
      <c r="LW185" s="285"/>
      <c r="LX185" s="190"/>
      <c r="ME185" s="180"/>
      <c r="MF185" s="181"/>
      <c r="MG185" s="199"/>
      <c r="MH185" s="199"/>
      <c r="MI185" s="199"/>
      <c r="MJ185" s="199"/>
      <c r="MK185" s="200"/>
      <c r="MY185" s="199"/>
      <c r="MZ185" s="199"/>
      <c r="NA185" s="199"/>
      <c r="NB185" s="199"/>
      <c r="NC185" s="199"/>
      <c r="ND185" s="200"/>
    </row>
    <row r="186" spans="4:368" ht="5.0999999999999996" customHeight="1" x14ac:dyDescent="0.3">
      <c r="D186" s="177"/>
      <c r="E186" s="178"/>
      <c r="KD186" s="281"/>
      <c r="KE186" s="282"/>
      <c r="KF186" s="282"/>
      <c r="KG186" s="282"/>
      <c r="KH186" s="282"/>
      <c r="KI186" s="282"/>
      <c r="KJ186" s="282"/>
      <c r="KK186" s="282"/>
      <c r="KL186" s="282"/>
      <c r="KM186" s="282"/>
      <c r="KN186" s="282"/>
      <c r="KO186" s="282"/>
      <c r="KP186" s="282"/>
      <c r="KQ186" s="282"/>
      <c r="KR186" s="282"/>
      <c r="KS186" s="282"/>
      <c r="KT186" s="282"/>
      <c r="KU186" s="282"/>
      <c r="KV186" s="282"/>
      <c r="KW186" s="282"/>
      <c r="KX186" s="282"/>
      <c r="KY186" s="282"/>
      <c r="KZ186" s="282"/>
      <c r="LA186" s="282"/>
      <c r="LB186" s="282"/>
      <c r="LC186" s="282"/>
      <c r="LD186" s="282"/>
      <c r="LE186" s="282"/>
      <c r="LF186" s="282"/>
      <c r="LG186" s="282"/>
      <c r="LH186" s="282"/>
      <c r="LI186" s="282"/>
      <c r="LJ186" s="282"/>
      <c r="LK186" s="282"/>
      <c r="LL186" s="282"/>
      <c r="LM186" s="282"/>
      <c r="LN186" s="282"/>
      <c r="LO186" s="282"/>
      <c r="LP186" s="282"/>
      <c r="LQ186" s="287"/>
      <c r="LR186" s="285"/>
      <c r="LS186" s="285"/>
      <c r="LT186" s="285"/>
      <c r="LU186" s="285"/>
      <c r="LV186" s="285"/>
      <c r="LW186" s="285"/>
      <c r="LX186" s="190"/>
      <c r="ME186" s="180"/>
      <c r="MF186" s="181"/>
      <c r="MG186" s="199"/>
      <c r="MH186" s="199"/>
      <c r="MI186" s="199"/>
      <c r="MJ186" s="199"/>
      <c r="MK186" s="200"/>
      <c r="MY186" s="199"/>
      <c r="MZ186" s="199"/>
      <c r="NA186" s="199"/>
      <c r="NB186" s="199"/>
      <c r="NC186" s="199"/>
      <c r="ND186" s="200"/>
    </row>
    <row r="187" spans="4:368" ht="5.0999999999999996" customHeight="1" x14ac:dyDescent="0.3">
      <c r="D187" s="177"/>
      <c r="E187" s="178"/>
      <c r="KD187" s="281"/>
      <c r="KE187" s="282"/>
      <c r="KF187" s="282"/>
      <c r="KG187" s="282"/>
      <c r="KH187" s="282"/>
      <c r="KI187" s="282"/>
      <c r="KJ187" s="282"/>
      <c r="KK187" s="282"/>
      <c r="KL187" s="282"/>
      <c r="KM187" s="282"/>
      <c r="KN187" s="282"/>
      <c r="KO187" s="282"/>
      <c r="KP187" s="282"/>
      <c r="KQ187" s="282"/>
      <c r="KR187" s="282"/>
      <c r="KS187" s="282"/>
      <c r="KT187" s="282"/>
      <c r="KU187" s="282"/>
      <c r="KV187" s="282"/>
      <c r="KW187" s="282"/>
      <c r="KX187" s="282"/>
      <c r="KY187" s="282"/>
      <c r="KZ187" s="282"/>
      <c r="LA187" s="282"/>
      <c r="LB187" s="282"/>
      <c r="LC187" s="282"/>
      <c r="LD187" s="282"/>
      <c r="LE187" s="282"/>
      <c r="LF187" s="282"/>
      <c r="LG187" s="282"/>
      <c r="LH187" s="282"/>
      <c r="LI187" s="282"/>
      <c r="LJ187" s="282"/>
      <c r="LK187" s="282"/>
      <c r="LL187" s="282"/>
      <c r="LM187" s="282"/>
      <c r="LN187" s="282"/>
      <c r="LO187" s="282"/>
      <c r="LP187" s="282"/>
      <c r="LQ187" s="287"/>
      <c r="LR187" s="285"/>
      <c r="LS187" s="285"/>
      <c r="LT187" s="285"/>
      <c r="LU187" s="285"/>
      <c r="LV187" s="285"/>
      <c r="LW187" s="285"/>
      <c r="LX187" s="190"/>
      <c r="ME187" s="180"/>
      <c r="MF187" s="181"/>
      <c r="MG187" s="199"/>
      <c r="MH187" s="199"/>
      <c r="MI187" s="199"/>
      <c r="MJ187" s="199"/>
      <c r="MK187" s="200"/>
      <c r="MY187" s="199"/>
      <c r="MZ187" s="199"/>
      <c r="NA187" s="199"/>
      <c r="NB187" s="199"/>
      <c r="NC187" s="199"/>
      <c r="ND187" s="200"/>
    </row>
    <row r="188" spans="4:368" ht="5.0999999999999996" customHeight="1" x14ac:dyDescent="0.3">
      <c r="D188" s="177"/>
      <c r="E188" s="178"/>
      <c r="KD188" s="281"/>
      <c r="KE188" s="282"/>
      <c r="KF188" s="282"/>
      <c r="KG188" s="282"/>
      <c r="KH188" s="282"/>
      <c r="KI188" s="282"/>
      <c r="KJ188" s="282"/>
      <c r="KK188" s="282"/>
      <c r="KL188" s="282"/>
      <c r="KM188" s="282"/>
      <c r="KN188" s="282"/>
      <c r="KO188" s="282"/>
      <c r="KP188" s="282"/>
      <c r="KQ188" s="282"/>
      <c r="KR188" s="282"/>
      <c r="KS188" s="282"/>
      <c r="KT188" s="282"/>
      <c r="KU188" s="282"/>
      <c r="KV188" s="282"/>
      <c r="KW188" s="282"/>
      <c r="KX188" s="282"/>
      <c r="KY188" s="282"/>
      <c r="KZ188" s="282"/>
      <c r="LA188" s="282"/>
      <c r="LB188" s="282"/>
      <c r="LC188" s="282"/>
      <c r="LD188" s="282"/>
      <c r="LE188" s="282"/>
      <c r="LF188" s="282"/>
      <c r="LG188" s="282"/>
      <c r="LH188" s="282"/>
      <c r="LI188" s="282"/>
      <c r="LJ188" s="282"/>
      <c r="LK188" s="282"/>
      <c r="LL188" s="282"/>
      <c r="LM188" s="282"/>
      <c r="LN188" s="282"/>
      <c r="LO188" s="282"/>
      <c r="LP188" s="282"/>
      <c r="LQ188" s="287"/>
      <c r="LR188" s="285"/>
      <c r="LS188" s="285"/>
      <c r="LT188" s="285"/>
      <c r="LU188" s="285"/>
      <c r="LV188" s="285"/>
      <c r="LW188" s="285"/>
      <c r="LX188" s="190"/>
      <c r="ME188" s="180"/>
      <c r="MF188" s="181"/>
      <c r="MG188" s="199"/>
      <c r="MH188" s="199"/>
      <c r="MI188" s="199"/>
      <c r="MJ188" s="199"/>
      <c r="MK188" s="200"/>
      <c r="MY188" s="199"/>
      <c r="MZ188" s="199"/>
      <c r="NA188" s="199"/>
      <c r="NB188" s="199"/>
      <c r="NC188" s="199"/>
      <c r="ND188" s="200"/>
    </row>
    <row r="189" spans="4:368" ht="5.0999999999999996" customHeight="1" x14ac:dyDescent="0.3">
      <c r="D189" s="177"/>
      <c r="E189" s="178"/>
      <c r="KD189" s="281"/>
      <c r="KE189" s="282"/>
      <c r="KF189" s="282"/>
      <c r="KG189" s="282"/>
      <c r="KH189" s="282"/>
      <c r="KI189" s="282"/>
      <c r="KJ189" s="282"/>
      <c r="KK189" s="282"/>
      <c r="KL189" s="282"/>
      <c r="KM189" s="282"/>
      <c r="KN189" s="282"/>
      <c r="KO189" s="282"/>
      <c r="KP189" s="282"/>
      <c r="KQ189" s="282"/>
      <c r="KR189" s="282"/>
      <c r="KS189" s="282"/>
      <c r="KT189" s="282"/>
      <c r="KU189" s="282"/>
      <c r="KV189" s="282"/>
      <c r="KW189" s="282"/>
      <c r="KX189" s="282"/>
      <c r="KY189" s="282"/>
      <c r="KZ189" s="282"/>
      <c r="LA189" s="282"/>
      <c r="LB189" s="282"/>
      <c r="LC189" s="282"/>
      <c r="LD189" s="282"/>
      <c r="LE189" s="282"/>
      <c r="LF189" s="282"/>
      <c r="LG189" s="282"/>
      <c r="LH189" s="282"/>
      <c r="LI189" s="282"/>
      <c r="LJ189" s="282"/>
      <c r="LK189" s="282"/>
      <c r="LL189" s="282"/>
      <c r="LM189" s="282"/>
      <c r="LN189" s="282"/>
      <c r="LO189" s="282"/>
      <c r="LP189" s="282"/>
      <c r="LQ189" s="287"/>
      <c r="LR189" s="285"/>
      <c r="LS189" s="285"/>
      <c r="LT189" s="285"/>
      <c r="LU189" s="285"/>
      <c r="LV189" s="285"/>
      <c r="LW189" s="285"/>
      <c r="LX189" s="190"/>
      <c r="ME189" s="180"/>
      <c r="MF189" s="181"/>
      <c r="MG189" s="199"/>
      <c r="MH189" s="199"/>
      <c r="MI189" s="199"/>
      <c r="MJ189" s="199"/>
      <c r="MK189" s="200"/>
      <c r="MY189" s="199"/>
      <c r="MZ189" s="199"/>
      <c r="NA189" s="199"/>
      <c r="NB189" s="199"/>
      <c r="NC189" s="199"/>
      <c r="ND189" s="200"/>
    </row>
    <row r="190" spans="4:368" ht="5.0999999999999996" customHeight="1" x14ac:dyDescent="0.3">
      <c r="D190" s="177"/>
      <c r="E190" s="178"/>
      <c r="KD190" s="281"/>
      <c r="KE190" s="282"/>
      <c r="KF190" s="282"/>
      <c r="KG190" s="282"/>
      <c r="KH190" s="282"/>
      <c r="KI190" s="282"/>
      <c r="KJ190" s="282"/>
      <c r="KK190" s="282"/>
      <c r="KL190" s="282"/>
      <c r="KM190" s="282"/>
      <c r="KN190" s="282"/>
      <c r="KO190" s="282"/>
      <c r="KP190" s="282"/>
      <c r="KQ190" s="282"/>
      <c r="KR190" s="282"/>
      <c r="KS190" s="282"/>
      <c r="KT190" s="282"/>
      <c r="KU190" s="282"/>
      <c r="KV190" s="282"/>
      <c r="KW190" s="282"/>
      <c r="KX190" s="282"/>
      <c r="KY190" s="282"/>
      <c r="KZ190" s="282"/>
      <c r="LA190" s="282"/>
      <c r="LB190" s="282"/>
      <c r="LC190" s="282"/>
      <c r="LD190" s="282"/>
      <c r="LE190" s="282"/>
      <c r="LF190" s="282"/>
      <c r="LG190" s="282"/>
      <c r="LH190" s="282"/>
      <c r="LI190" s="282"/>
      <c r="LJ190" s="282"/>
      <c r="LK190" s="282"/>
      <c r="LL190" s="282"/>
      <c r="LM190" s="282"/>
      <c r="LN190" s="282"/>
      <c r="LO190" s="282"/>
      <c r="LP190" s="282"/>
      <c r="LQ190" s="287"/>
      <c r="LR190" s="285"/>
      <c r="LS190" s="285"/>
      <c r="LT190" s="285"/>
      <c r="LU190" s="285"/>
      <c r="LV190" s="285"/>
      <c r="LW190" s="285"/>
      <c r="LX190" s="190"/>
      <c r="ME190" s="180"/>
      <c r="MF190" s="181"/>
      <c r="MG190" s="199"/>
      <c r="MH190" s="199"/>
      <c r="MI190" s="199"/>
      <c r="MJ190" s="199"/>
      <c r="MK190" s="200"/>
      <c r="MY190" s="199"/>
      <c r="MZ190" s="199"/>
      <c r="NA190" s="199"/>
      <c r="NB190" s="199"/>
      <c r="NC190" s="199"/>
      <c r="ND190" s="200"/>
    </row>
    <row r="191" spans="4:368" ht="5.0999999999999996" customHeight="1" x14ac:dyDescent="0.3">
      <c r="D191" s="177"/>
      <c r="E191" s="178"/>
      <c r="KD191" s="281"/>
      <c r="KE191" s="282"/>
      <c r="KF191" s="282"/>
      <c r="KG191" s="282"/>
      <c r="KH191" s="282"/>
      <c r="KI191" s="282"/>
      <c r="KJ191" s="282"/>
      <c r="KK191" s="282"/>
      <c r="KL191" s="282"/>
      <c r="KM191" s="282"/>
      <c r="KN191" s="282"/>
      <c r="KO191" s="282"/>
      <c r="KP191" s="282"/>
      <c r="KQ191" s="282"/>
      <c r="KR191" s="282"/>
      <c r="KS191" s="282"/>
      <c r="KT191" s="282"/>
      <c r="KU191" s="282"/>
      <c r="KV191" s="282"/>
      <c r="KW191" s="282"/>
      <c r="KX191" s="282"/>
      <c r="KY191" s="282"/>
      <c r="KZ191" s="282"/>
      <c r="LA191" s="282"/>
      <c r="LB191" s="282"/>
      <c r="LC191" s="282"/>
      <c r="LD191" s="282"/>
      <c r="LE191" s="282"/>
      <c r="LF191" s="282"/>
      <c r="LG191" s="282"/>
      <c r="LH191" s="282"/>
      <c r="LI191" s="282"/>
      <c r="LJ191" s="282"/>
      <c r="LK191" s="282"/>
      <c r="LL191" s="282"/>
      <c r="LM191" s="282"/>
      <c r="LN191" s="282"/>
      <c r="LO191" s="282"/>
      <c r="LP191" s="282"/>
      <c r="LQ191" s="287"/>
      <c r="LR191" s="285"/>
      <c r="LS191" s="285"/>
      <c r="LT191" s="285"/>
      <c r="LU191" s="285"/>
      <c r="LV191" s="285"/>
      <c r="LW191" s="285"/>
      <c r="LX191" s="190"/>
      <c r="ME191" s="180"/>
      <c r="MF191" s="181"/>
    </row>
    <row r="192" spans="4:368" ht="5.0999999999999996" customHeight="1" x14ac:dyDescent="0.3">
      <c r="D192" s="177"/>
      <c r="E192" s="178"/>
      <c r="KD192" s="281"/>
      <c r="KE192" s="282"/>
      <c r="KF192" s="282"/>
      <c r="KG192" s="282"/>
      <c r="KH192" s="282"/>
      <c r="KI192" s="282"/>
      <c r="KJ192" s="282"/>
      <c r="KK192" s="282"/>
      <c r="KL192" s="282"/>
      <c r="KM192" s="282"/>
      <c r="KN192" s="282"/>
      <c r="KO192" s="282"/>
      <c r="KP192" s="282"/>
      <c r="KQ192" s="282"/>
      <c r="KR192" s="282"/>
      <c r="KS192" s="282"/>
      <c r="KT192" s="282"/>
      <c r="KU192" s="282"/>
      <c r="KV192" s="282"/>
      <c r="KW192" s="282"/>
      <c r="KX192" s="282"/>
      <c r="KY192" s="282"/>
      <c r="KZ192" s="282"/>
      <c r="LA192" s="282"/>
      <c r="LB192" s="282"/>
      <c r="LC192" s="282"/>
      <c r="LD192" s="282"/>
      <c r="LE192" s="282"/>
      <c r="LF192" s="282"/>
      <c r="LG192" s="282"/>
      <c r="LH192" s="282"/>
      <c r="LI192" s="282"/>
      <c r="LJ192" s="282"/>
      <c r="LK192" s="282"/>
      <c r="LL192" s="282"/>
      <c r="LM192" s="282"/>
      <c r="LN192" s="282"/>
      <c r="LO192" s="282"/>
      <c r="LP192" s="282"/>
      <c r="LQ192" s="287"/>
      <c r="LR192" s="285"/>
      <c r="LS192" s="285"/>
      <c r="LT192" s="285"/>
      <c r="LU192" s="285"/>
      <c r="LV192" s="285"/>
      <c r="LW192" s="285"/>
      <c r="LX192" s="190"/>
      <c r="ME192" s="180"/>
      <c r="MF192" s="181"/>
    </row>
    <row r="193" spans="4:344" ht="5.0999999999999996" customHeight="1" x14ac:dyDescent="0.3">
      <c r="D193" s="177"/>
      <c r="E193" s="178"/>
      <c r="KD193" s="281"/>
      <c r="KE193" s="282"/>
      <c r="KF193" s="282"/>
      <c r="KG193" s="282"/>
      <c r="KH193" s="282"/>
      <c r="KI193" s="282"/>
      <c r="KJ193" s="282"/>
      <c r="KK193" s="282"/>
      <c r="KL193" s="282"/>
      <c r="KM193" s="282"/>
      <c r="KN193" s="282"/>
      <c r="KO193" s="282"/>
      <c r="KP193" s="282"/>
      <c r="KQ193" s="282"/>
      <c r="KR193" s="282"/>
      <c r="KS193" s="282"/>
      <c r="KT193" s="282"/>
      <c r="KU193" s="282"/>
      <c r="KV193" s="282"/>
      <c r="KW193" s="282"/>
      <c r="KX193" s="282"/>
      <c r="KY193" s="282"/>
      <c r="KZ193" s="282"/>
      <c r="LA193" s="282"/>
      <c r="LB193" s="282"/>
      <c r="LC193" s="282"/>
      <c r="LD193" s="282"/>
      <c r="LE193" s="282"/>
      <c r="LF193" s="282"/>
      <c r="LG193" s="282"/>
      <c r="LH193" s="282"/>
      <c r="LI193" s="282"/>
      <c r="LJ193" s="282"/>
      <c r="LK193" s="282"/>
      <c r="LL193" s="282"/>
      <c r="LM193" s="282"/>
      <c r="LN193" s="282"/>
      <c r="LO193" s="282"/>
      <c r="LP193" s="282"/>
      <c r="LQ193" s="287"/>
      <c r="LR193" s="285"/>
      <c r="LS193" s="285"/>
      <c r="LT193" s="285"/>
      <c r="LU193" s="285"/>
      <c r="LV193" s="285"/>
      <c r="LW193" s="285"/>
      <c r="LX193" s="190"/>
      <c r="ME193" s="180"/>
      <c r="MF193" s="181"/>
    </row>
    <row r="194" spans="4:344" ht="5.0999999999999996" customHeight="1" thickBot="1" x14ac:dyDescent="0.35">
      <c r="D194" s="177"/>
      <c r="E194" s="178"/>
      <c r="KD194" s="283"/>
      <c r="KE194" s="284"/>
      <c r="KF194" s="284"/>
      <c r="KG194" s="284"/>
      <c r="KH194" s="284"/>
      <c r="KI194" s="284"/>
      <c r="KJ194" s="284"/>
      <c r="KK194" s="284"/>
      <c r="KL194" s="284"/>
      <c r="KM194" s="284"/>
      <c r="KN194" s="284"/>
      <c r="KO194" s="284"/>
      <c r="KP194" s="284"/>
      <c r="KQ194" s="284"/>
      <c r="KR194" s="284"/>
      <c r="KS194" s="284"/>
      <c r="KT194" s="284"/>
      <c r="KU194" s="284"/>
      <c r="KV194" s="284"/>
      <c r="KW194" s="284"/>
      <c r="KX194" s="284"/>
      <c r="KY194" s="284"/>
      <c r="KZ194" s="284"/>
      <c r="LA194" s="284"/>
      <c r="LB194" s="284"/>
      <c r="LC194" s="284"/>
      <c r="LD194" s="284"/>
      <c r="LE194" s="284"/>
      <c r="LF194" s="284"/>
      <c r="LG194" s="284"/>
      <c r="LH194" s="284"/>
      <c r="LI194" s="284"/>
      <c r="LJ194" s="284"/>
      <c r="LK194" s="284"/>
      <c r="LL194" s="284"/>
      <c r="LM194" s="284"/>
      <c r="LN194" s="284"/>
      <c r="LO194" s="284"/>
      <c r="LP194" s="284"/>
      <c r="LQ194" s="288"/>
      <c r="LR194" s="285"/>
      <c r="LS194" s="285"/>
      <c r="LT194" s="285"/>
      <c r="LU194" s="285"/>
      <c r="LV194" s="285"/>
      <c r="LW194" s="285"/>
      <c r="LX194" s="209"/>
      <c r="ME194" s="180"/>
      <c r="MF194" s="181"/>
    </row>
    <row r="195" spans="4:344" ht="5.0999999999999996" customHeight="1" x14ac:dyDescent="0.3">
      <c r="D195" s="177"/>
      <c r="E195" s="178"/>
      <c r="KD195" s="261" t="s">
        <v>203</v>
      </c>
      <c r="KE195" s="262"/>
      <c r="KF195" s="262"/>
      <c r="KG195" s="262"/>
      <c r="KH195" s="262"/>
      <c r="KI195" s="262"/>
      <c r="KJ195" s="262"/>
      <c r="KK195" s="262"/>
      <c r="KL195" s="262"/>
      <c r="KM195" s="262"/>
      <c r="KN195" s="262"/>
      <c r="KO195" s="262"/>
      <c r="KP195" s="262"/>
      <c r="KQ195" s="262"/>
      <c r="KR195" s="262"/>
      <c r="KS195" s="262"/>
      <c r="KT195" s="262"/>
      <c r="KU195" s="262"/>
      <c r="KV195" s="262"/>
      <c r="KW195" s="262"/>
      <c r="KX195" s="262"/>
      <c r="KY195" s="262"/>
      <c r="KZ195" s="262"/>
      <c r="LA195" s="262"/>
      <c r="LB195" s="262"/>
      <c r="LC195" s="262"/>
      <c r="LD195" s="262"/>
      <c r="LE195" s="262"/>
      <c r="LF195" s="262"/>
      <c r="LG195" s="262"/>
      <c r="LH195" s="262"/>
      <c r="LI195" s="262"/>
      <c r="LJ195" s="262"/>
      <c r="LK195" s="262"/>
      <c r="LL195" s="262"/>
      <c r="LM195" s="262"/>
      <c r="LN195" s="262"/>
      <c r="LO195" s="262"/>
      <c r="LP195" s="262"/>
      <c r="LQ195" s="263"/>
      <c r="LR195" s="270">
        <v>32</v>
      </c>
      <c r="LS195" s="271"/>
      <c r="LT195" s="271"/>
      <c r="LU195" s="271"/>
      <c r="LV195" s="271"/>
      <c r="LW195" s="272"/>
      <c r="ME195" s="180"/>
      <c r="MF195" s="181"/>
    </row>
    <row r="196" spans="4:344" ht="5.0999999999999996" customHeight="1" x14ac:dyDescent="0.3">
      <c r="D196" s="177"/>
      <c r="E196" s="178"/>
      <c r="KD196" s="264"/>
      <c r="KE196" s="265"/>
      <c r="KF196" s="265"/>
      <c r="KG196" s="265"/>
      <c r="KH196" s="265"/>
      <c r="KI196" s="265"/>
      <c r="KJ196" s="265"/>
      <c r="KK196" s="265"/>
      <c r="KL196" s="265"/>
      <c r="KM196" s="265"/>
      <c r="KN196" s="265"/>
      <c r="KO196" s="265"/>
      <c r="KP196" s="265"/>
      <c r="KQ196" s="265"/>
      <c r="KR196" s="265"/>
      <c r="KS196" s="265"/>
      <c r="KT196" s="265"/>
      <c r="KU196" s="265"/>
      <c r="KV196" s="265"/>
      <c r="KW196" s="265"/>
      <c r="KX196" s="265"/>
      <c r="KY196" s="265"/>
      <c r="KZ196" s="265"/>
      <c r="LA196" s="265"/>
      <c r="LB196" s="265"/>
      <c r="LC196" s="265"/>
      <c r="LD196" s="265"/>
      <c r="LE196" s="265"/>
      <c r="LF196" s="265"/>
      <c r="LG196" s="265"/>
      <c r="LH196" s="265"/>
      <c r="LI196" s="265"/>
      <c r="LJ196" s="265"/>
      <c r="LK196" s="265"/>
      <c r="LL196" s="265"/>
      <c r="LM196" s="265"/>
      <c r="LN196" s="265"/>
      <c r="LO196" s="265"/>
      <c r="LP196" s="265"/>
      <c r="LQ196" s="266"/>
      <c r="LR196" s="273"/>
      <c r="LS196" s="274"/>
      <c r="LT196" s="274"/>
      <c r="LU196" s="274"/>
      <c r="LV196" s="274"/>
      <c r="LW196" s="275"/>
      <c r="ME196" s="180"/>
      <c r="MF196" s="181"/>
    </row>
    <row r="197" spans="4:344" ht="5.0999999999999996" customHeight="1" x14ac:dyDescent="0.3">
      <c r="D197" s="177"/>
      <c r="E197" s="178"/>
      <c r="KD197" s="264"/>
      <c r="KE197" s="265"/>
      <c r="KF197" s="265"/>
      <c r="KG197" s="265"/>
      <c r="KH197" s="265"/>
      <c r="KI197" s="265"/>
      <c r="KJ197" s="265"/>
      <c r="KK197" s="265"/>
      <c r="KL197" s="265"/>
      <c r="KM197" s="265"/>
      <c r="KN197" s="265"/>
      <c r="KO197" s="265"/>
      <c r="KP197" s="265"/>
      <c r="KQ197" s="265"/>
      <c r="KR197" s="265"/>
      <c r="KS197" s="265"/>
      <c r="KT197" s="265"/>
      <c r="KU197" s="265"/>
      <c r="KV197" s="265"/>
      <c r="KW197" s="265"/>
      <c r="KX197" s="265"/>
      <c r="KY197" s="265"/>
      <c r="KZ197" s="265"/>
      <c r="LA197" s="265"/>
      <c r="LB197" s="265"/>
      <c r="LC197" s="265"/>
      <c r="LD197" s="265"/>
      <c r="LE197" s="265"/>
      <c r="LF197" s="265"/>
      <c r="LG197" s="265"/>
      <c r="LH197" s="265"/>
      <c r="LI197" s="265"/>
      <c r="LJ197" s="265"/>
      <c r="LK197" s="265"/>
      <c r="LL197" s="265"/>
      <c r="LM197" s="265"/>
      <c r="LN197" s="265"/>
      <c r="LO197" s="265"/>
      <c r="LP197" s="265"/>
      <c r="LQ197" s="266"/>
      <c r="LR197" s="273"/>
      <c r="LS197" s="274"/>
      <c r="LT197" s="274"/>
      <c r="LU197" s="274"/>
      <c r="LV197" s="274"/>
      <c r="LW197" s="275"/>
      <c r="ME197" s="180"/>
      <c r="MF197" s="181"/>
    </row>
    <row r="198" spans="4:344" ht="5.0999999999999996" customHeight="1" x14ac:dyDescent="0.3">
      <c r="D198" s="177"/>
      <c r="E198" s="178"/>
      <c r="KD198" s="264"/>
      <c r="KE198" s="265"/>
      <c r="KF198" s="265"/>
      <c r="KG198" s="265"/>
      <c r="KH198" s="265"/>
      <c r="KI198" s="265"/>
      <c r="KJ198" s="265"/>
      <c r="KK198" s="265"/>
      <c r="KL198" s="265"/>
      <c r="KM198" s="265"/>
      <c r="KN198" s="265"/>
      <c r="KO198" s="265"/>
      <c r="KP198" s="265"/>
      <c r="KQ198" s="265"/>
      <c r="KR198" s="265"/>
      <c r="KS198" s="265"/>
      <c r="KT198" s="265"/>
      <c r="KU198" s="265"/>
      <c r="KV198" s="265"/>
      <c r="KW198" s="265"/>
      <c r="KX198" s="265"/>
      <c r="KY198" s="265"/>
      <c r="KZ198" s="265"/>
      <c r="LA198" s="265"/>
      <c r="LB198" s="265"/>
      <c r="LC198" s="265"/>
      <c r="LD198" s="265"/>
      <c r="LE198" s="265"/>
      <c r="LF198" s="265"/>
      <c r="LG198" s="265"/>
      <c r="LH198" s="265"/>
      <c r="LI198" s="265"/>
      <c r="LJ198" s="265"/>
      <c r="LK198" s="265"/>
      <c r="LL198" s="265"/>
      <c r="LM198" s="265"/>
      <c r="LN198" s="265"/>
      <c r="LO198" s="265"/>
      <c r="LP198" s="265"/>
      <c r="LQ198" s="266"/>
      <c r="LR198" s="273"/>
      <c r="LS198" s="274"/>
      <c r="LT198" s="274"/>
      <c r="LU198" s="274"/>
      <c r="LV198" s="274"/>
      <c r="LW198" s="275"/>
      <c r="ME198" s="180"/>
      <c r="MF198" s="181"/>
    </row>
    <row r="199" spans="4:344" ht="5.0999999999999996" customHeight="1" x14ac:dyDescent="0.3">
      <c r="D199" s="177"/>
      <c r="E199" s="178"/>
      <c r="KD199" s="264"/>
      <c r="KE199" s="265"/>
      <c r="KF199" s="265"/>
      <c r="KG199" s="265"/>
      <c r="KH199" s="265"/>
      <c r="KI199" s="265"/>
      <c r="KJ199" s="265"/>
      <c r="KK199" s="265"/>
      <c r="KL199" s="265"/>
      <c r="KM199" s="265"/>
      <c r="KN199" s="265"/>
      <c r="KO199" s="265"/>
      <c r="KP199" s="265"/>
      <c r="KQ199" s="265"/>
      <c r="KR199" s="265"/>
      <c r="KS199" s="265"/>
      <c r="KT199" s="265"/>
      <c r="KU199" s="265"/>
      <c r="KV199" s="265"/>
      <c r="KW199" s="265"/>
      <c r="KX199" s="265"/>
      <c r="KY199" s="265"/>
      <c r="KZ199" s="265"/>
      <c r="LA199" s="265"/>
      <c r="LB199" s="265"/>
      <c r="LC199" s="265"/>
      <c r="LD199" s="265"/>
      <c r="LE199" s="265"/>
      <c r="LF199" s="265"/>
      <c r="LG199" s="265"/>
      <c r="LH199" s="265"/>
      <c r="LI199" s="265"/>
      <c r="LJ199" s="265"/>
      <c r="LK199" s="265"/>
      <c r="LL199" s="265"/>
      <c r="LM199" s="265"/>
      <c r="LN199" s="265"/>
      <c r="LO199" s="265"/>
      <c r="LP199" s="265"/>
      <c r="LQ199" s="266"/>
      <c r="LR199" s="273"/>
      <c r="LS199" s="274"/>
      <c r="LT199" s="274"/>
      <c r="LU199" s="274"/>
      <c r="LV199" s="274"/>
      <c r="LW199" s="275"/>
      <c r="ME199" s="180"/>
      <c r="MF199" s="181"/>
    </row>
    <row r="200" spans="4:344" ht="5.0999999999999996" customHeight="1" x14ac:dyDescent="0.3">
      <c r="D200" s="177"/>
      <c r="E200" s="178"/>
      <c r="KD200" s="264"/>
      <c r="KE200" s="265"/>
      <c r="KF200" s="265"/>
      <c r="KG200" s="265"/>
      <c r="KH200" s="265"/>
      <c r="KI200" s="265"/>
      <c r="KJ200" s="265"/>
      <c r="KK200" s="265"/>
      <c r="KL200" s="265"/>
      <c r="KM200" s="265"/>
      <c r="KN200" s="265"/>
      <c r="KO200" s="265"/>
      <c r="KP200" s="265"/>
      <c r="KQ200" s="265"/>
      <c r="KR200" s="265"/>
      <c r="KS200" s="265"/>
      <c r="KT200" s="265"/>
      <c r="KU200" s="265"/>
      <c r="KV200" s="265"/>
      <c r="KW200" s="265"/>
      <c r="KX200" s="265"/>
      <c r="KY200" s="265"/>
      <c r="KZ200" s="265"/>
      <c r="LA200" s="265"/>
      <c r="LB200" s="265"/>
      <c r="LC200" s="265"/>
      <c r="LD200" s="265"/>
      <c r="LE200" s="265"/>
      <c r="LF200" s="265"/>
      <c r="LG200" s="265"/>
      <c r="LH200" s="265"/>
      <c r="LI200" s="265"/>
      <c r="LJ200" s="265"/>
      <c r="LK200" s="265"/>
      <c r="LL200" s="265"/>
      <c r="LM200" s="265"/>
      <c r="LN200" s="265"/>
      <c r="LO200" s="265"/>
      <c r="LP200" s="265"/>
      <c r="LQ200" s="266"/>
      <c r="LR200" s="273"/>
      <c r="LS200" s="274"/>
      <c r="LT200" s="274"/>
      <c r="LU200" s="274"/>
      <c r="LV200" s="274"/>
      <c r="LW200" s="275"/>
      <c r="ME200" s="180"/>
      <c r="MF200" s="181"/>
    </row>
    <row r="201" spans="4:344" ht="5.0999999999999996" customHeight="1" x14ac:dyDescent="0.3">
      <c r="D201" s="177"/>
      <c r="E201" s="178"/>
      <c r="KD201" s="264"/>
      <c r="KE201" s="265"/>
      <c r="KF201" s="265"/>
      <c r="KG201" s="265"/>
      <c r="KH201" s="265"/>
      <c r="KI201" s="265"/>
      <c r="KJ201" s="265"/>
      <c r="KK201" s="265"/>
      <c r="KL201" s="265"/>
      <c r="KM201" s="265"/>
      <c r="KN201" s="265"/>
      <c r="KO201" s="265"/>
      <c r="KP201" s="265"/>
      <c r="KQ201" s="265"/>
      <c r="KR201" s="265"/>
      <c r="KS201" s="265"/>
      <c r="KT201" s="265"/>
      <c r="KU201" s="265"/>
      <c r="KV201" s="265"/>
      <c r="KW201" s="265"/>
      <c r="KX201" s="265"/>
      <c r="KY201" s="265"/>
      <c r="KZ201" s="265"/>
      <c r="LA201" s="265"/>
      <c r="LB201" s="265"/>
      <c r="LC201" s="265"/>
      <c r="LD201" s="265"/>
      <c r="LE201" s="265"/>
      <c r="LF201" s="265"/>
      <c r="LG201" s="265"/>
      <c r="LH201" s="265"/>
      <c r="LI201" s="265"/>
      <c r="LJ201" s="265"/>
      <c r="LK201" s="265"/>
      <c r="LL201" s="265"/>
      <c r="LM201" s="265"/>
      <c r="LN201" s="265"/>
      <c r="LO201" s="265"/>
      <c r="LP201" s="265"/>
      <c r="LQ201" s="266"/>
      <c r="LR201" s="273"/>
      <c r="LS201" s="274"/>
      <c r="LT201" s="274"/>
      <c r="LU201" s="274"/>
      <c r="LV201" s="274"/>
      <c r="LW201" s="275"/>
      <c r="ME201" s="180"/>
      <c r="MF201" s="181"/>
    </row>
    <row r="202" spans="4:344" ht="5.0999999999999996" customHeight="1" x14ac:dyDescent="0.3">
      <c r="D202" s="177"/>
      <c r="E202" s="178"/>
      <c r="KD202" s="264"/>
      <c r="KE202" s="265"/>
      <c r="KF202" s="265"/>
      <c r="KG202" s="265"/>
      <c r="KH202" s="265"/>
      <c r="KI202" s="265"/>
      <c r="KJ202" s="265"/>
      <c r="KK202" s="265"/>
      <c r="KL202" s="265"/>
      <c r="KM202" s="265"/>
      <c r="KN202" s="265"/>
      <c r="KO202" s="265"/>
      <c r="KP202" s="265"/>
      <c r="KQ202" s="265"/>
      <c r="KR202" s="265"/>
      <c r="KS202" s="265"/>
      <c r="KT202" s="265"/>
      <c r="KU202" s="265"/>
      <c r="KV202" s="265"/>
      <c r="KW202" s="265"/>
      <c r="KX202" s="265"/>
      <c r="KY202" s="265"/>
      <c r="KZ202" s="265"/>
      <c r="LA202" s="265"/>
      <c r="LB202" s="265"/>
      <c r="LC202" s="265"/>
      <c r="LD202" s="265"/>
      <c r="LE202" s="265"/>
      <c r="LF202" s="265"/>
      <c r="LG202" s="265"/>
      <c r="LH202" s="265"/>
      <c r="LI202" s="265"/>
      <c r="LJ202" s="265"/>
      <c r="LK202" s="265"/>
      <c r="LL202" s="265"/>
      <c r="LM202" s="265"/>
      <c r="LN202" s="265"/>
      <c r="LO202" s="265"/>
      <c r="LP202" s="265"/>
      <c r="LQ202" s="266"/>
      <c r="LR202" s="273"/>
      <c r="LS202" s="274"/>
      <c r="LT202" s="274"/>
      <c r="LU202" s="274"/>
      <c r="LV202" s="274"/>
      <c r="LW202" s="275"/>
      <c r="ME202" s="180"/>
      <c r="MF202" s="181"/>
    </row>
    <row r="203" spans="4:344" ht="5.0999999999999996" customHeight="1" x14ac:dyDescent="0.3">
      <c r="D203" s="177"/>
      <c r="E203" s="178"/>
      <c r="EA203" s="241" t="s">
        <v>204</v>
      </c>
      <c r="EB203" s="241"/>
      <c r="EC203" s="241"/>
      <c r="ED203" s="241"/>
      <c r="EE203" s="241"/>
      <c r="EF203" s="241"/>
      <c r="EG203" s="241"/>
      <c r="EH203" s="241"/>
      <c r="EI203" s="241"/>
      <c r="EJ203" s="241"/>
      <c r="EK203" s="241"/>
      <c r="EL203" s="241"/>
      <c r="EM203" s="241"/>
      <c r="EN203" s="241"/>
      <c r="EO203" s="241"/>
      <c r="EP203" s="241"/>
      <c r="EQ203" s="241"/>
      <c r="ER203" s="241"/>
      <c r="ES203" s="241"/>
      <c r="ET203" s="241"/>
      <c r="EU203" s="241"/>
      <c r="EV203" s="241"/>
      <c r="EW203" s="241"/>
      <c r="EX203" s="241"/>
      <c r="EY203" s="241"/>
      <c r="EZ203" s="241"/>
      <c r="FA203" s="241"/>
      <c r="FB203" s="241"/>
      <c r="FC203" s="241"/>
      <c r="FD203" s="241"/>
      <c r="FE203" s="241"/>
      <c r="FF203" s="241"/>
      <c r="FG203" s="241"/>
      <c r="FH203" s="241"/>
      <c r="FI203" s="241"/>
      <c r="FJ203" s="241"/>
      <c r="FK203" s="241"/>
      <c r="FL203" s="241"/>
      <c r="FM203" s="241"/>
      <c r="FN203" s="241"/>
      <c r="FO203" s="241"/>
      <c r="FP203" s="241"/>
      <c r="FQ203" s="241"/>
      <c r="FR203" s="242">
        <f>SUM(FR209:FV224)</f>
        <v>4</v>
      </c>
      <c r="FS203" s="242"/>
      <c r="FT203" s="242"/>
      <c r="FU203" s="242"/>
      <c r="FV203" s="242"/>
      <c r="GA203" s="241" t="s">
        <v>205</v>
      </c>
      <c r="GB203" s="241"/>
      <c r="GC203" s="241"/>
      <c r="GD203" s="241"/>
      <c r="GE203" s="241"/>
      <c r="GF203" s="241"/>
      <c r="GG203" s="241"/>
      <c r="GH203" s="241"/>
      <c r="GI203" s="241"/>
      <c r="GJ203" s="241"/>
      <c r="GK203" s="241"/>
      <c r="GL203" s="241"/>
      <c r="GM203" s="241"/>
      <c r="GN203" s="241"/>
      <c r="GO203" s="241"/>
      <c r="GP203" s="241"/>
      <c r="GQ203" s="241"/>
      <c r="GR203" s="241"/>
      <c r="GS203" s="241"/>
      <c r="GT203" s="241"/>
      <c r="GU203" s="241"/>
      <c r="GV203" s="241"/>
      <c r="GW203" s="241"/>
      <c r="GX203" s="241"/>
      <c r="GY203" s="241"/>
      <c r="GZ203" s="241"/>
      <c r="HA203" s="241"/>
      <c r="HB203" s="241"/>
      <c r="HC203" s="241"/>
      <c r="HD203" s="241"/>
      <c r="HE203" s="241"/>
      <c r="HF203" s="241"/>
      <c r="HG203" s="241"/>
      <c r="HH203" s="241"/>
      <c r="HI203" s="241"/>
      <c r="HJ203" s="241"/>
      <c r="HK203" s="241"/>
      <c r="HL203" s="241"/>
      <c r="HM203" s="241"/>
      <c r="HN203" s="241"/>
      <c r="HO203" s="241"/>
      <c r="HP203" s="241"/>
      <c r="HQ203" s="241"/>
      <c r="HR203" s="242">
        <f>SUM(HR209:HV232)</f>
        <v>1</v>
      </c>
      <c r="HS203" s="242"/>
      <c r="HT203" s="242"/>
      <c r="HU203" s="242"/>
      <c r="HV203" s="242"/>
      <c r="KD203" s="264"/>
      <c r="KE203" s="265"/>
      <c r="KF203" s="265"/>
      <c r="KG203" s="265"/>
      <c r="KH203" s="265"/>
      <c r="KI203" s="265"/>
      <c r="KJ203" s="265"/>
      <c r="KK203" s="265"/>
      <c r="KL203" s="265"/>
      <c r="KM203" s="265"/>
      <c r="KN203" s="265"/>
      <c r="KO203" s="265"/>
      <c r="KP203" s="265"/>
      <c r="KQ203" s="265"/>
      <c r="KR203" s="265"/>
      <c r="KS203" s="265"/>
      <c r="KT203" s="265"/>
      <c r="KU203" s="265"/>
      <c r="KV203" s="265"/>
      <c r="KW203" s="265"/>
      <c r="KX203" s="265"/>
      <c r="KY203" s="265"/>
      <c r="KZ203" s="265"/>
      <c r="LA203" s="265"/>
      <c r="LB203" s="265"/>
      <c r="LC203" s="265"/>
      <c r="LD203" s="265"/>
      <c r="LE203" s="265"/>
      <c r="LF203" s="265"/>
      <c r="LG203" s="265"/>
      <c r="LH203" s="265"/>
      <c r="LI203" s="265"/>
      <c r="LJ203" s="265"/>
      <c r="LK203" s="265"/>
      <c r="LL203" s="265"/>
      <c r="LM203" s="265"/>
      <c r="LN203" s="265"/>
      <c r="LO203" s="265"/>
      <c r="LP203" s="265"/>
      <c r="LQ203" s="266"/>
      <c r="LR203" s="273"/>
      <c r="LS203" s="274"/>
      <c r="LT203" s="274"/>
      <c r="LU203" s="274"/>
      <c r="LV203" s="274"/>
      <c r="LW203" s="275"/>
      <c r="ME203" s="180"/>
      <c r="MF203" s="181"/>
    </row>
    <row r="204" spans="4:344" ht="5.0999999999999996" customHeight="1" x14ac:dyDescent="0.3">
      <c r="D204" s="177"/>
      <c r="E204" s="178"/>
      <c r="EA204" s="241"/>
      <c r="EB204" s="241"/>
      <c r="EC204" s="241"/>
      <c r="ED204" s="241"/>
      <c r="EE204" s="241"/>
      <c r="EF204" s="241"/>
      <c r="EG204" s="241"/>
      <c r="EH204" s="241"/>
      <c r="EI204" s="241"/>
      <c r="EJ204" s="241"/>
      <c r="EK204" s="241"/>
      <c r="EL204" s="241"/>
      <c r="EM204" s="241"/>
      <c r="EN204" s="241"/>
      <c r="EO204" s="241"/>
      <c r="EP204" s="241"/>
      <c r="EQ204" s="241"/>
      <c r="ER204" s="241"/>
      <c r="ES204" s="241"/>
      <c r="ET204" s="241"/>
      <c r="EU204" s="241"/>
      <c r="EV204" s="241"/>
      <c r="EW204" s="241"/>
      <c r="EX204" s="241"/>
      <c r="EY204" s="241"/>
      <c r="EZ204" s="241"/>
      <c r="FA204" s="241"/>
      <c r="FB204" s="241"/>
      <c r="FC204" s="241"/>
      <c r="FD204" s="241"/>
      <c r="FE204" s="241"/>
      <c r="FF204" s="241"/>
      <c r="FG204" s="241"/>
      <c r="FH204" s="241"/>
      <c r="FI204" s="241"/>
      <c r="FJ204" s="241"/>
      <c r="FK204" s="241"/>
      <c r="FL204" s="241"/>
      <c r="FM204" s="241"/>
      <c r="FN204" s="241"/>
      <c r="FO204" s="241"/>
      <c r="FP204" s="241"/>
      <c r="FQ204" s="241"/>
      <c r="FR204" s="242"/>
      <c r="FS204" s="242"/>
      <c r="FT204" s="242"/>
      <c r="FU204" s="242"/>
      <c r="FV204" s="242"/>
      <c r="GA204" s="241"/>
      <c r="GB204" s="241"/>
      <c r="GC204" s="241"/>
      <c r="GD204" s="241"/>
      <c r="GE204" s="241"/>
      <c r="GF204" s="241"/>
      <c r="GG204" s="241"/>
      <c r="GH204" s="241"/>
      <c r="GI204" s="241"/>
      <c r="GJ204" s="241"/>
      <c r="GK204" s="241"/>
      <c r="GL204" s="241"/>
      <c r="GM204" s="241"/>
      <c r="GN204" s="241"/>
      <c r="GO204" s="241"/>
      <c r="GP204" s="241"/>
      <c r="GQ204" s="241"/>
      <c r="GR204" s="241"/>
      <c r="GS204" s="241"/>
      <c r="GT204" s="241"/>
      <c r="GU204" s="241"/>
      <c r="GV204" s="241"/>
      <c r="GW204" s="241"/>
      <c r="GX204" s="241"/>
      <c r="GY204" s="241"/>
      <c r="GZ204" s="241"/>
      <c r="HA204" s="241"/>
      <c r="HB204" s="241"/>
      <c r="HC204" s="241"/>
      <c r="HD204" s="241"/>
      <c r="HE204" s="241"/>
      <c r="HF204" s="241"/>
      <c r="HG204" s="241"/>
      <c r="HH204" s="241"/>
      <c r="HI204" s="241"/>
      <c r="HJ204" s="241"/>
      <c r="HK204" s="241"/>
      <c r="HL204" s="241"/>
      <c r="HM204" s="241"/>
      <c r="HN204" s="241"/>
      <c r="HO204" s="241"/>
      <c r="HP204" s="241"/>
      <c r="HQ204" s="241"/>
      <c r="HR204" s="242"/>
      <c r="HS204" s="242"/>
      <c r="HT204" s="242"/>
      <c r="HU204" s="242"/>
      <c r="HV204" s="242"/>
      <c r="KD204" s="267"/>
      <c r="KE204" s="268"/>
      <c r="KF204" s="268"/>
      <c r="KG204" s="268"/>
      <c r="KH204" s="268"/>
      <c r="KI204" s="268"/>
      <c r="KJ204" s="268"/>
      <c r="KK204" s="268"/>
      <c r="KL204" s="268"/>
      <c r="KM204" s="268"/>
      <c r="KN204" s="268"/>
      <c r="KO204" s="268"/>
      <c r="KP204" s="268"/>
      <c r="KQ204" s="268"/>
      <c r="KR204" s="268"/>
      <c r="KS204" s="268"/>
      <c r="KT204" s="268"/>
      <c r="KU204" s="268"/>
      <c r="KV204" s="268"/>
      <c r="KW204" s="268"/>
      <c r="KX204" s="268"/>
      <c r="KY204" s="268"/>
      <c r="KZ204" s="268"/>
      <c r="LA204" s="268"/>
      <c r="LB204" s="268"/>
      <c r="LC204" s="268"/>
      <c r="LD204" s="268"/>
      <c r="LE204" s="268"/>
      <c r="LF204" s="268"/>
      <c r="LG204" s="268"/>
      <c r="LH204" s="268"/>
      <c r="LI204" s="268"/>
      <c r="LJ204" s="268"/>
      <c r="LK204" s="268"/>
      <c r="LL204" s="268"/>
      <c r="LM204" s="268"/>
      <c r="LN204" s="268"/>
      <c r="LO204" s="268"/>
      <c r="LP204" s="268"/>
      <c r="LQ204" s="269"/>
      <c r="LR204" s="276"/>
      <c r="LS204" s="277"/>
      <c r="LT204" s="277"/>
      <c r="LU204" s="277"/>
      <c r="LV204" s="277"/>
      <c r="LW204" s="278"/>
      <c r="ME204" s="180"/>
      <c r="MF204" s="181"/>
    </row>
    <row r="205" spans="4:344" ht="5.0999999999999996" customHeight="1" x14ac:dyDescent="0.3">
      <c r="D205" s="177"/>
      <c r="E205" s="178"/>
      <c r="EA205" s="241"/>
      <c r="EB205" s="241"/>
      <c r="EC205" s="241"/>
      <c r="ED205" s="241"/>
      <c r="EE205" s="241"/>
      <c r="EF205" s="241"/>
      <c r="EG205" s="241"/>
      <c r="EH205" s="241"/>
      <c r="EI205" s="241"/>
      <c r="EJ205" s="241"/>
      <c r="EK205" s="241"/>
      <c r="EL205" s="241"/>
      <c r="EM205" s="241"/>
      <c r="EN205" s="241"/>
      <c r="EO205" s="241"/>
      <c r="EP205" s="241"/>
      <c r="EQ205" s="241"/>
      <c r="ER205" s="241"/>
      <c r="ES205" s="241"/>
      <c r="ET205" s="241"/>
      <c r="EU205" s="241"/>
      <c r="EV205" s="241"/>
      <c r="EW205" s="241"/>
      <c r="EX205" s="241"/>
      <c r="EY205" s="241"/>
      <c r="EZ205" s="241"/>
      <c r="FA205" s="241"/>
      <c r="FB205" s="241"/>
      <c r="FC205" s="241"/>
      <c r="FD205" s="241"/>
      <c r="FE205" s="241"/>
      <c r="FF205" s="241"/>
      <c r="FG205" s="241"/>
      <c r="FH205" s="241"/>
      <c r="FI205" s="241"/>
      <c r="FJ205" s="241"/>
      <c r="FK205" s="241"/>
      <c r="FL205" s="241"/>
      <c r="FM205" s="241"/>
      <c r="FN205" s="241"/>
      <c r="FO205" s="241"/>
      <c r="FP205" s="241"/>
      <c r="FQ205" s="241"/>
      <c r="FR205" s="242"/>
      <c r="FS205" s="242"/>
      <c r="FT205" s="242"/>
      <c r="FU205" s="242"/>
      <c r="FV205" s="242"/>
      <c r="GA205" s="241"/>
      <c r="GB205" s="241"/>
      <c r="GC205" s="241"/>
      <c r="GD205" s="241"/>
      <c r="GE205" s="241"/>
      <c r="GF205" s="241"/>
      <c r="GG205" s="241"/>
      <c r="GH205" s="241"/>
      <c r="GI205" s="241"/>
      <c r="GJ205" s="241"/>
      <c r="GK205" s="241"/>
      <c r="GL205" s="241"/>
      <c r="GM205" s="241"/>
      <c r="GN205" s="241"/>
      <c r="GO205" s="241"/>
      <c r="GP205" s="241"/>
      <c r="GQ205" s="241"/>
      <c r="GR205" s="241"/>
      <c r="GS205" s="241"/>
      <c r="GT205" s="241"/>
      <c r="GU205" s="241"/>
      <c r="GV205" s="241"/>
      <c r="GW205" s="241"/>
      <c r="GX205" s="241"/>
      <c r="GY205" s="241"/>
      <c r="GZ205" s="241"/>
      <c r="HA205" s="241"/>
      <c r="HB205" s="241"/>
      <c r="HC205" s="241"/>
      <c r="HD205" s="241"/>
      <c r="HE205" s="241"/>
      <c r="HF205" s="241"/>
      <c r="HG205" s="241"/>
      <c r="HH205" s="241"/>
      <c r="HI205" s="241"/>
      <c r="HJ205" s="241"/>
      <c r="HK205" s="241"/>
      <c r="HL205" s="241"/>
      <c r="HM205" s="241"/>
      <c r="HN205" s="241"/>
      <c r="HO205" s="241"/>
      <c r="HP205" s="241"/>
      <c r="HQ205" s="241"/>
      <c r="HR205" s="242"/>
      <c r="HS205" s="242"/>
      <c r="HT205" s="242"/>
      <c r="HU205" s="242"/>
      <c r="HV205" s="242"/>
      <c r="ME205" s="180"/>
      <c r="MF205" s="181"/>
    </row>
    <row r="206" spans="4:344" ht="5.0999999999999996" customHeight="1" x14ac:dyDescent="0.3">
      <c r="D206" s="177"/>
      <c r="E206" s="178"/>
      <c r="EA206" s="241"/>
      <c r="EB206" s="241"/>
      <c r="EC206" s="241"/>
      <c r="ED206" s="241"/>
      <c r="EE206" s="241"/>
      <c r="EF206" s="241"/>
      <c r="EG206" s="241"/>
      <c r="EH206" s="241"/>
      <c r="EI206" s="241"/>
      <c r="EJ206" s="241"/>
      <c r="EK206" s="241"/>
      <c r="EL206" s="241"/>
      <c r="EM206" s="241"/>
      <c r="EN206" s="241"/>
      <c r="EO206" s="241"/>
      <c r="EP206" s="241"/>
      <c r="EQ206" s="241"/>
      <c r="ER206" s="241"/>
      <c r="ES206" s="241"/>
      <c r="ET206" s="241"/>
      <c r="EU206" s="241"/>
      <c r="EV206" s="241"/>
      <c r="EW206" s="241"/>
      <c r="EX206" s="241"/>
      <c r="EY206" s="241"/>
      <c r="EZ206" s="241"/>
      <c r="FA206" s="241"/>
      <c r="FB206" s="241"/>
      <c r="FC206" s="241"/>
      <c r="FD206" s="241"/>
      <c r="FE206" s="241"/>
      <c r="FF206" s="241"/>
      <c r="FG206" s="241"/>
      <c r="FH206" s="241"/>
      <c r="FI206" s="241"/>
      <c r="FJ206" s="241"/>
      <c r="FK206" s="241"/>
      <c r="FL206" s="241"/>
      <c r="FM206" s="241"/>
      <c r="FN206" s="241"/>
      <c r="FO206" s="241"/>
      <c r="FP206" s="241"/>
      <c r="FQ206" s="241"/>
      <c r="FR206" s="242"/>
      <c r="FS206" s="242"/>
      <c r="FT206" s="242"/>
      <c r="FU206" s="242"/>
      <c r="FV206" s="242"/>
      <c r="GA206" s="241"/>
      <c r="GB206" s="241"/>
      <c r="GC206" s="241"/>
      <c r="GD206" s="241"/>
      <c r="GE206" s="241"/>
      <c r="GF206" s="241"/>
      <c r="GG206" s="241"/>
      <c r="GH206" s="241"/>
      <c r="GI206" s="241"/>
      <c r="GJ206" s="241"/>
      <c r="GK206" s="241"/>
      <c r="GL206" s="241"/>
      <c r="GM206" s="241"/>
      <c r="GN206" s="241"/>
      <c r="GO206" s="241"/>
      <c r="GP206" s="241"/>
      <c r="GQ206" s="241"/>
      <c r="GR206" s="241"/>
      <c r="GS206" s="241"/>
      <c r="GT206" s="241"/>
      <c r="GU206" s="241"/>
      <c r="GV206" s="241"/>
      <c r="GW206" s="241"/>
      <c r="GX206" s="241"/>
      <c r="GY206" s="241"/>
      <c r="GZ206" s="241"/>
      <c r="HA206" s="241"/>
      <c r="HB206" s="241"/>
      <c r="HC206" s="241"/>
      <c r="HD206" s="241"/>
      <c r="HE206" s="241"/>
      <c r="HF206" s="241"/>
      <c r="HG206" s="241"/>
      <c r="HH206" s="241"/>
      <c r="HI206" s="241"/>
      <c r="HJ206" s="241"/>
      <c r="HK206" s="241"/>
      <c r="HL206" s="241"/>
      <c r="HM206" s="241"/>
      <c r="HN206" s="241"/>
      <c r="HO206" s="241"/>
      <c r="HP206" s="241"/>
      <c r="HQ206" s="241"/>
      <c r="HR206" s="242"/>
      <c r="HS206" s="242"/>
      <c r="HT206" s="242"/>
      <c r="HU206" s="242"/>
      <c r="HV206" s="242"/>
      <c r="ME206" s="180"/>
      <c r="MF206" s="181"/>
    </row>
    <row r="207" spans="4:344" ht="5.0999999999999996" customHeight="1" x14ac:dyDescent="0.3">
      <c r="D207" s="177"/>
      <c r="E207" s="178"/>
      <c r="EA207" s="241"/>
      <c r="EB207" s="241"/>
      <c r="EC207" s="241"/>
      <c r="ED207" s="241"/>
      <c r="EE207" s="241"/>
      <c r="EF207" s="241"/>
      <c r="EG207" s="241"/>
      <c r="EH207" s="241"/>
      <c r="EI207" s="241"/>
      <c r="EJ207" s="241"/>
      <c r="EK207" s="241"/>
      <c r="EL207" s="241"/>
      <c r="EM207" s="241"/>
      <c r="EN207" s="241"/>
      <c r="EO207" s="241"/>
      <c r="EP207" s="241"/>
      <c r="EQ207" s="241"/>
      <c r="ER207" s="241"/>
      <c r="ES207" s="241"/>
      <c r="ET207" s="241"/>
      <c r="EU207" s="241"/>
      <c r="EV207" s="241"/>
      <c r="EW207" s="241"/>
      <c r="EX207" s="241"/>
      <c r="EY207" s="241"/>
      <c r="EZ207" s="241"/>
      <c r="FA207" s="241"/>
      <c r="FB207" s="241"/>
      <c r="FC207" s="241"/>
      <c r="FD207" s="241"/>
      <c r="FE207" s="241"/>
      <c r="FF207" s="241"/>
      <c r="FG207" s="241"/>
      <c r="FH207" s="241"/>
      <c r="FI207" s="241"/>
      <c r="FJ207" s="241"/>
      <c r="FK207" s="241"/>
      <c r="FL207" s="241"/>
      <c r="FM207" s="241"/>
      <c r="FN207" s="241"/>
      <c r="FO207" s="241"/>
      <c r="FP207" s="241"/>
      <c r="FQ207" s="241"/>
      <c r="FR207" s="242"/>
      <c r="FS207" s="242"/>
      <c r="FT207" s="242"/>
      <c r="FU207" s="242"/>
      <c r="FV207" s="242"/>
      <c r="GA207" s="241"/>
      <c r="GB207" s="241"/>
      <c r="GC207" s="241"/>
      <c r="GD207" s="241"/>
      <c r="GE207" s="241"/>
      <c r="GF207" s="241"/>
      <c r="GG207" s="241"/>
      <c r="GH207" s="241"/>
      <c r="GI207" s="241"/>
      <c r="GJ207" s="241"/>
      <c r="GK207" s="241"/>
      <c r="GL207" s="241"/>
      <c r="GM207" s="241"/>
      <c r="GN207" s="241"/>
      <c r="GO207" s="241"/>
      <c r="GP207" s="241"/>
      <c r="GQ207" s="241"/>
      <c r="GR207" s="241"/>
      <c r="GS207" s="241"/>
      <c r="GT207" s="241"/>
      <c r="GU207" s="241"/>
      <c r="GV207" s="241"/>
      <c r="GW207" s="241"/>
      <c r="GX207" s="241"/>
      <c r="GY207" s="241"/>
      <c r="GZ207" s="241"/>
      <c r="HA207" s="241"/>
      <c r="HB207" s="241"/>
      <c r="HC207" s="241"/>
      <c r="HD207" s="241"/>
      <c r="HE207" s="241"/>
      <c r="HF207" s="241"/>
      <c r="HG207" s="241"/>
      <c r="HH207" s="241"/>
      <c r="HI207" s="241"/>
      <c r="HJ207" s="241"/>
      <c r="HK207" s="241"/>
      <c r="HL207" s="241"/>
      <c r="HM207" s="241"/>
      <c r="HN207" s="241"/>
      <c r="HO207" s="241"/>
      <c r="HP207" s="241"/>
      <c r="HQ207" s="241"/>
      <c r="HR207" s="242"/>
      <c r="HS207" s="242"/>
      <c r="HT207" s="242"/>
      <c r="HU207" s="242"/>
      <c r="HV207" s="242"/>
      <c r="ME207" s="180"/>
      <c r="MF207" s="181"/>
    </row>
    <row r="208" spans="4:344" ht="5.0999999999999996" customHeight="1" x14ac:dyDescent="0.3">
      <c r="D208" s="177"/>
      <c r="E208" s="178"/>
      <c r="EA208" s="241"/>
      <c r="EB208" s="241"/>
      <c r="EC208" s="241"/>
      <c r="ED208" s="241"/>
      <c r="EE208" s="241"/>
      <c r="EF208" s="241"/>
      <c r="EG208" s="241"/>
      <c r="EH208" s="241"/>
      <c r="EI208" s="241"/>
      <c r="EJ208" s="241"/>
      <c r="EK208" s="241"/>
      <c r="EL208" s="241"/>
      <c r="EM208" s="241"/>
      <c r="EN208" s="241"/>
      <c r="EO208" s="241"/>
      <c r="EP208" s="241"/>
      <c r="EQ208" s="241"/>
      <c r="ER208" s="241"/>
      <c r="ES208" s="241"/>
      <c r="ET208" s="241"/>
      <c r="EU208" s="241"/>
      <c r="EV208" s="241"/>
      <c r="EW208" s="241"/>
      <c r="EX208" s="241"/>
      <c r="EY208" s="241"/>
      <c r="EZ208" s="241"/>
      <c r="FA208" s="241"/>
      <c r="FB208" s="241"/>
      <c r="FC208" s="241"/>
      <c r="FD208" s="241"/>
      <c r="FE208" s="241"/>
      <c r="FF208" s="241"/>
      <c r="FG208" s="241"/>
      <c r="FH208" s="241"/>
      <c r="FI208" s="241"/>
      <c r="FJ208" s="241"/>
      <c r="FK208" s="241"/>
      <c r="FL208" s="241"/>
      <c r="FM208" s="241"/>
      <c r="FN208" s="241"/>
      <c r="FO208" s="241"/>
      <c r="FP208" s="241"/>
      <c r="FQ208" s="241"/>
      <c r="FR208" s="242"/>
      <c r="FS208" s="242"/>
      <c r="FT208" s="242"/>
      <c r="FU208" s="242"/>
      <c r="FV208" s="242"/>
      <c r="GA208" s="241"/>
      <c r="GB208" s="241"/>
      <c r="GC208" s="241"/>
      <c r="GD208" s="241"/>
      <c r="GE208" s="241"/>
      <c r="GF208" s="241"/>
      <c r="GG208" s="241"/>
      <c r="GH208" s="241"/>
      <c r="GI208" s="241"/>
      <c r="GJ208" s="241"/>
      <c r="GK208" s="241"/>
      <c r="GL208" s="241"/>
      <c r="GM208" s="241"/>
      <c r="GN208" s="241"/>
      <c r="GO208" s="241"/>
      <c r="GP208" s="241"/>
      <c r="GQ208" s="241"/>
      <c r="GR208" s="241"/>
      <c r="GS208" s="241"/>
      <c r="GT208" s="241"/>
      <c r="GU208" s="241"/>
      <c r="GV208" s="241"/>
      <c r="GW208" s="241"/>
      <c r="GX208" s="241"/>
      <c r="GY208" s="241"/>
      <c r="GZ208" s="241"/>
      <c r="HA208" s="241"/>
      <c r="HB208" s="241"/>
      <c r="HC208" s="241"/>
      <c r="HD208" s="241"/>
      <c r="HE208" s="241"/>
      <c r="HF208" s="241"/>
      <c r="HG208" s="241"/>
      <c r="HH208" s="241"/>
      <c r="HI208" s="241"/>
      <c r="HJ208" s="241"/>
      <c r="HK208" s="241"/>
      <c r="HL208" s="241"/>
      <c r="HM208" s="241"/>
      <c r="HN208" s="241"/>
      <c r="HO208" s="241"/>
      <c r="HP208" s="241"/>
      <c r="HQ208" s="241"/>
      <c r="HR208" s="242"/>
      <c r="HS208" s="242"/>
      <c r="HT208" s="242"/>
      <c r="HU208" s="242"/>
      <c r="HV208" s="242"/>
      <c r="ME208" s="180"/>
      <c r="MF208" s="181"/>
    </row>
    <row r="209" spans="4:344" ht="5.0999999999999996" customHeight="1" x14ac:dyDescent="0.3">
      <c r="D209" s="177"/>
      <c r="E209" s="178"/>
      <c r="EA209" s="224" t="s">
        <v>206</v>
      </c>
      <c r="EB209" s="225"/>
      <c r="EC209" s="225"/>
      <c r="ED209" s="225"/>
      <c r="EE209" s="225"/>
      <c r="EF209" s="225"/>
      <c r="EG209" s="225"/>
      <c r="EH209" s="225"/>
      <c r="EI209" s="225"/>
      <c r="EJ209" s="225"/>
      <c r="EK209" s="225"/>
      <c r="EL209" s="225"/>
      <c r="EM209" s="225"/>
      <c r="EN209" s="225"/>
      <c r="EO209" s="225"/>
      <c r="EP209" s="225"/>
      <c r="EQ209" s="225"/>
      <c r="ER209" s="225"/>
      <c r="ES209" s="225"/>
      <c r="ET209" s="225"/>
      <c r="EU209" s="225"/>
      <c r="EV209" s="225"/>
      <c r="EW209" s="225"/>
      <c r="EX209" s="225"/>
      <c r="EY209" s="225"/>
      <c r="EZ209" s="225"/>
      <c r="FA209" s="225"/>
      <c r="FB209" s="225"/>
      <c r="FC209" s="225"/>
      <c r="FD209" s="225"/>
      <c r="FE209" s="225"/>
      <c r="FF209" s="225"/>
      <c r="FG209" s="225"/>
      <c r="FH209" s="225"/>
      <c r="FI209" s="225"/>
      <c r="FJ209" s="225"/>
      <c r="FK209" s="225"/>
      <c r="FL209" s="225"/>
      <c r="FM209" s="225"/>
      <c r="FN209" s="225"/>
      <c r="FO209" s="225"/>
      <c r="FP209" s="225"/>
      <c r="FQ209" s="226"/>
      <c r="FR209" s="224">
        <v>0</v>
      </c>
      <c r="FS209" s="225"/>
      <c r="FT209" s="225"/>
      <c r="FU209" s="225"/>
      <c r="FV209" s="226"/>
      <c r="GA209" s="224" t="s">
        <v>25</v>
      </c>
      <c r="GB209" s="225"/>
      <c r="GC209" s="225"/>
      <c r="GD209" s="225"/>
      <c r="GE209" s="225"/>
      <c r="GF209" s="225"/>
      <c r="GG209" s="225"/>
      <c r="GH209" s="225"/>
      <c r="GI209" s="225"/>
      <c r="GJ209" s="225"/>
      <c r="GK209" s="225"/>
      <c r="GL209" s="225"/>
      <c r="GM209" s="225"/>
      <c r="GN209" s="225"/>
      <c r="GO209" s="225"/>
      <c r="GP209" s="225"/>
      <c r="GQ209" s="225"/>
      <c r="GR209" s="225"/>
      <c r="GS209" s="225"/>
      <c r="GT209" s="225"/>
      <c r="GU209" s="225"/>
      <c r="GV209" s="225"/>
      <c r="GW209" s="225"/>
      <c r="GX209" s="225"/>
      <c r="GY209" s="225"/>
      <c r="GZ209" s="225"/>
      <c r="HA209" s="225"/>
      <c r="HB209" s="225"/>
      <c r="HC209" s="225"/>
      <c r="HD209" s="225"/>
      <c r="HE209" s="225"/>
      <c r="HF209" s="225"/>
      <c r="HG209" s="225"/>
      <c r="HH209" s="225"/>
      <c r="HI209" s="225"/>
      <c r="HJ209" s="225"/>
      <c r="HK209" s="225"/>
      <c r="HL209" s="225"/>
      <c r="HM209" s="225"/>
      <c r="HN209" s="225"/>
      <c r="HO209" s="225"/>
      <c r="HP209" s="225"/>
      <c r="HQ209" s="226"/>
      <c r="HR209" s="232">
        <v>0</v>
      </c>
      <c r="HS209" s="233"/>
      <c r="HT209" s="233"/>
      <c r="HU209" s="233"/>
      <c r="HV209" s="234"/>
      <c r="ME209" s="180"/>
      <c r="MF209" s="181"/>
    </row>
    <row r="210" spans="4:344" ht="5.0999999999999996" customHeight="1" x14ac:dyDescent="0.3">
      <c r="D210" s="177"/>
      <c r="E210" s="178"/>
      <c r="EA210" s="227"/>
      <c r="EB210" s="219"/>
      <c r="EC210" s="219"/>
      <c r="ED210" s="219"/>
      <c r="EE210" s="219"/>
      <c r="EF210" s="219"/>
      <c r="EG210" s="219"/>
      <c r="EH210" s="219"/>
      <c r="EI210" s="219"/>
      <c r="EJ210" s="219"/>
      <c r="EK210" s="219"/>
      <c r="EL210" s="219"/>
      <c r="EM210" s="219"/>
      <c r="EN210" s="219"/>
      <c r="EO210" s="219"/>
      <c r="EP210" s="219"/>
      <c r="EQ210" s="219"/>
      <c r="ER210" s="219"/>
      <c r="ES210" s="219"/>
      <c r="ET210" s="219"/>
      <c r="EU210" s="219"/>
      <c r="EV210" s="219"/>
      <c r="EW210" s="219"/>
      <c r="EX210" s="219"/>
      <c r="EY210" s="219"/>
      <c r="EZ210" s="219"/>
      <c r="FA210" s="219"/>
      <c r="FB210" s="219"/>
      <c r="FC210" s="219"/>
      <c r="FD210" s="219"/>
      <c r="FE210" s="219"/>
      <c r="FF210" s="219"/>
      <c r="FG210" s="219"/>
      <c r="FH210" s="219"/>
      <c r="FI210" s="219"/>
      <c r="FJ210" s="219"/>
      <c r="FK210" s="219"/>
      <c r="FL210" s="219"/>
      <c r="FM210" s="219"/>
      <c r="FN210" s="219"/>
      <c r="FO210" s="219"/>
      <c r="FP210" s="219"/>
      <c r="FQ210" s="228"/>
      <c r="FR210" s="227"/>
      <c r="FS210" s="219"/>
      <c r="FT210" s="219"/>
      <c r="FU210" s="219"/>
      <c r="FV210" s="228"/>
      <c r="GA210" s="227"/>
      <c r="GB210" s="219"/>
      <c r="GC210" s="219"/>
      <c r="GD210" s="219"/>
      <c r="GE210" s="219"/>
      <c r="GF210" s="219"/>
      <c r="GG210" s="219"/>
      <c r="GH210" s="219"/>
      <c r="GI210" s="219"/>
      <c r="GJ210" s="219"/>
      <c r="GK210" s="219"/>
      <c r="GL210" s="219"/>
      <c r="GM210" s="219"/>
      <c r="GN210" s="219"/>
      <c r="GO210" s="219"/>
      <c r="GP210" s="219"/>
      <c r="GQ210" s="219"/>
      <c r="GR210" s="219"/>
      <c r="GS210" s="219"/>
      <c r="GT210" s="219"/>
      <c r="GU210" s="219"/>
      <c r="GV210" s="219"/>
      <c r="GW210" s="219"/>
      <c r="GX210" s="219"/>
      <c r="GY210" s="219"/>
      <c r="GZ210" s="219"/>
      <c r="HA210" s="219"/>
      <c r="HB210" s="219"/>
      <c r="HC210" s="219"/>
      <c r="HD210" s="219"/>
      <c r="HE210" s="219"/>
      <c r="HF210" s="219"/>
      <c r="HG210" s="219"/>
      <c r="HH210" s="219"/>
      <c r="HI210" s="219"/>
      <c r="HJ210" s="219"/>
      <c r="HK210" s="219"/>
      <c r="HL210" s="219"/>
      <c r="HM210" s="219"/>
      <c r="HN210" s="219"/>
      <c r="HO210" s="219"/>
      <c r="HP210" s="219"/>
      <c r="HQ210" s="228"/>
      <c r="HR210" s="235"/>
      <c r="HS210" s="236"/>
      <c r="HT210" s="236"/>
      <c r="HU210" s="236"/>
      <c r="HV210" s="237"/>
      <c r="ME210" s="180"/>
      <c r="MF210" s="181"/>
    </row>
    <row r="211" spans="4:344" ht="5.0999999999999996" customHeight="1" x14ac:dyDescent="0.3">
      <c r="D211" s="177"/>
      <c r="E211" s="178"/>
      <c r="EA211" s="227"/>
      <c r="EB211" s="219"/>
      <c r="EC211" s="219"/>
      <c r="ED211" s="219"/>
      <c r="EE211" s="219"/>
      <c r="EF211" s="219"/>
      <c r="EG211" s="219"/>
      <c r="EH211" s="219"/>
      <c r="EI211" s="219"/>
      <c r="EJ211" s="219"/>
      <c r="EK211" s="219"/>
      <c r="EL211" s="219"/>
      <c r="EM211" s="219"/>
      <c r="EN211" s="219"/>
      <c r="EO211" s="219"/>
      <c r="EP211" s="219"/>
      <c r="EQ211" s="219"/>
      <c r="ER211" s="219"/>
      <c r="ES211" s="219"/>
      <c r="ET211" s="219"/>
      <c r="EU211" s="219"/>
      <c r="EV211" s="219"/>
      <c r="EW211" s="219"/>
      <c r="EX211" s="219"/>
      <c r="EY211" s="219"/>
      <c r="EZ211" s="219"/>
      <c r="FA211" s="219"/>
      <c r="FB211" s="219"/>
      <c r="FC211" s="219"/>
      <c r="FD211" s="219"/>
      <c r="FE211" s="219"/>
      <c r="FF211" s="219"/>
      <c r="FG211" s="219"/>
      <c r="FH211" s="219"/>
      <c r="FI211" s="219"/>
      <c r="FJ211" s="219"/>
      <c r="FK211" s="219"/>
      <c r="FL211" s="219"/>
      <c r="FM211" s="219"/>
      <c r="FN211" s="219"/>
      <c r="FO211" s="219"/>
      <c r="FP211" s="219"/>
      <c r="FQ211" s="228"/>
      <c r="FR211" s="227"/>
      <c r="FS211" s="219"/>
      <c r="FT211" s="219"/>
      <c r="FU211" s="219"/>
      <c r="FV211" s="228"/>
      <c r="GA211" s="227"/>
      <c r="GB211" s="219"/>
      <c r="GC211" s="219"/>
      <c r="GD211" s="219"/>
      <c r="GE211" s="219"/>
      <c r="GF211" s="219"/>
      <c r="GG211" s="219"/>
      <c r="GH211" s="219"/>
      <c r="GI211" s="219"/>
      <c r="GJ211" s="219"/>
      <c r="GK211" s="219"/>
      <c r="GL211" s="219"/>
      <c r="GM211" s="219"/>
      <c r="GN211" s="219"/>
      <c r="GO211" s="219"/>
      <c r="GP211" s="219"/>
      <c r="GQ211" s="219"/>
      <c r="GR211" s="219"/>
      <c r="GS211" s="219"/>
      <c r="GT211" s="219"/>
      <c r="GU211" s="219"/>
      <c r="GV211" s="219"/>
      <c r="GW211" s="219"/>
      <c r="GX211" s="219"/>
      <c r="GY211" s="219"/>
      <c r="GZ211" s="219"/>
      <c r="HA211" s="219"/>
      <c r="HB211" s="219"/>
      <c r="HC211" s="219"/>
      <c r="HD211" s="219"/>
      <c r="HE211" s="219"/>
      <c r="HF211" s="219"/>
      <c r="HG211" s="219"/>
      <c r="HH211" s="219"/>
      <c r="HI211" s="219"/>
      <c r="HJ211" s="219"/>
      <c r="HK211" s="219"/>
      <c r="HL211" s="219"/>
      <c r="HM211" s="219"/>
      <c r="HN211" s="219"/>
      <c r="HO211" s="219"/>
      <c r="HP211" s="219"/>
      <c r="HQ211" s="228"/>
      <c r="HR211" s="235"/>
      <c r="HS211" s="236"/>
      <c r="HT211" s="236"/>
      <c r="HU211" s="236"/>
      <c r="HV211" s="237"/>
      <c r="ME211" s="180"/>
      <c r="MF211" s="181"/>
    </row>
    <row r="212" spans="4:344" ht="5.0999999999999996" customHeight="1" x14ac:dyDescent="0.3">
      <c r="D212" s="177"/>
      <c r="E212" s="178"/>
      <c r="EA212" s="229"/>
      <c r="EB212" s="230"/>
      <c r="EC212" s="230"/>
      <c r="ED212" s="230"/>
      <c r="EE212" s="230"/>
      <c r="EF212" s="230"/>
      <c r="EG212" s="230"/>
      <c r="EH212" s="230"/>
      <c r="EI212" s="230"/>
      <c r="EJ212" s="230"/>
      <c r="EK212" s="230"/>
      <c r="EL212" s="230"/>
      <c r="EM212" s="230"/>
      <c r="EN212" s="230"/>
      <c r="EO212" s="230"/>
      <c r="EP212" s="230"/>
      <c r="EQ212" s="230"/>
      <c r="ER212" s="230"/>
      <c r="ES212" s="230"/>
      <c r="ET212" s="230"/>
      <c r="EU212" s="230"/>
      <c r="EV212" s="230"/>
      <c r="EW212" s="230"/>
      <c r="EX212" s="230"/>
      <c r="EY212" s="230"/>
      <c r="EZ212" s="230"/>
      <c r="FA212" s="230"/>
      <c r="FB212" s="230"/>
      <c r="FC212" s="230"/>
      <c r="FD212" s="230"/>
      <c r="FE212" s="230"/>
      <c r="FF212" s="230"/>
      <c r="FG212" s="230"/>
      <c r="FH212" s="230"/>
      <c r="FI212" s="230"/>
      <c r="FJ212" s="230"/>
      <c r="FK212" s="230"/>
      <c r="FL212" s="230"/>
      <c r="FM212" s="230"/>
      <c r="FN212" s="230"/>
      <c r="FO212" s="230"/>
      <c r="FP212" s="230"/>
      <c r="FQ212" s="231"/>
      <c r="FR212" s="229"/>
      <c r="FS212" s="230"/>
      <c r="FT212" s="230"/>
      <c r="FU212" s="230"/>
      <c r="FV212" s="231"/>
      <c r="GA212" s="229"/>
      <c r="GB212" s="230"/>
      <c r="GC212" s="230"/>
      <c r="GD212" s="230"/>
      <c r="GE212" s="230"/>
      <c r="GF212" s="230"/>
      <c r="GG212" s="230"/>
      <c r="GH212" s="230"/>
      <c r="GI212" s="230"/>
      <c r="GJ212" s="230"/>
      <c r="GK212" s="230"/>
      <c r="GL212" s="230"/>
      <c r="GM212" s="230"/>
      <c r="GN212" s="230"/>
      <c r="GO212" s="230"/>
      <c r="GP212" s="230"/>
      <c r="GQ212" s="230"/>
      <c r="GR212" s="230"/>
      <c r="GS212" s="230"/>
      <c r="GT212" s="230"/>
      <c r="GU212" s="230"/>
      <c r="GV212" s="230"/>
      <c r="GW212" s="230"/>
      <c r="GX212" s="230"/>
      <c r="GY212" s="230"/>
      <c r="GZ212" s="230"/>
      <c r="HA212" s="230"/>
      <c r="HB212" s="230"/>
      <c r="HC212" s="230"/>
      <c r="HD212" s="230"/>
      <c r="HE212" s="230"/>
      <c r="HF212" s="230"/>
      <c r="HG212" s="230"/>
      <c r="HH212" s="230"/>
      <c r="HI212" s="230"/>
      <c r="HJ212" s="230"/>
      <c r="HK212" s="230"/>
      <c r="HL212" s="230"/>
      <c r="HM212" s="230"/>
      <c r="HN212" s="230"/>
      <c r="HO212" s="230"/>
      <c r="HP212" s="230"/>
      <c r="HQ212" s="231"/>
      <c r="HR212" s="238"/>
      <c r="HS212" s="239"/>
      <c r="HT212" s="239"/>
      <c r="HU212" s="239"/>
      <c r="HV212" s="240"/>
      <c r="ME212" s="180"/>
      <c r="MF212" s="181"/>
    </row>
    <row r="213" spans="4:344" ht="5.0999999999999996" customHeight="1" x14ac:dyDescent="0.3">
      <c r="D213" s="177"/>
      <c r="E213" s="178"/>
      <c r="EA213" s="224" t="s">
        <v>185</v>
      </c>
      <c r="EB213" s="225"/>
      <c r="EC213" s="225"/>
      <c r="ED213" s="225"/>
      <c r="EE213" s="225"/>
      <c r="EF213" s="225"/>
      <c r="EG213" s="225"/>
      <c r="EH213" s="225"/>
      <c r="EI213" s="225"/>
      <c r="EJ213" s="225"/>
      <c r="EK213" s="225"/>
      <c r="EL213" s="225"/>
      <c r="EM213" s="225"/>
      <c r="EN213" s="225"/>
      <c r="EO213" s="225"/>
      <c r="EP213" s="225"/>
      <c r="EQ213" s="225"/>
      <c r="ER213" s="225"/>
      <c r="ES213" s="225"/>
      <c r="ET213" s="225"/>
      <c r="EU213" s="225"/>
      <c r="EV213" s="225"/>
      <c r="EW213" s="225"/>
      <c r="EX213" s="225"/>
      <c r="EY213" s="225"/>
      <c r="EZ213" s="225"/>
      <c r="FA213" s="225"/>
      <c r="FB213" s="225"/>
      <c r="FC213" s="225"/>
      <c r="FD213" s="225"/>
      <c r="FE213" s="225"/>
      <c r="FF213" s="225"/>
      <c r="FG213" s="225"/>
      <c r="FH213" s="225"/>
      <c r="FI213" s="225"/>
      <c r="FJ213" s="225"/>
      <c r="FK213" s="225"/>
      <c r="FL213" s="225"/>
      <c r="FM213" s="225"/>
      <c r="FN213" s="225"/>
      <c r="FO213" s="225"/>
      <c r="FP213" s="225"/>
      <c r="FQ213" s="226"/>
      <c r="FR213" s="224">
        <v>2</v>
      </c>
      <c r="FS213" s="225"/>
      <c r="FT213" s="225"/>
      <c r="FU213" s="225"/>
      <c r="FV213" s="226"/>
      <c r="GA213" s="224" t="s">
        <v>207</v>
      </c>
      <c r="GB213" s="225"/>
      <c r="GC213" s="225"/>
      <c r="GD213" s="225"/>
      <c r="GE213" s="225"/>
      <c r="GF213" s="225"/>
      <c r="GG213" s="225"/>
      <c r="GH213" s="225"/>
      <c r="GI213" s="225"/>
      <c r="GJ213" s="225"/>
      <c r="GK213" s="225"/>
      <c r="GL213" s="225"/>
      <c r="GM213" s="225"/>
      <c r="GN213" s="225"/>
      <c r="GO213" s="225"/>
      <c r="GP213" s="225"/>
      <c r="GQ213" s="225"/>
      <c r="GR213" s="225"/>
      <c r="GS213" s="225"/>
      <c r="GT213" s="225"/>
      <c r="GU213" s="225"/>
      <c r="GV213" s="225"/>
      <c r="GW213" s="225"/>
      <c r="GX213" s="225"/>
      <c r="GY213" s="225"/>
      <c r="GZ213" s="225"/>
      <c r="HA213" s="225"/>
      <c r="HB213" s="225"/>
      <c r="HC213" s="225"/>
      <c r="HD213" s="225"/>
      <c r="HE213" s="225"/>
      <c r="HF213" s="225"/>
      <c r="HG213" s="225"/>
      <c r="HH213" s="225"/>
      <c r="HI213" s="225"/>
      <c r="HJ213" s="225"/>
      <c r="HK213" s="225"/>
      <c r="HL213" s="225"/>
      <c r="HM213" s="225"/>
      <c r="HN213" s="225"/>
      <c r="HO213" s="225"/>
      <c r="HP213" s="225"/>
      <c r="HQ213" s="226"/>
      <c r="HR213" s="232">
        <v>0</v>
      </c>
      <c r="HS213" s="233"/>
      <c r="HT213" s="233"/>
      <c r="HU213" s="233"/>
      <c r="HV213" s="234"/>
      <c r="ME213" s="180"/>
      <c r="MF213" s="181"/>
    </row>
    <row r="214" spans="4:344" ht="5.0999999999999996" customHeight="1" x14ac:dyDescent="0.3">
      <c r="D214" s="177"/>
      <c r="E214" s="178"/>
      <c r="EA214" s="227"/>
      <c r="EB214" s="219"/>
      <c r="EC214" s="219"/>
      <c r="ED214" s="219"/>
      <c r="EE214" s="219"/>
      <c r="EF214" s="219"/>
      <c r="EG214" s="219"/>
      <c r="EH214" s="219"/>
      <c r="EI214" s="219"/>
      <c r="EJ214" s="219"/>
      <c r="EK214" s="219"/>
      <c r="EL214" s="219"/>
      <c r="EM214" s="219"/>
      <c r="EN214" s="219"/>
      <c r="EO214" s="219"/>
      <c r="EP214" s="219"/>
      <c r="EQ214" s="219"/>
      <c r="ER214" s="219"/>
      <c r="ES214" s="219"/>
      <c r="ET214" s="219"/>
      <c r="EU214" s="219"/>
      <c r="EV214" s="219"/>
      <c r="EW214" s="219"/>
      <c r="EX214" s="219"/>
      <c r="EY214" s="219"/>
      <c r="EZ214" s="219"/>
      <c r="FA214" s="219"/>
      <c r="FB214" s="219"/>
      <c r="FC214" s="219"/>
      <c r="FD214" s="219"/>
      <c r="FE214" s="219"/>
      <c r="FF214" s="219"/>
      <c r="FG214" s="219"/>
      <c r="FH214" s="219"/>
      <c r="FI214" s="219"/>
      <c r="FJ214" s="219"/>
      <c r="FK214" s="219"/>
      <c r="FL214" s="219"/>
      <c r="FM214" s="219"/>
      <c r="FN214" s="219"/>
      <c r="FO214" s="219"/>
      <c r="FP214" s="219"/>
      <c r="FQ214" s="228"/>
      <c r="FR214" s="227"/>
      <c r="FS214" s="219"/>
      <c r="FT214" s="219"/>
      <c r="FU214" s="219"/>
      <c r="FV214" s="228"/>
      <c r="GA214" s="227"/>
      <c r="GB214" s="219"/>
      <c r="GC214" s="219"/>
      <c r="GD214" s="219"/>
      <c r="GE214" s="219"/>
      <c r="GF214" s="219"/>
      <c r="GG214" s="219"/>
      <c r="GH214" s="219"/>
      <c r="GI214" s="219"/>
      <c r="GJ214" s="219"/>
      <c r="GK214" s="219"/>
      <c r="GL214" s="219"/>
      <c r="GM214" s="219"/>
      <c r="GN214" s="219"/>
      <c r="GO214" s="219"/>
      <c r="GP214" s="219"/>
      <c r="GQ214" s="219"/>
      <c r="GR214" s="219"/>
      <c r="GS214" s="219"/>
      <c r="GT214" s="219"/>
      <c r="GU214" s="219"/>
      <c r="GV214" s="219"/>
      <c r="GW214" s="219"/>
      <c r="GX214" s="219"/>
      <c r="GY214" s="219"/>
      <c r="GZ214" s="219"/>
      <c r="HA214" s="219"/>
      <c r="HB214" s="219"/>
      <c r="HC214" s="219"/>
      <c r="HD214" s="219"/>
      <c r="HE214" s="219"/>
      <c r="HF214" s="219"/>
      <c r="HG214" s="219"/>
      <c r="HH214" s="219"/>
      <c r="HI214" s="219"/>
      <c r="HJ214" s="219"/>
      <c r="HK214" s="219"/>
      <c r="HL214" s="219"/>
      <c r="HM214" s="219"/>
      <c r="HN214" s="219"/>
      <c r="HO214" s="219"/>
      <c r="HP214" s="219"/>
      <c r="HQ214" s="228"/>
      <c r="HR214" s="235"/>
      <c r="HS214" s="236"/>
      <c r="HT214" s="236"/>
      <c r="HU214" s="236"/>
      <c r="HV214" s="237"/>
      <c r="ME214" s="180"/>
      <c r="MF214" s="181"/>
    </row>
    <row r="215" spans="4:344" ht="5.0999999999999996" customHeight="1" x14ac:dyDescent="0.3">
      <c r="D215" s="177"/>
      <c r="E215" s="178"/>
      <c r="EA215" s="227"/>
      <c r="EB215" s="219"/>
      <c r="EC215" s="219"/>
      <c r="ED215" s="219"/>
      <c r="EE215" s="219"/>
      <c r="EF215" s="219"/>
      <c r="EG215" s="219"/>
      <c r="EH215" s="219"/>
      <c r="EI215" s="219"/>
      <c r="EJ215" s="219"/>
      <c r="EK215" s="219"/>
      <c r="EL215" s="219"/>
      <c r="EM215" s="219"/>
      <c r="EN215" s="219"/>
      <c r="EO215" s="219"/>
      <c r="EP215" s="219"/>
      <c r="EQ215" s="219"/>
      <c r="ER215" s="219"/>
      <c r="ES215" s="219"/>
      <c r="ET215" s="219"/>
      <c r="EU215" s="219"/>
      <c r="EV215" s="219"/>
      <c r="EW215" s="219"/>
      <c r="EX215" s="219"/>
      <c r="EY215" s="219"/>
      <c r="EZ215" s="219"/>
      <c r="FA215" s="219"/>
      <c r="FB215" s="219"/>
      <c r="FC215" s="219"/>
      <c r="FD215" s="219"/>
      <c r="FE215" s="219"/>
      <c r="FF215" s="219"/>
      <c r="FG215" s="219"/>
      <c r="FH215" s="219"/>
      <c r="FI215" s="219"/>
      <c r="FJ215" s="219"/>
      <c r="FK215" s="219"/>
      <c r="FL215" s="219"/>
      <c r="FM215" s="219"/>
      <c r="FN215" s="219"/>
      <c r="FO215" s="219"/>
      <c r="FP215" s="219"/>
      <c r="FQ215" s="228"/>
      <c r="FR215" s="227"/>
      <c r="FS215" s="219"/>
      <c r="FT215" s="219"/>
      <c r="FU215" s="219"/>
      <c r="FV215" s="228"/>
      <c r="GA215" s="227"/>
      <c r="GB215" s="219"/>
      <c r="GC215" s="219"/>
      <c r="GD215" s="219"/>
      <c r="GE215" s="219"/>
      <c r="GF215" s="219"/>
      <c r="GG215" s="219"/>
      <c r="GH215" s="219"/>
      <c r="GI215" s="219"/>
      <c r="GJ215" s="219"/>
      <c r="GK215" s="219"/>
      <c r="GL215" s="219"/>
      <c r="GM215" s="219"/>
      <c r="GN215" s="219"/>
      <c r="GO215" s="219"/>
      <c r="GP215" s="219"/>
      <c r="GQ215" s="219"/>
      <c r="GR215" s="219"/>
      <c r="GS215" s="219"/>
      <c r="GT215" s="219"/>
      <c r="GU215" s="219"/>
      <c r="GV215" s="219"/>
      <c r="GW215" s="219"/>
      <c r="GX215" s="219"/>
      <c r="GY215" s="219"/>
      <c r="GZ215" s="219"/>
      <c r="HA215" s="219"/>
      <c r="HB215" s="219"/>
      <c r="HC215" s="219"/>
      <c r="HD215" s="219"/>
      <c r="HE215" s="219"/>
      <c r="HF215" s="219"/>
      <c r="HG215" s="219"/>
      <c r="HH215" s="219"/>
      <c r="HI215" s="219"/>
      <c r="HJ215" s="219"/>
      <c r="HK215" s="219"/>
      <c r="HL215" s="219"/>
      <c r="HM215" s="219"/>
      <c r="HN215" s="219"/>
      <c r="HO215" s="219"/>
      <c r="HP215" s="219"/>
      <c r="HQ215" s="228"/>
      <c r="HR215" s="235"/>
      <c r="HS215" s="236"/>
      <c r="HT215" s="236"/>
      <c r="HU215" s="236"/>
      <c r="HV215" s="237"/>
      <c r="ME215" s="180"/>
      <c r="MF215" s="181"/>
    </row>
    <row r="216" spans="4:344" ht="5.0999999999999996" customHeight="1" x14ac:dyDescent="0.3">
      <c r="D216" s="177"/>
      <c r="E216" s="178"/>
      <c r="EA216" s="229"/>
      <c r="EB216" s="230"/>
      <c r="EC216" s="230"/>
      <c r="ED216" s="230"/>
      <c r="EE216" s="230"/>
      <c r="EF216" s="230"/>
      <c r="EG216" s="230"/>
      <c r="EH216" s="230"/>
      <c r="EI216" s="230"/>
      <c r="EJ216" s="230"/>
      <c r="EK216" s="230"/>
      <c r="EL216" s="230"/>
      <c r="EM216" s="230"/>
      <c r="EN216" s="230"/>
      <c r="EO216" s="230"/>
      <c r="EP216" s="230"/>
      <c r="EQ216" s="230"/>
      <c r="ER216" s="230"/>
      <c r="ES216" s="230"/>
      <c r="ET216" s="230"/>
      <c r="EU216" s="230"/>
      <c r="EV216" s="230"/>
      <c r="EW216" s="230"/>
      <c r="EX216" s="230"/>
      <c r="EY216" s="230"/>
      <c r="EZ216" s="230"/>
      <c r="FA216" s="230"/>
      <c r="FB216" s="230"/>
      <c r="FC216" s="230"/>
      <c r="FD216" s="230"/>
      <c r="FE216" s="230"/>
      <c r="FF216" s="230"/>
      <c r="FG216" s="230"/>
      <c r="FH216" s="230"/>
      <c r="FI216" s="230"/>
      <c r="FJ216" s="230"/>
      <c r="FK216" s="230"/>
      <c r="FL216" s="230"/>
      <c r="FM216" s="230"/>
      <c r="FN216" s="230"/>
      <c r="FO216" s="230"/>
      <c r="FP216" s="230"/>
      <c r="FQ216" s="231"/>
      <c r="FR216" s="229"/>
      <c r="FS216" s="230"/>
      <c r="FT216" s="230"/>
      <c r="FU216" s="230"/>
      <c r="FV216" s="231"/>
      <c r="GA216" s="229"/>
      <c r="GB216" s="230"/>
      <c r="GC216" s="230"/>
      <c r="GD216" s="230"/>
      <c r="GE216" s="230"/>
      <c r="GF216" s="230"/>
      <c r="GG216" s="230"/>
      <c r="GH216" s="230"/>
      <c r="GI216" s="230"/>
      <c r="GJ216" s="230"/>
      <c r="GK216" s="230"/>
      <c r="GL216" s="230"/>
      <c r="GM216" s="230"/>
      <c r="GN216" s="230"/>
      <c r="GO216" s="230"/>
      <c r="GP216" s="230"/>
      <c r="GQ216" s="230"/>
      <c r="GR216" s="230"/>
      <c r="GS216" s="230"/>
      <c r="GT216" s="230"/>
      <c r="GU216" s="230"/>
      <c r="GV216" s="230"/>
      <c r="GW216" s="230"/>
      <c r="GX216" s="230"/>
      <c r="GY216" s="230"/>
      <c r="GZ216" s="230"/>
      <c r="HA216" s="230"/>
      <c r="HB216" s="230"/>
      <c r="HC216" s="230"/>
      <c r="HD216" s="230"/>
      <c r="HE216" s="230"/>
      <c r="HF216" s="230"/>
      <c r="HG216" s="230"/>
      <c r="HH216" s="230"/>
      <c r="HI216" s="230"/>
      <c r="HJ216" s="230"/>
      <c r="HK216" s="230"/>
      <c r="HL216" s="230"/>
      <c r="HM216" s="230"/>
      <c r="HN216" s="230"/>
      <c r="HO216" s="230"/>
      <c r="HP216" s="230"/>
      <c r="HQ216" s="231"/>
      <c r="HR216" s="238"/>
      <c r="HS216" s="239"/>
      <c r="HT216" s="239"/>
      <c r="HU216" s="239"/>
      <c r="HV216" s="240"/>
      <c r="ME216" s="180"/>
      <c r="MF216" s="181"/>
    </row>
    <row r="217" spans="4:344" ht="5.0999999999999996" customHeight="1" x14ac:dyDescent="0.3">
      <c r="D217" s="177"/>
      <c r="E217" s="178"/>
      <c r="EA217" s="224" t="s">
        <v>186</v>
      </c>
      <c r="EB217" s="225"/>
      <c r="EC217" s="225"/>
      <c r="ED217" s="225"/>
      <c r="EE217" s="225"/>
      <c r="EF217" s="225"/>
      <c r="EG217" s="225"/>
      <c r="EH217" s="225"/>
      <c r="EI217" s="225"/>
      <c r="EJ217" s="225"/>
      <c r="EK217" s="225"/>
      <c r="EL217" s="225"/>
      <c r="EM217" s="225"/>
      <c r="EN217" s="225"/>
      <c r="EO217" s="225"/>
      <c r="EP217" s="225"/>
      <c r="EQ217" s="225"/>
      <c r="ER217" s="225"/>
      <c r="ES217" s="225"/>
      <c r="ET217" s="225"/>
      <c r="EU217" s="225"/>
      <c r="EV217" s="225"/>
      <c r="EW217" s="225"/>
      <c r="EX217" s="225"/>
      <c r="EY217" s="225"/>
      <c r="EZ217" s="225"/>
      <c r="FA217" s="225"/>
      <c r="FB217" s="225"/>
      <c r="FC217" s="225"/>
      <c r="FD217" s="225"/>
      <c r="FE217" s="225"/>
      <c r="FF217" s="225"/>
      <c r="FG217" s="225"/>
      <c r="FH217" s="225"/>
      <c r="FI217" s="225"/>
      <c r="FJ217" s="225"/>
      <c r="FK217" s="225"/>
      <c r="FL217" s="225"/>
      <c r="FM217" s="225"/>
      <c r="FN217" s="225"/>
      <c r="FO217" s="225"/>
      <c r="FP217" s="225"/>
      <c r="FQ217" s="226"/>
      <c r="FR217" s="224">
        <v>1</v>
      </c>
      <c r="FS217" s="225"/>
      <c r="FT217" s="225"/>
      <c r="FU217" s="225"/>
      <c r="FV217" s="226"/>
      <c r="GA217" s="224" t="s">
        <v>208</v>
      </c>
      <c r="GB217" s="225"/>
      <c r="GC217" s="225"/>
      <c r="GD217" s="225"/>
      <c r="GE217" s="225"/>
      <c r="GF217" s="225"/>
      <c r="GG217" s="225"/>
      <c r="GH217" s="225"/>
      <c r="GI217" s="225"/>
      <c r="GJ217" s="225"/>
      <c r="GK217" s="225"/>
      <c r="GL217" s="225"/>
      <c r="GM217" s="225"/>
      <c r="GN217" s="225"/>
      <c r="GO217" s="225"/>
      <c r="GP217" s="225"/>
      <c r="GQ217" s="225"/>
      <c r="GR217" s="225"/>
      <c r="GS217" s="225"/>
      <c r="GT217" s="225"/>
      <c r="GU217" s="225"/>
      <c r="GV217" s="225"/>
      <c r="GW217" s="225"/>
      <c r="GX217" s="225"/>
      <c r="GY217" s="225"/>
      <c r="GZ217" s="225"/>
      <c r="HA217" s="225"/>
      <c r="HB217" s="225"/>
      <c r="HC217" s="225"/>
      <c r="HD217" s="225"/>
      <c r="HE217" s="225"/>
      <c r="HF217" s="225"/>
      <c r="HG217" s="225"/>
      <c r="HH217" s="225"/>
      <c r="HI217" s="225"/>
      <c r="HJ217" s="225"/>
      <c r="HK217" s="225"/>
      <c r="HL217" s="225"/>
      <c r="HM217" s="225"/>
      <c r="HN217" s="225"/>
      <c r="HO217" s="225"/>
      <c r="HP217" s="225"/>
      <c r="HQ217" s="226"/>
      <c r="HR217" s="232">
        <v>0</v>
      </c>
      <c r="HS217" s="233"/>
      <c r="HT217" s="233"/>
      <c r="HU217" s="233"/>
      <c r="HV217" s="234"/>
      <c r="ME217" s="180"/>
      <c r="MF217" s="181"/>
    </row>
    <row r="218" spans="4:344" ht="5.0999999999999996" customHeight="1" x14ac:dyDescent="0.3">
      <c r="D218" s="177"/>
      <c r="E218" s="178"/>
      <c r="EA218" s="227"/>
      <c r="EB218" s="219"/>
      <c r="EC218" s="219"/>
      <c r="ED218" s="219"/>
      <c r="EE218" s="219"/>
      <c r="EF218" s="219"/>
      <c r="EG218" s="219"/>
      <c r="EH218" s="219"/>
      <c r="EI218" s="219"/>
      <c r="EJ218" s="219"/>
      <c r="EK218" s="219"/>
      <c r="EL218" s="219"/>
      <c r="EM218" s="219"/>
      <c r="EN218" s="219"/>
      <c r="EO218" s="219"/>
      <c r="EP218" s="219"/>
      <c r="EQ218" s="219"/>
      <c r="ER218" s="219"/>
      <c r="ES218" s="219"/>
      <c r="ET218" s="219"/>
      <c r="EU218" s="219"/>
      <c r="EV218" s="219"/>
      <c r="EW218" s="219"/>
      <c r="EX218" s="219"/>
      <c r="EY218" s="219"/>
      <c r="EZ218" s="219"/>
      <c r="FA218" s="219"/>
      <c r="FB218" s="219"/>
      <c r="FC218" s="219"/>
      <c r="FD218" s="219"/>
      <c r="FE218" s="219"/>
      <c r="FF218" s="219"/>
      <c r="FG218" s="219"/>
      <c r="FH218" s="219"/>
      <c r="FI218" s="219"/>
      <c r="FJ218" s="219"/>
      <c r="FK218" s="219"/>
      <c r="FL218" s="219"/>
      <c r="FM218" s="219"/>
      <c r="FN218" s="219"/>
      <c r="FO218" s="219"/>
      <c r="FP218" s="219"/>
      <c r="FQ218" s="228"/>
      <c r="FR218" s="227"/>
      <c r="FS218" s="219"/>
      <c r="FT218" s="219"/>
      <c r="FU218" s="219"/>
      <c r="FV218" s="228"/>
      <c r="GA218" s="227"/>
      <c r="GB218" s="219"/>
      <c r="GC218" s="219"/>
      <c r="GD218" s="219"/>
      <c r="GE218" s="219"/>
      <c r="GF218" s="219"/>
      <c r="GG218" s="219"/>
      <c r="GH218" s="219"/>
      <c r="GI218" s="219"/>
      <c r="GJ218" s="219"/>
      <c r="GK218" s="219"/>
      <c r="GL218" s="219"/>
      <c r="GM218" s="219"/>
      <c r="GN218" s="219"/>
      <c r="GO218" s="219"/>
      <c r="GP218" s="219"/>
      <c r="GQ218" s="219"/>
      <c r="GR218" s="219"/>
      <c r="GS218" s="219"/>
      <c r="GT218" s="219"/>
      <c r="GU218" s="219"/>
      <c r="GV218" s="219"/>
      <c r="GW218" s="219"/>
      <c r="GX218" s="219"/>
      <c r="GY218" s="219"/>
      <c r="GZ218" s="219"/>
      <c r="HA218" s="219"/>
      <c r="HB218" s="219"/>
      <c r="HC218" s="219"/>
      <c r="HD218" s="219"/>
      <c r="HE218" s="219"/>
      <c r="HF218" s="219"/>
      <c r="HG218" s="219"/>
      <c r="HH218" s="219"/>
      <c r="HI218" s="219"/>
      <c r="HJ218" s="219"/>
      <c r="HK218" s="219"/>
      <c r="HL218" s="219"/>
      <c r="HM218" s="219"/>
      <c r="HN218" s="219"/>
      <c r="HO218" s="219"/>
      <c r="HP218" s="219"/>
      <c r="HQ218" s="228"/>
      <c r="HR218" s="235"/>
      <c r="HS218" s="236"/>
      <c r="HT218" s="236"/>
      <c r="HU218" s="236"/>
      <c r="HV218" s="237"/>
      <c r="ME218" s="180"/>
      <c r="MF218" s="181"/>
    </row>
    <row r="219" spans="4:344" ht="5.0999999999999996" customHeight="1" thickBot="1" x14ac:dyDescent="0.35">
      <c r="D219" s="177"/>
      <c r="E219" s="178"/>
      <c r="EA219" s="227"/>
      <c r="EB219" s="219"/>
      <c r="EC219" s="219"/>
      <c r="ED219" s="219"/>
      <c r="EE219" s="219"/>
      <c r="EF219" s="219"/>
      <c r="EG219" s="219"/>
      <c r="EH219" s="219"/>
      <c r="EI219" s="219"/>
      <c r="EJ219" s="219"/>
      <c r="EK219" s="219"/>
      <c r="EL219" s="219"/>
      <c r="EM219" s="219"/>
      <c r="EN219" s="219"/>
      <c r="EO219" s="219"/>
      <c r="EP219" s="219"/>
      <c r="EQ219" s="219"/>
      <c r="ER219" s="219"/>
      <c r="ES219" s="219"/>
      <c r="ET219" s="219"/>
      <c r="EU219" s="219"/>
      <c r="EV219" s="219"/>
      <c r="EW219" s="219"/>
      <c r="EX219" s="219"/>
      <c r="EY219" s="219"/>
      <c r="EZ219" s="219"/>
      <c r="FA219" s="219"/>
      <c r="FB219" s="219"/>
      <c r="FC219" s="219"/>
      <c r="FD219" s="219"/>
      <c r="FE219" s="219"/>
      <c r="FF219" s="219"/>
      <c r="FG219" s="219"/>
      <c r="FH219" s="219"/>
      <c r="FI219" s="219"/>
      <c r="FJ219" s="219"/>
      <c r="FK219" s="219"/>
      <c r="FL219" s="219"/>
      <c r="FM219" s="219"/>
      <c r="FN219" s="219"/>
      <c r="FO219" s="219"/>
      <c r="FP219" s="219"/>
      <c r="FQ219" s="228"/>
      <c r="FR219" s="227"/>
      <c r="FS219" s="219"/>
      <c r="FT219" s="219"/>
      <c r="FU219" s="219"/>
      <c r="FV219" s="228"/>
      <c r="GA219" s="227"/>
      <c r="GB219" s="219"/>
      <c r="GC219" s="219"/>
      <c r="GD219" s="219"/>
      <c r="GE219" s="219"/>
      <c r="GF219" s="219"/>
      <c r="GG219" s="219"/>
      <c r="GH219" s="219"/>
      <c r="GI219" s="219"/>
      <c r="GJ219" s="219"/>
      <c r="GK219" s="219"/>
      <c r="GL219" s="219"/>
      <c r="GM219" s="219"/>
      <c r="GN219" s="219"/>
      <c r="GO219" s="219"/>
      <c r="GP219" s="219"/>
      <c r="GQ219" s="219"/>
      <c r="GR219" s="219"/>
      <c r="GS219" s="219"/>
      <c r="GT219" s="219"/>
      <c r="GU219" s="219"/>
      <c r="GV219" s="219"/>
      <c r="GW219" s="219"/>
      <c r="GX219" s="219"/>
      <c r="GY219" s="219"/>
      <c r="GZ219" s="219"/>
      <c r="HA219" s="219"/>
      <c r="HB219" s="219"/>
      <c r="HC219" s="219"/>
      <c r="HD219" s="219"/>
      <c r="HE219" s="219"/>
      <c r="HF219" s="219"/>
      <c r="HG219" s="219"/>
      <c r="HH219" s="219"/>
      <c r="HI219" s="219"/>
      <c r="HJ219" s="219"/>
      <c r="HK219" s="219"/>
      <c r="HL219" s="219"/>
      <c r="HM219" s="219"/>
      <c r="HN219" s="219"/>
      <c r="HO219" s="219"/>
      <c r="HP219" s="219"/>
      <c r="HQ219" s="228"/>
      <c r="HR219" s="235"/>
      <c r="HS219" s="236"/>
      <c r="HT219" s="236"/>
      <c r="HU219" s="236"/>
      <c r="HV219" s="237"/>
      <c r="ME219" s="180"/>
      <c r="MF219" s="181"/>
    </row>
    <row r="220" spans="4:344" ht="5.0999999999999996" customHeight="1" x14ac:dyDescent="0.3">
      <c r="D220" s="177"/>
      <c r="E220" s="178"/>
      <c r="H220" s="215" t="s">
        <v>209</v>
      </c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  <c r="AH220" s="216"/>
      <c r="AI220" s="217"/>
      <c r="AJ220" s="215" t="s">
        <v>210</v>
      </c>
      <c r="AK220" s="216"/>
      <c r="AL220" s="216"/>
      <c r="AM220" s="216"/>
      <c r="AN220" s="216"/>
      <c r="AO220" s="216"/>
      <c r="AP220" s="216"/>
      <c r="AQ220" s="216"/>
      <c r="AR220" s="216"/>
      <c r="AS220" s="216"/>
      <c r="AT220" s="216"/>
      <c r="AU220" s="216"/>
      <c r="AV220" s="216"/>
      <c r="AW220" s="216"/>
      <c r="AX220" s="216"/>
      <c r="AY220" s="216"/>
      <c r="AZ220" s="216"/>
      <c r="BA220" s="216"/>
      <c r="BB220" s="216"/>
      <c r="BC220" s="216"/>
      <c r="BD220" s="216"/>
      <c r="BE220" s="216"/>
      <c r="BF220" s="216"/>
      <c r="BG220" s="216"/>
      <c r="BH220" s="216"/>
      <c r="BI220" s="216"/>
      <c r="BJ220" s="216"/>
      <c r="BK220" s="217"/>
      <c r="BL220" s="215" t="s">
        <v>211</v>
      </c>
      <c r="BM220" s="216"/>
      <c r="BN220" s="216"/>
      <c r="BO220" s="216"/>
      <c r="BP220" s="216"/>
      <c r="BQ220" s="216"/>
      <c r="BR220" s="216"/>
      <c r="BS220" s="216"/>
      <c r="BT220" s="216"/>
      <c r="BU220" s="216"/>
      <c r="BV220" s="216"/>
      <c r="BW220" s="216"/>
      <c r="BX220" s="216"/>
      <c r="BY220" s="216"/>
      <c r="BZ220" s="216"/>
      <c r="CA220" s="216"/>
      <c r="CB220" s="216"/>
      <c r="CC220" s="216"/>
      <c r="CD220" s="216"/>
      <c r="CE220" s="216"/>
      <c r="CF220" s="216"/>
      <c r="CG220" s="216"/>
      <c r="CH220" s="216"/>
      <c r="CI220" s="216"/>
      <c r="CJ220" s="216"/>
      <c r="CK220" s="216"/>
      <c r="CL220" s="216"/>
      <c r="CM220" s="217"/>
      <c r="EA220" s="229"/>
      <c r="EB220" s="230"/>
      <c r="EC220" s="230"/>
      <c r="ED220" s="230"/>
      <c r="EE220" s="230"/>
      <c r="EF220" s="230"/>
      <c r="EG220" s="230"/>
      <c r="EH220" s="230"/>
      <c r="EI220" s="230"/>
      <c r="EJ220" s="230"/>
      <c r="EK220" s="230"/>
      <c r="EL220" s="230"/>
      <c r="EM220" s="230"/>
      <c r="EN220" s="230"/>
      <c r="EO220" s="230"/>
      <c r="EP220" s="230"/>
      <c r="EQ220" s="230"/>
      <c r="ER220" s="230"/>
      <c r="ES220" s="230"/>
      <c r="ET220" s="230"/>
      <c r="EU220" s="230"/>
      <c r="EV220" s="230"/>
      <c r="EW220" s="230"/>
      <c r="EX220" s="230"/>
      <c r="EY220" s="230"/>
      <c r="EZ220" s="230"/>
      <c r="FA220" s="230"/>
      <c r="FB220" s="230"/>
      <c r="FC220" s="230"/>
      <c r="FD220" s="230"/>
      <c r="FE220" s="230"/>
      <c r="FF220" s="230"/>
      <c r="FG220" s="230"/>
      <c r="FH220" s="230"/>
      <c r="FI220" s="230"/>
      <c r="FJ220" s="230"/>
      <c r="FK220" s="230"/>
      <c r="FL220" s="230"/>
      <c r="FM220" s="230"/>
      <c r="FN220" s="230"/>
      <c r="FO220" s="230"/>
      <c r="FP220" s="230"/>
      <c r="FQ220" s="231"/>
      <c r="FR220" s="229"/>
      <c r="FS220" s="230"/>
      <c r="FT220" s="230"/>
      <c r="FU220" s="230"/>
      <c r="FV220" s="231"/>
      <c r="GA220" s="229"/>
      <c r="GB220" s="230"/>
      <c r="GC220" s="230"/>
      <c r="GD220" s="230"/>
      <c r="GE220" s="230"/>
      <c r="GF220" s="230"/>
      <c r="GG220" s="230"/>
      <c r="GH220" s="230"/>
      <c r="GI220" s="230"/>
      <c r="GJ220" s="230"/>
      <c r="GK220" s="230"/>
      <c r="GL220" s="230"/>
      <c r="GM220" s="230"/>
      <c r="GN220" s="230"/>
      <c r="GO220" s="230"/>
      <c r="GP220" s="230"/>
      <c r="GQ220" s="230"/>
      <c r="GR220" s="230"/>
      <c r="GS220" s="230"/>
      <c r="GT220" s="230"/>
      <c r="GU220" s="230"/>
      <c r="GV220" s="230"/>
      <c r="GW220" s="230"/>
      <c r="GX220" s="230"/>
      <c r="GY220" s="230"/>
      <c r="GZ220" s="230"/>
      <c r="HA220" s="230"/>
      <c r="HB220" s="230"/>
      <c r="HC220" s="230"/>
      <c r="HD220" s="230"/>
      <c r="HE220" s="230"/>
      <c r="HF220" s="230"/>
      <c r="HG220" s="230"/>
      <c r="HH220" s="230"/>
      <c r="HI220" s="230"/>
      <c r="HJ220" s="230"/>
      <c r="HK220" s="230"/>
      <c r="HL220" s="230"/>
      <c r="HM220" s="230"/>
      <c r="HN220" s="230"/>
      <c r="HO220" s="230"/>
      <c r="HP220" s="230"/>
      <c r="HQ220" s="231"/>
      <c r="HR220" s="238"/>
      <c r="HS220" s="239"/>
      <c r="HT220" s="239"/>
      <c r="HU220" s="239"/>
      <c r="HV220" s="240"/>
      <c r="JP220" s="243" t="s">
        <v>212</v>
      </c>
      <c r="JQ220" s="244"/>
      <c r="JR220" s="244"/>
      <c r="JS220" s="244"/>
      <c r="JT220" s="244"/>
      <c r="JU220" s="244"/>
      <c r="JV220" s="244"/>
      <c r="JW220" s="244"/>
      <c r="JX220" s="244"/>
      <c r="JY220" s="244"/>
      <c r="JZ220" s="244"/>
      <c r="KA220" s="244"/>
      <c r="KB220" s="244"/>
      <c r="KC220" s="244"/>
      <c r="KD220" s="244"/>
      <c r="KE220" s="244"/>
      <c r="KF220" s="244"/>
      <c r="KG220" s="244"/>
      <c r="KH220" s="244"/>
      <c r="KI220" s="244"/>
      <c r="KJ220" s="244"/>
      <c r="KK220" s="244"/>
      <c r="KL220" s="244"/>
      <c r="KM220" s="244"/>
      <c r="KN220" s="244"/>
      <c r="KO220" s="244"/>
      <c r="KP220" s="244"/>
      <c r="KQ220" s="244"/>
      <c r="KR220" s="244"/>
      <c r="KS220" s="244"/>
      <c r="KT220" s="244"/>
      <c r="KU220" s="244"/>
      <c r="KV220" s="244"/>
      <c r="KW220" s="244"/>
      <c r="KX220" s="244"/>
      <c r="KY220" s="244"/>
      <c r="KZ220" s="244"/>
      <c r="LA220" s="244"/>
      <c r="LB220" s="244"/>
      <c r="LC220" s="244"/>
      <c r="LD220" s="244"/>
      <c r="LE220" s="244"/>
      <c r="LF220" s="244"/>
      <c r="LG220" s="244"/>
      <c r="LH220" s="244"/>
      <c r="LI220" s="244"/>
      <c r="LJ220" s="244"/>
      <c r="LK220" s="244"/>
      <c r="LL220" s="244"/>
      <c r="LM220" s="245"/>
      <c r="LN220" s="252">
        <f>SUM(GN19,EV40,AX38,EV64,FN109,FN119,LO38,CV64,IN45,EV74)</f>
        <v>57</v>
      </c>
      <c r="LO220" s="253"/>
      <c r="LP220" s="253"/>
      <c r="LQ220" s="253"/>
      <c r="LR220" s="253"/>
      <c r="LS220" s="253"/>
      <c r="LT220" s="253"/>
      <c r="LU220" s="253"/>
      <c r="LV220" s="253"/>
      <c r="LW220" s="253"/>
      <c r="LX220" s="253"/>
      <c r="LY220" s="254"/>
      <c r="ME220" s="180"/>
      <c r="MF220" s="181"/>
    </row>
    <row r="221" spans="4:344" ht="5.0999999999999996" customHeight="1" x14ac:dyDescent="0.3">
      <c r="D221" s="177"/>
      <c r="E221" s="178"/>
      <c r="H221" s="218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20"/>
      <c r="AJ221" s="218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19"/>
      <c r="AU221" s="219"/>
      <c r="AV221" s="219"/>
      <c r="AW221" s="219"/>
      <c r="AX221" s="219"/>
      <c r="AY221" s="219"/>
      <c r="AZ221" s="219"/>
      <c r="BA221" s="219"/>
      <c r="BB221" s="219"/>
      <c r="BC221" s="219"/>
      <c r="BD221" s="219"/>
      <c r="BE221" s="219"/>
      <c r="BF221" s="219"/>
      <c r="BG221" s="219"/>
      <c r="BH221" s="219"/>
      <c r="BI221" s="219"/>
      <c r="BJ221" s="219"/>
      <c r="BK221" s="220"/>
      <c r="BL221" s="218"/>
      <c r="BM221" s="219"/>
      <c r="BN221" s="219"/>
      <c r="BO221" s="219"/>
      <c r="BP221" s="219"/>
      <c r="BQ221" s="219"/>
      <c r="BR221" s="219"/>
      <c r="BS221" s="219"/>
      <c r="BT221" s="219"/>
      <c r="BU221" s="219"/>
      <c r="BV221" s="219"/>
      <c r="BW221" s="219"/>
      <c r="BX221" s="219"/>
      <c r="BY221" s="219"/>
      <c r="BZ221" s="219"/>
      <c r="CA221" s="219"/>
      <c r="CB221" s="219"/>
      <c r="CC221" s="219"/>
      <c r="CD221" s="219"/>
      <c r="CE221" s="219"/>
      <c r="CF221" s="219"/>
      <c r="CG221" s="219"/>
      <c r="CH221" s="219"/>
      <c r="CI221" s="219"/>
      <c r="CJ221" s="219"/>
      <c r="CK221" s="219"/>
      <c r="CL221" s="219"/>
      <c r="CM221" s="220"/>
      <c r="EA221" s="224" t="s">
        <v>213</v>
      </c>
      <c r="EB221" s="225"/>
      <c r="EC221" s="225"/>
      <c r="ED221" s="225"/>
      <c r="EE221" s="225"/>
      <c r="EF221" s="225"/>
      <c r="EG221" s="225"/>
      <c r="EH221" s="225"/>
      <c r="EI221" s="225"/>
      <c r="EJ221" s="225"/>
      <c r="EK221" s="225"/>
      <c r="EL221" s="225"/>
      <c r="EM221" s="225"/>
      <c r="EN221" s="225"/>
      <c r="EO221" s="225"/>
      <c r="EP221" s="225"/>
      <c r="EQ221" s="225"/>
      <c r="ER221" s="225"/>
      <c r="ES221" s="225"/>
      <c r="ET221" s="225"/>
      <c r="EU221" s="225"/>
      <c r="EV221" s="225"/>
      <c r="EW221" s="225"/>
      <c r="EX221" s="225"/>
      <c r="EY221" s="225"/>
      <c r="EZ221" s="225"/>
      <c r="FA221" s="225"/>
      <c r="FB221" s="225"/>
      <c r="FC221" s="225"/>
      <c r="FD221" s="225"/>
      <c r="FE221" s="225"/>
      <c r="FF221" s="225"/>
      <c r="FG221" s="225"/>
      <c r="FH221" s="225"/>
      <c r="FI221" s="225"/>
      <c r="FJ221" s="225"/>
      <c r="FK221" s="225"/>
      <c r="FL221" s="225"/>
      <c r="FM221" s="225"/>
      <c r="FN221" s="225"/>
      <c r="FO221" s="225"/>
      <c r="FP221" s="225"/>
      <c r="FQ221" s="226"/>
      <c r="FR221" s="224">
        <v>1</v>
      </c>
      <c r="FS221" s="225"/>
      <c r="FT221" s="225"/>
      <c r="FU221" s="225"/>
      <c r="FV221" s="226"/>
      <c r="GA221" s="224" t="s">
        <v>214</v>
      </c>
      <c r="GB221" s="225"/>
      <c r="GC221" s="225"/>
      <c r="GD221" s="225"/>
      <c r="GE221" s="225"/>
      <c r="GF221" s="225"/>
      <c r="GG221" s="225"/>
      <c r="GH221" s="225"/>
      <c r="GI221" s="225"/>
      <c r="GJ221" s="225"/>
      <c r="GK221" s="225"/>
      <c r="GL221" s="225"/>
      <c r="GM221" s="225"/>
      <c r="GN221" s="225"/>
      <c r="GO221" s="225"/>
      <c r="GP221" s="225"/>
      <c r="GQ221" s="225"/>
      <c r="GR221" s="225"/>
      <c r="GS221" s="225"/>
      <c r="GT221" s="225"/>
      <c r="GU221" s="225"/>
      <c r="GV221" s="225"/>
      <c r="GW221" s="225"/>
      <c r="GX221" s="225"/>
      <c r="GY221" s="225"/>
      <c r="GZ221" s="225"/>
      <c r="HA221" s="225"/>
      <c r="HB221" s="225"/>
      <c r="HC221" s="225"/>
      <c r="HD221" s="225"/>
      <c r="HE221" s="225"/>
      <c r="HF221" s="225"/>
      <c r="HG221" s="225"/>
      <c r="HH221" s="225"/>
      <c r="HI221" s="225"/>
      <c r="HJ221" s="225"/>
      <c r="HK221" s="225"/>
      <c r="HL221" s="225"/>
      <c r="HM221" s="225"/>
      <c r="HN221" s="225"/>
      <c r="HO221" s="225"/>
      <c r="HP221" s="225"/>
      <c r="HQ221" s="226"/>
      <c r="HR221" s="232">
        <v>1</v>
      </c>
      <c r="HS221" s="233"/>
      <c r="HT221" s="233"/>
      <c r="HU221" s="233"/>
      <c r="HV221" s="234"/>
      <c r="JP221" s="246"/>
      <c r="JQ221" s="247"/>
      <c r="JR221" s="247"/>
      <c r="JS221" s="247"/>
      <c r="JT221" s="247"/>
      <c r="JU221" s="247"/>
      <c r="JV221" s="247"/>
      <c r="JW221" s="247"/>
      <c r="JX221" s="247"/>
      <c r="JY221" s="247"/>
      <c r="JZ221" s="247"/>
      <c r="KA221" s="247"/>
      <c r="KB221" s="247"/>
      <c r="KC221" s="247"/>
      <c r="KD221" s="247"/>
      <c r="KE221" s="247"/>
      <c r="KF221" s="247"/>
      <c r="KG221" s="247"/>
      <c r="KH221" s="247"/>
      <c r="KI221" s="247"/>
      <c r="KJ221" s="247"/>
      <c r="KK221" s="247"/>
      <c r="KL221" s="247"/>
      <c r="KM221" s="247"/>
      <c r="KN221" s="247"/>
      <c r="KO221" s="247"/>
      <c r="KP221" s="247"/>
      <c r="KQ221" s="247"/>
      <c r="KR221" s="247"/>
      <c r="KS221" s="247"/>
      <c r="KT221" s="247"/>
      <c r="KU221" s="247"/>
      <c r="KV221" s="247"/>
      <c r="KW221" s="247"/>
      <c r="KX221" s="247"/>
      <c r="KY221" s="247"/>
      <c r="KZ221" s="247"/>
      <c r="LA221" s="247"/>
      <c r="LB221" s="247"/>
      <c r="LC221" s="247"/>
      <c r="LD221" s="247"/>
      <c r="LE221" s="247"/>
      <c r="LF221" s="247"/>
      <c r="LG221" s="247"/>
      <c r="LH221" s="247"/>
      <c r="LI221" s="247"/>
      <c r="LJ221" s="247"/>
      <c r="LK221" s="247"/>
      <c r="LL221" s="247"/>
      <c r="LM221" s="248"/>
      <c r="LN221" s="255"/>
      <c r="LO221" s="256"/>
      <c r="LP221" s="256"/>
      <c r="LQ221" s="256"/>
      <c r="LR221" s="256"/>
      <c r="LS221" s="256"/>
      <c r="LT221" s="256"/>
      <c r="LU221" s="256"/>
      <c r="LV221" s="256"/>
      <c r="LW221" s="256"/>
      <c r="LX221" s="256"/>
      <c r="LY221" s="257"/>
      <c r="ME221" s="180"/>
      <c r="MF221" s="181"/>
    </row>
    <row r="222" spans="4:344" ht="5.0999999999999996" customHeight="1" x14ac:dyDescent="0.3">
      <c r="D222" s="177"/>
      <c r="E222" s="178"/>
      <c r="H222" s="218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20"/>
      <c r="AJ222" s="218"/>
      <c r="AK222" s="219"/>
      <c r="AL222" s="219"/>
      <c r="AM222" s="219"/>
      <c r="AN222" s="219"/>
      <c r="AO222" s="219"/>
      <c r="AP222" s="219"/>
      <c r="AQ222" s="219"/>
      <c r="AR222" s="219"/>
      <c r="AS222" s="219"/>
      <c r="AT222" s="219"/>
      <c r="AU222" s="219"/>
      <c r="AV222" s="219"/>
      <c r="AW222" s="219"/>
      <c r="AX222" s="219"/>
      <c r="AY222" s="219"/>
      <c r="AZ222" s="219"/>
      <c r="BA222" s="219"/>
      <c r="BB222" s="219"/>
      <c r="BC222" s="219"/>
      <c r="BD222" s="219"/>
      <c r="BE222" s="219"/>
      <c r="BF222" s="219"/>
      <c r="BG222" s="219"/>
      <c r="BH222" s="219"/>
      <c r="BI222" s="219"/>
      <c r="BJ222" s="219"/>
      <c r="BK222" s="220"/>
      <c r="BL222" s="218"/>
      <c r="BM222" s="219"/>
      <c r="BN222" s="219"/>
      <c r="BO222" s="219"/>
      <c r="BP222" s="219"/>
      <c r="BQ222" s="219"/>
      <c r="BR222" s="219"/>
      <c r="BS222" s="219"/>
      <c r="BT222" s="219"/>
      <c r="BU222" s="219"/>
      <c r="BV222" s="219"/>
      <c r="BW222" s="219"/>
      <c r="BX222" s="219"/>
      <c r="BY222" s="219"/>
      <c r="BZ222" s="219"/>
      <c r="CA222" s="219"/>
      <c r="CB222" s="219"/>
      <c r="CC222" s="219"/>
      <c r="CD222" s="219"/>
      <c r="CE222" s="219"/>
      <c r="CF222" s="219"/>
      <c r="CG222" s="219"/>
      <c r="CH222" s="219"/>
      <c r="CI222" s="219"/>
      <c r="CJ222" s="219"/>
      <c r="CK222" s="219"/>
      <c r="CL222" s="219"/>
      <c r="CM222" s="220"/>
      <c r="EA222" s="227"/>
      <c r="EB222" s="219"/>
      <c r="EC222" s="219"/>
      <c r="ED222" s="219"/>
      <c r="EE222" s="219"/>
      <c r="EF222" s="219"/>
      <c r="EG222" s="219"/>
      <c r="EH222" s="219"/>
      <c r="EI222" s="219"/>
      <c r="EJ222" s="219"/>
      <c r="EK222" s="219"/>
      <c r="EL222" s="219"/>
      <c r="EM222" s="219"/>
      <c r="EN222" s="219"/>
      <c r="EO222" s="219"/>
      <c r="EP222" s="219"/>
      <c r="EQ222" s="219"/>
      <c r="ER222" s="219"/>
      <c r="ES222" s="219"/>
      <c r="ET222" s="219"/>
      <c r="EU222" s="219"/>
      <c r="EV222" s="219"/>
      <c r="EW222" s="219"/>
      <c r="EX222" s="219"/>
      <c r="EY222" s="219"/>
      <c r="EZ222" s="219"/>
      <c r="FA222" s="219"/>
      <c r="FB222" s="219"/>
      <c r="FC222" s="219"/>
      <c r="FD222" s="219"/>
      <c r="FE222" s="219"/>
      <c r="FF222" s="219"/>
      <c r="FG222" s="219"/>
      <c r="FH222" s="219"/>
      <c r="FI222" s="219"/>
      <c r="FJ222" s="219"/>
      <c r="FK222" s="219"/>
      <c r="FL222" s="219"/>
      <c r="FM222" s="219"/>
      <c r="FN222" s="219"/>
      <c r="FO222" s="219"/>
      <c r="FP222" s="219"/>
      <c r="FQ222" s="228"/>
      <c r="FR222" s="227"/>
      <c r="FS222" s="219"/>
      <c r="FT222" s="219"/>
      <c r="FU222" s="219"/>
      <c r="FV222" s="228"/>
      <c r="GA222" s="227"/>
      <c r="GB222" s="219"/>
      <c r="GC222" s="219"/>
      <c r="GD222" s="219"/>
      <c r="GE222" s="219"/>
      <c r="GF222" s="219"/>
      <c r="GG222" s="219"/>
      <c r="GH222" s="219"/>
      <c r="GI222" s="219"/>
      <c r="GJ222" s="219"/>
      <c r="GK222" s="219"/>
      <c r="GL222" s="219"/>
      <c r="GM222" s="219"/>
      <c r="GN222" s="219"/>
      <c r="GO222" s="219"/>
      <c r="GP222" s="219"/>
      <c r="GQ222" s="219"/>
      <c r="GR222" s="219"/>
      <c r="GS222" s="219"/>
      <c r="GT222" s="219"/>
      <c r="GU222" s="219"/>
      <c r="GV222" s="219"/>
      <c r="GW222" s="219"/>
      <c r="GX222" s="219"/>
      <c r="GY222" s="219"/>
      <c r="GZ222" s="219"/>
      <c r="HA222" s="219"/>
      <c r="HB222" s="219"/>
      <c r="HC222" s="219"/>
      <c r="HD222" s="219"/>
      <c r="HE222" s="219"/>
      <c r="HF222" s="219"/>
      <c r="HG222" s="219"/>
      <c r="HH222" s="219"/>
      <c r="HI222" s="219"/>
      <c r="HJ222" s="219"/>
      <c r="HK222" s="219"/>
      <c r="HL222" s="219"/>
      <c r="HM222" s="219"/>
      <c r="HN222" s="219"/>
      <c r="HO222" s="219"/>
      <c r="HP222" s="219"/>
      <c r="HQ222" s="228"/>
      <c r="HR222" s="235"/>
      <c r="HS222" s="236"/>
      <c r="HT222" s="236"/>
      <c r="HU222" s="236"/>
      <c r="HV222" s="237"/>
      <c r="JP222" s="246"/>
      <c r="JQ222" s="247"/>
      <c r="JR222" s="247"/>
      <c r="JS222" s="247"/>
      <c r="JT222" s="247"/>
      <c r="JU222" s="247"/>
      <c r="JV222" s="247"/>
      <c r="JW222" s="247"/>
      <c r="JX222" s="247"/>
      <c r="JY222" s="247"/>
      <c r="JZ222" s="247"/>
      <c r="KA222" s="247"/>
      <c r="KB222" s="247"/>
      <c r="KC222" s="247"/>
      <c r="KD222" s="247"/>
      <c r="KE222" s="247"/>
      <c r="KF222" s="247"/>
      <c r="KG222" s="247"/>
      <c r="KH222" s="247"/>
      <c r="KI222" s="247"/>
      <c r="KJ222" s="247"/>
      <c r="KK222" s="247"/>
      <c r="KL222" s="247"/>
      <c r="KM222" s="247"/>
      <c r="KN222" s="247"/>
      <c r="KO222" s="247"/>
      <c r="KP222" s="247"/>
      <c r="KQ222" s="247"/>
      <c r="KR222" s="247"/>
      <c r="KS222" s="247"/>
      <c r="KT222" s="247"/>
      <c r="KU222" s="247"/>
      <c r="KV222" s="247"/>
      <c r="KW222" s="247"/>
      <c r="KX222" s="247"/>
      <c r="KY222" s="247"/>
      <c r="KZ222" s="247"/>
      <c r="LA222" s="247"/>
      <c r="LB222" s="247"/>
      <c r="LC222" s="247"/>
      <c r="LD222" s="247"/>
      <c r="LE222" s="247"/>
      <c r="LF222" s="247"/>
      <c r="LG222" s="247"/>
      <c r="LH222" s="247"/>
      <c r="LI222" s="247"/>
      <c r="LJ222" s="247"/>
      <c r="LK222" s="247"/>
      <c r="LL222" s="247"/>
      <c r="LM222" s="248"/>
      <c r="LN222" s="255"/>
      <c r="LO222" s="256"/>
      <c r="LP222" s="256"/>
      <c r="LQ222" s="256"/>
      <c r="LR222" s="256"/>
      <c r="LS222" s="256"/>
      <c r="LT222" s="256"/>
      <c r="LU222" s="256"/>
      <c r="LV222" s="256"/>
      <c r="LW222" s="256"/>
      <c r="LX222" s="256"/>
      <c r="LY222" s="257"/>
      <c r="ME222" s="180"/>
      <c r="MF222" s="181"/>
    </row>
    <row r="223" spans="4:344" ht="5.0999999999999996" customHeight="1" x14ac:dyDescent="0.3">
      <c r="D223" s="177"/>
      <c r="E223" s="178"/>
      <c r="H223" s="218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20"/>
      <c r="AJ223" s="218"/>
      <c r="AK223" s="219"/>
      <c r="AL223" s="219"/>
      <c r="AM223" s="219"/>
      <c r="AN223" s="219"/>
      <c r="AO223" s="219"/>
      <c r="AP223" s="219"/>
      <c r="AQ223" s="219"/>
      <c r="AR223" s="219"/>
      <c r="AS223" s="219"/>
      <c r="AT223" s="219"/>
      <c r="AU223" s="219"/>
      <c r="AV223" s="219"/>
      <c r="AW223" s="219"/>
      <c r="AX223" s="219"/>
      <c r="AY223" s="219"/>
      <c r="AZ223" s="219"/>
      <c r="BA223" s="219"/>
      <c r="BB223" s="219"/>
      <c r="BC223" s="219"/>
      <c r="BD223" s="219"/>
      <c r="BE223" s="219"/>
      <c r="BF223" s="219"/>
      <c r="BG223" s="219"/>
      <c r="BH223" s="219"/>
      <c r="BI223" s="219"/>
      <c r="BJ223" s="219"/>
      <c r="BK223" s="220"/>
      <c r="BL223" s="218"/>
      <c r="BM223" s="219"/>
      <c r="BN223" s="219"/>
      <c r="BO223" s="219"/>
      <c r="BP223" s="219"/>
      <c r="BQ223" s="219"/>
      <c r="BR223" s="219"/>
      <c r="BS223" s="219"/>
      <c r="BT223" s="219"/>
      <c r="BU223" s="219"/>
      <c r="BV223" s="219"/>
      <c r="BW223" s="219"/>
      <c r="BX223" s="219"/>
      <c r="BY223" s="219"/>
      <c r="BZ223" s="219"/>
      <c r="CA223" s="219"/>
      <c r="CB223" s="219"/>
      <c r="CC223" s="219"/>
      <c r="CD223" s="219"/>
      <c r="CE223" s="219"/>
      <c r="CF223" s="219"/>
      <c r="CG223" s="219"/>
      <c r="CH223" s="219"/>
      <c r="CI223" s="219"/>
      <c r="CJ223" s="219"/>
      <c r="CK223" s="219"/>
      <c r="CL223" s="219"/>
      <c r="CM223" s="220"/>
      <c r="EA223" s="227"/>
      <c r="EB223" s="219"/>
      <c r="EC223" s="219"/>
      <c r="ED223" s="219"/>
      <c r="EE223" s="219"/>
      <c r="EF223" s="219"/>
      <c r="EG223" s="219"/>
      <c r="EH223" s="219"/>
      <c r="EI223" s="219"/>
      <c r="EJ223" s="219"/>
      <c r="EK223" s="219"/>
      <c r="EL223" s="219"/>
      <c r="EM223" s="219"/>
      <c r="EN223" s="219"/>
      <c r="EO223" s="219"/>
      <c r="EP223" s="219"/>
      <c r="EQ223" s="219"/>
      <c r="ER223" s="219"/>
      <c r="ES223" s="219"/>
      <c r="ET223" s="219"/>
      <c r="EU223" s="219"/>
      <c r="EV223" s="219"/>
      <c r="EW223" s="219"/>
      <c r="EX223" s="219"/>
      <c r="EY223" s="219"/>
      <c r="EZ223" s="219"/>
      <c r="FA223" s="219"/>
      <c r="FB223" s="219"/>
      <c r="FC223" s="219"/>
      <c r="FD223" s="219"/>
      <c r="FE223" s="219"/>
      <c r="FF223" s="219"/>
      <c r="FG223" s="219"/>
      <c r="FH223" s="219"/>
      <c r="FI223" s="219"/>
      <c r="FJ223" s="219"/>
      <c r="FK223" s="219"/>
      <c r="FL223" s="219"/>
      <c r="FM223" s="219"/>
      <c r="FN223" s="219"/>
      <c r="FO223" s="219"/>
      <c r="FP223" s="219"/>
      <c r="FQ223" s="228"/>
      <c r="FR223" s="227"/>
      <c r="FS223" s="219"/>
      <c r="FT223" s="219"/>
      <c r="FU223" s="219"/>
      <c r="FV223" s="228"/>
      <c r="GA223" s="227"/>
      <c r="GB223" s="219"/>
      <c r="GC223" s="219"/>
      <c r="GD223" s="219"/>
      <c r="GE223" s="219"/>
      <c r="GF223" s="219"/>
      <c r="GG223" s="219"/>
      <c r="GH223" s="219"/>
      <c r="GI223" s="219"/>
      <c r="GJ223" s="219"/>
      <c r="GK223" s="219"/>
      <c r="GL223" s="219"/>
      <c r="GM223" s="219"/>
      <c r="GN223" s="219"/>
      <c r="GO223" s="219"/>
      <c r="GP223" s="219"/>
      <c r="GQ223" s="219"/>
      <c r="GR223" s="219"/>
      <c r="GS223" s="219"/>
      <c r="GT223" s="219"/>
      <c r="GU223" s="219"/>
      <c r="GV223" s="219"/>
      <c r="GW223" s="219"/>
      <c r="GX223" s="219"/>
      <c r="GY223" s="219"/>
      <c r="GZ223" s="219"/>
      <c r="HA223" s="219"/>
      <c r="HB223" s="219"/>
      <c r="HC223" s="219"/>
      <c r="HD223" s="219"/>
      <c r="HE223" s="219"/>
      <c r="HF223" s="219"/>
      <c r="HG223" s="219"/>
      <c r="HH223" s="219"/>
      <c r="HI223" s="219"/>
      <c r="HJ223" s="219"/>
      <c r="HK223" s="219"/>
      <c r="HL223" s="219"/>
      <c r="HM223" s="219"/>
      <c r="HN223" s="219"/>
      <c r="HO223" s="219"/>
      <c r="HP223" s="219"/>
      <c r="HQ223" s="228"/>
      <c r="HR223" s="235"/>
      <c r="HS223" s="236"/>
      <c r="HT223" s="236"/>
      <c r="HU223" s="236"/>
      <c r="HV223" s="237"/>
      <c r="JP223" s="246"/>
      <c r="JQ223" s="247"/>
      <c r="JR223" s="247"/>
      <c r="JS223" s="247"/>
      <c r="JT223" s="247"/>
      <c r="JU223" s="247"/>
      <c r="JV223" s="247"/>
      <c r="JW223" s="247"/>
      <c r="JX223" s="247"/>
      <c r="JY223" s="247"/>
      <c r="JZ223" s="247"/>
      <c r="KA223" s="247"/>
      <c r="KB223" s="247"/>
      <c r="KC223" s="247"/>
      <c r="KD223" s="247"/>
      <c r="KE223" s="247"/>
      <c r="KF223" s="247"/>
      <c r="KG223" s="247"/>
      <c r="KH223" s="247"/>
      <c r="KI223" s="247"/>
      <c r="KJ223" s="247"/>
      <c r="KK223" s="247"/>
      <c r="KL223" s="247"/>
      <c r="KM223" s="247"/>
      <c r="KN223" s="247"/>
      <c r="KO223" s="247"/>
      <c r="KP223" s="247"/>
      <c r="KQ223" s="247"/>
      <c r="KR223" s="247"/>
      <c r="KS223" s="247"/>
      <c r="KT223" s="247"/>
      <c r="KU223" s="247"/>
      <c r="KV223" s="247"/>
      <c r="KW223" s="247"/>
      <c r="KX223" s="247"/>
      <c r="KY223" s="247"/>
      <c r="KZ223" s="247"/>
      <c r="LA223" s="247"/>
      <c r="LB223" s="247"/>
      <c r="LC223" s="247"/>
      <c r="LD223" s="247"/>
      <c r="LE223" s="247"/>
      <c r="LF223" s="247"/>
      <c r="LG223" s="247"/>
      <c r="LH223" s="247"/>
      <c r="LI223" s="247"/>
      <c r="LJ223" s="247"/>
      <c r="LK223" s="247"/>
      <c r="LL223" s="247"/>
      <c r="LM223" s="248"/>
      <c r="LN223" s="255"/>
      <c r="LO223" s="256"/>
      <c r="LP223" s="256"/>
      <c r="LQ223" s="256"/>
      <c r="LR223" s="256"/>
      <c r="LS223" s="256"/>
      <c r="LT223" s="256"/>
      <c r="LU223" s="256"/>
      <c r="LV223" s="256"/>
      <c r="LW223" s="256"/>
      <c r="LX223" s="256"/>
      <c r="LY223" s="257"/>
      <c r="ME223" s="180"/>
      <c r="MF223" s="181"/>
    </row>
    <row r="224" spans="4:344" ht="5.0999999999999996" customHeight="1" thickBot="1" x14ac:dyDescent="0.35">
      <c r="D224" s="177"/>
      <c r="E224" s="178"/>
      <c r="H224" s="221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3"/>
      <c r="AJ224" s="221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3"/>
      <c r="BL224" s="221"/>
      <c r="BM224" s="222"/>
      <c r="BN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  <c r="BX224" s="222"/>
      <c r="BY224" s="222"/>
      <c r="BZ224" s="222"/>
      <c r="CA224" s="222"/>
      <c r="CB224" s="222"/>
      <c r="CC224" s="222"/>
      <c r="CD224" s="222"/>
      <c r="CE224" s="222"/>
      <c r="CF224" s="222"/>
      <c r="CG224" s="222"/>
      <c r="CH224" s="222"/>
      <c r="CI224" s="222"/>
      <c r="CJ224" s="222"/>
      <c r="CK224" s="222"/>
      <c r="CL224" s="222"/>
      <c r="CM224" s="223"/>
      <c r="EA224" s="229"/>
      <c r="EB224" s="230"/>
      <c r="EC224" s="230"/>
      <c r="ED224" s="230"/>
      <c r="EE224" s="230"/>
      <c r="EF224" s="230"/>
      <c r="EG224" s="230"/>
      <c r="EH224" s="230"/>
      <c r="EI224" s="230"/>
      <c r="EJ224" s="230"/>
      <c r="EK224" s="230"/>
      <c r="EL224" s="230"/>
      <c r="EM224" s="230"/>
      <c r="EN224" s="230"/>
      <c r="EO224" s="230"/>
      <c r="EP224" s="230"/>
      <c r="EQ224" s="230"/>
      <c r="ER224" s="230"/>
      <c r="ES224" s="230"/>
      <c r="ET224" s="230"/>
      <c r="EU224" s="230"/>
      <c r="EV224" s="230"/>
      <c r="EW224" s="230"/>
      <c r="EX224" s="230"/>
      <c r="EY224" s="230"/>
      <c r="EZ224" s="230"/>
      <c r="FA224" s="230"/>
      <c r="FB224" s="230"/>
      <c r="FC224" s="230"/>
      <c r="FD224" s="230"/>
      <c r="FE224" s="230"/>
      <c r="FF224" s="230"/>
      <c r="FG224" s="230"/>
      <c r="FH224" s="230"/>
      <c r="FI224" s="230"/>
      <c r="FJ224" s="230"/>
      <c r="FK224" s="230"/>
      <c r="FL224" s="230"/>
      <c r="FM224" s="230"/>
      <c r="FN224" s="230"/>
      <c r="FO224" s="230"/>
      <c r="FP224" s="230"/>
      <c r="FQ224" s="231"/>
      <c r="FR224" s="229"/>
      <c r="FS224" s="230"/>
      <c r="FT224" s="230"/>
      <c r="FU224" s="230"/>
      <c r="FV224" s="231"/>
      <c r="GA224" s="229"/>
      <c r="GB224" s="230"/>
      <c r="GC224" s="230"/>
      <c r="GD224" s="230"/>
      <c r="GE224" s="230"/>
      <c r="GF224" s="230"/>
      <c r="GG224" s="230"/>
      <c r="GH224" s="230"/>
      <c r="GI224" s="230"/>
      <c r="GJ224" s="230"/>
      <c r="GK224" s="230"/>
      <c r="GL224" s="230"/>
      <c r="GM224" s="230"/>
      <c r="GN224" s="230"/>
      <c r="GO224" s="230"/>
      <c r="GP224" s="230"/>
      <c r="GQ224" s="230"/>
      <c r="GR224" s="230"/>
      <c r="GS224" s="230"/>
      <c r="GT224" s="230"/>
      <c r="GU224" s="230"/>
      <c r="GV224" s="230"/>
      <c r="GW224" s="230"/>
      <c r="GX224" s="230"/>
      <c r="GY224" s="230"/>
      <c r="GZ224" s="230"/>
      <c r="HA224" s="230"/>
      <c r="HB224" s="230"/>
      <c r="HC224" s="230"/>
      <c r="HD224" s="230"/>
      <c r="HE224" s="230"/>
      <c r="HF224" s="230"/>
      <c r="HG224" s="230"/>
      <c r="HH224" s="230"/>
      <c r="HI224" s="230"/>
      <c r="HJ224" s="230"/>
      <c r="HK224" s="230"/>
      <c r="HL224" s="230"/>
      <c r="HM224" s="230"/>
      <c r="HN224" s="230"/>
      <c r="HO224" s="230"/>
      <c r="HP224" s="230"/>
      <c r="HQ224" s="231"/>
      <c r="HR224" s="238"/>
      <c r="HS224" s="239"/>
      <c r="HT224" s="239"/>
      <c r="HU224" s="239"/>
      <c r="HV224" s="240"/>
      <c r="JP224" s="246"/>
      <c r="JQ224" s="247"/>
      <c r="JR224" s="247"/>
      <c r="JS224" s="247"/>
      <c r="JT224" s="247"/>
      <c r="JU224" s="247"/>
      <c r="JV224" s="247"/>
      <c r="JW224" s="247"/>
      <c r="JX224" s="247"/>
      <c r="JY224" s="247"/>
      <c r="JZ224" s="247"/>
      <c r="KA224" s="247"/>
      <c r="KB224" s="247"/>
      <c r="KC224" s="247"/>
      <c r="KD224" s="247"/>
      <c r="KE224" s="247"/>
      <c r="KF224" s="247"/>
      <c r="KG224" s="247"/>
      <c r="KH224" s="247"/>
      <c r="KI224" s="247"/>
      <c r="KJ224" s="247"/>
      <c r="KK224" s="247"/>
      <c r="KL224" s="247"/>
      <c r="KM224" s="247"/>
      <c r="KN224" s="247"/>
      <c r="KO224" s="247"/>
      <c r="KP224" s="247"/>
      <c r="KQ224" s="247"/>
      <c r="KR224" s="247"/>
      <c r="KS224" s="247"/>
      <c r="KT224" s="247"/>
      <c r="KU224" s="247"/>
      <c r="KV224" s="247"/>
      <c r="KW224" s="247"/>
      <c r="KX224" s="247"/>
      <c r="KY224" s="247"/>
      <c r="KZ224" s="247"/>
      <c r="LA224" s="247"/>
      <c r="LB224" s="247"/>
      <c r="LC224" s="247"/>
      <c r="LD224" s="247"/>
      <c r="LE224" s="247"/>
      <c r="LF224" s="247"/>
      <c r="LG224" s="247"/>
      <c r="LH224" s="247"/>
      <c r="LI224" s="247"/>
      <c r="LJ224" s="247"/>
      <c r="LK224" s="247"/>
      <c r="LL224" s="247"/>
      <c r="LM224" s="248"/>
      <c r="LN224" s="255"/>
      <c r="LO224" s="256"/>
      <c r="LP224" s="256"/>
      <c r="LQ224" s="256"/>
      <c r="LR224" s="256"/>
      <c r="LS224" s="256"/>
      <c r="LT224" s="256"/>
      <c r="LU224" s="256"/>
      <c r="LV224" s="256"/>
      <c r="LW224" s="256"/>
      <c r="LX224" s="256"/>
      <c r="LY224" s="257"/>
      <c r="ME224" s="180"/>
      <c r="MF224" s="181"/>
    </row>
    <row r="225" spans="4:344" ht="5.0999999999999996" customHeight="1" x14ac:dyDescent="0.3">
      <c r="D225" s="177"/>
      <c r="E225" s="178"/>
      <c r="H225" s="215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6"/>
      <c r="AG225" s="216"/>
      <c r="AH225" s="216"/>
      <c r="AI225" s="217"/>
      <c r="AJ225" s="215"/>
      <c r="AK225" s="216"/>
      <c r="AL225" s="216"/>
      <c r="AM225" s="216"/>
      <c r="AN225" s="216"/>
      <c r="AO225" s="216"/>
      <c r="AP225" s="216"/>
      <c r="AQ225" s="216"/>
      <c r="AR225" s="216"/>
      <c r="AS225" s="216"/>
      <c r="AT225" s="216"/>
      <c r="AU225" s="216"/>
      <c r="AV225" s="216"/>
      <c r="AW225" s="216"/>
      <c r="AX225" s="216"/>
      <c r="AY225" s="216"/>
      <c r="AZ225" s="216"/>
      <c r="BA225" s="216"/>
      <c r="BB225" s="216"/>
      <c r="BC225" s="216"/>
      <c r="BD225" s="216"/>
      <c r="BE225" s="216"/>
      <c r="BF225" s="216"/>
      <c r="BG225" s="216"/>
      <c r="BH225" s="216"/>
      <c r="BI225" s="216"/>
      <c r="BJ225" s="216"/>
      <c r="BK225" s="217"/>
      <c r="BL225" s="215"/>
      <c r="BM225" s="216"/>
      <c r="BN225" s="216"/>
      <c r="BO225" s="216"/>
      <c r="BP225" s="216"/>
      <c r="BQ225" s="216"/>
      <c r="BR225" s="216"/>
      <c r="BS225" s="216"/>
      <c r="BT225" s="216"/>
      <c r="BU225" s="216"/>
      <c r="BV225" s="216"/>
      <c r="BW225" s="216"/>
      <c r="BX225" s="216"/>
      <c r="BY225" s="216"/>
      <c r="BZ225" s="216"/>
      <c r="CA225" s="216"/>
      <c r="CB225" s="216"/>
      <c r="CC225" s="216"/>
      <c r="CD225" s="216"/>
      <c r="CE225" s="216"/>
      <c r="CF225" s="216"/>
      <c r="CG225" s="216"/>
      <c r="CH225" s="216"/>
      <c r="CI225" s="216"/>
      <c r="CJ225" s="216"/>
      <c r="CK225" s="216"/>
      <c r="CL225" s="216"/>
      <c r="CM225" s="217"/>
      <c r="EA225" s="241" t="s">
        <v>215</v>
      </c>
      <c r="EB225" s="241"/>
      <c r="EC225" s="241"/>
      <c r="ED225" s="241"/>
      <c r="EE225" s="241"/>
      <c r="EF225" s="241"/>
      <c r="EG225" s="241"/>
      <c r="EH225" s="241"/>
      <c r="EI225" s="241"/>
      <c r="EJ225" s="241"/>
      <c r="EK225" s="241"/>
      <c r="EL225" s="241"/>
      <c r="EM225" s="241"/>
      <c r="EN225" s="241"/>
      <c r="EO225" s="241"/>
      <c r="EP225" s="241"/>
      <c r="EQ225" s="241"/>
      <c r="ER225" s="241"/>
      <c r="ES225" s="241"/>
      <c r="ET225" s="241"/>
      <c r="EU225" s="241"/>
      <c r="EV225" s="241"/>
      <c r="EW225" s="241"/>
      <c r="EX225" s="241"/>
      <c r="EY225" s="241"/>
      <c r="EZ225" s="241"/>
      <c r="FA225" s="241"/>
      <c r="FB225" s="241"/>
      <c r="FC225" s="241"/>
      <c r="FD225" s="241"/>
      <c r="FE225" s="241"/>
      <c r="FF225" s="241"/>
      <c r="FG225" s="241"/>
      <c r="FH225" s="241"/>
      <c r="FI225" s="241"/>
      <c r="FJ225" s="241"/>
      <c r="FK225" s="241"/>
      <c r="FL225" s="241"/>
      <c r="FM225" s="241"/>
      <c r="FN225" s="241"/>
      <c r="FO225" s="241"/>
      <c r="FP225" s="241"/>
      <c r="FQ225" s="241"/>
      <c r="FR225" s="242">
        <f>FR231</f>
        <v>1</v>
      </c>
      <c r="FS225" s="242"/>
      <c r="FT225" s="242"/>
      <c r="FU225" s="242"/>
      <c r="FV225" s="242"/>
      <c r="GA225" s="232"/>
      <c r="GB225" s="233"/>
      <c r="GC225" s="233"/>
      <c r="GD225" s="233"/>
      <c r="GE225" s="233"/>
      <c r="GF225" s="233"/>
      <c r="GG225" s="233"/>
      <c r="GH225" s="233"/>
      <c r="GI225" s="233"/>
      <c r="GJ225" s="233"/>
      <c r="GK225" s="233"/>
      <c r="GL225" s="233"/>
      <c r="GM225" s="233"/>
      <c r="GN225" s="233"/>
      <c r="GO225" s="233"/>
      <c r="GP225" s="233"/>
      <c r="GQ225" s="233"/>
      <c r="GR225" s="233"/>
      <c r="GS225" s="233"/>
      <c r="GT225" s="233"/>
      <c r="GU225" s="233"/>
      <c r="GV225" s="233"/>
      <c r="GW225" s="233"/>
      <c r="GX225" s="233"/>
      <c r="GY225" s="233"/>
      <c r="GZ225" s="233"/>
      <c r="HA225" s="233"/>
      <c r="HB225" s="233"/>
      <c r="HC225" s="233"/>
      <c r="HD225" s="233"/>
      <c r="HE225" s="233"/>
      <c r="HF225" s="233"/>
      <c r="HG225" s="233"/>
      <c r="HH225" s="233"/>
      <c r="HI225" s="233"/>
      <c r="HJ225" s="233"/>
      <c r="HK225" s="233"/>
      <c r="HL225" s="233"/>
      <c r="HM225" s="233"/>
      <c r="HN225" s="233"/>
      <c r="HO225" s="233"/>
      <c r="HP225" s="233"/>
      <c r="HQ225" s="234"/>
      <c r="HR225" s="232"/>
      <c r="HS225" s="233"/>
      <c r="HT225" s="233"/>
      <c r="HU225" s="233"/>
      <c r="HV225" s="234"/>
      <c r="JP225" s="246"/>
      <c r="JQ225" s="247"/>
      <c r="JR225" s="247"/>
      <c r="JS225" s="247"/>
      <c r="JT225" s="247"/>
      <c r="JU225" s="247"/>
      <c r="JV225" s="247"/>
      <c r="JW225" s="247"/>
      <c r="JX225" s="247"/>
      <c r="JY225" s="247"/>
      <c r="JZ225" s="247"/>
      <c r="KA225" s="247"/>
      <c r="KB225" s="247"/>
      <c r="KC225" s="247"/>
      <c r="KD225" s="247"/>
      <c r="KE225" s="247"/>
      <c r="KF225" s="247"/>
      <c r="KG225" s="247"/>
      <c r="KH225" s="247"/>
      <c r="KI225" s="247"/>
      <c r="KJ225" s="247"/>
      <c r="KK225" s="247"/>
      <c r="KL225" s="247"/>
      <c r="KM225" s="247"/>
      <c r="KN225" s="247"/>
      <c r="KO225" s="247"/>
      <c r="KP225" s="247"/>
      <c r="KQ225" s="247"/>
      <c r="KR225" s="247"/>
      <c r="KS225" s="247"/>
      <c r="KT225" s="247"/>
      <c r="KU225" s="247"/>
      <c r="KV225" s="247"/>
      <c r="KW225" s="247"/>
      <c r="KX225" s="247"/>
      <c r="KY225" s="247"/>
      <c r="KZ225" s="247"/>
      <c r="LA225" s="247"/>
      <c r="LB225" s="247"/>
      <c r="LC225" s="247"/>
      <c r="LD225" s="247"/>
      <c r="LE225" s="247"/>
      <c r="LF225" s="247"/>
      <c r="LG225" s="247"/>
      <c r="LH225" s="247"/>
      <c r="LI225" s="247"/>
      <c r="LJ225" s="247"/>
      <c r="LK225" s="247"/>
      <c r="LL225" s="247"/>
      <c r="LM225" s="248"/>
      <c r="LN225" s="255"/>
      <c r="LO225" s="256"/>
      <c r="LP225" s="256"/>
      <c r="LQ225" s="256"/>
      <c r="LR225" s="256"/>
      <c r="LS225" s="256"/>
      <c r="LT225" s="256"/>
      <c r="LU225" s="256"/>
      <c r="LV225" s="256"/>
      <c r="LW225" s="256"/>
      <c r="LX225" s="256"/>
      <c r="LY225" s="257"/>
      <c r="ME225" s="180"/>
      <c r="MF225" s="181"/>
    </row>
    <row r="226" spans="4:344" ht="5.0999999999999996" customHeight="1" thickBot="1" x14ac:dyDescent="0.35">
      <c r="D226" s="177"/>
      <c r="E226" s="178"/>
      <c r="H226" s="218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20"/>
      <c r="AJ226" s="218"/>
      <c r="AK226" s="219"/>
      <c r="AL226" s="219"/>
      <c r="AM226" s="219"/>
      <c r="AN226" s="219"/>
      <c r="AO226" s="219"/>
      <c r="AP226" s="219"/>
      <c r="AQ226" s="219"/>
      <c r="AR226" s="219"/>
      <c r="AS226" s="219"/>
      <c r="AT226" s="219"/>
      <c r="AU226" s="219"/>
      <c r="AV226" s="219"/>
      <c r="AW226" s="219"/>
      <c r="AX226" s="219"/>
      <c r="AY226" s="219"/>
      <c r="AZ226" s="219"/>
      <c r="BA226" s="219"/>
      <c r="BB226" s="219"/>
      <c r="BC226" s="219"/>
      <c r="BD226" s="219"/>
      <c r="BE226" s="219"/>
      <c r="BF226" s="219"/>
      <c r="BG226" s="219"/>
      <c r="BH226" s="219"/>
      <c r="BI226" s="219"/>
      <c r="BJ226" s="219"/>
      <c r="BK226" s="220"/>
      <c r="BL226" s="218"/>
      <c r="BM226" s="219"/>
      <c r="BN226" s="219"/>
      <c r="BO226" s="219"/>
      <c r="BP226" s="219"/>
      <c r="BQ226" s="219"/>
      <c r="BR226" s="219"/>
      <c r="BS226" s="219"/>
      <c r="BT226" s="219"/>
      <c r="BU226" s="219"/>
      <c r="BV226" s="219"/>
      <c r="BW226" s="219"/>
      <c r="BX226" s="219"/>
      <c r="BY226" s="219"/>
      <c r="BZ226" s="219"/>
      <c r="CA226" s="219"/>
      <c r="CB226" s="219"/>
      <c r="CC226" s="219"/>
      <c r="CD226" s="219"/>
      <c r="CE226" s="219"/>
      <c r="CF226" s="219"/>
      <c r="CG226" s="219"/>
      <c r="CH226" s="219"/>
      <c r="CI226" s="219"/>
      <c r="CJ226" s="219"/>
      <c r="CK226" s="219"/>
      <c r="CL226" s="219"/>
      <c r="CM226" s="220"/>
      <c r="EA226" s="241"/>
      <c r="EB226" s="241"/>
      <c r="EC226" s="241"/>
      <c r="ED226" s="241"/>
      <c r="EE226" s="241"/>
      <c r="EF226" s="241"/>
      <c r="EG226" s="241"/>
      <c r="EH226" s="241"/>
      <c r="EI226" s="241"/>
      <c r="EJ226" s="241"/>
      <c r="EK226" s="241"/>
      <c r="EL226" s="241"/>
      <c r="EM226" s="241"/>
      <c r="EN226" s="241"/>
      <c r="EO226" s="241"/>
      <c r="EP226" s="241"/>
      <c r="EQ226" s="241"/>
      <c r="ER226" s="241"/>
      <c r="ES226" s="241"/>
      <c r="ET226" s="241"/>
      <c r="EU226" s="241"/>
      <c r="EV226" s="241"/>
      <c r="EW226" s="241"/>
      <c r="EX226" s="241"/>
      <c r="EY226" s="241"/>
      <c r="EZ226" s="241"/>
      <c r="FA226" s="241"/>
      <c r="FB226" s="241"/>
      <c r="FC226" s="241"/>
      <c r="FD226" s="241"/>
      <c r="FE226" s="241"/>
      <c r="FF226" s="241"/>
      <c r="FG226" s="241"/>
      <c r="FH226" s="241"/>
      <c r="FI226" s="241"/>
      <c r="FJ226" s="241"/>
      <c r="FK226" s="241"/>
      <c r="FL226" s="241"/>
      <c r="FM226" s="241"/>
      <c r="FN226" s="241"/>
      <c r="FO226" s="241"/>
      <c r="FP226" s="241"/>
      <c r="FQ226" s="241"/>
      <c r="FR226" s="242"/>
      <c r="FS226" s="242"/>
      <c r="FT226" s="242"/>
      <c r="FU226" s="242"/>
      <c r="FV226" s="242"/>
      <c r="GA226" s="235"/>
      <c r="GB226" s="236"/>
      <c r="GC226" s="236"/>
      <c r="GD226" s="236"/>
      <c r="GE226" s="236"/>
      <c r="GF226" s="236"/>
      <c r="GG226" s="236"/>
      <c r="GH226" s="236"/>
      <c r="GI226" s="236"/>
      <c r="GJ226" s="236"/>
      <c r="GK226" s="236"/>
      <c r="GL226" s="236"/>
      <c r="GM226" s="236"/>
      <c r="GN226" s="236"/>
      <c r="GO226" s="236"/>
      <c r="GP226" s="236"/>
      <c r="GQ226" s="236"/>
      <c r="GR226" s="236"/>
      <c r="GS226" s="236"/>
      <c r="GT226" s="236"/>
      <c r="GU226" s="236"/>
      <c r="GV226" s="236"/>
      <c r="GW226" s="236"/>
      <c r="GX226" s="236"/>
      <c r="GY226" s="236"/>
      <c r="GZ226" s="236"/>
      <c r="HA226" s="236"/>
      <c r="HB226" s="236"/>
      <c r="HC226" s="236"/>
      <c r="HD226" s="236"/>
      <c r="HE226" s="236"/>
      <c r="HF226" s="236"/>
      <c r="HG226" s="236"/>
      <c r="HH226" s="236"/>
      <c r="HI226" s="236"/>
      <c r="HJ226" s="236"/>
      <c r="HK226" s="236"/>
      <c r="HL226" s="236"/>
      <c r="HM226" s="236"/>
      <c r="HN226" s="236"/>
      <c r="HO226" s="236"/>
      <c r="HP226" s="236"/>
      <c r="HQ226" s="237"/>
      <c r="HR226" s="235"/>
      <c r="HS226" s="236"/>
      <c r="HT226" s="236"/>
      <c r="HU226" s="236"/>
      <c r="HV226" s="237"/>
      <c r="JP226" s="249"/>
      <c r="JQ226" s="250"/>
      <c r="JR226" s="250"/>
      <c r="JS226" s="250"/>
      <c r="JT226" s="250"/>
      <c r="JU226" s="250"/>
      <c r="JV226" s="250"/>
      <c r="JW226" s="250"/>
      <c r="JX226" s="250"/>
      <c r="JY226" s="250"/>
      <c r="JZ226" s="250"/>
      <c r="KA226" s="250"/>
      <c r="KB226" s="250"/>
      <c r="KC226" s="250"/>
      <c r="KD226" s="250"/>
      <c r="KE226" s="250"/>
      <c r="KF226" s="250"/>
      <c r="KG226" s="250"/>
      <c r="KH226" s="250"/>
      <c r="KI226" s="250"/>
      <c r="KJ226" s="250"/>
      <c r="KK226" s="250"/>
      <c r="KL226" s="250"/>
      <c r="KM226" s="250"/>
      <c r="KN226" s="250"/>
      <c r="KO226" s="250"/>
      <c r="KP226" s="250"/>
      <c r="KQ226" s="250"/>
      <c r="KR226" s="250"/>
      <c r="KS226" s="250"/>
      <c r="KT226" s="250"/>
      <c r="KU226" s="250"/>
      <c r="KV226" s="250"/>
      <c r="KW226" s="250"/>
      <c r="KX226" s="250"/>
      <c r="KY226" s="250"/>
      <c r="KZ226" s="250"/>
      <c r="LA226" s="250"/>
      <c r="LB226" s="250"/>
      <c r="LC226" s="250"/>
      <c r="LD226" s="250"/>
      <c r="LE226" s="250"/>
      <c r="LF226" s="250"/>
      <c r="LG226" s="250"/>
      <c r="LH226" s="250"/>
      <c r="LI226" s="250"/>
      <c r="LJ226" s="250"/>
      <c r="LK226" s="250"/>
      <c r="LL226" s="250"/>
      <c r="LM226" s="251"/>
      <c r="LN226" s="258"/>
      <c r="LO226" s="259"/>
      <c r="LP226" s="259"/>
      <c r="LQ226" s="259"/>
      <c r="LR226" s="259"/>
      <c r="LS226" s="259"/>
      <c r="LT226" s="259"/>
      <c r="LU226" s="259"/>
      <c r="LV226" s="259"/>
      <c r="LW226" s="259"/>
      <c r="LX226" s="259"/>
      <c r="LY226" s="260"/>
      <c r="ME226" s="180"/>
      <c r="MF226" s="181"/>
    </row>
    <row r="227" spans="4:344" ht="5.0999999999999996" customHeight="1" x14ac:dyDescent="0.3">
      <c r="D227" s="177"/>
      <c r="E227" s="178"/>
      <c r="H227" s="218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20"/>
      <c r="AJ227" s="218"/>
      <c r="AK227" s="219"/>
      <c r="AL227" s="219"/>
      <c r="AM227" s="219"/>
      <c r="AN227" s="219"/>
      <c r="AO227" s="219"/>
      <c r="AP227" s="219"/>
      <c r="AQ227" s="219"/>
      <c r="AR227" s="219"/>
      <c r="AS227" s="219"/>
      <c r="AT227" s="219"/>
      <c r="AU227" s="219"/>
      <c r="AV227" s="219"/>
      <c r="AW227" s="219"/>
      <c r="AX227" s="219"/>
      <c r="AY227" s="219"/>
      <c r="AZ227" s="219"/>
      <c r="BA227" s="219"/>
      <c r="BB227" s="219"/>
      <c r="BC227" s="219"/>
      <c r="BD227" s="219"/>
      <c r="BE227" s="219"/>
      <c r="BF227" s="219"/>
      <c r="BG227" s="219"/>
      <c r="BH227" s="219"/>
      <c r="BI227" s="219"/>
      <c r="BJ227" s="219"/>
      <c r="BK227" s="220"/>
      <c r="BL227" s="218"/>
      <c r="BM227" s="219"/>
      <c r="BN227" s="219"/>
      <c r="BO227" s="219"/>
      <c r="BP227" s="219"/>
      <c r="BQ227" s="219"/>
      <c r="BR227" s="219"/>
      <c r="BS227" s="219"/>
      <c r="BT227" s="219"/>
      <c r="BU227" s="219"/>
      <c r="BV227" s="219"/>
      <c r="BW227" s="219"/>
      <c r="BX227" s="219"/>
      <c r="BY227" s="219"/>
      <c r="BZ227" s="219"/>
      <c r="CA227" s="219"/>
      <c r="CB227" s="219"/>
      <c r="CC227" s="219"/>
      <c r="CD227" s="219"/>
      <c r="CE227" s="219"/>
      <c r="CF227" s="219"/>
      <c r="CG227" s="219"/>
      <c r="CH227" s="219"/>
      <c r="CI227" s="219"/>
      <c r="CJ227" s="219"/>
      <c r="CK227" s="219"/>
      <c r="CL227" s="219"/>
      <c r="CM227" s="220"/>
      <c r="EA227" s="241"/>
      <c r="EB227" s="241"/>
      <c r="EC227" s="241"/>
      <c r="ED227" s="241"/>
      <c r="EE227" s="241"/>
      <c r="EF227" s="241"/>
      <c r="EG227" s="241"/>
      <c r="EH227" s="241"/>
      <c r="EI227" s="241"/>
      <c r="EJ227" s="241"/>
      <c r="EK227" s="241"/>
      <c r="EL227" s="241"/>
      <c r="EM227" s="241"/>
      <c r="EN227" s="241"/>
      <c r="EO227" s="241"/>
      <c r="EP227" s="241"/>
      <c r="EQ227" s="241"/>
      <c r="ER227" s="241"/>
      <c r="ES227" s="241"/>
      <c r="ET227" s="241"/>
      <c r="EU227" s="241"/>
      <c r="EV227" s="241"/>
      <c r="EW227" s="241"/>
      <c r="EX227" s="241"/>
      <c r="EY227" s="241"/>
      <c r="EZ227" s="241"/>
      <c r="FA227" s="241"/>
      <c r="FB227" s="241"/>
      <c r="FC227" s="241"/>
      <c r="FD227" s="241"/>
      <c r="FE227" s="241"/>
      <c r="FF227" s="241"/>
      <c r="FG227" s="241"/>
      <c r="FH227" s="241"/>
      <c r="FI227" s="241"/>
      <c r="FJ227" s="241"/>
      <c r="FK227" s="241"/>
      <c r="FL227" s="241"/>
      <c r="FM227" s="241"/>
      <c r="FN227" s="241"/>
      <c r="FO227" s="241"/>
      <c r="FP227" s="241"/>
      <c r="FQ227" s="241"/>
      <c r="FR227" s="242"/>
      <c r="FS227" s="242"/>
      <c r="FT227" s="242"/>
      <c r="FU227" s="242"/>
      <c r="FV227" s="242"/>
      <c r="GA227" s="235"/>
      <c r="GB227" s="236"/>
      <c r="GC227" s="236"/>
      <c r="GD227" s="236"/>
      <c r="GE227" s="236"/>
      <c r="GF227" s="236"/>
      <c r="GG227" s="236"/>
      <c r="GH227" s="236"/>
      <c r="GI227" s="236"/>
      <c r="GJ227" s="236"/>
      <c r="GK227" s="236"/>
      <c r="GL227" s="236"/>
      <c r="GM227" s="236"/>
      <c r="GN227" s="236"/>
      <c r="GO227" s="236"/>
      <c r="GP227" s="236"/>
      <c r="GQ227" s="236"/>
      <c r="GR227" s="236"/>
      <c r="GS227" s="236"/>
      <c r="GT227" s="236"/>
      <c r="GU227" s="236"/>
      <c r="GV227" s="236"/>
      <c r="GW227" s="236"/>
      <c r="GX227" s="236"/>
      <c r="GY227" s="236"/>
      <c r="GZ227" s="236"/>
      <c r="HA227" s="236"/>
      <c r="HB227" s="236"/>
      <c r="HC227" s="236"/>
      <c r="HD227" s="236"/>
      <c r="HE227" s="236"/>
      <c r="HF227" s="236"/>
      <c r="HG227" s="236"/>
      <c r="HH227" s="236"/>
      <c r="HI227" s="236"/>
      <c r="HJ227" s="236"/>
      <c r="HK227" s="236"/>
      <c r="HL227" s="236"/>
      <c r="HM227" s="236"/>
      <c r="HN227" s="236"/>
      <c r="HO227" s="236"/>
      <c r="HP227" s="236"/>
      <c r="HQ227" s="237"/>
      <c r="HR227" s="235"/>
      <c r="HS227" s="236"/>
      <c r="HT227" s="236"/>
      <c r="HU227" s="236"/>
      <c r="HV227" s="237"/>
      <c r="ME227" s="180"/>
      <c r="MF227" s="181"/>
    </row>
    <row r="228" spans="4:344" ht="5.0999999999999996" customHeight="1" x14ac:dyDescent="0.3">
      <c r="D228" s="177"/>
      <c r="E228" s="178"/>
      <c r="H228" s="218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20"/>
      <c r="AJ228" s="218"/>
      <c r="AK228" s="219"/>
      <c r="AL228" s="219"/>
      <c r="AM228" s="219"/>
      <c r="AN228" s="219"/>
      <c r="AO228" s="219"/>
      <c r="AP228" s="219"/>
      <c r="AQ228" s="219"/>
      <c r="AR228" s="219"/>
      <c r="AS228" s="219"/>
      <c r="AT228" s="219"/>
      <c r="AU228" s="219"/>
      <c r="AV228" s="219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219"/>
      <c r="BG228" s="219"/>
      <c r="BH228" s="219"/>
      <c r="BI228" s="219"/>
      <c r="BJ228" s="219"/>
      <c r="BK228" s="220"/>
      <c r="BL228" s="218"/>
      <c r="BM228" s="219"/>
      <c r="BN228" s="219"/>
      <c r="BO228" s="219"/>
      <c r="BP228" s="219"/>
      <c r="BQ228" s="219"/>
      <c r="BR228" s="219"/>
      <c r="BS228" s="219"/>
      <c r="BT228" s="219"/>
      <c r="BU228" s="219"/>
      <c r="BV228" s="219"/>
      <c r="BW228" s="219"/>
      <c r="BX228" s="219"/>
      <c r="BY228" s="219"/>
      <c r="BZ228" s="219"/>
      <c r="CA228" s="219"/>
      <c r="CB228" s="219"/>
      <c r="CC228" s="219"/>
      <c r="CD228" s="219"/>
      <c r="CE228" s="219"/>
      <c r="CF228" s="219"/>
      <c r="CG228" s="219"/>
      <c r="CH228" s="219"/>
      <c r="CI228" s="219"/>
      <c r="CJ228" s="219"/>
      <c r="CK228" s="219"/>
      <c r="CL228" s="219"/>
      <c r="CM228" s="220"/>
      <c r="EA228" s="241"/>
      <c r="EB228" s="241"/>
      <c r="EC228" s="241"/>
      <c r="ED228" s="241"/>
      <c r="EE228" s="241"/>
      <c r="EF228" s="241"/>
      <c r="EG228" s="241"/>
      <c r="EH228" s="241"/>
      <c r="EI228" s="241"/>
      <c r="EJ228" s="241"/>
      <c r="EK228" s="241"/>
      <c r="EL228" s="241"/>
      <c r="EM228" s="241"/>
      <c r="EN228" s="241"/>
      <c r="EO228" s="241"/>
      <c r="EP228" s="241"/>
      <c r="EQ228" s="241"/>
      <c r="ER228" s="241"/>
      <c r="ES228" s="241"/>
      <c r="ET228" s="241"/>
      <c r="EU228" s="241"/>
      <c r="EV228" s="241"/>
      <c r="EW228" s="241"/>
      <c r="EX228" s="241"/>
      <c r="EY228" s="241"/>
      <c r="EZ228" s="241"/>
      <c r="FA228" s="241"/>
      <c r="FB228" s="241"/>
      <c r="FC228" s="241"/>
      <c r="FD228" s="241"/>
      <c r="FE228" s="241"/>
      <c r="FF228" s="241"/>
      <c r="FG228" s="241"/>
      <c r="FH228" s="241"/>
      <c r="FI228" s="241"/>
      <c r="FJ228" s="241"/>
      <c r="FK228" s="241"/>
      <c r="FL228" s="241"/>
      <c r="FM228" s="241"/>
      <c r="FN228" s="241"/>
      <c r="FO228" s="241"/>
      <c r="FP228" s="241"/>
      <c r="FQ228" s="241"/>
      <c r="FR228" s="242"/>
      <c r="FS228" s="242"/>
      <c r="FT228" s="242"/>
      <c r="FU228" s="242"/>
      <c r="FV228" s="242"/>
      <c r="GA228" s="238"/>
      <c r="GB228" s="239"/>
      <c r="GC228" s="239"/>
      <c r="GD228" s="239"/>
      <c r="GE228" s="239"/>
      <c r="GF228" s="239"/>
      <c r="GG228" s="239"/>
      <c r="GH228" s="239"/>
      <c r="GI228" s="239"/>
      <c r="GJ228" s="239"/>
      <c r="GK228" s="239"/>
      <c r="GL228" s="239"/>
      <c r="GM228" s="239"/>
      <c r="GN228" s="239"/>
      <c r="GO228" s="239"/>
      <c r="GP228" s="239"/>
      <c r="GQ228" s="239"/>
      <c r="GR228" s="239"/>
      <c r="GS228" s="239"/>
      <c r="GT228" s="239"/>
      <c r="GU228" s="239"/>
      <c r="GV228" s="239"/>
      <c r="GW228" s="239"/>
      <c r="GX228" s="239"/>
      <c r="GY228" s="239"/>
      <c r="GZ228" s="239"/>
      <c r="HA228" s="239"/>
      <c r="HB228" s="239"/>
      <c r="HC228" s="239"/>
      <c r="HD228" s="239"/>
      <c r="HE228" s="239"/>
      <c r="HF228" s="239"/>
      <c r="HG228" s="239"/>
      <c r="HH228" s="239"/>
      <c r="HI228" s="239"/>
      <c r="HJ228" s="239"/>
      <c r="HK228" s="239"/>
      <c r="HL228" s="239"/>
      <c r="HM228" s="239"/>
      <c r="HN228" s="239"/>
      <c r="HO228" s="239"/>
      <c r="HP228" s="239"/>
      <c r="HQ228" s="240"/>
      <c r="HR228" s="238"/>
      <c r="HS228" s="239"/>
      <c r="HT228" s="239"/>
      <c r="HU228" s="239"/>
      <c r="HV228" s="240"/>
      <c r="ME228" s="180"/>
      <c r="MF228" s="181"/>
    </row>
    <row r="229" spans="4:344" ht="5.0999999999999996" customHeight="1" thickBot="1" x14ac:dyDescent="0.35">
      <c r="D229" s="177"/>
      <c r="E229" s="178"/>
      <c r="H229" s="221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3"/>
      <c r="AJ229" s="221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3"/>
      <c r="BL229" s="221"/>
      <c r="BM229" s="222"/>
      <c r="BN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  <c r="BX229" s="222"/>
      <c r="BY229" s="222"/>
      <c r="BZ229" s="222"/>
      <c r="CA229" s="222"/>
      <c r="CB229" s="222"/>
      <c r="CC229" s="222"/>
      <c r="CD229" s="222"/>
      <c r="CE229" s="222"/>
      <c r="CF229" s="222"/>
      <c r="CG229" s="222"/>
      <c r="CH229" s="222"/>
      <c r="CI229" s="222"/>
      <c r="CJ229" s="222"/>
      <c r="CK229" s="222"/>
      <c r="CL229" s="222"/>
      <c r="CM229" s="223"/>
      <c r="EA229" s="241"/>
      <c r="EB229" s="241"/>
      <c r="EC229" s="241"/>
      <c r="ED229" s="241"/>
      <c r="EE229" s="241"/>
      <c r="EF229" s="241"/>
      <c r="EG229" s="241"/>
      <c r="EH229" s="241"/>
      <c r="EI229" s="241"/>
      <c r="EJ229" s="241"/>
      <c r="EK229" s="241"/>
      <c r="EL229" s="241"/>
      <c r="EM229" s="241"/>
      <c r="EN229" s="241"/>
      <c r="EO229" s="241"/>
      <c r="EP229" s="241"/>
      <c r="EQ229" s="241"/>
      <c r="ER229" s="241"/>
      <c r="ES229" s="241"/>
      <c r="ET229" s="241"/>
      <c r="EU229" s="241"/>
      <c r="EV229" s="241"/>
      <c r="EW229" s="241"/>
      <c r="EX229" s="241"/>
      <c r="EY229" s="241"/>
      <c r="EZ229" s="241"/>
      <c r="FA229" s="241"/>
      <c r="FB229" s="241"/>
      <c r="FC229" s="241"/>
      <c r="FD229" s="241"/>
      <c r="FE229" s="241"/>
      <c r="FF229" s="241"/>
      <c r="FG229" s="241"/>
      <c r="FH229" s="241"/>
      <c r="FI229" s="241"/>
      <c r="FJ229" s="241"/>
      <c r="FK229" s="241"/>
      <c r="FL229" s="241"/>
      <c r="FM229" s="241"/>
      <c r="FN229" s="241"/>
      <c r="FO229" s="241"/>
      <c r="FP229" s="241"/>
      <c r="FQ229" s="241"/>
      <c r="FR229" s="242"/>
      <c r="FS229" s="242"/>
      <c r="FT229" s="242"/>
      <c r="FU229" s="242"/>
      <c r="FV229" s="242"/>
      <c r="GA229" s="232"/>
      <c r="GB229" s="233"/>
      <c r="GC229" s="233"/>
      <c r="GD229" s="233"/>
      <c r="GE229" s="233"/>
      <c r="GF229" s="233"/>
      <c r="GG229" s="233"/>
      <c r="GH229" s="233"/>
      <c r="GI229" s="233"/>
      <c r="GJ229" s="233"/>
      <c r="GK229" s="233"/>
      <c r="GL229" s="233"/>
      <c r="GM229" s="233"/>
      <c r="GN229" s="233"/>
      <c r="GO229" s="233"/>
      <c r="GP229" s="233"/>
      <c r="GQ229" s="233"/>
      <c r="GR229" s="233"/>
      <c r="GS229" s="233"/>
      <c r="GT229" s="233"/>
      <c r="GU229" s="233"/>
      <c r="GV229" s="233"/>
      <c r="GW229" s="233"/>
      <c r="GX229" s="233"/>
      <c r="GY229" s="233"/>
      <c r="GZ229" s="233"/>
      <c r="HA229" s="233"/>
      <c r="HB229" s="233"/>
      <c r="HC229" s="233"/>
      <c r="HD229" s="233"/>
      <c r="HE229" s="233"/>
      <c r="HF229" s="233"/>
      <c r="HG229" s="233"/>
      <c r="HH229" s="233"/>
      <c r="HI229" s="233"/>
      <c r="HJ229" s="233"/>
      <c r="HK229" s="233"/>
      <c r="HL229" s="233"/>
      <c r="HM229" s="233"/>
      <c r="HN229" s="233"/>
      <c r="HO229" s="233"/>
      <c r="HP229" s="233"/>
      <c r="HQ229" s="234"/>
      <c r="HR229" s="232"/>
      <c r="HS229" s="233"/>
      <c r="HT229" s="233"/>
      <c r="HU229" s="233"/>
      <c r="HV229" s="234"/>
      <c r="ME229" s="180"/>
      <c r="MF229" s="181"/>
    </row>
    <row r="230" spans="4:344" ht="5.0999999999999996" customHeight="1" x14ac:dyDescent="0.3">
      <c r="D230" s="177"/>
      <c r="E230" s="178"/>
      <c r="H230" s="215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  <c r="AH230" s="216"/>
      <c r="AI230" s="217"/>
      <c r="AJ230" s="215"/>
      <c r="AK230" s="216"/>
      <c r="AL230" s="216"/>
      <c r="AM230" s="216"/>
      <c r="AN230" s="216"/>
      <c r="AO230" s="216"/>
      <c r="AP230" s="216"/>
      <c r="AQ230" s="216"/>
      <c r="AR230" s="216"/>
      <c r="AS230" s="216"/>
      <c r="AT230" s="216"/>
      <c r="AU230" s="216"/>
      <c r="AV230" s="216"/>
      <c r="AW230" s="216"/>
      <c r="AX230" s="216"/>
      <c r="AY230" s="216"/>
      <c r="AZ230" s="216"/>
      <c r="BA230" s="216"/>
      <c r="BB230" s="216"/>
      <c r="BC230" s="216"/>
      <c r="BD230" s="216"/>
      <c r="BE230" s="216"/>
      <c r="BF230" s="216"/>
      <c r="BG230" s="216"/>
      <c r="BH230" s="216"/>
      <c r="BI230" s="216"/>
      <c r="BJ230" s="216"/>
      <c r="BK230" s="217"/>
      <c r="BL230" s="215"/>
      <c r="BM230" s="216"/>
      <c r="BN230" s="216"/>
      <c r="BO230" s="216"/>
      <c r="BP230" s="216"/>
      <c r="BQ230" s="216"/>
      <c r="BR230" s="216"/>
      <c r="BS230" s="216"/>
      <c r="BT230" s="216"/>
      <c r="BU230" s="216"/>
      <c r="BV230" s="216"/>
      <c r="BW230" s="216"/>
      <c r="BX230" s="216"/>
      <c r="BY230" s="216"/>
      <c r="BZ230" s="216"/>
      <c r="CA230" s="216"/>
      <c r="CB230" s="216"/>
      <c r="CC230" s="216"/>
      <c r="CD230" s="216"/>
      <c r="CE230" s="216"/>
      <c r="CF230" s="216"/>
      <c r="CG230" s="216"/>
      <c r="CH230" s="216"/>
      <c r="CI230" s="216"/>
      <c r="CJ230" s="216"/>
      <c r="CK230" s="216"/>
      <c r="CL230" s="216"/>
      <c r="CM230" s="217"/>
      <c r="EA230" s="241"/>
      <c r="EB230" s="241"/>
      <c r="EC230" s="241"/>
      <c r="ED230" s="241"/>
      <c r="EE230" s="241"/>
      <c r="EF230" s="241"/>
      <c r="EG230" s="241"/>
      <c r="EH230" s="241"/>
      <c r="EI230" s="241"/>
      <c r="EJ230" s="241"/>
      <c r="EK230" s="241"/>
      <c r="EL230" s="241"/>
      <c r="EM230" s="241"/>
      <c r="EN230" s="241"/>
      <c r="EO230" s="241"/>
      <c r="EP230" s="241"/>
      <c r="EQ230" s="241"/>
      <c r="ER230" s="241"/>
      <c r="ES230" s="241"/>
      <c r="ET230" s="241"/>
      <c r="EU230" s="241"/>
      <c r="EV230" s="241"/>
      <c r="EW230" s="241"/>
      <c r="EX230" s="241"/>
      <c r="EY230" s="241"/>
      <c r="EZ230" s="241"/>
      <c r="FA230" s="241"/>
      <c r="FB230" s="241"/>
      <c r="FC230" s="241"/>
      <c r="FD230" s="241"/>
      <c r="FE230" s="241"/>
      <c r="FF230" s="241"/>
      <c r="FG230" s="241"/>
      <c r="FH230" s="241"/>
      <c r="FI230" s="241"/>
      <c r="FJ230" s="241"/>
      <c r="FK230" s="241"/>
      <c r="FL230" s="241"/>
      <c r="FM230" s="241"/>
      <c r="FN230" s="241"/>
      <c r="FO230" s="241"/>
      <c r="FP230" s="241"/>
      <c r="FQ230" s="241"/>
      <c r="FR230" s="242"/>
      <c r="FS230" s="242"/>
      <c r="FT230" s="242"/>
      <c r="FU230" s="242"/>
      <c r="FV230" s="242"/>
      <c r="GA230" s="235"/>
      <c r="GB230" s="236"/>
      <c r="GC230" s="236"/>
      <c r="GD230" s="236"/>
      <c r="GE230" s="236"/>
      <c r="GF230" s="236"/>
      <c r="GG230" s="236"/>
      <c r="GH230" s="236"/>
      <c r="GI230" s="236"/>
      <c r="GJ230" s="236"/>
      <c r="GK230" s="236"/>
      <c r="GL230" s="236"/>
      <c r="GM230" s="236"/>
      <c r="GN230" s="236"/>
      <c r="GO230" s="236"/>
      <c r="GP230" s="236"/>
      <c r="GQ230" s="236"/>
      <c r="GR230" s="236"/>
      <c r="GS230" s="236"/>
      <c r="GT230" s="236"/>
      <c r="GU230" s="236"/>
      <c r="GV230" s="236"/>
      <c r="GW230" s="236"/>
      <c r="GX230" s="236"/>
      <c r="GY230" s="236"/>
      <c r="GZ230" s="236"/>
      <c r="HA230" s="236"/>
      <c r="HB230" s="236"/>
      <c r="HC230" s="236"/>
      <c r="HD230" s="236"/>
      <c r="HE230" s="236"/>
      <c r="HF230" s="236"/>
      <c r="HG230" s="236"/>
      <c r="HH230" s="236"/>
      <c r="HI230" s="236"/>
      <c r="HJ230" s="236"/>
      <c r="HK230" s="236"/>
      <c r="HL230" s="236"/>
      <c r="HM230" s="236"/>
      <c r="HN230" s="236"/>
      <c r="HO230" s="236"/>
      <c r="HP230" s="236"/>
      <c r="HQ230" s="237"/>
      <c r="HR230" s="235"/>
      <c r="HS230" s="236"/>
      <c r="HT230" s="236"/>
      <c r="HU230" s="236"/>
      <c r="HV230" s="237"/>
      <c r="IW230" s="215" t="s">
        <v>216</v>
      </c>
      <c r="IX230" s="216"/>
      <c r="IY230" s="216"/>
      <c r="IZ230" s="216"/>
      <c r="JA230" s="216"/>
      <c r="JB230" s="216"/>
      <c r="JC230" s="216"/>
      <c r="JD230" s="216"/>
      <c r="JE230" s="216"/>
      <c r="JF230" s="216"/>
      <c r="JG230" s="216"/>
      <c r="JH230" s="216"/>
      <c r="JI230" s="216"/>
      <c r="JJ230" s="216"/>
      <c r="JK230" s="216"/>
      <c r="JL230" s="216"/>
      <c r="JM230" s="216"/>
      <c r="JN230" s="216"/>
      <c r="JO230" s="216"/>
      <c r="JP230" s="216"/>
      <c r="JQ230" s="216"/>
      <c r="JR230" s="216"/>
      <c r="JS230" s="216"/>
      <c r="JT230" s="216"/>
      <c r="JU230" s="216"/>
      <c r="JV230" s="216"/>
      <c r="JW230" s="216"/>
      <c r="JX230" s="217"/>
      <c r="JY230" s="215" t="s">
        <v>217</v>
      </c>
      <c r="JZ230" s="216"/>
      <c r="KA230" s="216"/>
      <c r="KB230" s="216"/>
      <c r="KC230" s="216"/>
      <c r="KD230" s="216"/>
      <c r="KE230" s="216"/>
      <c r="KF230" s="216"/>
      <c r="KG230" s="216"/>
      <c r="KH230" s="216"/>
      <c r="KI230" s="216"/>
      <c r="KJ230" s="216"/>
      <c r="KK230" s="216"/>
      <c r="KL230" s="216"/>
      <c r="KM230" s="216"/>
      <c r="KN230" s="216"/>
      <c r="KO230" s="216"/>
      <c r="KP230" s="216"/>
      <c r="KQ230" s="216"/>
      <c r="KR230" s="216"/>
      <c r="KS230" s="216"/>
      <c r="KT230" s="216"/>
      <c r="KU230" s="216"/>
      <c r="KV230" s="216"/>
      <c r="KW230" s="216"/>
      <c r="KX230" s="216"/>
      <c r="KY230" s="216"/>
      <c r="KZ230" s="217"/>
      <c r="LA230" s="215" t="s">
        <v>218</v>
      </c>
      <c r="LB230" s="216"/>
      <c r="LC230" s="216"/>
      <c r="LD230" s="216"/>
      <c r="LE230" s="216"/>
      <c r="LF230" s="216"/>
      <c r="LG230" s="216"/>
      <c r="LH230" s="216"/>
      <c r="LI230" s="216"/>
      <c r="LJ230" s="216"/>
      <c r="LK230" s="216"/>
      <c r="LL230" s="216"/>
      <c r="LM230" s="216"/>
      <c r="LN230" s="216"/>
      <c r="LO230" s="216"/>
      <c r="LP230" s="216"/>
      <c r="LQ230" s="216"/>
      <c r="LR230" s="216"/>
      <c r="LS230" s="216"/>
      <c r="LT230" s="216"/>
      <c r="LU230" s="216"/>
      <c r="LV230" s="216"/>
      <c r="LW230" s="216"/>
      <c r="LX230" s="216"/>
      <c r="LY230" s="216"/>
      <c r="LZ230" s="216"/>
      <c r="MA230" s="216"/>
      <c r="MB230" s="217"/>
      <c r="ME230" s="180"/>
      <c r="MF230" s="181"/>
    </row>
    <row r="231" spans="4:344" ht="5.0999999999999996" customHeight="1" x14ac:dyDescent="0.3">
      <c r="D231" s="177"/>
      <c r="E231" s="178"/>
      <c r="H231" s="218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20"/>
      <c r="AJ231" s="218"/>
      <c r="AK231" s="219"/>
      <c r="AL231" s="219"/>
      <c r="AM231" s="219"/>
      <c r="AN231" s="219"/>
      <c r="AO231" s="219"/>
      <c r="AP231" s="219"/>
      <c r="AQ231" s="219"/>
      <c r="AR231" s="219"/>
      <c r="AS231" s="219"/>
      <c r="AT231" s="219"/>
      <c r="AU231" s="219"/>
      <c r="AV231" s="219"/>
      <c r="AW231" s="219"/>
      <c r="AX231" s="219"/>
      <c r="AY231" s="219"/>
      <c r="AZ231" s="219"/>
      <c r="BA231" s="219"/>
      <c r="BB231" s="219"/>
      <c r="BC231" s="219"/>
      <c r="BD231" s="219"/>
      <c r="BE231" s="219"/>
      <c r="BF231" s="219"/>
      <c r="BG231" s="219"/>
      <c r="BH231" s="219"/>
      <c r="BI231" s="219"/>
      <c r="BJ231" s="219"/>
      <c r="BK231" s="220"/>
      <c r="BL231" s="218"/>
      <c r="BM231" s="219"/>
      <c r="BN231" s="219"/>
      <c r="BO231" s="219"/>
      <c r="BP231" s="219"/>
      <c r="BQ231" s="219"/>
      <c r="BR231" s="219"/>
      <c r="BS231" s="219"/>
      <c r="BT231" s="219"/>
      <c r="BU231" s="219"/>
      <c r="BV231" s="219"/>
      <c r="BW231" s="219"/>
      <c r="BX231" s="219"/>
      <c r="BY231" s="219"/>
      <c r="BZ231" s="219"/>
      <c r="CA231" s="219"/>
      <c r="CB231" s="219"/>
      <c r="CC231" s="219"/>
      <c r="CD231" s="219"/>
      <c r="CE231" s="219"/>
      <c r="CF231" s="219"/>
      <c r="CG231" s="219"/>
      <c r="CH231" s="219"/>
      <c r="CI231" s="219"/>
      <c r="CJ231" s="219"/>
      <c r="CK231" s="219"/>
      <c r="CL231" s="219"/>
      <c r="CM231" s="220"/>
      <c r="EA231" s="224" t="s">
        <v>219</v>
      </c>
      <c r="EB231" s="225"/>
      <c r="EC231" s="225"/>
      <c r="ED231" s="225"/>
      <c r="EE231" s="225"/>
      <c r="EF231" s="225"/>
      <c r="EG231" s="225"/>
      <c r="EH231" s="225"/>
      <c r="EI231" s="225"/>
      <c r="EJ231" s="225"/>
      <c r="EK231" s="225"/>
      <c r="EL231" s="225"/>
      <c r="EM231" s="225"/>
      <c r="EN231" s="225"/>
      <c r="EO231" s="225"/>
      <c r="EP231" s="225"/>
      <c r="EQ231" s="225"/>
      <c r="ER231" s="225"/>
      <c r="ES231" s="225"/>
      <c r="ET231" s="225"/>
      <c r="EU231" s="225"/>
      <c r="EV231" s="225"/>
      <c r="EW231" s="225"/>
      <c r="EX231" s="225"/>
      <c r="EY231" s="225"/>
      <c r="EZ231" s="225"/>
      <c r="FA231" s="225"/>
      <c r="FB231" s="225"/>
      <c r="FC231" s="225"/>
      <c r="FD231" s="225"/>
      <c r="FE231" s="225"/>
      <c r="FF231" s="225"/>
      <c r="FG231" s="225"/>
      <c r="FH231" s="225"/>
      <c r="FI231" s="225"/>
      <c r="FJ231" s="225"/>
      <c r="FK231" s="225"/>
      <c r="FL231" s="225"/>
      <c r="FM231" s="225"/>
      <c r="FN231" s="225"/>
      <c r="FO231" s="225"/>
      <c r="FP231" s="225"/>
      <c r="FQ231" s="226"/>
      <c r="FR231" s="224">
        <v>1</v>
      </c>
      <c r="FS231" s="225"/>
      <c r="FT231" s="225"/>
      <c r="FU231" s="225"/>
      <c r="FV231" s="226"/>
      <c r="FX231" s="163" t="s">
        <v>185</v>
      </c>
      <c r="GA231" s="235"/>
      <c r="GB231" s="236"/>
      <c r="GC231" s="236"/>
      <c r="GD231" s="236"/>
      <c r="GE231" s="236"/>
      <c r="GF231" s="236"/>
      <c r="GG231" s="236"/>
      <c r="GH231" s="236"/>
      <c r="GI231" s="236"/>
      <c r="GJ231" s="236"/>
      <c r="GK231" s="236"/>
      <c r="GL231" s="236"/>
      <c r="GM231" s="236"/>
      <c r="GN231" s="236"/>
      <c r="GO231" s="236"/>
      <c r="GP231" s="236"/>
      <c r="GQ231" s="236"/>
      <c r="GR231" s="236"/>
      <c r="GS231" s="236"/>
      <c r="GT231" s="236"/>
      <c r="GU231" s="236"/>
      <c r="GV231" s="236"/>
      <c r="GW231" s="236"/>
      <c r="GX231" s="236"/>
      <c r="GY231" s="236"/>
      <c r="GZ231" s="236"/>
      <c r="HA231" s="236"/>
      <c r="HB231" s="236"/>
      <c r="HC231" s="236"/>
      <c r="HD231" s="236"/>
      <c r="HE231" s="236"/>
      <c r="HF231" s="236"/>
      <c r="HG231" s="236"/>
      <c r="HH231" s="236"/>
      <c r="HI231" s="236"/>
      <c r="HJ231" s="236"/>
      <c r="HK231" s="236"/>
      <c r="HL231" s="236"/>
      <c r="HM231" s="236"/>
      <c r="HN231" s="236"/>
      <c r="HO231" s="236"/>
      <c r="HP231" s="236"/>
      <c r="HQ231" s="237"/>
      <c r="HR231" s="235"/>
      <c r="HS231" s="236"/>
      <c r="HT231" s="236"/>
      <c r="HU231" s="236"/>
      <c r="HV231" s="237"/>
      <c r="IW231" s="218"/>
      <c r="IX231" s="219"/>
      <c r="IY231" s="219"/>
      <c r="IZ231" s="219"/>
      <c r="JA231" s="219"/>
      <c r="JB231" s="219"/>
      <c r="JC231" s="219"/>
      <c r="JD231" s="219"/>
      <c r="JE231" s="219"/>
      <c r="JF231" s="219"/>
      <c r="JG231" s="219"/>
      <c r="JH231" s="219"/>
      <c r="JI231" s="219"/>
      <c r="JJ231" s="219"/>
      <c r="JK231" s="219"/>
      <c r="JL231" s="219"/>
      <c r="JM231" s="219"/>
      <c r="JN231" s="219"/>
      <c r="JO231" s="219"/>
      <c r="JP231" s="219"/>
      <c r="JQ231" s="219"/>
      <c r="JR231" s="219"/>
      <c r="JS231" s="219"/>
      <c r="JT231" s="219"/>
      <c r="JU231" s="219"/>
      <c r="JV231" s="219"/>
      <c r="JW231" s="219"/>
      <c r="JX231" s="220"/>
      <c r="JY231" s="218"/>
      <c r="JZ231" s="219"/>
      <c r="KA231" s="219"/>
      <c r="KB231" s="219"/>
      <c r="KC231" s="219"/>
      <c r="KD231" s="219"/>
      <c r="KE231" s="219"/>
      <c r="KF231" s="219"/>
      <c r="KG231" s="219"/>
      <c r="KH231" s="219"/>
      <c r="KI231" s="219"/>
      <c r="KJ231" s="219"/>
      <c r="KK231" s="219"/>
      <c r="KL231" s="219"/>
      <c r="KM231" s="219"/>
      <c r="KN231" s="219"/>
      <c r="KO231" s="219"/>
      <c r="KP231" s="219"/>
      <c r="KQ231" s="219"/>
      <c r="KR231" s="219"/>
      <c r="KS231" s="219"/>
      <c r="KT231" s="219"/>
      <c r="KU231" s="219"/>
      <c r="KV231" s="219"/>
      <c r="KW231" s="219"/>
      <c r="KX231" s="219"/>
      <c r="KY231" s="219"/>
      <c r="KZ231" s="220"/>
      <c r="LA231" s="218"/>
      <c r="LB231" s="219"/>
      <c r="LC231" s="219"/>
      <c r="LD231" s="219"/>
      <c r="LE231" s="219"/>
      <c r="LF231" s="219"/>
      <c r="LG231" s="219"/>
      <c r="LH231" s="219"/>
      <c r="LI231" s="219"/>
      <c r="LJ231" s="219"/>
      <c r="LK231" s="219"/>
      <c r="LL231" s="219"/>
      <c r="LM231" s="219"/>
      <c r="LN231" s="219"/>
      <c r="LO231" s="219"/>
      <c r="LP231" s="219"/>
      <c r="LQ231" s="219"/>
      <c r="LR231" s="219"/>
      <c r="LS231" s="219"/>
      <c r="LT231" s="219"/>
      <c r="LU231" s="219"/>
      <c r="LV231" s="219"/>
      <c r="LW231" s="219"/>
      <c r="LX231" s="219"/>
      <c r="LY231" s="219"/>
      <c r="LZ231" s="219"/>
      <c r="MA231" s="219"/>
      <c r="MB231" s="220"/>
      <c r="ME231" s="180"/>
      <c r="MF231" s="181"/>
    </row>
    <row r="232" spans="4:344" ht="5.0999999999999996" customHeight="1" x14ac:dyDescent="0.3">
      <c r="D232" s="177"/>
      <c r="E232" s="178"/>
      <c r="H232" s="218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20"/>
      <c r="AJ232" s="218"/>
      <c r="AK232" s="219"/>
      <c r="AL232" s="219"/>
      <c r="AM232" s="219"/>
      <c r="AN232" s="219"/>
      <c r="AO232" s="219"/>
      <c r="AP232" s="219"/>
      <c r="AQ232" s="219"/>
      <c r="AR232" s="219"/>
      <c r="AS232" s="219"/>
      <c r="AT232" s="219"/>
      <c r="AU232" s="219"/>
      <c r="AV232" s="219"/>
      <c r="AW232" s="219"/>
      <c r="AX232" s="219"/>
      <c r="AY232" s="219"/>
      <c r="AZ232" s="219"/>
      <c r="BA232" s="219"/>
      <c r="BB232" s="219"/>
      <c r="BC232" s="219"/>
      <c r="BD232" s="219"/>
      <c r="BE232" s="219"/>
      <c r="BF232" s="219"/>
      <c r="BG232" s="219"/>
      <c r="BH232" s="219"/>
      <c r="BI232" s="219"/>
      <c r="BJ232" s="219"/>
      <c r="BK232" s="220"/>
      <c r="BL232" s="218"/>
      <c r="BM232" s="219"/>
      <c r="BN232" s="219"/>
      <c r="BO232" s="219"/>
      <c r="BP232" s="219"/>
      <c r="BQ232" s="219"/>
      <c r="BR232" s="219"/>
      <c r="BS232" s="219"/>
      <c r="BT232" s="219"/>
      <c r="BU232" s="219"/>
      <c r="BV232" s="219"/>
      <c r="BW232" s="219"/>
      <c r="BX232" s="219"/>
      <c r="BY232" s="219"/>
      <c r="BZ232" s="219"/>
      <c r="CA232" s="219"/>
      <c r="CB232" s="219"/>
      <c r="CC232" s="219"/>
      <c r="CD232" s="219"/>
      <c r="CE232" s="219"/>
      <c r="CF232" s="219"/>
      <c r="CG232" s="219"/>
      <c r="CH232" s="219"/>
      <c r="CI232" s="219"/>
      <c r="CJ232" s="219"/>
      <c r="CK232" s="219"/>
      <c r="CL232" s="219"/>
      <c r="CM232" s="220"/>
      <c r="EA232" s="227"/>
      <c r="EB232" s="219"/>
      <c r="EC232" s="219"/>
      <c r="ED232" s="219"/>
      <c r="EE232" s="219"/>
      <c r="EF232" s="219"/>
      <c r="EG232" s="219"/>
      <c r="EH232" s="219"/>
      <c r="EI232" s="219"/>
      <c r="EJ232" s="219"/>
      <c r="EK232" s="219"/>
      <c r="EL232" s="219"/>
      <c r="EM232" s="219"/>
      <c r="EN232" s="219"/>
      <c r="EO232" s="219"/>
      <c r="EP232" s="219"/>
      <c r="EQ232" s="219"/>
      <c r="ER232" s="219"/>
      <c r="ES232" s="219"/>
      <c r="ET232" s="219"/>
      <c r="EU232" s="219"/>
      <c r="EV232" s="219"/>
      <c r="EW232" s="219"/>
      <c r="EX232" s="219"/>
      <c r="EY232" s="219"/>
      <c r="EZ232" s="219"/>
      <c r="FA232" s="219"/>
      <c r="FB232" s="219"/>
      <c r="FC232" s="219"/>
      <c r="FD232" s="219"/>
      <c r="FE232" s="219"/>
      <c r="FF232" s="219"/>
      <c r="FG232" s="219"/>
      <c r="FH232" s="219"/>
      <c r="FI232" s="219"/>
      <c r="FJ232" s="219"/>
      <c r="FK232" s="219"/>
      <c r="FL232" s="219"/>
      <c r="FM232" s="219"/>
      <c r="FN232" s="219"/>
      <c r="FO232" s="219"/>
      <c r="FP232" s="219"/>
      <c r="FQ232" s="228"/>
      <c r="FR232" s="227"/>
      <c r="FS232" s="219"/>
      <c r="FT232" s="219"/>
      <c r="FU232" s="219"/>
      <c r="FV232" s="228"/>
      <c r="GA232" s="238"/>
      <c r="GB232" s="239"/>
      <c r="GC232" s="239"/>
      <c r="GD232" s="239"/>
      <c r="GE232" s="239"/>
      <c r="GF232" s="239"/>
      <c r="GG232" s="239"/>
      <c r="GH232" s="239"/>
      <c r="GI232" s="239"/>
      <c r="GJ232" s="239"/>
      <c r="GK232" s="239"/>
      <c r="GL232" s="239"/>
      <c r="GM232" s="239"/>
      <c r="GN232" s="239"/>
      <c r="GO232" s="239"/>
      <c r="GP232" s="239"/>
      <c r="GQ232" s="239"/>
      <c r="GR232" s="239"/>
      <c r="GS232" s="239"/>
      <c r="GT232" s="239"/>
      <c r="GU232" s="239"/>
      <c r="GV232" s="239"/>
      <c r="GW232" s="239"/>
      <c r="GX232" s="239"/>
      <c r="GY232" s="239"/>
      <c r="GZ232" s="239"/>
      <c r="HA232" s="239"/>
      <c r="HB232" s="239"/>
      <c r="HC232" s="239"/>
      <c r="HD232" s="239"/>
      <c r="HE232" s="239"/>
      <c r="HF232" s="239"/>
      <c r="HG232" s="239"/>
      <c r="HH232" s="239"/>
      <c r="HI232" s="239"/>
      <c r="HJ232" s="239"/>
      <c r="HK232" s="239"/>
      <c r="HL232" s="239"/>
      <c r="HM232" s="239"/>
      <c r="HN232" s="239"/>
      <c r="HO232" s="239"/>
      <c r="HP232" s="239"/>
      <c r="HQ232" s="240"/>
      <c r="HR232" s="238"/>
      <c r="HS232" s="239"/>
      <c r="HT232" s="239"/>
      <c r="HU232" s="239"/>
      <c r="HV232" s="240"/>
      <c r="IW232" s="218"/>
      <c r="IX232" s="219"/>
      <c r="IY232" s="219"/>
      <c r="IZ232" s="219"/>
      <c r="JA232" s="219"/>
      <c r="JB232" s="219"/>
      <c r="JC232" s="219"/>
      <c r="JD232" s="219"/>
      <c r="JE232" s="219"/>
      <c r="JF232" s="219"/>
      <c r="JG232" s="219"/>
      <c r="JH232" s="219"/>
      <c r="JI232" s="219"/>
      <c r="JJ232" s="219"/>
      <c r="JK232" s="219"/>
      <c r="JL232" s="219"/>
      <c r="JM232" s="219"/>
      <c r="JN232" s="219"/>
      <c r="JO232" s="219"/>
      <c r="JP232" s="219"/>
      <c r="JQ232" s="219"/>
      <c r="JR232" s="219"/>
      <c r="JS232" s="219"/>
      <c r="JT232" s="219"/>
      <c r="JU232" s="219"/>
      <c r="JV232" s="219"/>
      <c r="JW232" s="219"/>
      <c r="JX232" s="220"/>
      <c r="JY232" s="218"/>
      <c r="JZ232" s="219"/>
      <c r="KA232" s="219"/>
      <c r="KB232" s="219"/>
      <c r="KC232" s="219"/>
      <c r="KD232" s="219"/>
      <c r="KE232" s="219"/>
      <c r="KF232" s="219"/>
      <c r="KG232" s="219"/>
      <c r="KH232" s="219"/>
      <c r="KI232" s="219"/>
      <c r="KJ232" s="219"/>
      <c r="KK232" s="219"/>
      <c r="KL232" s="219"/>
      <c r="KM232" s="219"/>
      <c r="KN232" s="219"/>
      <c r="KO232" s="219"/>
      <c r="KP232" s="219"/>
      <c r="KQ232" s="219"/>
      <c r="KR232" s="219"/>
      <c r="KS232" s="219"/>
      <c r="KT232" s="219"/>
      <c r="KU232" s="219"/>
      <c r="KV232" s="219"/>
      <c r="KW232" s="219"/>
      <c r="KX232" s="219"/>
      <c r="KY232" s="219"/>
      <c r="KZ232" s="220"/>
      <c r="LA232" s="218"/>
      <c r="LB232" s="219"/>
      <c r="LC232" s="219"/>
      <c r="LD232" s="219"/>
      <c r="LE232" s="219"/>
      <c r="LF232" s="219"/>
      <c r="LG232" s="219"/>
      <c r="LH232" s="219"/>
      <c r="LI232" s="219"/>
      <c r="LJ232" s="219"/>
      <c r="LK232" s="219"/>
      <c r="LL232" s="219"/>
      <c r="LM232" s="219"/>
      <c r="LN232" s="219"/>
      <c r="LO232" s="219"/>
      <c r="LP232" s="219"/>
      <c r="LQ232" s="219"/>
      <c r="LR232" s="219"/>
      <c r="LS232" s="219"/>
      <c r="LT232" s="219"/>
      <c r="LU232" s="219"/>
      <c r="LV232" s="219"/>
      <c r="LW232" s="219"/>
      <c r="LX232" s="219"/>
      <c r="LY232" s="219"/>
      <c r="LZ232" s="219"/>
      <c r="MA232" s="219"/>
      <c r="MB232" s="220"/>
      <c r="ME232" s="180"/>
      <c r="MF232" s="181"/>
    </row>
    <row r="233" spans="4:344" ht="5.0999999999999996" customHeight="1" x14ac:dyDescent="0.3">
      <c r="D233" s="177"/>
      <c r="E233" s="178"/>
      <c r="H233" s="218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20"/>
      <c r="AJ233" s="218"/>
      <c r="AK233" s="219"/>
      <c r="AL233" s="219"/>
      <c r="AM233" s="219"/>
      <c r="AN233" s="219"/>
      <c r="AO233" s="219"/>
      <c r="AP233" s="219"/>
      <c r="AQ233" s="219"/>
      <c r="AR233" s="219"/>
      <c r="AS233" s="219"/>
      <c r="AT233" s="219"/>
      <c r="AU233" s="219"/>
      <c r="AV233" s="219"/>
      <c r="AW233" s="219"/>
      <c r="AX233" s="219"/>
      <c r="AY233" s="219"/>
      <c r="AZ233" s="219"/>
      <c r="BA233" s="219"/>
      <c r="BB233" s="219"/>
      <c r="BC233" s="219"/>
      <c r="BD233" s="219"/>
      <c r="BE233" s="219"/>
      <c r="BF233" s="219"/>
      <c r="BG233" s="219"/>
      <c r="BH233" s="219"/>
      <c r="BI233" s="219"/>
      <c r="BJ233" s="219"/>
      <c r="BK233" s="220"/>
      <c r="BL233" s="218"/>
      <c r="BM233" s="219"/>
      <c r="BN233" s="219"/>
      <c r="BO233" s="219"/>
      <c r="BP233" s="219"/>
      <c r="BQ233" s="219"/>
      <c r="BR233" s="219"/>
      <c r="BS233" s="219"/>
      <c r="BT233" s="219"/>
      <c r="BU233" s="219"/>
      <c r="BV233" s="219"/>
      <c r="BW233" s="219"/>
      <c r="BX233" s="219"/>
      <c r="BY233" s="219"/>
      <c r="BZ233" s="219"/>
      <c r="CA233" s="219"/>
      <c r="CB233" s="219"/>
      <c r="CC233" s="219"/>
      <c r="CD233" s="219"/>
      <c r="CE233" s="219"/>
      <c r="CF233" s="219"/>
      <c r="CG233" s="219"/>
      <c r="CH233" s="219"/>
      <c r="CI233" s="219"/>
      <c r="CJ233" s="219"/>
      <c r="CK233" s="219"/>
      <c r="CL233" s="219"/>
      <c r="CM233" s="220"/>
      <c r="EA233" s="227"/>
      <c r="EB233" s="219"/>
      <c r="EC233" s="219"/>
      <c r="ED233" s="219"/>
      <c r="EE233" s="219"/>
      <c r="EF233" s="219"/>
      <c r="EG233" s="219"/>
      <c r="EH233" s="219"/>
      <c r="EI233" s="219"/>
      <c r="EJ233" s="219"/>
      <c r="EK233" s="219"/>
      <c r="EL233" s="219"/>
      <c r="EM233" s="219"/>
      <c r="EN233" s="219"/>
      <c r="EO233" s="219"/>
      <c r="EP233" s="219"/>
      <c r="EQ233" s="219"/>
      <c r="ER233" s="219"/>
      <c r="ES233" s="219"/>
      <c r="ET233" s="219"/>
      <c r="EU233" s="219"/>
      <c r="EV233" s="219"/>
      <c r="EW233" s="219"/>
      <c r="EX233" s="219"/>
      <c r="EY233" s="219"/>
      <c r="EZ233" s="219"/>
      <c r="FA233" s="219"/>
      <c r="FB233" s="219"/>
      <c r="FC233" s="219"/>
      <c r="FD233" s="219"/>
      <c r="FE233" s="219"/>
      <c r="FF233" s="219"/>
      <c r="FG233" s="219"/>
      <c r="FH233" s="219"/>
      <c r="FI233" s="219"/>
      <c r="FJ233" s="219"/>
      <c r="FK233" s="219"/>
      <c r="FL233" s="219"/>
      <c r="FM233" s="219"/>
      <c r="FN233" s="219"/>
      <c r="FO233" s="219"/>
      <c r="FP233" s="219"/>
      <c r="FQ233" s="228"/>
      <c r="FR233" s="227"/>
      <c r="FS233" s="219"/>
      <c r="FT233" s="219"/>
      <c r="FU233" s="219"/>
      <c r="FV233" s="228"/>
      <c r="IW233" s="218"/>
      <c r="IX233" s="219"/>
      <c r="IY233" s="219"/>
      <c r="IZ233" s="219"/>
      <c r="JA233" s="219"/>
      <c r="JB233" s="219"/>
      <c r="JC233" s="219"/>
      <c r="JD233" s="219"/>
      <c r="JE233" s="219"/>
      <c r="JF233" s="219"/>
      <c r="JG233" s="219"/>
      <c r="JH233" s="219"/>
      <c r="JI233" s="219"/>
      <c r="JJ233" s="219"/>
      <c r="JK233" s="219"/>
      <c r="JL233" s="219"/>
      <c r="JM233" s="219"/>
      <c r="JN233" s="219"/>
      <c r="JO233" s="219"/>
      <c r="JP233" s="219"/>
      <c r="JQ233" s="219"/>
      <c r="JR233" s="219"/>
      <c r="JS233" s="219"/>
      <c r="JT233" s="219"/>
      <c r="JU233" s="219"/>
      <c r="JV233" s="219"/>
      <c r="JW233" s="219"/>
      <c r="JX233" s="220"/>
      <c r="JY233" s="218"/>
      <c r="JZ233" s="219"/>
      <c r="KA233" s="219"/>
      <c r="KB233" s="219"/>
      <c r="KC233" s="219"/>
      <c r="KD233" s="219"/>
      <c r="KE233" s="219"/>
      <c r="KF233" s="219"/>
      <c r="KG233" s="219"/>
      <c r="KH233" s="219"/>
      <c r="KI233" s="219"/>
      <c r="KJ233" s="219"/>
      <c r="KK233" s="219"/>
      <c r="KL233" s="219"/>
      <c r="KM233" s="219"/>
      <c r="KN233" s="219"/>
      <c r="KO233" s="219"/>
      <c r="KP233" s="219"/>
      <c r="KQ233" s="219"/>
      <c r="KR233" s="219"/>
      <c r="KS233" s="219"/>
      <c r="KT233" s="219"/>
      <c r="KU233" s="219"/>
      <c r="KV233" s="219"/>
      <c r="KW233" s="219"/>
      <c r="KX233" s="219"/>
      <c r="KY233" s="219"/>
      <c r="KZ233" s="220"/>
      <c r="LA233" s="218"/>
      <c r="LB233" s="219"/>
      <c r="LC233" s="219"/>
      <c r="LD233" s="219"/>
      <c r="LE233" s="219"/>
      <c r="LF233" s="219"/>
      <c r="LG233" s="219"/>
      <c r="LH233" s="219"/>
      <c r="LI233" s="219"/>
      <c r="LJ233" s="219"/>
      <c r="LK233" s="219"/>
      <c r="LL233" s="219"/>
      <c r="LM233" s="219"/>
      <c r="LN233" s="219"/>
      <c r="LO233" s="219"/>
      <c r="LP233" s="219"/>
      <c r="LQ233" s="219"/>
      <c r="LR233" s="219"/>
      <c r="LS233" s="219"/>
      <c r="LT233" s="219"/>
      <c r="LU233" s="219"/>
      <c r="LV233" s="219"/>
      <c r="LW233" s="219"/>
      <c r="LX233" s="219"/>
      <c r="LY233" s="219"/>
      <c r="LZ233" s="219"/>
      <c r="MA233" s="219"/>
      <c r="MB233" s="220"/>
      <c r="ME233" s="180"/>
      <c r="MF233" s="181"/>
    </row>
    <row r="234" spans="4:344" ht="5.0999999999999996" customHeight="1" thickBot="1" x14ac:dyDescent="0.35">
      <c r="D234" s="177"/>
      <c r="E234" s="178"/>
      <c r="H234" s="221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3"/>
      <c r="AJ234" s="221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3"/>
      <c r="BL234" s="221"/>
      <c r="BM234" s="222"/>
      <c r="BN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  <c r="BX234" s="222"/>
      <c r="BY234" s="222"/>
      <c r="BZ234" s="222"/>
      <c r="CA234" s="222"/>
      <c r="CB234" s="222"/>
      <c r="CC234" s="222"/>
      <c r="CD234" s="222"/>
      <c r="CE234" s="222"/>
      <c r="CF234" s="222"/>
      <c r="CG234" s="222"/>
      <c r="CH234" s="222"/>
      <c r="CI234" s="222"/>
      <c r="CJ234" s="222"/>
      <c r="CK234" s="222"/>
      <c r="CL234" s="222"/>
      <c r="CM234" s="223"/>
      <c r="EA234" s="229"/>
      <c r="EB234" s="230"/>
      <c r="EC234" s="230"/>
      <c r="ED234" s="230"/>
      <c r="EE234" s="230"/>
      <c r="EF234" s="230"/>
      <c r="EG234" s="230"/>
      <c r="EH234" s="230"/>
      <c r="EI234" s="230"/>
      <c r="EJ234" s="230"/>
      <c r="EK234" s="230"/>
      <c r="EL234" s="230"/>
      <c r="EM234" s="230"/>
      <c r="EN234" s="230"/>
      <c r="EO234" s="230"/>
      <c r="EP234" s="230"/>
      <c r="EQ234" s="230"/>
      <c r="ER234" s="230"/>
      <c r="ES234" s="230"/>
      <c r="ET234" s="230"/>
      <c r="EU234" s="230"/>
      <c r="EV234" s="230"/>
      <c r="EW234" s="230"/>
      <c r="EX234" s="230"/>
      <c r="EY234" s="230"/>
      <c r="EZ234" s="230"/>
      <c r="FA234" s="230"/>
      <c r="FB234" s="230"/>
      <c r="FC234" s="230"/>
      <c r="FD234" s="230"/>
      <c r="FE234" s="230"/>
      <c r="FF234" s="230"/>
      <c r="FG234" s="230"/>
      <c r="FH234" s="230"/>
      <c r="FI234" s="230"/>
      <c r="FJ234" s="230"/>
      <c r="FK234" s="230"/>
      <c r="FL234" s="230"/>
      <c r="FM234" s="230"/>
      <c r="FN234" s="230"/>
      <c r="FO234" s="230"/>
      <c r="FP234" s="230"/>
      <c r="FQ234" s="231"/>
      <c r="FR234" s="229"/>
      <c r="FS234" s="230"/>
      <c r="FT234" s="230"/>
      <c r="FU234" s="230"/>
      <c r="FV234" s="231"/>
      <c r="IW234" s="221"/>
      <c r="IX234" s="222"/>
      <c r="IY234" s="222"/>
      <c r="IZ234" s="222"/>
      <c r="JA234" s="222"/>
      <c r="JB234" s="222"/>
      <c r="JC234" s="222"/>
      <c r="JD234" s="222"/>
      <c r="JE234" s="222"/>
      <c r="JF234" s="222"/>
      <c r="JG234" s="222"/>
      <c r="JH234" s="222"/>
      <c r="JI234" s="222"/>
      <c r="JJ234" s="222"/>
      <c r="JK234" s="222"/>
      <c r="JL234" s="222"/>
      <c r="JM234" s="222"/>
      <c r="JN234" s="222"/>
      <c r="JO234" s="222"/>
      <c r="JP234" s="222"/>
      <c r="JQ234" s="222"/>
      <c r="JR234" s="222"/>
      <c r="JS234" s="222"/>
      <c r="JT234" s="222"/>
      <c r="JU234" s="222"/>
      <c r="JV234" s="222"/>
      <c r="JW234" s="222"/>
      <c r="JX234" s="223"/>
      <c r="JY234" s="221"/>
      <c r="JZ234" s="222"/>
      <c r="KA234" s="222"/>
      <c r="KB234" s="222"/>
      <c r="KC234" s="222"/>
      <c r="KD234" s="222"/>
      <c r="KE234" s="222"/>
      <c r="KF234" s="222"/>
      <c r="KG234" s="222"/>
      <c r="KH234" s="222"/>
      <c r="KI234" s="222"/>
      <c r="KJ234" s="222"/>
      <c r="KK234" s="222"/>
      <c r="KL234" s="222"/>
      <c r="KM234" s="222"/>
      <c r="KN234" s="222"/>
      <c r="KO234" s="222"/>
      <c r="KP234" s="222"/>
      <c r="KQ234" s="222"/>
      <c r="KR234" s="222"/>
      <c r="KS234" s="222"/>
      <c r="KT234" s="222"/>
      <c r="KU234" s="222"/>
      <c r="KV234" s="222"/>
      <c r="KW234" s="222"/>
      <c r="KX234" s="222"/>
      <c r="KY234" s="222"/>
      <c r="KZ234" s="223"/>
      <c r="LA234" s="221"/>
      <c r="LB234" s="222"/>
      <c r="LC234" s="222"/>
      <c r="LD234" s="222"/>
      <c r="LE234" s="222"/>
      <c r="LF234" s="222"/>
      <c r="LG234" s="222"/>
      <c r="LH234" s="222"/>
      <c r="LI234" s="222"/>
      <c r="LJ234" s="222"/>
      <c r="LK234" s="222"/>
      <c r="LL234" s="222"/>
      <c r="LM234" s="222"/>
      <c r="LN234" s="222"/>
      <c r="LO234" s="222"/>
      <c r="LP234" s="222"/>
      <c r="LQ234" s="222"/>
      <c r="LR234" s="222"/>
      <c r="LS234" s="222"/>
      <c r="LT234" s="222"/>
      <c r="LU234" s="222"/>
      <c r="LV234" s="222"/>
      <c r="LW234" s="222"/>
      <c r="LX234" s="222"/>
      <c r="LY234" s="222"/>
      <c r="LZ234" s="222"/>
      <c r="MA234" s="222"/>
      <c r="MB234" s="223"/>
      <c r="ME234" s="180"/>
      <c r="MF234" s="181"/>
    </row>
    <row r="235" spans="4:344" ht="5.0999999999999996" customHeight="1" x14ac:dyDescent="0.3">
      <c r="D235" s="177"/>
      <c r="E235" s="210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  <c r="AL235" s="193"/>
      <c r="AM235" s="193"/>
      <c r="AN235" s="193"/>
      <c r="AO235" s="193"/>
      <c r="AP235" s="193"/>
      <c r="AQ235" s="193"/>
      <c r="AR235" s="193"/>
      <c r="AS235" s="193"/>
      <c r="AT235" s="193"/>
      <c r="AU235" s="193"/>
      <c r="AV235" s="193"/>
      <c r="AW235" s="193"/>
      <c r="AX235" s="193"/>
      <c r="AY235" s="193"/>
      <c r="AZ235" s="193"/>
      <c r="BA235" s="193"/>
      <c r="BB235" s="193"/>
      <c r="BC235" s="193"/>
      <c r="BD235" s="193"/>
      <c r="BE235" s="193"/>
      <c r="BF235" s="193"/>
      <c r="BG235" s="193"/>
      <c r="BH235" s="193"/>
      <c r="BI235" s="193"/>
      <c r="BJ235" s="193"/>
      <c r="BK235" s="193"/>
      <c r="BL235" s="193"/>
      <c r="BM235" s="193"/>
      <c r="BN235" s="193"/>
      <c r="BO235" s="193"/>
      <c r="BP235" s="193"/>
      <c r="BQ235" s="193"/>
      <c r="BR235" s="193"/>
      <c r="BS235" s="193"/>
      <c r="BT235" s="193"/>
      <c r="BU235" s="193"/>
      <c r="BV235" s="193"/>
      <c r="BW235" s="193"/>
      <c r="BX235" s="193"/>
      <c r="BY235" s="193"/>
      <c r="BZ235" s="193"/>
      <c r="CA235" s="193"/>
      <c r="CB235" s="193"/>
      <c r="CC235" s="193"/>
      <c r="CD235" s="193"/>
      <c r="CE235" s="193"/>
      <c r="CF235" s="193"/>
      <c r="CG235" s="193"/>
      <c r="CH235" s="193"/>
      <c r="CI235" s="193"/>
      <c r="CJ235" s="193"/>
      <c r="CK235" s="193"/>
      <c r="CL235" s="193"/>
      <c r="CM235" s="193"/>
      <c r="CN235" s="193"/>
      <c r="CO235" s="193"/>
      <c r="CP235" s="193"/>
      <c r="CQ235" s="193"/>
      <c r="CR235" s="193"/>
      <c r="CS235" s="193"/>
      <c r="CT235" s="193"/>
      <c r="CU235" s="193"/>
      <c r="CV235" s="193"/>
      <c r="CW235" s="193"/>
      <c r="CX235" s="193"/>
      <c r="CY235" s="193"/>
      <c r="CZ235" s="193"/>
      <c r="DA235" s="193"/>
      <c r="DB235" s="193"/>
      <c r="DC235" s="193"/>
      <c r="DD235" s="193"/>
      <c r="DE235" s="193"/>
      <c r="DF235" s="193"/>
      <c r="DG235" s="193"/>
      <c r="DH235" s="193"/>
      <c r="DI235" s="193"/>
      <c r="DJ235" s="193"/>
      <c r="DK235" s="193"/>
      <c r="DL235" s="193"/>
      <c r="DM235" s="193"/>
      <c r="DN235" s="193"/>
      <c r="DO235" s="193"/>
      <c r="DP235" s="193"/>
      <c r="DQ235" s="193"/>
      <c r="DR235" s="193"/>
      <c r="DS235" s="193"/>
      <c r="DT235" s="193"/>
      <c r="DU235" s="193"/>
      <c r="DV235" s="193"/>
      <c r="DW235" s="193"/>
      <c r="DX235" s="193"/>
      <c r="DY235" s="193"/>
      <c r="DZ235" s="193"/>
      <c r="EA235" s="193"/>
      <c r="EB235" s="193"/>
      <c r="EC235" s="193"/>
      <c r="ED235" s="193"/>
      <c r="EE235" s="193"/>
      <c r="EF235" s="193"/>
      <c r="EG235" s="193"/>
      <c r="EH235" s="193"/>
      <c r="EI235" s="193"/>
      <c r="EJ235" s="193"/>
      <c r="EK235" s="193"/>
      <c r="EL235" s="193"/>
      <c r="EM235" s="193"/>
      <c r="EN235" s="193"/>
      <c r="EO235" s="193"/>
      <c r="EP235" s="193"/>
      <c r="EQ235" s="193"/>
      <c r="ER235" s="193"/>
      <c r="ES235" s="193"/>
      <c r="ET235" s="193"/>
      <c r="EU235" s="193"/>
      <c r="EV235" s="193"/>
      <c r="EW235" s="193"/>
      <c r="EX235" s="193"/>
      <c r="EY235" s="193"/>
      <c r="EZ235" s="193"/>
      <c r="FA235" s="193"/>
      <c r="FB235" s="193"/>
      <c r="FC235" s="193"/>
      <c r="FD235" s="193"/>
      <c r="FE235" s="193"/>
      <c r="FF235" s="193"/>
      <c r="FG235" s="193"/>
      <c r="FH235" s="193"/>
      <c r="FI235" s="193"/>
      <c r="FJ235" s="193"/>
      <c r="FK235" s="193"/>
      <c r="FL235" s="193"/>
      <c r="FM235" s="193"/>
      <c r="FN235" s="193"/>
      <c r="FO235" s="193"/>
      <c r="FP235" s="193"/>
      <c r="FQ235" s="193"/>
      <c r="FR235" s="193"/>
      <c r="FS235" s="193"/>
      <c r="FT235" s="193"/>
      <c r="FU235" s="193"/>
      <c r="FV235" s="193"/>
      <c r="FW235" s="193"/>
      <c r="FX235" s="193"/>
      <c r="FY235" s="193"/>
      <c r="FZ235" s="193"/>
      <c r="GA235" s="193"/>
      <c r="GB235" s="193"/>
      <c r="GC235" s="193"/>
      <c r="GD235" s="193"/>
      <c r="GE235" s="193"/>
      <c r="GF235" s="193"/>
      <c r="GG235" s="193"/>
      <c r="GH235" s="193"/>
      <c r="GI235" s="193"/>
      <c r="GJ235" s="193"/>
      <c r="GK235" s="193"/>
      <c r="GL235" s="193"/>
      <c r="GM235" s="193"/>
      <c r="GN235" s="193"/>
      <c r="GO235" s="193"/>
      <c r="GP235" s="193"/>
      <c r="GQ235" s="193"/>
      <c r="GR235" s="193"/>
      <c r="GS235" s="193"/>
      <c r="GT235" s="193"/>
      <c r="GU235" s="193"/>
      <c r="GV235" s="193"/>
      <c r="GW235" s="193"/>
      <c r="GX235" s="193"/>
      <c r="GY235" s="193"/>
      <c r="GZ235" s="193"/>
      <c r="HA235" s="193"/>
      <c r="HB235" s="193"/>
      <c r="HC235" s="193"/>
      <c r="HD235" s="193"/>
      <c r="HE235" s="193"/>
      <c r="HF235" s="193"/>
      <c r="HG235" s="193"/>
      <c r="HH235" s="193"/>
      <c r="HI235" s="193"/>
      <c r="HJ235" s="193"/>
      <c r="HK235" s="193"/>
      <c r="HL235" s="193"/>
      <c r="HM235" s="193"/>
      <c r="HN235" s="193"/>
      <c r="HO235" s="193"/>
      <c r="HP235" s="193"/>
      <c r="HQ235" s="193"/>
      <c r="HR235" s="193"/>
      <c r="HS235" s="193"/>
      <c r="HT235" s="193"/>
      <c r="HU235" s="193"/>
      <c r="HV235" s="193"/>
      <c r="HW235" s="193"/>
      <c r="HX235" s="193"/>
      <c r="HY235" s="193"/>
      <c r="HZ235" s="193"/>
      <c r="IA235" s="193"/>
      <c r="IB235" s="193"/>
      <c r="IC235" s="193"/>
      <c r="ID235" s="193"/>
      <c r="IE235" s="193"/>
      <c r="IF235" s="193"/>
      <c r="IG235" s="193"/>
      <c r="IH235" s="193"/>
      <c r="II235" s="193"/>
      <c r="IJ235" s="193"/>
      <c r="IK235" s="193"/>
      <c r="IL235" s="193"/>
      <c r="IM235" s="193"/>
      <c r="IN235" s="193"/>
      <c r="IO235" s="193"/>
      <c r="IP235" s="193"/>
      <c r="IQ235" s="193"/>
      <c r="IR235" s="193"/>
      <c r="IS235" s="193"/>
      <c r="IT235" s="193"/>
      <c r="IU235" s="193"/>
      <c r="IV235" s="193"/>
      <c r="IW235" s="193"/>
      <c r="IX235" s="193"/>
      <c r="IY235" s="193"/>
      <c r="IZ235" s="193"/>
      <c r="JA235" s="193"/>
      <c r="JB235" s="193"/>
      <c r="JC235" s="193"/>
      <c r="JD235" s="193"/>
      <c r="JE235" s="193"/>
      <c r="JF235" s="193"/>
      <c r="JG235" s="193"/>
      <c r="JH235" s="193"/>
      <c r="JI235" s="193"/>
      <c r="JJ235" s="193"/>
      <c r="JK235" s="193"/>
      <c r="JL235" s="193"/>
      <c r="JM235" s="193"/>
      <c r="JN235" s="193"/>
      <c r="JO235" s="193"/>
      <c r="JP235" s="193"/>
      <c r="JQ235" s="193"/>
      <c r="JR235" s="193"/>
      <c r="JS235" s="193"/>
      <c r="JT235" s="193"/>
      <c r="JU235" s="193"/>
      <c r="JV235" s="193"/>
      <c r="JW235" s="193"/>
      <c r="JX235" s="193"/>
      <c r="JY235" s="193"/>
      <c r="JZ235" s="193"/>
      <c r="KA235" s="193"/>
      <c r="KB235" s="193"/>
      <c r="KC235" s="193"/>
      <c r="KD235" s="193"/>
      <c r="KE235" s="193"/>
      <c r="KF235" s="193"/>
      <c r="KG235" s="193"/>
      <c r="KH235" s="193"/>
      <c r="KI235" s="193"/>
      <c r="KJ235" s="193"/>
      <c r="KK235" s="193"/>
      <c r="KL235" s="193"/>
      <c r="KM235" s="193"/>
      <c r="KN235" s="193"/>
      <c r="KO235" s="193"/>
      <c r="KP235" s="193"/>
      <c r="KQ235" s="193"/>
      <c r="KR235" s="193"/>
      <c r="KS235" s="193"/>
      <c r="KT235" s="193"/>
      <c r="KU235" s="193"/>
      <c r="KV235" s="193"/>
      <c r="KW235" s="193"/>
      <c r="KX235" s="193"/>
      <c r="KY235" s="193"/>
      <c r="KZ235" s="193"/>
      <c r="LA235" s="193"/>
      <c r="LB235" s="193"/>
      <c r="LC235" s="193"/>
      <c r="LD235" s="193"/>
      <c r="LE235" s="193"/>
      <c r="LF235" s="193"/>
      <c r="LG235" s="193"/>
      <c r="LH235" s="193"/>
      <c r="LI235" s="193"/>
      <c r="LJ235" s="193"/>
      <c r="LK235" s="193"/>
      <c r="LL235" s="193"/>
      <c r="LM235" s="193"/>
      <c r="LN235" s="193"/>
      <c r="LO235" s="193"/>
      <c r="LP235" s="193"/>
      <c r="LQ235" s="193"/>
      <c r="LR235" s="193"/>
      <c r="LS235" s="193"/>
      <c r="LT235" s="193"/>
      <c r="LU235" s="193"/>
      <c r="LV235" s="193"/>
      <c r="LW235" s="193"/>
      <c r="LX235" s="193"/>
      <c r="LY235" s="193"/>
      <c r="LZ235" s="193"/>
      <c r="MA235" s="193"/>
      <c r="MB235" s="193"/>
      <c r="MC235" s="193"/>
      <c r="MD235" s="193"/>
      <c r="ME235" s="211"/>
      <c r="MF235" s="181"/>
    </row>
    <row r="236" spans="4:344" ht="3" customHeight="1" thickBot="1" x14ac:dyDescent="0.35">
      <c r="D236" s="212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  <c r="AE236" s="213"/>
      <c r="AF236" s="213"/>
      <c r="AG236" s="213"/>
      <c r="AH236" s="213"/>
      <c r="AI236" s="213"/>
      <c r="AJ236" s="213"/>
      <c r="AK236" s="213"/>
      <c r="AL236" s="213"/>
      <c r="AM236" s="213"/>
      <c r="AN236" s="213"/>
      <c r="AO236" s="213"/>
      <c r="AP236" s="213"/>
      <c r="AQ236" s="213"/>
      <c r="AR236" s="213"/>
      <c r="AS236" s="213"/>
      <c r="AT236" s="213"/>
      <c r="AU236" s="213"/>
      <c r="AV236" s="213"/>
      <c r="AW236" s="213"/>
      <c r="AX236" s="213"/>
      <c r="AY236" s="213"/>
      <c r="AZ236" s="213"/>
      <c r="BA236" s="213"/>
      <c r="BB236" s="213"/>
      <c r="BC236" s="213"/>
      <c r="BD236" s="213"/>
      <c r="BE236" s="213"/>
      <c r="BF236" s="213"/>
      <c r="BG236" s="213"/>
      <c r="BH236" s="213"/>
      <c r="BI236" s="213"/>
      <c r="BJ236" s="213"/>
      <c r="BK236" s="213"/>
      <c r="BL236" s="213"/>
      <c r="BM236" s="213"/>
      <c r="BN236" s="213"/>
      <c r="BO236" s="213"/>
      <c r="BP236" s="213"/>
      <c r="BQ236" s="213"/>
      <c r="BR236" s="213"/>
      <c r="BS236" s="213"/>
      <c r="BT236" s="213"/>
      <c r="BU236" s="213"/>
      <c r="BV236" s="213"/>
      <c r="BW236" s="213"/>
      <c r="BX236" s="213"/>
      <c r="BY236" s="213"/>
      <c r="BZ236" s="213"/>
      <c r="CA236" s="213"/>
      <c r="CB236" s="213"/>
      <c r="CC236" s="213"/>
      <c r="CD236" s="213"/>
      <c r="CE236" s="213"/>
      <c r="CF236" s="213"/>
      <c r="CG236" s="213"/>
      <c r="CH236" s="213"/>
      <c r="CI236" s="213"/>
      <c r="CJ236" s="213"/>
      <c r="CK236" s="213"/>
      <c r="CL236" s="213"/>
      <c r="CM236" s="213"/>
      <c r="CN236" s="213"/>
      <c r="CO236" s="213"/>
      <c r="CP236" s="213"/>
      <c r="CQ236" s="213"/>
      <c r="CR236" s="213"/>
      <c r="CS236" s="213"/>
      <c r="CT236" s="213"/>
      <c r="CU236" s="213"/>
      <c r="CV236" s="213"/>
      <c r="CW236" s="213"/>
      <c r="CX236" s="213"/>
      <c r="CY236" s="213"/>
      <c r="CZ236" s="213"/>
      <c r="DA236" s="213"/>
      <c r="DB236" s="213"/>
      <c r="DC236" s="213"/>
      <c r="DD236" s="213"/>
      <c r="DE236" s="213"/>
      <c r="DF236" s="213"/>
      <c r="DG236" s="213"/>
      <c r="DH236" s="213"/>
      <c r="DI236" s="213"/>
      <c r="DJ236" s="213"/>
      <c r="DK236" s="213"/>
      <c r="DL236" s="213"/>
      <c r="DM236" s="213"/>
      <c r="DN236" s="213"/>
      <c r="DO236" s="213"/>
      <c r="DP236" s="213"/>
      <c r="DQ236" s="213"/>
      <c r="DR236" s="213"/>
      <c r="DS236" s="213"/>
      <c r="DT236" s="213"/>
      <c r="DU236" s="213"/>
      <c r="DV236" s="213"/>
      <c r="DW236" s="213"/>
      <c r="DX236" s="213"/>
      <c r="DY236" s="213"/>
      <c r="DZ236" s="213"/>
      <c r="EA236" s="213"/>
      <c r="EB236" s="213"/>
      <c r="EC236" s="213"/>
      <c r="ED236" s="213"/>
      <c r="EE236" s="213"/>
      <c r="EF236" s="213"/>
      <c r="EG236" s="213"/>
      <c r="EH236" s="213"/>
      <c r="EI236" s="213"/>
      <c r="EJ236" s="213"/>
      <c r="EK236" s="213"/>
      <c r="EL236" s="213"/>
      <c r="EM236" s="213"/>
      <c r="EN236" s="213"/>
      <c r="EO236" s="213"/>
      <c r="EP236" s="213"/>
      <c r="EQ236" s="213"/>
      <c r="ER236" s="213"/>
      <c r="ES236" s="213"/>
      <c r="ET236" s="213"/>
      <c r="EU236" s="213"/>
      <c r="EV236" s="213"/>
      <c r="EW236" s="213"/>
      <c r="EX236" s="213"/>
      <c r="EY236" s="213"/>
      <c r="EZ236" s="213"/>
      <c r="FA236" s="213"/>
      <c r="FB236" s="213"/>
      <c r="FC236" s="213"/>
      <c r="FD236" s="213"/>
      <c r="FE236" s="213"/>
      <c r="FF236" s="213"/>
      <c r="FG236" s="213"/>
      <c r="FH236" s="213"/>
      <c r="FI236" s="213"/>
      <c r="FJ236" s="213"/>
      <c r="FK236" s="213"/>
      <c r="FL236" s="213"/>
      <c r="FM236" s="213"/>
      <c r="FN236" s="213"/>
      <c r="FO236" s="213"/>
      <c r="FP236" s="213"/>
      <c r="FQ236" s="213"/>
      <c r="FR236" s="213"/>
      <c r="FS236" s="213"/>
      <c r="FT236" s="213"/>
      <c r="FU236" s="213"/>
      <c r="FV236" s="213"/>
      <c r="FW236" s="213"/>
      <c r="FX236" s="213"/>
      <c r="FY236" s="213"/>
      <c r="FZ236" s="213"/>
      <c r="GA236" s="213"/>
      <c r="GB236" s="213"/>
      <c r="GC236" s="213"/>
      <c r="GD236" s="213"/>
      <c r="GE236" s="213"/>
      <c r="GF236" s="213"/>
      <c r="GG236" s="213"/>
      <c r="GH236" s="213"/>
      <c r="GI236" s="213"/>
      <c r="GJ236" s="213"/>
      <c r="GK236" s="213"/>
      <c r="GL236" s="213"/>
      <c r="GM236" s="213"/>
      <c r="GN236" s="213"/>
      <c r="GO236" s="213"/>
      <c r="GP236" s="213"/>
      <c r="GQ236" s="213"/>
      <c r="GR236" s="213"/>
      <c r="GS236" s="213"/>
      <c r="GT236" s="213"/>
      <c r="GU236" s="213"/>
      <c r="GV236" s="213"/>
      <c r="GW236" s="213"/>
      <c r="GX236" s="213"/>
      <c r="GY236" s="213"/>
      <c r="GZ236" s="213"/>
      <c r="HA236" s="213"/>
      <c r="HB236" s="213"/>
      <c r="HC236" s="213"/>
      <c r="HD236" s="213"/>
      <c r="HE236" s="213"/>
      <c r="HF236" s="213"/>
      <c r="HG236" s="213"/>
      <c r="HH236" s="213"/>
      <c r="HI236" s="213"/>
      <c r="HJ236" s="213"/>
      <c r="HK236" s="213"/>
      <c r="HL236" s="213"/>
      <c r="HM236" s="213"/>
      <c r="HN236" s="213"/>
      <c r="HO236" s="213"/>
      <c r="HP236" s="213"/>
      <c r="HQ236" s="213"/>
      <c r="HR236" s="213"/>
      <c r="HS236" s="213"/>
      <c r="HT236" s="213"/>
      <c r="HU236" s="213"/>
      <c r="HV236" s="213"/>
      <c r="HW236" s="213"/>
      <c r="HX236" s="213"/>
      <c r="HY236" s="213"/>
      <c r="HZ236" s="213"/>
      <c r="IA236" s="213"/>
      <c r="IB236" s="213"/>
      <c r="IC236" s="213"/>
      <c r="ID236" s="213"/>
      <c r="IE236" s="213"/>
      <c r="IF236" s="213"/>
      <c r="IG236" s="213"/>
      <c r="IH236" s="213"/>
      <c r="II236" s="213"/>
      <c r="IJ236" s="213"/>
      <c r="IK236" s="213"/>
      <c r="IL236" s="213"/>
      <c r="IM236" s="213"/>
      <c r="IN236" s="213"/>
      <c r="IO236" s="213"/>
      <c r="IP236" s="213"/>
      <c r="IQ236" s="213"/>
      <c r="IR236" s="213"/>
      <c r="IS236" s="213"/>
      <c r="IT236" s="213"/>
      <c r="IU236" s="213"/>
      <c r="IV236" s="213"/>
      <c r="IW236" s="213"/>
      <c r="IX236" s="213"/>
      <c r="IY236" s="213"/>
      <c r="IZ236" s="213"/>
      <c r="JA236" s="213"/>
      <c r="JB236" s="213"/>
      <c r="JC236" s="213"/>
      <c r="JD236" s="213"/>
      <c r="JE236" s="213"/>
      <c r="JF236" s="213"/>
      <c r="JG236" s="213"/>
      <c r="JH236" s="213"/>
      <c r="JI236" s="213"/>
      <c r="JJ236" s="213"/>
      <c r="JK236" s="213"/>
      <c r="JL236" s="213"/>
      <c r="JM236" s="213"/>
      <c r="JN236" s="213"/>
      <c r="JO236" s="213"/>
      <c r="JP236" s="213"/>
      <c r="JQ236" s="213"/>
      <c r="JR236" s="213"/>
      <c r="JS236" s="213"/>
      <c r="JT236" s="213"/>
      <c r="JU236" s="213"/>
      <c r="JV236" s="213"/>
      <c r="JW236" s="213"/>
      <c r="JX236" s="213"/>
      <c r="JY236" s="213"/>
      <c r="JZ236" s="213"/>
      <c r="KA236" s="213"/>
      <c r="KB236" s="213"/>
      <c r="KC236" s="213"/>
      <c r="KD236" s="213"/>
      <c r="KE236" s="213"/>
      <c r="KF236" s="213"/>
      <c r="KG236" s="213"/>
      <c r="KH236" s="213"/>
      <c r="KI236" s="213"/>
      <c r="KJ236" s="213"/>
      <c r="KK236" s="213"/>
      <c r="KL236" s="213"/>
      <c r="KM236" s="213"/>
      <c r="KN236" s="213"/>
      <c r="KO236" s="213"/>
      <c r="KP236" s="213"/>
      <c r="KQ236" s="213"/>
      <c r="KR236" s="213"/>
      <c r="KS236" s="213"/>
      <c r="KT236" s="213"/>
      <c r="KU236" s="213"/>
      <c r="KV236" s="213"/>
      <c r="KW236" s="213"/>
      <c r="KX236" s="213"/>
      <c r="KY236" s="213"/>
      <c r="KZ236" s="213"/>
      <c r="LA236" s="213"/>
      <c r="LB236" s="213"/>
      <c r="LC236" s="213"/>
      <c r="LD236" s="213"/>
      <c r="LE236" s="213"/>
      <c r="LF236" s="213"/>
      <c r="LG236" s="213"/>
      <c r="LH236" s="213"/>
      <c r="LI236" s="213"/>
      <c r="LJ236" s="213"/>
      <c r="LK236" s="213"/>
      <c r="LL236" s="213"/>
      <c r="LM236" s="213"/>
      <c r="LN236" s="213"/>
      <c r="LO236" s="213"/>
      <c r="LP236" s="213"/>
      <c r="LQ236" s="213"/>
      <c r="LR236" s="213"/>
      <c r="LS236" s="213"/>
      <c r="LT236" s="213"/>
      <c r="LU236" s="213"/>
      <c r="LV236" s="213"/>
      <c r="LW236" s="213"/>
      <c r="LX236" s="213"/>
      <c r="LY236" s="213"/>
      <c r="LZ236" s="213"/>
      <c r="MA236" s="213"/>
      <c r="MB236" s="213"/>
      <c r="MC236" s="213"/>
      <c r="MD236" s="213"/>
      <c r="ME236" s="213"/>
      <c r="MF236" s="214"/>
    </row>
    <row r="237" spans="4:344" ht="5.0999999999999996" customHeight="1" thickTop="1" x14ac:dyDescent="0.3"/>
    <row r="238" spans="4:344" ht="5.0999999999999996" customHeight="1" x14ac:dyDescent="0.3"/>
    <row r="239" spans="4:344" ht="5.0999999999999996" customHeight="1" x14ac:dyDescent="0.3"/>
  </sheetData>
  <mergeCells count="127">
    <mergeCell ref="EV40:EY48"/>
    <mergeCell ref="HA45:IM54"/>
    <mergeCell ref="IN45:IR54"/>
    <mergeCell ref="I49:AW58"/>
    <mergeCell ref="AX49:BB58"/>
    <mergeCell ref="JZ49:LN57"/>
    <mergeCell ref="F6:MD9"/>
    <mergeCell ref="F10:MD12"/>
    <mergeCell ref="F13:MD16"/>
    <mergeCell ref="EY19:GM27"/>
    <mergeCell ref="GN19:GQ27"/>
    <mergeCell ref="I38:AW47"/>
    <mergeCell ref="AX38:BB47"/>
    <mergeCell ref="JZ38:LN47"/>
    <mergeCell ref="LO38:LT47"/>
    <mergeCell ref="DG40:EU48"/>
    <mergeCell ref="AX69:BB77"/>
    <mergeCell ref="DG74:EU83"/>
    <mergeCell ref="EV74:EZ83"/>
    <mergeCell ref="BG76:CU85"/>
    <mergeCell ref="CV76:CZ85"/>
    <mergeCell ref="I78:AW86"/>
    <mergeCell ref="AX78:BB86"/>
    <mergeCell ref="LO49:LT57"/>
    <mergeCell ref="I60:AW68"/>
    <mergeCell ref="AX60:BB68"/>
    <mergeCell ref="HB61:IN70"/>
    <mergeCell ref="IO61:IS70"/>
    <mergeCell ref="BG64:CU73"/>
    <mergeCell ref="CV64:CZ73"/>
    <mergeCell ref="DG64:EU73"/>
    <mergeCell ref="EV64:EZ73"/>
    <mergeCell ref="I69:AW77"/>
    <mergeCell ref="HW95:JJ104"/>
    <mergeCell ref="JK95:JO104"/>
    <mergeCell ref="JU95:LH104"/>
    <mergeCell ref="LI95:LM104"/>
    <mergeCell ref="BG98:CU107"/>
    <mergeCell ref="CV98:CZ107"/>
    <mergeCell ref="BG88:CU97"/>
    <mergeCell ref="CV88:CZ97"/>
    <mergeCell ref="DZ95:FM104"/>
    <mergeCell ref="FN95:FR104"/>
    <mergeCell ref="FY95:HL104"/>
    <mergeCell ref="HM95:HQ104"/>
    <mergeCell ref="HW109:JJ118"/>
    <mergeCell ref="JK109:JO118"/>
    <mergeCell ref="JU109:LH118"/>
    <mergeCell ref="LI109:LM118"/>
    <mergeCell ref="BG118:CU127"/>
    <mergeCell ref="CV118:CZ127"/>
    <mergeCell ref="HW119:JJ128"/>
    <mergeCell ref="JK119:JO128"/>
    <mergeCell ref="JU119:LH128"/>
    <mergeCell ref="LI119:LM128"/>
    <mergeCell ref="BG108:CU117"/>
    <mergeCell ref="CV108:CZ117"/>
    <mergeCell ref="DZ109:FM118"/>
    <mergeCell ref="FN109:FR118"/>
    <mergeCell ref="FY109:HL118"/>
    <mergeCell ref="HM109:HQ118"/>
    <mergeCell ref="HW139:JJ148"/>
    <mergeCell ref="JK139:JO148"/>
    <mergeCell ref="BG148:CU157"/>
    <mergeCell ref="CV148:CZ157"/>
    <mergeCell ref="HW149:JJ158"/>
    <mergeCell ref="JK149:JO158"/>
    <mergeCell ref="FY121:HL130"/>
    <mergeCell ref="HM121:HQ130"/>
    <mergeCell ref="BG128:CU137"/>
    <mergeCell ref="CV128:CZ137"/>
    <mergeCell ref="HW129:JJ138"/>
    <mergeCell ref="JK129:JO138"/>
    <mergeCell ref="FY131:HL140"/>
    <mergeCell ref="HM131:HQ140"/>
    <mergeCell ref="BG138:CU147"/>
    <mergeCell ref="CV138:CZ147"/>
    <mergeCell ref="KD195:LQ204"/>
    <mergeCell ref="LR195:LW204"/>
    <mergeCell ref="EA203:FQ208"/>
    <mergeCell ref="FR203:FV208"/>
    <mergeCell ref="GA203:HQ208"/>
    <mergeCell ref="HR203:HV208"/>
    <mergeCell ref="KD163:LQ172"/>
    <mergeCell ref="LR163:LW172"/>
    <mergeCell ref="KD173:LQ182"/>
    <mergeCell ref="LR173:LW182"/>
    <mergeCell ref="KD185:LQ194"/>
    <mergeCell ref="LR185:LW194"/>
    <mergeCell ref="FR217:FV220"/>
    <mergeCell ref="GA217:HQ220"/>
    <mergeCell ref="HR217:HV220"/>
    <mergeCell ref="H220:AI224"/>
    <mergeCell ref="AJ220:BK224"/>
    <mergeCell ref="BL220:CM224"/>
    <mergeCell ref="EA209:FQ212"/>
    <mergeCell ref="FR209:FV212"/>
    <mergeCell ref="GA209:HQ212"/>
    <mergeCell ref="HR209:HV212"/>
    <mergeCell ref="EA213:FQ216"/>
    <mergeCell ref="FR213:FV216"/>
    <mergeCell ref="GA213:HQ216"/>
    <mergeCell ref="HR213:HV216"/>
    <mergeCell ref="LA230:MB234"/>
    <mergeCell ref="EA231:FQ234"/>
    <mergeCell ref="FR231:FV234"/>
    <mergeCell ref="HR229:HV232"/>
    <mergeCell ref="H230:AI234"/>
    <mergeCell ref="AJ230:BK234"/>
    <mergeCell ref="BL230:CM234"/>
    <mergeCell ref="IW230:JX234"/>
    <mergeCell ref="JY230:KZ234"/>
    <mergeCell ref="H225:AI229"/>
    <mergeCell ref="AJ225:BK229"/>
    <mergeCell ref="BL225:CM229"/>
    <mergeCell ref="EA225:FQ230"/>
    <mergeCell ref="FR225:FV230"/>
    <mergeCell ref="GA225:HQ228"/>
    <mergeCell ref="GA229:HQ232"/>
    <mergeCell ref="JP220:LM226"/>
    <mergeCell ref="LN220:LY226"/>
    <mergeCell ref="EA221:FQ224"/>
    <mergeCell ref="FR221:FV224"/>
    <mergeCell ref="GA221:HQ224"/>
    <mergeCell ref="HR221:HV224"/>
    <mergeCell ref="HR225:HV228"/>
    <mergeCell ref="EA217:FQ2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</vt:lpstr>
      <vt:lpstr>Org.Chart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M. Maheen</dc:creator>
  <cp:lastModifiedBy>MOHAMED RIYAZ A N</cp:lastModifiedBy>
  <dcterms:created xsi:type="dcterms:W3CDTF">2015-06-05T18:17:20Z</dcterms:created>
  <dcterms:modified xsi:type="dcterms:W3CDTF">2026-06-30T08:03:02Z</dcterms:modified>
</cp:coreProperties>
</file>