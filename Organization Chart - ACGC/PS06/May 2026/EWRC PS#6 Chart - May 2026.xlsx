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yaz\Desktop\Organisational Chart - ACGC\PS06\May 2026\"/>
    </mc:Choice>
  </mc:AlternateContent>
  <xr:revisionPtr revIDLastSave="0" documentId="13_ncr:1_{6291CABF-6FD8-418E-B4B2-590174EDBCE2}" xr6:coauthVersionLast="47" xr6:coauthVersionMax="47" xr10:uidLastSave="{00000000-0000-0000-0000-000000000000}"/>
  <bookViews>
    <workbookView xWindow="-108" yWindow="-108" windowWidth="23256" windowHeight="12456" firstSheet="6" activeTab="6" xr2:uid="{8AC0DED3-A2F7-4FB6-8D8C-66E6A5984D3A}"/>
  </bookViews>
  <sheets>
    <sheet name="PS1" sheetId="3" state="hidden" r:id="rId1"/>
    <sheet name="PS3" sheetId="1" state="hidden" r:id="rId2"/>
    <sheet name="PS5" sheetId="4" state="hidden" r:id="rId3"/>
    <sheet name="PS6" sheetId="8" state="hidden" r:id="rId4"/>
    <sheet name="PS10" sheetId="13" state="hidden" r:id="rId5"/>
    <sheet name="PRS1" sheetId="14" state="hidden" r:id="rId6"/>
    <sheet name="EWRC PS #6" sheetId="27" r:id="rId7"/>
    <sheet name="Matrix 25th June 2024" sheetId="10" state="hidden" r:id="rId8"/>
  </sheets>
  <definedNames>
    <definedName name="_xlnm.Print_Area" localSheetId="6">'EWRC PS #6'!$C$2:$QR$262</definedName>
    <definedName name="_xlnm.Print_Area" localSheetId="7">'Matrix 25th June 2024'!$A$1:$W$53</definedName>
    <definedName name="_xlnm.Print_Area" localSheetId="5">'PRS1'!$B$2:$MT$293</definedName>
    <definedName name="_xlnm.Print_Area" localSheetId="0">'PS1'!$B$2:$PE$293</definedName>
    <definedName name="_xlnm.Print_Area" localSheetId="4">'PS10'!$B$2:$MG$308</definedName>
    <definedName name="_xlnm.Print_Area" localSheetId="1">'PS3'!$B$2:$LY$298</definedName>
    <definedName name="_xlnm.Print_Area" localSheetId="2">'PS5'!$B$2:$MS$293</definedName>
    <definedName name="_xlnm.Print_Area" localSheetId="3">'PS6'!$B$2:$ME$308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241" i="27" l="1"/>
  <c r="HB215" i="27"/>
  <c r="FB215" i="27"/>
  <c r="QF132" i="27"/>
  <c r="IF104" i="27"/>
  <c r="GJ104" i="27"/>
  <c r="EN104" i="27"/>
  <c r="CR104" i="27"/>
  <c r="AV104" i="27"/>
  <c r="PZ93" i="27"/>
  <c r="OB93" i="27"/>
  <c r="ME93" i="27"/>
  <c r="KG93" i="27"/>
  <c r="MF64" i="27" s="1"/>
  <c r="QF38" i="27"/>
  <c r="AX37" i="27"/>
  <c r="QB242" i="27" l="1"/>
  <c r="LL117" i="13" l="1"/>
  <c r="LT117" i="14"/>
  <c r="LW242" i="14" s="1"/>
  <c r="LR116" i="4"/>
  <c r="NQ117" i="3"/>
  <c r="HO280" i="13"/>
  <c r="HO273" i="13"/>
  <c r="HM280" i="8"/>
  <c r="HM273" i="8"/>
  <c r="MB263" i="14"/>
  <c r="MB256" i="14"/>
  <c r="JL161" i="14"/>
  <c r="HM147" i="14"/>
  <c r="FP147" i="14"/>
  <c r="DR147" i="14"/>
  <c r="JL139" i="14"/>
  <c r="LW263" i="14" s="1"/>
  <c r="JL117" i="14"/>
  <c r="LW256" i="14" s="1"/>
  <c r="BF117" i="14"/>
  <c r="BF50" i="14"/>
  <c r="IK37" i="14"/>
  <c r="BF117" i="13"/>
  <c r="FO117" i="14" l="1"/>
  <c r="LW249" i="14"/>
  <c r="MB270" i="14" s="1"/>
  <c r="LW270" i="14" l="1"/>
  <c r="JD161" i="13"/>
  <c r="HB147" i="13"/>
  <c r="FE147" i="13"/>
  <c r="DG147" i="13"/>
  <c r="JD139" i="13"/>
  <c r="HJ280" i="13" s="1"/>
  <c r="HJ259" i="13"/>
  <c r="JD117" i="13"/>
  <c r="HJ273" i="13" s="1"/>
  <c r="BF54" i="13"/>
  <c r="HY37" i="13"/>
  <c r="LJ117" i="8"/>
  <c r="HH259" i="8" s="1"/>
  <c r="LV242" i="4"/>
  <c r="MA263" i="4"/>
  <c r="MA256" i="4"/>
  <c r="LF117" i="1"/>
  <c r="HY245" i="1" s="1"/>
  <c r="OE242" i="3"/>
  <c r="FD117" i="13" l="1"/>
  <c r="HJ266" i="13" s="1"/>
  <c r="BF54" i="8"/>
  <c r="BF50" i="4"/>
  <c r="HO287" i="13" l="1"/>
  <c r="HJ287" i="13"/>
  <c r="BF52" i="1"/>
  <c r="CN53" i="3"/>
  <c r="HH147" i="3" l="1"/>
  <c r="N51" i="10" l="1"/>
  <c r="N50" i="10"/>
  <c r="A50" i="10"/>
  <c r="A51" i="10" s="1"/>
  <c r="N49" i="10"/>
  <c r="N48" i="10"/>
  <c r="L47" i="10"/>
  <c r="L52" i="10" s="1"/>
  <c r="K47" i="10"/>
  <c r="K52" i="10" s="1"/>
  <c r="J47" i="10"/>
  <c r="J52" i="10" s="1"/>
  <c r="I47" i="10"/>
  <c r="I52" i="10" s="1"/>
  <c r="H47" i="10"/>
  <c r="H52" i="10" s="1"/>
  <c r="G47" i="10"/>
  <c r="G52" i="10" s="1"/>
  <c r="F47" i="10"/>
  <c r="F52" i="10" s="1"/>
  <c r="X46" i="10"/>
  <c r="X34" i="10" s="1"/>
  <c r="V46" i="10"/>
  <c r="N46" i="10"/>
  <c r="V45" i="10"/>
  <c r="N45" i="10"/>
  <c r="A45" i="10"/>
  <c r="A46" i="10" s="1"/>
  <c r="V44" i="10"/>
  <c r="N44" i="10"/>
  <c r="V43" i="10"/>
  <c r="N43" i="10"/>
  <c r="V42" i="10"/>
  <c r="N42" i="10"/>
  <c r="W42" i="10" s="1"/>
  <c r="V41" i="10"/>
  <c r="N41" i="10"/>
  <c r="W41" i="10" s="1"/>
  <c r="V40" i="10"/>
  <c r="N40" i="10"/>
  <c r="W40" i="10" s="1"/>
  <c r="V39" i="10"/>
  <c r="N39" i="10"/>
  <c r="V38" i="10"/>
  <c r="N38" i="10"/>
  <c r="W38" i="10" s="1"/>
  <c r="V37" i="10"/>
  <c r="N37" i="10"/>
  <c r="W37" i="10" s="1"/>
  <c r="V36" i="10"/>
  <c r="N36" i="10"/>
  <c r="W36" i="10" s="1"/>
  <c r="V35" i="10"/>
  <c r="N35" i="10"/>
  <c r="N34" i="10" s="1"/>
  <c r="T34" i="10"/>
  <c r="S34" i="10"/>
  <c r="R34" i="10"/>
  <c r="Q34" i="10"/>
  <c r="V33" i="10"/>
  <c r="N33" i="10"/>
  <c r="V32" i="10"/>
  <c r="N32" i="10"/>
  <c r="V31" i="10"/>
  <c r="N31" i="10"/>
  <c r="V30" i="10"/>
  <c r="N30" i="10"/>
  <c r="V29" i="10"/>
  <c r="N29" i="10"/>
  <c r="V28" i="10"/>
  <c r="N28" i="10"/>
  <c r="V27" i="10"/>
  <c r="N27" i="10"/>
  <c r="V26" i="10"/>
  <c r="N26" i="10"/>
  <c r="N25" i="10" s="1"/>
  <c r="X25" i="10"/>
  <c r="T25" i="10"/>
  <c r="S25" i="10"/>
  <c r="R25" i="10"/>
  <c r="Q25" i="10"/>
  <c r="X24" i="10"/>
  <c r="V24" i="10"/>
  <c r="N24" i="10"/>
  <c r="W24" i="10" s="1"/>
  <c r="V23" i="10"/>
  <c r="N23" i="10"/>
  <c r="V22" i="10"/>
  <c r="N22" i="10"/>
  <c r="V21" i="10"/>
  <c r="N21" i="10"/>
  <c r="V20" i="10"/>
  <c r="N20" i="10"/>
  <c r="V19" i="10"/>
  <c r="N19" i="10"/>
  <c r="V18" i="10"/>
  <c r="N18" i="10"/>
  <c r="X17" i="10"/>
  <c r="X16" i="10" s="1"/>
  <c r="X47" i="10" s="1"/>
  <c r="X52" i="10" s="1"/>
  <c r="V17" i="10"/>
  <c r="N17" i="10"/>
  <c r="N16" i="10" s="1"/>
  <c r="T16" i="10"/>
  <c r="S16" i="10"/>
  <c r="R16" i="10"/>
  <c r="Q16" i="10"/>
  <c r="V15" i="10"/>
  <c r="N15" i="10"/>
  <c r="V14" i="10"/>
  <c r="N14" i="10"/>
  <c r="V13" i="10"/>
  <c r="N13" i="10"/>
  <c r="V12" i="10"/>
  <c r="N12" i="10"/>
  <c r="V11" i="10"/>
  <c r="N11" i="10"/>
  <c r="V10" i="10"/>
  <c r="N10" i="10"/>
  <c r="V9" i="10"/>
  <c r="V7" i="10" s="1"/>
  <c r="N9" i="10"/>
  <c r="N7" i="10" s="1"/>
  <c r="A9" i="10"/>
  <c r="A10" i="10" s="1"/>
  <c r="A11" i="10" s="1"/>
  <c r="A12" i="10" s="1"/>
  <c r="A13" i="10" s="1"/>
  <c r="A14" i="10" s="1"/>
  <c r="A15" i="10" s="1"/>
  <c r="A17" i="10" s="1"/>
  <c r="A18" i="10" s="1"/>
  <c r="A19" i="10" s="1"/>
  <c r="A20" i="10" s="1"/>
  <c r="A21" i="10" s="1"/>
  <c r="A22" i="10" s="1"/>
  <c r="A23" i="10" s="1"/>
  <c r="A24" i="10" s="1"/>
  <c r="A26" i="10" s="1"/>
  <c r="A27" i="10" s="1"/>
  <c r="A28" i="10" s="1"/>
  <c r="A29" i="10" s="1"/>
  <c r="A30" i="10" s="1"/>
  <c r="A31" i="10" s="1"/>
  <c r="A32" i="10" s="1"/>
  <c r="A33" i="10" s="1"/>
  <c r="A35" i="10" s="1"/>
  <c r="A36" i="10" s="1"/>
  <c r="V8" i="10"/>
  <c r="N8" i="10"/>
  <c r="X7" i="10"/>
  <c r="W7" i="10"/>
  <c r="T7" i="10"/>
  <c r="S7" i="10"/>
  <c r="R7" i="10"/>
  <c r="Q7" i="10"/>
  <c r="N5" i="10"/>
  <c r="N4" i="10"/>
  <c r="W25" i="10" l="1"/>
  <c r="W16" i="10"/>
  <c r="V34" i="10"/>
  <c r="V16" i="10"/>
  <c r="V25" i="10"/>
  <c r="T47" i="10"/>
  <c r="T52" i="10" s="1"/>
  <c r="S47" i="10"/>
  <c r="S52" i="10" s="1"/>
  <c r="R47" i="10"/>
  <c r="R52" i="10" s="1"/>
  <c r="Q47" i="10"/>
  <c r="Q52" i="10" s="1"/>
  <c r="A38" i="10"/>
  <c r="A39" i="10" s="1"/>
  <c r="A40" i="10" s="1"/>
  <c r="A41" i="10" s="1"/>
  <c r="A42" i="10" s="1"/>
  <c r="A43" i="10" s="1"/>
  <c r="A44" i="10" s="1"/>
  <c r="A37" i="10"/>
  <c r="W34" i="10"/>
  <c r="W47" i="10" s="1"/>
  <c r="W52" i="10" s="1"/>
  <c r="N47" i="10"/>
  <c r="N52" i="10" s="1"/>
  <c r="V47" i="10"/>
  <c r="V52" i="10" s="1"/>
  <c r="W17" i="10"/>
  <c r="GZ147" i="8"/>
  <c r="HL147" i="4"/>
  <c r="GZ147" i="1"/>
  <c r="JE147" i="3"/>
  <c r="JB161" i="8"/>
  <c r="JK161" i="4"/>
  <c r="IW161" i="1"/>
  <c r="LG161" i="3"/>
  <c r="BF117" i="4" l="1"/>
  <c r="BF117" i="1"/>
  <c r="BF117" i="3"/>
  <c r="BF117" i="8" l="1"/>
  <c r="FC147" i="8" l="1"/>
  <c r="DE147" i="8"/>
  <c r="JB139" i="8"/>
  <c r="HH280" i="8" s="1"/>
  <c r="JB117" i="8"/>
  <c r="HH273" i="8" s="1"/>
  <c r="HW37" i="8"/>
  <c r="LG139" i="3"/>
  <c r="OJ263" i="3" s="1"/>
  <c r="LG117" i="3"/>
  <c r="OE256" i="3" s="1"/>
  <c r="IW139" i="1"/>
  <c r="IW117" i="1"/>
  <c r="JK139" i="4"/>
  <c r="LV263" i="4" s="1"/>
  <c r="JK117" i="4"/>
  <c r="LV256" i="4" s="1"/>
  <c r="FO147" i="4"/>
  <c r="DQ147" i="4"/>
  <c r="IJ37" i="4"/>
  <c r="FJ147" i="3"/>
  <c r="LG37" i="3"/>
  <c r="FB117" i="8" l="1"/>
  <c r="HH266" i="8" s="1"/>
  <c r="OJ256" i="3"/>
  <c r="FN117" i="4"/>
  <c r="LV249" i="4" s="1"/>
  <c r="HG117" i="3"/>
  <c r="OE249" i="3" s="1"/>
  <c r="OE270" i="3" s="1"/>
  <c r="OE263" i="3"/>
  <c r="HH287" i="8" l="1"/>
  <c r="HM287" i="8"/>
  <c r="MA270" i="4"/>
  <c r="LV270" i="4"/>
  <c r="OJ270" i="3"/>
  <c r="FC147" i="1" l="1"/>
  <c r="IR37" i="1"/>
  <c r="HY259" i="1"/>
  <c r="ID266" i="1"/>
  <c r="DE147" i="1"/>
  <c r="HY266" i="1"/>
  <c r="FB117" i="1" l="1"/>
  <c r="HY252" i="1"/>
  <c r="HY273" i="1" s="1"/>
  <c r="ID259" i="1"/>
  <c r="ID273" i="1" l="1"/>
</calcChain>
</file>

<file path=xl/sharedStrings.xml><?xml version="1.0" encoding="utf-8"?>
<sst xmlns="http://schemas.openxmlformats.org/spreadsheetml/2006/main" count="690" uniqueCount="203">
  <si>
    <t>TOTAL</t>
  </si>
  <si>
    <t>QUDRAT</t>
  </si>
  <si>
    <t>NESMA</t>
  </si>
  <si>
    <t>Imam / Muezzin</t>
  </si>
  <si>
    <t>Qudrat</t>
  </si>
  <si>
    <t>Recrational Services</t>
  </si>
  <si>
    <t>External Services</t>
  </si>
  <si>
    <t>Residential Services</t>
  </si>
  <si>
    <t>Catering
Laundry / Telecom</t>
  </si>
  <si>
    <t>Supervisor</t>
  </si>
  <si>
    <t>Nesma</t>
  </si>
  <si>
    <t>Security 
Management</t>
  </si>
  <si>
    <t>House Keeping &amp; Recreational Services</t>
  </si>
  <si>
    <t>Maintenance Unit</t>
  </si>
  <si>
    <t>`</t>
  </si>
  <si>
    <t>HSE DEPT.</t>
  </si>
  <si>
    <t>General Adminstration</t>
  </si>
  <si>
    <t>ORGANISATION CHART - SITE MANAGEMENT</t>
  </si>
  <si>
    <t>OPERATION &amp; MAINTENANCE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</si>
  <si>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PS3</t>
    </r>
  </si>
  <si>
    <t>Janirors - Aviation</t>
  </si>
  <si>
    <t>Janirors / Porter - Aviation</t>
  </si>
  <si>
    <t>Prepared by:</t>
  </si>
  <si>
    <t>Reviewed by:</t>
  </si>
  <si>
    <t>Approved by:</t>
  </si>
  <si>
    <t>CODE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</si>
  <si>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PS1</t>
    </r>
  </si>
  <si>
    <t>Pest Control
(Sub Con.)</t>
  </si>
  <si>
    <t>Lift Services
(Sub Con.)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</si>
  <si>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PS5</t>
    </r>
  </si>
  <si>
    <r>
      <t xml:space="preserve">EAST WEST PIPELINE RESIDENTIAL COMPOUND - </t>
    </r>
    <r>
      <rPr>
        <b/>
        <sz val="22"/>
        <color rgb="FFFF0000"/>
        <rFont val="Arial"/>
        <family val="2"/>
      </rPr>
      <t>PS6</t>
    </r>
  </si>
  <si>
    <t>PS1</t>
  </si>
  <si>
    <t>PS3</t>
  </si>
  <si>
    <t>PS5</t>
  </si>
  <si>
    <t>PS6</t>
  </si>
  <si>
    <t>PS10</t>
  </si>
  <si>
    <t>Salon Services</t>
  </si>
  <si>
    <t>Barbers</t>
  </si>
  <si>
    <t>Commissary Services</t>
  </si>
  <si>
    <t>Commissary Clerk</t>
  </si>
  <si>
    <t xml:space="preserve">Handyman
</t>
  </si>
  <si>
    <t>STP Operator</t>
  </si>
  <si>
    <t>Plumber</t>
  </si>
  <si>
    <t>Fire Alarm / CCTV Tech.</t>
  </si>
  <si>
    <t>Electrical Technician</t>
  </si>
  <si>
    <t>HVAC / Chiller Technicians</t>
  </si>
  <si>
    <t>Mechanical Technicians</t>
  </si>
  <si>
    <t>Maintenance Supervisor</t>
  </si>
  <si>
    <t>WM Janitors</t>
  </si>
  <si>
    <t>Room Attendant</t>
  </si>
  <si>
    <t>Team Leader</t>
  </si>
  <si>
    <t>Gardener</t>
  </si>
  <si>
    <t>Janirors - General</t>
  </si>
  <si>
    <t>Fitness Instructor</t>
  </si>
  <si>
    <t>Librarian / Recre. Atten.</t>
  </si>
  <si>
    <t>CMMS/ Help Desk</t>
  </si>
  <si>
    <t>Housi. Front Office Admin.</t>
  </si>
  <si>
    <t>Facility Engineer</t>
  </si>
  <si>
    <t>Driver</t>
  </si>
  <si>
    <t>Warehouse Admin.</t>
  </si>
  <si>
    <t>Site Administrator</t>
  </si>
  <si>
    <t>Facility Manager</t>
  </si>
  <si>
    <t>Safety Officer</t>
  </si>
  <si>
    <t>Handyman</t>
  </si>
  <si>
    <t>Gas Attendant</t>
  </si>
  <si>
    <t xml:space="preserve">Waste Manag. Janitors </t>
  </si>
  <si>
    <t>Team leader</t>
  </si>
  <si>
    <t>Recreat. Centre Attendant</t>
  </si>
  <si>
    <t>Life guards Supervisor</t>
  </si>
  <si>
    <t>Life guards</t>
  </si>
  <si>
    <t>Librarion</t>
  </si>
  <si>
    <t>Waste Manag. Janitors</t>
  </si>
  <si>
    <t>Waste Mang. Janitors</t>
  </si>
  <si>
    <t>Fire Alarm / CCTV Techn.</t>
  </si>
  <si>
    <t xml:space="preserve">Room Attendant </t>
  </si>
  <si>
    <t xml:space="preserve">Janirors - General </t>
  </si>
  <si>
    <t xml:space="preserve">Recreati. Centre Attendant </t>
  </si>
  <si>
    <t>CMMS/ Help Desk Khem</t>
  </si>
  <si>
    <t xml:space="preserve">Facility Engineer </t>
  </si>
  <si>
    <t xml:space="preserve">Driver </t>
  </si>
  <si>
    <t>Fire Alarm / CCTV Techni.</t>
  </si>
  <si>
    <t>EWPS- MANPOWER REQUIREMENT - ORIGINAL - MATRIX</t>
  </si>
  <si>
    <t>L/N</t>
  </si>
  <si>
    <t>Projects</t>
  </si>
  <si>
    <t>FG CODE</t>
  </si>
  <si>
    <t>Room Type Allocation</t>
  </si>
  <si>
    <t>Project Mgt.</t>
  </si>
  <si>
    <t>EWPS 1</t>
  </si>
  <si>
    <t>EWPS 3</t>
  </si>
  <si>
    <t>EWPS 5</t>
  </si>
  <si>
    <t>EWPS 6</t>
  </si>
  <si>
    <t>EWPS 10</t>
  </si>
  <si>
    <t>EWPRS1</t>
  </si>
  <si>
    <t>Asain</t>
  </si>
  <si>
    <t>Saudi</t>
  </si>
  <si>
    <t>Others</t>
  </si>
  <si>
    <t>Hired</t>
  </si>
  <si>
    <t>IN KSA</t>
  </si>
  <si>
    <t>Balance  Req.</t>
  </si>
  <si>
    <r>
      <t xml:space="preserve">Balance  Req.
</t>
    </r>
    <r>
      <rPr>
        <b/>
        <sz val="100"/>
        <color theme="0"/>
        <rFont val="Calibri"/>
        <family val="2"/>
        <scheme val="minor"/>
      </rPr>
      <t>Saudi</t>
    </r>
  </si>
  <si>
    <t>ARAMCO Occupants 
(Excl. Type 4)</t>
  </si>
  <si>
    <t>Area Sqm (Excl. Type 4 )</t>
  </si>
  <si>
    <t>FUNCTION</t>
  </si>
  <si>
    <t>Req.</t>
  </si>
  <si>
    <t>A</t>
  </si>
  <si>
    <t>Project Management</t>
  </si>
  <si>
    <t>Project Manager</t>
  </si>
  <si>
    <t>WE</t>
  </si>
  <si>
    <t>Suite Room</t>
  </si>
  <si>
    <t>Deputy Project Manager</t>
  </si>
  <si>
    <t>SA</t>
  </si>
  <si>
    <t>Contracts Manager</t>
  </si>
  <si>
    <t>Single Room</t>
  </si>
  <si>
    <t>Finance Manager</t>
  </si>
  <si>
    <t>HR Officer</t>
  </si>
  <si>
    <t>Accounts AP</t>
  </si>
  <si>
    <t>Document Controller</t>
  </si>
  <si>
    <t>AE</t>
  </si>
  <si>
    <t>Two in a Room</t>
  </si>
  <si>
    <t>Central Warehouse Administrator</t>
  </si>
  <si>
    <t>B</t>
  </si>
  <si>
    <t>Site Management</t>
  </si>
  <si>
    <t>Facility / Site Manager</t>
  </si>
  <si>
    <t>1 Arrived</t>
  </si>
  <si>
    <t>Housing Front Office Administrator</t>
  </si>
  <si>
    <t>CMMS Administrator /Help Desk Admin</t>
  </si>
  <si>
    <t>Warehouse Administrator</t>
  </si>
  <si>
    <t>Four in a Room</t>
  </si>
  <si>
    <t>C</t>
  </si>
  <si>
    <t>MEP Services</t>
  </si>
  <si>
    <t>HVAC Technicians / Chiller Operator</t>
  </si>
  <si>
    <t>2 Arrived</t>
  </si>
  <si>
    <t>Fire Alarm / CCTV  Technicians</t>
  </si>
  <si>
    <t>D</t>
  </si>
  <si>
    <t>Housekeeping &amp; Recreational Services</t>
  </si>
  <si>
    <t xml:space="preserve">House Keeping Supervisors </t>
  </si>
  <si>
    <t>Janitors (Public Area / Ext. Area) / Aviation</t>
  </si>
  <si>
    <t>Janitors (WM)</t>
  </si>
  <si>
    <t>Librarians / Recreational Centre Attendant</t>
  </si>
  <si>
    <t>E</t>
  </si>
  <si>
    <t>TOTAL ACGC 
(Excluding Sub Con.)</t>
  </si>
  <si>
    <t>F</t>
  </si>
  <si>
    <t>NESMA
Security Managemnt Staff</t>
  </si>
  <si>
    <t>QUDRAT
Catering Services</t>
  </si>
  <si>
    <t>G</t>
  </si>
  <si>
    <t>Net Total</t>
  </si>
  <si>
    <t>Rev. 07 / Date: 07/07/2024</t>
  </si>
  <si>
    <t>Purchaser</t>
  </si>
  <si>
    <t>Guest Executive Rep.</t>
  </si>
  <si>
    <t>Electrical Technician for Solar Panel</t>
  </si>
  <si>
    <t>Date: 13/01/2025</t>
  </si>
  <si>
    <t>REVISION - 10</t>
  </si>
  <si>
    <t>Janitors</t>
  </si>
  <si>
    <t>ACGC - EWRC</t>
  </si>
  <si>
    <t>ACGC - EWPS</t>
  </si>
  <si>
    <t>Sr. Facility Engineer</t>
  </si>
  <si>
    <t>RO Plant Operator</t>
  </si>
  <si>
    <t>HK Supervisors</t>
  </si>
  <si>
    <t>General Administrator</t>
  </si>
  <si>
    <t>Date: 29/06/2025</t>
  </si>
  <si>
    <t>ELECTRICAL</t>
  </si>
  <si>
    <t>MECHNAICAL</t>
  </si>
  <si>
    <t>C3</t>
  </si>
  <si>
    <t>HVAC</t>
  </si>
  <si>
    <t>CIVIL</t>
  </si>
  <si>
    <t>Tea Boy</t>
  </si>
  <si>
    <t>HVAC Technicians</t>
  </si>
  <si>
    <r>
      <t xml:space="preserve">EAST WEST PIPELINE RESIDENTIAL COMPOUND - </t>
    </r>
    <r>
      <rPr>
        <b/>
        <sz val="22"/>
        <color rgb="FFFF0000"/>
        <rFont val="Arial"/>
        <family val="2"/>
      </rPr>
      <t>EWRC6 &amp; PS6</t>
    </r>
  </si>
  <si>
    <t>Nurse</t>
  </si>
  <si>
    <r>
      <t xml:space="preserve">AS PER CONTRACT
</t>
    </r>
    <r>
      <rPr>
        <b/>
        <sz val="14"/>
        <color theme="0"/>
        <rFont val="Arial"/>
        <family val="2"/>
      </rPr>
      <t>ACGC - EWPS&amp; EWRC</t>
    </r>
  </si>
  <si>
    <t>General Services</t>
  </si>
  <si>
    <t>Room Services</t>
  </si>
  <si>
    <t>AS PER CONTRACT</t>
  </si>
  <si>
    <r>
      <t xml:space="preserve">Facility Manager
</t>
    </r>
    <r>
      <rPr>
        <b/>
        <sz val="14"/>
        <color rgb="FFFF0000"/>
        <rFont val="Arial"/>
        <family val="2"/>
      </rPr>
      <t>Abdullah Al Marshad</t>
    </r>
  </si>
  <si>
    <r>
      <t xml:space="preserve">Purchaser
</t>
    </r>
    <r>
      <rPr>
        <sz val="14"/>
        <color rgb="FFFF0000"/>
        <rFont val="Arial"/>
        <family val="2"/>
      </rPr>
      <t xml:space="preserve">Abdulaziz </t>
    </r>
  </si>
  <si>
    <r>
      <t xml:space="preserve">Housi. Front Off. Admin
</t>
    </r>
    <r>
      <rPr>
        <sz val="14"/>
        <color rgb="FFFF0000"/>
        <rFont val="Arial"/>
        <family val="2"/>
      </rPr>
      <t>Hammoud/ Hassan</t>
    </r>
  </si>
  <si>
    <r>
      <t xml:space="preserve">Safety Officer
</t>
    </r>
    <r>
      <rPr>
        <sz val="14"/>
        <color rgb="FFFF0000"/>
        <rFont val="Arial"/>
        <family val="2"/>
      </rPr>
      <t>Abdul Alghamdi</t>
    </r>
  </si>
  <si>
    <r>
      <t xml:space="preserve">Facility Engineer
</t>
    </r>
    <r>
      <rPr>
        <sz val="14"/>
        <color rgb="FFFF0000"/>
        <rFont val="Arial"/>
        <family val="2"/>
      </rPr>
      <t>Suman Durai Raj</t>
    </r>
  </si>
  <si>
    <r>
      <t xml:space="preserve">Mechanical Supervisor
</t>
    </r>
    <r>
      <rPr>
        <sz val="12"/>
        <color rgb="FFFF0000"/>
        <rFont val="Arial"/>
        <family val="2"/>
      </rPr>
      <t>Aftab Alam</t>
    </r>
  </si>
  <si>
    <r>
      <t xml:space="preserve">C3 Supervisor
</t>
    </r>
    <r>
      <rPr>
        <sz val="14"/>
        <color rgb="FFFF0000"/>
        <rFont val="Arial"/>
        <family val="2"/>
      </rPr>
      <t>Anbazhagan Velayutham</t>
    </r>
  </si>
  <si>
    <r>
      <t xml:space="preserve">Site Administrator
</t>
    </r>
    <r>
      <rPr>
        <sz val="14"/>
        <color rgb="FFFF0000"/>
        <rFont val="Arial"/>
        <family val="2"/>
      </rPr>
      <t>Vikram / Syed Kamaludeen</t>
    </r>
  </si>
  <si>
    <r>
      <t xml:space="preserve">WPR
</t>
    </r>
    <r>
      <rPr>
        <sz val="14"/>
        <color rgb="FFFF0000"/>
        <rFont val="Arial"/>
        <family val="2"/>
      </rPr>
      <t>Mubashar (Subcon)</t>
    </r>
  </si>
  <si>
    <r>
      <t xml:space="preserve">CMMS / Help Desk
</t>
    </r>
    <r>
      <rPr>
        <sz val="12"/>
        <color rgb="FFFF0000"/>
        <rFont val="Arial"/>
        <family val="2"/>
      </rPr>
      <t>Abdulrajak</t>
    </r>
    <r>
      <rPr>
        <sz val="14"/>
        <color theme="1"/>
        <rFont val="Arial"/>
        <family val="2"/>
      </rPr>
      <t xml:space="preserve"> </t>
    </r>
    <r>
      <rPr>
        <sz val="14"/>
        <color rgb="FFFF0000"/>
        <rFont val="Arial"/>
        <family val="2"/>
      </rPr>
      <t>/ Khem Chandra</t>
    </r>
  </si>
  <si>
    <r>
      <t xml:space="preserve">Warehouse Administrator
</t>
    </r>
    <r>
      <rPr>
        <sz val="14"/>
        <color rgb="FFFF0000"/>
        <rFont val="Arial"/>
        <family val="2"/>
      </rPr>
      <t>Saddamhussain</t>
    </r>
  </si>
  <si>
    <r>
      <t xml:space="preserve">Supervisor
</t>
    </r>
    <r>
      <rPr>
        <sz val="12"/>
        <color rgb="FFFF0000"/>
        <rFont val="Arial"/>
        <family val="2"/>
      </rPr>
      <t>Karthiravan / Mohd. Surjoon</t>
    </r>
  </si>
  <si>
    <t xml:space="preserve">Front Office &amp; Reception </t>
  </si>
  <si>
    <r>
      <t xml:space="preserve">HVAC Supervisor
</t>
    </r>
    <r>
      <rPr>
        <sz val="14"/>
        <color rgb="FFFF0000"/>
        <rFont val="Arial"/>
        <family val="2"/>
      </rPr>
      <t>Thiruppathy Jeyakumar</t>
    </r>
  </si>
  <si>
    <r>
      <t xml:space="preserve">Electrical Supervisor
</t>
    </r>
    <r>
      <rPr>
        <sz val="14"/>
        <color rgb="FFFF0000"/>
        <rFont val="Arial"/>
        <family val="2"/>
      </rPr>
      <t>Mar Dela Cruz</t>
    </r>
  </si>
  <si>
    <r>
      <t xml:space="preserve">Pest Control
</t>
    </r>
    <r>
      <rPr>
        <sz val="14"/>
        <color rgb="FFFF0000"/>
        <rFont val="Arial"/>
        <family val="2"/>
      </rPr>
      <t>Rentokil</t>
    </r>
  </si>
  <si>
    <r>
      <t xml:space="preserve">Garbage &amp; Sewage mgmt
</t>
    </r>
    <r>
      <rPr>
        <sz val="14"/>
        <color rgb="FFFF0000"/>
        <rFont val="Arial"/>
        <family val="2"/>
      </rPr>
      <t>Al Dar</t>
    </r>
  </si>
  <si>
    <t>Vacancies</t>
  </si>
  <si>
    <t>Surplus</t>
  </si>
  <si>
    <t>Sub Con. Repl. by ACGC</t>
  </si>
  <si>
    <t>Life Guard</t>
  </si>
  <si>
    <t>REVISION - 12</t>
  </si>
  <si>
    <t>WPR</t>
  </si>
  <si>
    <t>Recreational Services</t>
  </si>
  <si>
    <t>Date: 07/04/2026</t>
  </si>
  <si>
    <t>Teaboy</t>
  </si>
  <si>
    <t>C3 technician</t>
  </si>
  <si>
    <r>
      <t xml:space="preserve">CIVIL Supervisor
</t>
    </r>
    <r>
      <rPr>
        <sz val="14"/>
        <color rgb="FFFF0000"/>
        <rFont val="Arial"/>
        <family val="2"/>
      </rPr>
      <t>Vacancy</t>
    </r>
  </si>
  <si>
    <t>CIVIL Supervisor</t>
  </si>
  <si>
    <t>Janitors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</si>
</sst>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sz val="12"/>
      <color theme="1"/>
      <name val="Arial"/>
      <family val="2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u/>
      <sz val="150"/>
      <color theme="1"/>
      <name val="Calibri"/>
      <family val="2"/>
      <scheme val="minor"/>
    </font>
    <font>
      <b/>
      <sz val="85"/>
      <color theme="0"/>
      <name val="Arial"/>
      <family val="2"/>
    </font>
    <font>
      <b/>
      <sz val="85"/>
      <color theme="1"/>
      <name val="Arial"/>
      <family val="2"/>
    </font>
    <font>
      <b/>
      <sz val="85"/>
      <color theme="1"/>
      <name val="Calibri"/>
      <family val="2"/>
      <scheme val="minor"/>
    </font>
    <font>
      <b/>
      <sz val="85"/>
      <color rgb="FFFFFFFF"/>
      <name val="Arial"/>
      <family val="2"/>
    </font>
    <font>
      <b/>
      <sz val="85"/>
      <color theme="0"/>
      <name val="Calibri"/>
      <family val="2"/>
      <scheme val="minor"/>
    </font>
    <font>
      <b/>
      <sz val="115"/>
      <color theme="1"/>
      <name val="Calibri"/>
      <family val="2"/>
      <scheme val="minor"/>
    </font>
    <font>
      <b/>
      <sz val="100"/>
      <color theme="0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5"/>
      <color rgb="FF000000"/>
      <name val="Arial"/>
      <family val="2"/>
    </font>
    <font>
      <b/>
      <sz val="100"/>
      <color rgb="FFFF0000"/>
      <name val="Arial"/>
      <family val="2"/>
    </font>
    <font>
      <b/>
      <sz val="150"/>
      <color rgb="FFFF0000"/>
      <name val="Arial"/>
      <family val="2"/>
    </font>
    <font>
      <sz val="72"/>
      <color theme="1"/>
      <name val="Calibri"/>
      <family val="2"/>
      <scheme val="minor"/>
    </font>
    <font>
      <sz val="85"/>
      <color theme="1"/>
      <name val="Arial"/>
      <family val="2"/>
    </font>
    <font>
      <b/>
      <sz val="100"/>
      <color rgb="FF000000"/>
      <name val="Arial"/>
      <family val="2"/>
    </font>
    <font>
      <b/>
      <sz val="125"/>
      <color theme="1"/>
      <name val="Arial"/>
      <family val="2"/>
    </font>
    <font>
      <b/>
      <sz val="85"/>
      <color rgb="FFFF0000"/>
      <name val="Arial"/>
      <family val="2"/>
    </font>
    <font>
      <b/>
      <sz val="115"/>
      <color rgb="FFFF0000"/>
      <name val="Arial"/>
      <family val="2"/>
    </font>
    <font>
      <b/>
      <sz val="125"/>
      <color rgb="FFFF0000"/>
      <name val="Arial"/>
      <family val="2"/>
    </font>
    <font>
      <sz val="125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b/>
      <sz val="24"/>
      <color rgb="FFFF0000"/>
      <name val="Arial"/>
      <family val="2"/>
    </font>
    <font>
      <b/>
      <sz val="18"/>
      <color theme="0"/>
      <name val="Arial"/>
      <family val="2"/>
    </font>
    <font>
      <sz val="14"/>
      <color rgb="FFFF0000"/>
      <name val="Arial"/>
      <family val="2"/>
    </font>
    <font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3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9" fillId="0" borderId="0"/>
  </cellStyleXfs>
  <cellXfs count="370">
    <xf numFmtId="0" fontId="0" fillId="0" borderId="0" xfId="0"/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55" xfId="0" applyFont="1" applyBorder="1" applyAlignment="1">
      <alignment vertical="center" wrapText="1"/>
    </xf>
    <xf numFmtId="0" fontId="3" fillId="0" borderId="56" xfId="0" applyFont="1" applyBorder="1" applyAlignment="1">
      <alignment vertical="center" wrapText="1"/>
    </xf>
    <xf numFmtId="0" fontId="3" fillId="0" borderId="5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59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61" xfId="0" applyFont="1" applyBorder="1" applyAlignment="1">
      <alignment vertical="center" wrapText="1"/>
    </xf>
    <xf numFmtId="0" fontId="1" fillId="0" borderId="62" xfId="0" applyFont="1" applyBorder="1" applyAlignment="1">
      <alignment vertical="center" wrapText="1"/>
    </xf>
    <xf numFmtId="0" fontId="1" fillId="0" borderId="64" xfId="0" applyFont="1" applyBorder="1" applyAlignment="1">
      <alignment vertical="center" wrapText="1"/>
    </xf>
    <xf numFmtId="0" fontId="1" fillId="0" borderId="65" xfId="0" applyFont="1" applyBorder="1" applyAlignment="1">
      <alignment vertical="center" wrapText="1"/>
    </xf>
    <xf numFmtId="0" fontId="9" fillId="0" borderId="0" xfId="1"/>
    <xf numFmtId="0" fontId="12" fillId="8" borderId="70" xfId="1" applyFont="1" applyFill="1" applyBorder="1" applyAlignment="1">
      <alignment horizontal="center" vertical="center" wrapText="1"/>
    </xf>
    <xf numFmtId="0" fontId="16" fillId="8" borderId="71" xfId="1" applyFont="1" applyFill="1" applyBorder="1" applyAlignment="1">
      <alignment horizontal="center" vertical="center" wrapText="1"/>
    </xf>
    <xf numFmtId="0" fontId="16" fillId="8" borderId="70" xfId="1" applyFont="1" applyFill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2" fillId="8" borderId="78" xfId="1" applyFont="1" applyFill="1" applyBorder="1" applyAlignment="1">
      <alignment horizontal="center" vertical="center" wrapText="1"/>
    </xf>
    <xf numFmtId="0" fontId="16" fillId="8" borderId="45" xfId="1" applyFont="1" applyFill="1" applyBorder="1" applyAlignment="1">
      <alignment horizontal="center" vertical="center" wrapText="1"/>
    </xf>
    <xf numFmtId="0" fontId="16" fillId="8" borderId="78" xfId="1" applyFont="1" applyFill="1" applyBorder="1" applyAlignment="1">
      <alignment horizontal="center" vertical="center" wrapText="1"/>
    </xf>
    <xf numFmtId="3" fontId="16" fillId="8" borderId="45" xfId="1" applyNumberFormat="1" applyFont="1" applyFill="1" applyBorder="1" applyAlignment="1">
      <alignment horizontal="center" vertical="center" wrapText="1"/>
    </xf>
    <xf numFmtId="3" fontId="16" fillId="8" borderId="78" xfId="1" applyNumberFormat="1" applyFont="1" applyFill="1" applyBorder="1" applyAlignment="1">
      <alignment horizontal="center" vertical="center" wrapText="1"/>
    </xf>
    <xf numFmtId="0" fontId="12" fillId="8" borderId="77" xfId="1" applyFont="1" applyFill="1" applyBorder="1" applyAlignment="1">
      <alignment horizontal="center" vertical="center" wrapText="1"/>
    </xf>
    <xf numFmtId="0" fontId="12" fillId="8" borderId="45" xfId="1" applyFont="1" applyFill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1" fontId="13" fillId="0" borderId="77" xfId="1" applyNumberFormat="1" applyFont="1" applyBorder="1" applyAlignment="1">
      <alignment horizontal="center" vertical="center" wrapText="1"/>
    </xf>
    <xf numFmtId="0" fontId="13" fillId="0" borderId="78" xfId="1" applyFont="1" applyBorder="1" applyAlignment="1">
      <alignment horizontal="left" vertical="center" wrapText="1"/>
    </xf>
    <xf numFmtId="0" fontId="21" fillId="0" borderId="79" xfId="1" applyFont="1" applyBorder="1" applyAlignment="1">
      <alignment horizontal="center" vertical="center" wrapText="1"/>
    </xf>
    <xf numFmtId="0" fontId="21" fillId="0" borderId="45" xfId="1" applyFont="1" applyBorder="1" applyAlignment="1">
      <alignment horizontal="center" vertical="center" wrapText="1"/>
    </xf>
    <xf numFmtId="0" fontId="21" fillId="0" borderId="77" xfId="1" applyFont="1" applyBorder="1" applyAlignment="1">
      <alignment horizontal="center" vertical="center" wrapText="1"/>
    </xf>
    <xf numFmtId="0" fontId="22" fillId="0" borderId="78" xfId="1" applyFont="1" applyBorder="1" applyAlignment="1">
      <alignment horizontal="center" vertical="center" wrapText="1"/>
    </xf>
    <xf numFmtId="0" fontId="22" fillId="0" borderId="82" xfId="1" applyFont="1" applyBorder="1" applyAlignment="1">
      <alignment horizontal="center" vertical="center" wrapText="1"/>
    </xf>
    <xf numFmtId="0" fontId="22" fillId="0" borderId="45" xfId="1" applyFont="1" applyBorder="1" applyAlignment="1">
      <alignment horizontal="center" vertical="center" wrapText="1"/>
    </xf>
    <xf numFmtId="0" fontId="22" fillId="0" borderId="83" xfId="1" applyFont="1" applyBorder="1" applyAlignment="1">
      <alignment horizontal="center" vertical="center" wrapText="1"/>
    </xf>
    <xf numFmtId="0" fontId="23" fillId="9" borderId="77" xfId="1" applyFont="1" applyFill="1" applyBorder="1" applyAlignment="1">
      <alignment horizontal="center" vertical="center" wrapText="1"/>
    </xf>
    <xf numFmtId="0" fontId="23" fillId="7" borderId="45" xfId="1" applyFont="1" applyFill="1" applyBorder="1" applyAlignment="1">
      <alignment horizontal="center" vertical="center" wrapText="1"/>
    </xf>
    <xf numFmtId="0" fontId="23" fillId="9" borderId="45" xfId="1" applyFont="1" applyFill="1" applyBorder="1" applyAlignment="1">
      <alignment horizontal="center" vertical="center" wrapText="1"/>
    </xf>
    <xf numFmtId="0" fontId="24" fillId="0" borderId="0" xfId="1" applyFont="1"/>
    <xf numFmtId="1" fontId="25" fillId="0" borderId="77" xfId="1" applyNumberFormat="1" applyFont="1" applyBorder="1" applyAlignment="1">
      <alignment horizontal="center" vertical="center" wrapText="1"/>
    </xf>
    <xf numFmtId="0" fontId="25" fillId="0" borderId="78" xfId="1" applyFont="1" applyBorder="1" applyAlignment="1">
      <alignment horizontal="left" vertical="center" wrapText="1"/>
    </xf>
    <xf numFmtId="0" fontId="25" fillId="0" borderId="79" xfId="1" applyFont="1" applyBorder="1" applyAlignment="1">
      <alignment horizontal="center" vertical="center" wrapText="1"/>
    </xf>
    <xf numFmtId="0" fontId="25" fillId="0" borderId="45" xfId="1" applyFont="1" applyBorder="1" applyAlignment="1">
      <alignment horizontal="center" vertical="center" wrapText="1"/>
    </xf>
    <xf numFmtId="0" fontId="25" fillId="0" borderId="77" xfId="1" applyFont="1" applyBorder="1" applyAlignment="1">
      <alignment horizontal="center" vertical="center" wrapText="1"/>
    </xf>
    <xf numFmtId="0" fontId="25" fillId="0" borderId="78" xfId="1" applyFont="1" applyBorder="1" applyAlignment="1">
      <alignment horizontal="center" vertical="center" wrapText="1"/>
    </xf>
    <xf numFmtId="0" fontId="21" fillId="0" borderId="82" xfId="1" applyFont="1" applyBorder="1" applyAlignment="1">
      <alignment horizontal="center" vertical="center" wrapText="1"/>
    </xf>
    <xf numFmtId="0" fontId="21" fillId="0" borderId="83" xfId="1" applyFont="1" applyBorder="1" applyAlignment="1">
      <alignment horizontal="center" vertical="center" wrapText="1"/>
    </xf>
    <xf numFmtId="0" fontId="26" fillId="9" borderId="77" xfId="1" applyFont="1" applyFill="1" applyBorder="1" applyAlignment="1">
      <alignment horizontal="center" vertical="center" wrapText="1"/>
    </xf>
    <xf numFmtId="0" fontId="27" fillId="7" borderId="45" xfId="1" applyFont="1" applyFill="1" applyBorder="1" applyAlignment="1">
      <alignment horizontal="center" vertical="center" wrapText="1"/>
    </xf>
    <xf numFmtId="0" fontId="26" fillId="9" borderId="45" xfId="1" applyFont="1" applyFill="1" applyBorder="1" applyAlignment="1">
      <alignment horizontal="center" vertical="center" wrapText="1"/>
    </xf>
    <xf numFmtId="0" fontId="21" fillId="0" borderId="78" xfId="1" applyFont="1" applyBorder="1" applyAlignment="1">
      <alignment horizontal="center" vertical="center" wrapText="1"/>
    </xf>
    <xf numFmtId="0" fontId="25" fillId="0" borderId="82" xfId="1" applyFont="1" applyBorder="1" applyAlignment="1">
      <alignment horizontal="center" vertical="center" wrapText="1"/>
    </xf>
    <xf numFmtId="0" fontId="25" fillId="0" borderId="83" xfId="1" applyFont="1" applyBorder="1" applyAlignment="1">
      <alignment horizontal="center" vertical="center" wrapText="1"/>
    </xf>
    <xf numFmtId="0" fontId="22" fillId="0" borderId="86" xfId="1" applyFont="1" applyBorder="1" applyAlignment="1">
      <alignment horizontal="center" vertical="center" wrapText="1"/>
    </xf>
    <xf numFmtId="0" fontId="25" fillId="10" borderId="78" xfId="1" applyFont="1" applyFill="1" applyBorder="1" applyAlignment="1">
      <alignment horizontal="left" vertical="center" wrapText="1"/>
    </xf>
    <xf numFmtId="0" fontId="21" fillId="0" borderId="87" xfId="1" applyFont="1" applyBorder="1" applyAlignment="1">
      <alignment horizontal="center" vertical="center" wrapText="1"/>
    </xf>
    <xf numFmtId="0" fontId="21" fillId="0" borderId="85" xfId="1" applyFont="1" applyBorder="1" applyAlignment="1">
      <alignment horizontal="center" vertical="center" wrapText="1"/>
    </xf>
    <xf numFmtId="0" fontId="21" fillId="0" borderId="88" xfId="1" applyFont="1" applyBorder="1" applyAlignment="1">
      <alignment horizontal="center" vertical="center" wrapText="1"/>
    </xf>
    <xf numFmtId="0" fontId="26" fillId="9" borderId="84" xfId="1" applyFont="1" applyFill="1" applyBorder="1" applyAlignment="1">
      <alignment horizontal="center" vertical="center" wrapText="1"/>
    </xf>
    <xf numFmtId="0" fontId="26" fillId="9" borderId="85" xfId="1" applyFont="1" applyFill="1" applyBorder="1" applyAlignment="1">
      <alignment horizontal="center" vertical="center" wrapText="1"/>
    </xf>
    <xf numFmtId="0" fontId="28" fillId="0" borderId="78" xfId="1" applyFont="1" applyBorder="1" applyAlignment="1">
      <alignment horizontal="center" vertical="center" wrapText="1"/>
    </xf>
    <xf numFmtId="0" fontId="28" fillId="0" borderId="79" xfId="1" applyFont="1" applyBorder="1" applyAlignment="1">
      <alignment horizontal="center" vertical="center" wrapText="1"/>
    </xf>
    <xf numFmtId="0" fontId="28" fillId="0" borderId="45" xfId="1" applyFont="1" applyBorder="1" applyAlignment="1">
      <alignment horizontal="center" vertical="center" wrapText="1"/>
    </xf>
    <xf numFmtId="0" fontId="29" fillId="0" borderId="77" xfId="1" applyFont="1" applyBorder="1" applyAlignment="1">
      <alignment horizontal="center" vertical="center" wrapText="1"/>
    </xf>
    <xf numFmtId="0" fontId="29" fillId="0" borderId="45" xfId="1" applyFont="1" applyBorder="1" applyAlignment="1">
      <alignment horizontal="center" vertical="center" wrapText="1"/>
    </xf>
    <xf numFmtId="0" fontId="29" fillId="4" borderId="78" xfId="1" applyFont="1" applyFill="1" applyBorder="1" applyAlignment="1">
      <alignment horizontal="center" vertical="center" wrapText="1"/>
    </xf>
    <xf numFmtId="0" fontId="29" fillId="4" borderId="89" xfId="1" applyFont="1" applyFill="1" applyBorder="1" applyAlignment="1">
      <alignment horizontal="center" vertical="center" wrapText="1"/>
    </xf>
    <xf numFmtId="0" fontId="29" fillId="4" borderId="90" xfId="1" applyFont="1" applyFill="1" applyBorder="1" applyAlignment="1">
      <alignment horizontal="center" vertical="center" wrapText="1"/>
    </xf>
    <xf numFmtId="0" fontId="29" fillId="4" borderId="91" xfId="1" applyFont="1" applyFill="1" applyBorder="1" applyAlignment="1">
      <alignment horizontal="center" vertical="center" wrapText="1"/>
    </xf>
    <xf numFmtId="0" fontId="25" fillId="0" borderId="92" xfId="1" applyFont="1" applyBorder="1" applyAlignment="1">
      <alignment horizontal="center" vertical="center" wrapText="1"/>
    </xf>
    <xf numFmtId="0" fontId="25" fillId="0" borderId="71" xfId="1" applyFont="1" applyBorder="1" applyAlignment="1">
      <alignment horizontal="center" vertical="center" wrapText="1"/>
    </xf>
    <xf numFmtId="0" fontId="25" fillId="0" borderId="93" xfId="1" applyFont="1" applyBorder="1" applyAlignment="1">
      <alignment horizontal="center" vertical="center" wrapText="1"/>
    </xf>
    <xf numFmtId="0" fontId="25" fillId="9" borderId="69" xfId="1" applyFont="1" applyFill="1" applyBorder="1" applyAlignment="1">
      <alignment horizontal="center" vertical="center" wrapText="1"/>
    </xf>
    <xf numFmtId="0" fontId="25" fillId="9" borderId="71" xfId="1" applyFont="1" applyFill="1" applyBorder="1" applyAlignment="1">
      <alignment horizontal="center" vertical="center" wrapText="1"/>
    </xf>
    <xf numFmtId="0" fontId="25" fillId="9" borderId="84" xfId="1" applyFont="1" applyFill="1" applyBorder="1" applyAlignment="1">
      <alignment horizontal="center" vertical="center" wrapText="1"/>
    </xf>
    <xf numFmtId="0" fontId="25" fillId="9" borderId="85" xfId="1" applyFont="1" applyFill="1" applyBorder="1" applyAlignment="1">
      <alignment horizontal="center" vertical="center" wrapText="1"/>
    </xf>
    <xf numFmtId="1" fontId="27" fillId="0" borderId="77" xfId="1" applyNumberFormat="1" applyFont="1" applyBorder="1" applyAlignment="1">
      <alignment horizontal="center" vertical="center" wrapText="1"/>
    </xf>
    <xf numFmtId="0" fontId="30" fillId="0" borderId="78" xfId="1" applyFont="1" applyBorder="1" applyAlignment="1">
      <alignment horizontal="center" vertical="center" wrapText="1"/>
    </xf>
    <xf numFmtId="0" fontId="30" fillId="0" borderId="79" xfId="1" applyFont="1" applyBorder="1" applyAlignment="1">
      <alignment horizontal="center" vertical="center" wrapText="1"/>
    </xf>
    <xf numFmtId="1" fontId="30" fillId="0" borderId="45" xfId="1" applyNumberFormat="1" applyFont="1" applyBorder="1" applyAlignment="1">
      <alignment horizontal="center" vertical="center" wrapText="1"/>
    </xf>
    <xf numFmtId="0" fontId="30" fillId="0" borderId="82" xfId="1" applyFont="1" applyBorder="1" applyAlignment="1">
      <alignment horizontal="center" vertical="center" wrapText="1"/>
    </xf>
    <xf numFmtId="0" fontId="30" fillId="0" borderId="45" xfId="1" applyFont="1" applyBorder="1" applyAlignment="1">
      <alignment horizontal="center" vertical="center" wrapText="1"/>
    </xf>
    <xf numFmtId="0" fontId="30" fillId="0" borderId="83" xfId="1" applyFont="1" applyBorder="1" applyAlignment="1">
      <alignment horizontal="center" vertical="center" wrapText="1"/>
    </xf>
    <xf numFmtId="0" fontId="31" fillId="0" borderId="0" xfId="1" applyFont="1"/>
    <xf numFmtId="1" fontId="19" fillId="0" borderId="94" xfId="1" applyNumberFormat="1" applyFont="1" applyBorder="1" applyAlignment="1">
      <alignment horizontal="center"/>
    </xf>
    <xf numFmtId="0" fontId="19" fillId="0" borderId="95" xfId="1" applyFont="1" applyBorder="1" applyAlignment="1">
      <alignment horizontal="left"/>
    </xf>
    <xf numFmtId="0" fontId="24" fillId="0" borderId="79" xfId="1" applyFont="1" applyBorder="1"/>
    <xf numFmtId="0" fontId="20" fillId="0" borderId="45" xfId="1" applyFont="1" applyBorder="1"/>
    <xf numFmtId="0" fontId="19" fillId="0" borderId="80" xfId="1" applyFont="1" applyBorder="1"/>
    <xf numFmtId="0" fontId="32" fillId="0" borderId="94" xfId="1" applyFont="1" applyBorder="1"/>
    <xf numFmtId="0" fontId="32" fillId="0" borderId="96" xfId="1" applyFont="1" applyBorder="1"/>
    <xf numFmtId="0" fontId="32" fillId="0" borderId="95" xfId="1" applyFont="1" applyBorder="1"/>
    <xf numFmtId="0" fontId="32" fillId="0" borderId="81" xfId="1" applyFont="1" applyBorder="1"/>
    <xf numFmtId="0" fontId="32" fillId="0" borderId="97" xfId="1" applyFont="1" applyBorder="1"/>
    <xf numFmtId="0" fontId="32" fillId="0" borderId="98" xfId="1" applyFont="1" applyBorder="1"/>
    <xf numFmtId="0" fontId="32" fillId="0" borderId="99" xfId="1" applyFont="1" applyBorder="1"/>
    <xf numFmtId="0" fontId="32" fillId="0" borderId="100" xfId="1" applyFont="1" applyBorder="1"/>
    <xf numFmtId="0" fontId="32" fillId="0" borderId="101" xfId="1" applyFont="1" applyBorder="1"/>
    <xf numFmtId="1" fontId="19" fillId="0" borderId="0" xfId="1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20" fillId="0" borderId="0" xfId="1" applyFont="1"/>
    <xf numFmtId="0" fontId="19" fillId="0" borderId="0" xfId="1" applyFont="1"/>
    <xf numFmtId="0" fontId="32" fillId="0" borderId="0" xfId="1" applyFont="1"/>
    <xf numFmtId="1" fontId="24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" fillId="0" borderId="63" xfId="0" applyFont="1" applyBorder="1" applyAlignment="1">
      <alignment vertical="center" wrapText="1"/>
    </xf>
    <xf numFmtId="0" fontId="1" fillId="0" borderId="103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102" xfId="0" applyFont="1" applyBorder="1" applyAlignment="1">
      <alignment vertical="center" wrapText="1"/>
    </xf>
    <xf numFmtId="0" fontId="1" fillId="0" borderId="104" xfId="0" applyFont="1" applyBorder="1" applyAlignment="1">
      <alignment vertical="center" wrapText="1"/>
    </xf>
    <xf numFmtId="0" fontId="1" fillId="0" borderId="105" xfId="0" applyFont="1" applyBorder="1" applyAlignment="1">
      <alignment vertical="center" wrapText="1"/>
    </xf>
    <xf numFmtId="0" fontId="1" fillId="0" borderId="106" xfId="0" applyFont="1" applyBorder="1" applyAlignment="1">
      <alignment vertical="center" wrapText="1"/>
    </xf>
    <xf numFmtId="0" fontId="1" fillId="0" borderId="107" xfId="0" applyFont="1" applyBorder="1" applyAlignment="1">
      <alignment vertical="center" wrapText="1"/>
    </xf>
    <xf numFmtId="0" fontId="2" fillId="0" borderId="107" xfId="0" applyFont="1" applyBorder="1" applyAlignment="1">
      <alignment horizontal="center" vertical="top" wrapText="1"/>
    </xf>
    <xf numFmtId="0" fontId="2" fillId="0" borderId="49" xfId="0" applyFont="1" applyBorder="1" applyAlignment="1">
      <alignment horizontal="center" vertical="top" wrapText="1"/>
    </xf>
    <xf numFmtId="0" fontId="2" fillId="0" borderId="108" xfId="0" applyFont="1" applyBorder="1" applyAlignment="1">
      <alignment horizontal="center" vertical="top" wrapText="1"/>
    </xf>
    <xf numFmtId="0" fontId="1" fillId="0" borderId="108" xfId="0" applyFont="1" applyBorder="1" applyAlignment="1">
      <alignment vertical="center" wrapText="1"/>
    </xf>
    <xf numFmtId="0" fontId="1" fillId="0" borderId="109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top" wrapText="1"/>
    </xf>
    <xf numFmtId="0" fontId="2" fillId="0" borderId="103" xfId="0" applyFont="1" applyBorder="1" applyAlignment="1">
      <alignment horizontal="center" vertical="top" wrapText="1"/>
    </xf>
    <xf numFmtId="0" fontId="1" fillId="0" borderId="110" xfId="0" applyFont="1" applyBorder="1" applyAlignment="1">
      <alignment vertical="center" wrapText="1"/>
    </xf>
    <xf numFmtId="0" fontId="1" fillId="0" borderId="111" xfId="0" applyFont="1" applyBorder="1" applyAlignment="1">
      <alignment vertical="center" wrapText="1"/>
    </xf>
    <xf numFmtId="0" fontId="1" fillId="0" borderId="112" xfId="0" applyFont="1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8" fillId="11" borderId="45" xfId="0" applyFont="1" applyFill="1" applyBorder="1" applyAlignment="1">
      <alignment horizontal="center" vertical="center" wrapText="1"/>
    </xf>
    <xf numFmtId="0" fontId="39" fillId="11" borderId="45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1" fontId="2" fillId="5" borderId="30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6" xfId="0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34" fillId="3" borderId="14" xfId="0" applyFont="1" applyFill="1" applyBorder="1" applyAlignment="1">
      <alignment horizontal="center" vertical="center" wrapText="1"/>
    </xf>
    <xf numFmtId="0" fontId="34" fillId="3" borderId="13" xfId="0" applyFont="1" applyFill="1" applyBorder="1" applyAlignment="1">
      <alignment horizontal="center" vertical="center" wrapText="1"/>
    </xf>
    <xf numFmtId="0" fontId="34" fillId="3" borderId="12" xfId="0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center" vertical="center" wrapText="1"/>
    </xf>
    <xf numFmtId="1" fontId="7" fillId="2" borderId="18" xfId="0" applyNumberFormat="1" applyFont="1" applyFill="1" applyBorder="1" applyAlignment="1">
      <alignment horizontal="center" vertical="center" wrapText="1"/>
    </xf>
    <xf numFmtId="1" fontId="7" fillId="2" borderId="17" xfId="0" applyNumberFormat="1" applyFont="1" applyFill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Alignment="1">
      <alignment horizontal="center" vertical="center" wrapText="1"/>
    </xf>
    <xf numFmtId="1" fontId="7" fillId="2" borderId="14" xfId="0" applyNumberFormat="1" applyFont="1" applyFill="1" applyBorder="1" applyAlignment="1">
      <alignment horizontal="center" vertical="center" wrapText="1"/>
    </xf>
    <xf numFmtId="1" fontId="7" fillId="2" borderId="13" xfId="0" applyNumberFormat="1" applyFont="1" applyFill="1" applyBorder="1" applyAlignment="1">
      <alignment horizontal="center" vertical="center" wrapText="1"/>
    </xf>
    <xf numFmtId="1" fontId="7" fillId="2" borderId="12" xfId="0" applyNumberFormat="1" applyFont="1" applyFill="1" applyBorder="1" applyAlignment="1">
      <alignment horizontal="center" vertical="center" wrapText="1"/>
    </xf>
    <xf numFmtId="1" fontId="7" fillId="2" borderId="11" xfId="0" applyNumberFormat="1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2" fillId="5" borderId="21" xfId="0" applyNumberFormat="1" applyFont="1" applyFill="1" applyBorder="1" applyAlignment="1">
      <alignment horizontal="center" vertical="center" wrapText="1"/>
    </xf>
    <xf numFmtId="1" fontId="2" fillId="5" borderId="20" xfId="0" applyNumberFormat="1" applyFont="1" applyFill="1" applyBorder="1" applyAlignment="1">
      <alignment horizontal="center" vertical="center" wrapText="1"/>
    </xf>
    <xf numFmtId="1" fontId="2" fillId="5" borderId="19" xfId="0" applyNumberFormat="1" applyFont="1" applyFill="1" applyBorder="1" applyAlignment="1">
      <alignment horizontal="center" vertical="center" wrapText="1"/>
    </xf>
    <xf numFmtId="1" fontId="2" fillId="5" borderId="10" xfId="0" applyNumberFormat="1" applyFont="1" applyFill="1" applyBorder="1" applyAlignment="1">
      <alignment horizontal="center" vertical="center" wrapText="1"/>
    </xf>
    <xf numFmtId="1" fontId="2" fillId="5" borderId="0" xfId="0" applyNumberFormat="1" applyFont="1" applyFill="1" applyAlignment="1">
      <alignment horizontal="center" vertical="center" wrapText="1"/>
    </xf>
    <xf numFmtId="1" fontId="2" fillId="5" borderId="9" xfId="0" applyNumberFormat="1" applyFont="1" applyFill="1" applyBorder="1" applyAlignment="1">
      <alignment horizontal="center" vertical="center" wrapText="1"/>
    </xf>
    <xf numFmtId="1" fontId="2" fillId="5" borderId="7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1" fontId="2" fillId="5" borderId="5" xfId="0" applyNumberFormat="1" applyFont="1" applyFill="1" applyBorder="1" applyAlignment="1">
      <alignment horizontal="center" vertical="center" wrapText="1"/>
    </xf>
    <xf numFmtId="0" fontId="33" fillId="10" borderId="21" xfId="0" applyFont="1" applyFill="1" applyBorder="1" applyAlignment="1">
      <alignment horizontal="center" vertical="center" wrapText="1"/>
    </xf>
    <xf numFmtId="0" fontId="33" fillId="10" borderId="20" xfId="0" applyFont="1" applyFill="1" applyBorder="1" applyAlignment="1">
      <alignment horizontal="center" vertical="center" wrapText="1"/>
    </xf>
    <xf numFmtId="0" fontId="33" fillId="10" borderId="19" xfId="0" applyFont="1" applyFill="1" applyBorder="1" applyAlignment="1">
      <alignment horizontal="center" vertical="center" wrapText="1"/>
    </xf>
    <xf numFmtId="0" fontId="33" fillId="10" borderId="10" xfId="0" applyFont="1" applyFill="1" applyBorder="1" applyAlignment="1">
      <alignment horizontal="center" vertical="center" wrapText="1"/>
    </xf>
    <xf numFmtId="0" fontId="33" fillId="10" borderId="0" xfId="0" applyFont="1" applyFill="1" applyAlignment="1">
      <alignment horizontal="center" vertical="center" wrapText="1"/>
    </xf>
    <xf numFmtId="0" fontId="33" fillId="10" borderId="9" xfId="0" applyFont="1" applyFill="1" applyBorder="1" applyAlignment="1">
      <alignment horizontal="center" vertical="center" wrapText="1"/>
    </xf>
    <xf numFmtId="0" fontId="33" fillId="10" borderId="7" xfId="0" applyFont="1" applyFill="1" applyBorder="1" applyAlignment="1">
      <alignment horizontal="center" vertical="center" wrapText="1"/>
    </xf>
    <xf numFmtId="0" fontId="33" fillId="10" borderId="6" xfId="0" applyFont="1" applyFill="1" applyBorder="1" applyAlignment="1">
      <alignment horizontal="center" vertical="center" wrapText="1"/>
    </xf>
    <xf numFmtId="0" fontId="33" fillId="10" borderId="5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6" fillId="8" borderId="75" xfId="1" applyFont="1" applyFill="1" applyBorder="1" applyAlignment="1">
      <alignment horizontal="center" vertical="center" wrapText="1"/>
    </xf>
    <xf numFmtId="0" fontId="16" fillId="8" borderId="77" xfId="1" applyFont="1" applyFill="1" applyBorder="1" applyAlignment="1">
      <alignment horizontal="center" vertical="center" wrapText="1"/>
    </xf>
    <xf numFmtId="0" fontId="16" fillId="8" borderId="84" xfId="1" applyFont="1" applyFill="1" applyBorder="1" applyAlignment="1">
      <alignment horizontal="center" vertical="center" wrapText="1"/>
    </xf>
    <xf numFmtId="1" fontId="10" fillId="0" borderId="66" xfId="1" applyNumberFormat="1" applyFont="1" applyBorder="1" applyAlignment="1">
      <alignment horizontal="right" vertical="center"/>
    </xf>
    <xf numFmtId="1" fontId="10" fillId="0" borderId="67" xfId="1" applyNumberFormat="1" applyFont="1" applyBorder="1" applyAlignment="1">
      <alignment horizontal="right" vertical="center"/>
    </xf>
    <xf numFmtId="0" fontId="11" fillId="0" borderId="66" xfId="1" applyFont="1" applyBorder="1" applyAlignment="1">
      <alignment horizontal="center" vertical="center"/>
    </xf>
    <xf numFmtId="0" fontId="11" fillId="0" borderId="67" xfId="1" applyFont="1" applyBorder="1" applyAlignment="1">
      <alignment horizontal="center" vertical="center"/>
    </xf>
    <xf numFmtId="0" fontId="11" fillId="0" borderId="68" xfId="1" applyFont="1" applyBorder="1" applyAlignment="1">
      <alignment horizontal="center" vertical="center"/>
    </xf>
    <xf numFmtId="1" fontId="12" fillId="8" borderId="69" xfId="1" applyNumberFormat="1" applyFont="1" applyFill="1" applyBorder="1" applyAlignment="1">
      <alignment horizontal="center" vertical="center" wrapText="1"/>
    </xf>
    <xf numFmtId="1" fontId="12" fillId="8" borderId="77" xfId="1" applyNumberFormat="1" applyFont="1" applyFill="1" applyBorder="1" applyAlignment="1">
      <alignment horizontal="center" vertical="center" wrapText="1"/>
    </xf>
    <xf numFmtId="0" fontId="13" fillId="0" borderId="35" xfId="1" applyFont="1" applyBorder="1" applyAlignment="1">
      <alignment horizontal="center" vertical="center" wrapText="1"/>
    </xf>
    <xf numFmtId="0" fontId="13" fillId="0" borderId="79" xfId="1" applyFont="1" applyBorder="1" applyAlignment="1">
      <alignment horizontal="center" vertical="center" wrapText="1"/>
    </xf>
    <xf numFmtId="0" fontId="14" fillId="0" borderId="71" xfId="1" applyFont="1" applyBorder="1" applyAlignment="1">
      <alignment horizontal="center" vertical="center" wrapText="1"/>
    </xf>
    <xf numFmtId="0" fontId="14" fillId="0" borderId="45" xfId="1" applyFont="1" applyBorder="1" applyAlignment="1">
      <alignment horizontal="center" vertical="center" wrapText="1"/>
    </xf>
    <xf numFmtId="0" fontId="15" fillId="0" borderId="37" xfId="1" applyFont="1" applyBorder="1" applyAlignment="1">
      <alignment horizontal="center" vertical="center" wrapText="1"/>
    </xf>
    <xf numFmtId="0" fontId="15" fillId="0" borderId="80" xfId="1" applyFont="1" applyBorder="1" applyAlignment="1">
      <alignment horizontal="center" vertical="center" wrapText="1"/>
    </xf>
    <xf numFmtId="0" fontId="16" fillId="8" borderId="69" xfId="1" applyFont="1" applyFill="1" applyBorder="1" applyAlignment="1">
      <alignment horizontal="center" vertical="center" wrapText="1"/>
    </xf>
    <xf numFmtId="0" fontId="15" fillId="0" borderId="71" xfId="1" applyFont="1" applyBorder="1" applyAlignment="1">
      <alignment horizontal="center" vertical="center" wrapText="1"/>
    </xf>
    <xf numFmtId="0" fontId="15" fillId="0" borderId="45" xfId="1" applyFont="1" applyBorder="1" applyAlignment="1">
      <alignment horizontal="center" vertical="center" wrapText="1"/>
    </xf>
    <xf numFmtId="0" fontId="15" fillId="0" borderId="36" xfId="1" applyFont="1" applyBorder="1" applyAlignment="1">
      <alignment horizontal="center" vertical="center" wrapText="1"/>
    </xf>
    <xf numFmtId="0" fontId="15" fillId="0" borderId="81" xfId="1" applyFont="1" applyBorder="1" applyAlignment="1">
      <alignment horizontal="center" vertical="center" wrapText="1"/>
    </xf>
    <xf numFmtId="0" fontId="17" fillId="4" borderId="76" xfId="1" applyFont="1" applyFill="1" applyBorder="1" applyAlignment="1">
      <alignment horizontal="center" vertical="center" wrapText="1"/>
    </xf>
    <xf numFmtId="0" fontId="17" fillId="4" borderId="45" xfId="1" applyFont="1" applyFill="1" applyBorder="1" applyAlignment="1">
      <alignment horizontal="center" vertical="center" wrapText="1"/>
    </xf>
    <xf numFmtId="0" fontId="17" fillId="4" borderId="85" xfId="1" applyFont="1" applyFill="1" applyBorder="1" applyAlignment="1">
      <alignment horizontal="center" vertical="center" wrapText="1"/>
    </xf>
    <xf numFmtId="0" fontId="16" fillId="8" borderId="76" xfId="1" applyFont="1" applyFill="1" applyBorder="1" applyAlignment="1">
      <alignment horizontal="center" vertical="center" wrapText="1"/>
    </xf>
    <xf numFmtId="0" fontId="16" fillId="8" borderId="45" xfId="1" applyFont="1" applyFill="1" applyBorder="1" applyAlignment="1">
      <alignment horizontal="center" vertical="center" wrapText="1"/>
    </xf>
    <xf numFmtId="0" fontId="16" fillId="8" borderId="85" xfId="1" applyFont="1" applyFill="1" applyBorder="1" applyAlignment="1">
      <alignment horizontal="center" vertical="center" wrapText="1"/>
    </xf>
    <xf numFmtId="0" fontId="16" fillId="8" borderId="72" xfId="1" applyFont="1" applyFill="1" applyBorder="1" applyAlignment="1">
      <alignment horizontal="center" vertical="center" wrapText="1"/>
    </xf>
    <xf numFmtId="0" fontId="16" fillId="8" borderId="82" xfId="1" applyFont="1" applyFill="1" applyBorder="1" applyAlignment="1">
      <alignment horizontal="center" vertical="center" wrapText="1"/>
    </xf>
    <xf numFmtId="0" fontId="16" fillId="8" borderId="73" xfId="1" applyFont="1" applyFill="1" applyBorder="1" applyAlignment="1">
      <alignment horizontal="center" vertical="center" wrapText="1"/>
    </xf>
    <xf numFmtId="0" fontId="16" fillId="8" borderId="74" xfId="1" applyFont="1" applyFill="1" applyBorder="1" applyAlignment="1">
      <alignment horizontal="center" vertical="center" wrapText="1"/>
    </xf>
    <xf numFmtId="0" fontId="16" fillId="8" borderId="83" xfId="1" applyFont="1" applyFill="1" applyBorder="1" applyAlignment="1">
      <alignment horizontal="center" vertical="center" wrapText="1"/>
    </xf>
  </cellXfs>
  <cellStyles count="2">
    <cellStyle name="Normal" xfId="0" builtinId="0"/>
    <cellStyle name="Normal 12" xfId="1" xr:uid="{C812C185-0631-4910-8EC1-89616ED189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B8522EC3-14D2-413C-B9B3-0D26DEC5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59294"/>
          <a:ext cx="897219" cy="8378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A62A7170-6BF0-4638-B244-5AB82F62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66098"/>
          <a:ext cx="897219" cy="83781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7B21BFA8-7AF2-4114-A309-E527A7A4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59294"/>
          <a:ext cx="897219" cy="83781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F10322FD-8191-4345-97D8-A1924265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16" y="459294"/>
          <a:ext cx="897219" cy="83781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40925CA8-E38F-4FDD-B00C-85BE5DAE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6991" y="456119"/>
          <a:ext cx="897219" cy="83781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28066</xdr:colOff>
      <xdr:row>4</xdr:row>
      <xdr:rowOff>30669</xdr:rowOff>
    </xdr:from>
    <xdr:ext cx="897219" cy="837814"/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E16F743F-E24D-4628-B459-51690C70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6991" y="456119"/>
          <a:ext cx="897219" cy="83781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4</xdr:row>
      <xdr:rowOff>65314</xdr:rowOff>
    </xdr:from>
    <xdr:to>
      <xdr:col>25</xdr:col>
      <xdr:colOff>47625</xdr:colOff>
      <xdr:row>14</xdr:row>
      <xdr:rowOff>27214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78227-B4A1-44AB-A5B1-16888A68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" y="283028"/>
          <a:ext cx="1143000" cy="1050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E423-495D-40D5-9040-6FF112B38137}">
  <sheetPr codeName="Sheet2">
    <pageSetUpPr fitToPage="1"/>
  </sheetPr>
  <dimension ref="C1:PV408"/>
  <sheetViews>
    <sheetView showGridLines="0" topLeftCell="A190" zoomScale="85" zoomScaleNormal="85" zoomScaleSheetLayoutView="55" workbookViewId="0">
      <selection activeCell="G273" sqref="E273:CL288"/>
    </sheetView>
  </sheetViews>
  <sheetFormatPr defaultColWidth="9.109375" defaultRowHeight="17.399999999999999" x14ac:dyDescent="0.3"/>
  <cols>
    <col min="1" max="1" width="1.88671875" style="1" customWidth="1"/>
    <col min="2" max="2" width="1.33203125" style="1" customWidth="1"/>
    <col min="3" max="4" width="0.5546875" style="1" customWidth="1"/>
    <col min="5" max="127" width="0.88671875" style="1" customWidth="1"/>
    <col min="128" max="128" width="1" style="1" customWidth="1"/>
    <col min="129" max="130" width="0.88671875" style="1" hidden="1" customWidth="1"/>
    <col min="131" max="277" width="0.88671875" style="1" customWidth="1"/>
    <col min="278" max="278" width="0.6640625" style="1" customWidth="1"/>
    <col min="279" max="318" width="0.88671875" style="1" customWidth="1"/>
    <col min="319" max="319" width="0.6640625" style="1" customWidth="1"/>
    <col min="320" max="412" width="0.88671875" style="1" customWidth="1"/>
    <col min="413" max="414" width="0.5546875" style="1" customWidth="1"/>
    <col min="415" max="415" width="0.88671875" style="1" customWidth="1"/>
    <col min="416" max="416" width="0.6640625" style="1" customWidth="1"/>
    <col min="417" max="419" width="0.88671875" style="1" hidden="1" customWidth="1"/>
    <col min="420" max="420" width="8.33203125" style="1" hidden="1" customWidth="1"/>
    <col min="421" max="436" width="0.88671875" style="1" customWidth="1"/>
    <col min="437" max="437" width="1" style="1" customWidth="1"/>
    <col min="438" max="448" width="0.88671875" style="1" customWidth="1"/>
    <col min="449" max="16384" width="9.109375" style="1"/>
  </cols>
  <sheetData>
    <row r="1" spans="3:438" ht="18.75" customHeight="1" x14ac:dyDescent="0.3"/>
    <row r="2" spans="3:438" ht="9" customHeight="1" thickBot="1" x14ac:dyDescent="0.35"/>
    <row r="3" spans="3:438" s="35" customFormat="1" ht="3" customHeight="1" thickTop="1" x14ac:dyDescent="0.3">
      <c r="C3" s="47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6"/>
      <c r="MM3" s="46"/>
      <c r="MN3" s="46"/>
      <c r="MO3" s="46"/>
      <c r="MP3" s="46"/>
      <c r="MQ3" s="46"/>
      <c r="MR3" s="46"/>
      <c r="MS3" s="46"/>
      <c r="MT3" s="46"/>
      <c r="MU3" s="46"/>
      <c r="MV3" s="46"/>
      <c r="MW3" s="46"/>
      <c r="MX3" s="46"/>
      <c r="MY3" s="46"/>
      <c r="MZ3" s="46"/>
      <c r="NA3" s="46"/>
      <c r="NB3" s="46"/>
      <c r="NC3" s="46"/>
      <c r="ND3" s="46"/>
      <c r="NE3" s="46"/>
      <c r="NF3" s="46"/>
      <c r="NG3" s="46"/>
      <c r="NH3" s="46"/>
      <c r="NI3" s="46"/>
      <c r="NJ3" s="46"/>
      <c r="NK3" s="46"/>
      <c r="NL3" s="46"/>
      <c r="NM3" s="46"/>
      <c r="NN3" s="46"/>
      <c r="NO3" s="46"/>
      <c r="NP3" s="46"/>
      <c r="NQ3" s="46"/>
      <c r="NR3" s="46"/>
      <c r="NS3" s="46"/>
      <c r="NT3" s="46"/>
      <c r="NU3" s="46"/>
      <c r="NV3" s="46"/>
      <c r="NW3" s="46"/>
      <c r="NX3" s="46"/>
      <c r="NY3" s="46"/>
      <c r="NZ3" s="46"/>
      <c r="OA3" s="46"/>
      <c r="OB3" s="46"/>
      <c r="OC3" s="46"/>
      <c r="OD3" s="46"/>
      <c r="OE3" s="46"/>
      <c r="OF3" s="46"/>
      <c r="OG3" s="46"/>
      <c r="OH3" s="46"/>
      <c r="OI3" s="46"/>
      <c r="OJ3" s="46"/>
      <c r="OK3" s="46"/>
      <c r="OL3" s="46"/>
      <c r="OM3" s="46"/>
      <c r="ON3" s="46"/>
      <c r="OO3" s="46"/>
      <c r="OP3" s="46"/>
      <c r="OQ3" s="46"/>
      <c r="OR3" s="46"/>
      <c r="OS3" s="46"/>
      <c r="OT3" s="46"/>
      <c r="OU3" s="46"/>
      <c r="OV3" s="46"/>
      <c r="OW3" s="46"/>
      <c r="OX3" s="45"/>
    </row>
    <row r="4" spans="3:438" s="35" customFormat="1" ht="3" customHeight="1" thickBot="1" x14ac:dyDescent="0.35">
      <c r="C4" s="39"/>
      <c r="D4" s="4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3"/>
      <c r="NI4" s="43"/>
      <c r="NJ4" s="43"/>
      <c r="NK4" s="43"/>
      <c r="NL4" s="43"/>
      <c r="NM4" s="43"/>
      <c r="NN4" s="43"/>
      <c r="NO4" s="43"/>
      <c r="NP4" s="43"/>
      <c r="NQ4" s="43"/>
      <c r="NR4" s="43"/>
      <c r="NS4" s="43"/>
      <c r="NT4" s="43"/>
      <c r="NU4" s="43"/>
      <c r="NV4" s="43"/>
      <c r="NW4" s="43"/>
      <c r="NX4" s="43"/>
      <c r="NY4" s="43"/>
      <c r="NZ4" s="43"/>
      <c r="OA4" s="43"/>
      <c r="OB4" s="43"/>
      <c r="OC4" s="43"/>
      <c r="OD4" s="43"/>
      <c r="OE4" s="43"/>
      <c r="OF4" s="43"/>
      <c r="OG4" s="43"/>
      <c r="OH4" s="43"/>
      <c r="OI4" s="43"/>
      <c r="OJ4" s="43"/>
      <c r="OK4" s="43"/>
      <c r="OL4" s="43"/>
      <c r="OM4" s="43"/>
      <c r="ON4" s="43"/>
      <c r="OO4" s="43"/>
      <c r="OP4" s="43"/>
      <c r="OQ4" s="43"/>
      <c r="OR4" s="43"/>
      <c r="OS4" s="43"/>
      <c r="OT4" s="43"/>
      <c r="OU4" s="43"/>
      <c r="OV4" s="43"/>
      <c r="OW4" s="42"/>
      <c r="OX4" s="36"/>
    </row>
    <row r="5" spans="3:438" s="35" customFormat="1" ht="6.75" customHeight="1" x14ac:dyDescent="0.3">
      <c r="C5" s="39"/>
      <c r="D5" s="38"/>
      <c r="E5" s="243" t="s">
        <v>26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4"/>
      <c r="DM5" s="244"/>
      <c r="DN5" s="244"/>
      <c r="DO5" s="244"/>
      <c r="DP5" s="244"/>
      <c r="DQ5" s="244"/>
      <c r="DR5" s="244"/>
      <c r="DS5" s="244"/>
      <c r="DT5" s="244"/>
      <c r="DU5" s="244"/>
      <c r="DV5" s="244"/>
      <c r="DW5" s="244"/>
      <c r="DX5" s="244"/>
      <c r="DY5" s="244"/>
      <c r="DZ5" s="244"/>
      <c r="EA5" s="244"/>
      <c r="EB5" s="244"/>
      <c r="EC5" s="244"/>
      <c r="ED5" s="244"/>
      <c r="EE5" s="244"/>
      <c r="EF5" s="244"/>
      <c r="EG5" s="244"/>
      <c r="EH5" s="244"/>
      <c r="EI5" s="244"/>
      <c r="EJ5" s="244"/>
      <c r="EK5" s="244"/>
      <c r="EL5" s="244"/>
      <c r="EM5" s="244"/>
      <c r="EN5" s="244"/>
      <c r="EO5" s="244"/>
      <c r="EP5" s="244"/>
      <c r="EQ5" s="244"/>
      <c r="ER5" s="244"/>
      <c r="ES5" s="244"/>
      <c r="ET5" s="244"/>
      <c r="EU5" s="244"/>
      <c r="EV5" s="244"/>
      <c r="EW5" s="244"/>
      <c r="EX5" s="244"/>
      <c r="EY5" s="244"/>
      <c r="EZ5" s="244"/>
      <c r="FA5" s="244"/>
      <c r="FB5" s="244"/>
      <c r="FC5" s="244"/>
      <c r="FD5" s="244"/>
      <c r="FE5" s="244"/>
      <c r="FF5" s="244"/>
      <c r="FG5" s="244"/>
      <c r="FH5" s="244"/>
      <c r="FI5" s="244"/>
      <c r="FJ5" s="244"/>
      <c r="FK5" s="244"/>
      <c r="FL5" s="244"/>
      <c r="FM5" s="244"/>
      <c r="FN5" s="244"/>
      <c r="FO5" s="244"/>
      <c r="FP5" s="244"/>
      <c r="FQ5" s="244"/>
      <c r="FR5" s="244"/>
      <c r="FS5" s="244"/>
      <c r="FT5" s="244"/>
      <c r="FU5" s="244"/>
      <c r="FV5" s="244"/>
      <c r="FW5" s="244"/>
      <c r="FX5" s="244"/>
      <c r="FY5" s="244"/>
      <c r="FZ5" s="244"/>
      <c r="GA5" s="244"/>
      <c r="GB5" s="244"/>
      <c r="GC5" s="244"/>
      <c r="GD5" s="244"/>
      <c r="GE5" s="244"/>
      <c r="GF5" s="244"/>
      <c r="GG5" s="244"/>
      <c r="GH5" s="244"/>
      <c r="GI5" s="244"/>
      <c r="GJ5" s="244"/>
      <c r="GK5" s="244"/>
      <c r="GL5" s="244"/>
      <c r="GM5" s="244"/>
      <c r="GN5" s="244"/>
      <c r="GO5" s="244"/>
      <c r="GP5" s="244"/>
      <c r="GQ5" s="244"/>
      <c r="GR5" s="244"/>
      <c r="GS5" s="244"/>
      <c r="GT5" s="244"/>
      <c r="GU5" s="244"/>
      <c r="GV5" s="244"/>
      <c r="GW5" s="244"/>
      <c r="GX5" s="244"/>
      <c r="GY5" s="244"/>
      <c r="GZ5" s="244"/>
      <c r="HA5" s="244"/>
      <c r="HB5" s="244"/>
      <c r="HC5" s="244"/>
      <c r="HD5" s="244"/>
      <c r="HE5" s="244"/>
      <c r="HF5" s="244"/>
      <c r="HG5" s="244"/>
      <c r="HH5" s="244"/>
      <c r="HI5" s="244"/>
      <c r="HJ5" s="244"/>
      <c r="HK5" s="244"/>
      <c r="HL5" s="244"/>
      <c r="HM5" s="244"/>
      <c r="HN5" s="244"/>
      <c r="HO5" s="244"/>
      <c r="HP5" s="244"/>
      <c r="HQ5" s="244"/>
      <c r="HR5" s="244"/>
      <c r="HS5" s="244"/>
      <c r="HT5" s="244"/>
      <c r="HU5" s="244"/>
      <c r="HV5" s="244"/>
      <c r="HW5" s="244"/>
      <c r="HX5" s="244"/>
      <c r="HY5" s="244"/>
      <c r="HZ5" s="244"/>
      <c r="IA5" s="244"/>
      <c r="IB5" s="244"/>
      <c r="IC5" s="244"/>
      <c r="ID5" s="244"/>
      <c r="IE5" s="244"/>
      <c r="IF5" s="244"/>
      <c r="IG5" s="244"/>
      <c r="IH5" s="244"/>
      <c r="II5" s="244"/>
      <c r="IJ5" s="244"/>
      <c r="IK5" s="244"/>
      <c r="IL5" s="244"/>
      <c r="IM5" s="244"/>
      <c r="IN5" s="244"/>
      <c r="IO5" s="244"/>
      <c r="IP5" s="244"/>
      <c r="IQ5" s="244"/>
      <c r="IR5" s="244"/>
      <c r="IS5" s="244"/>
      <c r="IT5" s="244"/>
      <c r="IU5" s="244"/>
      <c r="IV5" s="244"/>
      <c r="IW5" s="244"/>
      <c r="IX5" s="244"/>
      <c r="IY5" s="244"/>
      <c r="IZ5" s="244"/>
      <c r="JA5" s="244"/>
      <c r="JB5" s="244"/>
      <c r="JC5" s="244"/>
      <c r="JD5" s="244"/>
      <c r="JE5" s="244"/>
      <c r="JF5" s="244"/>
      <c r="JG5" s="244"/>
      <c r="JH5" s="244"/>
      <c r="JI5" s="244"/>
      <c r="JJ5" s="244"/>
      <c r="JK5" s="244"/>
      <c r="JL5" s="244"/>
      <c r="JM5" s="244"/>
      <c r="JN5" s="244"/>
      <c r="JO5" s="244"/>
      <c r="JP5" s="244"/>
      <c r="JQ5" s="244"/>
      <c r="JR5" s="244"/>
      <c r="JS5" s="244"/>
      <c r="JT5" s="244"/>
      <c r="JU5" s="244"/>
      <c r="JV5" s="244"/>
      <c r="JW5" s="244"/>
      <c r="JX5" s="244"/>
      <c r="JY5" s="244"/>
      <c r="JZ5" s="244"/>
      <c r="KA5" s="244"/>
      <c r="KB5" s="244"/>
      <c r="KC5" s="244"/>
      <c r="KD5" s="244"/>
      <c r="KE5" s="244"/>
      <c r="KF5" s="244"/>
      <c r="KG5" s="244"/>
      <c r="KH5" s="244"/>
      <c r="KI5" s="244"/>
      <c r="KJ5" s="244"/>
      <c r="KK5" s="244"/>
      <c r="KL5" s="244"/>
      <c r="KM5" s="244"/>
      <c r="KN5" s="244"/>
      <c r="KO5" s="244"/>
      <c r="KP5" s="244"/>
      <c r="KQ5" s="244"/>
      <c r="KR5" s="244"/>
      <c r="KS5" s="244"/>
      <c r="KT5" s="244"/>
      <c r="KU5" s="244"/>
      <c r="KV5" s="244"/>
      <c r="KW5" s="244"/>
      <c r="KX5" s="244"/>
      <c r="KY5" s="244"/>
      <c r="KZ5" s="244"/>
      <c r="LA5" s="244"/>
      <c r="LB5" s="244"/>
      <c r="LC5" s="244"/>
      <c r="LD5" s="244"/>
      <c r="LE5" s="244"/>
      <c r="LF5" s="244"/>
      <c r="LG5" s="244"/>
      <c r="LH5" s="244"/>
      <c r="LI5" s="244"/>
      <c r="LJ5" s="244"/>
      <c r="LK5" s="244"/>
      <c r="LL5" s="244"/>
      <c r="LM5" s="244"/>
      <c r="LN5" s="244"/>
      <c r="LO5" s="244"/>
      <c r="LP5" s="244"/>
      <c r="LQ5" s="244"/>
      <c r="LR5" s="244"/>
      <c r="LS5" s="244"/>
      <c r="LT5" s="244"/>
      <c r="LU5" s="244"/>
      <c r="LV5" s="244"/>
      <c r="LW5" s="244"/>
      <c r="LX5" s="244"/>
      <c r="LY5" s="244"/>
      <c r="LZ5" s="244"/>
      <c r="MA5" s="244"/>
      <c r="MB5" s="244"/>
      <c r="MC5" s="244"/>
      <c r="MD5" s="244"/>
      <c r="ME5" s="244"/>
      <c r="MF5" s="244"/>
      <c r="MG5" s="244"/>
      <c r="MH5" s="244"/>
      <c r="MI5" s="244"/>
      <c r="MJ5" s="244"/>
      <c r="MK5" s="244"/>
      <c r="ML5" s="244"/>
      <c r="MM5" s="244"/>
      <c r="MN5" s="244"/>
      <c r="MO5" s="244"/>
      <c r="MP5" s="244"/>
      <c r="MQ5" s="244"/>
      <c r="MR5" s="244"/>
      <c r="MS5" s="244"/>
      <c r="MT5" s="244"/>
      <c r="MU5" s="244"/>
      <c r="MV5" s="244"/>
      <c r="MW5" s="244"/>
      <c r="MX5" s="244"/>
      <c r="MY5" s="244"/>
      <c r="MZ5" s="244"/>
      <c r="NA5" s="244"/>
      <c r="NB5" s="244"/>
      <c r="NC5" s="244"/>
      <c r="ND5" s="244"/>
      <c r="NE5" s="244"/>
      <c r="NF5" s="244"/>
      <c r="NG5" s="244"/>
      <c r="NH5" s="244"/>
      <c r="NI5" s="244"/>
      <c r="NJ5" s="244"/>
      <c r="NK5" s="244"/>
      <c r="NL5" s="244"/>
      <c r="NM5" s="244"/>
      <c r="NN5" s="244"/>
      <c r="NO5" s="244"/>
      <c r="NP5" s="244"/>
      <c r="NQ5" s="244"/>
      <c r="NR5" s="244"/>
      <c r="NS5" s="244"/>
      <c r="NT5" s="244"/>
      <c r="NU5" s="244"/>
      <c r="NV5" s="244"/>
      <c r="NW5" s="244"/>
      <c r="NX5" s="244"/>
      <c r="NY5" s="244"/>
      <c r="NZ5" s="244"/>
      <c r="OA5" s="244"/>
      <c r="OB5" s="244"/>
      <c r="OC5" s="244"/>
      <c r="OD5" s="244"/>
      <c r="OE5" s="244"/>
      <c r="OF5" s="244"/>
      <c r="OG5" s="244"/>
      <c r="OH5" s="244"/>
      <c r="OI5" s="244"/>
      <c r="OJ5" s="244"/>
      <c r="OK5" s="244"/>
      <c r="OL5" s="244"/>
      <c r="OM5" s="244"/>
      <c r="ON5" s="244"/>
      <c r="OO5" s="244"/>
      <c r="OP5" s="244"/>
      <c r="OQ5" s="244"/>
      <c r="OR5" s="244"/>
      <c r="OS5" s="244"/>
      <c r="OT5" s="244"/>
      <c r="OU5" s="244"/>
      <c r="OV5" s="245"/>
      <c r="OW5" s="37"/>
      <c r="OX5" s="36"/>
    </row>
    <row r="6" spans="3:438" s="35" customFormat="1" ht="6.75" customHeight="1" x14ac:dyDescent="0.3">
      <c r="C6" s="39"/>
      <c r="D6" s="38"/>
      <c r="E6" s="246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7"/>
      <c r="LQ6" s="247"/>
      <c r="LR6" s="247"/>
      <c r="LS6" s="247"/>
      <c r="LT6" s="247"/>
      <c r="LU6" s="247"/>
      <c r="LV6" s="247"/>
      <c r="LW6" s="247"/>
      <c r="LX6" s="247"/>
      <c r="LY6" s="247"/>
      <c r="LZ6" s="247"/>
      <c r="MA6" s="247"/>
      <c r="MB6" s="247"/>
      <c r="MC6" s="247"/>
      <c r="MD6" s="247"/>
      <c r="ME6" s="247"/>
      <c r="MF6" s="247"/>
      <c r="MG6" s="247"/>
      <c r="MH6" s="247"/>
      <c r="MI6" s="247"/>
      <c r="MJ6" s="247"/>
      <c r="MK6" s="247"/>
      <c r="ML6" s="247"/>
      <c r="MM6" s="247"/>
      <c r="MN6" s="247"/>
      <c r="MO6" s="247"/>
      <c r="MP6" s="247"/>
      <c r="MQ6" s="247"/>
      <c r="MR6" s="247"/>
      <c r="MS6" s="247"/>
      <c r="MT6" s="247"/>
      <c r="MU6" s="247"/>
      <c r="MV6" s="247"/>
      <c r="MW6" s="247"/>
      <c r="MX6" s="247"/>
      <c r="MY6" s="247"/>
      <c r="MZ6" s="247"/>
      <c r="NA6" s="247"/>
      <c r="NB6" s="247"/>
      <c r="NC6" s="247"/>
      <c r="ND6" s="247"/>
      <c r="NE6" s="247"/>
      <c r="NF6" s="247"/>
      <c r="NG6" s="247"/>
      <c r="NH6" s="247"/>
      <c r="NI6" s="247"/>
      <c r="NJ6" s="247"/>
      <c r="NK6" s="247"/>
      <c r="NL6" s="247"/>
      <c r="NM6" s="247"/>
      <c r="NN6" s="247"/>
      <c r="NO6" s="247"/>
      <c r="NP6" s="247"/>
      <c r="NQ6" s="247"/>
      <c r="NR6" s="247"/>
      <c r="NS6" s="247"/>
      <c r="NT6" s="247"/>
      <c r="NU6" s="247"/>
      <c r="NV6" s="247"/>
      <c r="NW6" s="247"/>
      <c r="NX6" s="247"/>
      <c r="NY6" s="247"/>
      <c r="NZ6" s="247"/>
      <c r="OA6" s="247"/>
      <c r="OB6" s="247"/>
      <c r="OC6" s="247"/>
      <c r="OD6" s="247"/>
      <c r="OE6" s="247"/>
      <c r="OF6" s="247"/>
      <c r="OG6" s="247"/>
      <c r="OH6" s="247"/>
      <c r="OI6" s="247"/>
      <c r="OJ6" s="247"/>
      <c r="OK6" s="247"/>
      <c r="OL6" s="247"/>
      <c r="OM6" s="247"/>
      <c r="ON6" s="247"/>
      <c r="OO6" s="247"/>
      <c r="OP6" s="247"/>
      <c r="OQ6" s="247"/>
      <c r="OR6" s="247"/>
      <c r="OS6" s="247"/>
      <c r="OT6" s="247"/>
      <c r="OU6" s="247"/>
      <c r="OV6" s="248"/>
      <c r="OW6" s="37"/>
      <c r="OX6" s="36"/>
    </row>
    <row r="7" spans="3:438" s="35" customFormat="1" ht="6.75" customHeight="1" x14ac:dyDescent="0.3">
      <c r="C7" s="39"/>
      <c r="D7" s="38"/>
      <c r="E7" s="246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7"/>
      <c r="LQ7" s="247"/>
      <c r="LR7" s="247"/>
      <c r="LS7" s="247"/>
      <c r="LT7" s="247"/>
      <c r="LU7" s="247"/>
      <c r="LV7" s="247"/>
      <c r="LW7" s="247"/>
      <c r="LX7" s="247"/>
      <c r="LY7" s="247"/>
      <c r="LZ7" s="247"/>
      <c r="MA7" s="247"/>
      <c r="MB7" s="247"/>
      <c r="MC7" s="247"/>
      <c r="MD7" s="247"/>
      <c r="ME7" s="247"/>
      <c r="MF7" s="247"/>
      <c r="MG7" s="247"/>
      <c r="MH7" s="247"/>
      <c r="MI7" s="247"/>
      <c r="MJ7" s="247"/>
      <c r="MK7" s="247"/>
      <c r="ML7" s="247"/>
      <c r="MM7" s="247"/>
      <c r="MN7" s="247"/>
      <c r="MO7" s="247"/>
      <c r="MP7" s="247"/>
      <c r="MQ7" s="247"/>
      <c r="MR7" s="247"/>
      <c r="MS7" s="247"/>
      <c r="MT7" s="247"/>
      <c r="MU7" s="247"/>
      <c r="MV7" s="247"/>
      <c r="MW7" s="247"/>
      <c r="MX7" s="247"/>
      <c r="MY7" s="247"/>
      <c r="MZ7" s="247"/>
      <c r="NA7" s="247"/>
      <c r="NB7" s="247"/>
      <c r="NC7" s="247"/>
      <c r="ND7" s="247"/>
      <c r="NE7" s="247"/>
      <c r="NF7" s="247"/>
      <c r="NG7" s="247"/>
      <c r="NH7" s="247"/>
      <c r="NI7" s="247"/>
      <c r="NJ7" s="247"/>
      <c r="NK7" s="247"/>
      <c r="NL7" s="247"/>
      <c r="NM7" s="247"/>
      <c r="NN7" s="247"/>
      <c r="NO7" s="247"/>
      <c r="NP7" s="247"/>
      <c r="NQ7" s="247"/>
      <c r="NR7" s="247"/>
      <c r="NS7" s="247"/>
      <c r="NT7" s="247"/>
      <c r="NU7" s="247"/>
      <c r="NV7" s="247"/>
      <c r="NW7" s="247"/>
      <c r="NX7" s="247"/>
      <c r="NY7" s="247"/>
      <c r="NZ7" s="247"/>
      <c r="OA7" s="247"/>
      <c r="OB7" s="247"/>
      <c r="OC7" s="247"/>
      <c r="OD7" s="247"/>
      <c r="OE7" s="247"/>
      <c r="OF7" s="247"/>
      <c r="OG7" s="247"/>
      <c r="OH7" s="247"/>
      <c r="OI7" s="247"/>
      <c r="OJ7" s="247"/>
      <c r="OK7" s="247"/>
      <c r="OL7" s="247"/>
      <c r="OM7" s="247"/>
      <c r="ON7" s="247"/>
      <c r="OO7" s="247"/>
      <c r="OP7" s="247"/>
      <c r="OQ7" s="247"/>
      <c r="OR7" s="247"/>
      <c r="OS7" s="247"/>
      <c r="OT7" s="247"/>
      <c r="OU7" s="247"/>
      <c r="OV7" s="248"/>
      <c r="OW7" s="37"/>
      <c r="OX7" s="36"/>
    </row>
    <row r="8" spans="3:438" s="35" customFormat="1" ht="6.75" customHeight="1" x14ac:dyDescent="0.3">
      <c r="C8" s="39"/>
      <c r="D8" s="38"/>
      <c r="E8" s="24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7"/>
      <c r="LW8" s="247"/>
      <c r="LX8" s="247"/>
      <c r="LY8" s="247"/>
      <c r="LZ8" s="247"/>
      <c r="MA8" s="247"/>
      <c r="MB8" s="247"/>
      <c r="MC8" s="247"/>
      <c r="MD8" s="247"/>
      <c r="ME8" s="247"/>
      <c r="MF8" s="247"/>
      <c r="MG8" s="247"/>
      <c r="MH8" s="247"/>
      <c r="MI8" s="247"/>
      <c r="MJ8" s="247"/>
      <c r="MK8" s="247"/>
      <c r="ML8" s="247"/>
      <c r="MM8" s="247"/>
      <c r="MN8" s="247"/>
      <c r="MO8" s="247"/>
      <c r="MP8" s="247"/>
      <c r="MQ8" s="247"/>
      <c r="MR8" s="247"/>
      <c r="MS8" s="247"/>
      <c r="MT8" s="247"/>
      <c r="MU8" s="247"/>
      <c r="MV8" s="247"/>
      <c r="MW8" s="247"/>
      <c r="MX8" s="247"/>
      <c r="MY8" s="247"/>
      <c r="MZ8" s="247"/>
      <c r="NA8" s="247"/>
      <c r="NB8" s="247"/>
      <c r="NC8" s="247"/>
      <c r="ND8" s="247"/>
      <c r="NE8" s="247"/>
      <c r="NF8" s="247"/>
      <c r="NG8" s="247"/>
      <c r="NH8" s="247"/>
      <c r="NI8" s="247"/>
      <c r="NJ8" s="247"/>
      <c r="NK8" s="247"/>
      <c r="NL8" s="247"/>
      <c r="NM8" s="247"/>
      <c r="NN8" s="247"/>
      <c r="NO8" s="247"/>
      <c r="NP8" s="247"/>
      <c r="NQ8" s="247"/>
      <c r="NR8" s="247"/>
      <c r="NS8" s="247"/>
      <c r="NT8" s="247"/>
      <c r="NU8" s="247"/>
      <c r="NV8" s="247"/>
      <c r="NW8" s="247"/>
      <c r="NX8" s="247"/>
      <c r="NY8" s="247"/>
      <c r="NZ8" s="247"/>
      <c r="OA8" s="247"/>
      <c r="OB8" s="247"/>
      <c r="OC8" s="247"/>
      <c r="OD8" s="247"/>
      <c r="OE8" s="247"/>
      <c r="OF8" s="247"/>
      <c r="OG8" s="247"/>
      <c r="OH8" s="247"/>
      <c r="OI8" s="247"/>
      <c r="OJ8" s="247"/>
      <c r="OK8" s="247"/>
      <c r="OL8" s="247"/>
      <c r="OM8" s="247"/>
      <c r="ON8" s="247"/>
      <c r="OO8" s="247"/>
      <c r="OP8" s="247"/>
      <c r="OQ8" s="247"/>
      <c r="OR8" s="247"/>
      <c r="OS8" s="247"/>
      <c r="OT8" s="247"/>
      <c r="OU8" s="247"/>
      <c r="OV8" s="248"/>
      <c r="OW8" s="37"/>
      <c r="OX8" s="36"/>
      <c r="OY8" s="41"/>
      <c r="OZ8" s="41"/>
      <c r="PA8" s="41"/>
      <c r="PB8" s="41"/>
      <c r="PQ8" s="41"/>
      <c r="PR8" s="41"/>
      <c r="PS8" s="41"/>
      <c r="PT8" s="41"/>
      <c r="PU8" s="41"/>
    </row>
    <row r="9" spans="3:438" s="35" customFormat="1" ht="6.75" customHeight="1" x14ac:dyDescent="0.3">
      <c r="C9" s="39"/>
      <c r="D9" s="38"/>
      <c r="E9" s="246" t="s">
        <v>18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7"/>
      <c r="LW9" s="247"/>
      <c r="LX9" s="247"/>
      <c r="LY9" s="247"/>
      <c r="LZ9" s="247"/>
      <c r="MA9" s="247"/>
      <c r="MB9" s="247"/>
      <c r="MC9" s="247"/>
      <c r="MD9" s="247"/>
      <c r="ME9" s="247"/>
      <c r="MF9" s="247"/>
      <c r="MG9" s="247"/>
      <c r="MH9" s="247"/>
      <c r="MI9" s="247"/>
      <c r="MJ9" s="247"/>
      <c r="MK9" s="247"/>
      <c r="ML9" s="247"/>
      <c r="MM9" s="247"/>
      <c r="MN9" s="247"/>
      <c r="MO9" s="247"/>
      <c r="MP9" s="247"/>
      <c r="MQ9" s="247"/>
      <c r="MR9" s="247"/>
      <c r="MS9" s="247"/>
      <c r="MT9" s="247"/>
      <c r="MU9" s="247"/>
      <c r="MV9" s="247"/>
      <c r="MW9" s="247"/>
      <c r="MX9" s="247"/>
      <c r="MY9" s="247"/>
      <c r="MZ9" s="247"/>
      <c r="NA9" s="247"/>
      <c r="NB9" s="247"/>
      <c r="NC9" s="247"/>
      <c r="ND9" s="247"/>
      <c r="NE9" s="247"/>
      <c r="NF9" s="247"/>
      <c r="NG9" s="247"/>
      <c r="NH9" s="247"/>
      <c r="NI9" s="247"/>
      <c r="NJ9" s="247"/>
      <c r="NK9" s="247"/>
      <c r="NL9" s="247"/>
      <c r="NM9" s="247"/>
      <c r="NN9" s="247"/>
      <c r="NO9" s="247"/>
      <c r="NP9" s="247"/>
      <c r="NQ9" s="247"/>
      <c r="NR9" s="247"/>
      <c r="NS9" s="247"/>
      <c r="NT9" s="247"/>
      <c r="NU9" s="247"/>
      <c r="NV9" s="247"/>
      <c r="NW9" s="247"/>
      <c r="NX9" s="247"/>
      <c r="NY9" s="247"/>
      <c r="NZ9" s="247"/>
      <c r="OA9" s="247"/>
      <c r="OB9" s="247"/>
      <c r="OC9" s="247"/>
      <c r="OD9" s="247"/>
      <c r="OE9" s="247"/>
      <c r="OF9" s="247"/>
      <c r="OG9" s="247"/>
      <c r="OH9" s="247"/>
      <c r="OI9" s="247"/>
      <c r="OJ9" s="247"/>
      <c r="OK9" s="247"/>
      <c r="OL9" s="247"/>
      <c r="OM9" s="247"/>
      <c r="ON9" s="247"/>
      <c r="OO9" s="247"/>
      <c r="OP9" s="247"/>
      <c r="OQ9" s="247"/>
      <c r="OR9" s="247"/>
      <c r="OS9" s="247"/>
      <c r="OT9" s="247"/>
      <c r="OU9" s="247"/>
      <c r="OV9" s="248"/>
      <c r="OW9" s="37"/>
      <c r="OX9" s="36"/>
      <c r="OY9" s="41"/>
      <c r="OZ9" s="41"/>
      <c r="PA9" s="41"/>
      <c r="PB9" s="41"/>
      <c r="PC9" s="40"/>
      <c r="PQ9" s="41"/>
      <c r="PR9" s="41"/>
      <c r="PS9" s="41"/>
      <c r="PT9" s="41"/>
      <c r="PU9" s="41"/>
      <c r="PV9" s="40"/>
    </row>
    <row r="10" spans="3:438" s="35" customFormat="1" ht="6.75" customHeight="1" x14ac:dyDescent="0.3">
      <c r="C10" s="39"/>
      <c r="D10" s="38"/>
      <c r="E10" s="24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7"/>
      <c r="LQ10" s="247"/>
      <c r="LR10" s="247"/>
      <c r="LS10" s="247"/>
      <c r="LT10" s="247"/>
      <c r="LU10" s="247"/>
      <c r="LV10" s="247"/>
      <c r="LW10" s="247"/>
      <c r="LX10" s="247"/>
      <c r="LY10" s="247"/>
      <c r="LZ10" s="247"/>
      <c r="MA10" s="247"/>
      <c r="MB10" s="247"/>
      <c r="MC10" s="247"/>
      <c r="MD10" s="247"/>
      <c r="ME10" s="247"/>
      <c r="MF10" s="247"/>
      <c r="MG10" s="247"/>
      <c r="MH10" s="247"/>
      <c r="MI10" s="247"/>
      <c r="MJ10" s="247"/>
      <c r="MK10" s="247"/>
      <c r="ML10" s="247"/>
      <c r="MM10" s="247"/>
      <c r="MN10" s="247"/>
      <c r="MO10" s="247"/>
      <c r="MP10" s="247"/>
      <c r="MQ10" s="247"/>
      <c r="MR10" s="247"/>
      <c r="MS10" s="247"/>
      <c r="MT10" s="247"/>
      <c r="MU10" s="247"/>
      <c r="MV10" s="247"/>
      <c r="MW10" s="247"/>
      <c r="MX10" s="247"/>
      <c r="MY10" s="247"/>
      <c r="MZ10" s="247"/>
      <c r="NA10" s="247"/>
      <c r="NB10" s="247"/>
      <c r="NC10" s="247"/>
      <c r="ND10" s="247"/>
      <c r="NE10" s="247"/>
      <c r="NF10" s="247"/>
      <c r="NG10" s="247"/>
      <c r="NH10" s="247"/>
      <c r="NI10" s="247"/>
      <c r="NJ10" s="247"/>
      <c r="NK10" s="247"/>
      <c r="NL10" s="247"/>
      <c r="NM10" s="247"/>
      <c r="NN10" s="247"/>
      <c r="NO10" s="247"/>
      <c r="NP10" s="247"/>
      <c r="NQ10" s="247"/>
      <c r="NR10" s="247"/>
      <c r="NS10" s="247"/>
      <c r="NT10" s="247"/>
      <c r="NU10" s="247"/>
      <c r="NV10" s="247"/>
      <c r="NW10" s="247"/>
      <c r="NX10" s="247"/>
      <c r="NY10" s="247"/>
      <c r="NZ10" s="247"/>
      <c r="OA10" s="247"/>
      <c r="OB10" s="247"/>
      <c r="OC10" s="247"/>
      <c r="OD10" s="247"/>
      <c r="OE10" s="247"/>
      <c r="OF10" s="247"/>
      <c r="OG10" s="247"/>
      <c r="OH10" s="247"/>
      <c r="OI10" s="247"/>
      <c r="OJ10" s="247"/>
      <c r="OK10" s="247"/>
      <c r="OL10" s="247"/>
      <c r="OM10" s="247"/>
      <c r="ON10" s="247"/>
      <c r="OO10" s="247"/>
      <c r="OP10" s="247"/>
      <c r="OQ10" s="247"/>
      <c r="OR10" s="247"/>
      <c r="OS10" s="247"/>
      <c r="OT10" s="247"/>
      <c r="OU10" s="247"/>
      <c r="OV10" s="248"/>
      <c r="OW10" s="37"/>
      <c r="OX10" s="36"/>
      <c r="OY10" s="41"/>
      <c r="OZ10" s="41"/>
      <c r="PA10" s="41"/>
      <c r="PB10" s="41"/>
      <c r="PC10" s="40"/>
      <c r="PQ10" s="41"/>
      <c r="PR10" s="41"/>
      <c r="PS10" s="41"/>
      <c r="PT10" s="41"/>
      <c r="PU10" s="41"/>
      <c r="PV10" s="40"/>
    </row>
    <row r="11" spans="3:438" s="35" customFormat="1" ht="6.75" customHeight="1" x14ac:dyDescent="0.3">
      <c r="C11" s="39"/>
      <c r="D11" s="38"/>
      <c r="E11" s="246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7"/>
      <c r="LQ11" s="247"/>
      <c r="LR11" s="247"/>
      <c r="LS11" s="247"/>
      <c r="LT11" s="247"/>
      <c r="LU11" s="247"/>
      <c r="LV11" s="247"/>
      <c r="LW11" s="247"/>
      <c r="LX11" s="247"/>
      <c r="LY11" s="247"/>
      <c r="LZ11" s="247"/>
      <c r="MA11" s="247"/>
      <c r="MB11" s="247"/>
      <c r="MC11" s="247"/>
      <c r="MD11" s="247"/>
      <c r="ME11" s="247"/>
      <c r="MF11" s="247"/>
      <c r="MG11" s="247"/>
      <c r="MH11" s="247"/>
      <c r="MI11" s="247"/>
      <c r="MJ11" s="247"/>
      <c r="MK11" s="247"/>
      <c r="ML11" s="247"/>
      <c r="MM11" s="247"/>
      <c r="MN11" s="247"/>
      <c r="MO11" s="247"/>
      <c r="MP11" s="247"/>
      <c r="MQ11" s="247"/>
      <c r="MR11" s="247"/>
      <c r="MS11" s="247"/>
      <c r="MT11" s="247"/>
      <c r="MU11" s="247"/>
      <c r="MV11" s="247"/>
      <c r="MW11" s="247"/>
      <c r="MX11" s="247"/>
      <c r="MY11" s="247"/>
      <c r="MZ11" s="247"/>
      <c r="NA11" s="247"/>
      <c r="NB11" s="247"/>
      <c r="NC11" s="247"/>
      <c r="ND11" s="247"/>
      <c r="NE11" s="247"/>
      <c r="NF11" s="247"/>
      <c r="NG11" s="247"/>
      <c r="NH11" s="247"/>
      <c r="NI11" s="247"/>
      <c r="NJ11" s="247"/>
      <c r="NK11" s="247"/>
      <c r="NL11" s="247"/>
      <c r="NM11" s="247"/>
      <c r="NN11" s="247"/>
      <c r="NO11" s="247"/>
      <c r="NP11" s="247"/>
      <c r="NQ11" s="247"/>
      <c r="NR11" s="247"/>
      <c r="NS11" s="247"/>
      <c r="NT11" s="247"/>
      <c r="NU11" s="247"/>
      <c r="NV11" s="247"/>
      <c r="NW11" s="247"/>
      <c r="NX11" s="247"/>
      <c r="NY11" s="247"/>
      <c r="NZ11" s="247"/>
      <c r="OA11" s="247"/>
      <c r="OB11" s="247"/>
      <c r="OC11" s="247"/>
      <c r="OD11" s="247"/>
      <c r="OE11" s="247"/>
      <c r="OF11" s="247"/>
      <c r="OG11" s="247"/>
      <c r="OH11" s="247"/>
      <c r="OI11" s="247"/>
      <c r="OJ11" s="247"/>
      <c r="OK11" s="247"/>
      <c r="OL11" s="247"/>
      <c r="OM11" s="247"/>
      <c r="ON11" s="247"/>
      <c r="OO11" s="247"/>
      <c r="OP11" s="247"/>
      <c r="OQ11" s="247"/>
      <c r="OR11" s="247"/>
      <c r="OS11" s="247"/>
      <c r="OT11" s="247"/>
      <c r="OU11" s="247"/>
      <c r="OV11" s="248"/>
      <c r="OW11" s="37"/>
      <c r="OX11" s="36"/>
    </row>
    <row r="12" spans="3:438" s="35" customFormat="1" ht="6.75" customHeight="1" x14ac:dyDescent="0.3">
      <c r="C12" s="39"/>
      <c r="D12" s="38"/>
      <c r="E12" s="246" t="s">
        <v>17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7"/>
      <c r="LQ12" s="247"/>
      <c r="LR12" s="247"/>
      <c r="LS12" s="247"/>
      <c r="LT12" s="247"/>
      <c r="LU12" s="247"/>
      <c r="LV12" s="247"/>
      <c r="LW12" s="247"/>
      <c r="LX12" s="247"/>
      <c r="LY12" s="247"/>
      <c r="LZ12" s="247"/>
      <c r="MA12" s="247"/>
      <c r="MB12" s="247"/>
      <c r="MC12" s="247"/>
      <c r="MD12" s="247"/>
      <c r="ME12" s="247"/>
      <c r="MF12" s="247"/>
      <c r="MG12" s="247"/>
      <c r="MH12" s="247"/>
      <c r="MI12" s="247"/>
      <c r="MJ12" s="247"/>
      <c r="MK12" s="247"/>
      <c r="ML12" s="247"/>
      <c r="MM12" s="247"/>
      <c r="MN12" s="247"/>
      <c r="MO12" s="247"/>
      <c r="MP12" s="247"/>
      <c r="MQ12" s="247"/>
      <c r="MR12" s="247"/>
      <c r="MS12" s="247"/>
      <c r="MT12" s="247"/>
      <c r="MU12" s="247"/>
      <c r="MV12" s="247"/>
      <c r="MW12" s="247"/>
      <c r="MX12" s="247"/>
      <c r="MY12" s="247"/>
      <c r="MZ12" s="247"/>
      <c r="NA12" s="247"/>
      <c r="NB12" s="247"/>
      <c r="NC12" s="247"/>
      <c r="ND12" s="247"/>
      <c r="NE12" s="247"/>
      <c r="NF12" s="247"/>
      <c r="NG12" s="247"/>
      <c r="NH12" s="247"/>
      <c r="NI12" s="247"/>
      <c r="NJ12" s="247"/>
      <c r="NK12" s="247"/>
      <c r="NL12" s="247"/>
      <c r="NM12" s="247"/>
      <c r="NN12" s="247"/>
      <c r="NO12" s="247"/>
      <c r="NP12" s="247"/>
      <c r="NQ12" s="247"/>
      <c r="NR12" s="247"/>
      <c r="NS12" s="247"/>
      <c r="NT12" s="247"/>
      <c r="NU12" s="247"/>
      <c r="NV12" s="247"/>
      <c r="NW12" s="247"/>
      <c r="NX12" s="247"/>
      <c r="NY12" s="247"/>
      <c r="NZ12" s="247"/>
      <c r="OA12" s="247"/>
      <c r="OB12" s="247"/>
      <c r="OC12" s="247"/>
      <c r="OD12" s="247"/>
      <c r="OE12" s="247"/>
      <c r="OF12" s="247"/>
      <c r="OG12" s="247"/>
      <c r="OH12" s="247"/>
      <c r="OI12" s="247"/>
      <c r="OJ12" s="247"/>
      <c r="OK12" s="247"/>
      <c r="OL12" s="247"/>
      <c r="OM12" s="247"/>
      <c r="ON12" s="247"/>
      <c r="OO12" s="247"/>
      <c r="OP12" s="247"/>
      <c r="OQ12" s="247"/>
      <c r="OR12" s="247"/>
      <c r="OS12" s="247"/>
      <c r="OT12" s="247"/>
      <c r="OU12" s="247"/>
      <c r="OV12" s="248"/>
      <c r="OW12" s="37"/>
      <c r="OX12" s="36"/>
    </row>
    <row r="13" spans="3:438" s="35" customFormat="1" ht="6.75" customHeight="1" x14ac:dyDescent="0.3">
      <c r="C13" s="39"/>
      <c r="D13" s="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7"/>
      <c r="LQ13" s="247"/>
      <c r="LR13" s="247"/>
      <c r="LS13" s="247"/>
      <c r="LT13" s="247"/>
      <c r="LU13" s="247"/>
      <c r="LV13" s="247"/>
      <c r="LW13" s="247"/>
      <c r="LX13" s="247"/>
      <c r="LY13" s="247"/>
      <c r="LZ13" s="247"/>
      <c r="MA13" s="247"/>
      <c r="MB13" s="247"/>
      <c r="MC13" s="247"/>
      <c r="MD13" s="247"/>
      <c r="ME13" s="247"/>
      <c r="MF13" s="247"/>
      <c r="MG13" s="247"/>
      <c r="MH13" s="247"/>
      <c r="MI13" s="247"/>
      <c r="MJ13" s="247"/>
      <c r="MK13" s="247"/>
      <c r="ML13" s="247"/>
      <c r="MM13" s="247"/>
      <c r="MN13" s="247"/>
      <c r="MO13" s="247"/>
      <c r="MP13" s="247"/>
      <c r="MQ13" s="247"/>
      <c r="MR13" s="247"/>
      <c r="MS13" s="247"/>
      <c r="MT13" s="247"/>
      <c r="MU13" s="247"/>
      <c r="MV13" s="247"/>
      <c r="MW13" s="247"/>
      <c r="MX13" s="247"/>
      <c r="MY13" s="247"/>
      <c r="MZ13" s="247"/>
      <c r="NA13" s="247"/>
      <c r="NB13" s="247"/>
      <c r="NC13" s="247"/>
      <c r="ND13" s="247"/>
      <c r="NE13" s="247"/>
      <c r="NF13" s="247"/>
      <c r="NG13" s="247"/>
      <c r="NH13" s="247"/>
      <c r="NI13" s="247"/>
      <c r="NJ13" s="247"/>
      <c r="NK13" s="247"/>
      <c r="NL13" s="247"/>
      <c r="NM13" s="247"/>
      <c r="NN13" s="247"/>
      <c r="NO13" s="247"/>
      <c r="NP13" s="247"/>
      <c r="NQ13" s="247"/>
      <c r="NR13" s="247"/>
      <c r="NS13" s="247"/>
      <c r="NT13" s="247"/>
      <c r="NU13" s="247"/>
      <c r="NV13" s="247"/>
      <c r="NW13" s="247"/>
      <c r="NX13" s="247"/>
      <c r="NY13" s="247"/>
      <c r="NZ13" s="247"/>
      <c r="OA13" s="247"/>
      <c r="OB13" s="247"/>
      <c r="OC13" s="247"/>
      <c r="OD13" s="247"/>
      <c r="OE13" s="247"/>
      <c r="OF13" s="247"/>
      <c r="OG13" s="247"/>
      <c r="OH13" s="247"/>
      <c r="OI13" s="247"/>
      <c r="OJ13" s="247"/>
      <c r="OK13" s="247"/>
      <c r="OL13" s="247"/>
      <c r="OM13" s="247"/>
      <c r="ON13" s="247"/>
      <c r="OO13" s="247"/>
      <c r="OP13" s="247"/>
      <c r="OQ13" s="247"/>
      <c r="OR13" s="247"/>
      <c r="OS13" s="247"/>
      <c r="OT13" s="247"/>
      <c r="OU13" s="247"/>
      <c r="OV13" s="248"/>
      <c r="OW13" s="37"/>
      <c r="OX13" s="36"/>
    </row>
    <row r="14" spans="3:438" s="35" customFormat="1" ht="6.75" customHeight="1" x14ac:dyDescent="0.3">
      <c r="C14" s="39"/>
      <c r="D14" s="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7"/>
      <c r="LQ14" s="247"/>
      <c r="LR14" s="247"/>
      <c r="LS14" s="247"/>
      <c r="LT14" s="247"/>
      <c r="LU14" s="247"/>
      <c r="LV14" s="247"/>
      <c r="LW14" s="247"/>
      <c r="LX14" s="247"/>
      <c r="LY14" s="247"/>
      <c r="LZ14" s="247"/>
      <c r="MA14" s="247"/>
      <c r="MB14" s="247"/>
      <c r="MC14" s="247"/>
      <c r="MD14" s="247"/>
      <c r="ME14" s="247"/>
      <c r="MF14" s="247"/>
      <c r="MG14" s="247"/>
      <c r="MH14" s="247"/>
      <c r="MI14" s="247"/>
      <c r="MJ14" s="247"/>
      <c r="MK14" s="247"/>
      <c r="ML14" s="247"/>
      <c r="MM14" s="247"/>
      <c r="MN14" s="247"/>
      <c r="MO14" s="247"/>
      <c r="MP14" s="247"/>
      <c r="MQ14" s="247"/>
      <c r="MR14" s="247"/>
      <c r="MS14" s="247"/>
      <c r="MT14" s="247"/>
      <c r="MU14" s="247"/>
      <c r="MV14" s="247"/>
      <c r="MW14" s="247"/>
      <c r="MX14" s="247"/>
      <c r="MY14" s="247"/>
      <c r="MZ14" s="247"/>
      <c r="NA14" s="247"/>
      <c r="NB14" s="247"/>
      <c r="NC14" s="247"/>
      <c r="ND14" s="247"/>
      <c r="NE14" s="247"/>
      <c r="NF14" s="247"/>
      <c r="NG14" s="247"/>
      <c r="NH14" s="247"/>
      <c r="NI14" s="247"/>
      <c r="NJ14" s="247"/>
      <c r="NK14" s="247"/>
      <c r="NL14" s="247"/>
      <c r="NM14" s="247"/>
      <c r="NN14" s="247"/>
      <c r="NO14" s="247"/>
      <c r="NP14" s="247"/>
      <c r="NQ14" s="247"/>
      <c r="NR14" s="247"/>
      <c r="NS14" s="247"/>
      <c r="NT14" s="247"/>
      <c r="NU14" s="247"/>
      <c r="NV14" s="247"/>
      <c r="NW14" s="247"/>
      <c r="NX14" s="247"/>
      <c r="NY14" s="247"/>
      <c r="NZ14" s="247"/>
      <c r="OA14" s="247"/>
      <c r="OB14" s="247"/>
      <c r="OC14" s="247"/>
      <c r="OD14" s="247"/>
      <c r="OE14" s="247"/>
      <c r="OF14" s="247"/>
      <c r="OG14" s="247"/>
      <c r="OH14" s="247"/>
      <c r="OI14" s="247"/>
      <c r="OJ14" s="247"/>
      <c r="OK14" s="247"/>
      <c r="OL14" s="247"/>
      <c r="OM14" s="247"/>
      <c r="ON14" s="247"/>
      <c r="OO14" s="247"/>
      <c r="OP14" s="247"/>
      <c r="OQ14" s="247"/>
      <c r="OR14" s="247"/>
      <c r="OS14" s="247"/>
      <c r="OT14" s="247"/>
      <c r="OU14" s="247"/>
      <c r="OV14" s="248"/>
      <c r="OW14" s="37"/>
      <c r="OX14" s="36"/>
    </row>
    <row r="15" spans="3:438" s="35" customFormat="1" ht="6.75" customHeight="1" thickBot="1" x14ac:dyDescent="0.35">
      <c r="C15" s="39"/>
      <c r="D15" s="38"/>
      <c r="E15" s="249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  <c r="HK15" s="250"/>
      <c r="HL15" s="250"/>
      <c r="HM15" s="250"/>
      <c r="HN15" s="250"/>
      <c r="HO15" s="250"/>
      <c r="HP15" s="250"/>
      <c r="HQ15" s="250"/>
      <c r="HR15" s="250"/>
      <c r="HS15" s="250"/>
      <c r="HT15" s="250"/>
      <c r="HU15" s="250"/>
      <c r="HV15" s="250"/>
      <c r="HW15" s="250"/>
      <c r="HX15" s="250"/>
      <c r="HY15" s="250"/>
      <c r="HZ15" s="250"/>
      <c r="IA15" s="250"/>
      <c r="IB15" s="250"/>
      <c r="IC15" s="250"/>
      <c r="ID15" s="250"/>
      <c r="IE15" s="250"/>
      <c r="IF15" s="250"/>
      <c r="IG15" s="250"/>
      <c r="IH15" s="250"/>
      <c r="II15" s="250"/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F15" s="250"/>
      <c r="KG15" s="250"/>
      <c r="KH15" s="250"/>
      <c r="KI15" s="250"/>
      <c r="KJ15" s="250"/>
      <c r="KK15" s="250"/>
      <c r="KL15" s="250"/>
      <c r="KM15" s="250"/>
      <c r="KN15" s="250"/>
      <c r="KO15" s="250"/>
      <c r="KP15" s="250"/>
      <c r="KQ15" s="250"/>
      <c r="KR15" s="250"/>
      <c r="KS15" s="250"/>
      <c r="KT15" s="250"/>
      <c r="KU15" s="250"/>
      <c r="KV15" s="250"/>
      <c r="KW15" s="250"/>
      <c r="KX15" s="250"/>
      <c r="KY15" s="250"/>
      <c r="KZ15" s="250"/>
      <c r="LA15" s="250"/>
      <c r="LB15" s="250"/>
      <c r="LC15" s="250"/>
      <c r="LD15" s="250"/>
      <c r="LE15" s="250"/>
      <c r="LF15" s="250"/>
      <c r="LG15" s="250"/>
      <c r="LH15" s="250"/>
      <c r="LI15" s="250"/>
      <c r="LJ15" s="250"/>
      <c r="LK15" s="250"/>
      <c r="LL15" s="250"/>
      <c r="LM15" s="250"/>
      <c r="LN15" s="250"/>
      <c r="LO15" s="250"/>
      <c r="LP15" s="250"/>
      <c r="LQ15" s="250"/>
      <c r="LR15" s="250"/>
      <c r="LS15" s="250"/>
      <c r="LT15" s="250"/>
      <c r="LU15" s="250"/>
      <c r="LV15" s="250"/>
      <c r="LW15" s="250"/>
      <c r="LX15" s="250"/>
      <c r="LY15" s="250"/>
      <c r="LZ15" s="250"/>
      <c r="MA15" s="250"/>
      <c r="MB15" s="250"/>
      <c r="MC15" s="250"/>
      <c r="MD15" s="250"/>
      <c r="ME15" s="250"/>
      <c r="MF15" s="250"/>
      <c r="MG15" s="250"/>
      <c r="MH15" s="250"/>
      <c r="MI15" s="250"/>
      <c r="MJ15" s="250"/>
      <c r="MK15" s="250"/>
      <c r="ML15" s="250"/>
      <c r="MM15" s="250"/>
      <c r="MN15" s="250"/>
      <c r="MO15" s="250"/>
      <c r="MP15" s="250"/>
      <c r="MQ15" s="250"/>
      <c r="MR15" s="250"/>
      <c r="MS15" s="250"/>
      <c r="MT15" s="250"/>
      <c r="MU15" s="250"/>
      <c r="MV15" s="250"/>
      <c r="MW15" s="250"/>
      <c r="MX15" s="250"/>
      <c r="MY15" s="250"/>
      <c r="MZ15" s="250"/>
      <c r="NA15" s="250"/>
      <c r="NB15" s="250"/>
      <c r="NC15" s="250"/>
      <c r="ND15" s="250"/>
      <c r="NE15" s="250"/>
      <c r="NF15" s="250"/>
      <c r="NG15" s="250"/>
      <c r="NH15" s="250"/>
      <c r="NI15" s="250"/>
      <c r="NJ15" s="250"/>
      <c r="NK15" s="250"/>
      <c r="NL15" s="250"/>
      <c r="NM15" s="250"/>
      <c r="NN15" s="250"/>
      <c r="NO15" s="250"/>
      <c r="NP15" s="250"/>
      <c r="NQ15" s="250"/>
      <c r="NR15" s="250"/>
      <c r="NS15" s="250"/>
      <c r="NT15" s="250"/>
      <c r="NU15" s="250"/>
      <c r="NV15" s="250"/>
      <c r="NW15" s="250"/>
      <c r="NX15" s="250"/>
      <c r="NY15" s="250"/>
      <c r="NZ15" s="250"/>
      <c r="OA15" s="250"/>
      <c r="OB15" s="250"/>
      <c r="OC15" s="250"/>
      <c r="OD15" s="250"/>
      <c r="OE15" s="250"/>
      <c r="OF15" s="250"/>
      <c r="OG15" s="250"/>
      <c r="OH15" s="250"/>
      <c r="OI15" s="250"/>
      <c r="OJ15" s="250"/>
      <c r="OK15" s="250"/>
      <c r="OL15" s="250"/>
      <c r="OM15" s="250"/>
      <c r="ON15" s="250"/>
      <c r="OO15" s="250"/>
      <c r="OP15" s="250"/>
      <c r="OQ15" s="250"/>
      <c r="OR15" s="250"/>
      <c r="OS15" s="250"/>
      <c r="OT15" s="250"/>
      <c r="OU15" s="250"/>
      <c r="OV15" s="251"/>
      <c r="OW15" s="37"/>
      <c r="OX15" s="36"/>
    </row>
    <row r="16" spans="3:438" ht="5.0999999999999996" customHeight="1" x14ac:dyDescent="0.3">
      <c r="C16" s="11"/>
      <c r="D16" s="1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12"/>
      <c r="OX16" s="7"/>
    </row>
    <row r="17" spans="3:414" ht="5.0999999999999996" customHeight="1" x14ac:dyDescent="0.3">
      <c r="C17" s="11"/>
      <c r="D17" s="1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12"/>
      <c r="OX17" s="7"/>
    </row>
    <row r="18" spans="3:414" ht="5.0999999999999996" customHeight="1" x14ac:dyDescent="0.3">
      <c r="C18" s="11"/>
      <c r="D18" s="1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W18" s="216" t="s">
        <v>61</v>
      </c>
      <c r="FX18" s="217"/>
      <c r="FY18" s="217"/>
      <c r="FZ18" s="217"/>
      <c r="GA18" s="217"/>
      <c r="GB18" s="217"/>
      <c r="GC18" s="217"/>
      <c r="GD18" s="217"/>
      <c r="GE18" s="217"/>
      <c r="GF18" s="217"/>
      <c r="GG18" s="217"/>
      <c r="GH18" s="217"/>
      <c r="GI18" s="217"/>
      <c r="GJ18" s="217"/>
      <c r="GK18" s="217"/>
      <c r="GL18" s="217"/>
      <c r="GM18" s="217"/>
      <c r="GN18" s="217"/>
      <c r="GO18" s="217"/>
      <c r="GP18" s="217"/>
      <c r="GQ18" s="217"/>
      <c r="GR18" s="217"/>
      <c r="GS18" s="217"/>
      <c r="GT18" s="217"/>
      <c r="GU18" s="217"/>
      <c r="GV18" s="217"/>
      <c r="GW18" s="217"/>
      <c r="GX18" s="217"/>
      <c r="GY18" s="217"/>
      <c r="GZ18" s="217"/>
      <c r="HA18" s="217"/>
      <c r="HB18" s="217"/>
      <c r="HC18" s="217"/>
      <c r="HD18" s="217"/>
      <c r="HE18" s="217"/>
      <c r="HF18" s="217"/>
      <c r="HG18" s="217"/>
      <c r="HH18" s="217"/>
      <c r="HI18" s="217"/>
      <c r="HJ18" s="217"/>
      <c r="HK18" s="252"/>
      <c r="HL18" s="255">
        <v>1</v>
      </c>
      <c r="HM18" s="255"/>
      <c r="HN18" s="255"/>
      <c r="HO18" s="255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12"/>
      <c r="OX18" s="7"/>
    </row>
    <row r="19" spans="3:414" ht="5.0999999999999996" customHeight="1" x14ac:dyDescent="0.3">
      <c r="C19" s="11"/>
      <c r="D19" s="1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W19" s="219"/>
      <c r="FX19" s="220"/>
      <c r="FY19" s="220"/>
      <c r="FZ19" s="220"/>
      <c r="GA19" s="220"/>
      <c r="GB19" s="220"/>
      <c r="GC19" s="220"/>
      <c r="GD19" s="220"/>
      <c r="GE19" s="220"/>
      <c r="GF19" s="220"/>
      <c r="GG19" s="220"/>
      <c r="GH19" s="220"/>
      <c r="GI19" s="220"/>
      <c r="GJ19" s="220"/>
      <c r="GK19" s="220"/>
      <c r="GL19" s="220"/>
      <c r="GM19" s="220"/>
      <c r="GN19" s="220"/>
      <c r="GO19" s="220"/>
      <c r="GP19" s="220"/>
      <c r="GQ19" s="220"/>
      <c r="GR19" s="220"/>
      <c r="GS19" s="220"/>
      <c r="GT19" s="220"/>
      <c r="GU19" s="220"/>
      <c r="GV19" s="220"/>
      <c r="GW19" s="220"/>
      <c r="GX19" s="220"/>
      <c r="GY19" s="220"/>
      <c r="GZ19" s="220"/>
      <c r="HA19" s="220"/>
      <c r="HB19" s="220"/>
      <c r="HC19" s="220"/>
      <c r="HD19" s="220"/>
      <c r="HE19" s="220"/>
      <c r="HF19" s="220"/>
      <c r="HG19" s="220"/>
      <c r="HH19" s="220"/>
      <c r="HI19" s="220"/>
      <c r="HJ19" s="220"/>
      <c r="HK19" s="253"/>
      <c r="HL19" s="255"/>
      <c r="HM19" s="255"/>
      <c r="HN19" s="255"/>
      <c r="HO19" s="255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12"/>
      <c r="OX19" s="7"/>
    </row>
    <row r="20" spans="3:414" ht="5.0999999999999996" customHeight="1" x14ac:dyDescent="0.3">
      <c r="C20" s="11"/>
      <c r="D20" s="1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W20" s="219"/>
      <c r="FX20" s="220"/>
      <c r="FY20" s="220"/>
      <c r="FZ20" s="220"/>
      <c r="GA20" s="220"/>
      <c r="GB20" s="220"/>
      <c r="GC20" s="220"/>
      <c r="GD20" s="220"/>
      <c r="GE20" s="220"/>
      <c r="GF20" s="220"/>
      <c r="GG20" s="220"/>
      <c r="GH20" s="220"/>
      <c r="GI20" s="220"/>
      <c r="GJ20" s="220"/>
      <c r="GK20" s="220"/>
      <c r="GL20" s="220"/>
      <c r="GM20" s="220"/>
      <c r="GN20" s="220"/>
      <c r="GO20" s="220"/>
      <c r="GP20" s="220"/>
      <c r="GQ20" s="220"/>
      <c r="GR20" s="220"/>
      <c r="GS20" s="220"/>
      <c r="GT20" s="220"/>
      <c r="GU20" s="220"/>
      <c r="GV20" s="220"/>
      <c r="GW20" s="220"/>
      <c r="GX20" s="220"/>
      <c r="GY20" s="220"/>
      <c r="GZ20" s="220"/>
      <c r="HA20" s="220"/>
      <c r="HB20" s="220"/>
      <c r="HC20" s="220"/>
      <c r="HD20" s="220"/>
      <c r="HE20" s="220"/>
      <c r="HF20" s="220"/>
      <c r="HG20" s="220"/>
      <c r="HH20" s="220"/>
      <c r="HI20" s="220"/>
      <c r="HJ20" s="220"/>
      <c r="HK20" s="253"/>
      <c r="HL20" s="255"/>
      <c r="HM20" s="255"/>
      <c r="HN20" s="255"/>
      <c r="HO20" s="255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12"/>
      <c r="OX20" s="7"/>
    </row>
    <row r="21" spans="3:414" ht="5.0999999999999996" customHeight="1" x14ac:dyDescent="0.3">
      <c r="C21" s="11"/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W21" s="219"/>
      <c r="FX21" s="220"/>
      <c r="FY21" s="220"/>
      <c r="FZ21" s="220"/>
      <c r="GA21" s="220"/>
      <c r="GB21" s="220"/>
      <c r="GC21" s="220"/>
      <c r="GD21" s="220"/>
      <c r="GE21" s="220"/>
      <c r="GF21" s="220"/>
      <c r="GG21" s="220"/>
      <c r="GH21" s="220"/>
      <c r="GI21" s="220"/>
      <c r="GJ21" s="220"/>
      <c r="GK21" s="220"/>
      <c r="GL21" s="220"/>
      <c r="GM21" s="220"/>
      <c r="GN21" s="220"/>
      <c r="GO21" s="220"/>
      <c r="GP21" s="220"/>
      <c r="GQ21" s="220"/>
      <c r="GR21" s="220"/>
      <c r="GS21" s="220"/>
      <c r="GT21" s="220"/>
      <c r="GU21" s="220"/>
      <c r="GV21" s="220"/>
      <c r="GW21" s="220"/>
      <c r="GX21" s="220"/>
      <c r="GY21" s="220"/>
      <c r="GZ21" s="220"/>
      <c r="HA21" s="220"/>
      <c r="HB21" s="220"/>
      <c r="HC21" s="220"/>
      <c r="HD21" s="220"/>
      <c r="HE21" s="220"/>
      <c r="HF21" s="220"/>
      <c r="HG21" s="220"/>
      <c r="HH21" s="220"/>
      <c r="HI21" s="220"/>
      <c r="HJ21" s="220"/>
      <c r="HK21" s="253"/>
      <c r="HL21" s="255"/>
      <c r="HM21" s="255"/>
      <c r="HN21" s="255"/>
      <c r="HO21" s="255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12"/>
      <c r="OX21" s="7"/>
    </row>
    <row r="22" spans="3:414" ht="5.0999999999999996" customHeight="1" x14ac:dyDescent="0.3">
      <c r="C22" s="11"/>
      <c r="D22" s="1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W22" s="219"/>
      <c r="FX22" s="220"/>
      <c r="FY22" s="220"/>
      <c r="FZ22" s="220"/>
      <c r="GA22" s="220"/>
      <c r="GB22" s="220"/>
      <c r="GC22" s="220"/>
      <c r="GD22" s="220"/>
      <c r="GE22" s="220"/>
      <c r="GF22" s="220"/>
      <c r="GG22" s="220"/>
      <c r="GH22" s="220"/>
      <c r="GI22" s="220"/>
      <c r="GJ22" s="220"/>
      <c r="GK22" s="220"/>
      <c r="GL22" s="220"/>
      <c r="GM22" s="220"/>
      <c r="GN22" s="220"/>
      <c r="GO22" s="220"/>
      <c r="GP22" s="220"/>
      <c r="GQ22" s="220"/>
      <c r="GR22" s="220"/>
      <c r="GS22" s="220"/>
      <c r="GT22" s="220"/>
      <c r="GU22" s="220"/>
      <c r="GV22" s="220"/>
      <c r="GW22" s="220"/>
      <c r="GX22" s="220"/>
      <c r="GY22" s="220"/>
      <c r="GZ22" s="220"/>
      <c r="HA22" s="220"/>
      <c r="HB22" s="220"/>
      <c r="HC22" s="220"/>
      <c r="HD22" s="220"/>
      <c r="HE22" s="220"/>
      <c r="HF22" s="220"/>
      <c r="HG22" s="220"/>
      <c r="HH22" s="220"/>
      <c r="HI22" s="220"/>
      <c r="HJ22" s="220"/>
      <c r="HK22" s="253"/>
      <c r="HL22" s="255"/>
      <c r="HM22" s="255"/>
      <c r="HN22" s="255"/>
      <c r="HO22" s="255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12"/>
      <c r="OX22" s="7"/>
    </row>
    <row r="23" spans="3:414" ht="5.0999999999999996" customHeight="1" x14ac:dyDescent="0.3">
      <c r="C23" s="11"/>
      <c r="D23" s="1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W23" s="219"/>
      <c r="FX23" s="220"/>
      <c r="FY23" s="220"/>
      <c r="FZ23" s="220"/>
      <c r="GA23" s="220"/>
      <c r="GB23" s="220"/>
      <c r="GC23" s="220"/>
      <c r="GD23" s="220"/>
      <c r="GE23" s="220"/>
      <c r="GF23" s="220"/>
      <c r="GG23" s="220"/>
      <c r="GH23" s="220"/>
      <c r="GI23" s="220"/>
      <c r="GJ23" s="220"/>
      <c r="GK23" s="220"/>
      <c r="GL23" s="220"/>
      <c r="GM23" s="220"/>
      <c r="GN23" s="220"/>
      <c r="GO23" s="220"/>
      <c r="GP23" s="220"/>
      <c r="GQ23" s="220"/>
      <c r="GR23" s="220"/>
      <c r="GS23" s="220"/>
      <c r="GT23" s="220"/>
      <c r="GU23" s="220"/>
      <c r="GV23" s="220"/>
      <c r="GW23" s="220"/>
      <c r="GX23" s="220"/>
      <c r="GY23" s="220"/>
      <c r="GZ23" s="220"/>
      <c r="HA23" s="220"/>
      <c r="HB23" s="220"/>
      <c r="HC23" s="220"/>
      <c r="HD23" s="220"/>
      <c r="HE23" s="220"/>
      <c r="HF23" s="220"/>
      <c r="HG23" s="220"/>
      <c r="HH23" s="220"/>
      <c r="HI23" s="220"/>
      <c r="HJ23" s="220"/>
      <c r="HK23" s="253"/>
      <c r="HL23" s="255"/>
      <c r="HM23" s="255"/>
      <c r="HN23" s="255"/>
      <c r="HO23" s="255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12"/>
      <c r="OX23" s="7"/>
    </row>
    <row r="24" spans="3:414" ht="5.0999999999999996" customHeight="1" x14ac:dyDescent="0.3">
      <c r="C24" s="11"/>
      <c r="D24" s="1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W24" s="219"/>
      <c r="FX24" s="220"/>
      <c r="FY24" s="220"/>
      <c r="FZ24" s="220"/>
      <c r="GA24" s="220"/>
      <c r="GB24" s="220"/>
      <c r="GC24" s="220"/>
      <c r="GD24" s="220"/>
      <c r="GE24" s="220"/>
      <c r="GF24" s="220"/>
      <c r="GG24" s="220"/>
      <c r="GH24" s="220"/>
      <c r="GI24" s="220"/>
      <c r="GJ24" s="220"/>
      <c r="GK24" s="220"/>
      <c r="GL24" s="220"/>
      <c r="GM24" s="220"/>
      <c r="GN24" s="220"/>
      <c r="GO24" s="220"/>
      <c r="GP24" s="220"/>
      <c r="GQ24" s="220"/>
      <c r="GR24" s="220"/>
      <c r="GS24" s="220"/>
      <c r="GT24" s="220"/>
      <c r="GU24" s="220"/>
      <c r="GV24" s="220"/>
      <c r="GW24" s="220"/>
      <c r="GX24" s="220"/>
      <c r="GY24" s="220"/>
      <c r="GZ24" s="220"/>
      <c r="HA24" s="220"/>
      <c r="HB24" s="220"/>
      <c r="HC24" s="220"/>
      <c r="HD24" s="220"/>
      <c r="HE24" s="220"/>
      <c r="HF24" s="220"/>
      <c r="HG24" s="220"/>
      <c r="HH24" s="220"/>
      <c r="HI24" s="220"/>
      <c r="HJ24" s="220"/>
      <c r="HK24" s="253"/>
      <c r="HL24" s="255"/>
      <c r="HM24" s="255"/>
      <c r="HN24" s="255"/>
      <c r="HO24" s="255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156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12"/>
      <c r="OX24" s="7"/>
    </row>
    <row r="25" spans="3:414" ht="5.0999999999999996" customHeight="1" x14ac:dyDescent="0.3">
      <c r="C25" s="11"/>
      <c r="D25" s="1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FW25" s="219"/>
      <c r="FX25" s="220"/>
      <c r="FY25" s="220"/>
      <c r="FZ25" s="220"/>
      <c r="GA25" s="220"/>
      <c r="GB25" s="220"/>
      <c r="GC25" s="220"/>
      <c r="GD25" s="220"/>
      <c r="GE25" s="220"/>
      <c r="GF25" s="220"/>
      <c r="GG25" s="220"/>
      <c r="GH25" s="220"/>
      <c r="GI25" s="220"/>
      <c r="GJ25" s="220"/>
      <c r="GK25" s="220"/>
      <c r="GL25" s="220"/>
      <c r="GM25" s="220"/>
      <c r="GN25" s="220"/>
      <c r="GO25" s="220"/>
      <c r="GP25" s="220"/>
      <c r="GQ25" s="220"/>
      <c r="GR25" s="220"/>
      <c r="GS25" s="220"/>
      <c r="GT25" s="220"/>
      <c r="GU25" s="220"/>
      <c r="GV25" s="220"/>
      <c r="GW25" s="220"/>
      <c r="GX25" s="220"/>
      <c r="GY25" s="220"/>
      <c r="GZ25" s="220"/>
      <c r="HA25" s="220"/>
      <c r="HB25" s="220"/>
      <c r="HC25" s="220"/>
      <c r="HD25" s="220"/>
      <c r="HE25" s="220"/>
      <c r="HF25" s="220"/>
      <c r="HG25" s="220"/>
      <c r="HH25" s="220"/>
      <c r="HI25" s="220"/>
      <c r="HJ25" s="220"/>
      <c r="HK25" s="253"/>
      <c r="HL25" s="255"/>
      <c r="HM25" s="255"/>
      <c r="HN25" s="255"/>
      <c r="HO25" s="255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156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12"/>
      <c r="OX25" s="7"/>
    </row>
    <row r="26" spans="3:414" ht="5.0999999999999996" customHeight="1" x14ac:dyDescent="0.3">
      <c r="C26" s="11"/>
      <c r="D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FW26" s="222"/>
      <c r="FX26" s="223"/>
      <c r="FY26" s="223"/>
      <c r="FZ26" s="223"/>
      <c r="GA26" s="223"/>
      <c r="GB26" s="223"/>
      <c r="GC26" s="223"/>
      <c r="GD26" s="223"/>
      <c r="GE26" s="223"/>
      <c r="GF26" s="223"/>
      <c r="GG26" s="223"/>
      <c r="GH26" s="223"/>
      <c r="GI26" s="223"/>
      <c r="GJ26" s="223"/>
      <c r="GK26" s="223"/>
      <c r="GL26" s="223"/>
      <c r="GM26" s="223"/>
      <c r="GN26" s="223"/>
      <c r="GO26" s="223"/>
      <c r="GP26" s="223"/>
      <c r="GQ26" s="223"/>
      <c r="GR26" s="223"/>
      <c r="GS26" s="223"/>
      <c r="GT26" s="223"/>
      <c r="GU26" s="223"/>
      <c r="GV26" s="223"/>
      <c r="GW26" s="223"/>
      <c r="GX26" s="223"/>
      <c r="GY26" s="223"/>
      <c r="GZ26" s="223"/>
      <c r="HA26" s="223"/>
      <c r="HB26" s="223"/>
      <c r="HC26" s="223"/>
      <c r="HD26" s="223"/>
      <c r="HE26" s="223"/>
      <c r="HF26" s="223"/>
      <c r="HG26" s="223"/>
      <c r="HH26" s="223"/>
      <c r="HI26" s="223"/>
      <c r="HJ26" s="223"/>
      <c r="HK26" s="254"/>
      <c r="HL26" s="255"/>
      <c r="HM26" s="255"/>
      <c r="HN26" s="255"/>
      <c r="HO26" s="255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156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12"/>
      <c r="OX26" s="7"/>
    </row>
    <row r="27" spans="3:414" ht="5.0999999999999996" customHeight="1" x14ac:dyDescent="0.3">
      <c r="C27" s="11"/>
      <c r="D27" s="1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4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156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12"/>
      <c r="OX27" s="7"/>
    </row>
    <row r="28" spans="3:414" ht="5.0999999999999996" customHeight="1" x14ac:dyDescent="0.3">
      <c r="C28" s="11"/>
      <c r="D28" s="13"/>
      <c r="E28" s="33"/>
      <c r="F28" s="33"/>
      <c r="G28" s="33"/>
      <c r="H28" s="33"/>
      <c r="I28" s="33"/>
      <c r="J28" s="33"/>
      <c r="K28" s="33"/>
      <c r="L28" s="33"/>
      <c r="M28" s="33"/>
      <c r="AP28" s="33"/>
      <c r="AQ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4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156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12"/>
      <c r="OX28" s="7"/>
    </row>
    <row r="29" spans="3:414" ht="5.0999999999999996" customHeight="1" x14ac:dyDescent="0.3">
      <c r="C29" s="11"/>
      <c r="D29" s="1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16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ID29" s="32"/>
      <c r="IE29" s="32"/>
      <c r="LU29" s="155"/>
      <c r="OW29" s="12"/>
      <c r="OX29" s="7"/>
    </row>
    <row r="30" spans="3:414" ht="5.0999999999999996" customHeight="1" x14ac:dyDescent="0.3">
      <c r="C30" s="11"/>
      <c r="D30" s="1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16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ID30" s="32"/>
      <c r="IE30" s="32"/>
      <c r="LU30" s="155"/>
      <c r="OW30" s="12"/>
      <c r="OX30" s="7"/>
    </row>
    <row r="31" spans="3:414" ht="5.0999999999999996" customHeight="1" x14ac:dyDescent="0.3">
      <c r="C31" s="11"/>
      <c r="D31" s="1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16"/>
      <c r="LU31" s="155"/>
      <c r="OW31" s="12"/>
      <c r="OX31" s="7"/>
    </row>
    <row r="32" spans="3:414" ht="5.0999999999999996" customHeight="1" thickBot="1" x14ac:dyDescent="0.35">
      <c r="C32" s="11"/>
      <c r="D32" s="1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23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LU32" s="155"/>
      <c r="OW32" s="12"/>
      <c r="OX32" s="7"/>
    </row>
    <row r="33" spans="3:414" ht="5.0999999999999996" customHeight="1" x14ac:dyDescent="0.3">
      <c r="C33" s="11"/>
      <c r="D33" s="1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22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0"/>
      <c r="LU33" s="155"/>
      <c r="OW33" s="12"/>
      <c r="OX33" s="7"/>
    </row>
    <row r="34" spans="3:414" ht="5.0999999999999996" customHeight="1" x14ac:dyDescent="0.3">
      <c r="C34" s="11"/>
      <c r="D34" s="1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16"/>
      <c r="KO34" s="19"/>
      <c r="LU34" s="155"/>
      <c r="OW34" s="12"/>
      <c r="OX34" s="7"/>
    </row>
    <row r="35" spans="3:414" ht="5.0999999999999996" customHeight="1" x14ac:dyDescent="0.3">
      <c r="C35" s="11"/>
      <c r="D35" s="1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16"/>
      <c r="KO35" s="19"/>
      <c r="LU35" s="155"/>
      <c r="OW35" s="12"/>
      <c r="OX35" s="7"/>
    </row>
    <row r="36" spans="3:414" ht="3.75" customHeight="1" x14ac:dyDescent="0.3">
      <c r="C36" s="11"/>
      <c r="D36" s="13"/>
      <c r="GQ36" s="16"/>
      <c r="KO36" s="19"/>
      <c r="LU36" s="155"/>
      <c r="OW36" s="12"/>
      <c r="OX36" s="7"/>
    </row>
    <row r="37" spans="3:414" ht="5.0999999999999996" customHeight="1" x14ac:dyDescent="0.3">
      <c r="C37" s="11"/>
      <c r="D37" s="13"/>
      <c r="FW37" s="184" t="s">
        <v>57</v>
      </c>
      <c r="FX37" s="185"/>
      <c r="FY37" s="185"/>
      <c r="FZ37" s="185"/>
      <c r="GA37" s="185"/>
      <c r="GB37" s="185"/>
      <c r="GC37" s="185"/>
      <c r="GD37" s="185"/>
      <c r="GE37" s="185"/>
      <c r="GF37" s="185"/>
      <c r="GG37" s="185"/>
      <c r="GH37" s="185"/>
      <c r="GI37" s="185"/>
      <c r="GJ37" s="185"/>
      <c r="GK37" s="185"/>
      <c r="GL37" s="185"/>
      <c r="GM37" s="185"/>
      <c r="GN37" s="185"/>
      <c r="GO37" s="185"/>
      <c r="GP37" s="185"/>
      <c r="GQ37" s="185"/>
      <c r="GR37" s="185"/>
      <c r="GS37" s="185"/>
      <c r="GT37" s="185"/>
      <c r="GU37" s="185"/>
      <c r="GV37" s="185"/>
      <c r="GW37" s="185"/>
      <c r="GX37" s="185"/>
      <c r="GY37" s="185"/>
      <c r="GZ37" s="185"/>
      <c r="HA37" s="185"/>
      <c r="HB37" s="185"/>
      <c r="HC37" s="185"/>
      <c r="HD37" s="185"/>
      <c r="HE37" s="185"/>
      <c r="HF37" s="185"/>
      <c r="HG37" s="185"/>
      <c r="HH37" s="185"/>
      <c r="HI37" s="185"/>
      <c r="HJ37" s="185"/>
      <c r="HK37" s="263"/>
      <c r="HL37" s="256">
        <v>1</v>
      </c>
      <c r="HM37" s="257"/>
      <c r="HN37" s="257"/>
      <c r="HO37" s="258"/>
      <c r="JR37" s="256" t="s">
        <v>15</v>
      </c>
      <c r="JS37" s="257"/>
      <c r="JT37" s="257"/>
      <c r="JU37" s="257"/>
      <c r="JV37" s="257"/>
      <c r="JW37" s="257"/>
      <c r="JX37" s="257"/>
      <c r="JY37" s="257"/>
      <c r="JZ37" s="257"/>
      <c r="KA37" s="257"/>
      <c r="KB37" s="257"/>
      <c r="KC37" s="257"/>
      <c r="KD37" s="257"/>
      <c r="KE37" s="257"/>
      <c r="KF37" s="257"/>
      <c r="KG37" s="257"/>
      <c r="KH37" s="257"/>
      <c r="KI37" s="257"/>
      <c r="KJ37" s="257"/>
      <c r="KK37" s="257"/>
      <c r="KL37" s="257"/>
      <c r="KM37" s="257"/>
      <c r="KN37" s="257"/>
      <c r="KO37" s="257"/>
      <c r="KP37" s="257"/>
      <c r="KQ37" s="257"/>
      <c r="KR37" s="257"/>
      <c r="KS37" s="257"/>
      <c r="KT37" s="257"/>
      <c r="KU37" s="257"/>
      <c r="KV37" s="257"/>
      <c r="KW37" s="257"/>
      <c r="KX37" s="257"/>
      <c r="KY37" s="257"/>
      <c r="KZ37" s="257"/>
      <c r="LA37" s="257"/>
      <c r="LB37" s="257"/>
      <c r="LC37" s="257"/>
      <c r="LD37" s="257"/>
      <c r="LE37" s="257"/>
      <c r="LF37" s="258"/>
      <c r="LG37" s="255">
        <f>SUM(LG48)</f>
        <v>1</v>
      </c>
      <c r="LH37" s="255"/>
      <c r="LI37" s="255"/>
      <c r="LJ37" s="255"/>
      <c r="LK37" s="255"/>
      <c r="LL37" s="255"/>
      <c r="LU37" s="155"/>
      <c r="OW37" s="12"/>
      <c r="OX37" s="7"/>
    </row>
    <row r="38" spans="3:414" ht="5.0999999999999996" customHeight="1" x14ac:dyDescent="0.3">
      <c r="C38" s="11"/>
      <c r="D38" s="13"/>
      <c r="FW38" s="187"/>
      <c r="FX38" s="188"/>
      <c r="FY38" s="188"/>
      <c r="FZ38" s="188"/>
      <c r="GA38" s="188"/>
      <c r="GB38" s="188"/>
      <c r="GC38" s="188"/>
      <c r="GD38" s="188"/>
      <c r="GE38" s="188"/>
      <c r="GF38" s="188"/>
      <c r="GG38" s="188"/>
      <c r="GH38" s="188"/>
      <c r="GI38" s="188"/>
      <c r="GJ38" s="188"/>
      <c r="GK38" s="188"/>
      <c r="GL38" s="188"/>
      <c r="GM38" s="188"/>
      <c r="GN38" s="188"/>
      <c r="GO38" s="188"/>
      <c r="GP38" s="188"/>
      <c r="GQ38" s="188"/>
      <c r="GR38" s="188"/>
      <c r="GS38" s="188"/>
      <c r="GT38" s="188"/>
      <c r="GU38" s="188"/>
      <c r="GV38" s="188"/>
      <c r="GW38" s="188"/>
      <c r="GX38" s="188"/>
      <c r="GY38" s="188"/>
      <c r="GZ38" s="188"/>
      <c r="HA38" s="188"/>
      <c r="HB38" s="188"/>
      <c r="HC38" s="188"/>
      <c r="HD38" s="188"/>
      <c r="HE38" s="188"/>
      <c r="HF38" s="188"/>
      <c r="HG38" s="188"/>
      <c r="HH38" s="188"/>
      <c r="HI38" s="188"/>
      <c r="HJ38" s="188"/>
      <c r="HK38" s="238"/>
      <c r="HL38" s="259"/>
      <c r="HM38" s="220"/>
      <c r="HN38" s="220"/>
      <c r="HO38" s="253"/>
      <c r="JR38" s="259"/>
      <c r="JS38" s="220"/>
      <c r="JT38" s="220"/>
      <c r="JU38" s="220"/>
      <c r="JV38" s="220"/>
      <c r="JW38" s="220"/>
      <c r="JX38" s="220"/>
      <c r="JY38" s="220"/>
      <c r="JZ38" s="220"/>
      <c r="KA38" s="220"/>
      <c r="KB38" s="220"/>
      <c r="KC38" s="220"/>
      <c r="KD38" s="220"/>
      <c r="KE38" s="220"/>
      <c r="KF38" s="220"/>
      <c r="KG38" s="220"/>
      <c r="KH38" s="220"/>
      <c r="KI38" s="220"/>
      <c r="KJ38" s="220"/>
      <c r="KK38" s="220"/>
      <c r="KL38" s="220"/>
      <c r="KM38" s="220"/>
      <c r="KN38" s="220"/>
      <c r="KO38" s="220"/>
      <c r="KP38" s="220"/>
      <c r="KQ38" s="220"/>
      <c r="KR38" s="220"/>
      <c r="KS38" s="220"/>
      <c r="KT38" s="220"/>
      <c r="KU38" s="220"/>
      <c r="KV38" s="220"/>
      <c r="KW38" s="220"/>
      <c r="KX38" s="220"/>
      <c r="KY38" s="220"/>
      <c r="KZ38" s="220"/>
      <c r="LA38" s="220"/>
      <c r="LB38" s="220"/>
      <c r="LC38" s="220"/>
      <c r="LD38" s="220"/>
      <c r="LE38" s="220"/>
      <c r="LF38" s="253"/>
      <c r="LG38" s="255"/>
      <c r="LH38" s="255"/>
      <c r="LI38" s="255"/>
      <c r="LJ38" s="255"/>
      <c r="LK38" s="255"/>
      <c r="LL38" s="255"/>
      <c r="LU38" s="155"/>
      <c r="OW38" s="12"/>
      <c r="OX38" s="7"/>
    </row>
    <row r="39" spans="3:414" ht="5.0999999999999996" customHeight="1" x14ac:dyDescent="0.3">
      <c r="C39" s="11"/>
      <c r="D39" s="13"/>
      <c r="FW39" s="187"/>
      <c r="FX39" s="188"/>
      <c r="FY39" s="188"/>
      <c r="FZ39" s="188"/>
      <c r="GA39" s="188"/>
      <c r="GB39" s="188"/>
      <c r="GC39" s="188"/>
      <c r="GD39" s="188"/>
      <c r="GE39" s="188"/>
      <c r="GF39" s="188"/>
      <c r="GG39" s="188"/>
      <c r="GH39" s="188"/>
      <c r="GI39" s="188"/>
      <c r="GJ39" s="188"/>
      <c r="GK39" s="188"/>
      <c r="GL39" s="188"/>
      <c r="GM39" s="188"/>
      <c r="GN39" s="188"/>
      <c r="GO39" s="188"/>
      <c r="GP39" s="188"/>
      <c r="GQ39" s="188"/>
      <c r="GR39" s="188"/>
      <c r="GS39" s="188"/>
      <c r="GT39" s="188"/>
      <c r="GU39" s="188"/>
      <c r="GV39" s="188"/>
      <c r="GW39" s="188"/>
      <c r="GX39" s="188"/>
      <c r="GY39" s="188"/>
      <c r="GZ39" s="188"/>
      <c r="HA39" s="188"/>
      <c r="HB39" s="188"/>
      <c r="HC39" s="188"/>
      <c r="HD39" s="188"/>
      <c r="HE39" s="188"/>
      <c r="HF39" s="188"/>
      <c r="HG39" s="188"/>
      <c r="HH39" s="188"/>
      <c r="HI39" s="188"/>
      <c r="HJ39" s="188"/>
      <c r="HK39" s="238"/>
      <c r="HL39" s="259"/>
      <c r="HM39" s="220"/>
      <c r="HN39" s="220"/>
      <c r="HO39" s="253"/>
      <c r="JR39" s="259"/>
      <c r="JS39" s="220"/>
      <c r="JT39" s="220"/>
      <c r="JU39" s="220"/>
      <c r="JV39" s="220"/>
      <c r="JW39" s="220"/>
      <c r="JX39" s="220"/>
      <c r="JY39" s="220"/>
      <c r="JZ39" s="220"/>
      <c r="KA39" s="220"/>
      <c r="KB39" s="220"/>
      <c r="KC39" s="220"/>
      <c r="KD39" s="220"/>
      <c r="KE39" s="220"/>
      <c r="KF39" s="220"/>
      <c r="KG39" s="220"/>
      <c r="KH39" s="220"/>
      <c r="KI39" s="220"/>
      <c r="KJ39" s="220"/>
      <c r="KK39" s="220"/>
      <c r="KL39" s="220"/>
      <c r="KM39" s="220"/>
      <c r="KN39" s="220"/>
      <c r="KO39" s="220"/>
      <c r="KP39" s="220"/>
      <c r="KQ39" s="220"/>
      <c r="KR39" s="220"/>
      <c r="KS39" s="220"/>
      <c r="KT39" s="220"/>
      <c r="KU39" s="220"/>
      <c r="KV39" s="220"/>
      <c r="KW39" s="220"/>
      <c r="KX39" s="220"/>
      <c r="KY39" s="220"/>
      <c r="KZ39" s="220"/>
      <c r="LA39" s="220"/>
      <c r="LB39" s="220"/>
      <c r="LC39" s="220"/>
      <c r="LD39" s="220"/>
      <c r="LE39" s="220"/>
      <c r="LF39" s="253"/>
      <c r="LG39" s="255"/>
      <c r="LH39" s="255"/>
      <c r="LI39" s="255"/>
      <c r="LJ39" s="255"/>
      <c r="LK39" s="255"/>
      <c r="LL39" s="255"/>
      <c r="LU39" s="155"/>
      <c r="OW39" s="12"/>
      <c r="OX39" s="7"/>
    </row>
    <row r="40" spans="3:414" ht="5.0999999999999996" customHeight="1" x14ac:dyDescent="0.3">
      <c r="C40" s="11"/>
      <c r="D40" s="13"/>
      <c r="FW40" s="187"/>
      <c r="FX40" s="188"/>
      <c r="FY40" s="188"/>
      <c r="FZ40" s="188"/>
      <c r="GA40" s="188"/>
      <c r="GB40" s="188"/>
      <c r="GC40" s="188"/>
      <c r="GD40" s="188"/>
      <c r="GE40" s="188"/>
      <c r="GF40" s="188"/>
      <c r="GG40" s="188"/>
      <c r="GH40" s="188"/>
      <c r="GI40" s="188"/>
      <c r="GJ40" s="188"/>
      <c r="GK40" s="188"/>
      <c r="GL40" s="188"/>
      <c r="GM40" s="188"/>
      <c r="GN40" s="188"/>
      <c r="GO40" s="188"/>
      <c r="GP40" s="188"/>
      <c r="GQ40" s="188"/>
      <c r="GR40" s="188"/>
      <c r="GS40" s="188"/>
      <c r="GT40" s="188"/>
      <c r="GU40" s="188"/>
      <c r="GV40" s="188"/>
      <c r="GW40" s="188"/>
      <c r="GX40" s="188"/>
      <c r="GY40" s="188"/>
      <c r="GZ40" s="188"/>
      <c r="HA40" s="188"/>
      <c r="HB40" s="188"/>
      <c r="HC40" s="188"/>
      <c r="HD40" s="188"/>
      <c r="HE40" s="188"/>
      <c r="HF40" s="188"/>
      <c r="HG40" s="188"/>
      <c r="HH40" s="188"/>
      <c r="HI40" s="188"/>
      <c r="HJ40" s="188"/>
      <c r="HK40" s="238"/>
      <c r="HL40" s="259"/>
      <c r="HM40" s="220"/>
      <c r="HN40" s="220"/>
      <c r="HO40" s="253"/>
      <c r="JR40" s="259"/>
      <c r="JS40" s="220"/>
      <c r="JT40" s="220"/>
      <c r="JU40" s="220"/>
      <c r="JV40" s="220"/>
      <c r="JW40" s="220"/>
      <c r="JX40" s="220"/>
      <c r="JY40" s="220"/>
      <c r="JZ40" s="220"/>
      <c r="KA40" s="220"/>
      <c r="KB40" s="220"/>
      <c r="KC40" s="220"/>
      <c r="KD40" s="220"/>
      <c r="KE40" s="220"/>
      <c r="KF40" s="220"/>
      <c r="KG40" s="220"/>
      <c r="KH40" s="220"/>
      <c r="KI40" s="220"/>
      <c r="KJ40" s="220"/>
      <c r="KK40" s="220"/>
      <c r="KL40" s="220"/>
      <c r="KM40" s="220"/>
      <c r="KN40" s="220"/>
      <c r="KO40" s="220"/>
      <c r="KP40" s="220"/>
      <c r="KQ40" s="220"/>
      <c r="KR40" s="220"/>
      <c r="KS40" s="220"/>
      <c r="KT40" s="220"/>
      <c r="KU40" s="220"/>
      <c r="KV40" s="220"/>
      <c r="KW40" s="220"/>
      <c r="KX40" s="220"/>
      <c r="KY40" s="220"/>
      <c r="KZ40" s="220"/>
      <c r="LA40" s="220"/>
      <c r="LB40" s="220"/>
      <c r="LC40" s="220"/>
      <c r="LD40" s="220"/>
      <c r="LE40" s="220"/>
      <c r="LF40" s="253"/>
      <c r="LG40" s="255"/>
      <c r="LH40" s="255"/>
      <c r="LI40" s="255"/>
      <c r="LJ40" s="255"/>
      <c r="LK40" s="255"/>
      <c r="LL40" s="255"/>
      <c r="LU40" s="155"/>
      <c r="OW40" s="12"/>
      <c r="OX40" s="7"/>
    </row>
    <row r="41" spans="3:414" ht="5.0999999999999996" customHeight="1" x14ac:dyDescent="0.3">
      <c r="C41" s="11"/>
      <c r="D41" s="13"/>
      <c r="FW41" s="187"/>
      <c r="FX41" s="188"/>
      <c r="FY41" s="188"/>
      <c r="FZ41" s="188"/>
      <c r="GA41" s="188"/>
      <c r="GB41" s="188"/>
      <c r="GC41" s="188"/>
      <c r="GD41" s="188"/>
      <c r="GE41" s="188"/>
      <c r="GF41" s="188"/>
      <c r="GG41" s="188"/>
      <c r="GH41" s="188"/>
      <c r="GI41" s="188"/>
      <c r="GJ41" s="188"/>
      <c r="GK41" s="188"/>
      <c r="GL41" s="188"/>
      <c r="GM41" s="188"/>
      <c r="GN41" s="188"/>
      <c r="GO41" s="188"/>
      <c r="GP41" s="188"/>
      <c r="GQ41" s="188"/>
      <c r="GR41" s="188"/>
      <c r="GS41" s="188"/>
      <c r="GT41" s="188"/>
      <c r="GU41" s="188"/>
      <c r="GV41" s="188"/>
      <c r="GW41" s="188"/>
      <c r="GX41" s="188"/>
      <c r="GY41" s="188"/>
      <c r="GZ41" s="188"/>
      <c r="HA41" s="188"/>
      <c r="HB41" s="188"/>
      <c r="HC41" s="188"/>
      <c r="HD41" s="188"/>
      <c r="HE41" s="188"/>
      <c r="HF41" s="188"/>
      <c r="HG41" s="188"/>
      <c r="HH41" s="188"/>
      <c r="HI41" s="188"/>
      <c r="HJ41" s="188"/>
      <c r="HK41" s="238"/>
      <c r="HL41" s="259"/>
      <c r="HM41" s="220"/>
      <c r="HN41" s="220"/>
      <c r="HO41" s="253"/>
      <c r="JR41" s="259"/>
      <c r="JS41" s="220"/>
      <c r="JT41" s="220"/>
      <c r="JU41" s="220"/>
      <c r="JV41" s="220"/>
      <c r="JW41" s="220"/>
      <c r="JX41" s="220"/>
      <c r="JY41" s="220"/>
      <c r="JZ41" s="220"/>
      <c r="KA41" s="220"/>
      <c r="KB41" s="220"/>
      <c r="KC41" s="220"/>
      <c r="KD41" s="220"/>
      <c r="KE41" s="220"/>
      <c r="KF41" s="220"/>
      <c r="KG41" s="220"/>
      <c r="KH41" s="220"/>
      <c r="KI41" s="220"/>
      <c r="KJ41" s="220"/>
      <c r="KK41" s="220"/>
      <c r="KL41" s="220"/>
      <c r="KM41" s="220"/>
      <c r="KN41" s="220"/>
      <c r="KO41" s="220"/>
      <c r="KP41" s="220"/>
      <c r="KQ41" s="220"/>
      <c r="KR41" s="220"/>
      <c r="KS41" s="220"/>
      <c r="KT41" s="220"/>
      <c r="KU41" s="220"/>
      <c r="KV41" s="220"/>
      <c r="KW41" s="220"/>
      <c r="KX41" s="220"/>
      <c r="KY41" s="220"/>
      <c r="KZ41" s="220"/>
      <c r="LA41" s="220"/>
      <c r="LB41" s="220"/>
      <c r="LC41" s="220"/>
      <c r="LD41" s="220"/>
      <c r="LE41" s="220"/>
      <c r="LF41" s="253"/>
      <c r="LG41" s="255"/>
      <c r="LH41" s="255"/>
      <c r="LI41" s="255"/>
      <c r="LJ41" s="255"/>
      <c r="LK41" s="255"/>
      <c r="LL41" s="255"/>
      <c r="LU41" s="155"/>
      <c r="OW41" s="12"/>
      <c r="OX41" s="7"/>
    </row>
    <row r="42" spans="3:414" ht="5.0999999999999996" customHeight="1" x14ac:dyDescent="0.3">
      <c r="C42" s="11"/>
      <c r="D42" s="13"/>
      <c r="FW42" s="187"/>
      <c r="FX42" s="188"/>
      <c r="FY42" s="188"/>
      <c r="FZ42" s="188"/>
      <c r="GA42" s="188"/>
      <c r="GB42" s="188"/>
      <c r="GC42" s="188"/>
      <c r="GD42" s="188"/>
      <c r="GE42" s="188"/>
      <c r="GF42" s="188"/>
      <c r="GG42" s="188"/>
      <c r="GH42" s="188"/>
      <c r="GI42" s="188"/>
      <c r="GJ42" s="188"/>
      <c r="GK42" s="188"/>
      <c r="GL42" s="188"/>
      <c r="GM42" s="188"/>
      <c r="GN42" s="188"/>
      <c r="GO42" s="188"/>
      <c r="GP42" s="188"/>
      <c r="GQ42" s="188"/>
      <c r="GR42" s="188"/>
      <c r="GS42" s="188"/>
      <c r="GT42" s="188"/>
      <c r="GU42" s="188"/>
      <c r="GV42" s="188"/>
      <c r="GW42" s="188"/>
      <c r="GX42" s="188"/>
      <c r="GY42" s="188"/>
      <c r="GZ42" s="188"/>
      <c r="HA42" s="188"/>
      <c r="HB42" s="188"/>
      <c r="HC42" s="188"/>
      <c r="HD42" s="188"/>
      <c r="HE42" s="188"/>
      <c r="HF42" s="188"/>
      <c r="HG42" s="188"/>
      <c r="HH42" s="188"/>
      <c r="HI42" s="188"/>
      <c r="HJ42" s="188"/>
      <c r="HK42" s="238"/>
      <c r="HL42" s="259"/>
      <c r="HM42" s="220"/>
      <c r="HN42" s="220"/>
      <c r="HO42" s="253"/>
      <c r="JR42" s="259"/>
      <c r="JS42" s="220"/>
      <c r="JT42" s="220"/>
      <c r="JU42" s="220"/>
      <c r="JV42" s="220"/>
      <c r="JW42" s="220"/>
      <c r="JX42" s="220"/>
      <c r="JY42" s="220"/>
      <c r="JZ42" s="220"/>
      <c r="KA42" s="220"/>
      <c r="KB42" s="220"/>
      <c r="KC42" s="220"/>
      <c r="KD42" s="220"/>
      <c r="KE42" s="220"/>
      <c r="KF42" s="220"/>
      <c r="KG42" s="220"/>
      <c r="KH42" s="220"/>
      <c r="KI42" s="220"/>
      <c r="KJ42" s="220"/>
      <c r="KK42" s="220"/>
      <c r="KL42" s="220"/>
      <c r="KM42" s="220"/>
      <c r="KN42" s="220"/>
      <c r="KO42" s="220"/>
      <c r="KP42" s="220"/>
      <c r="KQ42" s="220"/>
      <c r="KR42" s="220"/>
      <c r="KS42" s="220"/>
      <c r="KT42" s="220"/>
      <c r="KU42" s="220"/>
      <c r="KV42" s="220"/>
      <c r="KW42" s="220"/>
      <c r="KX42" s="220"/>
      <c r="KY42" s="220"/>
      <c r="KZ42" s="220"/>
      <c r="LA42" s="220"/>
      <c r="LB42" s="220"/>
      <c r="LC42" s="220"/>
      <c r="LD42" s="220"/>
      <c r="LE42" s="220"/>
      <c r="LF42" s="253"/>
      <c r="LG42" s="255"/>
      <c r="LH42" s="255"/>
      <c r="LI42" s="255"/>
      <c r="LJ42" s="255"/>
      <c r="LK42" s="255"/>
      <c r="LL42" s="255"/>
      <c r="LU42" s="155"/>
      <c r="OW42" s="12"/>
      <c r="OX42" s="7"/>
    </row>
    <row r="43" spans="3:414" ht="5.0999999999999996" customHeight="1" x14ac:dyDescent="0.3">
      <c r="C43" s="11"/>
      <c r="D43" s="13"/>
      <c r="FW43" s="187"/>
      <c r="FX43" s="188"/>
      <c r="FY43" s="188"/>
      <c r="FZ43" s="188"/>
      <c r="GA43" s="188"/>
      <c r="GB43" s="188"/>
      <c r="GC43" s="188"/>
      <c r="GD43" s="188"/>
      <c r="GE43" s="188"/>
      <c r="GF43" s="188"/>
      <c r="GG43" s="188"/>
      <c r="GH43" s="188"/>
      <c r="GI43" s="188"/>
      <c r="GJ43" s="188"/>
      <c r="GK43" s="188"/>
      <c r="GL43" s="188"/>
      <c r="GM43" s="188"/>
      <c r="GN43" s="188"/>
      <c r="GO43" s="188"/>
      <c r="GP43" s="188"/>
      <c r="GQ43" s="188"/>
      <c r="GR43" s="188"/>
      <c r="GS43" s="188"/>
      <c r="GT43" s="188"/>
      <c r="GU43" s="188"/>
      <c r="GV43" s="188"/>
      <c r="GW43" s="188"/>
      <c r="GX43" s="188"/>
      <c r="GY43" s="188"/>
      <c r="GZ43" s="188"/>
      <c r="HA43" s="188"/>
      <c r="HB43" s="188"/>
      <c r="HC43" s="188"/>
      <c r="HD43" s="188"/>
      <c r="HE43" s="188"/>
      <c r="HF43" s="188"/>
      <c r="HG43" s="188"/>
      <c r="HH43" s="188"/>
      <c r="HI43" s="188"/>
      <c r="HJ43" s="188"/>
      <c r="HK43" s="238"/>
      <c r="HL43" s="259"/>
      <c r="HM43" s="220"/>
      <c r="HN43" s="220"/>
      <c r="HO43" s="253"/>
      <c r="JR43" s="259"/>
      <c r="JS43" s="220"/>
      <c r="JT43" s="220"/>
      <c r="JU43" s="220"/>
      <c r="JV43" s="220"/>
      <c r="JW43" s="220"/>
      <c r="JX43" s="220"/>
      <c r="JY43" s="220"/>
      <c r="JZ43" s="220"/>
      <c r="KA43" s="220"/>
      <c r="KB43" s="220"/>
      <c r="KC43" s="220"/>
      <c r="KD43" s="220"/>
      <c r="KE43" s="220"/>
      <c r="KF43" s="220"/>
      <c r="KG43" s="220"/>
      <c r="KH43" s="220"/>
      <c r="KI43" s="220"/>
      <c r="KJ43" s="220"/>
      <c r="KK43" s="220"/>
      <c r="KL43" s="220"/>
      <c r="KM43" s="220"/>
      <c r="KN43" s="220"/>
      <c r="KO43" s="220"/>
      <c r="KP43" s="220"/>
      <c r="KQ43" s="220"/>
      <c r="KR43" s="220"/>
      <c r="KS43" s="220"/>
      <c r="KT43" s="220"/>
      <c r="KU43" s="220"/>
      <c r="KV43" s="220"/>
      <c r="KW43" s="220"/>
      <c r="KX43" s="220"/>
      <c r="KY43" s="220"/>
      <c r="KZ43" s="220"/>
      <c r="LA43" s="220"/>
      <c r="LB43" s="220"/>
      <c r="LC43" s="220"/>
      <c r="LD43" s="220"/>
      <c r="LE43" s="220"/>
      <c r="LF43" s="253"/>
      <c r="LG43" s="255"/>
      <c r="LH43" s="255"/>
      <c r="LI43" s="255"/>
      <c r="LJ43" s="255"/>
      <c r="LK43" s="255"/>
      <c r="LL43" s="255"/>
      <c r="LU43" s="155"/>
      <c r="OW43" s="12"/>
      <c r="OX43" s="7"/>
    </row>
    <row r="44" spans="3:414" ht="5.0999999999999996" customHeight="1" x14ac:dyDescent="0.3">
      <c r="C44" s="11"/>
      <c r="D44" s="13"/>
      <c r="FW44" s="187"/>
      <c r="FX44" s="188"/>
      <c r="FY44" s="188"/>
      <c r="FZ44" s="188"/>
      <c r="GA44" s="188"/>
      <c r="GB44" s="188"/>
      <c r="GC44" s="188"/>
      <c r="GD44" s="188"/>
      <c r="GE44" s="188"/>
      <c r="GF44" s="188"/>
      <c r="GG44" s="188"/>
      <c r="GH44" s="188"/>
      <c r="GI44" s="188"/>
      <c r="GJ44" s="188"/>
      <c r="GK44" s="188"/>
      <c r="GL44" s="188"/>
      <c r="GM44" s="188"/>
      <c r="GN44" s="188"/>
      <c r="GO44" s="188"/>
      <c r="GP44" s="188"/>
      <c r="GQ44" s="188"/>
      <c r="GR44" s="188"/>
      <c r="GS44" s="188"/>
      <c r="GT44" s="188"/>
      <c r="GU44" s="188"/>
      <c r="GV44" s="188"/>
      <c r="GW44" s="188"/>
      <c r="GX44" s="188"/>
      <c r="GY44" s="188"/>
      <c r="GZ44" s="188"/>
      <c r="HA44" s="188"/>
      <c r="HB44" s="188"/>
      <c r="HC44" s="188"/>
      <c r="HD44" s="188"/>
      <c r="HE44" s="188"/>
      <c r="HF44" s="188"/>
      <c r="HG44" s="188"/>
      <c r="HH44" s="188"/>
      <c r="HI44" s="188"/>
      <c r="HJ44" s="188"/>
      <c r="HK44" s="238"/>
      <c r="HL44" s="259"/>
      <c r="HM44" s="220"/>
      <c r="HN44" s="220"/>
      <c r="HO44" s="253"/>
      <c r="JR44" s="259"/>
      <c r="JS44" s="220"/>
      <c r="JT44" s="220"/>
      <c r="JU44" s="220"/>
      <c r="JV44" s="220"/>
      <c r="JW44" s="220"/>
      <c r="JX44" s="220"/>
      <c r="JY44" s="220"/>
      <c r="JZ44" s="220"/>
      <c r="KA44" s="220"/>
      <c r="KB44" s="220"/>
      <c r="KC44" s="220"/>
      <c r="KD44" s="220"/>
      <c r="KE44" s="220"/>
      <c r="KF44" s="220"/>
      <c r="KG44" s="220"/>
      <c r="KH44" s="220"/>
      <c r="KI44" s="220"/>
      <c r="KJ44" s="220"/>
      <c r="KK44" s="220"/>
      <c r="KL44" s="220"/>
      <c r="KM44" s="220"/>
      <c r="KN44" s="220"/>
      <c r="KO44" s="220"/>
      <c r="KP44" s="220"/>
      <c r="KQ44" s="220"/>
      <c r="KR44" s="220"/>
      <c r="KS44" s="220"/>
      <c r="KT44" s="220"/>
      <c r="KU44" s="220"/>
      <c r="KV44" s="220"/>
      <c r="KW44" s="220"/>
      <c r="KX44" s="220"/>
      <c r="KY44" s="220"/>
      <c r="KZ44" s="220"/>
      <c r="LA44" s="220"/>
      <c r="LB44" s="220"/>
      <c r="LC44" s="220"/>
      <c r="LD44" s="220"/>
      <c r="LE44" s="220"/>
      <c r="LF44" s="253"/>
      <c r="LG44" s="255"/>
      <c r="LH44" s="255"/>
      <c r="LI44" s="255"/>
      <c r="LJ44" s="255"/>
      <c r="LK44" s="255"/>
      <c r="LL44" s="255"/>
      <c r="LU44" s="155"/>
      <c r="OW44" s="12"/>
      <c r="OX44" s="7"/>
    </row>
    <row r="45" spans="3:414" ht="5.0999999999999996" customHeight="1" x14ac:dyDescent="0.3">
      <c r="C45" s="11"/>
      <c r="D45" s="13"/>
      <c r="FW45" s="190"/>
      <c r="FX45" s="191"/>
      <c r="FY45" s="191"/>
      <c r="FZ45" s="191"/>
      <c r="GA45" s="191"/>
      <c r="GB45" s="191"/>
      <c r="GC45" s="191"/>
      <c r="GD45" s="191"/>
      <c r="GE45" s="191"/>
      <c r="GF45" s="191"/>
      <c r="GG45" s="191"/>
      <c r="GH45" s="191"/>
      <c r="GI45" s="191"/>
      <c r="GJ45" s="191"/>
      <c r="GK45" s="191"/>
      <c r="GL45" s="191"/>
      <c r="GM45" s="191"/>
      <c r="GN45" s="191"/>
      <c r="GO45" s="191"/>
      <c r="GP45" s="191"/>
      <c r="GQ45" s="191"/>
      <c r="GR45" s="191"/>
      <c r="GS45" s="191"/>
      <c r="GT45" s="191"/>
      <c r="GU45" s="191"/>
      <c r="GV45" s="191"/>
      <c r="GW45" s="191"/>
      <c r="GX45" s="191"/>
      <c r="GY45" s="191"/>
      <c r="GZ45" s="191"/>
      <c r="HA45" s="191"/>
      <c r="HB45" s="191"/>
      <c r="HC45" s="191"/>
      <c r="HD45" s="191"/>
      <c r="HE45" s="191"/>
      <c r="HF45" s="191"/>
      <c r="HG45" s="191"/>
      <c r="HH45" s="191"/>
      <c r="HI45" s="191"/>
      <c r="HJ45" s="191"/>
      <c r="HK45" s="264"/>
      <c r="HL45" s="260"/>
      <c r="HM45" s="261"/>
      <c r="HN45" s="261"/>
      <c r="HO45" s="262"/>
      <c r="JR45" s="259"/>
      <c r="JS45" s="220"/>
      <c r="JT45" s="220"/>
      <c r="JU45" s="220"/>
      <c r="JV45" s="220"/>
      <c r="JW45" s="220"/>
      <c r="JX45" s="220"/>
      <c r="JY45" s="220"/>
      <c r="JZ45" s="220"/>
      <c r="KA45" s="220"/>
      <c r="KB45" s="220"/>
      <c r="KC45" s="220"/>
      <c r="KD45" s="220"/>
      <c r="KE45" s="220"/>
      <c r="KF45" s="220"/>
      <c r="KG45" s="220"/>
      <c r="KH45" s="220"/>
      <c r="KI45" s="220"/>
      <c r="KJ45" s="220"/>
      <c r="KK45" s="220"/>
      <c r="KL45" s="220"/>
      <c r="KM45" s="220"/>
      <c r="KN45" s="220"/>
      <c r="KO45" s="220"/>
      <c r="KP45" s="220"/>
      <c r="KQ45" s="220"/>
      <c r="KR45" s="220"/>
      <c r="KS45" s="220"/>
      <c r="KT45" s="220"/>
      <c r="KU45" s="220"/>
      <c r="KV45" s="220"/>
      <c r="KW45" s="220"/>
      <c r="KX45" s="220"/>
      <c r="KY45" s="220"/>
      <c r="KZ45" s="220"/>
      <c r="LA45" s="220"/>
      <c r="LB45" s="220"/>
      <c r="LC45" s="220"/>
      <c r="LD45" s="220"/>
      <c r="LE45" s="220"/>
      <c r="LF45" s="253"/>
      <c r="LG45" s="255"/>
      <c r="LH45" s="255"/>
      <c r="LI45" s="255"/>
      <c r="LJ45" s="255"/>
      <c r="LK45" s="255"/>
      <c r="LL45" s="255"/>
      <c r="LU45" s="155"/>
      <c r="OW45" s="12"/>
      <c r="OX45" s="7"/>
    </row>
    <row r="46" spans="3:414" ht="5.0999999999999996" customHeight="1" x14ac:dyDescent="0.3">
      <c r="C46" s="11"/>
      <c r="D46" s="13"/>
      <c r="GQ46" s="16"/>
      <c r="JR46" s="260"/>
      <c r="JS46" s="261"/>
      <c r="JT46" s="261"/>
      <c r="JU46" s="261"/>
      <c r="JV46" s="261"/>
      <c r="JW46" s="261"/>
      <c r="JX46" s="261"/>
      <c r="JY46" s="261"/>
      <c r="JZ46" s="261"/>
      <c r="KA46" s="261"/>
      <c r="KB46" s="261"/>
      <c r="KC46" s="261"/>
      <c r="KD46" s="261"/>
      <c r="KE46" s="261"/>
      <c r="KF46" s="261"/>
      <c r="KG46" s="261"/>
      <c r="KH46" s="261"/>
      <c r="KI46" s="261"/>
      <c r="KJ46" s="261"/>
      <c r="KK46" s="261"/>
      <c r="KL46" s="261"/>
      <c r="KM46" s="261"/>
      <c r="KN46" s="261"/>
      <c r="KO46" s="261"/>
      <c r="KP46" s="261"/>
      <c r="KQ46" s="261"/>
      <c r="KR46" s="261"/>
      <c r="KS46" s="261"/>
      <c r="KT46" s="261"/>
      <c r="KU46" s="261"/>
      <c r="KV46" s="261"/>
      <c r="KW46" s="261"/>
      <c r="KX46" s="261"/>
      <c r="KY46" s="261"/>
      <c r="KZ46" s="261"/>
      <c r="LA46" s="261"/>
      <c r="LB46" s="261"/>
      <c r="LC46" s="261"/>
      <c r="LD46" s="261"/>
      <c r="LE46" s="261"/>
      <c r="LF46" s="262"/>
      <c r="LG46" s="255"/>
      <c r="LH46" s="255"/>
      <c r="LI46" s="255"/>
      <c r="LJ46" s="255"/>
      <c r="LK46" s="255"/>
      <c r="LL46" s="255"/>
      <c r="LU46" s="155"/>
      <c r="OW46" s="12"/>
      <c r="OX46" s="7"/>
    </row>
    <row r="47" spans="3:414" ht="5.0999999999999996" customHeight="1" x14ac:dyDescent="0.3">
      <c r="C47" s="11"/>
      <c r="D47" s="13"/>
      <c r="GQ47" s="16"/>
      <c r="KP47" s="28"/>
      <c r="LU47" s="155"/>
      <c r="OW47" s="12"/>
      <c r="OX47" s="7"/>
    </row>
    <row r="48" spans="3:414" ht="5.0999999999999996" customHeight="1" thickBot="1" x14ac:dyDescent="0.35">
      <c r="C48" s="11"/>
      <c r="D48" s="13"/>
      <c r="GQ48" s="16"/>
      <c r="JR48" s="234" t="s">
        <v>62</v>
      </c>
      <c r="JS48" s="235"/>
      <c r="JT48" s="235"/>
      <c r="JU48" s="235"/>
      <c r="JV48" s="235"/>
      <c r="JW48" s="235"/>
      <c r="JX48" s="235"/>
      <c r="JY48" s="235"/>
      <c r="JZ48" s="235"/>
      <c r="KA48" s="235"/>
      <c r="KB48" s="235"/>
      <c r="KC48" s="235"/>
      <c r="KD48" s="235"/>
      <c r="KE48" s="235"/>
      <c r="KF48" s="235"/>
      <c r="KG48" s="235"/>
      <c r="KH48" s="235"/>
      <c r="KI48" s="235"/>
      <c r="KJ48" s="235"/>
      <c r="KK48" s="235"/>
      <c r="KL48" s="235"/>
      <c r="KM48" s="235"/>
      <c r="KN48" s="235"/>
      <c r="KO48" s="235"/>
      <c r="KP48" s="235"/>
      <c r="KQ48" s="235"/>
      <c r="KR48" s="235"/>
      <c r="KS48" s="235"/>
      <c r="KT48" s="235"/>
      <c r="KU48" s="235"/>
      <c r="KV48" s="235"/>
      <c r="KW48" s="235"/>
      <c r="KX48" s="235"/>
      <c r="KY48" s="235"/>
      <c r="KZ48" s="235"/>
      <c r="LA48" s="235"/>
      <c r="LB48" s="235"/>
      <c r="LC48" s="235"/>
      <c r="LD48" s="235"/>
      <c r="LE48" s="235"/>
      <c r="LF48" s="236"/>
      <c r="LG48" s="242">
        <v>1</v>
      </c>
      <c r="LH48" s="242"/>
      <c r="LI48" s="242"/>
      <c r="LJ48" s="242"/>
      <c r="LK48" s="242"/>
      <c r="LL48" s="242"/>
      <c r="LU48" s="155"/>
      <c r="OW48" s="12"/>
      <c r="OX48" s="7"/>
    </row>
    <row r="49" spans="3:419" ht="5.0999999999999996" customHeight="1" x14ac:dyDescent="0.3">
      <c r="C49" s="11"/>
      <c r="D49" s="13"/>
      <c r="BP49" s="30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0"/>
      <c r="GQ49" s="16"/>
      <c r="JR49" s="237"/>
      <c r="JS49" s="188"/>
      <c r="JT49" s="188"/>
      <c r="JU49" s="188"/>
      <c r="JV49" s="188"/>
      <c r="JW49" s="188"/>
      <c r="JX49" s="188"/>
      <c r="JY49" s="188"/>
      <c r="JZ49" s="188"/>
      <c r="KA49" s="188"/>
      <c r="KB49" s="188"/>
      <c r="KC49" s="188"/>
      <c r="KD49" s="188"/>
      <c r="KE49" s="188"/>
      <c r="KF49" s="188"/>
      <c r="KG49" s="188"/>
      <c r="KH49" s="188"/>
      <c r="KI49" s="188"/>
      <c r="KJ49" s="188"/>
      <c r="KK49" s="188"/>
      <c r="KL49" s="188"/>
      <c r="KM49" s="188"/>
      <c r="KN49" s="188"/>
      <c r="KO49" s="188"/>
      <c r="KP49" s="188"/>
      <c r="KQ49" s="188"/>
      <c r="KR49" s="188"/>
      <c r="KS49" s="188"/>
      <c r="KT49" s="188"/>
      <c r="KU49" s="188"/>
      <c r="KV49" s="188"/>
      <c r="KW49" s="188"/>
      <c r="KX49" s="188"/>
      <c r="KY49" s="188"/>
      <c r="KZ49" s="188"/>
      <c r="LA49" s="188"/>
      <c r="LB49" s="188"/>
      <c r="LC49" s="188"/>
      <c r="LD49" s="188"/>
      <c r="LE49" s="188"/>
      <c r="LF49" s="238"/>
      <c r="LG49" s="242"/>
      <c r="LH49" s="242"/>
      <c r="LI49" s="242"/>
      <c r="LJ49" s="242"/>
      <c r="LK49" s="242"/>
      <c r="LL49" s="242"/>
      <c r="LU49" s="155"/>
      <c r="OW49" s="12"/>
      <c r="OX49" s="7"/>
    </row>
    <row r="50" spans="3:419" ht="5.0999999999999996" customHeight="1" x14ac:dyDescent="0.3">
      <c r="C50" s="11"/>
      <c r="D50" s="13"/>
      <c r="BP50" s="28"/>
      <c r="GQ50" s="16"/>
      <c r="JR50" s="237"/>
      <c r="JS50" s="188"/>
      <c r="JT50" s="188"/>
      <c r="JU50" s="188"/>
      <c r="JV50" s="188"/>
      <c r="JW50" s="188"/>
      <c r="JX50" s="188"/>
      <c r="JY50" s="188"/>
      <c r="JZ50" s="188"/>
      <c r="KA50" s="188"/>
      <c r="KB50" s="188"/>
      <c r="KC50" s="188"/>
      <c r="KD50" s="188"/>
      <c r="KE50" s="188"/>
      <c r="KF50" s="188"/>
      <c r="KG50" s="188"/>
      <c r="KH50" s="188"/>
      <c r="KI50" s="188"/>
      <c r="KJ50" s="188"/>
      <c r="KK50" s="188"/>
      <c r="KL50" s="188"/>
      <c r="KM50" s="188"/>
      <c r="KN50" s="188"/>
      <c r="KO50" s="188"/>
      <c r="KP50" s="188"/>
      <c r="KQ50" s="188"/>
      <c r="KR50" s="188"/>
      <c r="KS50" s="188"/>
      <c r="KT50" s="188"/>
      <c r="KU50" s="188"/>
      <c r="KV50" s="188"/>
      <c r="KW50" s="188"/>
      <c r="KX50" s="188"/>
      <c r="KY50" s="188"/>
      <c r="KZ50" s="188"/>
      <c r="LA50" s="188"/>
      <c r="LB50" s="188"/>
      <c r="LC50" s="188"/>
      <c r="LD50" s="188"/>
      <c r="LE50" s="188"/>
      <c r="LF50" s="238"/>
      <c r="LG50" s="242"/>
      <c r="LH50" s="242"/>
      <c r="LI50" s="242"/>
      <c r="LJ50" s="242"/>
      <c r="LK50" s="242"/>
      <c r="LL50" s="242"/>
      <c r="LU50" s="155"/>
      <c r="OW50" s="12"/>
      <c r="OX50" s="7"/>
    </row>
    <row r="51" spans="3:419" ht="5.0999999999999996" customHeight="1" x14ac:dyDescent="0.3">
      <c r="C51" s="11"/>
      <c r="D51" s="13"/>
      <c r="BP51" s="28"/>
      <c r="GQ51" s="16"/>
      <c r="JR51" s="237"/>
      <c r="JS51" s="188"/>
      <c r="JT51" s="188"/>
      <c r="JU51" s="188"/>
      <c r="JV51" s="188"/>
      <c r="JW51" s="188"/>
      <c r="JX51" s="188"/>
      <c r="JY51" s="188"/>
      <c r="JZ51" s="188"/>
      <c r="KA51" s="188"/>
      <c r="KB51" s="188"/>
      <c r="KC51" s="188"/>
      <c r="KD51" s="188"/>
      <c r="KE51" s="188"/>
      <c r="KF51" s="188"/>
      <c r="KG51" s="188"/>
      <c r="KH51" s="188"/>
      <c r="KI51" s="188"/>
      <c r="KJ51" s="188"/>
      <c r="KK51" s="188"/>
      <c r="KL51" s="188"/>
      <c r="KM51" s="188"/>
      <c r="KN51" s="188"/>
      <c r="KO51" s="188"/>
      <c r="KP51" s="188"/>
      <c r="KQ51" s="188"/>
      <c r="KR51" s="188"/>
      <c r="KS51" s="188"/>
      <c r="KT51" s="188"/>
      <c r="KU51" s="188"/>
      <c r="KV51" s="188"/>
      <c r="KW51" s="188"/>
      <c r="KX51" s="188"/>
      <c r="KY51" s="188"/>
      <c r="KZ51" s="188"/>
      <c r="LA51" s="188"/>
      <c r="LB51" s="188"/>
      <c r="LC51" s="188"/>
      <c r="LD51" s="188"/>
      <c r="LE51" s="188"/>
      <c r="LF51" s="238"/>
      <c r="LG51" s="242"/>
      <c r="LH51" s="242"/>
      <c r="LI51" s="242"/>
      <c r="LJ51" s="242"/>
      <c r="LK51" s="242"/>
      <c r="LL51" s="242"/>
      <c r="LU51" s="155"/>
      <c r="OW51" s="12"/>
      <c r="OX51" s="7"/>
    </row>
    <row r="52" spans="3:419" ht="5.0999999999999996" customHeight="1" x14ac:dyDescent="0.3">
      <c r="C52" s="11"/>
      <c r="D52" s="13"/>
      <c r="BP52" s="28"/>
      <c r="GQ52" s="16"/>
      <c r="JR52" s="237"/>
      <c r="JS52" s="188"/>
      <c r="JT52" s="188"/>
      <c r="JU52" s="188"/>
      <c r="JV52" s="188"/>
      <c r="JW52" s="188"/>
      <c r="JX52" s="188"/>
      <c r="JY52" s="188"/>
      <c r="JZ52" s="188"/>
      <c r="KA52" s="188"/>
      <c r="KB52" s="188"/>
      <c r="KC52" s="188"/>
      <c r="KD52" s="188"/>
      <c r="KE52" s="188"/>
      <c r="KF52" s="188"/>
      <c r="KG52" s="188"/>
      <c r="KH52" s="188"/>
      <c r="KI52" s="188"/>
      <c r="KJ52" s="188"/>
      <c r="KK52" s="188"/>
      <c r="KL52" s="188"/>
      <c r="KM52" s="188"/>
      <c r="KN52" s="188"/>
      <c r="KO52" s="188"/>
      <c r="KP52" s="188"/>
      <c r="KQ52" s="188"/>
      <c r="KR52" s="188"/>
      <c r="KS52" s="188"/>
      <c r="KT52" s="188"/>
      <c r="KU52" s="188"/>
      <c r="KV52" s="188"/>
      <c r="KW52" s="188"/>
      <c r="KX52" s="188"/>
      <c r="KY52" s="188"/>
      <c r="KZ52" s="188"/>
      <c r="LA52" s="188"/>
      <c r="LB52" s="188"/>
      <c r="LC52" s="188"/>
      <c r="LD52" s="188"/>
      <c r="LE52" s="188"/>
      <c r="LF52" s="238"/>
      <c r="LG52" s="242"/>
      <c r="LH52" s="242"/>
      <c r="LI52" s="242"/>
      <c r="LJ52" s="242"/>
      <c r="LK52" s="242"/>
      <c r="LL52" s="242"/>
      <c r="LU52" s="155"/>
      <c r="OW52" s="12"/>
      <c r="OX52" s="7"/>
    </row>
    <row r="53" spans="3:419" ht="5.0999999999999996" customHeight="1" x14ac:dyDescent="0.3">
      <c r="C53" s="11"/>
      <c r="D53" s="13"/>
      <c r="AY53" s="255" t="s">
        <v>16</v>
      </c>
      <c r="AZ53" s="255"/>
      <c r="BA53" s="255"/>
      <c r="BB53" s="255"/>
      <c r="BC53" s="255"/>
      <c r="BD53" s="255"/>
      <c r="BE53" s="255"/>
      <c r="BF53" s="255"/>
      <c r="BG53" s="255"/>
      <c r="BH53" s="255"/>
      <c r="BI53" s="255"/>
      <c r="BJ53" s="255"/>
      <c r="BK53" s="255"/>
      <c r="BL53" s="255"/>
      <c r="BM53" s="255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55"/>
      <c r="BY53" s="255"/>
      <c r="BZ53" s="255"/>
      <c r="CA53" s="255"/>
      <c r="CB53" s="255"/>
      <c r="CC53" s="255"/>
      <c r="CD53" s="255"/>
      <c r="CE53" s="255"/>
      <c r="CF53" s="255"/>
      <c r="CG53" s="255"/>
      <c r="CH53" s="255"/>
      <c r="CI53" s="255"/>
      <c r="CJ53" s="255"/>
      <c r="CK53" s="255"/>
      <c r="CL53" s="255"/>
      <c r="CM53" s="255"/>
      <c r="CN53" s="255">
        <f>SUM(CN64,CN75)</f>
        <v>4</v>
      </c>
      <c r="CO53" s="255"/>
      <c r="CP53" s="255"/>
      <c r="CQ53" s="255"/>
      <c r="CR53" s="255"/>
      <c r="GQ53" s="16"/>
      <c r="JR53" s="237"/>
      <c r="JS53" s="188"/>
      <c r="JT53" s="188"/>
      <c r="JU53" s="188"/>
      <c r="JV53" s="188"/>
      <c r="JW53" s="188"/>
      <c r="JX53" s="188"/>
      <c r="JY53" s="188"/>
      <c r="JZ53" s="188"/>
      <c r="KA53" s="188"/>
      <c r="KB53" s="188"/>
      <c r="KC53" s="188"/>
      <c r="KD53" s="188"/>
      <c r="KE53" s="188"/>
      <c r="KF53" s="188"/>
      <c r="KG53" s="188"/>
      <c r="KH53" s="188"/>
      <c r="KI53" s="188"/>
      <c r="KJ53" s="188"/>
      <c r="KK53" s="188"/>
      <c r="KL53" s="188"/>
      <c r="KM53" s="188"/>
      <c r="KN53" s="188"/>
      <c r="KO53" s="188"/>
      <c r="KP53" s="188"/>
      <c r="KQ53" s="188"/>
      <c r="KR53" s="188"/>
      <c r="KS53" s="188"/>
      <c r="KT53" s="188"/>
      <c r="KU53" s="188"/>
      <c r="KV53" s="188"/>
      <c r="KW53" s="188"/>
      <c r="KX53" s="188"/>
      <c r="KY53" s="188"/>
      <c r="KZ53" s="188"/>
      <c r="LA53" s="188"/>
      <c r="LB53" s="188"/>
      <c r="LC53" s="188"/>
      <c r="LD53" s="188"/>
      <c r="LE53" s="188"/>
      <c r="LF53" s="238"/>
      <c r="LG53" s="242"/>
      <c r="LH53" s="242"/>
      <c r="LI53" s="242"/>
      <c r="LJ53" s="242"/>
      <c r="LK53" s="242"/>
      <c r="LL53" s="242"/>
      <c r="LU53" s="155"/>
      <c r="OW53" s="12"/>
      <c r="OX53" s="7"/>
    </row>
    <row r="54" spans="3:419" ht="5.0999999999999996" customHeight="1" x14ac:dyDescent="0.3">
      <c r="C54" s="11"/>
      <c r="D54" s="13"/>
      <c r="AY54" s="255"/>
      <c r="AZ54" s="255"/>
      <c r="BA54" s="255"/>
      <c r="BB54" s="255"/>
      <c r="BC54" s="255"/>
      <c r="BD54" s="255"/>
      <c r="BE54" s="255"/>
      <c r="BF54" s="255"/>
      <c r="BG54" s="255"/>
      <c r="BH54" s="255"/>
      <c r="BI54" s="255"/>
      <c r="BJ54" s="255"/>
      <c r="BK54" s="255"/>
      <c r="BL54" s="255"/>
      <c r="BM54" s="255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55"/>
      <c r="BY54" s="255"/>
      <c r="BZ54" s="255"/>
      <c r="CA54" s="255"/>
      <c r="CB54" s="255"/>
      <c r="CC54" s="255"/>
      <c r="CD54" s="255"/>
      <c r="CE54" s="255"/>
      <c r="CF54" s="255"/>
      <c r="CG54" s="255"/>
      <c r="CH54" s="255"/>
      <c r="CI54" s="255"/>
      <c r="CJ54" s="255"/>
      <c r="CK54" s="255"/>
      <c r="CL54" s="255"/>
      <c r="CM54" s="255"/>
      <c r="CN54" s="255"/>
      <c r="CO54" s="255"/>
      <c r="CP54" s="255"/>
      <c r="CQ54" s="255"/>
      <c r="CR54" s="255"/>
      <c r="GQ54" s="16"/>
      <c r="JR54" s="237"/>
      <c r="JS54" s="188"/>
      <c r="JT54" s="188"/>
      <c r="JU54" s="188"/>
      <c r="JV54" s="188"/>
      <c r="JW54" s="188"/>
      <c r="JX54" s="188"/>
      <c r="JY54" s="188"/>
      <c r="JZ54" s="188"/>
      <c r="KA54" s="188"/>
      <c r="KB54" s="188"/>
      <c r="KC54" s="188"/>
      <c r="KD54" s="188"/>
      <c r="KE54" s="188"/>
      <c r="KF54" s="188"/>
      <c r="KG54" s="188"/>
      <c r="KH54" s="188"/>
      <c r="KI54" s="188"/>
      <c r="KJ54" s="188"/>
      <c r="KK54" s="188"/>
      <c r="KL54" s="188"/>
      <c r="KM54" s="188"/>
      <c r="KN54" s="188"/>
      <c r="KO54" s="188"/>
      <c r="KP54" s="188"/>
      <c r="KQ54" s="188"/>
      <c r="KR54" s="188"/>
      <c r="KS54" s="188"/>
      <c r="KT54" s="188"/>
      <c r="KU54" s="188"/>
      <c r="KV54" s="188"/>
      <c r="KW54" s="188"/>
      <c r="KX54" s="188"/>
      <c r="KY54" s="188"/>
      <c r="KZ54" s="188"/>
      <c r="LA54" s="188"/>
      <c r="LB54" s="188"/>
      <c r="LC54" s="188"/>
      <c r="LD54" s="188"/>
      <c r="LE54" s="188"/>
      <c r="LF54" s="238"/>
      <c r="LG54" s="242"/>
      <c r="LH54" s="242"/>
      <c r="LI54" s="242"/>
      <c r="LJ54" s="242"/>
      <c r="LK54" s="242"/>
      <c r="LL54" s="242"/>
      <c r="LU54" s="155"/>
      <c r="OW54" s="12"/>
      <c r="OX54" s="7"/>
    </row>
    <row r="55" spans="3:419" ht="5.0999999999999996" customHeight="1" x14ac:dyDescent="0.3">
      <c r="C55" s="11"/>
      <c r="D55" s="13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  <c r="BK55" s="255"/>
      <c r="BL55" s="255"/>
      <c r="BM55" s="255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55"/>
      <c r="BY55" s="255"/>
      <c r="BZ55" s="255"/>
      <c r="CA55" s="255"/>
      <c r="CB55" s="255"/>
      <c r="CC55" s="255"/>
      <c r="CD55" s="255"/>
      <c r="CE55" s="255"/>
      <c r="CF55" s="255"/>
      <c r="CG55" s="255"/>
      <c r="CH55" s="255"/>
      <c r="CI55" s="255"/>
      <c r="CJ55" s="255"/>
      <c r="CK55" s="255"/>
      <c r="CL55" s="255"/>
      <c r="CM55" s="255"/>
      <c r="CN55" s="255"/>
      <c r="CO55" s="255"/>
      <c r="CP55" s="255"/>
      <c r="CQ55" s="255"/>
      <c r="CR55" s="255"/>
      <c r="GQ55" s="16"/>
      <c r="JR55" s="237"/>
      <c r="JS55" s="188"/>
      <c r="JT55" s="188"/>
      <c r="JU55" s="188"/>
      <c r="JV55" s="188"/>
      <c r="JW55" s="188"/>
      <c r="JX55" s="188"/>
      <c r="JY55" s="188"/>
      <c r="JZ55" s="188"/>
      <c r="KA55" s="188"/>
      <c r="KB55" s="188"/>
      <c r="KC55" s="188"/>
      <c r="KD55" s="188"/>
      <c r="KE55" s="188"/>
      <c r="KF55" s="188"/>
      <c r="KG55" s="188"/>
      <c r="KH55" s="188"/>
      <c r="KI55" s="188"/>
      <c r="KJ55" s="188"/>
      <c r="KK55" s="188"/>
      <c r="KL55" s="188"/>
      <c r="KM55" s="188"/>
      <c r="KN55" s="188"/>
      <c r="KO55" s="188"/>
      <c r="KP55" s="188"/>
      <c r="KQ55" s="188"/>
      <c r="KR55" s="188"/>
      <c r="KS55" s="188"/>
      <c r="KT55" s="188"/>
      <c r="KU55" s="188"/>
      <c r="KV55" s="188"/>
      <c r="KW55" s="188"/>
      <c r="KX55" s="188"/>
      <c r="KY55" s="188"/>
      <c r="KZ55" s="188"/>
      <c r="LA55" s="188"/>
      <c r="LB55" s="188"/>
      <c r="LC55" s="188"/>
      <c r="LD55" s="188"/>
      <c r="LE55" s="188"/>
      <c r="LF55" s="238"/>
      <c r="LG55" s="242"/>
      <c r="LH55" s="242"/>
      <c r="LI55" s="242"/>
      <c r="LJ55" s="242"/>
      <c r="LK55" s="242"/>
      <c r="LL55" s="242"/>
      <c r="LU55" s="155"/>
      <c r="OW55" s="12"/>
      <c r="OX55" s="7"/>
    </row>
    <row r="56" spans="3:419" ht="5.0999999999999996" customHeight="1" x14ac:dyDescent="0.3">
      <c r="C56" s="11"/>
      <c r="D56" s="13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  <c r="BK56" s="255"/>
      <c r="BL56" s="255"/>
      <c r="BM56" s="255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55"/>
      <c r="BY56" s="255"/>
      <c r="BZ56" s="255"/>
      <c r="CA56" s="255"/>
      <c r="CB56" s="255"/>
      <c r="CC56" s="255"/>
      <c r="CD56" s="255"/>
      <c r="CE56" s="255"/>
      <c r="CF56" s="255"/>
      <c r="CG56" s="255"/>
      <c r="CH56" s="255"/>
      <c r="CI56" s="255"/>
      <c r="CJ56" s="255"/>
      <c r="CK56" s="255"/>
      <c r="CL56" s="255"/>
      <c r="CM56" s="255"/>
      <c r="CN56" s="255"/>
      <c r="CO56" s="255"/>
      <c r="CP56" s="255"/>
      <c r="CQ56" s="255"/>
      <c r="CR56" s="255"/>
      <c r="GQ56" s="16"/>
      <c r="JR56" s="239"/>
      <c r="JS56" s="240"/>
      <c r="JT56" s="240"/>
      <c r="JU56" s="240"/>
      <c r="JV56" s="240"/>
      <c r="JW56" s="240"/>
      <c r="JX56" s="240"/>
      <c r="JY56" s="240"/>
      <c r="JZ56" s="240"/>
      <c r="KA56" s="240"/>
      <c r="KB56" s="240"/>
      <c r="KC56" s="240"/>
      <c r="KD56" s="240"/>
      <c r="KE56" s="240"/>
      <c r="KF56" s="240"/>
      <c r="KG56" s="240"/>
      <c r="KH56" s="240"/>
      <c r="KI56" s="240"/>
      <c r="KJ56" s="240"/>
      <c r="KK56" s="240"/>
      <c r="KL56" s="240"/>
      <c r="KM56" s="240"/>
      <c r="KN56" s="240"/>
      <c r="KO56" s="240"/>
      <c r="KP56" s="240"/>
      <c r="KQ56" s="240"/>
      <c r="KR56" s="240"/>
      <c r="KS56" s="240"/>
      <c r="KT56" s="240"/>
      <c r="KU56" s="240"/>
      <c r="KV56" s="240"/>
      <c r="KW56" s="240"/>
      <c r="KX56" s="240"/>
      <c r="KY56" s="240"/>
      <c r="KZ56" s="240"/>
      <c r="LA56" s="240"/>
      <c r="LB56" s="240"/>
      <c r="LC56" s="240"/>
      <c r="LD56" s="240"/>
      <c r="LE56" s="240"/>
      <c r="LF56" s="241"/>
      <c r="LG56" s="242"/>
      <c r="LH56" s="242"/>
      <c r="LI56" s="242"/>
      <c r="LJ56" s="242"/>
      <c r="LK56" s="242"/>
      <c r="LL56" s="242"/>
      <c r="LU56" s="155"/>
      <c r="OW56" s="12"/>
      <c r="OX56" s="7"/>
    </row>
    <row r="57" spans="3:419" ht="5.0999999999999996" customHeight="1" x14ac:dyDescent="0.3">
      <c r="C57" s="11"/>
      <c r="D57" s="13"/>
      <c r="AY57" s="255"/>
      <c r="AZ57" s="255"/>
      <c r="BA57" s="255"/>
      <c r="BB57" s="255"/>
      <c r="BC57" s="255"/>
      <c r="BD57" s="255"/>
      <c r="BE57" s="255"/>
      <c r="BF57" s="255"/>
      <c r="BG57" s="255"/>
      <c r="BH57" s="255"/>
      <c r="BI57" s="255"/>
      <c r="BJ57" s="255"/>
      <c r="BK57" s="255"/>
      <c r="BL57" s="255"/>
      <c r="BM57" s="255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55"/>
      <c r="BY57" s="255"/>
      <c r="BZ57" s="255"/>
      <c r="CA57" s="255"/>
      <c r="CB57" s="255"/>
      <c r="CC57" s="255"/>
      <c r="CD57" s="255"/>
      <c r="CE57" s="255"/>
      <c r="CF57" s="255"/>
      <c r="CG57" s="255"/>
      <c r="CH57" s="255"/>
      <c r="CI57" s="255"/>
      <c r="CJ57" s="255"/>
      <c r="CK57" s="255"/>
      <c r="CL57" s="255"/>
      <c r="CM57" s="255"/>
      <c r="CN57" s="255"/>
      <c r="CO57" s="255"/>
      <c r="CP57" s="255"/>
      <c r="CQ57" s="255"/>
      <c r="CR57" s="255"/>
      <c r="GQ57" s="16"/>
      <c r="LU57" s="155"/>
      <c r="OW57" s="12"/>
      <c r="OX57" s="7"/>
    </row>
    <row r="58" spans="3:419" ht="5.0999999999999996" customHeight="1" x14ac:dyDescent="0.3">
      <c r="C58" s="11"/>
      <c r="D58" s="13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5"/>
      <c r="BK58" s="255"/>
      <c r="BL58" s="255"/>
      <c r="BM58" s="255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55"/>
      <c r="BY58" s="255"/>
      <c r="BZ58" s="255"/>
      <c r="CA58" s="255"/>
      <c r="CB58" s="255"/>
      <c r="CC58" s="255"/>
      <c r="CD58" s="255"/>
      <c r="CE58" s="255"/>
      <c r="CF58" s="255"/>
      <c r="CG58" s="255"/>
      <c r="CH58" s="255"/>
      <c r="CI58" s="255"/>
      <c r="CJ58" s="255"/>
      <c r="CK58" s="255"/>
      <c r="CL58" s="255"/>
      <c r="CM58" s="255"/>
      <c r="CN58" s="255"/>
      <c r="CO58" s="255"/>
      <c r="CP58" s="255"/>
      <c r="CQ58" s="255"/>
      <c r="CR58" s="255"/>
      <c r="GQ58" s="16"/>
      <c r="LU58" s="155"/>
      <c r="OW58" s="12"/>
      <c r="OX58" s="7"/>
    </row>
    <row r="59" spans="3:419" ht="5.0999999999999996" customHeight="1" x14ac:dyDescent="0.3">
      <c r="C59" s="11"/>
      <c r="D59" s="13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  <c r="BK59" s="255"/>
      <c r="BL59" s="255"/>
      <c r="BM59" s="255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55"/>
      <c r="BY59" s="255"/>
      <c r="BZ59" s="255"/>
      <c r="CA59" s="255"/>
      <c r="CB59" s="255"/>
      <c r="CC59" s="255"/>
      <c r="CD59" s="255"/>
      <c r="CE59" s="255"/>
      <c r="CF59" s="255"/>
      <c r="CG59" s="255"/>
      <c r="CH59" s="255"/>
      <c r="CI59" s="255"/>
      <c r="CJ59" s="255"/>
      <c r="CK59" s="255"/>
      <c r="CL59" s="255"/>
      <c r="CM59" s="255"/>
      <c r="CN59" s="255"/>
      <c r="CO59" s="255"/>
      <c r="CP59" s="255"/>
      <c r="CQ59" s="255"/>
      <c r="CR59" s="255"/>
      <c r="GQ59" s="16"/>
      <c r="LU59" s="155"/>
      <c r="OW59" s="12"/>
      <c r="OX59" s="7"/>
      <c r="OZ59" s="3"/>
      <c r="PA59" s="3"/>
      <c r="PB59" s="3"/>
      <c r="PC59" s="2"/>
    </row>
    <row r="60" spans="3:419" ht="5.0999999999999996" customHeight="1" x14ac:dyDescent="0.3">
      <c r="C60" s="11"/>
      <c r="D60" s="13"/>
      <c r="AY60" s="255"/>
      <c r="AZ60" s="255"/>
      <c r="BA60" s="255"/>
      <c r="BB60" s="255"/>
      <c r="BC60" s="255"/>
      <c r="BD60" s="255"/>
      <c r="BE60" s="255"/>
      <c r="BF60" s="255"/>
      <c r="BG60" s="255"/>
      <c r="BH60" s="255"/>
      <c r="BI60" s="255"/>
      <c r="BJ60" s="255"/>
      <c r="BK60" s="255"/>
      <c r="BL60" s="255"/>
      <c r="BM60" s="255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55"/>
      <c r="BY60" s="255"/>
      <c r="BZ60" s="255"/>
      <c r="CA60" s="255"/>
      <c r="CB60" s="255"/>
      <c r="CC60" s="255"/>
      <c r="CD60" s="255"/>
      <c r="CE60" s="255"/>
      <c r="CF60" s="255"/>
      <c r="CG60" s="255"/>
      <c r="CH60" s="255"/>
      <c r="CI60" s="255"/>
      <c r="CJ60" s="255"/>
      <c r="CK60" s="255"/>
      <c r="CL60" s="255"/>
      <c r="CM60" s="255"/>
      <c r="CN60" s="255"/>
      <c r="CO60" s="255"/>
      <c r="CP60" s="255"/>
      <c r="CQ60" s="255"/>
      <c r="CR60" s="255"/>
      <c r="GQ60" s="16"/>
      <c r="LU60" s="155"/>
      <c r="OW60" s="12"/>
      <c r="OX60" s="7"/>
    </row>
    <row r="61" spans="3:419" ht="5.0999999999999996" customHeight="1" thickBot="1" x14ac:dyDescent="0.35">
      <c r="C61" s="11"/>
      <c r="D61" s="13"/>
      <c r="AY61" s="255"/>
      <c r="AZ61" s="255"/>
      <c r="BA61" s="255"/>
      <c r="BB61" s="255"/>
      <c r="BC61" s="255"/>
      <c r="BD61" s="255"/>
      <c r="BE61" s="255"/>
      <c r="BF61" s="255"/>
      <c r="BG61" s="255"/>
      <c r="BH61" s="255"/>
      <c r="BI61" s="255"/>
      <c r="BJ61" s="255"/>
      <c r="BK61" s="255"/>
      <c r="BL61" s="255"/>
      <c r="BM61" s="255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55"/>
      <c r="BY61" s="255"/>
      <c r="BZ61" s="255"/>
      <c r="CA61" s="255"/>
      <c r="CB61" s="255"/>
      <c r="CC61" s="255"/>
      <c r="CD61" s="255"/>
      <c r="CE61" s="255"/>
      <c r="CF61" s="255"/>
      <c r="CG61" s="255"/>
      <c r="CH61" s="255"/>
      <c r="CI61" s="255"/>
      <c r="CJ61" s="255"/>
      <c r="CK61" s="255"/>
      <c r="CL61" s="255"/>
      <c r="CM61" s="255"/>
      <c r="CN61" s="255"/>
      <c r="CO61" s="255"/>
      <c r="CP61" s="255"/>
      <c r="CQ61" s="255"/>
      <c r="CR61" s="255"/>
      <c r="GQ61" s="23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159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OW61" s="12"/>
      <c r="OX61" s="7"/>
    </row>
    <row r="62" spans="3:419" ht="5.0999999999999996" customHeight="1" x14ac:dyDescent="0.3">
      <c r="C62" s="11"/>
      <c r="D62" s="13"/>
      <c r="AY62" s="255"/>
      <c r="AZ62" s="255"/>
      <c r="BA62" s="255"/>
      <c r="BB62" s="255"/>
      <c r="BC62" s="255"/>
      <c r="BD62" s="255"/>
      <c r="BE62" s="255"/>
      <c r="BF62" s="255"/>
      <c r="BG62" s="255"/>
      <c r="BH62" s="255"/>
      <c r="BI62" s="255"/>
      <c r="BJ62" s="255"/>
      <c r="BK62" s="255"/>
      <c r="BL62" s="255"/>
      <c r="BM62" s="255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55"/>
      <c r="BY62" s="255"/>
      <c r="BZ62" s="255"/>
      <c r="CA62" s="255"/>
      <c r="CB62" s="255"/>
      <c r="CC62" s="255"/>
      <c r="CD62" s="255"/>
      <c r="CE62" s="255"/>
      <c r="CF62" s="255"/>
      <c r="CG62" s="255"/>
      <c r="CH62" s="255"/>
      <c r="CI62" s="255"/>
      <c r="CJ62" s="255"/>
      <c r="CK62" s="255"/>
      <c r="CL62" s="255"/>
      <c r="CM62" s="255"/>
      <c r="CN62" s="255"/>
      <c r="CO62" s="255"/>
      <c r="CP62" s="255"/>
      <c r="CQ62" s="255"/>
      <c r="CR62" s="255"/>
      <c r="GQ62" s="16"/>
      <c r="LU62" s="155"/>
      <c r="MX62" s="20"/>
      <c r="OW62" s="12"/>
      <c r="OX62" s="7"/>
    </row>
    <row r="63" spans="3:419" ht="5.0999999999999996" customHeight="1" x14ac:dyDescent="0.3">
      <c r="C63" s="11"/>
      <c r="D63" s="13"/>
      <c r="BP63" s="15"/>
      <c r="GQ63" s="16"/>
      <c r="LU63" s="155"/>
      <c r="MX63" s="19"/>
      <c r="OW63" s="12"/>
      <c r="OX63" s="7"/>
    </row>
    <row r="64" spans="3:419" ht="5.0999999999999996" customHeight="1" x14ac:dyDescent="0.3">
      <c r="C64" s="11"/>
      <c r="D64" s="13"/>
      <c r="AY64" s="184" t="s">
        <v>60</v>
      </c>
      <c r="AZ64" s="185"/>
      <c r="BA64" s="185"/>
      <c r="BB64" s="185"/>
      <c r="BC64" s="185"/>
      <c r="BD64" s="185"/>
      <c r="BE64" s="185"/>
      <c r="BF64" s="185"/>
      <c r="BG64" s="185"/>
      <c r="BH64" s="185"/>
      <c r="BI64" s="185"/>
      <c r="BJ64" s="185"/>
      <c r="BK64" s="185"/>
      <c r="BL64" s="185"/>
      <c r="BM64" s="185"/>
      <c r="BN64" s="185"/>
      <c r="BO64" s="185"/>
      <c r="BP64" s="185"/>
      <c r="BQ64" s="185"/>
      <c r="BR64" s="185"/>
      <c r="BS64" s="185"/>
      <c r="BT64" s="185"/>
      <c r="BU64" s="185"/>
      <c r="BV64" s="185"/>
      <c r="BW64" s="185"/>
      <c r="BX64" s="185"/>
      <c r="BY64" s="185"/>
      <c r="BZ64" s="185"/>
      <c r="CA64" s="185"/>
      <c r="CB64" s="185"/>
      <c r="CC64" s="185"/>
      <c r="CD64" s="185"/>
      <c r="CE64" s="185"/>
      <c r="CF64" s="185"/>
      <c r="CG64" s="185"/>
      <c r="CH64" s="185"/>
      <c r="CI64" s="185"/>
      <c r="CJ64" s="185"/>
      <c r="CK64" s="185"/>
      <c r="CL64" s="185"/>
      <c r="CM64" s="186"/>
      <c r="CN64" s="225">
        <v>1</v>
      </c>
      <c r="CO64" s="226"/>
      <c r="CP64" s="226"/>
      <c r="CQ64" s="226"/>
      <c r="CR64" s="227"/>
      <c r="GQ64" s="16"/>
      <c r="LU64" s="155"/>
      <c r="MX64" s="19"/>
      <c r="OW64" s="12"/>
      <c r="OX64" s="7"/>
    </row>
    <row r="65" spans="3:419" ht="5.0999999999999996" customHeight="1" x14ac:dyDescent="0.3">
      <c r="C65" s="11"/>
      <c r="D65" s="13"/>
      <c r="AY65" s="187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188"/>
      <c r="BK65" s="188"/>
      <c r="BL65" s="188"/>
      <c r="BM65" s="188"/>
      <c r="BN65" s="188"/>
      <c r="BO65" s="188"/>
      <c r="BP65" s="188"/>
      <c r="BQ65" s="188"/>
      <c r="BR65" s="188"/>
      <c r="BS65" s="188"/>
      <c r="BT65" s="188"/>
      <c r="BU65" s="188"/>
      <c r="BV65" s="188"/>
      <c r="BW65" s="188"/>
      <c r="BX65" s="188"/>
      <c r="BY65" s="188"/>
      <c r="BZ65" s="188"/>
      <c r="CA65" s="188"/>
      <c r="CB65" s="188"/>
      <c r="CC65" s="188"/>
      <c r="CD65" s="188"/>
      <c r="CE65" s="188"/>
      <c r="CF65" s="188"/>
      <c r="CG65" s="188"/>
      <c r="CH65" s="188"/>
      <c r="CI65" s="188"/>
      <c r="CJ65" s="188"/>
      <c r="CK65" s="188"/>
      <c r="CL65" s="188"/>
      <c r="CM65" s="189"/>
      <c r="CN65" s="228"/>
      <c r="CO65" s="229"/>
      <c r="CP65" s="229"/>
      <c r="CQ65" s="229"/>
      <c r="CR65" s="230"/>
      <c r="GQ65" s="16"/>
      <c r="LU65" s="155"/>
      <c r="MX65" s="19"/>
      <c r="OW65" s="12"/>
      <c r="OX65" s="7"/>
    </row>
    <row r="66" spans="3:419" ht="5.0999999999999996" customHeight="1" x14ac:dyDescent="0.3">
      <c r="C66" s="11"/>
      <c r="D66" s="13"/>
      <c r="AY66" s="187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  <c r="BP66" s="188"/>
      <c r="BQ66" s="188"/>
      <c r="BR66" s="188"/>
      <c r="BS66" s="188"/>
      <c r="BT66" s="188"/>
      <c r="BU66" s="188"/>
      <c r="BV66" s="188"/>
      <c r="BW66" s="188"/>
      <c r="BX66" s="188"/>
      <c r="BY66" s="188"/>
      <c r="BZ66" s="188"/>
      <c r="CA66" s="188"/>
      <c r="CB66" s="188"/>
      <c r="CC66" s="188"/>
      <c r="CD66" s="188"/>
      <c r="CE66" s="188"/>
      <c r="CF66" s="188"/>
      <c r="CG66" s="188"/>
      <c r="CH66" s="188"/>
      <c r="CI66" s="188"/>
      <c r="CJ66" s="188"/>
      <c r="CK66" s="188"/>
      <c r="CL66" s="188"/>
      <c r="CM66" s="189"/>
      <c r="CN66" s="228"/>
      <c r="CO66" s="229"/>
      <c r="CP66" s="229"/>
      <c r="CQ66" s="229"/>
      <c r="CR66" s="230"/>
      <c r="GQ66" s="16"/>
      <c r="LU66" s="155"/>
      <c r="MX66" s="19"/>
      <c r="OW66" s="12"/>
      <c r="OX66" s="7"/>
    </row>
    <row r="67" spans="3:419" ht="5.0999999999999996" customHeight="1" x14ac:dyDescent="0.3">
      <c r="C67" s="11"/>
      <c r="D67" s="13"/>
      <c r="AY67" s="187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188"/>
      <c r="BK67" s="188"/>
      <c r="BL67" s="188"/>
      <c r="BM67" s="188"/>
      <c r="BN67" s="188"/>
      <c r="BO67" s="188"/>
      <c r="BP67" s="188"/>
      <c r="BQ67" s="188"/>
      <c r="BR67" s="188"/>
      <c r="BS67" s="188"/>
      <c r="BT67" s="188"/>
      <c r="BU67" s="188"/>
      <c r="BV67" s="188"/>
      <c r="BW67" s="188"/>
      <c r="BX67" s="188"/>
      <c r="BY67" s="188"/>
      <c r="BZ67" s="188"/>
      <c r="CA67" s="188"/>
      <c r="CB67" s="188"/>
      <c r="CC67" s="188"/>
      <c r="CD67" s="188"/>
      <c r="CE67" s="188"/>
      <c r="CF67" s="188"/>
      <c r="CG67" s="188"/>
      <c r="CH67" s="188"/>
      <c r="CI67" s="188"/>
      <c r="CJ67" s="188"/>
      <c r="CK67" s="188"/>
      <c r="CL67" s="188"/>
      <c r="CM67" s="189"/>
      <c r="CN67" s="228"/>
      <c r="CO67" s="229"/>
      <c r="CP67" s="229"/>
      <c r="CQ67" s="229"/>
      <c r="CR67" s="230"/>
      <c r="GQ67" s="16"/>
      <c r="LU67" s="155"/>
      <c r="MX67" s="19"/>
      <c r="OW67" s="12"/>
      <c r="OX67" s="7"/>
    </row>
    <row r="68" spans="3:419" ht="5.0999999999999996" customHeight="1" x14ac:dyDescent="0.3">
      <c r="C68" s="11"/>
      <c r="D68" s="13"/>
      <c r="AY68" s="187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188"/>
      <c r="BK68" s="188"/>
      <c r="BL68" s="188"/>
      <c r="BM68" s="188"/>
      <c r="BN68" s="188"/>
      <c r="BO68" s="188"/>
      <c r="BP68" s="188"/>
      <c r="BQ68" s="188"/>
      <c r="BR68" s="188"/>
      <c r="BS68" s="188"/>
      <c r="BT68" s="188"/>
      <c r="BU68" s="188"/>
      <c r="BV68" s="188"/>
      <c r="BW68" s="188"/>
      <c r="BX68" s="188"/>
      <c r="BY68" s="188"/>
      <c r="BZ68" s="188"/>
      <c r="CA68" s="188"/>
      <c r="CB68" s="188"/>
      <c r="CC68" s="188"/>
      <c r="CD68" s="188"/>
      <c r="CE68" s="188"/>
      <c r="CF68" s="188"/>
      <c r="CG68" s="188"/>
      <c r="CH68" s="188"/>
      <c r="CI68" s="188"/>
      <c r="CJ68" s="188"/>
      <c r="CK68" s="188"/>
      <c r="CL68" s="188"/>
      <c r="CM68" s="189"/>
      <c r="CN68" s="228"/>
      <c r="CO68" s="229"/>
      <c r="CP68" s="229"/>
      <c r="CQ68" s="229"/>
      <c r="CR68" s="230"/>
      <c r="GQ68" s="16"/>
      <c r="LU68" s="155"/>
      <c r="MX68" s="19"/>
      <c r="OW68" s="12"/>
      <c r="OX68" s="7"/>
    </row>
    <row r="69" spans="3:419" ht="5.0999999999999996" customHeight="1" x14ac:dyDescent="0.3">
      <c r="C69" s="11"/>
      <c r="D69" s="13"/>
      <c r="AY69" s="187"/>
      <c r="AZ69" s="188"/>
      <c r="BA69" s="188"/>
      <c r="BB69" s="188"/>
      <c r="BC69" s="188"/>
      <c r="BD69" s="188"/>
      <c r="BE69" s="188"/>
      <c r="BF69" s="188"/>
      <c r="BG69" s="188"/>
      <c r="BH69" s="188"/>
      <c r="BI69" s="188"/>
      <c r="BJ69" s="188"/>
      <c r="BK69" s="188"/>
      <c r="BL69" s="188"/>
      <c r="BM69" s="188"/>
      <c r="BN69" s="188"/>
      <c r="BO69" s="188"/>
      <c r="BP69" s="188"/>
      <c r="BQ69" s="188"/>
      <c r="BR69" s="188"/>
      <c r="BS69" s="188"/>
      <c r="BT69" s="188"/>
      <c r="BU69" s="188"/>
      <c r="BV69" s="188"/>
      <c r="BW69" s="188"/>
      <c r="BX69" s="188"/>
      <c r="BY69" s="188"/>
      <c r="BZ69" s="188"/>
      <c r="CA69" s="188"/>
      <c r="CB69" s="188"/>
      <c r="CC69" s="188"/>
      <c r="CD69" s="188"/>
      <c r="CE69" s="188"/>
      <c r="CF69" s="188"/>
      <c r="CG69" s="188"/>
      <c r="CH69" s="188"/>
      <c r="CI69" s="188"/>
      <c r="CJ69" s="188"/>
      <c r="CK69" s="188"/>
      <c r="CL69" s="188"/>
      <c r="CM69" s="189"/>
      <c r="CN69" s="228"/>
      <c r="CO69" s="229"/>
      <c r="CP69" s="229"/>
      <c r="CQ69" s="229"/>
      <c r="CR69" s="230"/>
      <c r="GQ69" s="16"/>
      <c r="LU69" s="155"/>
      <c r="MX69" s="19"/>
      <c r="OW69" s="12"/>
      <c r="OX69" s="7"/>
      <c r="OZ69" s="3"/>
      <c r="PA69" s="3"/>
      <c r="PB69" s="3"/>
      <c r="PC69" s="2"/>
    </row>
    <row r="70" spans="3:419" ht="5.0999999999999996" customHeight="1" x14ac:dyDescent="0.3">
      <c r="C70" s="11"/>
      <c r="D70" s="13"/>
      <c r="AY70" s="187"/>
      <c r="AZ70" s="188"/>
      <c r="BA70" s="188"/>
      <c r="BB70" s="188"/>
      <c r="BC70" s="188"/>
      <c r="BD70" s="188"/>
      <c r="BE70" s="188"/>
      <c r="BF70" s="188"/>
      <c r="BG70" s="188"/>
      <c r="BH70" s="188"/>
      <c r="BI70" s="188"/>
      <c r="BJ70" s="188"/>
      <c r="BK70" s="188"/>
      <c r="BL70" s="188"/>
      <c r="BM70" s="188"/>
      <c r="BN70" s="188"/>
      <c r="BO70" s="188"/>
      <c r="BP70" s="188"/>
      <c r="BQ70" s="188"/>
      <c r="BR70" s="188"/>
      <c r="BS70" s="188"/>
      <c r="BT70" s="188"/>
      <c r="BU70" s="188"/>
      <c r="BV70" s="188"/>
      <c r="BW70" s="188"/>
      <c r="BX70" s="188"/>
      <c r="BY70" s="188"/>
      <c r="BZ70" s="188"/>
      <c r="CA70" s="188"/>
      <c r="CB70" s="188"/>
      <c r="CC70" s="188"/>
      <c r="CD70" s="188"/>
      <c r="CE70" s="188"/>
      <c r="CF70" s="188"/>
      <c r="CG70" s="188"/>
      <c r="CH70" s="188"/>
      <c r="CI70" s="188"/>
      <c r="CJ70" s="188"/>
      <c r="CK70" s="188"/>
      <c r="CL70" s="188"/>
      <c r="CM70" s="189"/>
      <c r="CN70" s="228"/>
      <c r="CO70" s="229"/>
      <c r="CP70" s="229"/>
      <c r="CQ70" s="229"/>
      <c r="CR70" s="230"/>
      <c r="GQ70" s="16"/>
      <c r="LU70" s="155"/>
      <c r="MX70" s="19"/>
      <c r="OW70" s="12"/>
      <c r="OX70" s="7"/>
    </row>
    <row r="71" spans="3:419" ht="5.0999999999999996" customHeight="1" x14ac:dyDescent="0.3">
      <c r="C71" s="11"/>
      <c r="D71" s="13"/>
      <c r="AY71" s="187"/>
      <c r="AZ71" s="188"/>
      <c r="BA71" s="188"/>
      <c r="BB71" s="188"/>
      <c r="BC71" s="188"/>
      <c r="BD71" s="188"/>
      <c r="BE71" s="188"/>
      <c r="BF71" s="188"/>
      <c r="BG71" s="188"/>
      <c r="BH71" s="188"/>
      <c r="BI71" s="188"/>
      <c r="BJ71" s="188"/>
      <c r="BK71" s="188"/>
      <c r="BL71" s="188"/>
      <c r="BM71" s="188"/>
      <c r="BN71" s="188"/>
      <c r="BO71" s="188"/>
      <c r="BP71" s="188"/>
      <c r="BQ71" s="188"/>
      <c r="BR71" s="188"/>
      <c r="BS71" s="188"/>
      <c r="BT71" s="188"/>
      <c r="BU71" s="188"/>
      <c r="BV71" s="188"/>
      <c r="BW71" s="188"/>
      <c r="BX71" s="188"/>
      <c r="BY71" s="188"/>
      <c r="BZ71" s="188"/>
      <c r="CA71" s="188"/>
      <c r="CB71" s="188"/>
      <c r="CC71" s="188"/>
      <c r="CD71" s="188"/>
      <c r="CE71" s="188"/>
      <c r="CF71" s="188"/>
      <c r="CG71" s="188"/>
      <c r="CH71" s="188"/>
      <c r="CI71" s="188"/>
      <c r="CJ71" s="188"/>
      <c r="CK71" s="188"/>
      <c r="CL71" s="188"/>
      <c r="CM71" s="189"/>
      <c r="CN71" s="228"/>
      <c r="CO71" s="229"/>
      <c r="CP71" s="229"/>
      <c r="CQ71" s="229"/>
      <c r="CR71" s="230"/>
      <c r="GQ71" s="16"/>
      <c r="LU71" s="155"/>
      <c r="MX71" s="19"/>
      <c r="OW71" s="12"/>
      <c r="OX71" s="7"/>
    </row>
    <row r="72" spans="3:419" ht="5.0999999999999996" customHeight="1" x14ac:dyDescent="0.3">
      <c r="C72" s="11"/>
      <c r="D72" s="13"/>
      <c r="AY72" s="187"/>
      <c r="AZ72" s="188"/>
      <c r="BA72" s="188"/>
      <c r="BB72" s="188"/>
      <c r="BC72" s="188"/>
      <c r="BD72" s="188"/>
      <c r="BE72" s="188"/>
      <c r="BF72" s="188"/>
      <c r="BG72" s="188"/>
      <c r="BH72" s="188"/>
      <c r="BI72" s="188"/>
      <c r="BJ72" s="188"/>
      <c r="BK72" s="188"/>
      <c r="BL72" s="188"/>
      <c r="BM72" s="188"/>
      <c r="BN72" s="188"/>
      <c r="BO72" s="188"/>
      <c r="BP72" s="188"/>
      <c r="BQ72" s="188"/>
      <c r="BR72" s="188"/>
      <c r="BS72" s="188"/>
      <c r="BT72" s="188"/>
      <c r="BU72" s="188"/>
      <c r="BV72" s="188"/>
      <c r="BW72" s="188"/>
      <c r="BX72" s="188"/>
      <c r="BY72" s="188"/>
      <c r="BZ72" s="188"/>
      <c r="CA72" s="188"/>
      <c r="CB72" s="188"/>
      <c r="CC72" s="188"/>
      <c r="CD72" s="188"/>
      <c r="CE72" s="188"/>
      <c r="CF72" s="188"/>
      <c r="CG72" s="188"/>
      <c r="CH72" s="188"/>
      <c r="CI72" s="188"/>
      <c r="CJ72" s="188"/>
      <c r="CK72" s="188"/>
      <c r="CL72" s="188"/>
      <c r="CM72" s="189"/>
      <c r="CN72" s="228"/>
      <c r="CO72" s="229"/>
      <c r="CP72" s="229"/>
      <c r="CQ72" s="229"/>
      <c r="CR72" s="230"/>
      <c r="GQ72" s="16"/>
      <c r="LU72" s="155"/>
      <c r="MX72" s="19"/>
      <c r="OW72" s="12"/>
      <c r="OX72" s="7"/>
    </row>
    <row r="73" spans="3:419" ht="5.0999999999999996" customHeight="1" x14ac:dyDescent="0.3">
      <c r="C73" s="11"/>
      <c r="D73" s="13"/>
      <c r="AY73" s="190"/>
      <c r="AZ73" s="191"/>
      <c r="BA73" s="191"/>
      <c r="BB73" s="191"/>
      <c r="BC73" s="191"/>
      <c r="BD73" s="191"/>
      <c r="BE73" s="191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  <c r="BP73" s="191"/>
      <c r="BQ73" s="191"/>
      <c r="BR73" s="191"/>
      <c r="BS73" s="191"/>
      <c r="BT73" s="191"/>
      <c r="BU73" s="191"/>
      <c r="BV73" s="191"/>
      <c r="BW73" s="191"/>
      <c r="BX73" s="191"/>
      <c r="BY73" s="191"/>
      <c r="BZ73" s="191"/>
      <c r="CA73" s="191"/>
      <c r="CB73" s="191"/>
      <c r="CC73" s="191"/>
      <c r="CD73" s="191"/>
      <c r="CE73" s="191"/>
      <c r="CF73" s="191"/>
      <c r="CG73" s="191"/>
      <c r="CH73" s="191"/>
      <c r="CI73" s="191"/>
      <c r="CJ73" s="191"/>
      <c r="CK73" s="191"/>
      <c r="CL73" s="191"/>
      <c r="CM73" s="192"/>
      <c r="CN73" s="231"/>
      <c r="CO73" s="232"/>
      <c r="CP73" s="232"/>
      <c r="CQ73" s="232"/>
      <c r="CR73" s="233"/>
      <c r="GQ73" s="16"/>
      <c r="LU73" s="155"/>
      <c r="MX73" s="19"/>
      <c r="OW73" s="12"/>
      <c r="OX73" s="7"/>
    </row>
    <row r="74" spans="3:419" ht="5.0999999999999996" customHeight="1" x14ac:dyDescent="0.3">
      <c r="C74" s="11"/>
      <c r="D74" s="13"/>
      <c r="BN74" s="27"/>
      <c r="BO74" s="26"/>
      <c r="GQ74" s="16"/>
      <c r="LU74" s="155"/>
      <c r="MX74" s="19"/>
      <c r="OW74" s="12"/>
      <c r="OX74" s="7"/>
    </row>
    <row r="75" spans="3:419" ht="5.0999999999999996" customHeight="1" x14ac:dyDescent="0.3">
      <c r="C75" s="11"/>
      <c r="D75" s="13"/>
      <c r="AY75" s="184" t="s">
        <v>58</v>
      </c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  <c r="BM75" s="185"/>
      <c r="BN75" s="185"/>
      <c r="BO75" s="185"/>
      <c r="BP75" s="185"/>
      <c r="BQ75" s="185"/>
      <c r="BR75" s="185"/>
      <c r="BS75" s="185"/>
      <c r="BT75" s="185"/>
      <c r="BU75" s="185"/>
      <c r="BV75" s="185"/>
      <c r="BW75" s="185"/>
      <c r="BX75" s="185"/>
      <c r="BY75" s="185"/>
      <c r="BZ75" s="185"/>
      <c r="CA75" s="185"/>
      <c r="CB75" s="185"/>
      <c r="CC75" s="185"/>
      <c r="CD75" s="185"/>
      <c r="CE75" s="185"/>
      <c r="CF75" s="185"/>
      <c r="CG75" s="185"/>
      <c r="CH75" s="185"/>
      <c r="CI75" s="185"/>
      <c r="CJ75" s="185"/>
      <c r="CK75" s="185"/>
      <c r="CL75" s="185"/>
      <c r="CM75" s="186"/>
      <c r="CN75" s="225">
        <v>3</v>
      </c>
      <c r="CO75" s="226"/>
      <c r="CP75" s="226"/>
      <c r="CQ75" s="226"/>
      <c r="CR75" s="227"/>
      <c r="GQ75" s="16"/>
      <c r="LU75" s="155"/>
      <c r="MX75" s="19"/>
      <c r="OW75" s="12"/>
      <c r="OX75" s="7"/>
    </row>
    <row r="76" spans="3:419" ht="5.0999999999999996" customHeight="1" x14ac:dyDescent="0.3">
      <c r="C76" s="11"/>
      <c r="D76" s="13"/>
      <c r="AY76" s="187"/>
      <c r="AZ76" s="188"/>
      <c r="BA76" s="188"/>
      <c r="BB76" s="188"/>
      <c r="BC76" s="188"/>
      <c r="BD76" s="188"/>
      <c r="BE76" s="188"/>
      <c r="BF76" s="188"/>
      <c r="BG76" s="188"/>
      <c r="BH76" s="188"/>
      <c r="BI76" s="188"/>
      <c r="BJ76" s="188"/>
      <c r="BK76" s="188"/>
      <c r="BL76" s="188"/>
      <c r="BM76" s="188"/>
      <c r="BN76" s="188"/>
      <c r="BO76" s="188"/>
      <c r="BP76" s="188"/>
      <c r="BQ76" s="188"/>
      <c r="BR76" s="188"/>
      <c r="BS76" s="188"/>
      <c r="BT76" s="188"/>
      <c r="BU76" s="188"/>
      <c r="BV76" s="188"/>
      <c r="BW76" s="188"/>
      <c r="BX76" s="188"/>
      <c r="BY76" s="188"/>
      <c r="BZ76" s="188"/>
      <c r="CA76" s="188"/>
      <c r="CB76" s="188"/>
      <c r="CC76" s="188"/>
      <c r="CD76" s="188"/>
      <c r="CE76" s="188"/>
      <c r="CF76" s="188"/>
      <c r="CG76" s="188"/>
      <c r="CH76" s="188"/>
      <c r="CI76" s="188"/>
      <c r="CJ76" s="188"/>
      <c r="CK76" s="188"/>
      <c r="CL76" s="188"/>
      <c r="CM76" s="189"/>
      <c r="CN76" s="228"/>
      <c r="CO76" s="229"/>
      <c r="CP76" s="229"/>
      <c r="CQ76" s="229"/>
      <c r="CR76" s="230"/>
      <c r="GQ76" s="16"/>
      <c r="LU76" s="155"/>
      <c r="MX76" s="19"/>
      <c r="OW76" s="12"/>
      <c r="OX76" s="7"/>
    </row>
    <row r="77" spans="3:419" ht="5.0999999999999996" customHeight="1" x14ac:dyDescent="0.3">
      <c r="C77" s="11"/>
      <c r="D77" s="13"/>
      <c r="AY77" s="187"/>
      <c r="AZ77" s="188"/>
      <c r="BA77" s="188"/>
      <c r="BB77" s="188"/>
      <c r="BC77" s="188"/>
      <c r="BD77" s="188"/>
      <c r="BE77" s="188"/>
      <c r="BF77" s="188"/>
      <c r="BG77" s="188"/>
      <c r="BH77" s="188"/>
      <c r="BI77" s="188"/>
      <c r="BJ77" s="188"/>
      <c r="BK77" s="188"/>
      <c r="BL77" s="188"/>
      <c r="BM77" s="188"/>
      <c r="BN77" s="188"/>
      <c r="BO77" s="188"/>
      <c r="BP77" s="188"/>
      <c r="BQ77" s="188"/>
      <c r="BR77" s="188"/>
      <c r="BS77" s="188"/>
      <c r="BT77" s="188"/>
      <c r="BU77" s="188"/>
      <c r="BV77" s="188"/>
      <c r="BW77" s="188"/>
      <c r="BX77" s="188"/>
      <c r="BY77" s="188"/>
      <c r="BZ77" s="188"/>
      <c r="CA77" s="188"/>
      <c r="CB77" s="188"/>
      <c r="CC77" s="188"/>
      <c r="CD77" s="188"/>
      <c r="CE77" s="188"/>
      <c r="CF77" s="188"/>
      <c r="CG77" s="188"/>
      <c r="CH77" s="188"/>
      <c r="CI77" s="188"/>
      <c r="CJ77" s="188"/>
      <c r="CK77" s="188"/>
      <c r="CL77" s="188"/>
      <c r="CM77" s="189"/>
      <c r="CN77" s="228"/>
      <c r="CO77" s="229"/>
      <c r="CP77" s="229"/>
      <c r="CQ77" s="229"/>
      <c r="CR77" s="230"/>
      <c r="GQ77" s="16"/>
      <c r="LU77" s="155"/>
      <c r="MX77" s="19"/>
      <c r="OW77" s="12"/>
      <c r="OX77" s="7"/>
    </row>
    <row r="78" spans="3:419" ht="5.0999999999999996" customHeight="1" x14ac:dyDescent="0.3">
      <c r="C78" s="11"/>
      <c r="D78" s="13"/>
      <c r="AY78" s="187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8"/>
      <c r="BV78" s="188"/>
      <c r="BW78" s="188"/>
      <c r="BX78" s="188"/>
      <c r="BY78" s="188"/>
      <c r="BZ78" s="188"/>
      <c r="CA78" s="188"/>
      <c r="CB78" s="188"/>
      <c r="CC78" s="188"/>
      <c r="CD78" s="188"/>
      <c r="CE78" s="188"/>
      <c r="CF78" s="188"/>
      <c r="CG78" s="188"/>
      <c r="CH78" s="188"/>
      <c r="CI78" s="188"/>
      <c r="CJ78" s="188"/>
      <c r="CK78" s="188"/>
      <c r="CL78" s="188"/>
      <c r="CM78" s="189"/>
      <c r="CN78" s="228"/>
      <c r="CO78" s="229"/>
      <c r="CP78" s="229"/>
      <c r="CQ78" s="229"/>
      <c r="CR78" s="230"/>
      <c r="GQ78" s="16"/>
      <c r="LU78" s="155"/>
      <c r="MX78" s="19"/>
      <c r="OW78" s="12"/>
      <c r="OX78" s="7"/>
    </row>
    <row r="79" spans="3:419" ht="5.0999999999999996" customHeight="1" x14ac:dyDescent="0.3">
      <c r="C79" s="11"/>
      <c r="D79" s="13"/>
      <c r="AY79" s="187"/>
      <c r="AZ79" s="188"/>
      <c r="BA79" s="188"/>
      <c r="BB79" s="188"/>
      <c r="BC79" s="188"/>
      <c r="BD79" s="188"/>
      <c r="BE79" s="188"/>
      <c r="BF79" s="188"/>
      <c r="BG79" s="188"/>
      <c r="BH79" s="188"/>
      <c r="BI79" s="188"/>
      <c r="BJ79" s="188"/>
      <c r="BK79" s="188"/>
      <c r="BL79" s="188"/>
      <c r="BM79" s="188"/>
      <c r="BN79" s="188"/>
      <c r="BO79" s="188"/>
      <c r="BP79" s="188"/>
      <c r="BQ79" s="188"/>
      <c r="BR79" s="188"/>
      <c r="BS79" s="188"/>
      <c r="BT79" s="188"/>
      <c r="BU79" s="188"/>
      <c r="BV79" s="188"/>
      <c r="BW79" s="188"/>
      <c r="BX79" s="188"/>
      <c r="BY79" s="188"/>
      <c r="BZ79" s="188"/>
      <c r="CA79" s="188"/>
      <c r="CB79" s="188"/>
      <c r="CC79" s="188"/>
      <c r="CD79" s="188"/>
      <c r="CE79" s="188"/>
      <c r="CF79" s="188"/>
      <c r="CG79" s="188"/>
      <c r="CH79" s="188"/>
      <c r="CI79" s="188"/>
      <c r="CJ79" s="188"/>
      <c r="CK79" s="188"/>
      <c r="CL79" s="188"/>
      <c r="CM79" s="189"/>
      <c r="CN79" s="228"/>
      <c r="CO79" s="229"/>
      <c r="CP79" s="229"/>
      <c r="CQ79" s="229"/>
      <c r="CR79" s="230"/>
      <c r="GQ79" s="16"/>
      <c r="LU79" s="155"/>
      <c r="MX79" s="19"/>
      <c r="OW79" s="12"/>
      <c r="OX79" s="7"/>
    </row>
    <row r="80" spans="3:419" ht="5.0999999999999996" customHeight="1" x14ac:dyDescent="0.3">
      <c r="C80" s="11"/>
      <c r="D80" s="13"/>
      <c r="AY80" s="187"/>
      <c r="AZ80" s="188"/>
      <c r="BA80" s="188"/>
      <c r="BB80" s="188"/>
      <c r="BC80" s="188"/>
      <c r="BD80" s="188"/>
      <c r="BE80" s="188"/>
      <c r="BF80" s="188"/>
      <c r="BG80" s="188"/>
      <c r="BH80" s="188"/>
      <c r="BI80" s="188"/>
      <c r="BJ80" s="188"/>
      <c r="BK80" s="188"/>
      <c r="BL80" s="188"/>
      <c r="BM80" s="188"/>
      <c r="BN80" s="188"/>
      <c r="BO80" s="188"/>
      <c r="BP80" s="188"/>
      <c r="BQ80" s="188"/>
      <c r="BR80" s="188"/>
      <c r="BS80" s="188"/>
      <c r="BT80" s="188"/>
      <c r="BU80" s="188"/>
      <c r="BV80" s="188"/>
      <c r="BW80" s="188"/>
      <c r="BX80" s="188"/>
      <c r="BY80" s="188"/>
      <c r="BZ80" s="188"/>
      <c r="CA80" s="188"/>
      <c r="CB80" s="188"/>
      <c r="CC80" s="188"/>
      <c r="CD80" s="188"/>
      <c r="CE80" s="188"/>
      <c r="CF80" s="188"/>
      <c r="CG80" s="188"/>
      <c r="CH80" s="188"/>
      <c r="CI80" s="188"/>
      <c r="CJ80" s="188"/>
      <c r="CK80" s="188"/>
      <c r="CL80" s="188"/>
      <c r="CM80" s="189"/>
      <c r="CN80" s="228"/>
      <c r="CO80" s="229"/>
      <c r="CP80" s="229"/>
      <c r="CQ80" s="229"/>
      <c r="CR80" s="230"/>
      <c r="GQ80" s="16"/>
      <c r="LU80" s="155"/>
      <c r="MX80" s="19"/>
      <c r="OW80" s="12"/>
      <c r="OX80" s="7"/>
    </row>
    <row r="81" spans="3:414" ht="5.0999999999999996" customHeight="1" x14ac:dyDescent="0.3">
      <c r="C81" s="11"/>
      <c r="D81" s="13"/>
      <c r="AY81" s="187"/>
      <c r="AZ81" s="188"/>
      <c r="BA81" s="188"/>
      <c r="BB81" s="188"/>
      <c r="BC81" s="188"/>
      <c r="BD81" s="188"/>
      <c r="BE81" s="188"/>
      <c r="BF81" s="188"/>
      <c r="BG81" s="188"/>
      <c r="BH81" s="188"/>
      <c r="BI81" s="188"/>
      <c r="BJ81" s="188"/>
      <c r="BK81" s="188"/>
      <c r="BL81" s="188"/>
      <c r="BM81" s="188"/>
      <c r="BN81" s="188"/>
      <c r="BO81" s="188"/>
      <c r="BP81" s="188"/>
      <c r="BQ81" s="188"/>
      <c r="BR81" s="188"/>
      <c r="BS81" s="188"/>
      <c r="BT81" s="188"/>
      <c r="BU81" s="188"/>
      <c r="BV81" s="188"/>
      <c r="BW81" s="188"/>
      <c r="BX81" s="188"/>
      <c r="BY81" s="188"/>
      <c r="BZ81" s="188"/>
      <c r="CA81" s="188"/>
      <c r="CB81" s="188"/>
      <c r="CC81" s="188"/>
      <c r="CD81" s="188"/>
      <c r="CE81" s="188"/>
      <c r="CF81" s="188"/>
      <c r="CG81" s="188"/>
      <c r="CH81" s="188"/>
      <c r="CI81" s="188"/>
      <c r="CJ81" s="188"/>
      <c r="CK81" s="188"/>
      <c r="CL81" s="188"/>
      <c r="CM81" s="189"/>
      <c r="CN81" s="228"/>
      <c r="CO81" s="229"/>
      <c r="CP81" s="229"/>
      <c r="CQ81" s="229"/>
      <c r="CR81" s="230"/>
      <c r="GQ81" s="16"/>
      <c r="LU81" s="155"/>
      <c r="MX81" s="19"/>
      <c r="OW81" s="12"/>
      <c r="OX81" s="7"/>
    </row>
    <row r="82" spans="3:414" ht="5.0999999999999996" customHeight="1" x14ac:dyDescent="0.3">
      <c r="C82" s="11"/>
      <c r="D82" s="13"/>
      <c r="AY82" s="187"/>
      <c r="AZ82" s="188"/>
      <c r="BA82" s="188"/>
      <c r="BB82" s="188"/>
      <c r="BC82" s="188"/>
      <c r="BD82" s="188"/>
      <c r="BE82" s="188"/>
      <c r="BF82" s="188"/>
      <c r="BG82" s="188"/>
      <c r="BH82" s="188"/>
      <c r="BI82" s="188"/>
      <c r="BJ82" s="188"/>
      <c r="BK82" s="188"/>
      <c r="BL82" s="188"/>
      <c r="BM82" s="188"/>
      <c r="BN82" s="188"/>
      <c r="BO82" s="188"/>
      <c r="BP82" s="188"/>
      <c r="BQ82" s="188"/>
      <c r="BR82" s="188"/>
      <c r="BS82" s="188"/>
      <c r="BT82" s="188"/>
      <c r="BU82" s="188"/>
      <c r="BV82" s="188"/>
      <c r="BW82" s="188"/>
      <c r="BX82" s="188"/>
      <c r="BY82" s="188"/>
      <c r="BZ82" s="188"/>
      <c r="CA82" s="188"/>
      <c r="CB82" s="188"/>
      <c r="CC82" s="188"/>
      <c r="CD82" s="188"/>
      <c r="CE82" s="188"/>
      <c r="CF82" s="188"/>
      <c r="CG82" s="188"/>
      <c r="CH82" s="188"/>
      <c r="CI82" s="188"/>
      <c r="CJ82" s="188"/>
      <c r="CK82" s="188"/>
      <c r="CL82" s="188"/>
      <c r="CM82" s="189"/>
      <c r="CN82" s="228"/>
      <c r="CO82" s="229"/>
      <c r="CP82" s="229"/>
      <c r="CQ82" s="229"/>
      <c r="CR82" s="230"/>
      <c r="GQ82" s="16"/>
      <c r="LU82" s="155"/>
      <c r="MX82" s="19"/>
      <c r="OW82" s="12"/>
      <c r="OX82" s="7"/>
    </row>
    <row r="83" spans="3:414" ht="5.0999999999999996" customHeight="1" x14ac:dyDescent="0.3">
      <c r="C83" s="11"/>
      <c r="D83" s="13"/>
      <c r="AY83" s="190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1"/>
      <c r="CC83" s="191"/>
      <c r="CD83" s="191"/>
      <c r="CE83" s="191"/>
      <c r="CF83" s="191"/>
      <c r="CG83" s="191"/>
      <c r="CH83" s="191"/>
      <c r="CI83" s="191"/>
      <c r="CJ83" s="191"/>
      <c r="CK83" s="191"/>
      <c r="CL83" s="191"/>
      <c r="CM83" s="192"/>
      <c r="CN83" s="231"/>
      <c r="CO83" s="232"/>
      <c r="CP83" s="232"/>
      <c r="CQ83" s="232"/>
      <c r="CR83" s="233"/>
      <c r="GQ83" s="16"/>
      <c r="LU83" s="155"/>
      <c r="MX83" s="19"/>
      <c r="OW83" s="12"/>
      <c r="OX83" s="7"/>
    </row>
    <row r="84" spans="3:414" ht="5.0999999999999996" customHeight="1" x14ac:dyDescent="0.3">
      <c r="C84" s="11"/>
      <c r="D84" s="13"/>
      <c r="GQ84" s="16"/>
      <c r="LU84" s="155"/>
      <c r="MX84" s="19"/>
      <c r="OW84" s="12"/>
      <c r="OX84" s="7"/>
    </row>
    <row r="85" spans="3:414" ht="5.0999999999999996" customHeight="1" x14ac:dyDescent="0.3">
      <c r="C85" s="11"/>
      <c r="D85" s="13"/>
      <c r="GQ85" s="16"/>
      <c r="LU85" s="155"/>
      <c r="MX85" s="19"/>
      <c r="OW85" s="12"/>
      <c r="OX85" s="7"/>
    </row>
    <row r="86" spans="3:414" ht="5.0999999999999996" customHeight="1" x14ac:dyDescent="0.3">
      <c r="C86" s="11"/>
      <c r="D86" s="13"/>
      <c r="GQ86" s="16"/>
      <c r="LU86" s="155"/>
      <c r="MX86" s="19"/>
      <c r="OW86" s="12"/>
      <c r="OX86" s="7"/>
    </row>
    <row r="87" spans="3:414" ht="5.0999999999999996" customHeight="1" x14ac:dyDescent="0.3">
      <c r="C87" s="11"/>
      <c r="D87" s="13"/>
      <c r="GQ87" s="16"/>
      <c r="LU87" s="155"/>
      <c r="MX87" s="19"/>
      <c r="OW87" s="12"/>
      <c r="OX87" s="7"/>
    </row>
    <row r="88" spans="3:414" ht="5.0999999999999996" customHeight="1" x14ac:dyDescent="0.3">
      <c r="C88" s="11"/>
      <c r="D88" s="13"/>
      <c r="GQ88" s="16"/>
      <c r="LU88" s="155"/>
      <c r="MX88" s="19"/>
      <c r="OW88" s="12"/>
      <c r="OX88" s="7"/>
    </row>
    <row r="89" spans="3:414" ht="5.0999999999999996" customHeight="1" x14ac:dyDescent="0.3">
      <c r="C89" s="11"/>
      <c r="D89" s="13"/>
      <c r="GQ89" s="16"/>
      <c r="LU89" s="155"/>
      <c r="MX89" s="19"/>
      <c r="OW89" s="12"/>
      <c r="OX89" s="7"/>
    </row>
    <row r="90" spans="3:414" ht="5.0999999999999996" customHeight="1" x14ac:dyDescent="0.3">
      <c r="C90" s="11"/>
      <c r="D90" s="13"/>
      <c r="GQ90" s="16"/>
      <c r="LU90" s="155"/>
      <c r="MX90" s="19"/>
      <c r="OW90" s="12"/>
      <c r="OX90" s="7"/>
    </row>
    <row r="91" spans="3:414" ht="5.0999999999999996" customHeight="1" x14ac:dyDescent="0.3">
      <c r="C91" s="11"/>
      <c r="D91" s="13"/>
      <c r="GQ91" s="16"/>
      <c r="LU91" s="155"/>
      <c r="MX91" s="19"/>
      <c r="OW91" s="12"/>
      <c r="OX91" s="7"/>
    </row>
    <row r="92" spans="3:414" ht="5.0999999999999996" customHeight="1" x14ac:dyDescent="0.3">
      <c r="C92" s="11"/>
      <c r="D92" s="13"/>
      <c r="GQ92" s="16"/>
      <c r="HQ92" s="184" t="s">
        <v>56</v>
      </c>
      <c r="HR92" s="185"/>
      <c r="HS92" s="185"/>
      <c r="HT92" s="185"/>
      <c r="HU92" s="185"/>
      <c r="HV92" s="185"/>
      <c r="HW92" s="185"/>
      <c r="HX92" s="185"/>
      <c r="HY92" s="185"/>
      <c r="HZ92" s="185"/>
      <c r="IA92" s="185"/>
      <c r="IB92" s="185"/>
      <c r="IC92" s="185"/>
      <c r="ID92" s="185"/>
      <c r="IE92" s="185"/>
      <c r="IF92" s="185"/>
      <c r="IG92" s="185"/>
      <c r="IH92" s="185"/>
      <c r="II92" s="185"/>
      <c r="IJ92" s="185"/>
      <c r="IK92" s="185"/>
      <c r="IL92" s="185"/>
      <c r="IM92" s="185"/>
      <c r="IN92" s="185"/>
      <c r="IO92" s="185"/>
      <c r="IP92" s="185"/>
      <c r="IQ92" s="185"/>
      <c r="IR92" s="185"/>
      <c r="IS92" s="185"/>
      <c r="IT92" s="185"/>
      <c r="IU92" s="185"/>
      <c r="IV92" s="185"/>
      <c r="IW92" s="185"/>
      <c r="IX92" s="185"/>
      <c r="IY92" s="185"/>
      <c r="IZ92" s="185"/>
      <c r="JA92" s="185"/>
      <c r="JB92" s="185"/>
      <c r="JC92" s="185"/>
      <c r="JD92" s="186"/>
      <c r="JE92" s="184">
        <v>1</v>
      </c>
      <c r="JF92" s="185"/>
      <c r="JG92" s="185"/>
      <c r="JH92" s="185"/>
      <c r="JI92" s="186"/>
      <c r="LU92" s="155"/>
      <c r="MX92" s="19"/>
      <c r="OW92" s="12"/>
      <c r="OX92" s="7"/>
    </row>
    <row r="93" spans="3:414" ht="5.0999999999999996" customHeight="1" x14ac:dyDescent="0.3">
      <c r="C93" s="11"/>
      <c r="D93" s="13"/>
      <c r="GQ93" s="16"/>
      <c r="HQ93" s="187"/>
      <c r="HR93" s="188"/>
      <c r="HS93" s="188"/>
      <c r="HT93" s="188"/>
      <c r="HU93" s="188"/>
      <c r="HV93" s="188"/>
      <c r="HW93" s="188"/>
      <c r="HX93" s="188"/>
      <c r="HY93" s="188"/>
      <c r="HZ93" s="188"/>
      <c r="IA93" s="188"/>
      <c r="IB93" s="188"/>
      <c r="IC93" s="188"/>
      <c r="ID93" s="188"/>
      <c r="IE93" s="188"/>
      <c r="IF93" s="188"/>
      <c r="IG93" s="188"/>
      <c r="IH93" s="188"/>
      <c r="II93" s="188"/>
      <c r="IJ93" s="188"/>
      <c r="IK93" s="188"/>
      <c r="IL93" s="188"/>
      <c r="IM93" s="188"/>
      <c r="IN93" s="188"/>
      <c r="IO93" s="188"/>
      <c r="IP93" s="188"/>
      <c r="IQ93" s="188"/>
      <c r="IR93" s="188"/>
      <c r="IS93" s="188"/>
      <c r="IT93" s="188"/>
      <c r="IU93" s="188"/>
      <c r="IV93" s="188"/>
      <c r="IW93" s="188"/>
      <c r="IX93" s="188"/>
      <c r="IY93" s="188"/>
      <c r="IZ93" s="188"/>
      <c r="JA93" s="188"/>
      <c r="JB93" s="188"/>
      <c r="JC93" s="188"/>
      <c r="JD93" s="189"/>
      <c r="JE93" s="187"/>
      <c r="JF93" s="188"/>
      <c r="JG93" s="188"/>
      <c r="JH93" s="188"/>
      <c r="JI93" s="189"/>
      <c r="LU93" s="155"/>
      <c r="MX93" s="19"/>
      <c r="OW93" s="12"/>
      <c r="OX93" s="7"/>
    </row>
    <row r="94" spans="3:414" ht="5.0999999999999996" customHeight="1" x14ac:dyDescent="0.3">
      <c r="C94" s="11"/>
      <c r="D94" s="13"/>
      <c r="GQ94" s="16"/>
      <c r="HQ94" s="187"/>
      <c r="HR94" s="188"/>
      <c r="HS94" s="188"/>
      <c r="HT94" s="188"/>
      <c r="HU94" s="188"/>
      <c r="HV94" s="188"/>
      <c r="HW94" s="188"/>
      <c r="HX94" s="188"/>
      <c r="HY94" s="188"/>
      <c r="HZ94" s="188"/>
      <c r="IA94" s="188"/>
      <c r="IB94" s="188"/>
      <c r="IC94" s="188"/>
      <c r="ID94" s="188"/>
      <c r="IE94" s="188"/>
      <c r="IF94" s="188"/>
      <c r="IG94" s="188"/>
      <c r="IH94" s="188"/>
      <c r="II94" s="188"/>
      <c r="IJ94" s="188"/>
      <c r="IK94" s="188"/>
      <c r="IL94" s="188"/>
      <c r="IM94" s="188"/>
      <c r="IN94" s="188"/>
      <c r="IO94" s="188"/>
      <c r="IP94" s="188"/>
      <c r="IQ94" s="188"/>
      <c r="IR94" s="188"/>
      <c r="IS94" s="188"/>
      <c r="IT94" s="188"/>
      <c r="IU94" s="188"/>
      <c r="IV94" s="188"/>
      <c r="IW94" s="188"/>
      <c r="IX94" s="188"/>
      <c r="IY94" s="188"/>
      <c r="IZ94" s="188"/>
      <c r="JA94" s="188"/>
      <c r="JB94" s="188"/>
      <c r="JC94" s="188"/>
      <c r="JD94" s="189"/>
      <c r="JE94" s="187"/>
      <c r="JF94" s="188"/>
      <c r="JG94" s="188"/>
      <c r="JH94" s="188"/>
      <c r="JI94" s="189"/>
      <c r="LU94" s="155"/>
      <c r="MX94" s="19"/>
      <c r="OW94" s="12"/>
      <c r="OX94" s="7"/>
    </row>
    <row r="95" spans="3:414" ht="5.0999999999999996" customHeight="1" x14ac:dyDescent="0.3">
      <c r="C95" s="11"/>
      <c r="D95" s="13"/>
      <c r="GQ95" s="16"/>
      <c r="HQ95" s="187"/>
      <c r="HR95" s="188"/>
      <c r="HS95" s="188"/>
      <c r="HT95" s="188"/>
      <c r="HU95" s="188"/>
      <c r="HV95" s="188"/>
      <c r="HW95" s="188"/>
      <c r="HX95" s="188"/>
      <c r="HY95" s="188"/>
      <c r="HZ95" s="188"/>
      <c r="IA95" s="188"/>
      <c r="IB95" s="188"/>
      <c r="IC95" s="188"/>
      <c r="ID95" s="188"/>
      <c r="IE95" s="188"/>
      <c r="IF95" s="188"/>
      <c r="IG95" s="188"/>
      <c r="IH95" s="188"/>
      <c r="II95" s="188"/>
      <c r="IJ95" s="188"/>
      <c r="IK95" s="188"/>
      <c r="IL95" s="188"/>
      <c r="IM95" s="188"/>
      <c r="IN95" s="188"/>
      <c r="IO95" s="188"/>
      <c r="IP95" s="188"/>
      <c r="IQ95" s="188"/>
      <c r="IR95" s="188"/>
      <c r="IS95" s="188"/>
      <c r="IT95" s="188"/>
      <c r="IU95" s="188"/>
      <c r="IV95" s="188"/>
      <c r="IW95" s="188"/>
      <c r="IX95" s="188"/>
      <c r="IY95" s="188"/>
      <c r="IZ95" s="188"/>
      <c r="JA95" s="188"/>
      <c r="JB95" s="188"/>
      <c r="JC95" s="188"/>
      <c r="JD95" s="189"/>
      <c r="JE95" s="187"/>
      <c r="JF95" s="188"/>
      <c r="JG95" s="188"/>
      <c r="JH95" s="188"/>
      <c r="JI95" s="189"/>
      <c r="LU95" s="155"/>
      <c r="MX95" s="19"/>
      <c r="OW95" s="12"/>
      <c r="OX95" s="7"/>
    </row>
    <row r="96" spans="3:414" ht="5.0999999999999996" customHeight="1" x14ac:dyDescent="0.3">
      <c r="C96" s="11"/>
      <c r="D96" s="13"/>
      <c r="GQ96" s="16"/>
      <c r="HQ96" s="187"/>
      <c r="HR96" s="188"/>
      <c r="HS96" s="188"/>
      <c r="HT96" s="188"/>
      <c r="HU96" s="188"/>
      <c r="HV96" s="188"/>
      <c r="HW96" s="188"/>
      <c r="HX96" s="188"/>
      <c r="HY96" s="188"/>
      <c r="HZ96" s="188"/>
      <c r="IA96" s="188"/>
      <c r="IB96" s="188"/>
      <c r="IC96" s="188"/>
      <c r="ID96" s="188"/>
      <c r="IE96" s="188"/>
      <c r="IF96" s="188"/>
      <c r="IG96" s="188"/>
      <c r="IH96" s="188"/>
      <c r="II96" s="188"/>
      <c r="IJ96" s="188"/>
      <c r="IK96" s="188"/>
      <c r="IL96" s="188"/>
      <c r="IM96" s="188"/>
      <c r="IN96" s="188"/>
      <c r="IO96" s="188"/>
      <c r="IP96" s="188"/>
      <c r="IQ96" s="188"/>
      <c r="IR96" s="188"/>
      <c r="IS96" s="188"/>
      <c r="IT96" s="188"/>
      <c r="IU96" s="188"/>
      <c r="IV96" s="188"/>
      <c r="IW96" s="188"/>
      <c r="IX96" s="188"/>
      <c r="IY96" s="188"/>
      <c r="IZ96" s="188"/>
      <c r="JA96" s="188"/>
      <c r="JB96" s="188"/>
      <c r="JC96" s="188"/>
      <c r="JD96" s="189"/>
      <c r="JE96" s="187"/>
      <c r="JF96" s="188"/>
      <c r="JG96" s="188"/>
      <c r="JH96" s="188"/>
      <c r="JI96" s="189"/>
      <c r="LU96" s="155"/>
      <c r="MX96" s="19"/>
      <c r="OW96" s="12"/>
      <c r="OX96" s="7"/>
    </row>
    <row r="97" spans="3:419" ht="5.0999999999999996" customHeight="1" x14ac:dyDescent="0.3">
      <c r="C97" s="11"/>
      <c r="D97" s="13"/>
      <c r="DK97" s="184" t="s">
        <v>59</v>
      </c>
      <c r="DL97" s="185"/>
      <c r="DM97" s="185"/>
      <c r="DN97" s="185"/>
      <c r="DO97" s="185"/>
      <c r="DP97" s="185"/>
      <c r="DQ97" s="185"/>
      <c r="DR97" s="185"/>
      <c r="DS97" s="185"/>
      <c r="DT97" s="185"/>
      <c r="DU97" s="185"/>
      <c r="DV97" s="185"/>
      <c r="DW97" s="185"/>
      <c r="DX97" s="185"/>
      <c r="DY97" s="185"/>
      <c r="DZ97" s="185"/>
      <c r="EA97" s="185"/>
      <c r="EB97" s="185"/>
      <c r="EC97" s="185"/>
      <c r="ED97" s="185"/>
      <c r="EE97" s="185"/>
      <c r="EF97" s="185"/>
      <c r="EG97" s="185"/>
      <c r="EH97" s="185"/>
      <c r="EI97" s="185"/>
      <c r="EJ97" s="185"/>
      <c r="EK97" s="185"/>
      <c r="EL97" s="185"/>
      <c r="EM97" s="185"/>
      <c r="EN97" s="185"/>
      <c r="EO97" s="185"/>
      <c r="EP97" s="185"/>
      <c r="EQ97" s="185"/>
      <c r="ER97" s="185"/>
      <c r="ES97" s="185"/>
      <c r="ET97" s="185"/>
      <c r="EU97" s="185"/>
      <c r="EV97" s="185"/>
      <c r="EW97" s="185"/>
      <c r="EX97" s="185"/>
      <c r="EY97" s="186"/>
      <c r="EZ97" s="225">
        <v>1</v>
      </c>
      <c r="FA97" s="226"/>
      <c r="FB97" s="226"/>
      <c r="FC97" s="226"/>
      <c r="FD97" s="227"/>
      <c r="GQ97" s="16"/>
      <c r="HQ97" s="187"/>
      <c r="HR97" s="188"/>
      <c r="HS97" s="188"/>
      <c r="HT97" s="188"/>
      <c r="HU97" s="188"/>
      <c r="HV97" s="188"/>
      <c r="HW97" s="188"/>
      <c r="HX97" s="188"/>
      <c r="HY97" s="188"/>
      <c r="HZ97" s="188"/>
      <c r="IA97" s="188"/>
      <c r="IB97" s="188"/>
      <c r="IC97" s="188"/>
      <c r="ID97" s="188"/>
      <c r="IE97" s="188"/>
      <c r="IF97" s="188"/>
      <c r="IG97" s="188"/>
      <c r="IH97" s="188"/>
      <c r="II97" s="188"/>
      <c r="IJ97" s="188"/>
      <c r="IK97" s="188"/>
      <c r="IL97" s="188"/>
      <c r="IM97" s="188"/>
      <c r="IN97" s="188"/>
      <c r="IO97" s="188"/>
      <c r="IP97" s="188"/>
      <c r="IQ97" s="188"/>
      <c r="IR97" s="188"/>
      <c r="IS97" s="188"/>
      <c r="IT97" s="188"/>
      <c r="IU97" s="188"/>
      <c r="IV97" s="188"/>
      <c r="IW97" s="188"/>
      <c r="IX97" s="188"/>
      <c r="IY97" s="188"/>
      <c r="IZ97" s="188"/>
      <c r="JA97" s="188"/>
      <c r="JB97" s="188"/>
      <c r="JC97" s="188"/>
      <c r="JD97" s="189"/>
      <c r="JE97" s="187"/>
      <c r="JF97" s="188"/>
      <c r="JG97" s="188"/>
      <c r="JH97" s="188"/>
      <c r="JI97" s="189"/>
      <c r="LU97" s="155"/>
      <c r="MX97" s="19"/>
      <c r="OW97" s="12"/>
      <c r="OX97" s="7"/>
    </row>
    <row r="98" spans="3:419" ht="5.0999999999999996" customHeight="1" x14ac:dyDescent="0.3">
      <c r="C98" s="11"/>
      <c r="D98" s="13"/>
      <c r="DK98" s="187"/>
      <c r="DL98" s="188"/>
      <c r="DM98" s="188"/>
      <c r="DN98" s="188"/>
      <c r="DO98" s="188"/>
      <c r="DP98" s="188"/>
      <c r="DQ98" s="188"/>
      <c r="DR98" s="188"/>
      <c r="DS98" s="188"/>
      <c r="DT98" s="188"/>
      <c r="DU98" s="188"/>
      <c r="DV98" s="188"/>
      <c r="DW98" s="188"/>
      <c r="DX98" s="188"/>
      <c r="DY98" s="188"/>
      <c r="DZ98" s="188"/>
      <c r="EA98" s="188"/>
      <c r="EB98" s="188"/>
      <c r="EC98" s="188"/>
      <c r="ED98" s="188"/>
      <c r="EE98" s="188"/>
      <c r="EF98" s="188"/>
      <c r="EG98" s="188"/>
      <c r="EH98" s="188"/>
      <c r="EI98" s="188"/>
      <c r="EJ98" s="188"/>
      <c r="EK98" s="188"/>
      <c r="EL98" s="188"/>
      <c r="EM98" s="188"/>
      <c r="EN98" s="188"/>
      <c r="EO98" s="188"/>
      <c r="EP98" s="188"/>
      <c r="EQ98" s="188"/>
      <c r="ER98" s="188"/>
      <c r="ES98" s="188"/>
      <c r="ET98" s="188"/>
      <c r="EU98" s="188"/>
      <c r="EV98" s="188"/>
      <c r="EW98" s="188"/>
      <c r="EX98" s="188"/>
      <c r="EY98" s="189"/>
      <c r="EZ98" s="228"/>
      <c r="FA98" s="229"/>
      <c r="FB98" s="229"/>
      <c r="FC98" s="229"/>
      <c r="FD98" s="230"/>
      <c r="GQ98" s="16"/>
      <c r="HQ98" s="187"/>
      <c r="HR98" s="188"/>
      <c r="HS98" s="188"/>
      <c r="HT98" s="188"/>
      <c r="HU98" s="188"/>
      <c r="HV98" s="188"/>
      <c r="HW98" s="188"/>
      <c r="HX98" s="188"/>
      <c r="HY98" s="188"/>
      <c r="HZ98" s="188"/>
      <c r="IA98" s="188"/>
      <c r="IB98" s="188"/>
      <c r="IC98" s="188"/>
      <c r="ID98" s="188"/>
      <c r="IE98" s="188"/>
      <c r="IF98" s="188"/>
      <c r="IG98" s="188"/>
      <c r="IH98" s="188"/>
      <c r="II98" s="188"/>
      <c r="IJ98" s="188"/>
      <c r="IK98" s="188"/>
      <c r="IL98" s="188"/>
      <c r="IM98" s="188"/>
      <c r="IN98" s="188"/>
      <c r="IO98" s="188"/>
      <c r="IP98" s="188"/>
      <c r="IQ98" s="188"/>
      <c r="IR98" s="188"/>
      <c r="IS98" s="188"/>
      <c r="IT98" s="188"/>
      <c r="IU98" s="188"/>
      <c r="IV98" s="188"/>
      <c r="IW98" s="188"/>
      <c r="IX98" s="188"/>
      <c r="IY98" s="188"/>
      <c r="IZ98" s="188"/>
      <c r="JA98" s="188"/>
      <c r="JB98" s="188"/>
      <c r="JC98" s="188"/>
      <c r="JD98" s="189"/>
      <c r="JE98" s="187"/>
      <c r="JF98" s="188"/>
      <c r="JG98" s="188"/>
      <c r="JH98" s="188"/>
      <c r="JI98" s="189"/>
      <c r="LU98" s="155"/>
      <c r="MX98" s="19"/>
      <c r="OW98" s="12"/>
      <c r="OX98" s="7"/>
    </row>
    <row r="99" spans="3:419" ht="5.0999999999999996" customHeight="1" x14ac:dyDescent="0.3">
      <c r="C99" s="11"/>
      <c r="D99" s="13"/>
      <c r="DK99" s="187"/>
      <c r="DL99" s="188"/>
      <c r="DM99" s="188"/>
      <c r="DN99" s="188"/>
      <c r="DO99" s="188"/>
      <c r="DP99" s="188"/>
      <c r="DQ99" s="188"/>
      <c r="DR99" s="188"/>
      <c r="DS99" s="188"/>
      <c r="DT99" s="188"/>
      <c r="DU99" s="188"/>
      <c r="DV99" s="188"/>
      <c r="DW99" s="188"/>
      <c r="DX99" s="188"/>
      <c r="DY99" s="188"/>
      <c r="DZ99" s="188"/>
      <c r="EA99" s="188"/>
      <c r="EB99" s="188"/>
      <c r="EC99" s="188"/>
      <c r="ED99" s="188"/>
      <c r="EE99" s="188"/>
      <c r="EF99" s="188"/>
      <c r="EG99" s="188"/>
      <c r="EH99" s="188"/>
      <c r="EI99" s="188"/>
      <c r="EJ99" s="188"/>
      <c r="EK99" s="188"/>
      <c r="EL99" s="188"/>
      <c r="EM99" s="188"/>
      <c r="EN99" s="188"/>
      <c r="EO99" s="188"/>
      <c r="EP99" s="188"/>
      <c r="EQ99" s="188"/>
      <c r="ER99" s="188"/>
      <c r="ES99" s="188"/>
      <c r="ET99" s="188"/>
      <c r="EU99" s="188"/>
      <c r="EV99" s="188"/>
      <c r="EW99" s="188"/>
      <c r="EX99" s="188"/>
      <c r="EY99" s="189"/>
      <c r="EZ99" s="228"/>
      <c r="FA99" s="229"/>
      <c r="FB99" s="229"/>
      <c r="FC99" s="229"/>
      <c r="FD99" s="230"/>
      <c r="GQ99" s="16"/>
      <c r="HQ99" s="187"/>
      <c r="HR99" s="188"/>
      <c r="HS99" s="188"/>
      <c r="HT99" s="188"/>
      <c r="HU99" s="188"/>
      <c r="HV99" s="188"/>
      <c r="HW99" s="188"/>
      <c r="HX99" s="188"/>
      <c r="HY99" s="188"/>
      <c r="HZ99" s="188"/>
      <c r="IA99" s="188"/>
      <c r="IB99" s="188"/>
      <c r="IC99" s="188"/>
      <c r="ID99" s="188"/>
      <c r="IE99" s="188"/>
      <c r="IF99" s="188"/>
      <c r="IG99" s="188"/>
      <c r="IH99" s="188"/>
      <c r="II99" s="188"/>
      <c r="IJ99" s="188"/>
      <c r="IK99" s="188"/>
      <c r="IL99" s="188"/>
      <c r="IM99" s="188"/>
      <c r="IN99" s="188"/>
      <c r="IO99" s="188"/>
      <c r="IP99" s="188"/>
      <c r="IQ99" s="188"/>
      <c r="IR99" s="188"/>
      <c r="IS99" s="188"/>
      <c r="IT99" s="188"/>
      <c r="IU99" s="188"/>
      <c r="IV99" s="188"/>
      <c r="IW99" s="188"/>
      <c r="IX99" s="188"/>
      <c r="IY99" s="188"/>
      <c r="IZ99" s="188"/>
      <c r="JA99" s="188"/>
      <c r="JB99" s="188"/>
      <c r="JC99" s="188"/>
      <c r="JD99" s="189"/>
      <c r="JE99" s="187"/>
      <c r="JF99" s="188"/>
      <c r="JG99" s="188"/>
      <c r="JH99" s="188"/>
      <c r="JI99" s="189"/>
      <c r="LU99" s="155"/>
      <c r="MX99" s="19"/>
      <c r="OW99" s="12"/>
      <c r="OX99" s="7"/>
    </row>
    <row r="100" spans="3:419" ht="5.0999999999999996" customHeight="1" x14ac:dyDescent="0.3">
      <c r="C100" s="11"/>
      <c r="D100" s="13"/>
      <c r="DK100" s="187"/>
      <c r="DL100" s="188"/>
      <c r="DM100" s="188"/>
      <c r="DN100" s="188"/>
      <c r="DO100" s="188"/>
      <c r="DP100" s="188"/>
      <c r="DQ100" s="188"/>
      <c r="DR100" s="188"/>
      <c r="DS100" s="188"/>
      <c r="DT100" s="188"/>
      <c r="DU100" s="188"/>
      <c r="DV100" s="188"/>
      <c r="DW100" s="188"/>
      <c r="DX100" s="188"/>
      <c r="DY100" s="188"/>
      <c r="DZ100" s="188"/>
      <c r="EA100" s="188"/>
      <c r="EB100" s="188"/>
      <c r="EC100" s="188"/>
      <c r="ED100" s="188"/>
      <c r="EE100" s="188"/>
      <c r="EF100" s="188"/>
      <c r="EG100" s="188"/>
      <c r="EH100" s="188"/>
      <c r="EI100" s="188"/>
      <c r="EJ100" s="188"/>
      <c r="EK100" s="188"/>
      <c r="EL100" s="188"/>
      <c r="EM100" s="188"/>
      <c r="EN100" s="188"/>
      <c r="EO100" s="188"/>
      <c r="EP100" s="188"/>
      <c r="EQ100" s="188"/>
      <c r="ER100" s="188"/>
      <c r="ES100" s="188"/>
      <c r="ET100" s="188"/>
      <c r="EU100" s="188"/>
      <c r="EV100" s="188"/>
      <c r="EW100" s="188"/>
      <c r="EX100" s="188"/>
      <c r="EY100" s="189"/>
      <c r="EZ100" s="228"/>
      <c r="FA100" s="229"/>
      <c r="FB100" s="229"/>
      <c r="FC100" s="229"/>
      <c r="FD100" s="230"/>
      <c r="GQ100" s="16"/>
      <c r="HQ100" s="187"/>
      <c r="HR100" s="188"/>
      <c r="HS100" s="188"/>
      <c r="HT100" s="188"/>
      <c r="HU100" s="188"/>
      <c r="HV100" s="188"/>
      <c r="HW100" s="188"/>
      <c r="HX100" s="188"/>
      <c r="HY100" s="188"/>
      <c r="HZ100" s="188"/>
      <c r="IA100" s="188"/>
      <c r="IB100" s="188"/>
      <c r="IC100" s="188"/>
      <c r="ID100" s="188"/>
      <c r="IE100" s="188"/>
      <c r="IF100" s="188"/>
      <c r="IG100" s="188"/>
      <c r="IH100" s="188"/>
      <c r="II100" s="188"/>
      <c r="IJ100" s="188"/>
      <c r="IK100" s="188"/>
      <c r="IL100" s="188"/>
      <c r="IM100" s="188"/>
      <c r="IN100" s="188"/>
      <c r="IO100" s="188"/>
      <c r="IP100" s="188"/>
      <c r="IQ100" s="188"/>
      <c r="IR100" s="188"/>
      <c r="IS100" s="188"/>
      <c r="IT100" s="188"/>
      <c r="IU100" s="188"/>
      <c r="IV100" s="188"/>
      <c r="IW100" s="188"/>
      <c r="IX100" s="188"/>
      <c r="IY100" s="188"/>
      <c r="IZ100" s="188"/>
      <c r="JA100" s="188"/>
      <c r="JB100" s="188"/>
      <c r="JC100" s="188"/>
      <c r="JD100" s="189"/>
      <c r="JE100" s="187"/>
      <c r="JF100" s="188"/>
      <c r="JG100" s="188"/>
      <c r="JH100" s="188"/>
      <c r="JI100" s="189"/>
      <c r="LU100" s="155"/>
      <c r="MX100" s="19"/>
      <c r="OW100" s="12"/>
      <c r="OX100" s="7"/>
    </row>
    <row r="101" spans="3:419" ht="5.0999999999999996" customHeight="1" thickBot="1" x14ac:dyDescent="0.35">
      <c r="C101" s="11"/>
      <c r="D101" s="13"/>
      <c r="DK101" s="187"/>
      <c r="DL101" s="188"/>
      <c r="DM101" s="188"/>
      <c r="DN101" s="188"/>
      <c r="DO101" s="188"/>
      <c r="DP101" s="188"/>
      <c r="DQ101" s="188"/>
      <c r="DR101" s="188"/>
      <c r="DS101" s="188"/>
      <c r="DT101" s="188"/>
      <c r="DU101" s="188"/>
      <c r="DV101" s="188"/>
      <c r="DW101" s="188"/>
      <c r="DX101" s="188"/>
      <c r="DY101" s="188"/>
      <c r="DZ101" s="188"/>
      <c r="EA101" s="188"/>
      <c r="EB101" s="188"/>
      <c r="EC101" s="188"/>
      <c r="ED101" s="188"/>
      <c r="EE101" s="188"/>
      <c r="EF101" s="188"/>
      <c r="EG101" s="188"/>
      <c r="EH101" s="188"/>
      <c r="EI101" s="188"/>
      <c r="EJ101" s="188"/>
      <c r="EK101" s="188"/>
      <c r="EL101" s="188"/>
      <c r="EM101" s="188"/>
      <c r="EN101" s="188"/>
      <c r="EO101" s="188"/>
      <c r="EP101" s="188"/>
      <c r="EQ101" s="188"/>
      <c r="ER101" s="188"/>
      <c r="ES101" s="188"/>
      <c r="ET101" s="188"/>
      <c r="EU101" s="188"/>
      <c r="EV101" s="188"/>
      <c r="EW101" s="188"/>
      <c r="EX101" s="188"/>
      <c r="EY101" s="189"/>
      <c r="EZ101" s="228"/>
      <c r="FA101" s="229"/>
      <c r="FB101" s="229"/>
      <c r="FC101" s="229"/>
      <c r="FD101" s="230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148"/>
      <c r="GQ101" s="16"/>
      <c r="HQ101" s="190"/>
      <c r="HR101" s="191"/>
      <c r="HS101" s="191"/>
      <c r="HT101" s="191"/>
      <c r="HU101" s="191"/>
      <c r="HV101" s="191"/>
      <c r="HW101" s="191"/>
      <c r="HX101" s="191"/>
      <c r="HY101" s="191"/>
      <c r="HZ101" s="191"/>
      <c r="IA101" s="191"/>
      <c r="IB101" s="191"/>
      <c r="IC101" s="191"/>
      <c r="ID101" s="191"/>
      <c r="IE101" s="191"/>
      <c r="IF101" s="191"/>
      <c r="IG101" s="191"/>
      <c r="IH101" s="191"/>
      <c r="II101" s="191"/>
      <c r="IJ101" s="191"/>
      <c r="IK101" s="191"/>
      <c r="IL101" s="191"/>
      <c r="IM101" s="191"/>
      <c r="IN101" s="191"/>
      <c r="IO101" s="191"/>
      <c r="IP101" s="191"/>
      <c r="IQ101" s="191"/>
      <c r="IR101" s="191"/>
      <c r="IS101" s="191"/>
      <c r="IT101" s="191"/>
      <c r="IU101" s="191"/>
      <c r="IV101" s="191"/>
      <c r="IW101" s="191"/>
      <c r="IX101" s="191"/>
      <c r="IY101" s="191"/>
      <c r="IZ101" s="191"/>
      <c r="JA101" s="191"/>
      <c r="JB101" s="191"/>
      <c r="JC101" s="191"/>
      <c r="JD101" s="192"/>
      <c r="JE101" s="190"/>
      <c r="JF101" s="191"/>
      <c r="JG101" s="191"/>
      <c r="JH101" s="191"/>
      <c r="JI101" s="192"/>
      <c r="LU101" s="155"/>
      <c r="MX101" s="19"/>
      <c r="OW101" s="12"/>
      <c r="OX101" s="7"/>
    </row>
    <row r="102" spans="3:419" ht="5.0999999999999996" customHeight="1" x14ac:dyDescent="0.3">
      <c r="C102" s="11"/>
      <c r="D102" s="13"/>
      <c r="DK102" s="187"/>
      <c r="DL102" s="188"/>
      <c r="DM102" s="188"/>
      <c r="DN102" s="188"/>
      <c r="DO102" s="188"/>
      <c r="DP102" s="188"/>
      <c r="DQ102" s="188"/>
      <c r="DR102" s="188"/>
      <c r="DS102" s="188"/>
      <c r="DT102" s="188"/>
      <c r="DU102" s="188"/>
      <c r="DV102" s="188"/>
      <c r="DW102" s="188"/>
      <c r="DX102" s="188"/>
      <c r="DY102" s="188"/>
      <c r="DZ102" s="188"/>
      <c r="EA102" s="188"/>
      <c r="EB102" s="188"/>
      <c r="EC102" s="188"/>
      <c r="ED102" s="188"/>
      <c r="EE102" s="188"/>
      <c r="EF102" s="188"/>
      <c r="EG102" s="188"/>
      <c r="EH102" s="188"/>
      <c r="EI102" s="188"/>
      <c r="EJ102" s="188"/>
      <c r="EK102" s="188"/>
      <c r="EL102" s="188"/>
      <c r="EM102" s="188"/>
      <c r="EN102" s="188"/>
      <c r="EO102" s="188"/>
      <c r="EP102" s="188"/>
      <c r="EQ102" s="188"/>
      <c r="ER102" s="188"/>
      <c r="ES102" s="188"/>
      <c r="ET102" s="188"/>
      <c r="EU102" s="188"/>
      <c r="EV102" s="188"/>
      <c r="EW102" s="188"/>
      <c r="EX102" s="188"/>
      <c r="EY102" s="189"/>
      <c r="EZ102" s="228"/>
      <c r="FA102" s="229"/>
      <c r="FB102" s="229"/>
      <c r="FC102" s="229"/>
      <c r="FD102" s="230"/>
      <c r="GP102" s="19"/>
      <c r="GQ102" s="22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48"/>
      <c r="HQ102" s="184" t="s">
        <v>55</v>
      </c>
      <c r="HR102" s="185"/>
      <c r="HS102" s="185"/>
      <c r="HT102" s="185"/>
      <c r="HU102" s="185"/>
      <c r="HV102" s="185"/>
      <c r="HW102" s="185"/>
      <c r="HX102" s="185"/>
      <c r="HY102" s="185"/>
      <c r="HZ102" s="185"/>
      <c r="IA102" s="185"/>
      <c r="IB102" s="185"/>
      <c r="IC102" s="185"/>
      <c r="ID102" s="185"/>
      <c r="IE102" s="185"/>
      <c r="IF102" s="185"/>
      <c r="IG102" s="185"/>
      <c r="IH102" s="185"/>
      <c r="II102" s="185"/>
      <c r="IJ102" s="185"/>
      <c r="IK102" s="185"/>
      <c r="IL102" s="185"/>
      <c r="IM102" s="185"/>
      <c r="IN102" s="185"/>
      <c r="IO102" s="185"/>
      <c r="IP102" s="185"/>
      <c r="IQ102" s="185"/>
      <c r="IR102" s="185"/>
      <c r="IS102" s="185"/>
      <c r="IT102" s="185"/>
      <c r="IU102" s="185"/>
      <c r="IV102" s="185"/>
      <c r="IW102" s="185"/>
      <c r="IX102" s="185"/>
      <c r="IY102" s="185"/>
      <c r="IZ102" s="185"/>
      <c r="JA102" s="185"/>
      <c r="JB102" s="185"/>
      <c r="JC102" s="185"/>
      <c r="JD102" s="186"/>
      <c r="JE102" s="184">
        <v>2</v>
      </c>
      <c r="JF102" s="185"/>
      <c r="JG102" s="185"/>
      <c r="JH102" s="185"/>
      <c r="JI102" s="186"/>
      <c r="LU102" s="155"/>
      <c r="MX102" s="19"/>
      <c r="OW102" s="12"/>
      <c r="OX102" s="7"/>
    </row>
    <row r="103" spans="3:419" ht="5.0999999999999996" customHeight="1" x14ac:dyDescent="0.3">
      <c r="C103" s="11"/>
      <c r="D103" s="13"/>
      <c r="DK103" s="187"/>
      <c r="DL103" s="188"/>
      <c r="DM103" s="188"/>
      <c r="DN103" s="188"/>
      <c r="DO103" s="188"/>
      <c r="DP103" s="188"/>
      <c r="DQ103" s="188"/>
      <c r="DR103" s="188"/>
      <c r="DS103" s="188"/>
      <c r="DT103" s="188"/>
      <c r="DU103" s="188"/>
      <c r="DV103" s="188"/>
      <c r="DW103" s="188"/>
      <c r="DX103" s="188"/>
      <c r="DY103" s="188"/>
      <c r="DZ103" s="188"/>
      <c r="EA103" s="188"/>
      <c r="EB103" s="188"/>
      <c r="EC103" s="188"/>
      <c r="ED103" s="188"/>
      <c r="EE103" s="188"/>
      <c r="EF103" s="188"/>
      <c r="EG103" s="188"/>
      <c r="EH103" s="188"/>
      <c r="EI103" s="188"/>
      <c r="EJ103" s="188"/>
      <c r="EK103" s="188"/>
      <c r="EL103" s="188"/>
      <c r="EM103" s="188"/>
      <c r="EN103" s="188"/>
      <c r="EO103" s="188"/>
      <c r="EP103" s="188"/>
      <c r="EQ103" s="188"/>
      <c r="ER103" s="188"/>
      <c r="ES103" s="188"/>
      <c r="ET103" s="188"/>
      <c r="EU103" s="188"/>
      <c r="EV103" s="188"/>
      <c r="EW103" s="188"/>
      <c r="EX103" s="188"/>
      <c r="EY103" s="189"/>
      <c r="EZ103" s="228"/>
      <c r="FA103" s="229"/>
      <c r="FB103" s="229"/>
      <c r="FC103" s="229"/>
      <c r="FD103" s="230"/>
      <c r="GP103" s="19"/>
      <c r="GQ103" s="16"/>
      <c r="HQ103" s="187"/>
      <c r="HR103" s="188"/>
      <c r="HS103" s="188"/>
      <c r="HT103" s="188"/>
      <c r="HU103" s="188"/>
      <c r="HV103" s="188"/>
      <c r="HW103" s="188"/>
      <c r="HX103" s="188"/>
      <c r="HY103" s="188"/>
      <c r="HZ103" s="188"/>
      <c r="IA103" s="188"/>
      <c r="IB103" s="188"/>
      <c r="IC103" s="188"/>
      <c r="ID103" s="188"/>
      <c r="IE103" s="188"/>
      <c r="IF103" s="188"/>
      <c r="IG103" s="188"/>
      <c r="IH103" s="188"/>
      <c r="II103" s="188"/>
      <c r="IJ103" s="188"/>
      <c r="IK103" s="188"/>
      <c r="IL103" s="188"/>
      <c r="IM103" s="188"/>
      <c r="IN103" s="188"/>
      <c r="IO103" s="188"/>
      <c r="IP103" s="188"/>
      <c r="IQ103" s="188"/>
      <c r="IR103" s="188"/>
      <c r="IS103" s="188"/>
      <c r="IT103" s="188"/>
      <c r="IU103" s="188"/>
      <c r="IV103" s="188"/>
      <c r="IW103" s="188"/>
      <c r="IX103" s="188"/>
      <c r="IY103" s="188"/>
      <c r="IZ103" s="188"/>
      <c r="JA103" s="188"/>
      <c r="JB103" s="188"/>
      <c r="JC103" s="188"/>
      <c r="JD103" s="189"/>
      <c r="JE103" s="187"/>
      <c r="JF103" s="188"/>
      <c r="JG103" s="188"/>
      <c r="JH103" s="188"/>
      <c r="JI103" s="189"/>
      <c r="JS103" s="1" t="s">
        <v>14</v>
      </c>
      <c r="LU103" s="155"/>
      <c r="MX103" s="19"/>
      <c r="OW103" s="12"/>
      <c r="OX103" s="7"/>
    </row>
    <row r="104" spans="3:419" ht="5.0999999999999996" customHeight="1" x14ac:dyDescent="0.3">
      <c r="C104" s="11"/>
      <c r="D104" s="13"/>
      <c r="DK104" s="187"/>
      <c r="DL104" s="188"/>
      <c r="DM104" s="188"/>
      <c r="DN104" s="188"/>
      <c r="DO104" s="188"/>
      <c r="DP104" s="188"/>
      <c r="DQ104" s="188"/>
      <c r="DR104" s="188"/>
      <c r="DS104" s="188"/>
      <c r="DT104" s="188"/>
      <c r="DU104" s="188"/>
      <c r="DV104" s="188"/>
      <c r="DW104" s="188"/>
      <c r="DX104" s="188"/>
      <c r="DY104" s="188"/>
      <c r="DZ104" s="188"/>
      <c r="EA104" s="188"/>
      <c r="EB104" s="188"/>
      <c r="EC104" s="188"/>
      <c r="ED104" s="188"/>
      <c r="EE104" s="188"/>
      <c r="EF104" s="188"/>
      <c r="EG104" s="188"/>
      <c r="EH104" s="188"/>
      <c r="EI104" s="188"/>
      <c r="EJ104" s="188"/>
      <c r="EK104" s="188"/>
      <c r="EL104" s="188"/>
      <c r="EM104" s="188"/>
      <c r="EN104" s="188"/>
      <c r="EO104" s="188"/>
      <c r="EP104" s="188"/>
      <c r="EQ104" s="188"/>
      <c r="ER104" s="188"/>
      <c r="ES104" s="188"/>
      <c r="ET104" s="188"/>
      <c r="EU104" s="188"/>
      <c r="EV104" s="188"/>
      <c r="EW104" s="188"/>
      <c r="EX104" s="188"/>
      <c r="EY104" s="189"/>
      <c r="EZ104" s="228"/>
      <c r="FA104" s="229"/>
      <c r="FB104" s="229"/>
      <c r="FC104" s="229"/>
      <c r="FD104" s="230"/>
      <c r="GQ104" s="16"/>
      <c r="HQ104" s="187"/>
      <c r="HR104" s="188"/>
      <c r="HS104" s="188"/>
      <c r="HT104" s="188"/>
      <c r="HU104" s="188"/>
      <c r="HV104" s="188"/>
      <c r="HW104" s="188"/>
      <c r="HX104" s="188"/>
      <c r="HY104" s="188"/>
      <c r="HZ104" s="188"/>
      <c r="IA104" s="188"/>
      <c r="IB104" s="188"/>
      <c r="IC104" s="188"/>
      <c r="ID104" s="188"/>
      <c r="IE104" s="188"/>
      <c r="IF104" s="188"/>
      <c r="IG104" s="188"/>
      <c r="IH104" s="188"/>
      <c r="II104" s="188"/>
      <c r="IJ104" s="188"/>
      <c r="IK104" s="188"/>
      <c r="IL104" s="188"/>
      <c r="IM104" s="188"/>
      <c r="IN104" s="188"/>
      <c r="IO104" s="188"/>
      <c r="IP104" s="188"/>
      <c r="IQ104" s="188"/>
      <c r="IR104" s="188"/>
      <c r="IS104" s="188"/>
      <c r="IT104" s="188"/>
      <c r="IU104" s="188"/>
      <c r="IV104" s="188"/>
      <c r="IW104" s="188"/>
      <c r="IX104" s="188"/>
      <c r="IY104" s="188"/>
      <c r="IZ104" s="188"/>
      <c r="JA104" s="188"/>
      <c r="JB104" s="188"/>
      <c r="JC104" s="188"/>
      <c r="JD104" s="189"/>
      <c r="JE104" s="187"/>
      <c r="JF104" s="188"/>
      <c r="JG104" s="188"/>
      <c r="JH104" s="188"/>
      <c r="JI104" s="189"/>
      <c r="LU104" s="155"/>
      <c r="MX104" s="19"/>
      <c r="OW104" s="12"/>
      <c r="OX104" s="7"/>
    </row>
    <row r="105" spans="3:419" ht="5.0999999999999996" customHeight="1" x14ac:dyDescent="0.3">
      <c r="C105" s="11"/>
      <c r="D105" s="13"/>
      <c r="DK105" s="187"/>
      <c r="DL105" s="188"/>
      <c r="DM105" s="188"/>
      <c r="DN105" s="188"/>
      <c r="DO105" s="188"/>
      <c r="DP105" s="188"/>
      <c r="DQ105" s="188"/>
      <c r="DR105" s="188"/>
      <c r="DS105" s="188"/>
      <c r="DT105" s="188"/>
      <c r="DU105" s="188"/>
      <c r="DV105" s="188"/>
      <c r="DW105" s="188"/>
      <c r="DX105" s="188"/>
      <c r="DY105" s="188"/>
      <c r="DZ105" s="188"/>
      <c r="EA105" s="188"/>
      <c r="EB105" s="188"/>
      <c r="EC105" s="188"/>
      <c r="ED105" s="188"/>
      <c r="EE105" s="188"/>
      <c r="EF105" s="188"/>
      <c r="EG105" s="188"/>
      <c r="EH105" s="188"/>
      <c r="EI105" s="188"/>
      <c r="EJ105" s="188"/>
      <c r="EK105" s="188"/>
      <c r="EL105" s="188"/>
      <c r="EM105" s="188"/>
      <c r="EN105" s="188"/>
      <c r="EO105" s="188"/>
      <c r="EP105" s="188"/>
      <c r="EQ105" s="188"/>
      <c r="ER105" s="188"/>
      <c r="ES105" s="188"/>
      <c r="ET105" s="188"/>
      <c r="EU105" s="188"/>
      <c r="EV105" s="188"/>
      <c r="EW105" s="188"/>
      <c r="EX105" s="188"/>
      <c r="EY105" s="189"/>
      <c r="EZ105" s="228"/>
      <c r="FA105" s="229"/>
      <c r="FB105" s="229"/>
      <c r="FC105" s="229"/>
      <c r="FD105" s="230"/>
      <c r="GQ105" s="16"/>
      <c r="HQ105" s="187"/>
      <c r="HR105" s="188"/>
      <c r="HS105" s="188"/>
      <c r="HT105" s="188"/>
      <c r="HU105" s="188"/>
      <c r="HV105" s="188"/>
      <c r="HW105" s="188"/>
      <c r="HX105" s="188"/>
      <c r="HY105" s="188"/>
      <c r="HZ105" s="188"/>
      <c r="IA105" s="188"/>
      <c r="IB105" s="188"/>
      <c r="IC105" s="188"/>
      <c r="ID105" s="188"/>
      <c r="IE105" s="188"/>
      <c r="IF105" s="188"/>
      <c r="IG105" s="188"/>
      <c r="IH105" s="188"/>
      <c r="II105" s="188"/>
      <c r="IJ105" s="188"/>
      <c r="IK105" s="188"/>
      <c r="IL105" s="188"/>
      <c r="IM105" s="188"/>
      <c r="IN105" s="188"/>
      <c r="IO105" s="188"/>
      <c r="IP105" s="188"/>
      <c r="IQ105" s="188"/>
      <c r="IR105" s="188"/>
      <c r="IS105" s="188"/>
      <c r="IT105" s="188"/>
      <c r="IU105" s="188"/>
      <c r="IV105" s="188"/>
      <c r="IW105" s="188"/>
      <c r="IX105" s="188"/>
      <c r="IY105" s="188"/>
      <c r="IZ105" s="188"/>
      <c r="JA105" s="188"/>
      <c r="JB105" s="188"/>
      <c r="JC105" s="188"/>
      <c r="JD105" s="189"/>
      <c r="JE105" s="187"/>
      <c r="JF105" s="188"/>
      <c r="JG105" s="188"/>
      <c r="JH105" s="188"/>
      <c r="JI105" s="189"/>
      <c r="LU105" s="155"/>
      <c r="MX105" s="19"/>
      <c r="OW105" s="12"/>
      <c r="OX105" s="7"/>
    </row>
    <row r="106" spans="3:419" ht="5.0999999999999996" customHeight="1" x14ac:dyDescent="0.3">
      <c r="C106" s="11"/>
      <c r="D106" s="13"/>
      <c r="DK106" s="190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  <c r="EB106" s="191"/>
      <c r="EC106" s="191"/>
      <c r="ED106" s="191"/>
      <c r="EE106" s="191"/>
      <c r="EF106" s="191"/>
      <c r="EG106" s="191"/>
      <c r="EH106" s="191"/>
      <c r="EI106" s="191"/>
      <c r="EJ106" s="191"/>
      <c r="EK106" s="191"/>
      <c r="EL106" s="191"/>
      <c r="EM106" s="191"/>
      <c r="EN106" s="191"/>
      <c r="EO106" s="191"/>
      <c r="EP106" s="191"/>
      <c r="EQ106" s="191"/>
      <c r="ER106" s="191"/>
      <c r="ES106" s="191"/>
      <c r="ET106" s="191"/>
      <c r="EU106" s="191"/>
      <c r="EV106" s="191"/>
      <c r="EW106" s="191"/>
      <c r="EX106" s="191"/>
      <c r="EY106" s="192"/>
      <c r="EZ106" s="231"/>
      <c r="FA106" s="232"/>
      <c r="FB106" s="232"/>
      <c r="FC106" s="232"/>
      <c r="FD106" s="233"/>
      <c r="GQ106" s="16"/>
      <c r="HQ106" s="187"/>
      <c r="HR106" s="188"/>
      <c r="HS106" s="188"/>
      <c r="HT106" s="188"/>
      <c r="HU106" s="188"/>
      <c r="HV106" s="188"/>
      <c r="HW106" s="188"/>
      <c r="HX106" s="188"/>
      <c r="HY106" s="188"/>
      <c r="HZ106" s="188"/>
      <c r="IA106" s="188"/>
      <c r="IB106" s="188"/>
      <c r="IC106" s="188"/>
      <c r="ID106" s="188"/>
      <c r="IE106" s="188"/>
      <c r="IF106" s="188"/>
      <c r="IG106" s="188"/>
      <c r="IH106" s="188"/>
      <c r="II106" s="188"/>
      <c r="IJ106" s="188"/>
      <c r="IK106" s="188"/>
      <c r="IL106" s="188"/>
      <c r="IM106" s="188"/>
      <c r="IN106" s="188"/>
      <c r="IO106" s="188"/>
      <c r="IP106" s="188"/>
      <c r="IQ106" s="188"/>
      <c r="IR106" s="188"/>
      <c r="IS106" s="188"/>
      <c r="IT106" s="188"/>
      <c r="IU106" s="188"/>
      <c r="IV106" s="188"/>
      <c r="IW106" s="188"/>
      <c r="IX106" s="188"/>
      <c r="IY106" s="188"/>
      <c r="IZ106" s="188"/>
      <c r="JA106" s="188"/>
      <c r="JB106" s="188"/>
      <c r="JC106" s="188"/>
      <c r="JD106" s="189"/>
      <c r="JE106" s="187"/>
      <c r="JF106" s="188"/>
      <c r="JG106" s="188"/>
      <c r="JH106" s="188"/>
      <c r="JI106" s="189"/>
      <c r="LU106" s="155"/>
      <c r="MX106" s="19"/>
      <c r="OW106" s="12"/>
      <c r="OX106" s="7"/>
    </row>
    <row r="107" spans="3:419" ht="5.0999999999999996" customHeight="1" x14ac:dyDescent="0.3">
      <c r="C107" s="11"/>
      <c r="D107" s="13"/>
      <c r="GQ107" s="16"/>
      <c r="HQ107" s="187"/>
      <c r="HR107" s="188"/>
      <c r="HS107" s="188"/>
      <c r="HT107" s="188"/>
      <c r="HU107" s="188"/>
      <c r="HV107" s="188"/>
      <c r="HW107" s="188"/>
      <c r="HX107" s="188"/>
      <c r="HY107" s="188"/>
      <c r="HZ107" s="188"/>
      <c r="IA107" s="188"/>
      <c r="IB107" s="188"/>
      <c r="IC107" s="188"/>
      <c r="ID107" s="188"/>
      <c r="IE107" s="188"/>
      <c r="IF107" s="188"/>
      <c r="IG107" s="188"/>
      <c r="IH107" s="188"/>
      <c r="II107" s="188"/>
      <c r="IJ107" s="188"/>
      <c r="IK107" s="188"/>
      <c r="IL107" s="188"/>
      <c r="IM107" s="188"/>
      <c r="IN107" s="188"/>
      <c r="IO107" s="188"/>
      <c r="IP107" s="188"/>
      <c r="IQ107" s="188"/>
      <c r="IR107" s="188"/>
      <c r="IS107" s="188"/>
      <c r="IT107" s="188"/>
      <c r="IU107" s="188"/>
      <c r="IV107" s="188"/>
      <c r="IW107" s="188"/>
      <c r="IX107" s="188"/>
      <c r="IY107" s="188"/>
      <c r="IZ107" s="188"/>
      <c r="JA107" s="188"/>
      <c r="JB107" s="188"/>
      <c r="JC107" s="188"/>
      <c r="JD107" s="189"/>
      <c r="JE107" s="187"/>
      <c r="JF107" s="188"/>
      <c r="JG107" s="188"/>
      <c r="JH107" s="188"/>
      <c r="JI107" s="189"/>
      <c r="LU107" s="155"/>
      <c r="MX107" s="19"/>
      <c r="OW107" s="12"/>
      <c r="OX107" s="7"/>
    </row>
    <row r="108" spans="3:419" ht="5.0999999999999996" customHeight="1" x14ac:dyDescent="0.3">
      <c r="C108" s="11"/>
      <c r="D108" s="13"/>
      <c r="GQ108" s="16"/>
      <c r="HQ108" s="187"/>
      <c r="HR108" s="188"/>
      <c r="HS108" s="188"/>
      <c r="HT108" s="188"/>
      <c r="HU108" s="188"/>
      <c r="HV108" s="188"/>
      <c r="HW108" s="188"/>
      <c r="HX108" s="188"/>
      <c r="HY108" s="188"/>
      <c r="HZ108" s="188"/>
      <c r="IA108" s="188"/>
      <c r="IB108" s="188"/>
      <c r="IC108" s="188"/>
      <c r="ID108" s="188"/>
      <c r="IE108" s="188"/>
      <c r="IF108" s="188"/>
      <c r="IG108" s="188"/>
      <c r="IH108" s="188"/>
      <c r="II108" s="188"/>
      <c r="IJ108" s="188"/>
      <c r="IK108" s="188"/>
      <c r="IL108" s="188"/>
      <c r="IM108" s="188"/>
      <c r="IN108" s="188"/>
      <c r="IO108" s="188"/>
      <c r="IP108" s="188"/>
      <c r="IQ108" s="188"/>
      <c r="IR108" s="188"/>
      <c r="IS108" s="188"/>
      <c r="IT108" s="188"/>
      <c r="IU108" s="188"/>
      <c r="IV108" s="188"/>
      <c r="IW108" s="188"/>
      <c r="IX108" s="188"/>
      <c r="IY108" s="188"/>
      <c r="IZ108" s="188"/>
      <c r="JA108" s="188"/>
      <c r="JB108" s="188"/>
      <c r="JC108" s="188"/>
      <c r="JD108" s="189"/>
      <c r="JE108" s="187"/>
      <c r="JF108" s="188"/>
      <c r="JG108" s="188"/>
      <c r="JH108" s="188"/>
      <c r="JI108" s="189"/>
      <c r="LU108" s="155"/>
      <c r="MX108" s="19"/>
      <c r="OW108" s="12"/>
      <c r="OX108" s="7"/>
    </row>
    <row r="109" spans="3:419" ht="5.0999999999999996" customHeight="1" x14ac:dyDescent="0.3">
      <c r="C109" s="11"/>
      <c r="D109" s="13"/>
      <c r="GQ109" s="16"/>
      <c r="HQ109" s="187"/>
      <c r="HR109" s="188"/>
      <c r="HS109" s="188"/>
      <c r="HT109" s="188"/>
      <c r="HU109" s="188"/>
      <c r="HV109" s="188"/>
      <c r="HW109" s="188"/>
      <c r="HX109" s="188"/>
      <c r="HY109" s="188"/>
      <c r="HZ109" s="188"/>
      <c r="IA109" s="188"/>
      <c r="IB109" s="188"/>
      <c r="IC109" s="188"/>
      <c r="ID109" s="188"/>
      <c r="IE109" s="188"/>
      <c r="IF109" s="188"/>
      <c r="IG109" s="188"/>
      <c r="IH109" s="188"/>
      <c r="II109" s="188"/>
      <c r="IJ109" s="188"/>
      <c r="IK109" s="188"/>
      <c r="IL109" s="188"/>
      <c r="IM109" s="188"/>
      <c r="IN109" s="188"/>
      <c r="IO109" s="188"/>
      <c r="IP109" s="188"/>
      <c r="IQ109" s="188"/>
      <c r="IR109" s="188"/>
      <c r="IS109" s="188"/>
      <c r="IT109" s="188"/>
      <c r="IU109" s="188"/>
      <c r="IV109" s="188"/>
      <c r="IW109" s="188"/>
      <c r="IX109" s="188"/>
      <c r="IY109" s="188"/>
      <c r="IZ109" s="188"/>
      <c r="JA109" s="188"/>
      <c r="JB109" s="188"/>
      <c r="JC109" s="188"/>
      <c r="JD109" s="189"/>
      <c r="JE109" s="187"/>
      <c r="JF109" s="188"/>
      <c r="JG109" s="188"/>
      <c r="JH109" s="188"/>
      <c r="JI109" s="189"/>
      <c r="LU109" s="155"/>
      <c r="MX109" s="19"/>
      <c r="OW109" s="12"/>
      <c r="OX109" s="7"/>
    </row>
    <row r="110" spans="3:419" ht="5.0999999999999996" customHeight="1" x14ac:dyDescent="0.3">
      <c r="C110" s="11"/>
      <c r="D110" s="13"/>
      <c r="GQ110" s="16"/>
      <c r="HQ110" s="187"/>
      <c r="HR110" s="188"/>
      <c r="HS110" s="188"/>
      <c r="HT110" s="188"/>
      <c r="HU110" s="188"/>
      <c r="HV110" s="188"/>
      <c r="HW110" s="188"/>
      <c r="HX110" s="188"/>
      <c r="HY110" s="188"/>
      <c r="HZ110" s="188"/>
      <c r="IA110" s="188"/>
      <c r="IB110" s="188"/>
      <c r="IC110" s="188"/>
      <c r="ID110" s="188"/>
      <c r="IE110" s="188"/>
      <c r="IF110" s="188"/>
      <c r="IG110" s="188"/>
      <c r="IH110" s="188"/>
      <c r="II110" s="188"/>
      <c r="IJ110" s="188"/>
      <c r="IK110" s="188"/>
      <c r="IL110" s="188"/>
      <c r="IM110" s="188"/>
      <c r="IN110" s="188"/>
      <c r="IO110" s="188"/>
      <c r="IP110" s="188"/>
      <c r="IQ110" s="188"/>
      <c r="IR110" s="188"/>
      <c r="IS110" s="188"/>
      <c r="IT110" s="188"/>
      <c r="IU110" s="188"/>
      <c r="IV110" s="188"/>
      <c r="IW110" s="188"/>
      <c r="IX110" s="188"/>
      <c r="IY110" s="188"/>
      <c r="IZ110" s="188"/>
      <c r="JA110" s="188"/>
      <c r="JB110" s="188"/>
      <c r="JC110" s="188"/>
      <c r="JD110" s="189"/>
      <c r="JE110" s="187"/>
      <c r="JF110" s="188"/>
      <c r="JG110" s="188"/>
      <c r="JH110" s="188"/>
      <c r="JI110" s="189"/>
      <c r="LU110" s="155"/>
      <c r="MX110" s="19"/>
      <c r="OW110" s="12"/>
      <c r="OX110" s="7"/>
    </row>
    <row r="111" spans="3:419" ht="5.0999999999999996" customHeight="1" x14ac:dyDescent="0.3">
      <c r="C111" s="11"/>
      <c r="D111" s="13"/>
      <c r="GQ111" s="16"/>
      <c r="HQ111" s="190"/>
      <c r="HR111" s="191"/>
      <c r="HS111" s="191"/>
      <c r="HT111" s="191"/>
      <c r="HU111" s="191"/>
      <c r="HV111" s="191"/>
      <c r="HW111" s="191"/>
      <c r="HX111" s="191"/>
      <c r="HY111" s="191"/>
      <c r="HZ111" s="191"/>
      <c r="IA111" s="191"/>
      <c r="IB111" s="191"/>
      <c r="IC111" s="191"/>
      <c r="ID111" s="191"/>
      <c r="IE111" s="191"/>
      <c r="IF111" s="191"/>
      <c r="IG111" s="191"/>
      <c r="IH111" s="191"/>
      <c r="II111" s="191"/>
      <c r="IJ111" s="191"/>
      <c r="IK111" s="191"/>
      <c r="IL111" s="191"/>
      <c r="IM111" s="191"/>
      <c r="IN111" s="191"/>
      <c r="IO111" s="191"/>
      <c r="IP111" s="191"/>
      <c r="IQ111" s="191"/>
      <c r="IR111" s="191"/>
      <c r="IS111" s="191"/>
      <c r="IT111" s="191"/>
      <c r="IU111" s="191"/>
      <c r="IV111" s="191"/>
      <c r="IW111" s="191"/>
      <c r="IX111" s="191"/>
      <c r="IY111" s="191"/>
      <c r="IZ111" s="191"/>
      <c r="JA111" s="191"/>
      <c r="JB111" s="191"/>
      <c r="JC111" s="191"/>
      <c r="JD111" s="192"/>
      <c r="JE111" s="190"/>
      <c r="JF111" s="191"/>
      <c r="JG111" s="191"/>
      <c r="JH111" s="191"/>
      <c r="JI111" s="192"/>
      <c r="LU111" s="155"/>
      <c r="MX111" s="19"/>
      <c r="OW111" s="12"/>
      <c r="OX111" s="7"/>
    </row>
    <row r="112" spans="3:419" ht="5.0999999999999996" customHeight="1" x14ac:dyDescent="0.3">
      <c r="C112" s="11"/>
      <c r="D112" s="13"/>
      <c r="GQ112" s="16"/>
      <c r="LU112" s="155"/>
      <c r="MX112" s="19"/>
      <c r="OW112" s="12"/>
      <c r="OX112" s="7"/>
      <c r="OY112" s="3"/>
      <c r="OZ112" s="3"/>
      <c r="PA112" s="3"/>
      <c r="PB112" s="3"/>
      <c r="PC112" s="2"/>
    </row>
    <row r="113" spans="3:438" ht="5.0999999999999996" customHeight="1" x14ac:dyDescent="0.3">
      <c r="C113" s="11"/>
      <c r="D113" s="13"/>
      <c r="GQ113" s="16"/>
      <c r="LU113" s="155"/>
      <c r="MX113" s="19"/>
      <c r="OW113" s="12"/>
      <c r="OX113" s="7"/>
      <c r="OY113" s="3"/>
      <c r="OZ113" s="3"/>
      <c r="PA113" s="3"/>
      <c r="PB113" s="3"/>
      <c r="PC113" s="2"/>
    </row>
    <row r="114" spans="3:438" ht="5.0999999999999996" customHeight="1" thickBot="1" x14ac:dyDescent="0.35">
      <c r="C114" s="11"/>
      <c r="D114" s="13"/>
      <c r="GQ114" s="16"/>
      <c r="LU114" s="155"/>
      <c r="MX114" s="19"/>
      <c r="OW114" s="12"/>
      <c r="OX114" s="7"/>
      <c r="OY114" s="3"/>
      <c r="OZ114" s="3"/>
      <c r="PA114" s="3"/>
      <c r="PB114" s="3"/>
      <c r="PC114" s="2"/>
    </row>
    <row r="115" spans="3:438" ht="5.0999999999999996" customHeight="1" x14ac:dyDescent="0.3">
      <c r="C115" s="11"/>
      <c r="D115" s="13"/>
      <c r="AN115" s="22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2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0"/>
      <c r="LU115" s="155"/>
      <c r="MX115" s="19"/>
      <c r="OW115" s="12"/>
      <c r="OX115" s="7"/>
      <c r="OY115" s="3"/>
      <c r="OZ115" s="3"/>
      <c r="PA115" s="3"/>
      <c r="PB115" s="3"/>
      <c r="PC115" s="2"/>
    </row>
    <row r="116" spans="3:438" ht="5.0999999999999996" customHeight="1" x14ac:dyDescent="0.3">
      <c r="C116" s="11"/>
      <c r="D116" s="13"/>
      <c r="AH116" s="9"/>
      <c r="AI116" s="9"/>
      <c r="AJ116" s="9"/>
      <c r="AK116" s="9"/>
      <c r="AL116" s="9"/>
      <c r="AM116" s="9"/>
      <c r="AN116" s="15"/>
      <c r="AO116" s="9"/>
      <c r="AP116" s="9"/>
      <c r="GQ116" s="15"/>
      <c r="KO116" s="19"/>
      <c r="LU116" s="155"/>
      <c r="MS116" s="9"/>
      <c r="MT116" s="9"/>
      <c r="MU116" s="9"/>
      <c r="MV116" s="9"/>
      <c r="MW116" s="9"/>
      <c r="MX116" s="50"/>
      <c r="MY116" s="9"/>
      <c r="MZ116" s="9"/>
      <c r="NA116" s="9"/>
      <c r="OW116" s="12"/>
      <c r="OX116" s="7"/>
      <c r="OY116" s="3"/>
      <c r="OZ116" s="3"/>
      <c r="PA116" s="3"/>
      <c r="PB116" s="3"/>
      <c r="PC116" s="2"/>
      <c r="PQ116" s="3"/>
      <c r="PR116" s="3"/>
      <c r="PS116" s="3"/>
      <c r="PT116" s="3"/>
      <c r="PU116" s="3"/>
      <c r="PV116" s="2"/>
    </row>
    <row r="117" spans="3:438" ht="5.0999999999999996" customHeight="1" x14ac:dyDescent="0.3">
      <c r="C117" s="11"/>
      <c r="D117" s="13"/>
      <c r="Q117" s="206" t="s">
        <v>13</v>
      </c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8"/>
      <c r="BF117" s="206">
        <f>SUM(BF129,BF141:BJ240)</f>
        <v>14</v>
      </c>
      <c r="BG117" s="207"/>
      <c r="BH117" s="207"/>
      <c r="BI117" s="207"/>
      <c r="BJ117" s="208"/>
      <c r="FT117" s="265" t="s">
        <v>12</v>
      </c>
      <c r="FU117" s="265"/>
      <c r="FV117" s="265"/>
      <c r="FW117" s="265"/>
      <c r="FX117" s="265"/>
      <c r="FY117" s="265"/>
      <c r="FZ117" s="265"/>
      <c r="GA117" s="265"/>
      <c r="GB117" s="265"/>
      <c r="GC117" s="265"/>
      <c r="GD117" s="265"/>
      <c r="GE117" s="265"/>
      <c r="GF117" s="265"/>
      <c r="GG117" s="265"/>
      <c r="GH117" s="265"/>
      <c r="GI117" s="265"/>
      <c r="GJ117" s="265"/>
      <c r="GK117" s="265"/>
      <c r="GL117" s="265"/>
      <c r="GM117" s="265"/>
      <c r="GN117" s="265"/>
      <c r="GO117" s="265"/>
      <c r="GP117" s="265"/>
      <c r="GQ117" s="265"/>
      <c r="GR117" s="265"/>
      <c r="GS117" s="265"/>
      <c r="GT117" s="265"/>
      <c r="GU117" s="265"/>
      <c r="GV117" s="265"/>
      <c r="GW117" s="265"/>
      <c r="GX117" s="265"/>
      <c r="GY117" s="265"/>
      <c r="GZ117" s="265"/>
      <c r="HA117" s="265"/>
      <c r="HB117" s="265"/>
      <c r="HC117" s="265"/>
      <c r="HD117" s="265"/>
      <c r="HE117" s="265"/>
      <c r="HF117" s="265"/>
      <c r="HG117" s="302">
        <f>SUM(FJ147,HH147,JE147,HG129)</f>
        <v>17</v>
      </c>
      <c r="HH117" s="303"/>
      <c r="HI117" s="303"/>
      <c r="HJ117" s="303"/>
      <c r="HK117" s="304"/>
      <c r="JQ117" s="14"/>
      <c r="JS117" s="195" t="s">
        <v>11</v>
      </c>
      <c r="JT117" s="196"/>
      <c r="JU117" s="196"/>
      <c r="JV117" s="196"/>
      <c r="JW117" s="196"/>
      <c r="JX117" s="196"/>
      <c r="JY117" s="196"/>
      <c r="JZ117" s="196"/>
      <c r="KA117" s="196"/>
      <c r="KB117" s="196"/>
      <c r="KC117" s="196"/>
      <c r="KD117" s="196"/>
      <c r="KE117" s="196"/>
      <c r="KF117" s="196"/>
      <c r="KG117" s="196"/>
      <c r="KH117" s="196"/>
      <c r="KI117" s="196"/>
      <c r="KJ117" s="196"/>
      <c r="KK117" s="196"/>
      <c r="KL117" s="196"/>
      <c r="KM117" s="196"/>
      <c r="KN117" s="196"/>
      <c r="KO117" s="196"/>
      <c r="KP117" s="196"/>
      <c r="KQ117" s="196"/>
      <c r="KR117" s="196"/>
      <c r="KS117" s="196"/>
      <c r="KT117" s="196"/>
      <c r="KU117" s="196"/>
      <c r="KV117" s="196"/>
      <c r="KW117" s="196"/>
      <c r="KX117" s="196"/>
      <c r="KY117" s="196"/>
      <c r="KZ117" s="196"/>
      <c r="LA117" s="196"/>
      <c r="LB117" s="196"/>
      <c r="LC117" s="196"/>
      <c r="LD117" s="196"/>
      <c r="LE117" s="196"/>
      <c r="LF117" s="196"/>
      <c r="LG117" s="204">
        <f>LG127</f>
        <v>10</v>
      </c>
      <c r="LH117" s="204"/>
      <c r="LI117" s="204"/>
      <c r="LJ117" s="204"/>
      <c r="LK117" s="204"/>
      <c r="LL117" s="204"/>
      <c r="LU117" s="155"/>
      <c r="MB117" s="311" t="s">
        <v>31</v>
      </c>
      <c r="MC117" s="312"/>
      <c r="MD117" s="312"/>
      <c r="ME117" s="312"/>
      <c r="MF117" s="312"/>
      <c r="MG117" s="312"/>
      <c r="MH117" s="312"/>
      <c r="MI117" s="312"/>
      <c r="MJ117" s="312"/>
      <c r="MK117" s="312"/>
      <c r="ML117" s="312"/>
      <c r="MM117" s="312"/>
      <c r="MN117" s="312"/>
      <c r="MO117" s="312"/>
      <c r="MP117" s="312"/>
      <c r="MQ117" s="312"/>
      <c r="MR117" s="312"/>
      <c r="MS117" s="312"/>
      <c r="MT117" s="312"/>
      <c r="MU117" s="312"/>
      <c r="MV117" s="312"/>
      <c r="MW117" s="312"/>
      <c r="MX117" s="312"/>
      <c r="MY117" s="312"/>
      <c r="MZ117" s="312"/>
      <c r="NA117" s="312"/>
      <c r="NB117" s="312"/>
      <c r="NC117" s="312"/>
      <c r="ND117" s="312"/>
      <c r="NE117" s="312"/>
      <c r="NF117" s="312"/>
      <c r="NG117" s="312"/>
      <c r="NH117" s="312"/>
      <c r="NI117" s="312"/>
      <c r="NJ117" s="312"/>
      <c r="NK117" s="312"/>
      <c r="NL117" s="312"/>
      <c r="NM117" s="312"/>
      <c r="NN117" s="312"/>
      <c r="NO117" s="312"/>
      <c r="NP117" s="313"/>
      <c r="NQ117" s="320">
        <f>SUM(NQ209:NU231)</f>
        <v>2</v>
      </c>
      <c r="NR117" s="321"/>
      <c r="NS117" s="321"/>
      <c r="NT117" s="321"/>
      <c r="NU117" s="322"/>
      <c r="OW117" s="12"/>
      <c r="OX117" s="7"/>
      <c r="OY117" s="3"/>
      <c r="OZ117" s="3"/>
      <c r="PA117" s="3"/>
      <c r="PB117" s="3"/>
      <c r="PC117" s="2"/>
      <c r="PQ117" s="3"/>
      <c r="PR117" s="3"/>
      <c r="PS117" s="3"/>
      <c r="PT117" s="3"/>
      <c r="PU117" s="3"/>
      <c r="PV117" s="2"/>
    </row>
    <row r="118" spans="3:438" ht="5.0999999999999996" customHeight="1" x14ac:dyDescent="0.3">
      <c r="C118" s="11"/>
      <c r="D118" s="13"/>
      <c r="Q118" s="209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1"/>
      <c r="BF118" s="209"/>
      <c r="BG118" s="210"/>
      <c r="BH118" s="210"/>
      <c r="BI118" s="210"/>
      <c r="BJ118" s="211"/>
      <c r="FT118" s="265"/>
      <c r="FU118" s="265"/>
      <c r="FV118" s="265"/>
      <c r="FW118" s="265"/>
      <c r="FX118" s="265"/>
      <c r="FY118" s="265"/>
      <c r="FZ118" s="265"/>
      <c r="GA118" s="265"/>
      <c r="GB118" s="265"/>
      <c r="GC118" s="265"/>
      <c r="GD118" s="265"/>
      <c r="GE118" s="265"/>
      <c r="GF118" s="265"/>
      <c r="GG118" s="265"/>
      <c r="GH118" s="265"/>
      <c r="GI118" s="265"/>
      <c r="GJ118" s="265"/>
      <c r="GK118" s="265"/>
      <c r="GL118" s="265"/>
      <c r="GM118" s="265"/>
      <c r="GN118" s="265"/>
      <c r="GO118" s="265"/>
      <c r="GP118" s="265"/>
      <c r="GQ118" s="265"/>
      <c r="GR118" s="265"/>
      <c r="GS118" s="265"/>
      <c r="GT118" s="265"/>
      <c r="GU118" s="265"/>
      <c r="GV118" s="265"/>
      <c r="GW118" s="265"/>
      <c r="GX118" s="265"/>
      <c r="GY118" s="265"/>
      <c r="GZ118" s="265"/>
      <c r="HA118" s="265"/>
      <c r="HB118" s="265"/>
      <c r="HC118" s="265"/>
      <c r="HD118" s="265"/>
      <c r="HE118" s="265"/>
      <c r="HF118" s="265"/>
      <c r="HG118" s="305"/>
      <c r="HH118" s="306"/>
      <c r="HI118" s="306"/>
      <c r="HJ118" s="306"/>
      <c r="HK118" s="307"/>
      <c r="JQ118" s="14"/>
      <c r="JS118" s="198"/>
      <c r="JT118" s="199"/>
      <c r="JU118" s="199"/>
      <c r="JV118" s="199"/>
      <c r="JW118" s="199"/>
      <c r="JX118" s="199"/>
      <c r="JY118" s="199"/>
      <c r="JZ118" s="199"/>
      <c r="KA118" s="199"/>
      <c r="KB118" s="199"/>
      <c r="KC118" s="199"/>
      <c r="KD118" s="199"/>
      <c r="KE118" s="199"/>
      <c r="KF118" s="199"/>
      <c r="KG118" s="199"/>
      <c r="KH118" s="199"/>
      <c r="KI118" s="199"/>
      <c r="KJ118" s="199"/>
      <c r="KK118" s="199"/>
      <c r="KL118" s="199"/>
      <c r="KM118" s="199"/>
      <c r="KN118" s="199"/>
      <c r="KO118" s="199"/>
      <c r="KP118" s="199"/>
      <c r="KQ118" s="199"/>
      <c r="KR118" s="199"/>
      <c r="KS118" s="199"/>
      <c r="KT118" s="199"/>
      <c r="KU118" s="199"/>
      <c r="KV118" s="199"/>
      <c r="KW118" s="199"/>
      <c r="KX118" s="199"/>
      <c r="KY118" s="199"/>
      <c r="KZ118" s="199"/>
      <c r="LA118" s="199"/>
      <c r="LB118" s="199"/>
      <c r="LC118" s="199"/>
      <c r="LD118" s="199"/>
      <c r="LE118" s="199"/>
      <c r="LF118" s="199"/>
      <c r="LG118" s="204"/>
      <c r="LH118" s="204"/>
      <c r="LI118" s="204"/>
      <c r="LJ118" s="204"/>
      <c r="LK118" s="204"/>
      <c r="LL118" s="204"/>
      <c r="LU118" s="155"/>
      <c r="MB118" s="314"/>
      <c r="MC118" s="315"/>
      <c r="MD118" s="315"/>
      <c r="ME118" s="315"/>
      <c r="MF118" s="315"/>
      <c r="MG118" s="315"/>
      <c r="MH118" s="315"/>
      <c r="MI118" s="315"/>
      <c r="MJ118" s="315"/>
      <c r="MK118" s="315"/>
      <c r="ML118" s="315"/>
      <c r="MM118" s="315"/>
      <c r="MN118" s="315"/>
      <c r="MO118" s="315"/>
      <c r="MP118" s="315"/>
      <c r="MQ118" s="315"/>
      <c r="MR118" s="315"/>
      <c r="MS118" s="315"/>
      <c r="MT118" s="315"/>
      <c r="MU118" s="315"/>
      <c r="MV118" s="315"/>
      <c r="MW118" s="315"/>
      <c r="MX118" s="315"/>
      <c r="MY118" s="315"/>
      <c r="MZ118" s="315"/>
      <c r="NA118" s="315"/>
      <c r="NB118" s="315"/>
      <c r="NC118" s="315"/>
      <c r="ND118" s="315"/>
      <c r="NE118" s="315"/>
      <c r="NF118" s="315"/>
      <c r="NG118" s="315"/>
      <c r="NH118" s="315"/>
      <c r="NI118" s="315"/>
      <c r="NJ118" s="315"/>
      <c r="NK118" s="315"/>
      <c r="NL118" s="315"/>
      <c r="NM118" s="315"/>
      <c r="NN118" s="315"/>
      <c r="NO118" s="315"/>
      <c r="NP118" s="316"/>
      <c r="NQ118" s="323"/>
      <c r="NR118" s="324"/>
      <c r="NS118" s="324"/>
      <c r="NT118" s="324"/>
      <c r="NU118" s="325"/>
      <c r="OW118" s="12"/>
      <c r="OX118" s="7"/>
      <c r="OY118" s="3"/>
      <c r="OZ118" s="3"/>
      <c r="PA118" s="3"/>
      <c r="PB118" s="3"/>
      <c r="PC118" s="2"/>
      <c r="PQ118" s="3"/>
      <c r="PR118" s="3"/>
      <c r="PS118" s="3"/>
      <c r="PT118" s="3"/>
      <c r="PU118" s="3"/>
      <c r="PV118" s="2"/>
    </row>
    <row r="119" spans="3:438" ht="5.0999999999999996" customHeight="1" x14ac:dyDescent="0.3">
      <c r="C119" s="11"/>
      <c r="D119" s="13"/>
      <c r="Q119" s="209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1"/>
      <c r="BF119" s="209"/>
      <c r="BG119" s="210"/>
      <c r="BH119" s="210"/>
      <c r="BI119" s="210"/>
      <c r="BJ119" s="211"/>
      <c r="FT119" s="265"/>
      <c r="FU119" s="265"/>
      <c r="FV119" s="265"/>
      <c r="FW119" s="265"/>
      <c r="FX119" s="265"/>
      <c r="FY119" s="265"/>
      <c r="FZ119" s="265"/>
      <c r="GA119" s="265"/>
      <c r="GB119" s="265"/>
      <c r="GC119" s="265"/>
      <c r="GD119" s="265"/>
      <c r="GE119" s="265"/>
      <c r="GF119" s="265"/>
      <c r="GG119" s="265"/>
      <c r="GH119" s="265"/>
      <c r="GI119" s="265"/>
      <c r="GJ119" s="265"/>
      <c r="GK119" s="265"/>
      <c r="GL119" s="265"/>
      <c r="GM119" s="265"/>
      <c r="GN119" s="265"/>
      <c r="GO119" s="265"/>
      <c r="GP119" s="265"/>
      <c r="GQ119" s="265"/>
      <c r="GR119" s="265"/>
      <c r="GS119" s="265"/>
      <c r="GT119" s="265"/>
      <c r="GU119" s="265"/>
      <c r="GV119" s="265"/>
      <c r="GW119" s="265"/>
      <c r="GX119" s="265"/>
      <c r="GY119" s="265"/>
      <c r="GZ119" s="265"/>
      <c r="HA119" s="265"/>
      <c r="HB119" s="265"/>
      <c r="HC119" s="265"/>
      <c r="HD119" s="265"/>
      <c r="HE119" s="265"/>
      <c r="HF119" s="265"/>
      <c r="HG119" s="305"/>
      <c r="HH119" s="306"/>
      <c r="HI119" s="306"/>
      <c r="HJ119" s="306"/>
      <c r="HK119" s="307"/>
      <c r="JQ119" s="14"/>
      <c r="JS119" s="198"/>
      <c r="JT119" s="199"/>
      <c r="JU119" s="199"/>
      <c r="JV119" s="199"/>
      <c r="JW119" s="199"/>
      <c r="JX119" s="199"/>
      <c r="JY119" s="199"/>
      <c r="JZ119" s="199"/>
      <c r="KA119" s="199"/>
      <c r="KB119" s="199"/>
      <c r="KC119" s="199"/>
      <c r="KD119" s="199"/>
      <c r="KE119" s="199"/>
      <c r="KF119" s="199"/>
      <c r="KG119" s="199"/>
      <c r="KH119" s="199"/>
      <c r="KI119" s="199"/>
      <c r="KJ119" s="199"/>
      <c r="KK119" s="199"/>
      <c r="KL119" s="199"/>
      <c r="KM119" s="199"/>
      <c r="KN119" s="199"/>
      <c r="KO119" s="199"/>
      <c r="KP119" s="199"/>
      <c r="KQ119" s="199"/>
      <c r="KR119" s="199"/>
      <c r="KS119" s="199"/>
      <c r="KT119" s="199"/>
      <c r="KU119" s="199"/>
      <c r="KV119" s="199"/>
      <c r="KW119" s="199"/>
      <c r="KX119" s="199"/>
      <c r="KY119" s="199"/>
      <c r="KZ119" s="199"/>
      <c r="LA119" s="199"/>
      <c r="LB119" s="199"/>
      <c r="LC119" s="199"/>
      <c r="LD119" s="199"/>
      <c r="LE119" s="199"/>
      <c r="LF119" s="199"/>
      <c r="LG119" s="204"/>
      <c r="LH119" s="204"/>
      <c r="LI119" s="204"/>
      <c r="LJ119" s="204"/>
      <c r="LK119" s="204"/>
      <c r="LL119" s="204"/>
      <c r="LU119" s="155"/>
      <c r="MB119" s="314"/>
      <c r="MC119" s="315"/>
      <c r="MD119" s="315"/>
      <c r="ME119" s="315"/>
      <c r="MF119" s="315"/>
      <c r="MG119" s="315"/>
      <c r="MH119" s="315"/>
      <c r="MI119" s="315"/>
      <c r="MJ119" s="315"/>
      <c r="MK119" s="315"/>
      <c r="ML119" s="315"/>
      <c r="MM119" s="315"/>
      <c r="MN119" s="315"/>
      <c r="MO119" s="315"/>
      <c r="MP119" s="315"/>
      <c r="MQ119" s="315"/>
      <c r="MR119" s="315"/>
      <c r="MS119" s="315"/>
      <c r="MT119" s="315"/>
      <c r="MU119" s="315"/>
      <c r="MV119" s="315"/>
      <c r="MW119" s="315"/>
      <c r="MX119" s="315"/>
      <c r="MY119" s="315"/>
      <c r="MZ119" s="315"/>
      <c r="NA119" s="315"/>
      <c r="NB119" s="315"/>
      <c r="NC119" s="315"/>
      <c r="ND119" s="315"/>
      <c r="NE119" s="315"/>
      <c r="NF119" s="315"/>
      <c r="NG119" s="315"/>
      <c r="NH119" s="315"/>
      <c r="NI119" s="315"/>
      <c r="NJ119" s="315"/>
      <c r="NK119" s="315"/>
      <c r="NL119" s="315"/>
      <c r="NM119" s="315"/>
      <c r="NN119" s="315"/>
      <c r="NO119" s="315"/>
      <c r="NP119" s="316"/>
      <c r="NQ119" s="323"/>
      <c r="NR119" s="324"/>
      <c r="NS119" s="324"/>
      <c r="NT119" s="324"/>
      <c r="NU119" s="325"/>
      <c r="OW119" s="12"/>
      <c r="OX119" s="7"/>
      <c r="OY119" s="3"/>
      <c r="OZ119" s="3"/>
      <c r="PA119" s="3"/>
      <c r="PB119" s="3"/>
      <c r="PC119" s="2"/>
      <c r="PQ119" s="3"/>
      <c r="PR119" s="3"/>
      <c r="PS119" s="3"/>
      <c r="PT119" s="3"/>
      <c r="PU119" s="3"/>
      <c r="PV119" s="2"/>
    </row>
    <row r="120" spans="3:438" ht="5.0999999999999996" customHeight="1" x14ac:dyDescent="0.3">
      <c r="C120" s="11"/>
      <c r="D120" s="13"/>
      <c r="Q120" s="209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1"/>
      <c r="BF120" s="209"/>
      <c r="BG120" s="210"/>
      <c r="BH120" s="210"/>
      <c r="BI120" s="210"/>
      <c r="BJ120" s="211"/>
      <c r="FT120" s="265"/>
      <c r="FU120" s="265"/>
      <c r="FV120" s="265"/>
      <c r="FW120" s="265"/>
      <c r="FX120" s="265"/>
      <c r="FY120" s="265"/>
      <c r="FZ120" s="265"/>
      <c r="GA120" s="265"/>
      <c r="GB120" s="265"/>
      <c r="GC120" s="265"/>
      <c r="GD120" s="265"/>
      <c r="GE120" s="265"/>
      <c r="GF120" s="265"/>
      <c r="GG120" s="265"/>
      <c r="GH120" s="265"/>
      <c r="GI120" s="265"/>
      <c r="GJ120" s="265"/>
      <c r="GK120" s="265"/>
      <c r="GL120" s="265"/>
      <c r="GM120" s="265"/>
      <c r="GN120" s="265"/>
      <c r="GO120" s="265"/>
      <c r="GP120" s="265"/>
      <c r="GQ120" s="265"/>
      <c r="GR120" s="265"/>
      <c r="GS120" s="265"/>
      <c r="GT120" s="265"/>
      <c r="GU120" s="265"/>
      <c r="GV120" s="265"/>
      <c r="GW120" s="265"/>
      <c r="GX120" s="265"/>
      <c r="GY120" s="265"/>
      <c r="GZ120" s="265"/>
      <c r="HA120" s="265"/>
      <c r="HB120" s="265"/>
      <c r="HC120" s="265"/>
      <c r="HD120" s="265"/>
      <c r="HE120" s="265"/>
      <c r="HF120" s="265"/>
      <c r="HG120" s="305"/>
      <c r="HH120" s="306"/>
      <c r="HI120" s="306"/>
      <c r="HJ120" s="306"/>
      <c r="HK120" s="307"/>
      <c r="JQ120" s="14"/>
      <c r="JS120" s="198"/>
      <c r="JT120" s="199"/>
      <c r="JU120" s="199"/>
      <c r="JV120" s="199"/>
      <c r="JW120" s="199"/>
      <c r="JX120" s="199"/>
      <c r="JY120" s="199"/>
      <c r="JZ120" s="199"/>
      <c r="KA120" s="199"/>
      <c r="KB120" s="199"/>
      <c r="KC120" s="199"/>
      <c r="KD120" s="199"/>
      <c r="KE120" s="199"/>
      <c r="KF120" s="199"/>
      <c r="KG120" s="199"/>
      <c r="KH120" s="199"/>
      <c r="KI120" s="199"/>
      <c r="KJ120" s="199"/>
      <c r="KK120" s="199"/>
      <c r="KL120" s="199"/>
      <c r="KM120" s="199"/>
      <c r="KN120" s="199"/>
      <c r="KO120" s="199"/>
      <c r="KP120" s="199"/>
      <c r="KQ120" s="199"/>
      <c r="KR120" s="199"/>
      <c r="KS120" s="199"/>
      <c r="KT120" s="199"/>
      <c r="KU120" s="199"/>
      <c r="KV120" s="199"/>
      <c r="KW120" s="199"/>
      <c r="KX120" s="199"/>
      <c r="KY120" s="199"/>
      <c r="KZ120" s="199"/>
      <c r="LA120" s="199"/>
      <c r="LB120" s="199"/>
      <c r="LC120" s="199"/>
      <c r="LD120" s="199"/>
      <c r="LE120" s="199"/>
      <c r="LF120" s="199"/>
      <c r="LG120" s="204"/>
      <c r="LH120" s="204"/>
      <c r="LI120" s="204"/>
      <c r="LJ120" s="204"/>
      <c r="LK120" s="204"/>
      <c r="LL120" s="204"/>
      <c r="LU120" s="155"/>
      <c r="MB120" s="314"/>
      <c r="MC120" s="315"/>
      <c r="MD120" s="315"/>
      <c r="ME120" s="315"/>
      <c r="MF120" s="315"/>
      <c r="MG120" s="315"/>
      <c r="MH120" s="315"/>
      <c r="MI120" s="315"/>
      <c r="MJ120" s="315"/>
      <c r="MK120" s="315"/>
      <c r="ML120" s="315"/>
      <c r="MM120" s="315"/>
      <c r="MN120" s="315"/>
      <c r="MO120" s="315"/>
      <c r="MP120" s="315"/>
      <c r="MQ120" s="315"/>
      <c r="MR120" s="315"/>
      <c r="MS120" s="315"/>
      <c r="MT120" s="315"/>
      <c r="MU120" s="315"/>
      <c r="MV120" s="315"/>
      <c r="MW120" s="315"/>
      <c r="MX120" s="315"/>
      <c r="MY120" s="315"/>
      <c r="MZ120" s="315"/>
      <c r="NA120" s="315"/>
      <c r="NB120" s="315"/>
      <c r="NC120" s="315"/>
      <c r="ND120" s="315"/>
      <c r="NE120" s="315"/>
      <c r="NF120" s="315"/>
      <c r="NG120" s="315"/>
      <c r="NH120" s="315"/>
      <c r="NI120" s="315"/>
      <c r="NJ120" s="315"/>
      <c r="NK120" s="315"/>
      <c r="NL120" s="315"/>
      <c r="NM120" s="315"/>
      <c r="NN120" s="315"/>
      <c r="NO120" s="315"/>
      <c r="NP120" s="316"/>
      <c r="NQ120" s="323"/>
      <c r="NR120" s="324"/>
      <c r="NS120" s="324"/>
      <c r="NT120" s="324"/>
      <c r="NU120" s="325"/>
      <c r="OW120" s="12"/>
      <c r="OX120" s="7"/>
      <c r="OY120" s="3"/>
      <c r="OZ120" s="3"/>
      <c r="PA120" s="3"/>
      <c r="PB120" s="3"/>
      <c r="PC120" s="2"/>
      <c r="PQ120" s="3"/>
      <c r="PR120" s="3"/>
      <c r="PS120" s="3"/>
      <c r="PT120" s="3"/>
      <c r="PU120" s="3"/>
      <c r="PV120" s="2"/>
    </row>
    <row r="121" spans="3:438" ht="5.0999999999999996" customHeight="1" thickBot="1" x14ac:dyDescent="0.35">
      <c r="C121" s="11"/>
      <c r="D121" s="13"/>
      <c r="Q121" s="209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1"/>
      <c r="BF121" s="209"/>
      <c r="BG121" s="210"/>
      <c r="BH121" s="210"/>
      <c r="BI121" s="210"/>
      <c r="BJ121" s="211"/>
      <c r="FT121" s="265"/>
      <c r="FU121" s="265"/>
      <c r="FV121" s="265"/>
      <c r="FW121" s="265"/>
      <c r="FX121" s="265"/>
      <c r="FY121" s="265"/>
      <c r="FZ121" s="265"/>
      <c r="GA121" s="265"/>
      <c r="GB121" s="265"/>
      <c r="GC121" s="265"/>
      <c r="GD121" s="265"/>
      <c r="GE121" s="265"/>
      <c r="GF121" s="265"/>
      <c r="GG121" s="265"/>
      <c r="GH121" s="265"/>
      <c r="GI121" s="265"/>
      <c r="GJ121" s="265"/>
      <c r="GK121" s="265"/>
      <c r="GL121" s="265"/>
      <c r="GM121" s="265"/>
      <c r="GN121" s="265"/>
      <c r="GO121" s="265"/>
      <c r="GP121" s="265"/>
      <c r="GQ121" s="265"/>
      <c r="GR121" s="265"/>
      <c r="GS121" s="265"/>
      <c r="GT121" s="265"/>
      <c r="GU121" s="265"/>
      <c r="GV121" s="265"/>
      <c r="GW121" s="265"/>
      <c r="GX121" s="265"/>
      <c r="GY121" s="265"/>
      <c r="GZ121" s="265"/>
      <c r="HA121" s="265"/>
      <c r="HB121" s="265"/>
      <c r="HC121" s="265"/>
      <c r="HD121" s="265"/>
      <c r="HE121" s="265"/>
      <c r="HF121" s="265"/>
      <c r="HG121" s="305"/>
      <c r="HH121" s="306"/>
      <c r="HI121" s="306"/>
      <c r="HJ121" s="306"/>
      <c r="HK121" s="307"/>
      <c r="JQ121" s="14"/>
      <c r="JS121" s="198"/>
      <c r="JT121" s="199"/>
      <c r="JU121" s="199"/>
      <c r="JV121" s="199"/>
      <c r="JW121" s="199"/>
      <c r="JX121" s="199"/>
      <c r="JY121" s="199"/>
      <c r="JZ121" s="199"/>
      <c r="KA121" s="199"/>
      <c r="KB121" s="199"/>
      <c r="KC121" s="199"/>
      <c r="KD121" s="199"/>
      <c r="KE121" s="199"/>
      <c r="KF121" s="199"/>
      <c r="KG121" s="199"/>
      <c r="KH121" s="199"/>
      <c r="KI121" s="199"/>
      <c r="KJ121" s="199"/>
      <c r="KK121" s="199"/>
      <c r="KL121" s="199"/>
      <c r="KM121" s="199"/>
      <c r="KN121" s="199"/>
      <c r="KO121" s="199"/>
      <c r="KP121" s="199"/>
      <c r="KQ121" s="199"/>
      <c r="KR121" s="199"/>
      <c r="KS121" s="199"/>
      <c r="KT121" s="199"/>
      <c r="KU121" s="199"/>
      <c r="KV121" s="199"/>
      <c r="KW121" s="199"/>
      <c r="KX121" s="199"/>
      <c r="KY121" s="199"/>
      <c r="KZ121" s="199"/>
      <c r="LA121" s="199"/>
      <c r="LB121" s="199"/>
      <c r="LC121" s="199"/>
      <c r="LD121" s="199"/>
      <c r="LE121" s="199"/>
      <c r="LF121" s="199"/>
      <c r="LG121" s="204"/>
      <c r="LH121" s="204"/>
      <c r="LI121" s="204"/>
      <c r="LJ121" s="204"/>
      <c r="LK121" s="204"/>
      <c r="LL121" s="204"/>
      <c r="LU121" s="155"/>
      <c r="MB121" s="314"/>
      <c r="MC121" s="315"/>
      <c r="MD121" s="315"/>
      <c r="ME121" s="315"/>
      <c r="MF121" s="315"/>
      <c r="MG121" s="315"/>
      <c r="MH121" s="315"/>
      <c r="MI121" s="315"/>
      <c r="MJ121" s="315"/>
      <c r="MK121" s="315"/>
      <c r="ML121" s="315"/>
      <c r="MM121" s="315"/>
      <c r="MN121" s="315"/>
      <c r="MO121" s="315"/>
      <c r="MP121" s="315"/>
      <c r="MQ121" s="315"/>
      <c r="MR121" s="315"/>
      <c r="MS121" s="315"/>
      <c r="MT121" s="315"/>
      <c r="MU121" s="315"/>
      <c r="MV121" s="315"/>
      <c r="MW121" s="315"/>
      <c r="MX121" s="315"/>
      <c r="MY121" s="315"/>
      <c r="MZ121" s="315"/>
      <c r="NA121" s="315"/>
      <c r="NB121" s="315"/>
      <c r="NC121" s="315"/>
      <c r="ND121" s="315"/>
      <c r="NE121" s="315"/>
      <c r="NF121" s="315"/>
      <c r="NG121" s="315"/>
      <c r="NH121" s="315"/>
      <c r="NI121" s="315"/>
      <c r="NJ121" s="315"/>
      <c r="NK121" s="315"/>
      <c r="NL121" s="315"/>
      <c r="NM121" s="315"/>
      <c r="NN121" s="315"/>
      <c r="NO121" s="315"/>
      <c r="NP121" s="316"/>
      <c r="NQ121" s="323"/>
      <c r="NR121" s="324"/>
      <c r="NS121" s="324"/>
      <c r="NT121" s="324"/>
      <c r="NU121" s="325"/>
      <c r="OW121" s="12"/>
      <c r="OX121" s="7"/>
      <c r="OY121" s="3"/>
      <c r="OZ121" s="3"/>
      <c r="PA121" s="3"/>
      <c r="PB121" s="3"/>
      <c r="PC121" s="2"/>
      <c r="PQ121" s="3"/>
      <c r="PR121" s="3"/>
      <c r="PS121" s="3"/>
      <c r="PT121" s="3"/>
      <c r="PU121" s="3"/>
      <c r="PV121" s="2"/>
    </row>
    <row r="122" spans="3:438" ht="5.0999999999999996" customHeight="1" x14ac:dyDescent="0.3">
      <c r="C122" s="11"/>
      <c r="D122" s="13"/>
      <c r="Q122" s="209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1"/>
      <c r="BF122" s="209"/>
      <c r="BG122" s="210"/>
      <c r="BH122" s="210"/>
      <c r="BI122" s="210"/>
      <c r="BJ122" s="211"/>
      <c r="FT122" s="265"/>
      <c r="FU122" s="265"/>
      <c r="FV122" s="265"/>
      <c r="FW122" s="265"/>
      <c r="FX122" s="265"/>
      <c r="FY122" s="265"/>
      <c r="FZ122" s="265"/>
      <c r="GA122" s="265"/>
      <c r="GB122" s="265"/>
      <c r="GC122" s="265"/>
      <c r="GD122" s="265"/>
      <c r="GE122" s="265"/>
      <c r="GF122" s="265"/>
      <c r="GG122" s="265"/>
      <c r="GH122" s="265"/>
      <c r="GI122" s="265"/>
      <c r="GJ122" s="265"/>
      <c r="GK122" s="265"/>
      <c r="GL122" s="265"/>
      <c r="GM122" s="265"/>
      <c r="GN122" s="265"/>
      <c r="GO122" s="265"/>
      <c r="GP122" s="265"/>
      <c r="GQ122" s="265"/>
      <c r="GR122" s="265"/>
      <c r="GS122" s="265"/>
      <c r="GT122" s="265"/>
      <c r="GU122" s="265"/>
      <c r="GV122" s="265"/>
      <c r="GW122" s="265"/>
      <c r="GX122" s="265"/>
      <c r="GY122" s="265"/>
      <c r="GZ122" s="265"/>
      <c r="HA122" s="265"/>
      <c r="HB122" s="265"/>
      <c r="HC122" s="265"/>
      <c r="HD122" s="265"/>
      <c r="HE122" s="265"/>
      <c r="HF122" s="265"/>
      <c r="HG122" s="305"/>
      <c r="HH122" s="306"/>
      <c r="HI122" s="306"/>
      <c r="HJ122" s="306"/>
      <c r="HK122" s="307"/>
      <c r="JQ122" s="14"/>
      <c r="JS122" s="198"/>
      <c r="JT122" s="199"/>
      <c r="JU122" s="199"/>
      <c r="JV122" s="199"/>
      <c r="JW122" s="199"/>
      <c r="JX122" s="199"/>
      <c r="JY122" s="199"/>
      <c r="JZ122" s="199"/>
      <c r="KA122" s="199"/>
      <c r="KB122" s="199"/>
      <c r="KC122" s="199"/>
      <c r="KD122" s="199"/>
      <c r="KE122" s="199"/>
      <c r="KF122" s="199"/>
      <c r="KG122" s="199"/>
      <c r="KH122" s="199"/>
      <c r="KI122" s="199"/>
      <c r="KJ122" s="199"/>
      <c r="KK122" s="199"/>
      <c r="KL122" s="199"/>
      <c r="KM122" s="199"/>
      <c r="KN122" s="199"/>
      <c r="KO122" s="199"/>
      <c r="KP122" s="199"/>
      <c r="KQ122" s="199"/>
      <c r="KR122" s="199"/>
      <c r="KS122" s="199"/>
      <c r="KT122" s="199"/>
      <c r="KU122" s="199"/>
      <c r="KV122" s="199"/>
      <c r="KW122" s="199"/>
      <c r="KX122" s="199"/>
      <c r="KY122" s="199"/>
      <c r="KZ122" s="199"/>
      <c r="LA122" s="199"/>
      <c r="LB122" s="199"/>
      <c r="LC122" s="199"/>
      <c r="LD122" s="199"/>
      <c r="LE122" s="199"/>
      <c r="LF122" s="199"/>
      <c r="LG122" s="204"/>
      <c r="LH122" s="204"/>
      <c r="LI122" s="204"/>
      <c r="LJ122" s="204"/>
      <c r="LK122" s="204"/>
      <c r="LL122" s="204"/>
      <c r="LU122" s="155"/>
      <c r="LY122" s="22"/>
      <c r="LZ122" s="21"/>
      <c r="MA122" s="21"/>
      <c r="MB122" s="314"/>
      <c r="MC122" s="315"/>
      <c r="MD122" s="315"/>
      <c r="ME122" s="315"/>
      <c r="MF122" s="315"/>
      <c r="MG122" s="315"/>
      <c r="MH122" s="315"/>
      <c r="MI122" s="315"/>
      <c r="MJ122" s="315"/>
      <c r="MK122" s="315"/>
      <c r="ML122" s="315"/>
      <c r="MM122" s="315"/>
      <c r="MN122" s="315"/>
      <c r="MO122" s="315"/>
      <c r="MP122" s="315"/>
      <c r="MQ122" s="315"/>
      <c r="MR122" s="315"/>
      <c r="MS122" s="315"/>
      <c r="MT122" s="315"/>
      <c r="MU122" s="315"/>
      <c r="MV122" s="315"/>
      <c r="MW122" s="315"/>
      <c r="MX122" s="315"/>
      <c r="MY122" s="315"/>
      <c r="MZ122" s="315"/>
      <c r="NA122" s="315"/>
      <c r="NB122" s="315"/>
      <c r="NC122" s="315"/>
      <c r="ND122" s="315"/>
      <c r="NE122" s="315"/>
      <c r="NF122" s="315"/>
      <c r="NG122" s="315"/>
      <c r="NH122" s="315"/>
      <c r="NI122" s="315"/>
      <c r="NJ122" s="315"/>
      <c r="NK122" s="315"/>
      <c r="NL122" s="315"/>
      <c r="NM122" s="315"/>
      <c r="NN122" s="315"/>
      <c r="NO122" s="315"/>
      <c r="NP122" s="316"/>
      <c r="NQ122" s="323"/>
      <c r="NR122" s="324"/>
      <c r="NS122" s="324"/>
      <c r="NT122" s="324"/>
      <c r="NU122" s="325"/>
      <c r="OW122" s="12"/>
      <c r="OX122" s="7"/>
      <c r="OY122" s="3"/>
      <c r="OZ122" s="3"/>
      <c r="PA122" s="3"/>
      <c r="PB122" s="3"/>
      <c r="PC122" s="2"/>
      <c r="PQ122" s="3"/>
      <c r="PR122" s="3"/>
      <c r="PS122" s="3"/>
      <c r="PT122" s="3"/>
      <c r="PU122" s="3"/>
      <c r="PV122" s="2"/>
    </row>
    <row r="123" spans="3:438" ht="5.0999999999999996" customHeight="1" x14ac:dyDescent="0.3">
      <c r="C123" s="11"/>
      <c r="D123" s="13"/>
      <c r="Q123" s="209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  <c r="AW123" s="210"/>
      <c r="AX123" s="210"/>
      <c r="AY123" s="210"/>
      <c r="AZ123" s="210"/>
      <c r="BA123" s="210"/>
      <c r="BB123" s="210"/>
      <c r="BC123" s="210"/>
      <c r="BD123" s="210"/>
      <c r="BE123" s="211"/>
      <c r="BF123" s="209"/>
      <c r="BG123" s="210"/>
      <c r="BH123" s="210"/>
      <c r="BI123" s="210"/>
      <c r="BJ123" s="211"/>
      <c r="FT123" s="265"/>
      <c r="FU123" s="265"/>
      <c r="FV123" s="265"/>
      <c r="FW123" s="265"/>
      <c r="FX123" s="265"/>
      <c r="FY123" s="265"/>
      <c r="FZ123" s="265"/>
      <c r="GA123" s="265"/>
      <c r="GB123" s="265"/>
      <c r="GC123" s="265"/>
      <c r="GD123" s="265"/>
      <c r="GE123" s="265"/>
      <c r="GF123" s="265"/>
      <c r="GG123" s="265"/>
      <c r="GH123" s="265"/>
      <c r="GI123" s="265"/>
      <c r="GJ123" s="265"/>
      <c r="GK123" s="265"/>
      <c r="GL123" s="265"/>
      <c r="GM123" s="265"/>
      <c r="GN123" s="265"/>
      <c r="GO123" s="265"/>
      <c r="GP123" s="265"/>
      <c r="GQ123" s="265"/>
      <c r="GR123" s="265"/>
      <c r="GS123" s="265"/>
      <c r="GT123" s="265"/>
      <c r="GU123" s="265"/>
      <c r="GV123" s="265"/>
      <c r="GW123" s="265"/>
      <c r="GX123" s="265"/>
      <c r="GY123" s="265"/>
      <c r="GZ123" s="265"/>
      <c r="HA123" s="265"/>
      <c r="HB123" s="265"/>
      <c r="HC123" s="265"/>
      <c r="HD123" s="265"/>
      <c r="HE123" s="265"/>
      <c r="HF123" s="265"/>
      <c r="HG123" s="305"/>
      <c r="HH123" s="306"/>
      <c r="HI123" s="306"/>
      <c r="HJ123" s="306"/>
      <c r="HK123" s="307"/>
      <c r="JQ123" s="14"/>
      <c r="JS123" s="198"/>
      <c r="JT123" s="199"/>
      <c r="JU123" s="199"/>
      <c r="JV123" s="199"/>
      <c r="JW123" s="199"/>
      <c r="JX123" s="199"/>
      <c r="JY123" s="199"/>
      <c r="JZ123" s="199"/>
      <c r="KA123" s="199"/>
      <c r="KB123" s="199"/>
      <c r="KC123" s="199"/>
      <c r="KD123" s="199"/>
      <c r="KE123" s="199"/>
      <c r="KF123" s="199"/>
      <c r="KG123" s="199"/>
      <c r="KH123" s="199"/>
      <c r="KI123" s="199"/>
      <c r="KJ123" s="199"/>
      <c r="KK123" s="199"/>
      <c r="KL123" s="199"/>
      <c r="KM123" s="199"/>
      <c r="KN123" s="199"/>
      <c r="KO123" s="199"/>
      <c r="KP123" s="199"/>
      <c r="KQ123" s="199"/>
      <c r="KR123" s="199"/>
      <c r="KS123" s="199"/>
      <c r="KT123" s="199"/>
      <c r="KU123" s="199"/>
      <c r="KV123" s="199"/>
      <c r="KW123" s="199"/>
      <c r="KX123" s="199"/>
      <c r="KY123" s="199"/>
      <c r="KZ123" s="199"/>
      <c r="LA123" s="199"/>
      <c r="LB123" s="199"/>
      <c r="LC123" s="199"/>
      <c r="LD123" s="199"/>
      <c r="LE123" s="199"/>
      <c r="LF123" s="199"/>
      <c r="LG123" s="204"/>
      <c r="LH123" s="204"/>
      <c r="LI123" s="204"/>
      <c r="LJ123" s="204"/>
      <c r="LK123" s="204"/>
      <c r="LL123" s="204"/>
      <c r="LU123" s="155"/>
      <c r="LY123" s="16"/>
      <c r="MB123" s="314"/>
      <c r="MC123" s="315"/>
      <c r="MD123" s="315"/>
      <c r="ME123" s="315"/>
      <c r="MF123" s="315"/>
      <c r="MG123" s="315"/>
      <c r="MH123" s="315"/>
      <c r="MI123" s="315"/>
      <c r="MJ123" s="315"/>
      <c r="MK123" s="315"/>
      <c r="ML123" s="315"/>
      <c r="MM123" s="315"/>
      <c r="MN123" s="315"/>
      <c r="MO123" s="315"/>
      <c r="MP123" s="315"/>
      <c r="MQ123" s="315"/>
      <c r="MR123" s="315"/>
      <c r="MS123" s="315"/>
      <c r="MT123" s="315"/>
      <c r="MU123" s="315"/>
      <c r="MV123" s="315"/>
      <c r="MW123" s="315"/>
      <c r="MX123" s="315"/>
      <c r="MY123" s="315"/>
      <c r="MZ123" s="315"/>
      <c r="NA123" s="315"/>
      <c r="NB123" s="315"/>
      <c r="NC123" s="315"/>
      <c r="ND123" s="315"/>
      <c r="NE123" s="315"/>
      <c r="NF123" s="315"/>
      <c r="NG123" s="315"/>
      <c r="NH123" s="315"/>
      <c r="NI123" s="315"/>
      <c r="NJ123" s="315"/>
      <c r="NK123" s="315"/>
      <c r="NL123" s="315"/>
      <c r="NM123" s="315"/>
      <c r="NN123" s="315"/>
      <c r="NO123" s="315"/>
      <c r="NP123" s="316"/>
      <c r="NQ123" s="323"/>
      <c r="NR123" s="324"/>
      <c r="NS123" s="324"/>
      <c r="NT123" s="324"/>
      <c r="NU123" s="325"/>
      <c r="OW123" s="12"/>
      <c r="OX123" s="7"/>
      <c r="OY123" s="3"/>
      <c r="OZ123" s="3"/>
      <c r="PA123" s="3"/>
      <c r="PB123" s="3"/>
      <c r="PC123" s="2"/>
      <c r="PQ123" s="3"/>
      <c r="PR123" s="3"/>
      <c r="PS123" s="3"/>
      <c r="PT123" s="3"/>
      <c r="PU123" s="3"/>
      <c r="PV123" s="2"/>
    </row>
    <row r="124" spans="3:438" ht="5.0999999999999996" customHeight="1" x14ac:dyDescent="0.3">
      <c r="C124" s="11"/>
      <c r="D124" s="13"/>
      <c r="Q124" s="209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  <c r="BD124" s="210"/>
      <c r="BE124" s="211"/>
      <c r="BF124" s="209"/>
      <c r="BG124" s="210"/>
      <c r="BH124" s="210"/>
      <c r="BI124" s="210"/>
      <c r="BJ124" s="211"/>
      <c r="FT124" s="265"/>
      <c r="FU124" s="265"/>
      <c r="FV124" s="265"/>
      <c r="FW124" s="265"/>
      <c r="FX124" s="265"/>
      <c r="FY124" s="265"/>
      <c r="FZ124" s="265"/>
      <c r="GA124" s="265"/>
      <c r="GB124" s="265"/>
      <c r="GC124" s="265"/>
      <c r="GD124" s="265"/>
      <c r="GE124" s="265"/>
      <c r="GF124" s="265"/>
      <c r="GG124" s="265"/>
      <c r="GH124" s="265"/>
      <c r="GI124" s="265"/>
      <c r="GJ124" s="265"/>
      <c r="GK124" s="265"/>
      <c r="GL124" s="265"/>
      <c r="GM124" s="265"/>
      <c r="GN124" s="265"/>
      <c r="GO124" s="265"/>
      <c r="GP124" s="265"/>
      <c r="GQ124" s="265"/>
      <c r="GR124" s="265"/>
      <c r="GS124" s="265"/>
      <c r="GT124" s="265"/>
      <c r="GU124" s="265"/>
      <c r="GV124" s="265"/>
      <c r="GW124" s="265"/>
      <c r="GX124" s="265"/>
      <c r="GY124" s="265"/>
      <c r="GZ124" s="265"/>
      <c r="HA124" s="265"/>
      <c r="HB124" s="265"/>
      <c r="HC124" s="265"/>
      <c r="HD124" s="265"/>
      <c r="HE124" s="265"/>
      <c r="HF124" s="265"/>
      <c r="HG124" s="305"/>
      <c r="HH124" s="306"/>
      <c r="HI124" s="306"/>
      <c r="HJ124" s="306"/>
      <c r="HK124" s="307"/>
      <c r="JS124" s="198"/>
      <c r="JT124" s="199"/>
      <c r="JU124" s="199"/>
      <c r="JV124" s="199"/>
      <c r="JW124" s="199"/>
      <c r="JX124" s="199"/>
      <c r="JY124" s="199"/>
      <c r="JZ124" s="199"/>
      <c r="KA124" s="199"/>
      <c r="KB124" s="199"/>
      <c r="KC124" s="199"/>
      <c r="KD124" s="199"/>
      <c r="KE124" s="199"/>
      <c r="KF124" s="199"/>
      <c r="KG124" s="199"/>
      <c r="KH124" s="199"/>
      <c r="KI124" s="199"/>
      <c r="KJ124" s="199"/>
      <c r="KK124" s="199"/>
      <c r="KL124" s="199"/>
      <c r="KM124" s="199"/>
      <c r="KN124" s="199"/>
      <c r="KO124" s="199"/>
      <c r="KP124" s="199"/>
      <c r="KQ124" s="199"/>
      <c r="KR124" s="199"/>
      <c r="KS124" s="199"/>
      <c r="KT124" s="199"/>
      <c r="KU124" s="199"/>
      <c r="KV124" s="199"/>
      <c r="KW124" s="199"/>
      <c r="KX124" s="199"/>
      <c r="KY124" s="199"/>
      <c r="KZ124" s="199"/>
      <c r="LA124" s="199"/>
      <c r="LB124" s="199"/>
      <c r="LC124" s="199"/>
      <c r="LD124" s="199"/>
      <c r="LE124" s="199"/>
      <c r="LF124" s="199"/>
      <c r="LG124" s="204"/>
      <c r="LH124" s="204"/>
      <c r="LI124" s="204"/>
      <c r="LJ124" s="204"/>
      <c r="LK124" s="204"/>
      <c r="LL124" s="204"/>
      <c r="LU124" s="155"/>
      <c r="LY124" s="16"/>
      <c r="MB124" s="314"/>
      <c r="MC124" s="315"/>
      <c r="MD124" s="315"/>
      <c r="ME124" s="315"/>
      <c r="MF124" s="315"/>
      <c r="MG124" s="315"/>
      <c r="MH124" s="315"/>
      <c r="MI124" s="315"/>
      <c r="MJ124" s="315"/>
      <c r="MK124" s="315"/>
      <c r="ML124" s="315"/>
      <c r="MM124" s="315"/>
      <c r="MN124" s="315"/>
      <c r="MO124" s="315"/>
      <c r="MP124" s="315"/>
      <c r="MQ124" s="315"/>
      <c r="MR124" s="315"/>
      <c r="MS124" s="315"/>
      <c r="MT124" s="315"/>
      <c r="MU124" s="315"/>
      <c r="MV124" s="315"/>
      <c r="MW124" s="315"/>
      <c r="MX124" s="315"/>
      <c r="MY124" s="315"/>
      <c r="MZ124" s="315"/>
      <c r="NA124" s="315"/>
      <c r="NB124" s="315"/>
      <c r="NC124" s="315"/>
      <c r="ND124" s="315"/>
      <c r="NE124" s="315"/>
      <c r="NF124" s="315"/>
      <c r="NG124" s="315"/>
      <c r="NH124" s="315"/>
      <c r="NI124" s="315"/>
      <c r="NJ124" s="315"/>
      <c r="NK124" s="315"/>
      <c r="NL124" s="315"/>
      <c r="NM124" s="315"/>
      <c r="NN124" s="315"/>
      <c r="NO124" s="315"/>
      <c r="NP124" s="316"/>
      <c r="NQ124" s="323"/>
      <c r="NR124" s="324"/>
      <c r="NS124" s="324"/>
      <c r="NT124" s="324"/>
      <c r="NU124" s="325"/>
      <c r="OW124" s="12"/>
      <c r="OX124" s="7"/>
      <c r="OY124" s="3"/>
      <c r="OZ124" s="3"/>
      <c r="PA124" s="3"/>
      <c r="PB124" s="3"/>
      <c r="PC124" s="2"/>
      <c r="PQ124" s="3"/>
      <c r="PR124" s="3"/>
      <c r="PS124" s="3"/>
      <c r="PT124" s="3"/>
      <c r="PU124" s="3"/>
      <c r="PV124" s="2"/>
    </row>
    <row r="125" spans="3:438" ht="5.0999999999999996" customHeight="1" x14ac:dyDescent="0.3">
      <c r="C125" s="11"/>
      <c r="D125" s="13"/>
      <c r="Q125" s="209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  <c r="BD125" s="210"/>
      <c r="BE125" s="211"/>
      <c r="BF125" s="209"/>
      <c r="BG125" s="210"/>
      <c r="BH125" s="210"/>
      <c r="BI125" s="210"/>
      <c r="BJ125" s="211"/>
      <c r="FT125" s="265"/>
      <c r="FU125" s="265"/>
      <c r="FV125" s="265"/>
      <c r="FW125" s="265"/>
      <c r="FX125" s="265"/>
      <c r="FY125" s="265"/>
      <c r="FZ125" s="265"/>
      <c r="GA125" s="265"/>
      <c r="GB125" s="265"/>
      <c r="GC125" s="265"/>
      <c r="GD125" s="265"/>
      <c r="GE125" s="265"/>
      <c r="GF125" s="265"/>
      <c r="GG125" s="265"/>
      <c r="GH125" s="265"/>
      <c r="GI125" s="265"/>
      <c r="GJ125" s="265"/>
      <c r="GK125" s="265"/>
      <c r="GL125" s="265"/>
      <c r="GM125" s="265"/>
      <c r="GN125" s="265"/>
      <c r="GO125" s="265"/>
      <c r="GP125" s="265"/>
      <c r="GQ125" s="265"/>
      <c r="GR125" s="265"/>
      <c r="GS125" s="265"/>
      <c r="GT125" s="265"/>
      <c r="GU125" s="265"/>
      <c r="GV125" s="265"/>
      <c r="GW125" s="265"/>
      <c r="GX125" s="265"/>
      <c r="GY125" s="265"/>
      <c r="GZ125" s="265"/>
      <c r="HA125" s="265"/>
      <c r="HB125" s="265"/>
      <c r="HC125" s="265"/>
      <c r="HD125" s="265"/>
      <c r="HE125" s="265"/>
      <c r="HF125" s="265"/>
      <c r="HG125" s="305"/>
      <c r="HH125" s="306"/>
      <c r="HI125" s="306"/>
      <c r="HJ125" s="306"/>
      <c r="HK125" s="307"/>
      <c r="JS125" s="198"/>
      <c r="JT125" s="199"/>
      <c r="JU125" s="199"/>
      <c r="JV125" s="199"/>
      <c r="JW125" s="199"/>
      <c r="JX125" s="199"/>
      <c r="JY125" s="199"/>
      <c r="JZ125" s="199"/>
      <c r="KA125" s="199"/>
      <c r="KB125" s="199"/>
      <c r="KC125" s="199"/>
      <c r="KD125" s="199"/>
      <c r="KE125" s="199"/>
      <c r="KF125" s="199"/>
      <c r="KG125" s="199"/>
      <c r="KH125" s="199"/>
      <c r="KI125" s="199"/>
      <c r="KJ125" s="199"/>
      <c r="KK125" s="199"/>
      <c r="KL125" s="199"/>
      <c r="KM125" s="199"/>
      <c r="KN125" s="199"/>
      <c r="KO125" s="199"/>
      <c r="KP125" s="199"/>
      <c r="KQ125" s="199"/>
      <c r="KR125" s="199"/>
      <c r="KS125" s="199"/>
      <c r="KT125" s="199"/>
      <c r="KU125" s="199"/>
      <c r="KV125" s="199"/>
      <c r="KW125" s="199"/>
      <c r="KX125" s="199"/>
      <c r="KY125" s="199"/>
      <c r="KZ125" s="199"/>
      <c r="LA125" s="199"/>
      <c r="LB125" s="199"/>
      <c r="LC125" s="199"/>
      <c r="LD125" s="199"/>
      <c r="LE125" s="199"/>
      <c r="LF125" s="199"/>
      <c r="LG125" s="204"/>
      <c r="LH125" s="204"/>
      <c r="LI125" s="204"/>
      <c r="LJ125" s="204"/>
      <c r="LK125" s="204"/>
      <c r="LL125" s="204"/>
      <c r="LU125" s="155"/>
      <c r="LY125" s="16"/>
      <c r="MB125" s="314"/>
      <c r="MC125" s="315"/>
      <c r="MD125" s="315"/>
      <c r="ME125" s="315"/>
      <c r="MF125" s="315"/>
      <c r="MG125" s="315"/>
      <c r="MH125" s="315"/>
      <c r="MI125" s="315"/>
      <c r="MJ125" s="315"/>
      <c r="MK125" s="315"/>
      <c r="ML125" s="315"/>
      <c r="MM125" s="315"/>
      <c r="MN125" s="315"/>
      <c r="MO125" s="315"/>
      <c r="MP125" s="315"/>
      <c r="MQ125" s="315"/>
      <c r="MR125" s="315"/>
      <c r="MS125" s="315"/>
      <c r="MT125" s="315"/>
      <c r="MU125" s="315"/>
      <c r="MV125" s="315"/>
      <c r="MW125" s="315"/>
      <c r="MX125" s="315"/>
      <c r="MY125" s="315"/>
      <c r="MZ125" s="315"/>
      <c r="NA125" s="315"/>
      <c r="NB125" s="315"/>
      <c r="NC125" s="315"/>
      <c r="ND125" s="315"/>
      <c r="NE125" s="315"/>
      <c r="NF125" s="315"/>
      <c r="NG125" s="315"/>
      <c r="NH125" s="315"/>
      <c r="NI125" s="315"/>
      <c r="NJ125" s="315"/>
      <c r="NK125" s="315"/>
      <c r="NL125" s="315"/>
      <c r="NM125" s="315"/>
      <c r="NN125" s="315"/>
      <c r="NO125" s="315"/>
      <c r="NP125" s="316"/>
      <c r="NQ125" s="323"/>
      <c r="NR125" s="324"/>
      <c r="NS125" s="324"/>
      <c r="NT125" s="324"/>
      <c r="NU125" s="325"/>
      <c r="OW125" s="12"/>
      <c r="OX125" s="7"/>
      <c r="OY125" s="3"/>
      <c r="OZ125" s="3"/>
      <c r="PA125" s="3"/>
      <c r="PB125" s="3"/>
      <c r="PC125" s="2"/>
      <c r="PQ125" s="3"/>
      <c r="PR125" s="3"/>
      <c r="PS125" s="3"/>
      <c r="PT125" s="3"/>
      <c r="PU125" s="3"/>
      <c r="PV125" s="2"/>
    </row>
    <row r="126" spans="3:438" ht="5.0999999999999996" customHeight="1" thickBot="1" x14ac:dyDescent="0.35">
      <c r="C126" s="11"/>
      <c r="D126" s="13"/>
      <c r="Q126" s="212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4"/>
      <c r="BF126" s="212"/>
      <c r="BG126" s="213"/>
      <c r="BH126" s="213"/>
      <c r="BI126" s="213"/>
      <c r="BJ126" s="214"/>
      <c r="FT126" s="265"/>
      <c r="FU126" s="265"/>
      <c r="FV126" s="265"/>
      <c r="FW126" s="265"/>
      <c r="FX126" s="265"/>
      <c r="FY126" s="265"/>
      <c r="FZ126" s="265"/>
      <c r="GA126" s="265"/>
      <c r="GB126" s="265"/>
      <c r="GC126" s="265"/>
      <c r="GD126" s="265"/>
      <c r="GE126" s="265"/>
      <c r="GF126" s="265"/>
      <c r="GG126" s="265"/>
      <c r="GH126" s="265"/>
      <c r="GI126" s="265"/>
      <c r="GJ126" s="265"/>
      <c r="GK126" s="265"/>
      <c r="GL126" s="265"/>
      <c r="GM126" s="265"/>
      <c r="GN126" s="265"/>
      <c r="GO126" s="265"/>
      <c r="GP126" s="265"/>
      <c r="GQ126" s="265"/>
      <c r="GR126" s="265"/>
      <c r="GS126" s="265"/>
      <c r="GT126" s="265"/>
      <c r="GU126" s="265"/>
      <c r="GV126" s="265"/>
      <c r="GW126" s="265"/>
      <c r="GX126" s="265"/>
      <c r="GY126" s="265"/>
      <c r="GZ126" s="265"/>
      <c r="HA126" s="265"/>
      <c r="HB126" s="265"/>
      <c r="HC126" s="265"/>
      <c r="HD126" s="265"/>
      <c r="HE126" s="265"/>
      <c r="HF126" s="265"/>
      <c r="HG126" s="308"/>
      <c r="HH126" s="309"/>
      <c r="HI126" s="309"/>
      <c r="HJ126" s="309"/>
      <c r="HK126" s="310"/>
      <c r="JS126" s="201"/>
      <c r="JT126" s="202"/>
      <c r="JU126" s="202"/>
      <c r="JV126" s="202"/>
      <c r="JW126" s="202"/>
      <c r="JX126" s="202"/>
      <c r="JY126" s="202"/>
      <c r="JZ126" s="202"/>
      <c r="KA126" s="202"/>
      <c r="KB126" s="202"/>
      <c r="KC126" s="202"/>
      <c r="KD126" s="202"/>
      <c r="KE126" s="202"/>
      <c r="KF126" s="202"/>
      <c r="KG126" s="202"/>
      <c r="KH126" s="202"/>
      <c r="KI126" s="202"/>
      <c r="KJ126" s="202"/>
      <c r="KK126" s="202"/>
      <c r="KL126" s="202"/>
      <c r="KM126" s="202"/>
      <c r="KN126" s="202"/>
      <c r="KO126" s="202"/>
      <c r="KP126" s="202"/>
      <c r="KQ126" s="202"/>
      <c r="KR126" s="202"/>
      <c r="KS126" s="202"/>
      <c r="KT126" s="202"/>
      <c r="KU126" s="202"/>
      <c r="KV126" s="202"/>
      <c r="KW126" s="202"/>
      <c r="KX126" s="202"/>
      <c r="KY126" s="202"/>
      <c r="KZ126" s="202"/>
      <c r="LA126" s="202"/>
      <c r="LB126" s="202"/>
      <c r="LC126" s="202"/>
      <c r="LD126" s="202"/>
      <c r="LE126" s="202"/>
      <c r="LF126" s="202"/>
      <c r="LG126" s="204"/>
      <c r="LH126" s="204"/>
      <c r="LI126" s="204"/>
      <c r="LJ126" s="204"/>
      <c r="LK126" s="204"/>
      <c r="LL126" s="204"/>
      <c r="LU126" s="155"/>
      <c r="LY126" s="16"/>
      <c r="MB126" s="317"/>
      <c r="MC126" s="318"/>
      <c r="MD126" s="318"/>
      <c r="ME126" s="318"/>
      <c r="MF126" s="318"/>
      <c r="MG126" s="318"/>
      <c r="MH126" s="318"/>
      <c r="MI126" s="318"/>
      <c r="MJ126" s="318"/>
      <c r="MK126" s="318"/>
      <c r="ML126" s="318"/>
      <c r="MM126" s="318"/>
      <c r="MN126" s="318"/>
      <c r="MO126" s="318"/>
      <c r="MP126" s="318"/>
      <c r="MQ126" s="318"/>
      <c r="MR126" s="318"/>
      <c r="MS126" s="318"/>
      <c r="MT126" s="318"/>
      <c r="MU126" s="318"/>
      <c r="MV126" s="318"/>
      <c r="MW126" s="318"/>
      <c r="MX126" s="318"/>
      <c r="MY126" s="318"/>
      <c r="MZ126" s="318"/>
      <c r="NA126" s="318"/>
      <c r="NB126" s="318"/>
      <c r="NC126" s="318"/>
      <c r="ND126" s="318"/>
      <c r="NE126" s="318"/>
      <c r="NF126" s="318"/>
      <c r="NG126" s="318"/>
      <c r="NH126" s="318"/>
      <c r="NI126" s="318"/>
      <c r="NJ126" s="318"/>
      <c r="NK126" s="318"/>
      <c r="NL126" s="318"/>
      <c r="NM126" s="318"/>
      <c r="NN126" s="318"/>
      <c r="NO126" s="318"/>
      <c r="NP126" s="319"/>
      <c r="NQ126" s="326"/>
      <c r="NR126" s="327"/>
      <c r="NS126" s="327"/>
      <c r="NT126" s="327"/>
      <c r="NU126" s="328"/>
      <c r="OW126" s="12"/>
      <c r="OX126" s="7"/>
      <c r="OY126" s="3"/>
      <c r="OZ126" s="3"/>
      <c r="PA126" s="3"/>
      <c r="PB126" s="3"/>
      <c r="PC126" s="2"/>
      <c r="PQ126" s="3"/>
      <c r="PR126" s="3"/>
      <c r="PS126" s="3"/>
      <c r="PT126" s="3"/>
      <c r="PU126" s="3"/>
      <c r="PV126" s="2"/>
    </row>
    <row r="127" spans="3:438" ht="5.0999999999999996" customHeight="1" x14ac:dyDescent="0.3">
      <c r="C127" s="11"/>
      <c r="D127" s="13"/>
      <c r="AN127" s="25"/>
      <c r="GQ127" s="16"/>
      <c r="JS127" s="216" t="s">
        <v>10</v>
      </c>
      <c r="JT127" s="217"/>
      <c r="JU127" s="217"/>
      <c r="JV127" s="217"/>
      <c r="JW127" s="217"/>
      <c r="JX127" s="217"/>
      <c r="JY127" s="217"/>
      <c r="JZ127" s="217"/>
      <c r="KA127" s="217"/>
      <c r="KB127" s="217"/>
      <c r="KC127" s="217"/>
      <c r="KD127" s="217"/>
      <c r="KE127" s="217"/>
      <c r="KF127" s="217"/>
      <c r="KG127" s="217"/>
      <c r="KH127" s="217"/>
      <c r="KI127" s="217"/>
      <c r="KJ127" s="217"/>
      <c r="KK127" s="217"/>
      <c r="KL127" s="217"/>
      <c r="KM127" s="217"/>
      <c r="KN127" s="217"/>
      <c r="KO127" s="217"/>
      <c r="KP127" s="217"/>
      <c r="KQ127" s="217"/>
      <c r="KR127" s="217"/>
      <c r="KS127" s="217"/>
      <c r="KT127" s="217"/>
      <c r="KU127" s="217"/>
      <c r="KV127" s="217"/>
      <c r="KW127" s="217"/>
      <c r="KX127" s="217"/>
      <c r="KY127" s="217"/>
      <c r="KZ127" s="217"/>
      <c r="LA127" s="217"/>
      <c r="LB127" s="217"/>
      <c r="LC127" s="217"/>
      <c r="LD127" s="217"/>
      <c r="LE127" s="217"/>
      <c r="LF127" s="217"/>
      <c r="LG127" s="187">
        <v>10</v>
      </c>
      <c r="LH127" s="188"/>
      <c r="LI127" s="188"/>
      <c r="LJ127" s="188"/>
      <c r="LK127" s="188"/>
      <c r="LL127" s="189"/>
      <c r="LM127" s="52"/>
      <c r="LU127" s="155"/>
      <c r="LY127" s="16"/>
      <c r="OW127" s="12"/>
      <c r="OX127" s="7"/>
      <c r="OY127" s="3"/>
      <c r="OZ127" s="3"/>
      <c r="PA127" s="3"/>
      <c r="PB127" s="3"/>
      <c r="PC127" s="2"/>
      <c r="PQ127" s="3"/>
      <c r="PR127" s="3"/>
      <c r="PS127" s="3"/>
      <c r="PT127" s="3"/>
      <c r="PU127" s="3"/>
      <c r="PV127" s="2"/>
    </row>
    <row r="128" spans="3:438" ht="5.0999999999999996" customHeight="1" x14ac:dyDescent="0.3">
      <c r="C128" s="11"/>
      <c r="D128" s="13"/>
      <c r="AN128" s="24"/>
      <c r="GQ128" s="16"/>
      <c r="JS128" s="219"/>
      <c r="JT128" s="220"/>
      <c r="JU128" s="220"/>
      <c r="JV128" s="220"/>
      <c r="JW128" s="220"/>
      <c r="JX128" s="220"/>
      <c r="JY128" s="220"/>
      <c r="JZ128" s="220"/>
      <c r="KA128" s="220"/>
      <c r="KB128" s="220"/>
      <c r="KC128" s="220"/>
      <c r="KD128" s="220"/>
      <c r="KE128" s="220"/>
      <c r="KF128" s="220"/>
      <c r="KG128" s="220"/>
      <c r="KH128" s="220"/>
      <c r="KI128" s="220"/>
      <c r="KJ128" s="220"/>
      <c r="KK128" s="220"/>
      <c r="KL128" s="220"/>
      <c r="KM128" s="220"/>
      <c r="KN128" s="220"/>
      <c r="KO128" s="220"/>
      <c r="KP128" s="220"/>
      <c r="KQ128" s="220"/>
      <c r="KR128" s="220"/>
      <c r="KS128" s="220"/>
      <c r="KT128" s="220"/>
      <c r="KU128" s="220"/>
      <c r="KV128" s="220"/>
      <c r="KW128" s="220"/>
      <c r="KX128" s="220"/>
      <c r="KY128" s="220"/>
      <c r="KZ128" s="220"/>
      <c r="LA128" s="220"/>
      <c r="LB128" s="220"/>
      <c r="LC128" s="220"/>
      <c r="LD128" s="220"/>
      <c r="LE128" s="220"/>
      <c r="LF128" s="220"/>
      <c r="LG128" s="187"/>
      <c r="LH128" s="188"/>
      <c r="LI128" s="188"/>
      <c r="LJ128" s="188"/>
      <c r="LK128" s="188"/>
      <c r="LL128" s="189"/>
      <c r="LM128" s="53"/>
      <c r="LU128" s="155"/>
      <c r="LY128" s="16"/>
      <c r="MB128" s="184" t="s">
        <v>47</v>
      </c>
      <c r="MC128" s="185"/>
      <c r="MD128" s="185"/>
      <c r="ME128" s="185"/>
      <c r="MF128" s="185"/>
      <c r="MG128" s="185"/>
      <c r="MH128" s="185"/>
      <c r="MI128" s="185"/>
      <c r="MJ128" s="185"/>
      <c r="MK128" s="185"/>
      <c r="ML128" s="185"/>
      <c r="MM128" s="185"/>
      <c r="MN128" s="185"/>
      <c r="MO128" s="185"/>
      <c r="MP128" s="185"/>
      <c r="MQ128" s="185"/>
      <c r="MR128" s="185"/>
      <c r="MS128" s="185"/>
      <c r="MT128" s="185"/>
      <c r="MU128" s="185"/>
      <c r="MV128" s="185"/>
      <c r="MW128" s="185"/>
      <c r="MX128" s="185"/>
      <c r="MY128" s="185"/>
      <c r="MZ128" s="185"/>
      <c r="NA128" s="185"/>
      <c r="NB128" s="185"/>
      <c r="NC128" s="185"/>
      <c r="ND128" s="185"/>
      <c r="NE128" s="185"/>
      <c r="NF128" s="185"/>
      <c r="NG128" s="185"/>
      <c r="NH128" s="185"/>
      <c r="NI128" s="185"/>
      <c r="NJ128" s="185"/>
      <c r="NK128" s="185"/>
      <c r="NL128" s="185"/>
      <c r="NM128" s="185"/>
      <c r="NN128" s="185"/>
      <c r="NO128" s="185"/>
      <c r="NP128" s="186"/>
      <c r="NQ128" s="184">
        <v>1</v>
      </c>
      <c r="NR128" s="185"/>
      <c r="NS128" s="185"/>
      <c r="NT128" s="185"/>
      <c r="NU128" s="186"/>
      <c r="OW128" s="12"/>
      <c r="OX128" s="7"/>
      <c r="OY128" s="3"/>
      <c r="OZ128" s="3"/>
      <c r="PA128" s="3"/>
      <c r="PB128" s="3"/>
      <c r="PC128" s="2"/>
      <c r="PQ128" s="3"/>
      <c r="PR128" s="3"/>
      <c r="PS128" s="3"/>
      <c r="PT128" s="3"/>
      <c r="PU128" s="3"/>
      <c r="PV128" s="2"/>
    </row>
    <row r="129" spans="3:438" ht="5.0999999999999996" customHeight="1" x14ac:dyDescent="0.3">
      <c r="C129" s="11"/>
      <c r="D129" s="13"/>
      <c r="Q129" s="184" t="s">
        <v>47</v>
      </c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6"/>
      <c r="BF129" s="184">
        <v>1</v>
      </c>
      <c r="BG129" s="185"/>
      <c r="BH129" s="185"/>
      <c r="BI129" s="185"/>
      <c r="BJ129" s="186"/>
      <c r="FT129" s="215" t="s">
        <v>9</v>
      </c>
      <c r="FU129" s="215"/>
      <c r="FV129" s="215"/>
      <c r="FW129" s="215"/>
      <c r="FX129" s="215"/>
      <c r="FY129" s="215"/>
      <c r="FZ129" s="215"/>
      <c r="GA129" s="215"/>
      <c r="GB129" s="215"/>
      <c r="GC129" s="215"/>
      <c r="GD129" s="215"/>
      <c r="GE129" s="215"/>
      <c r="GF129" s="215"/>
      <c r="GG129" s="215"/>
      <c r="GH129" s="215"/>
      <c r="GI129" s="215"/>
      <c r="GJ129" s="215"/>
      <c r="GK129" s="215"/>
      <c r="GL129" s="215"/>
      <c r="GM129" s="215"/>
      <c r="GN129" s="215"/>
      <c r="GO129" s="215"/>
      <c r="GP129" s="215"/>
      <c r="GQ129" s="215"/>
      <c r="GR129" s="215"/>
      <c r="GS129" s="215"/>
      <c r="GT129" s="215"/>
      <c r="GU129" s="215"/>
      <c r="GV129" s="215"/>
      <c r="GW129" s="215"/>
      <c r="GX129" s="215"/>
      <c r="GY129" s="215"/>
      <c r="GZ129" s="215"/>
      <c r="HA129" s="215"/>
      <c r="HB129" s="215"/>
      <c r="HC129" s="215"/>
      <c r="HD129" s="215"/>
      <c r="HE129" s="215"/>
      <c r="HF129" s="215"/>
      <c r="HG129" s="215">
        <v>1</v>
      </c>
      <c r="HH129" s="215"/>
      <c r="HI129" s="215"/>
      <c r="HJ129" s="215"/>
      <c r="HK129" s="215"/>
      <c r="JS129" s="219"/>
      <c r="JT129" s="220"/>
      <c r="JU129" s="220"/>
      <c r="JV129" s="220"/>
      <c r="JW129" s="220"/>
      <c r="JX129" s="220"/>
      <c r="JY129" s="220"/>
      <c r="JZ129" s="220"/>
      <c r="KA129" s="220"/>
      <c r="KB129" s="220"/>
      <c r="KC129" s="220"/>
      <c r="KD129" s="220"/>
      <c r="KE129" s="220"/>
      <c r="KF129" s="220"/>
      <c r="KG129" s="220"/>
      <c r="KH129" s="220"/>
      <c r="KI129" s="220"/>
      <c r="KJ129" s="220"/>
      <c r="KK129" s="220"/>
      <c r="KL129" s="220"/>
      <c r="KM129" s="220"/>
      <c r="KN129" s="220"/>
      <c r="KO129" s="220"/>
      <c r="KP129" s="220"/>
      <c r="KQ129" s="220"/>
      <c r="KR129" s="220"/>
      <c r="KS129" s="220"/>
      <c r="KT129" s="220"/>
      <c r="KU129" s="220"/>
      <c r="KV129" s="220"/>
      <c r="KW129" s="220"/>
      <c r="KX129" s="220"/>
      <c r="KY129" s="220"/>
      <c r="KZ129" s="220"/>
      <c r="LA129" s="220"/>
      <c r="LB129" s="220"/>
      <c r="LC129" s="220"/>
      <c r="LD129" s="220"/>
      <c r="LE129" s="220"/>
      <c r="LF129" s="220"/>
      <c r="LG129" s="187"/>
      <c r="LH129" s="188"/>
      <c r="LI129" s="188"/>
      <c r="LJ129" s="188"/>
      <c r="LK129" s="188"/>
      <c r="LL129" s="189"/>
      <c r="LM129" s="53"/>
      <c r="LU129" s="155"/>
      <c r="LY129" s="16"/>
      <c r="MB129" s="187"/>
      <c r="MC129" s="188"/>
      <c r="MD129" s="188"/>
      <c r="ME129" s="188"/>
      <c r="MF129" s="188"/>
      <c r="MG129" s="188"/>
      <c r="MH129" s="188"/>
      <c r="MI129" s="188"/>
      <c r="MJ129" s="188"/>
      <c r="MK129" s="188"/>
      <c r="ML129" s="188"/>
      <c r="MM129" s="188"/>
      <c r="MN129" s="188"/>
      <c r="MO129" s="188"/>
      <c r="MP129" s="188"/>
      <c r="MQ129" s="188"/>
      <c r="MR129" s="188"/>
      <c r="MS129" s="188"/>
      <c r="MT129" s="188"/>
      <c r="MU129" s="188"/>
      <c r="MV129" s="188"/>
      <c r="MW129" s="188"/>
      <c r="MX129" s="188"/>
      <c r="MY129" s="188"/>
      <c r="MZ129" s="188"/>
      <c r="NA129" s="188"/>
      <c r="NB129" s="188"/>
      <c r="NC129" s="188"/>
      <c r="ND129" s="188"/>
      <c r="NE129" s="188"/>
      <c r="NF129" s="188"/>
      <c r="NG129" s="188"/>
      <c r="NH129" s="188"/>
      <c r="NI129" s="188"/>
      <c r="NJ129" s="188"/>
      <c r="NK129" s="188"/>
      <c r="NL129" s="188"/>
      <c r="NM129" s="188"/>
      <c r="NN129" s="188"/>
      <c r="NO129" s="188"/>
      <c r="NP129" s="189"/>
      <c r="NQ129" s="187"/>
      <c r="NR129" s="188"/>
      <c r="NS129" s="188"/>
      <c r="NT129" s="188"/>
      <c r="NU129" s="189"/>
      <c r="OW129" s="12"/>
      <c r="OX129" s="7"/>
      <c r="OY129" s="3"/>
      <c r="OZ129" s="3"/>
      <c r="PA129" s="3"/>
      <c r="PB129" s="3"/>
      <c r="PC129" s="2"/>
      <c r="PQ129" s="3"/>
      <c r="PR129" s="3"/>
      <c r="PS129" s="3"/>
      <c r="PT129" s="3"/>
      <c r="PU129" s="3"/>
      <c r="PV129" s="2"/>
    </row>
    <row r="130" spans="3:438" ht="5.0999999999999996" customHeight="1" x14ac:dyDescent="0.3">
      <c r="C130" s="11"/>
      <c r="D130" s="13"/>
      <c r="Q130" s="187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9"/>
      <c r="BF130" s="187"/>
      <c r="BG130" s="188"/>
      <c r="BH130" s="188"/>
      <c r="BI130" s="188"/>
      <c r="BJ130" s="189"/>
      <c r="FT130" s="215"/>
      <c r="FU130" s="215"/>
      <c r="FV130" s="215"/>
      <c r="FW130" s="215"/>
      <c r="FX130" s="215"/>
      <c r="FY130" s="215"/>
      <c r="FZ130" s="215"/>
      <c r="GA130" s="215"/>
      <c r="GB130" s="215"/>
      <c r="GC130" s="215"/>
      <c r="GD130" s="215"/>
      <c r="GE130" s="215"/>
      <c r="GF130" s="215"/>
      <c r="GG130" s="215"/>
      <c r="GH130" s="215"/>
      <c r="GI130" s="215"/>
      <c r="GJ130" s="215"/>
      <c r="GK130" s="215"/>
      <c r="GL130" s="215"/>
      <c r="GM130" s="215"/>
      <c r="GN130" s="215"/>
      <c r="GO130" s="215"/>
      <c r="GP130" s="215"/>
      <c r="GQ130" s="215"/>
      <c r="GR130" s="215"/>
      <c r="GS130" s="215"/>
      <c r="GT130" s="215"/>
      <c r="GU130" s="215"/>
      <c r="GV130" s="215"/>
      <c r="GW130" s="215"/>
      <c r="GX130" s="215"/>
      <c r="GY130" s="215"/>
      <c r="GZ130" s="215"/>
      <c r="HA130" s="215"/>
      <c r="HB130" s="215"/>
      <c r="HC130" s="215"/>
      <c r="HD130" s="215"/>
      <c r="HE130" s="215"/>
      <c r="HF130" s="215"/>
      <c r="HG130" s="215"/>
      <c r="HH130" s="215"/>
      <c r="HI130" s="215"/>
      <c r="HJ130" s="215"/>
      <c r="HK130" s="215"/>
      <c r="JS130" s="219"/>
      <c r="JT130" s="220"/>
      <c r="JU130" s="220"/>
      <c r="JV130" s="220"/>
      <c r="JW130" s="220"/>
      <c r="JX130" s="220"/>
      <c r="JY130" s="220"/>
      <c r="JZ130" s="220"/>
      <c r="KA130" s="220"/>
      <c r="KB130" s="220"/>
      <c r="KC130" s="220"/>
      <c r="KD130" s="220"/>
      <c r="KE130" s="220"/>
      <c r="KF130" s="220"/>
      <c r="KG130" s="220"/>
      <c r="KH130" s="220"/>
      <c r="KI130" s="220"/>
      <c r="KJ130" s="220"/>
      <c r="KK130" s="220"/>
      <c r="KL130" s="220"/>
      <c r="KM130" s="220"/>
      <c r="KN130" s="220"/>
      <c r="KO130" s="220"/>
      <c r="KP130" s="220"/>
      <c r="KQ130" s="220"/>
      <c r="KR130" s="220"/>
      <c r="KS130" s="220"/>
      <c r="KT130" s="220"/>
      <c r="KU130" s="220"/>
      <c r="KV130" s="220"/>
      <c r="KW130" s="220"/>
      <c r="KX130" s="220"/>
      <c r="KY130" s="220"/>
      <c r="KZ130" s="220"/>
      <c r="LA130" s="220"/>
      <c r="LB130" s="220"/>
      <c r="LC130" s="220"/>
      <c r="LD130" s="220"/>
      <c r="LE130" s="220"/>
      <c r="LF130" s="220"/>
      <c r="LG130" s="187"/>
      <c r="LH130" s="188"/>
      <c r="LI130" s="188"/>
      <c r="LJ130" s="188"/>
      <c r="LK130" s="188"/>
      <c r="LL130" s="189"/>
      <c r="LM130" s="19"/>
      <c r="LU130" s="155"/>
      <c r="LY130" s="16"/>
      <c r="MB130" s="187"/>
      <c r="MC130" s="188"/>
      <c r="MD130" s="188"/>
      <c r="ME130" s="188"/>
      <c r="MF130" s="188"/>
      <c r="MG130" s="188"/>
      <c r="MH130" s="188"/>
      <c r="MI130" s="188"/>
      <c r="MJ130" s="188"/>
      <c r="MK130" s="188"/>
      <c r="ML130" s="188"/>
      <c r="MM130" s="188"/>
      <c r="MN130" s="188"/>
      <c r="MO130" s="188"/>
      <c r="MP130" s="188"/>
      <c r="MQ130" s="188"/>
      <c r="MR130" s="188"/>
      <c r="MS130" s="188"/>
      <c r="MT130" s="188"/>
      <c r="MU130" s="188"/>
      <c r="MV130" s="188"/>
      <c r="MW130" s="188"/>
      <c r="MX130" s="188"/>
      <c r="MY130" s="188"/>
      <c r="MZ130" s="188"/>
      <c r="NA130" s="188"/>
      <c r="NB130" s="188"/>
      <c r="NC130" s="188"/>
      <c r="ND130" s="188"/>
      <c r="NE130" s="188"/>
      <c r="NF130" s="188"/>
      <c r="NG130" s="188"/>
      <c r="NH130" s="188"/>
      <c r="NI130" s="188"/>
      <c r="NJ130" s="188"/>
      <c r="NK130" s="188"/>
      <c r="NL130" s="188"/>
      <c r="NM130" s="188"/>
      <c r="NN130" s="188"/>
      <c r="NO130" s="188"/>
      <c r="NP130" s="189"/>
      <c r="NQ130" s="187"/>
      <c r="NR130" s="188"/>
      <c r="NS130" s="188"/>
      <c r="NT130" s="188"/>
      <c r="NU130" s="189"/>
      <c r="OW130" s="12"/>
      <c r="OX130" s="7"/>
      <c r="OY130" s="3"/>
      <c r="OZ130" s="3"/>
      <c r="PA130" s="3"/>
      <c r="PB130" s="3"/>
      <c r="PC130" s="2"/>
      <c r="PQ130" s="3"/>
      <c r="PR130" s="3"/>
      <c r="PS130" s="3"/>
      <c r="PT130" s="3"/>
      <c r="PU130" s="3"/>
      <c r="PV130" s="2"/>
    </row>
    <row r="131" spans="3:438" ht="5.0999999999999996" customHeight="1" x14ac:dyDescent="0.3">
      <c r="C131" s="11"/>
      <c r="D131" s="13"/>
      <c r="Q131" s="187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9"/>
      <c r="BF131" s="187"/>
      <c r="BG131" s="188"/>
      <c r="BH131" s="188"/>
      <c r="BI131" s="188"/>
      <c r="BJ131" s="189"/>
      <c r="FT131" s="215"/>
      <c r="FU131" s="215"/>
      <c r="FV131" s="215"/>
      <c r="FW131" s="215"/>
      <c r="FX131" s="215"/>
      <c r="FY131" s="215"/>
      <c r="FZ131" s="215"/>
      <c r="GA131" s="215"/>
      <c r="GB131" s="215"/>
      <c r="GC131" s="215"/>
      <c r="GD131" s="215"/>
      <c r="GE131" s="215"/>
      <c r="GF131" s="215"/>
      <c r="GG131" s="215"/>
      <c r="GH131" s="215"/>
      <c r="GI131" s="215"/>
      <c r="GJ131" s="215"/>
      <c r="GK131" s="215"/>
      <c r="GL131" s="215"/>
      <c r="GM131" s="215"/>
      <c r="GN131" s="215"/>
      <c r="GO131" s="215"/>
      <c r="GP131" s="215"/>
      <c r="GQ131" s="215"/>
      <c r="GR131" s="215"/>
      <c r="GS131" s="215"/>
      <c r="GT131" s="215"/>
      <c r="GU131" s="215"/>
      <c r="GV131" s="215"/>
      <c r="GW131" s="215"/>
      <c r="GX131" s="215"/>
      <c r="GY131" s="215"/>
      <c r="GZ131" s="215"/>
      <c r="HA131" s="215"/>
      <c r="HB131" s="215"/>
      <c r="HC131" s="215"/>
      <c r="HD131" s="215"/>
      <c r="HE131" s="215"/>
      <c r="HF131" s="215"/>
      <c r="HG131" s="215"/>
      <c r="HH131" s="215"/>
      <c r="HI131" s="215"/>
      <c r="HJ131" s="215"/>
      <c r="HK131" s="215"/>
      <c r="JS131" s="219"/>
      <c r="JT131" s="220"/>
      <c r="JU131" s="220"/>
      <c r="JV131" s="220"/>
      <c r="JW131" s="220"/>
      <c r="JX131" s="220"/>
      <c r="JY131" s="220"/>
      <c r="JZ131" s="220"/>
      <c r="KA131" s="220"/>
      <c r="KB131" s="220"/>
      <c r="KC131" s="220"/>
      <c r="KD131" s="220"/>
      <c r="KE131" s="220"/>
      <c r="KF131" s="220"/>
      <c r="KG131" s="220"/>
      <c r="KH131" s="220"/>
      <c r="KI131" s="220"/>
      <c r="KJ131" s="220"/>
      <c r="KK131" s="220"/>
      <c r="KL131" s="220"/>
      <c r="KM131" s="220"/>
      <c r="KN131" s="220"/>
      <c r="KO131" s="220"/>
      <c r="KP131" s="220"/>
      <c r="KQ131" s="220"/>
      <c r="KR131" s="220"/>
      <c r="KS131" s="220"/>
      <c r="KT131" s="220"/>
      <c r="KU131" s="220"/>
      <c r="KV131" s="220"/>
      <c r="KW131" s="220"/>
      <c r="KX131" s="220"/>
      <c r="KY131" s="220"/>
      <c r="KZ131" s="220"/>
      <c r="LA131" s="220"/>
      <c r="LB131" s="220"/>
      <c r="LC131" s="220"/>
      <c r="LD131" s="220"/>
      <c r="LE131" s="220"/>
      <c r="LF131" s="220"/>
      <c r="LG131" s="187"/>
      <c r="LH131" s="188"/>
      <c r="LI131" s="188"/>
      <c r="LJ131" s="188"/>
      <c r="LK131" s="188"/>
      <c r="LL131" s="189"/>
      <c r="LM131" s="19"/>
      <c r="LU131" s="155"/>
      <c r="LY131" s="16"/>
      <c r="MB131" s="187"/>
      <c r="MC131" s="188"/>
      <c r="MD131" s="188"/>
      <c r="ME131" s="188"/>
      <c r="MF131" s="188"/>
      <c r="MG131" s="188"/>
      <c r="MH131" s="188"/>
      <c r="MI131" s="188"/>
      <c r="MJ131" s="188"/>
      <c r="MK131" s="188"/>
      <c r="ML131" s="188"/>
      <c r="MM131" s="188"/>
      <c r="MN131" s="188"/>
      <c r="MO131" s="188"/>
      <c r="MP131" s="188"/>
      <c r="MQ131" s="188"/>
      <c r="MR131" s="188"/>
      <c r="MS131" s="188"/>
      <c r="MT131" s="188"/>
      <c r="MU131" s="188"/>
      <c r="MV131" s="188"/>
      <c r="MW131" s="188"/>
      <c r="MX131" s="188"/>
      <c r="MY131" s="188"/>
      <c r="MZ131" s="188"/>
      <c r="NA131" s="188"/>
      <c r="NB131" s="188"/>
      <c r="NC131" s="188"/>
      <c r="ND131" s="188"/>
      <c r="NE131" s="188"/>
      <c r="NF131" s="188"/>
      <c r="NG131" s="188"/>
      <c r="NH131" s="188"/>
      <c r="NI131" s="188"/>
      <c r="NJ131" s="188"/>
      <c r="NK131" s="188"/>
      <c r="NL131" s="188"/>
      <c r="NM131" s="188"/>
      <c r="NN131" s="188"/>
      <c r="NO131" s="188"/>
      <c r="NP131" s="189"/>
      <c r="NQ131" s="187"/>
      <c r="NR131" s="188"/>
      <c r="NS131" s="188"/>
      <c r="NT131" s="188"/>
      <c r="NU131" s="189"/>
      <c r="OW131" s="12"/>
      <c r="OX131" s="7"/>
      <c r="OY131" s="3"/>
      <c r="OZ131" s="3"/>
      <c r="PA131" s="3"/>
      <c r="PB131" s="3"/>
      <c r="PC131" s="2"/>
      <c r="PQ131" s="3"/>
      <c r="PR131" s="3"/>
      <c r="PS131" s="3"/>
      <c r="PT131" s="3"/>
      <c r="PU131" s="3"/>
      <c r="PV131" s="2"/>
    </row>
    <row r="132" spans="3:438" ht="5.0999999999999996" customHeight="1" x14ac:dyDescent="0.3">
      <c r="C132" s="11"/>
      <c r="D132" s="13"/>
      <c r="Q132" s="187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9"/>
      <c r="BF132" s="187"/>
      <c r="BG132" s="188"/>
      <c r="BH132" s="188"/>
      <c r="BI132" s="188"/>
      <c r="BJ132" s="189"/>
      <c r="FT132" s="215"/>
      <c r="FU132" s="215"/>
      <c r="FV132" s="215"/>
      <c r="FW132" s="215"/>
      <c r="FX132" s="215"/>
      <c r="FY132" s="215"/>
      <c r="FZ132" s="215"/>
      <c r="GA132" s="215"/>
      <c r="GB132" s="215"/>
      <c r="GC132" s="215"/>
      <c r="GD132" s="215"/>
      <c r="GE132" s="215"/>
      <c r="GF132" s="215"/>
      <c r="GG132" s="215"/>
      <c r="GH132" s="215"/>
      <c r="GI132" s="215"/>
      <c r="GJ132" s="215"/>
      <c r="GK132" s="215"/>
      <c r="GL132" s="215"/>
      <c r="GM132" s="215"/>
      <c r="GN132" s="215"/>
      <c r="GO132" s="215"/>
      <c r="GP132" s="215"/>
      <c r="GQ132" s="215"/>
      <c r="GR132" s="215"/>
      <c r="GS132" s="215"/>
      <c r="GT132" s="215"/>
      <c r="GU132" s="215"/>
      <c r="GV132" s="215"/>
      <c r="GW132" s="215"/>
      <c r="GX132" s="215"/>
      <c r="GY132" s="215"/>
      <c r="GZ132" s="215"/>
      <c r="HA132" s="215"/>
      <c r="HB132" s="215"/>
      <c r="HC132" s="215"/>
      <c r="HD132" s="215"/>
      <c r="HE132" s="215"/>
      <c r="HF132" s="215"/>
      <c r="HG132" s="215"/>
      <c r="HH132" s="215"/>
      <c r="HI132" s="215"/>
      <c r="HJ132" s="215"/>
      <c r="HK132" s="215"/>
      <c r="JS132" s="219"/>
      <c r="JT132" s="220"/>
      <c r="JU132" s="220"/>
      <c r="JV132" s="220"/>
      <c r="JW132" s="220"/>
      <c r="JX132" s="220"/>
      <c r="JY132" s="220"/>
      <c r="JZ132" s="220"/>
      <c r="KA132" s="220"/>
      <c r="KB132" s="220"/>
      <c r="KC132" s="220"/>
      <c r="KD132" s="220"/>
      <c r="KE132" s="220"/>
      <c r="KF132" s="220"/>
      <c r="KG132" s="220"/>
      <c r="KH132" s="220"/>
      <c r="KI132" s="220"/>
      <c r="KJ132" s="220"/>
      <c r="KK132" s="220"/>
      <c r="KL132" s="220"/>
      <c r="KM132" s="220"/>
      <c r="KN132" s="220"/>
      <c r="KO132" s="220"/>
      <c r="KP132" s="220"/>
      <c r="KQ132" s="220"/>
      <c r="KR132" s="220"/>
      <c r="KS132" s="220"/>
      <c r="KT132" s="220"/>
      <c r="KU132" s="220"/>
      <c r="KV132" s="220"/>
      <c r="KW132" s="220"/>
      <c r="KX132" s="220"/>
      <c r="KY132" s="220"/>
      <c r="KZ132" s="220"/>
      <c r="LA132" s="220"/>
      <c r="LB132" s="220"/>
      <c r="LC132" s="220"/>
      <c r="LD132" s="220"/>
      <c r="LE132" s="220"/>
      <c r="LF132" s="220"/>
      <c r="LG132" s="187"/>
      <c r="LH132" s="188"/>
      <c r="LI132" s="188"/>
      <c r="LJ132" s="188"/>
      <c r="LK132" s="188"/>
      <c r="LL132" s="189"/>
      <c r="LM132" s="19"/>
      <c r="LU132" s="155"/>
      <c r="LY132" s="16"/>
      <c r="MB132" s="187"/>
      <c r="MC132" s="188"/>
      <c r="MD132" s="188"/>
      <c r="ME132" s="188"/>
      <c r="MF132" s="188"/>
      <c r="MG132" s="188"/>
      <c r="MH132" s="188"/>
      <c r="MI132" s="188"/>
      <c r="MJ132" s="188"/>
      <c r="MK132" s="188"/>
      <c r="ML132" s="188"/>
      <c r="MM132" s="188"/>
      <c r="MN132" s="188"/>
      <c r="MO132" s="188"/>
      <c r="MP132" s="188"/>
      <c r="MQ132" s="188"/>
      <c r="MR132" s="188"/>
      <c r="MS132" s="188"/>
      <c r="MT132" s="188"/>
      <c r="MU132" s="188"/>
      <c r="MV132" s="188"/>
      <c r="MW132" s="188"/>
      <c r="MX132" s="188"/>
      <c r="MY132" s="188"/>
      <c r="MZ132" s="188"/>
      <c r="NA132" s="188"/>
      <c r="NB132" s="188"/>
      <c r="NC132" s="188"/>
      <c r="ND132" s="188"/>
      <c r="NE132" s="188"/>
      <c r="NF132" s="188"/>
      <c r="NG132" s="188"/>
      <c r="NH132" s="188"/>
      <c r="NI132" s="188"/>
      <c r="NJ132" s="188"/>
      <c r="NK132" s="188"/>
      <c r="NL132" s="188"/>
      <c r="NM132" s="188"/>
      <c r="NN132" s="188"/>
      <c r="NO132" s="188"/>
      <c r="NP132" s="189"/>
      <c r="NQ132" s="187"/>
      <c r="NR132" s="188"/>
      <c r="NS132" s="188"/>
      <c r="NT132" s="188"/>
      <c r="NU132" s="189"/>
      <c r="OW132" s="12"/>
      <c r="OX132" s="7"/>
      <c r="OY132" s="3"/>
      <c r="OZ132" s="3"/>
      <c r="PA132" s="3"/>
      <c r="PB132" s="3"/>
      <c r="PC132" s="2"/>
      <c r="PQ132" s="3"/>
      <c r="PR132" s="3"/>
      <c r="PS132" s="3"/>
      <c r="PT132" s="3"/>
      <c r="PU132" s="3"/>
      <c r="PV132" s="2"/>
    </row>
    <row r="133" spans="3:438" ht="5.0999999999999996" customHeight="1" thickBot="1" x14ac:dyDescent="0.35">
      <c r="C133" s="11"/>
      <c r="D133" s="13"/>
      <c r="Q133" s="187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9"/>
      <c r="BF133" s="187"/>
      <c r="BG133" s="188"/>
      <c r="BH133" s="188"/>
      <c r="BI133" s="188"/>
      <c r="BJ133" s="189"/>
      <c r="FT133" s="215"/>
      <c r="FU133" s="215"/>
      <c r="FV133" s="215"/>
      <c r="FW133" s="215"/>
      <c r="FX133" s="215"/>
      <c r="FY133" s="215"/>
      <c r="FZ133" s="215"/>
      <c r="GA133" s="215"/>
      <c r="GB133" s="215"/>
      <c r="GC133" s="215"/>
      <c r="GD133" s="215"/>
      <c r="GE133" s="215"/>
      <c r="GF133" s="215"/>
      <c r="GG133" s="215"/>
      <c r="GH133" s="215"/>
      <c r="GI133" s="215"/>
      <c r="GJ133" s="215"/>
      <c r="GK133" s="215"/>
      <c r="GL133" s="215"/>
      <c r="GM133" s="215"/>
      <c r="GN133" s="215"/>
      <c r="GO133" s="215"/>
      <c r="GP133" s="215"/>
      <c r="GQ133" s="215"/>
      <c r="GR133" s="215"/>
      <c r="GS133" s="215"/>
      <c r="GT133" s="215"/>
      <c r="GU133" s="215"/>
      <c r="GV133" s="215"/>
      <c r="GW133" s="215"/>
      <c r="GX133" s="215"/>
      <c r="GY133" s="215"/>
      <c r="GZ133" s="215"/>
      <c r="HA133" s="215"/>
      <c r="HB133" s="215"/>
      <c r="HC133" s="215"/>
      <c r="HD133" s="215"/>
      <c r="HE133" s="215"/>
      <c r="HF133" s="215"/>
      <c r="HG133" s="215"/>
      <c r="HH133" s="215"/>
      <c r="HI133" s="215"/>
      <c r="HJ133" s="215"/>
      <c r="HK133" s="215"/>
      <c r="JS133" s="219"/>
      <c r="JT133" s="220"/>
      <c r="JU133" s="220"/>
      <c r="JV133" s="220"/>
      <c r="JW133" s="220"/>
      <c r="JX133" s="220"/>
      <c r="JY133" s="220"/>
      <c r="JZ133" s="220"/>
      <c r="KA133" s="220"/>
      <c r="KB133" s="220"/>
      <c r="KC133" s="220"/>
      <c r="KD133" s="220"/>
      <c r="KE133" s="220"/>
      <c r="KF133" s="220"/>
      <c r="KG133" s="220"/>
      <c r="KH133" s="220"/>
      <c r="KI133" s="220"/>
      <c r="KJ133" s="220"/>
      <c r="KK133" s="220"/>
      <c r="KL133" s="220"/>
      <c r="KM133" s="220"/>
      <c r="KN133" s="220"/>
      <c r="KO133" s="220"/>
      <c r="KP133" s="220"/>
      <c r="KQ133" s="220"/>
      <c r="KR133" s="220"/>
      <c r="KS133" s="220"/>
      <c r="KT133" s="220"/>
      <c r="KU133" s="220"/>
      <c r="KV133" s="220"/>
      <c r="KW133" s="220"/>
      <c r="KX133" s="220"/>
      <c r="KY133" s="220"/>
      <c r="KZ133" s="220"/>
      <c r="LA133" s="220"/>
      <c r="LB133" s="220"/>
      <c r="LC133" s="220"/>
      <c r="LD133" s="220"/>
      <c r="LE133" s="220"/>
      <c r="LF133" s="220"/>
      <c r="LG133" s="187"/>
      <c r="LH133" s="188"/>
      <c r="LI133" s="188"/>
      <c r="LJ133" s="188"/>
      <c r="LK133" s="188"/>
      <c r="LL133" s="189"/>
      <c r="LM133" s="19"/>
      <c r="LU133" s="155"/>
      <c r="LY133" s="16"/>
      <c r="MB133" s="187"/>
      <c r="MC133" s="188"/>
      <c r="MD133" s="188"/>
      <c r="ME133" s="188"/>
      <c r="MF133" s="188"/>
      <c r="MG133" s="188"/>
      <c r="MH133" s="188"/>
      <c r="MI133" s="188"/>
      <c r="MJ133" s="188"/>
      <c r="MK133" s="188"/>
      <c r="ML133" s="188"/>
      <c r="MM133" s="188"/>
      <c r="MN133" s="188"/>
      <c r="MO133" s="188"/>
      <c r="MP133" s="188"/>
      <c r="MQ133" s="188"/>
      <c r="MR133" s="188"/>
      <c r="MS133" s="188"/>
      <c r="MT133" s="188"/>
      <c r="MU133" s="188"/>
      <c r="MV133" s="188"/>
      <c r="MW133" s="188"/>
      <c r="MX133" s="188"/>
      <c r="MY133" s="188"/>
      <c r="MZ133" s="188"/>
      <c r="NA133" s="188"/>
      <c r="NB133" s="188"/>
      <c r="NC133" s="188"/>
      <c r="ND133" s="188"/>
      <c r="NE133" s="188"/>
      <c r="NF133" s="188"/>
      <c r="NG133" s="188"/>
      <c r="NH133" s="188"/>
      <c r="NI133" s="188"/>
      <c r="NJ133" s="188"/>
      <c r="NK133" s="188"/>
      <c r="NL133" s="188"/>
      <c r="NM133" s="188"/>
      <c r="NN133" s="188"/>
      <c r="NO133" s="188"/>
      <c r="NP133" s="189"/>
      <c r="NQ133" s="187"/>
      <c r="NR133" s="188"/>
      <c r="NS133" s="188"/>
      <c r="NT133" s="188"/>
      <c r="NU133" s="189"/>
      <c r="OW133" s="12"/>
      <c r="OX133" s="7"/>
      <c r="OY133" s="3"/>
      <c r="OZ133" s="3"/>
      <c r="PA133" s="3"/>
      <c r="PB133" s="3"/>
      <c r="PC133" s="2"/>
      <c r="PQ133" s="3"/>
      <c r="PR133" s="3"/>
      <c r="PS133" s="3"/>
      <c r="PT133" s="3"/>
      <c r="PU133" s="3"/>
      <c r="PV133" s="2"/>
    </row>
    <row r="134" spans="3:438" ht="5.0999999999999996" customHeight="1" x14ac:dyDescent="0.3">
      <c r="C134" s="11"/>
      <c r="D134" s="13"/>
      <c r="Q134" s="187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9"/>
      <c r="BF134" s="187"/>
      <c r="BG134" s="188"/>
      <c r="BH134" s="188"/>
      <c r="BI134" s="188"/>
      <c r="BJ134" s="189"/>
      <c r="FT134" s="215"/>
      <c r="FU134" s="215"/>
      <c r="FV134" s="215"/>
      <c r="FW134" s="215"/>
      <c r="FX134" s="215"/>
      <c r="FY134" s="215"/>
      <c r="FZ134" s="215"/>
      <c r="GA134" s="215"/>
      <c r="GB134" s="215"/>
      <c r="GC134" s="215"/>
      <c r="GD134" s="215"/>
      <c r="GE134" s="215"/>
      <c r="GF134" s="215"/>
      <c r="GG134" s="215"/>
      <c r="GH134" s="215"/>
      <c r="GI134" s="215"/>
      <c r="GJ134" s="215"/>
      <c r="GK134" s="215"/>
      <c r="GL134" s="215"/>
      <c r="GM134" s="215"/>
      <c r="GN134" s="215"/>
      <c r="GO134" s="215"/>
      <c r="GP134" s="215"/>
      <c r="GQ134" s="215"/>
      <c r="GR134" s="215"/>
      <c r="GS134" s="215"/>
      <c r="GT134" s="215"/>
      <c r="GU134" s="215"/>
      <c r="GV134" s="215"/>
      <c r="GW134" s="215"/>
      <c r="GX134" s="215"/>
      <c r="GY134" s="215"/>
      <c r="GZ134" s="215"/>
      <c r="HA134" s="215"/>
      <c r="HB134" s="215"/>
      <c r="HC134" s="215"/>
      <c r="HD134" s="215"/>
      <c r="HE134" s="215"/>
      <c r="HF134" s="215"/>
      <c r="HG134" s="215"/>
      <c r="HH134" s="215"/>
      <c r="HI134" s="215"/>
      <c r="HJ134" s="215"/>
      <c r="HK134" s="215"/>
      <c r="JS134" s="219"/>
      <c r="JT134" s="220"/>
      <c r="JU134" s="220"/>
      <c r="JV134" s="220"/>
      <c r="JW134" s="220"/>
      <c r="JX134" s="220"/>
      <c r="JY134" s="220"/>
      <c r="JZ134" s="220"/>
      <c r="KA134" s="220"/>
      <c r="KB134" s="220"/>
      <c r="KC134" s="220"/>
      <c r="KD134" s="220"/>
      <c r="KE134" s="220"/>
      <c r="KF134" s="220"/>
      <c r="KG134" s="220"/>
      <c r="KH134" s="220"/>
      <c r="KI134" s="220"/>
      <c r="KJ134" s="220"/>
      <c r="KK134" s="220"/>
      <c r="KL134" s="220"/>
      <c r="KM134" s="220"/>
      <c r="KN134" s="220"/>
      <c r="KO134" s="220"/>
      <c r="KP134" s="220"/>
      <c r="KQ134" s="220"/>
      <c r="KR134" s="220"/>
      <c r="KS134" s="220"/>
      <c r="KT134" s="220"/>
      <c r="KU134" s="220"/>
      <c r="KV134" s="220"/>
      <c r="KW134" s="220"/>
      <c r="KX134" s="220"/>
      <c r="KY134" s="220"/>
      <c r="KZ134" s="220"/>
      <c r="LA134" s="220"/>
      <c r="LB134" s="220"/>
      <c r="LC134" s="220"/>
      <c r="LD134" s="220"/>
      <c r="LE134" s="220"/>
      <c r="LF134" s="220"/>
      <c r="LG134" s="187"/>
      <c r="LH134" s="188"/>
      <c r="LI134" s="188"/>
      <c r="LJ134" s="188"/>
      <c r="LK134" s="188"/>
      <c r="LL134" s="189"/>
      <c r="LM134" s="19"/>
      <c r="LU134" s="155"/>
      <c r="LY134" s="22"/>
      <c r="LZ134" s="21"/>
      <c r="MA134" s="48"/>
      <c r="MB134" s="187"/>
      <c r="MC134" s="188"/>
      <c r="MD134" s="188"/>
      <c r="ME134" s="188"/>
      <c r="MF134" s="188"/>
      <c r="MG134" s="188"/>
      <c r="MH134" s="188"/>
      <c r="MI134" s="188"/>
      <c r="MJ134" s="188"/>
      <c r="MK134" s="188"/>
      <c r="ML134" s="188"/>
      <c r="MM134" s="188"/>
      <c r="MN134" s="188"/>
      <c r="MO134" s="188"/>
      <c r="MP134" s="188"/>
      <c r="MQ134" s="188"/>
      <c r="MR134" s="188"/>
      <c r="MS134" s="188"/>
      <c r="MT134" s="188"/>
      <c r="MU134" s="188"/>
      <c r="MV134" s="188"/>
      <c r="MW134" s="188"/>
      <c r="MX134" s="188"/>
      <c r="MY134" s="188"/>
      <c r="MZ134" s="188"/>
      <c r="NA134" s="188"/>
      <c r="NB134" s="188"/>
      <c r="NC134" s="188"/>
      <c r="ND134" s="188"/>
      <c r="NE134" s="188"/>
      <c r="NF134" s="188"/>
      <c r="NG134" s="188"/>
      <c r="NH134" s="188"/>
      <c r="NI134" s="188"/>
      <c r="NJ134" s="188"/>
      <c r="NK134" s="188"/>
      <c r="NL134" s="188"/>
      <c r="NM134" s="188"/>
      <c r="NN134" s="188"/>
      <c r="NO134" s="188"/>
      <c r="NP134" s="189"/>
      <c r="NQ134" s="187"/>
      <c r="NR134" s="188"/>
      <c r="NS134" s="188"/>
      <c r="NT134" s="188"/>
      <c r="NU134" s="189"/>
      <c r="OW134" s="12"/>
      <c r="OX134" s="7"/>
      <c r="OY134" s="3"/>
      <c r="OZ134" s="3"/>
      <c r="PA134" s="3"/>
      <c r="PB134" s="3"/>
      <c r="PC134" s="2"/>
      <c r="PQ134" s="3"/>
      <c r="PR134" s="3"/>
      <c r="PS134" s="3"/>
      <c r="PT134" s="3"/>
      <c r="PU134" s="3"/>
      <c r="PV134" s="2"/>
    </row>
    <row r="135" spans="3:438" ht="5.0999999999999996" customHeight="1" x14ac:dyDescent="0.3">
      <c r="C135" s="11"/>
      <c r="D135" s="13"/>
      <c r="Q135" s="187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9"/>
      <c r="BF135" s="187"/>
      <c r="BG135" s="188"/>
      <c r="BH135" s="188"/>
      <c r="BI135" s="188"/>
      <c r="BJ135" s="189"/>
      <c r="FT135" s="215"/>
      <c r="FU135" s="215"/>
      <c r="FV135" s="215"/>
      <c r="FW135" s="215"/>
      <c r="FX135" s="215"/>
      <c r="FY135" s="215"/>
      <c r="FZ135" s="215"/>
      <c r="GA135" s="215"/>
      <c r="GB135" s="215"/>
      <c r="GC135" s="215"/>
      <c r="GD135" s="215"/>
      <c r="GE135" s="215"/>
      <c r="GF135" s="215"/>
      <c r="GG135" s="215"/>
      <c r="GH135" s="215"/>
      <c r="GI135" s="215"/>
      <c r="GJ135" s="215"/>
      <c r="GK135" s="215"/>
      <c r="GL135" s="215"/>
      <c r="GM135" s="215"/>
      <c r="GN135" s="215"/>
      <c r="GO135" s="215"/>
      <c r="GP135" s="215"/>
      <c r="GQ135" s="215"/>
      <c r="GR135" s="215"/>
      <c r="GS135" s="215"/>
      <c r="GT135" s="215"/>
      <c r="GU135" s="215"/>
      <c r="GV135" s="215"/>
      <c r="GW135" s="215"/>
      <c r="GX135" s="215"/>
      <c r="GY135" s="215"/>
      <c r="GZ135" s="215"/>
      <c r="HA135" s="215"/>
      <c r="HB135" s="215"/>
      <c r="HC135" s="215"/>
      <c r="HD135" s="215"/>
      <c r="HE135" s="215"/>
      <c r="HF135" s="215"/>
      <c r="HG135" s="215"/>
      <c r="HH135" s="215"/>
      <c r="HI135" s="215"/>
      <c r="HJ135" s="215"/>
      <c r="HK135" s="215"/>
      <c r="JS135" s="219"/>
      <c r="JT135" s="220"/>
      <c r="JU135" s="220"/>
      <c r="JV135" s="220"/>
      <c r="JW135" s="220"/>
      <c r="JX135" s="220"/>
      <c r="JY135" s="220"/>
      <c r="JZ135" s="220"/>
      <c r="KA135" s="220"/>
      <c r="KB135" s="220"/>
      <c r="KC135" s="220"/>
      <c r="KD135" s="220"/>
      <c r="KE135" s="220"/>
      <c r="KF135" s="220"/>
      <c r="KG135" s="220"/>
      <c r="KH135" s="220"/>
      <c r="KI135" s="220"/>
      <c r="KJ135" s="220"/>
      <c r="KK135" s="220"/>
      <c r="KL135" s="220"/>
      <c r="KM135" s="220"/>
      <c r="KN135" s="220"/>
      <c r="KO135" s="220"/>
      <c r="KP135" s="220"/>
      <c r="KQ135" s="220"/>
      <c r="KR135" s="220"/>
      <c r="KS135" s="220"/>
      <c r="KT135" s="220"/>
      <c r="KU135" s="220"/>
      <c r="KV135" s="220"/>
      <c r="KW135" s="220"/>
      <c r="KX135" s="220"/>
      <c r="KY135" s="220"/>
      <c r="KZ135" s="220"/>
      <c r="LA135" s="220"/>
      <c r="LB135" s="220"/>
      <c r="LC135" s="220"/>
      <c r="LD135" s="220"/>
      <c r="LE135" s="220"/>
      <c r="LF135" s="220"/>
      <c r="LG135" s="187"/>
      <c r="LH135" s="188"/>
      <c r="LI135" s="188"/>
      <c r="LJ135" s="188"/>
      <c r="LK135" s="188"/>
      <c r="LL135" s="189"/>
      <c r="LM135" s="19"/>
      <c r="LU135" s="155"/>
      <c r="LY135" s="16"/>
      <c r="MB135" s="187"/>
      <c r="MC135" s="188"/>
      <c r="MD135" s="188"/>
      <c r="ME135" s="188"/>
      <c r="MF135" s="188"/>
      <c r="MG135" s="188"/>
      <c r="MH135" s="188"/>
      <c r="MI135" s="188"/>
      <c r="MJ135" s="188"/>
      <c r="MK135" s="188"/>
      <c r="ML135" s="188"/>
      <c r="MM135" s="188"/>
      <c r="MN135" s="188"/>
      <c r="MO135" s="188"/>
      <c r="MP135" s="188"/>
      <c r="MQ135" s="188"/>
      <c r="MR135" s="188"/>
      <c r="MS135" s="188"/>
      <c r="MT135" s="188"/>
      <c r="MU135" s="188"/>
      <c r="MV135" s="188"/>
      <c r="MW135" s="188"/>
      <c r="MX135" s="188"/>
      <c r="MY135" s="188"/>
      <c r="MZ135" s="188"/>
      <c r="NA135" s="188"/>
      <c r="NB135" s="188"/>
      <c r="NC135" s="188"/>
      <c r="ND135" s="188"/>
      <c r="NE135" s="188"/>
      <c r="NF135" s="188"/>
      <c r="NG135" s="188"/>
      <c r="NH135" s="188"/>
      <c r="NI135" s="188"/>
      <c r="NJ135" s="188"/>
      <c r="NK135" s="188"/>
      <c r="NL135" s="188"/>
      <c r="NM135" s="188"/>
      <c r="NN135" s="188"/>
      <c r="NO135" s="188"/>
      <c r="NP135" s="189"/>
      <c r="NQ135" s="187"/>
      <c r="NR135" s="188"/>
      <c r="NS135" s="188"/>
      <c r="NT135" s="188"/>
      <c r="NU135" s="189"/>
      <c r="OW135" s="12"/>
      <c r="OX135" s="7"/>
      <c r="OY135" s="3"/>
      <c r="OZ135" s="3"/>
      <c r="PA135" s="3"/>
      <c r="PB135" s="3"/>
      <c r="PC135" s="2"/>
      <c r="PQ135" s="3"/>
      <c r="PR135" s="3"/>
      <c r="PS135" s="3"/>
      <c r="PT135" s="3"/>
      <c r="PU135" s="3"/>
      <c r="PV135" s="2"/>
    </row>
    <row r="136" spans="3:438" ht="5.0999999999999996" customHeight="1" x14ac:dyDescent="0.3">
      <c r="C136" s="11"/>
      <c r="D136" s="13"/>
      <c r="Q136" s="187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9"/>
      <c r="BF136" s="187"/>
      <c r="BG136" s="188"/>
      <c r="BH136" s="188"/>
      <c r="BI136" s="188"/>
      <c r="BJ136" s="189"/>
      <c r="FT136" s="215"/>
      <c r="FU136" s="215"/>
      <c r="FV136" s="215"/>
      <c r="FW136" s="215"/>
      <c r="FX136" s="215"/>
      <c r="FY136" s="215"/>
      <c r="FZ136" s="215"/>
      <c r="GA136" s="215"/>
      <c r="GB136" s="215"/>
      <c r="GC136" s="215"/>
      <c r="GD136" s="215"/>
      <c r="GE136" s="215"/>
      <c r="GF136" s="215"/>
      <c r="GG136" s="215"/>
      <c r="GH136" s="215"/>
      <c r="GI136" s="215"/>
      <c r="GJ136" s="215"/>
      <c r="GK136" s="215"/>
      <c r="GL136" s="215"/>
      <c r="GM136" s="215"/>
      <c r="GN136" s="215"/>
      <c r="GO136" s="215"/>
      <c r="GP136" s="215"/>
      <c r="GQ136" s="215"/>
      <c r="GR136" s="215"/>
      <c r="GS136" s="215"/>
      <c r="GT136" s="215"/>
      <c r="GU136" s="215"/>
      <c r="GV136" s="215"/>
      <c r="GW136" s="215"/>
      <c r="GX136" s="215"/>
      <c r="GY136" s="215"/>
      <c r="GZ136" s="215"/>
      <c r="HA136" s="215"/>
      <c r="HB136" s="215"/>
      <c r="HC136" s="215"/>
      <c r="HD136" s="215"/>
      <c r="HE136" s="215"/>
      <c r="HF136" s="215"/>
      <c r="HG136" s="215"/>
      <c r="HH136" s="215"/>
      <c r="HI136" s="215"/>
      <c r="HJ136" s="215"/>
      <c r="HK136" s="215"/>
      <c r="JS136" s="222"/>
      <c r="JT136" s="223"/>
      <c r="JU136" s="223"/>
      <c r="JV136" s="223"/>
      <c r="JW136" s="223"/>
      <c r="JX136" s="223"/>
      <c r="JY136" s="223"/>
      <c r="JZ136" s="223"/>
      <c r="KA136" s="223"/>
      <c r="KB136" s="223"/>
      <c r="KC136" s="223"/>
      <c r="KD136" s="223"/>
      <c r="KE136" s="223"/>
      <c r="KF136" s="223"/>
      <c r="KG136" s="223"/>
      <c r="KH136" s="223"/>
      <c r="KI136" s="223"/>
      <c r="KJ136" s="223"/>
      <c r="KK136" s="223"/>
      <c r="KL136" s="223"/>
      <c r="KM136" s="223"/>
      <c r="KN136" s="223"/>
      <c r="KO136" s="223"/>
      <c r="KP136" s="223"/>
      <c r="KQ136" s="223"/>
      <c r="KR136" s="223"/>
      <c r="KS136" s="223"/>
      <c r="KT136" s="223"/>
      <c r="KU136" s="223"/>
      <c r="KV136" s="223"/>
      <c r="KW136" s="223"/>
      <c r="KX136" s="223"/>
      <c r="KY136" s="223"/>
      <c r="KZ136" s="223"/>
      <c r="LA136" s="223"/>
      <c r="LB136" s="223"/>
      <c r="LC136" s="223"/>
      <c r="LD136" s="223"/>
      <c r="LE136" s="223"/>
      <c r="LF136" s="223"/>
      <c r="LG136" s="190"/>
      <c r="LH136" s="191"/>
      <c r="LI136" s="191"/>
      <c r="LJ136" s="191"/>
      <c r="LK136" s="191"/>
      <c r="LL136" s="192"/>
      <c r="LM136" s="19"/>
      <c r="LU136" s="155"/>
      <c r="LY136" s="16"/>
      <c r="MB136" s="187"/>
      <c r="MC136" s="188"/>
      <c r="MD136" s="188"/>
      <c r="ME136" s="188"/>
      <c r="MF136" s="188"/>
      <c r="MG136" s="188"/>
      <c r="MH136" s="188"/>
      <c r="MI136" s="188"/>
      <c r="MJ136" s="188"/>
      <c r="MK136" s="188"/>
      <c r="ML136" s="188"/>
      <c r="MM136" s="188"/>
      <c r="MN136" s="188"/>
      <c r="MO136" s="188"/>
      <c r="MP136" s="188"/>
      <c r="MQ136" s="188"/>
      <c r="MR136" s="188"/>
      <c r="MS136" s="188"/>
      <c r="MT136" s="188"/>
      <c r="MU136" s="188"/>
      <c r="MV136" s="188"/>
      <c r="MW136" s="188"/>
      <c r="MX136" s="188"/>
      <c r="MY136" s="188"/>
      <c r="MZ136" s="188"/>
      <c r="NA136" s="188"/>
      <c r="NB136" s="188"/>
      <c r="NC136" s="188"/>
      <c r="ND136" s="188"/>
      <c r="NE136" s="188"/>
      <c r="NF136" s="188"/>
      <c r="NG136" s="188"/>
      <c r="NH136" s="188"/>
      <c r="NI136" s="188"/>
      <c r="NJ136" s="188"/>
      <c r="NK136" s="188"/>
      <c r="NL136" s="188"/>
      <c r="NM136" s="188"/>
      <c r="NN136" s="188"/>
      <c r="NO136" s="188"/>
      <c r="NP136" s="189"/>
      <c r="NQ136" s="187"/>
      <c r="NR136" s="188"/>
      <c r="NS136" s="188"/>
      <c r="NT136" s="188"/>
      <c r="NU136" s="189"/>
      <c r="OW136" s="12"/>
      <c r="OX136" s="7"/>
      <c r="OY136" s="3"/>
      <c r="OZ136" s="3"/>
      <c r="PA136" s="3"/>
      <c r="PB136" s="3"/>
      <c r="PC136" s="2"/>
      <c r="PQ136" s="3"/>
      <c r="PR136" s="3"/>
      <c r="PS136" s="3"/>
      <c r="PT136" s="3"/>
      <c r="PU136" s="3"/>
      <c r="PV136" s="2"/>
    </row>
    <row r="137" spans="3:438" ht="5.0999999999999996" customHeight="1" x14ac:dyDescent="0.3">
      <c r="C137" s="11"/>
      <c r="D137" s="13"/>
      <c r="Q137" s="187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9"/>
      <c r="BF137" s="187"/>
      <c r="BG137" s="188"/>
      <c r="BH137" s="188"/>
      <c r="BI137" s="188"/>
      <c r="BJ137" s="189"/>
      <c r="FT137" s="215"/>
      <c r="FU137" s="215"/>
      <c r="FV137" s="215"/>
      <c r="FW137" s="215"/>
      <c r="FX137" s="215"/>
      <c r="FY137" s="215"/>
      <c r="FZ137" s="215"/>
      <c r="GA137" s="215"/>
      <c r="GB137" s="215"/>
      <c r="GC137" s="215"/>
      <c r="GD137" s="215"/>
      <c r="GE137" s="215"/>
      <c r="GF137" s="215"/>
      <c r="GG137" s="215"/>
      <c r="GH137" s="215"/>
      <c r="GI137" s="215"/>
      <c r="GJ137" s="215"/>
      <c r="GK137" s="215"/>
      <c r="GL137" s="215"/>
      <c r="GM137" s="215"/>
      <c r="GN137" s="215"/>
      <c r="GO137" s="215"/>
      <c r="GP137" s="215"/>
      <c r="GQ137" s="215"/>
      <c r="GR137" s="215"/>
      <c r="GS137" s="215"/>
      <c r="GT137" s="215"/>
      <c r="GU137" s="215"/>
      <c r="GV137" s="215"/>
      <c r="GW137" s="215"/>
      <c r="GX137" s="215"/>
      <c r="GY137" s="215"/>
      <c r="GZ137" s="215"/>
      <c r="HA137" s="215"/>
      <c r="HB137" s="215"/>
      <c r="HC137" s="215"/>
      <c r="HD137" s="215"/>
      <c r="HE137" s="215"/>
      <c r="HF137" s="215"/>
      <c r="HG137" s="215"/>
      <c r="HH137" s="215"/>
      <c r="HI137" s="215"/>
      <c r="HJ137" s="215"/>
      <c r="HK137" s="215"/>
      <c r="LM137" s="19"/>
      <c r="LU137" s="155"/>
      <c r="LY137" s="16"/>
      <c r="MB137" s="190"/>
      <c r="MC137" s="191"/>
      <c r="MD137" s="191"/>
      <c r="ME137" s="191"/>
      <c r="MF137" s="191"/>
      <c r="MG137" s="191"/>
      <c r="MH137" s="191"/>
      <c r="MI137" s="191"/>
      <c r="MJ137" s="191"/>
      <c r="MK137" s="191"/>
      <c r="ML137" s="191"/>
      <c r="MM137" s="191"/>
      <c r="MN137" s="191"/>
      <c r="MO137" s="191"/>
      <c r="MP137" s="191"/>
      <c r="MQ137" s="191"/>
      <c r="MR137" s="191"/>
      <c r="MS137" s="191"/>
      <c r="MT137" s="191"/>
      <c r="MU137" s="191"/>
      <c r="MV137" s="191"/>
      <c r="MW137" s="191"/>
      <c r="MX137" s="191"/>
      <c r="MY137" s="191"/>
      <c r="MZ137" s="191"/>
      <c r="NA137" s="191"/>
      <c r="NB137" s="191"/>
      <c r="NC137" s="191"/>
      <c r="ND137" s="191"/>
      <c r="NE137" s="191"/>
      <c r="NF137" s="191"/>
      <c r="NG137" s="191"/>
      <c r="NH137" s="191"/>
      <c r="NI137" s="191"/>
      <c r="NJ137" s="191"/>
      <c r="NK137" s="191"/>
      <c r="NL137" s="191"/>
      <c r="NM137" s="191"/>
      <c r="NN137" s="191"/>
      <c r="NO137" s="191"/>
      <c r="NP137" s="192"/>
      <c r="NQ137" s="190"/>
      <c r="NR137" s="191"/>
      <c r="NS137" s="191"/>
      <c r="NT137" s="191"/>
      <c r="NU137" s="192"/>
      <c r="OW137" s="12"/>
      <c r="OX137" s="7"/>
      <c r="OY137" s="3"/>
      <c r="OZ137" s="3"/>
      <c r="PA137" s="3"/>
      <c r="PB137" s="3"/>
      <c r="PC137" s="2"/>
      <c r="PQ137" s="3"/>
      <c r="PR137" s="3"/>
      <c r="PS137" s="3"/>
      <c r="PT137" s="3"/>
      <c r="PU137" s="3"/>
      <c r="PV137" s="2"/>
    </row>
    <row r="138" spans="3:438" ht="5.0999999999999996" customHeight="1" x14ac:dyDescent="0.3">
      <c r="C138" s="11"/>
      <c r="D138" s="13"/>
      <c r="Q138" s="190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2"/>
      <c r="BF138" s="190"/>
      <c r="BG138" s="191"/>
      <c r="BH138" s="191"/>
      <c r="BI138" s="191"/>
      <c r="BJ138" s="192"/>
      <c r="FT138" s="215"/>
      <c r="FU138" s="215"/>
      <c r="FV138" s="215"/>
      <c r="FW138" s="215"/>
      <c r="FX138" s="215"/>
      <c r="FY138" s="215"/>
      <c r="FZ138" s="215"/>
      <c r="GA138" s="215"/>
      <c r="GB138" s="215"/>
      <c r="GC138" s="215"/>
      <c r="GD138" s="215"/>
      <c r="GE138" s="215"/>
      <c r="GF138" s="215"/>
      <c r="GG138" s="215"/>
      <c r="GH138" s="215"/>
      <c r="GI138" s="215"/>
      <c r="GJ138" s="215"/>
      <c r="GK138" s="215"/>
      <c r="GL138" s="215"/>
      <c r="GM138" s="215"/>
      <c r="GN138" s="215"/>
      <c r="GO138" s="215"/>
      <c r="GP138" s="215"/>
      <c r="GQ138" s="215"/>
      <c r="GR138" s="215"/>
      <c r="GS138" s="215"/>
      <c r="GT138" s="215"/>
      <c r="GU138" s="215"/>
      <c r="GV138" s="215"/>
      <c r="GW138" s="215"/>
      <c r="GX138" s="215"/>
      <c r="GY138" s="215"/>
      <c r="GZ138" s="215"/>
      <c r="HA138" s="215"/>
      <c r="HB138" s="215"/>
      <c r="HC138" s="215"/>
      <c r="HD138" s="215"/>
      <c r="HE138" s="215"/>
      <c r="HF138" s="215"/>
      <c r="HG138" s="215"/>
      <c r="HH138" s="215"/>
      <c r="HI138" s="215"/>
      <c r="HJ138" s="215"/>
      <c r="HK138" s="215"/>
      <c r="LM138" s="19"/>
      <c r="LU138" s="155"/>
      <c r="LY138" s="16"/>
      <c r="MW138" s="152"/>
      <c r="OW138" s="12"/>
      <c r="OX138" s="7"/>
      <c r="OY138" s="3"/>
      <c r="OZ138" s="3"/>
      <c r="PA138" s="3"/>
      <c r="PB138" s="3"/>
      <c r="PC138" s="2"/>
      <c r="PQ138" s="3"/>
      <c r="PR138" s="3"/>
      <c r="PS138" s="3"/>
      <c r="PT138" s="3"/>
      <c r="PU138" s="3"/>
      <c r="PV138" s="2"/>
    </row>
    <row r="139" spans="3:438" ht="5.0999999999999996" customHeight="1" x14ac:dyDescent="0.3">
      <c r="C139" s="11"/>
      <c r="D139" s="13"/>
      <c r="AN139" s="16"/>
      <c r="GQ139" s="17"/>
      <c r="JS139" s="195" t="s">
        <v>8</v>
      </c>
      <c r="JT139" s="196"/>
      <c r="JU139" s="196"/>
      <c r="JV139" s="196"/>
      <c r="JW139" s="196"/>
      <c r="JX139" s="196"/>
      <c r="JY139" s="196"/>
      <c r="JZ139" s="196"/>
      <c r="KA139" s="196"/>
      <c r="KB139" s="196"/>
      <c r="KC139" s="196"/>
      <c r="KD139" s="196"/>
      <c r="KE139" s="196"/>
      <c r="KF139" s="196"/>
      <c r="KG139" s="196"/>
      <c r="KH139" s="196"/>
      <c r="KI139" s="196"/>
      <c r="KJ139" s="196"/>
      <c r="KK139" s="196"/>
      <c r="KL139" s="196"/>
      <c r="KM139" s="196"/>
      <c r="KN139" s="196"/>
      <c r="KO139" s="196"/>
      <c r="KP139" s="196"/>
      <c r="KQ139" s="196"/>
      <c r="KR139" s="196"/>
      <c r="KS139" s="196"/>
      <c r="KT139" s="196"/>
      <c r="KU139" s="196"/>
      <c r="KV139" s="196"/>
      <c r="KW139" s="196"/>
      <c r="KX139" s="196"/>
      <c r="KY139" s="196"/>
      <c r="KZ139" s="196"/>
      <c r="LA139" s="196"/>
      <c r="LB139" s="196"/>
      <c r="LC139" s="196"/>
      <c r="LD139" s="196"/>
      <c r="LE139" s="196"/>
      <c r="LF139" s="197"/>
      <c r="LG139" s="204">
        <f>LG149</f>
        <v>32</v>
      </c>
      <c r="LH139" s="204"/>
      <c r="LI139" s="204"/>
      <c r="LJ139" s="204"/>
      <c r="LK139" s="204"/>
      <c r="LL139" s="204"/>
      <c r="LM139" s="19"/>
      <c r="LU139" s="155"/>
      <c r="LY139" s="16"/>
      <c r="MB139" s="184" t="s">
        <v>46</v>
      </c>
      <c r="MC139" s="185"/>
      <c r="MD139" s="185"/>
      <c r="ME139" s="185"/>
      <c r="MF139" s="185"/>
      <c r="MG139" s="185"/>
      <c r="MH139" s="185"/>
      <c r="MI139" s="185"/>
      <c r="MJ139" s="185"/>
      <c r="MK139" s="185"/>
      <c r="ML139" s="185"/>
      <c r="MM139" s="185"/>
      <c r="MN139" s="185"/>
      <c r="MO139" s="185"/>
      <c r="MP139" s="185"/>
      <c r="MQ139" s="185"/>
      <c r="MR139" s="185"/>
      <c r="MS139" s="185"/>
      <c r="MT139" s="185"/>
      <c r="MU139" s="185"/>
      <c r="MV139" s="185"/>
      <c r="MW139" s="185"/>
      <c r="MX139" s="185"/>
      <c r="MY139" s="185"/>
      <c r="MZ139" s="185"/>
      <c r="NA139" s="185"/>
      <c r="NB139" s="185"/>
      <c r="NC139" s="185"/>
      <c r="ND139" s="185"/>
      <c r="NE139" s="185"/>
      <c r="NF139" s="185"/>
      <c r="NG139" s="185"/>
      <c r="NH139" s="185"/>
      <c r="NI139" s="185"/>
      <c r="NJ139" s="185"/>
      <c r="NK139" s="185"/>
      <c r="NL139" s="185"/>
      <c r="NM139" s="185"/>
      <c r="NN139" s="185"/>
      <c r="NO139" s="185"/>
      <c r="NP139" s="186"/>
      <c r="NQ139" s="184">
        <v>1</v>
      </c>
      <c r="NR139" s="185"/>
      <c r="NS139" s="185"/>
      <c r="NT139" s="185"/>
      <c r="NU139" s="186"/>
      <c r="OW139" s="12"/>
      <c r="OX139" s="7"/>
      <c r="OY139" s="3"/>
      <c r="OZ139" s="3"/>
      <c r="PA139" s="3"/>
      <c r="PB139" s="3"/>
      <c r="PC139" s="2"/>
      <c r="PQ139" s="3"/>
      <c r="PR139" s="3"/>
      <c r="PS139" s="3"/>
      <c r="PT139" s="3"/>
      <c r="PU139" s="3"/>
      <c r="PV139" s="2"/>
    </row>
    <row r="140" spans="3:438" ht="5.0999999999999996" customHeight="1" x14ac:dyDescent="0.3">
      <c r="C140" s="11"/>
      <c r="D140" s="13"/>
      <c r="AN140" s="15"/>
      <c r="AO140" s="9"/>
      <c r="GQ140" s="16"/>
      <c r="JS140" s="198"/>
      <c r="JT140" s="199"/>
      <c r="JU140" s="199"/>
      <c r="JV140" s="199"/>
      <c r="JW140" s="199"/>
      <c r="JX140" s="199"/>
      <c r="JY140" s="199"/>
      <c r="JZ140" s="199"/>
      <c r="KA140" s="199"/>
      <c r="KB140" s="199"/>
      <c r="KC140" s="199"/>
      <c r="KD140" s="199"/>
      <c r="KE140" s="199"/>
      <c r="KF140" s="199"/>
      <c r="KG140" s="199"/>
      <c r="KH140" s="199"/>
      <c r="KI140" s="199"/>
      <c r="KJ140" s="199"/>
      <c r="KK140" s="199"/>
      <c r="KL140" s="199"/>
      <c r="KM140" s="199"/>
      <c r="KN140" s="199"/>
      <c r="KO140" s="199"/>
      <c r="KP140" s="199"/>
      <c r="KQ140" s="199"/>
      <c r="KR140" s="199"/>
      <c r="KS140" s="199"/>
      <c r="KT140" s="199"/>
      <c r="KU140" s="199"/>
      <c r="KV140" s="199"/>
      <c r="KW140" s="199"/>
      <c r="KX140" s="199"/>
      <c r="KY140" s="199"/>
      <c r="KZ140" s="199"/>
      <c r="LA140" s="199"/>
      <c r="LB140" s="199"/>
      <c r="LC140" s="199"/>
      <c r="LD140" s="199"/>
      <c r="LE140" s="199"/>
      <c r="LF140" s="200"/>
      <c r="LG140" s="204"/>
      <c r="LH140" s="204"/>
      <c r="LI140" s="204"/>
      <c r="LJ140" s="204"/>
      <c r="LK140" s="204"/>
      <c r="LL140" s="204"/>
      <c r="LM140" s="19"/>
      <c r="LU140" s="155"/>
      <c r="LY140" s="16"/>
      <c r="MB140" s="187"/>
      <c r="MC140" s="188"/>
      <c r="MD140" s="188"/>
      <c r="ME140" s="188"/>
      <c r="MF140" s="188"/>
      <c r="MG140" s="188"/>
      <c r="MH140" s="188"/>
      <c r="MI140" s="188"/>
      <c r="MJ140" s="188"/>
      <c r="MK140" s="188"/>
      <c r="ML140" s="188"/>
      <c r="MM140" s="188"/>
      <c r="MN140" s="188"/>
      <c r="MO140" s="188"/>
      <c r="MP140" s="188"/>
      <c r="MQ140" s="188"/>
      <c r="MR140" s="188"/>
      <c r="MS140" s="188"/>
      <c r="MT140" s="188"/>
      <c r="MU140" s="188"/>
      <c r="MV140" s="188"/>
      <c r="MW140" s="188"/>
      <c r="MX140" s="188"/>
      <c r="MY140" s="188"/>
      <c r="MZ140" s="188"/>
      <c r="NA140" s="188"/>
      <c r="NB140" s="188"/>
      <c r="NC140" s="188"/>
      <c r="ND140" s="188"/>
      <c r="NE140" s="188"/>
      <c r="NF140" s="188"/>
      <c r="NG140" s="188"/>
      <c r="NH140" s="188"/>
      <c r="NI140" s="188"/>
      <c r="NJ140" s="188"/>
      <c r="NK140" s="188"/>
      <c r="NL140" s="188"/>
      <c r="NM140" s="188"/>
      <c r="NN140" s="188"/>
      <c r="NO140" s="188"/>
      <c r="NP140" s="189"/>
      <c r="NQ140" s="187"/>
      <c r="NR140" s="188"/>
      <c r="NS140" s="188"/>
      <c r="NT140" s="188"/>
      <c r="NU140" s="189"/>
      <c r="OW140" s="12"/>
      <c r="OX140" s="7"/>
      <c r="OY140" s="3"/>
      <c r="OZ140" s="3"/>
      <c r="PA140" s="3"/>
      <c r="PB140" s="3"/>
      <c r="PC140" s="2"/>
      <c r="PQ140" s="3"/>
      <c r="PR140" s="3"/>
      <c r="PS140" s="3"/>
      <c r="PT140" s="3"/>
      <c r="PU140" s="3"/>
      <c r="PV140" s="2"/>
    </row>
    <row r="141" spans="3:438" ht="5.0999999999999996" customHeight="1" x14ac:dyDescent="0.3">
      <c r="C141" s="11"/>
      <c r="D141" s="13"/>
      <c r="Q141" s="184" t="s">
        <v>46</v>
      </c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6"/>
      <c r="BF141" s="184">
        <v>1</v>
      </c>
      <c r="BG141" s="185"/>
      <c r="BH141" s="185"/>
      <c r="BI141" s="185"/>
      <c r="BJ141" s="186"/>
      <c r="GQ141" s="16"/>
      <c r="JS141" s="198"/>
      <c r="JT141" s="199"/>
      <c r="JU141" s="199"/>
      <c r="JV141" s="199"/>
      <c r="JW141" s="199"/>
      <c r="JX141" s="199"/>
      <c r="JY141" s="199"/>
      <c r="JZ141" s="199"/>
      <c r="KA141" s="199"/>
      <c r="KB141" s="199"/>
      <c r="KC141" s="199"/>
      <c r="KD141" s="199"/>
      <c r="KE141" s="199"/>
      <c r="KF141" s="199"/>
      <c r="KG141" s="199"/>
      <c r="KH141" s="199"/>
      <c r="KI141" s="199"/>
      <c r="KJ141" s="199"/>
      <c r="KK141" s="199"/>
      <c r="KL141" s="199"/>
      <c r="KM141" s="199"/>
      <c r="KN141" s="199"/>
      <c r="KO141" s="199"/>
      <c r="KP141" s="199"/>
      <c r="KQ141" s="199"/>
      <c r="KR141" s="199"/>
      <c r="KS141" s="199"/>
      <c r="KT141" s="199"/>
      <c r="KU141" s="199"/>
      <c r="KV141" s="199"/>
      <c r="KW141" s="199"/>
      <c r="KX141" s="199"/>
      <c r="KY141" s="199"/>
      <c r="KZ141" s="199"/>
      <c r="LA141" s="199"/>
      <c r="LB141" s="199"/>
      <c r="LC141" s="199"/>
      <c r="LD141" s="199"/>
      <c r="LE141" s="199"/>
      <c r="LF141" s="200"/>
      <c r="LG141" s="204"/>
      <c r="LH141" s="204"/>
      <c r="LI141" s="204"/>
      <c r="LJ141" s="204"/>
      <c r="LK141" s="204"/>
      <c r="LL141" s="204"/>
      <c r="LM141" s="19"/>
      <c r="LU141" s="155"/>
      <c r="LY141" s="16"/>
      <c r="MB141" s="187"/>
      <c r="MC141" s="188"/>
      <c r="MD141" s="188"/>
      <c r="ME141" s="188"/>
      <c r="MF141" s="188"/>
      <c r="MG141" s="188"/>
      <c r="MH141" s="188"/>
      <c r="MI141" s="188"/>
      <c r="MJ141" s="188"/>
      <c r="MK141" s="188"/>
      <c r="ML141" s="188"/>
      <c r="MM141" s="188"/>
      <c r="MN141" s="188"/>
      <c r="MO141" s="188"/>
      <c r="MP141" s="188"/>
      <c r="MQ141" s="188"/>
      <c r="MR141" s="188"/>
      <c r="MS141" s="188"/>
      <c r="MT141" s="188"/>
      <c r="MU141" s="188"/>
      <c r="MV141" s="188"/>
      <c r="MW141" s="188"/>
      <c r="MX141" s="188"/>
      <c r="MY141" s="188"/>
      <c r="MZ141" s="188"/>
      <c r="NA141" s="188"/>
      <c r="NB141" s="188"/>
      <c r="NC141" s="188"/>
      <c r="ND141" s="188"/>
      <c r="NE141" s="188"/>
      <c r="NF141" s="188"/>
      <c r="NG141" s="188"/>
      <c r="NH141" s="188"/>
      <c r="NI141" s="188"/>
      <c r="NJ141" s="188"/>
      <c r="NK141" s="188"/>
      <c r="NL141" s="188"/>
      <c r="NM141" s="188"/>
      <c r="NN141" s="188"/>
      <c r="NO141" s="188"/>
      <c r="NP141" s="189"/>
      <c r="NQ141" s="187"/>
      <c r="NR141" s="188"/>
      <c r="NS141" s="188"/>
      <c r="NT141" s="188"/>
      <c r="NU141" s="189"/>
      <c r="OW141" s="12"/>
      <c r="OX141" s="7"/>
      <c r="OY141" s="3"/>
      <c r="OZ141" s="3"/>
      <c r="PA141" s="3"/>
      <c r="PB141" s="3"/>
      <c r="PC141" s="2"/>
      <c r="PQ141" s="3"/>
      <c r="PR141" s="3"/>
      <c r="PS141" s="3"/>
      <c r="PT141" s="3"/>
      <c r="PU141" s="3"/>
      <c r="PV141" s="2"/>
    </row>
    <row r="142" spans="3:438" ht="5.0999999999999996" customHeight="1" x14ac:dyDescent="0.3">
      <c r="C142" s="11"/>
      <c r="D142" s="13"/>
      <c r="Q142" s="187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9"/>
      <c r="BF142" s="187"/>
      <c r="BG142" s="188"/>
      <c r="BH142" s="188"/>
      <c r="BI142" s="188"/>
      <c r="BJ142" s="189"/>
      <c r="GQ142" s="16"/>
      <c r="HO142" s="49"/>
      <c r="HP142" s="49"/>
      <c r="HQ142" s="49"/>
      <c r="JS142" s="198"/>
      <c r="JT142" s="199"/>
      <c r="JU142" s="199"/>
      <c r="JV142" s="199"/>
      <c r="JW142" s="199"/>
      <c r="JX142" s="199"/>
      <c r="JY142" s="199"/>
      <c r="JZ142" s="199"/>
      <c r="KA142" s="199"/>
      <c r="KB142" s="199"/>
      <c r="KC142" s="199"/>
      <c r="KD142" s="199"/>
      <c r="KE142" s="199"/>
      <c r="KF142" s="199"/>
      <c r="KG142" s="199"/>
      <c r="KH142" s="199"/>
      <c r="KI142" s="199"/>
      <c r="KJ142" s="199"/>
      <c r="KK142" s="199"/>
      <c r="KL142" s="199"/>
      <c r="KM142" s="199"/>
      <c r="KN142" s="199"/>
      <c r="KO142" s="199"/>
      <c r="KP142" s="199"/>
      <c r="KQ142" s="199"/>
      <c r="KR142" s="199"/>
      <c r="KS142" s="199"/>
      <c r="KT142" s="199"/>
      <c r="KU142" s="199"/>
      <c r="KV142" s="199"/>
      <c r="KW142" s="199"/>
      <c r="KX142" s="199"/>
      <c r="KY142" s="199"/>
      <c r="KZ142" s="199"/>
      <c r="LA142" s="199"/>
      <c r="LB142" s="199"/>
      <c r="LC142" s="199"/>
      <c r="LD142" s="199"/>
      <c r="LE142" s="199"/>
      <c r="LF142" s="200"/>
      <c r="LG142" s="204"/>
      <c r="LH142" s="204"/>
      <c r="LI142" s="204"/>
      <c r="LJ142" s="204"/>
      <c r="LK142" s="204"/>
      <c r="LL142" s="204"/>
      <c r="LM142" s="19"/>
      <c r="LU142" s="155"/>
      <c r="LY142" s="16"/>
      <c r="MB142" s="187"/>
      <c r="MC142" s="188"/>
      <c r="MD142" s="188"/>
      <c r="ME142" s="188"/>
      <c r="MF142" s="188"/>
      <c r="MG142" s="188"/>
      <c r="MH142" s="188"/>
      <c r="MI142" s="188"/>
      <c r="MJ142" s="188"/>
      <c r="MK142" s="188"/>
      <c r="ML142" s="188"/>
      <c r="MM142" s="188"/>
      <c r="MN142" s="188"/>
      <c r="MO142" s="188"/>
      <c r="MP142" s="188"/>
      <c r="MQ142" s="188"/>
      <c r="MR142" s="188"/>
      <c r="MS142" s="188"/>
      <c r="MT142" s="188"/>
      <c r="MU142" s="188"/>
      <c r="MV142" s="188"/>
      <c r="MW142" s="188"/>
      <c r="MX142" s="188"/>
      <c r="MY142" s="188"/>
      <c r="MZ142" s="188"/>
      <c r="NA142" s="188"/>
      <c r="NB142" s="188"/>
      <c r="NC142" s="188"/>
      <c r="ND142" s="188"/>
      <c r="NE142" s="188"/>
      <c r="NF142" s="188"/>
      <c r="NG142" s="188"/>
      <c r="NH142" s="188"/>
      <c r="NI142" s="188"/>
      <c r="NJ142" s="188"/>
      <c r="NK142" s="188"/>
      <c r="NL142" s="188"/>
      <c r="NM142" s="188"/>
      <c r="NN142" s="188"/>
      <c r="NO142" s="188"/>
      <c r="NP142" s="189"/>
      <c r="NQ142" s="187"/>
      <c r="NR142" s="188"/>
      <c r="NS142" s="188"/>
      <c r="NT142" s="188"/>
      <c r="NU142" s="189"/>
      <c r="OW142" s="12"/>
      <c r="OX142" s="7"/>
      <c r="OY142" s="3"/>
      <c r="OZ142" s="3"/>
      <c r="PA142" s="3"/>
      <c r="PB142" s="3"/>
      <c r="PC142" s="2"/>
      <c r="PQ142" s="3"/>
      <c r="PR142" s="3"/>
      <c r="PS142" s="3"/>
      <c r="PT142" s="3"/>
      <c r="PU142" s="3"/>
      <c r="PV142" s="2"/>
    </row>
    <row r="143" spans="3:438" ht="5.0999999999999996" customHeight="1" x14ac:dyDescent="0.3">
      <c r="C143" s="11"/>
      <c r="D143" s="13"/>
      <c r="Q143" s="187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9"/>
      <c r="BF143" s="187"/>
      <c r="BG143" s="188"/>
      <c r="BH143" s="188"/>
      <c r="BI143" s="188"/>
      <c r="BJ143" s="189"/>
      <c r="GQ143" s="16"/>
      <c r="HP143" s="49"/>
      <c r="HQ143" s="49"/>
      <c r="HR143" s="49"/>
      <c r="JD143" s="49"/>
      <c r="JS143" s="198"/>
      <c r="JT143" s="199"/>
      <c r="JU143" s="199"/>
      <c r="JV143" s="199"/>
      <c r="JW143" s="199"/>
      <c r="JX143" s="199"/>
      <c r="JY143" s="199"/>
      <c r="JZ143" s="199"/>
      <c r="KA143" s="199"/>
      <c r="KB143" s="199"/>
      <c r="KC143" s="199"/>
      <c r="KD143" s="199"/>
      <c r="KE143" s="199"/>
      <c r="KF143" s="199"/>
      <c r="KG143" s="199"/>
      <c r="KH143" s="199"/>
      <c r="KI143" s="199"/>
      <c r="KJ143" s="199"/>
      <c r="KK143" s="199"/>
      <c r="KL143" s="199"/>
      <c r="KM143" s="199"/>
      <c r="KN143" s="199"/>
      <c r="KO143" s="199"/>
      <c r="KP143" s="199"/>
      <c r="KQ143" s="199"/>
      <c r="KR143" s="199"/>
      <c r="KS143" s="199"/>
      <c r="KT143" s="199"/>
      <c r="KU143" s="199"/>
      <c r="KV143" s="199"/>
      <c r="KW143" s="199"/>
      <c r="KX143" s="199"/>
      <c r="KY143" s="199"/>
      <c r="KZ143" s="199"/>
      <c r="LA143" s="199"/>
      <c r="LB143" s="199"/>
      <c r="LC143" s="199"/>
      <c r="LD143" s="199"/>
      <c r="LE143" s="199"/>
      <c r="LF143" s="200"/>
      <c r="LG143" s="204"/>
      <c r="LH143" s="204"/>
      <c r="LI143" s="204"/>
      <c r="LJ143" s="204"/>
      <c r="LK143" s="204"/>
      <c r="LL143" s="204"/>
      <c r="LM143" s="19"/>
      <c r="LU143" s="155"/>
      <c r="LY143" s="16"/>
      <c r="MB143" s="187"/>
      <c r="MC143" s="188"/>
      <c r="MD143" s="188"/>
      <c r="ME143" s="188"/>
      <c r="MF143" s="188"/>
      <c r="MG143" s="188"/>
      <c r="MH143" s="188"/>
      <c r="MI143" s="188"/>
      <c r="MJ143" s="188"/>
      <c r="MK143" s="188"/>
      <c r="ML143" s="188"/>
      <c r="MM143" s="188"/>
      <c r="MN143" s="188"/>
      <c r="MO143" s="188"/>
      <c r="MP143" s="188"/>
      <c r="MQ143" s="188"/>
      <c r="MR143" s="188"/>
      <c r="MS143" s="188"/>
      <c r="MT143" s="188"/>
      <c r="MU143" s="188"/>
      <c r="MV143" s="188"/>
      <c r="MW143" s="188"/>
      <c r="MX143" s="188"/>
      <c r="MY143" s="188"/>
      <c r="MZ143" s="188"/>
      <c r="NA143" s="188"/>
      <c r="NB143" s="188"/>
      <c r="NC143" s="188"/>
      <c r="ND143" s="188"/>
      <c r="NE143" s="188"/>
      <c r="NF143" s="188"/>
      <c r="NG143" s="188"/>
      <c r="NH143" s="188"/>
      <c r="NI143" s="188"/>
      <c r="NJ143" s="188"/>
      <c r="NK143" s="188"/>
      <c r="NL143" s="188"/>
      <c r="NM143" s="188"/>
      <c r="NN143" s="188"/>
      <c r="NO143" s="188"/>
      <c r="NP143" s="189"/>
      <c r="NQ143" s="187"/>
      <c r="NR143" s="188"/>
      <c r="NS143" s="188"/>
      <c r="NT143" s="188"/>
      <c r="NU143" s="189"/>
      <c r="OW143" s="12"/>
      <c r="OX143" s="7"/>
      <c r="OY143" s="3"/>
      <c r="OZ143" s="3"/>
      <c r="PA143" s="3"/>
      <c r="PB143" s="3"/>
      <c r="PC143" s="2"/>
      <c r="PQ143" s="3"/>
      <c r="PR143" s="3"/>
      <c r="PS143" s="3"/>
      <c r="PT143" s="3"/>
      <c r="PU143" s="3"/>
      <c r="PV143" s="2"/>
    </row>
    <row r="144" spans="3:438" ht="5.0999999999999996" customHeight="1" thickBot="1" x14ac:dyDescent="0.35">
      <c r="C144" s="11"/>
      <c r="D144" s="13"/>
      <c r="Q144" s="187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9"/>
      <c r="BF144" s="187"/>
      <c r="BG144" s="188"/>
      <c r="BH144" s="188"/>
      <c r="BI144" s="188"/>
      <c r="BJ144" s="189"/>
      <c r="GQ144" s="23"/>
      <c r="HP144" s="49"/>
      <c r="HQ144" s="49"/>
      <c r="HR144" s="49"/>
      <c r="JS144" s="198"/>
      <c r="JT144" s="199"/>
      <c r="JU144" s="199"/>
      <c r="JV144" s="199"/>
      <c r="JW144" s="199"/>
      <c r="JX144" s="199"/>
      <c r="JY144" s="199"/>
      <c r="JZ144" s="199"/>
      <c r="KA144" s="199"/>
      <c r="KB144" s="199"/>
      <c r="KC144" s="199"/>
      <c r="KD144" s="199"/>
      <c r="KE144" s="199"/>
      <c r="KF144" s="199"/>
      <c r="KG144" s="199"/>
      <c r="KH144" s="199"/>
      <c r="KI144" s="199"/>
      <c r="KJ144" s="199"/>
      <c r="KK144" s="199"/>
      <c r="KL144" s="199"/>
      <c r="KM144" s="199"/>
      <c r="KN144" s="199"/>
      <c r="KO144" s="199"/>
      <c r="KP144" s="199"/>
      <c r="KQ144" s="199"/>
      <c r="KR144" s="199"/>
      <c r="KS144" s="199"/>
      <c r="KT144" s="199"/>
      <c r="KU144" s="199"/>
      <c r="KV144" s="199"/>
      <c r="KW144" s="199"/>
      <c r="KX144" s="199"/>
      <c r="KY144" s="199"/>
      <c r="KZ144" s="199"/>
      <c r="LA144" s="199"/>
      <c r="LB144" s="199"/>
      <c r="LC144" s="199"/>
      <c r="LD144" s="199"/>
      <c r="LE144" s="199"/>
      <c r="LF144" s="200"/>
      <c r="LG144" s="204"/>
      <c r="LH144" s="204"/>
      <c r="LI144" s="204"/>
      <c r="LJ144" s="204"/>
      <c r="LK144" s="204"/>
      <c r="LL144" s="204"/>
      <c r="LM144" s="19"/>
      <c r="LU144" s="155"/>
      <c r="LY144" s="16"/>
      <c r="MB144" s="187"/>
      <c r="MC144" s="188"/>
      <c r="MD144" s="188"/>
      <c r="ME144" s="188"/>
      <c r="MF144" s="188"/>
      <c r="MG144" s="188"/>
      <c r="MH144" s="188"/>
      <c r="MI144" s="188"/>
      <c r="MJ144" s="188"/>
      <c r="MK144" s="188"/>
      <c r="ML144" s="188"/>
      <c r="MM144" s="188"/>
      <c r="MN144" s="188"/>
      <c r="MO144" s="188"/>
      <c r="MP144" s="188"/>
      <c r="MQ144" s="188"/>
      <c r="MR144" s="188"/>
      <c r="MS144" s="188"/>
      <c r="MT144" s="188"/>
      <c r="MU144" s="188"/>
      <c r="MV144" s="188"/>
      <c r="MW144" s="188"/>
      <c r="MX144" s="188"/>
      <c r="MY144" s="188"/>
      <c r="MZ144" s="188"/>
      <c r="NA144" s="188"/>
      <c r="NB144" s="188"/>
      <c r="NC144" s="188"/>
      <c r="ND144" s="188"/>
      <c r="NE144" s="188"/>
      <c r="NF144" s="188"/>
      <c r="NG144" s="188"/>
      <c r="NH144" s="188"/>
      <c r="NI144" s="188"/>
      <c r="NJ144" s="188"/>
      <c r="NK144" s="188"/>
      <c r="NL144" s="188"/>
      <c r="NM144" s="188"/>
      <c r="NN144" s="188"/>
      <c r="NO144" s="188"/>
      <c r="NP144" s="189"/>
      <c r="NQ144" s="187"/>
      <c r="NR144" s="188"/>
      <c r="NS144" s="188"/>
      <c r="NT144" s="188"/>
      <c r="NU144" s="189"/>
      <c r="OW144" s="12"/>
      <c r="OX144" s="7"/>
      <c r="OY144" s="3"/>
      <c r="OZ144" s="3"/>
      <c r="PA144" s="3"/>
      <c r="PB144" s="3"/>
      <c r="PC144" s="2"/>
      <c r="PQ144" s="3"/>
      <c r="PR144" s="3"/>
      <c r="PS144" s="3"/>
      <c r="PT144" s="3"/>
      <c r="PU144" s="3"/>
      <c r="PV144" s="2"/>
    </row>
    <row r="145" spans="3:438" ht="5.0999999999999996" customHeight="1" x14ac:dyDescent="0.3">
      <c r="C145" s="11"/>
      <c r="D145" s="13"/>
      <c r="Q145" s="187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9"/>
      <c r="BF145" s="187"/>
      <c r="BG145" s="188"/>
      <c r="BH145" s="188"/>
      <c r="BI145" s="188"/>
      <c r="BJ145" s="189"/>
      <c r="EQ145" s="22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0"/>
      <c r="GQ145" s="22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0"/>
      <c r="IN145" s="49"/>
      <c r="IO145" s="49"/>
      <c r="IP145" s="49"/>
      <c r="JS145" s="198"/>
      <c r="JT145" s="199"/>
      <c r="JU145" s="199"/>
      <c r="JV145" s="199"/>
      <c r="JW145" s="199"/>
      <c r="JX145" s="199"/>
      <c r="JY145" s="199"/>
      <c r="JZ145" s="199"/>
      <c r="KA145" s="199"/>
      <c r="KB145" s="199"/>
      <c r="KC145" s="199"/>
      <c r="KD145" s="199"/>
      <c r="KE145" s="199"/>
      <c r="KF145" s="199"/>
      <c r="KG145" s="199"/>
      <c r="KH145" s="199"/>
      <c r="KI145" s="199"/>
      <c r="KJ145" s="199"/>
      <c r="KK145" s="199"/>
      <c r="KL145" s="199"/>
      <c r="KM145" s="199"/>
      <c r="KN145" s="199"/>
      <c r="KO145" s="199"/>
      <c r="KP145" s="199"/>
      <c r="KQ145" s="199"/>
      <c r="KR145" s="199"/>
      <c r="KS145" s="199"/>
      <c r="KT145" s="199"/>
      <c r="KU145" s="199"/>
      <c r="KV145" s="199"/>
      <c r="KW145" s="199"/>
      <c r="KX145" s="199"/>
      <c r="KY145" s="199"/>
      <c r="KZ145" s="199"/>
      <c r="LA145" s="199"/>
      <c r="LB145" s="199"/>
      <c r="LC145" s="199"/>
      <c r="LD145" s="199"/>
      <c r="LE145" s="199"/>
      <c r="LF145" s="200"/>
      <c r="LG145" s="204"/>
      <c r="LH145" s="204"/>
      <c r="LI145" s="204"/>
      <c r="LJ145" s="204"/>
      <c r="LK145" s="204"/>
      <c r="LL145" s="204"/>
      <c r="LM145" s="19"/>
      <c r="LU145" s="155"/>
      <c r="LY145" s="16"/>
      <c r="MB145" s="187"/>
      <c r="MC145" s="188"/>
      <c r="MD145" s="188"/>
      <c r="ME145" s="188"/>
      <c r="MF145" s="188"/>
      <c r="MG145" s="188"/>
      <c r="MH145" s="188"/>
      <c r="MI145" s="188"/>
      <c r="MJ145" s="188"/>
      <c r="MK145" s="188"/>
      <c r="ML145" s="188"/>
      <c r="MM145" s="188"/>
      <c r="MN145" s="188"/>
      <c r="MO145" s="188"/>
      <c r="MP145" s="188"/>
      <c r="MQ145" s="188"/>
      <c r="MR145" s="188"/>
      <c r="MS145" s="188"/>
      <c r="MT145" s="188"/>
      <c r="MU145" s="188"/>
      <c r="MV145" s="188"/>
      <c r="MW145" s="188"/>
      <c r="MX145" s="188"/>
      <c r="MY145" s="188"/>
      <c r="MZ145" s="188"/>
      <c r="NA145" s="188"/>
      <c r="NB145" s="188"/>
      <c r="NC145" s="188"/>
      <c r="ND145" s="188"/>
      <c r="NE145" s="188"/>
      <c r="NF145" s="188"/>
      <c r="NG145" s="188"/>
      <c r="NH145" s="188"/>
      <c r="NI145" s="188"/>
      <c r="NJ145" s="188"/>
      <c r="NK145" s="188"/>
      <c r="NL145" s="188"/>
      <c r="NM145" s="188"/>
      <c r="NN145" s="188"/>
      <c r="NO145" s="188"/>
      <c r="NP145" s="189"/>
      <c r="NQ145" s="187"/>
      <c r="NR145" s="188"/>
      <c r="NS145" s="188"/>
      <c r="NT145" s="188"/>
      <c r="NU145" s="189"/>
      <c r="OW145" s="12"/>
      <c r="OX145" s="7"/>
      <c r="OY145" s="3"/>
      <c r="OZ145" s="3"/>
      <c r="PA145" s="3"/>
      <c r="PB145" s="3"/>
      <c r="PC145" s="2"/>
      <c r="PQ145" s="3"/>
      <c r="PR145" s="3"/>
      <c r="PS145" s="3"/>
      <c r="PT145" s="3"/>
      <c r="PU145" s="3"/>
      <c r="PV145" s="2"/>
    </row>
    <row r="146" spans="3:438" ht="5.0999999999999996" customHeight="1" x14ac:dyDescent="0.3">
      <c r="C146" s="11"/>
      <c r="D146" s="13"/>
      <c r="Q146" s="187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E146" s="189"/>
      <c r="BF146" s="187"/>
      <c r="BG146" s="188"/>
      <c r="BH146" s="188"/>
      <c r="BI146" s="188"/>
      <c r="BJ146" s="189"/>
      <c r="EQ146" s="16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19"/>
      <c r="GQ146" s="15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50"/>
      <c r="IN146" s="9"/>
      <c r="JS146" s="198"/>
      <c r="JT146" s="199"/>
      <c r="JU146" s="199"/>
      <c r="JV146" s="199"/>
      <c r="JW146" s="199"/>
      <c r="JX146" s="199"/>
      <c r="JY146" s="199"/>
      <c r="JZ146" s="199"/>
      <c r="KA146" s="199"/>
      <c r="KB146" s="199"/>
      <c r="KC146" s="199"/>
      <c r="KD146" s="199"/>
      <c r="KE146" s="199"/>
      <c r="KF146" s="199"/>
      <c r="KG146" s="199"/>
      <c r="KH146" s="199"/>
      <c r="KI146" s="199"/>
      <c r="KJ146" s="199"/>
      <c r="KK146" s="199"/>
      <c r="KL146" s="199"/>
      <c r="KM146" s="199"/>
      <c r="KN146" s="199"/>
      <c r="KO146" s="199"/>
      <c r="KP146" s="199"/>
      <c r="KQ146" s="199"/>
      <c r="KR146" s="199"/>
      <c r="KS146" s="199"/>
      <c r="KT146" s="199"/>
      <c r="KU146" s="199"/>
      <c r="KV146" s="199"/>
      <c r="KW146" s="199"/>
      <c r="KX146" s="199"/>
      <c r="KY146" s="199"/>
      <c r="KZ146" s="199"/>
      <c r="LA146" s="199"/>
      <c r="LB146" s="199"/>
      <c r="LC146" s="199"/>
      <c r="LD146" s="199"/>
      <c r="LE146" s="199"/>
      <c r="LF146" s="200"/>
      <c r="LG146" s="204"/>
      <c r="LH146" s="204"/>
      <c r="LI146" s="204"/>
      <c r="LJ146" s="204"/>
      <c r="LK146" s="204"/>
      <c r="LL146" s="204"/>
      <c r="LM146" s="19"/>
      <c r="LU146" s="155"/>
      <c r="LY146" s="16"/>
      <c r="MB146" s="187"/>
      <c r="MC146" s="188"/>
      <c r="MD146" s="188"/>
      <c r="ME146" s="188"/>
      <c r="MF146" s="188"/>
      <c r="MG146" s="188"/>
      <c r="MH146" s="188"/>
      <c r="MI146" s="188"/>
      <c r="MJ146" s="188"/>
      <c r="MK146" s="188"/>
      <c r="ML146" s="188"/>
      <c r="MM146" s="188"/>
      <c r="MN146" s="188"/>
      <c r="MO146" s="188"/>
      <c r="MP146" s="188"/>
      <c r="MQ146" s="188"/>
      <c r="MR146" s="188"/>
      <c r="MS146" s="188"/>
      <c r="MT146" s="188"/>
      <c r="MU146" s="188"/>
      <c r="MV146" s="188"/>
      <c r="MW146" s="188"/>
      <c r="MX146" s="188"/>
      <c r="MY146" s="188"/>
      <c r="MZ146" s="188"/>
      <c r="NA146" s="188"/>
      <c r="NB146" s="188"/>
      <c r="NC146" s="188"/>
      <c r="ND146" s="188"/>
      <c r="NE146" s="188"/>
      <c r="NF146" s="188"/>
      <c r="NG146" s="188"/>
      <c r="NH146" s="188"/>
      <c r="NI146" s="188"/>
      <c r="NJ146" s="188"/>
      <c r="NK146" s="188"/>
      <c r="NL146" s="188"/>
      <c r="NM146" s="188"/>
      <c r="NN146" s="188"/>
      <c r="NO146" s="188"/>
      <c r="NP146" s="189"/>
      <c r="NQ146" s="187"/>
      <c r="NR146" s="188"/>
      <c r="NS146" s="188"/>
      <c r="NT146" s="188"/>
      <c r="NU146" s="189"/>
      <c r="OW146" s="12"/>
      <c r="OX146" s="7"/>
      <c r="OY146" s="3"/>
      <c r="OZ146" s="3"/>
      <c r="PA146" s="3"/>
      <c r="PB146" s="3"/>
      <c r="PC146" s="2"/>
      <c r="PQ146" s="3"/>
      <c r="PR146" s="3"/>
      <c r="PS146" s="3"/>
      <c r="PT146" s="3"/>
      <c r="PU146" s="3"/>
      <c r="PV146" s="2"/>
    </row>
    <row r="147" spans="3:438" ht="5.0999999999999996" customHeight="1" x14ac:dyDescent="0.3">
      <c r="C147" s="11"/>
      <c r="D147" s="13"/>
      <c r="Q147" s="187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E147" s="189"/>
      <c r="BF147" s="187"/>
      <c r="BG147" s="188"/>
      <c r="BH147" s="188"/>
      <c r="BI147" s="188"/>
      <c r="BJ147" s="189"/>
      <c r="DV147" s="216" t="s">
        <v>7</v>
      </c>
      <c r="DW147" s="217"/>
      <c r="DX147" s="217"/>
      <c r="DY147" s="217"/>
      <c r="DZ147" s="217"/>
      <c r="EA147" s="217"/>
      <c r="EB147" s="217"/>
      <c r="EC147" s="217"/>
      <c r="ED147" s="217"/>
      <c r="EE147" s="217"/>
      <c r="EF147" s="217"/>
      <c r="EG147" s="217"/>
      <c r="EH147" s="217"/>
      <c r="EI147" s="217"/>
      <c r="EJ147" s="217"/>
      <c r="EK147" s="217"/>
      <c r="EL147" s="217"/>
      <c r="EM147" s="217"/>
      <c r="EN147" s="217"/>
      <c r="EO147" s="217"/>
      <c r="EP147" s="217"/>
      <c r="EQ147" s="217"/>
      <c r="ER147" s="217"/>
      <c r="ES147" s="217"/>
      <c r="ET147" s="217"/>
      <c r="EU147" s="217"/>
      <c r="EV147" s="217"/>
      <c r="EW147" s="217"/>
      <c r="EX147" s="217"/>
      <c r="EY147" s="217"/>
      <c r="EZ147" s="217"/>
      <c r="FA147" s="217"/>
      <c r="FB147" s="217"/>
      <c r="FC147" s="217"/>
      <c r="FD147" s="217"/>
      <c r="FE147" s="217"/>
      <c r="FF147" s="217"/>
      <c r="FG147" s="217"/>
      <c r="FH147" s="217"/>
      <c r="FI147" s="218"/>
      <c r="FJ147" s="216">
        <f>SUM(FJ161,FJ173)</f>
        <v>8</v>
      </c>
      <c r="FK147" s="217"/>
      <c r="FL147" s="217"/>
      <c r="FM147" s="217"/>
      <c r="FN147" s="218"/>
      <c r="FT147" s="216" t="s">
        <v>6</v>
      </c>
      <c r="FU147" s="217"/>
      <c r="FV147" s="217"/>
      <c r="FW147" s="217"/>
      <c r="FX147" s="217"/>
      <c r="FY147" s="217"/>
      <c r="FZ147" s="217"/>
      <c r="GA147" s="217"/>
      <c r="GB147" s="217"/>
      <c r="GC147" s="217"/>
      <c r="GD147" s="217"/>
      <c r="GE147" s="217"/>
      <c r="GF147" s="217"/>
      <c r="GG147" s="217"/>
      <c r="GH147" s="217"/>
      <c r="GI147" s="217"/>
      <c r="GJ147" s="217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7"/>
      <c r="GZ147" s="217"/>
      <c r="HA147" s="217"/>
      <c r="HB147" s="217"/>
      <c r="HC147" s="217"/>
      <c r="HD147" s="217"/>
      <c r="HE147" s="217"/>
      <c r="HF147" s="217"/>
      <c r="HG147" s="218"/>
      <c r="HH147" s="216">
        <f>SUM(HH161)</f>
        <v>4</v>
      </c>
      <c r="HI147" s="217"/>
      <c r="HJ147" s="217"/>
      <c r="HK147" s="217"/>
      <c r="HL147" s="218"/>
      <c r="HQ147" s="216" t="s">
        <v>5</v>
      </c>
      <c r="HR147" s="217"/>
      <c r="HS147" s="217"/>
      <c r="HT147" s="217"/>
      <c r="HU147" s="217"/>
      <c r="HV147" s="217"/>
      <c r="HW147" s="217"/>
      <c r="HX147" s="217"/>
      <c r="HY147" s="217"/>
      <c r="HZ147" s="217"/>
      <c r="IA147" s="217"/>
      <c r="IB147" s="217"/>
      <c r="IC147" s="217"/>
      <c r="ID147" s="217"/>
      <c r="IE147" s="217"/>
      <c r="IF147" s="217"/>
      <c r="IG147" s="217"/>
      <c r="IH147" s="217"/>
      <c r="II147" s="217"/>
      <c r="IJ147" s="217"/>
      <c r="IK147" s="217"/>
      <c r="IL147" s="217"/>
      <c r="IM147" s="217"/>
      <c r="IN147" s="217"/>
      <c r="IO147" s="217"/>
      <c r="IP147" s="217"/>
      <c r="IQ147" s="217"/>
      <c r="IR147" s="217"/>
      <c r="IS147" s="217"/>
      <c r="IT147" s="217"/>
      <c r="IU147" s="217"/>
      <c r="IV147" s="217"/>
      <c r="IW147" s="217"/>
      <c r="IX147" s="217"/>
      <c r="IY147" s="217"/>
      <c r="IZ147" s="217"/>
      <c r="JA147" s="217"/>
      <c r="JB147" s="217"/>
      <c r="JC147" s="217"/>
      <c r="JD147" s="218"/>
      <c r="JE147" s="216">
        <f>SUM(JE161:JI190)</f>
        <v>4</v>
      </c>
      <c r="JF147" s="217"/>
      <c r="JG147" s="217"/>
      <c r="JH147" s="217"/>
      <c r="JI147" s="218"/>
      <c r="JS147" s="198"/>
      <c r="JT147" s="199"/>
      <c r="JU147" s="199"/>
      <c r="JV147" s="199"/>
      <c r="JW147" s="199"/>
      <c r="JX147" s="199"/>
      <c r="JY147" s="199"/>
      <c r="JZ147" s="199"/>
      <c r="KA147" s="199"/>
      <c r="KB147" s="199"/>
      <c r="KC147" s="199"/>
      <c r="KD147" s="199"/>
      <c r="KE147" s="199"/>
      <c r="KF147" s="199"/>
      <c r="KG147" s="199"/>
      <c r="KH147" s="199"/>
      <c r="KI147" s="199"/>
      <c r="KJ147" s="199"/>
      <c r="KK147" s="199"/>
      <c r="KL147" s="199"/>
      <c r="KM147" s="199"/>
      <c r="KN147" s="199"/>
      <c r="KO147" s="199"/>
      <c r="KP147" s="199"/>
      <c r="KQ147" s="199"/>
      <c r="KR147" s="199"/>
      <c r="KS147" s="199"/>
      <c r="KT147" s="199"/>
      <c r="KU147" s="199"/>
      <c r="KV147" s="199"/>
      <c r="KW147" s="199"/>
      <c r="KX147" s="199"/>
      <c r="KY147" s="199"/>
      <c r="KZ147" s="199"/>
      <c r="LA147" s="199"/>
      <c r="LB147" s="199"/>
      <c r="LC147" s="199"/>
      <c r="LD147" s="199"/>
      <c r="LE147" s="199"/>
      <c r="LF147" s="200"/>
      <c r="LG147" s="204"/>
      <c r="LH147" s="204"/>
      <c r="LI147" s="204"/>
      <c r="LJ147" s="204"/>
      <c r="LK147" s="204"/>
      <c r="LL147" s="204"/>
      <c r="LM147" s="19"/>
      <c r="LU147" s="155"/>
      <c r="LY147" s="16"/>
      <c r="MB147" s="187"/>
      <c r="MC147" s="188"/>
      <c r="MD147" s="188"/>
      <c r="ME147" s="188"/>
      <c r="MF147" s="188"/>
      <c r="MG147" s="188"/>
      <c r="MH147" s="188"/>
      <c r="MI147" s="188"/>
      <c r="MJ147" s="188"/>
      <c r="MK147" s="188"/>
      <c r="ML147" s="188"/>
      <c r="MM147" s="188"/>
      <c r="MN147" s="188"/>
      <c r="MO147" s="188"/>
      <c r="MP147" s="188"/>
      <c r="MQ147" s="188"/>
      <c r="MR147" s="188"/>
      <c r="MS147" s="188"/>
      <c r="MT147" s="188"/>
      <c r="MU147" s="188"/>
      <c r="MV147" s="188"/>
      <c r="MW147" s="188"/>
      <c r="MX147" s="188"/>
      <c r="MY147" s="188"/>
      <c r="MZ147" s="188"/>
      <c r="NA147" s="188"/>
      <c r="NB147" s="188"/>
      <c r="NC147" s="188"/>
      <c r="ND147" s="188"/>
      <c r="NE147" s="188"/>
      <c r="NF147" s="188"/>
      <c r="NG147" s="188"/>
      <c r="NH147" s="188"/>
      <c r="NI147" s="188"/>
      <c r="NJ147" s="188"/>
      <c r="NK147" s="188"/>
      <c r="NL147" s="188"/>
      <c r="NM147" s="188"/>
      <c r="NN147" s="188"/>
      <c r="NO147" s="188"/>
      <c r="NP147" s="189"/>
      <c r="NQ147" s="187"/>
      <c r="NR147" s="188"/>
      <c r="NS147" s="188"/>
      <c r="NT147" s="188"/>
      <c r="NU147" s="189"/>
      <c r="OW147" s="12"/>
      <c r="OX147" s="7"/>
      <c r="OY147" s="3"/>
      <c r="OZ147" s="3"/>
      <c r="PA147" s="3"/>
      <c r="PB147" s="3"/>
      <c r="PC147" s="2"/>
      <c r="PQ147" s="3"/>
      <c r="PR147" s="3"/>
      <c r="PS147" s="3"/>
      <c r="PT147" s="3"/>
      <c r="PU147" s="3"/>
      <c r="PV147" s="2"/>
    </row>
    <row r="148" spans="3:438" ht="5.0999999999999996" customHeight="1" thickBot="1" x14ac:dyDescent="0.35">
      <c r="C148" s="11"/>
      <c r="D148" s="13"/>
      <c r="Q148" s="187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E148" s="189"/>
      <c r="BF148" s="187"/>
      <c r="BG148" s="188"/>
      <c r="BH148" s="188"/>
      <c r="BI148" s="188"/>
      <c r="BJ148" s="189"/>
      <c r="DV148" s="219"/>
      <c r="DW148" s="220"/>
      <c r="DX148" s="220"/>
      <c r="DY148" s="220"/>
      <c r="DZ148" s="220"/>
      <c r="EA148" s="220"/>
      <c r="EB148" s="220"/>
      <c r="EC148" s="220"/>
      <c r="ED148" s="220"/>
      <c r="EE148" s="220"/>
      <c r="EF148" s="220"/>
      <c r="EG148" s="220"/>
      <c r="EH148" s="220"/>
      <c r="EI148" s="220"/>
      <c r="EJ148" s="220"/>
      <c r="EK148" s="220"/>
      <c r="EL148" s="220"/>
      <c r="EM148" s="220"/>
      <c r="EN148" s="220"/>
      <c r="EO148" s="220"/>
      <c r="EP148" s="220"/>
      <c r="EQ148" s="220"/>
      <c r="ER148" s="220"/>
      <c r="ES148" s="220"/>
      <c r="ET148" s="220"/>
      <c r="EU148" s="220"/>
      <c r="EV148" s="220"/>
      <c r="EW148" s="220"/>
      <c r="EX148" s="220"/>
      <c r="EY148" s="220"/>
      <c r="EZ148" s="220"/>
      <c r="FA148" s="220"/>
      <c r="FB148" s="220"/>
      <c r="FC148" s="220"/>
      <c r="FD148" s="220"/>
      <c r="FE148" s="220"/>
      <c r="FF148" s="220"/>
      <c r="FG148" s="220"/>
      <c r="FH148" s="220"/>
      <c r="FI148" s="221"/>
      <c r="FJ148" s="219"/>
      <c r="FK148" s="220"/>
      <c r="FL148" s="220"/>
      <c r="FM148" s="220"/>
      <c r="FN148" s="221"/>
      <c r="FT148" s="219"/>
      <c r="FU148" s="220"/>
      <c r="FV148" s="220"/>
      <c r="FW148" s="220"/>
      <c r="FX148" s="220"/>
      <c r="FY148" s="220"/>
      <c r="FZ148" s="220"/>
      <c r="GA148" s="220"/>
      <c r="GB148" s="220"/>
      <c r="GC148" s="220"/>
      <c r="GD148" s="220"/>
      <c r="GE148" s="220"/>
      <c r="GF148" s="220"/>
      <c r="GG148" s="220"/>
      <c r="GH148" s="220"/>
      <c r="GI148" s="220"/>
      <c r="GJ148" s="220"/>
      <c r="GK148" s="220"/>
      <c r="GL148" s="220"/>
      <c r="GM148" s="220"/>
      <c r="GN148" s="220"/>
      <c r="GO148" s="220"/>
      <c r="GP148" s="220"/>
      <c r="GQ148" s="220"/>
      <c r="GR148" s="220"/>
      <c r="GS148" s="220"/>
      <c r="GT148" s="220"/>
      <c r="GU148" s="220"/>
      <c r="GV148" s="220"/>
      <c r="GW148" s="220"/>
      <c r="GX148" s="220"/>
      <c r="GY148" s="220"/>
      <c r="GZ148" s="220"/>
      <c r="HA148" s="220"/>
      <c r="HB148" s="220"/>
      <c r="HC148" s="220"/>
      <c r="HD148" s="220"/>
      <c r="HE148" s="220"/>
      <c r="HF148" s="220"/>
      <c r="HG148" s="221"/>
      <c r="HH148" s="219"/>
      <c r="HI148" s="220"/>
      <c r="HJ148" s="220"/>
      <c r="HK148" s="220"/>
      <c r="HL148" s="221"/>
      <c r="HQ148" s="219"/>
      <c r="HR148" s="220"/>
      <c r="HS148" s="220"/>
      <c r="HT148" s="220"/>
      <c r="HU148" s="220"/>
      <c r="HV148" s="220"/>
      <c r="HW148" s="220"/>
      <c r="HX148" s="220"/>
      <c r="HY148" s="220"/>
      <c r="HZ148" s="220"/>
      <c r="IA148" s="220"/>
      <c r="IB148" s="220"/>
      <c r="IC148" s="220"/>
      <c r="ID148" s="220"/>
      <c r="IE148" s="220"/>
      <c r="IF148" s="220"/>
      <c r="IG148" s="220"/>
      <c r="IH148" s="220"/>
      <c r="II148" s="220"/>
      <c r="IJ148" s="220"/>
      <c r="IK148" s="220"/>
      <c r="IL148" s="220"/>
      <c r="IM148" s="220"/>
      <c r="IN148" s="220"/>
      <c r="IO148" s="220"/>
      <c r="IP148" s="220"/>
      <c r="IQ148" s="220"/>
      <c r="IR148" s="220"/>
      <c r="IS148" s="220"/>
      <c r="IT148" s="220"/>
      <c r="IU148" s="220"/>
      <c r="IV148" s="220"/>
      <c r="IW148" s="220"/>
      <c r="IX148" s="220"/>
      <c r="IY148" s="220"/>
      <c r="IZ148" s="220"/>
      <c r="JA148" s="220"/>
      <c r="JB148" s="220"/>
      <c r="JC148" s="220"/>
      <c r="JD148" s="221"/>
      <c r="JE148" s="219"/>
      <c r="JF148" s="220"/>
      <c r="JG148" s="220"/>
      <c r="JH148" s="220"/>
      <c r="JI148" s="221"/>
      <c r="JS148" s="201"/>
      <c r="JT148" s="202"/>
      <c r="JU148" s="202"/>
      <c r="JV148" s="202"/>
      <c r="JW148" s="202"/>
      <c r="JX148" s="202"/>
      <c r="JY148" s="202"/>
      <c r="JZ148" s="202"/>
      <c r="KA148" s="202"/>
      <c r="KB148" s="202"/>
      <c r="KC148" s="202"/>
      <c r="KD148" s="202"/>
      <c r="KE148" s="202"/>
      <c r="KF148" s="202"/>
      <c r="KG148" s="202"/>
      <c r="KH148" s="202"/>
      <c r="KI148" s="202"/>
      <c r="KJ148" s="202"/>
      <c r="KK148" s="202"/>
      <c r="KL148" s="202"/>
      <c r="KM148" s="202"/>
      <c r="KN148" s="202"/>
      <c r="KO148" s="202"/>
      <c r="KP148" s="202"/>
      <c r="KQ148" s="202"/>
      <c r="KR148" s="202"/>
      <c r="KS148" s="202"/>
      <c r="KT148" s="202"/>
      <c r="KU148" s="202"/>
      <c r="KV148" s="202"/>
      <c r="KW148" s="202"/>
      <c r="KX148" s="202"/>
      <c r="KY148" s="202"/>
      <c r="KZ148" s="202"/>
      <c r="LA148" s="202"/>
      <c r="LB148" s="202"/>
      <c r="LC148" s="202"/>
      <c r="LD148" s="202"/>
      <c r="LE148" s="202"/>
      <c r="LF148" s="203"/>
      <c r="LG148" s="204"/>
      <c r="LH148" s="204"/>
      <c r="LI148" s="204"/>
      <c r="LJ148" s="204"/>
      <c r="LK148" s="204"/>
      <c r="LL148" s="204"/>
      <c r="LM148" s="19"/>
      <c r="LU148" s="155"/>
      <c r="LY148" s="16"/>
      <c r="MB148" s="190"/>
      <c r="MC148" s="191"/>
      <c r="MD148" s="191"/>
      <c r="ME148" s="191"/>
      <c r="MF148" s="191"/>
      <c r="MG148" s="191"/>
      <c r="MH148" s="191"/>
      <c r="MI148" s="191"/>
      <c r="MJ148" s="191"/>
      <c r="MK148" s="191"/>
      <c r="ML148" s="191"/>
      <c r="MM148" s="191"/>
      <c r="MN148" s="191"/>
      <c r="MO148" s="191"/>
      <c r="MP148" s="191"/>
      <c r="MQ148" s="191"/>
      <c r="MR148" s="191"/>
      <c r="MS148" s="191"/>
      <c r="MT148" s="191"/>
      <c r="MU148" s="191"/>
      <c r="MV148" s="191"/>
      <c r="MW148" s="191"/>
      <c r="MX148" s="191"/>
      <c r="MY148" s="191"/>
      <c r="MZ148" s="191"/>
      <c r="NA148" s="191"/>
      <c r="NB148" s="191"/>
      <c r="NC148" s="191"/>
      <c r="ND148" s="191"/>
      <c r="NE148" s="191"/>
      <c r="NF148" s="191"/>
      <c r="NG148" s="191"/>
      <c r="NH148" s="191"/>
      <c r="NI148" s="191"/>
      <c r="NJ148" s="191"/>
      <c r="NK148" s="191"/>
      <c r="NL148" s="191"/>
      <c r="NM148" s="191"/>
      <c r="NN148" s="191"/>
      <c r="NO148" s="191"/>
      <c r="NP148" s="192"/>
      <c r="NQ148" s="190"/>
      <c r="NR148" s="191"/>
      <c r="NS148" s="191"/>
      <c r="NT148" s="191"/>
      <c r="NU148" s="192"/>
      <c r="OW148" s="12"/>
      <c r="OX148" s="7"/>
      <c r="OY148" s="3"/>
      <c r="OZ148" s="3"/>
      <c r="PA148" s="3"/>
      <c r="PB148" s="3"/>
      <c r="PC148" s="2"/>
      <c r="PQ148" s="3"/>
      <c r="PR148" s="3"/>
      <c r="PS148" s="3"/>
      <c r="PT148" s="3"/>
      <c r="PU148" s="3"/>
      <c r="PV148" s="2"/>
    </row>
    <row r="149" spans="3:438" ht="5.0999999999999996" customHeight="1" x14ac:dyDescent="0.3">
      <c r="C149" s="11"/>
      <c r="D149" s="13"/>
      <c r="Q149" s="187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E149" s="189"/>
      <c r="BF149" s="187"/>
      <c r="BG149" s="188"/>
      <c r="BH149" s="188"/>
      <c r="BI149" s="188"/>
      <c r="BJ149" s="189"/>
      <c r="DV149" s="219"/>
      <c r="DW149" s="220"/>
      <c r="DX149" s="220"/>
      <c r="DY149" s="220"/>
      <c r="DZ149" s="220"/>
      <c r="EA149" s="220"/>
      <c r="EB149" s="220"/>
      <c r="EC149" s="220"/>
      <c r="ED149" s="220"/>
      <c r="EE149" s="220"/>
      <c r="EF149" s="220"/>
      <c r="EG149" s="220"/>
      <c r="EH149" s="220"/>
      <c r="EI149" s="220"/>
      <c r="EJ149" s="220"/>
      <c r="EK149" s="220"/>
      <c r="EL149" s="220"/>
      <c r="EM149" s="220"/>
      <c r="EN149" s="220"/>
      <c r="EO149" s="220"/>
      <c r="EP149" s="220"/>
      <c r="EQ149" s="220"/>
      <c r="ER149" s="220"/>
      <c r="ES149" s="220"/>
      <c r="ET149" s="220"/>
      <c r="EU149" s="220"/>
      <c r="EV149" s="220"/>
      <c r="EW149" s="220"/>
      <c r="EX149" s="220"/>
      <c r="EY149" s="220"/>
      <c r="EZ149" s="220"/>
      <c r="FA149" s="220"/>
      <c r="FB149" s="220"/>
      <c r="FC149" s="220"/>
      <c r="FD149" s="220"/>
      <c r="FE149" s="220"/>
      <c r="FF149" s="220"/>
      <c r="FG149" s="220"/>
      <c r="FH149" s="220"/>
      <c r="FI149" s="221"/>
      <c r="FJ149" s="219"/>
      <c r="FK149" s="220"/>
      <c r="FL149" s="220"/>
      <c r="FM149" s="220"/>
      <c r="FN149" s="221"/>
      <c r="FT149" s="219"/>
      <c r="FU149" s="220"/>
      <c r="FV149" s="220"/>
      <c r="FW149" s="220"/>
      <c r="FX149" s="220"/>
      <c r="FY149" s="220"/>
      <c r="FZ149" s="220"/>
      <c r="GA149" s="220"/>
      <c r="GB149" s="220"/>
      <c r="GC149" s="220"/>
      <c r="GD149" s="220"/>
      <c r="GE149" s="220"/>
      <c r="GF149" s="220"/>
      <c r="GG149" s="220"/>
      <c r="GH149" s="220"/>
      <c r="GI149" s="220"/>
      <c r="GJ149" s="220"/>
      <c r="GK149" s="220"/>
      <c r="GL149" s="220"/>
      <c r="GM149" s="220"/>
      <c r="GN149" s="220"/>
      <c r="GO149" s="220"/>
      <c r="GP149" s="220"/>
      <c r="GQ149" s="220"/>
      <c r="GR149" s="220"/>
      <c r="GS149" s="220"/>
      <c r="GT149" s="220"/>
      <c r="GU149" s="220"/>
      <c r="GV149" s="220"/>
      <c r="GW149" s="220"/>
      <c r="GX149" s="220"/>
      <c r="GY149" s="220"/>
      <c r="GZ149" s="220"/>
      <c r="HA149" s="220"/>
      <c r="HB149" s="220"/>
      <c r="HC149" s="220"/>
      <c r="HD149" s="220"/>
      <c r="HE149" s="220"/>
      <c r="HF149" s="220"/>
      <c r="HG149" s="221"/>
      <c r="HH149" s="219"/>
      <c r="HI149" s="220"/>
      <c r="HJ149" s="220"/>
      <c r="HK149" s="220"/>
      <c r="HL149" s="221"/>
      <c r="HQ149" s="219"/>
      <c r="HR149" s="220"/>
      <c r="HS149" s="220"/>
      <c r="HT149" s="220"/>
      <c r="HU149" s="220"/>
      <c r="HV149" s="220"/>
      <c r="HW149" s="220"/>
      <c r="HX149" s="220"/>
      <c r="HY149" s="220"/>
      <c r="HZ149" s="220"/>
      <c r="IA149" s="220"/>
      <c r="IB149" s="220"/>
      <c r="IC149" s="220"/>
      <c r="ID149" s="220"/>
      <c r="IE149" s="220"/>
      <c r="IF149" s="220"/>
      <c r="IG149" s="220"/>
      <c r="IH149" s="220"/>
      <c r="II149" s="220"/>
      <c r="IJ149" s="220"/>
      <c r="IK149" s="220"/>
      <c r="IL149" s="220"/>
      <c r="IM149" s="220"/>
      <c r="IN149" s="220"/>
      <c r="IO149" s="220"/>
      <c r="IP149" s="220"/>
      <c r="IQ149" s="220"/>
      <c r="IR149" s="220"/>
      <c r="IS149" s="220"/>
      <c r="IT149" s="220"/>
      <c r="IU149" s="220"/>
      <c r="IV149" s="220"/>
      <c r="IW149" s="220"/>
      <c r="IX149" s="220"/>
      <c r="IY149" s="220"/>
      <c r="IZ149" s="220"/>
      <c r="JA149" s="220"/>
      <c r="JB149" s="220"/>
      <c r="JC149" s="220"/>
      <c r="JD149" s="221"/>
      <c r="JE149" s="219"/>
      <c r="JF149" s="220"/>
      <c r="JG149" s="220"/>
      <c r="JH149" s="220"/>
      <c r="JI149" s="221"/>
      <c r="JS149" s="216" t="s">
        <v>4</v>
      </c>
      <c r="JT149" s="217"/>
      <c r="JU149" s="217"/>
      <c r="JV149" s="217"/>
      <c r="JW149" s="217"/>
      <c r="JX149" s="217"/>
      <c r="JY149" s="217"/>
      <c r="JZ149" s="217"/>
      <c r="KA149" s="217"/>
      <c r="KB149" s="217"/>
      <c r="KC149" s="217"/>
      <c r="KD149" s="217"/>
      <c r="KE149" s="217"/>
      <c r="KF149" s="217"/>
      <c r="KG149" s="217"/>
      <c r="KH149" s="217"/>
      <c r="KI149" s="217"/>
      <c r="KJ149" s="217"/>
      <c r="KK149" s="217"/>
      <c r="KL149" s="217"/>
      <c r="KM149" s="217"/>
      <c r="KN149" s="217"/>
      <c r="KO149" s="217"/>
      <c r="KP149" s="217"/>
      <c r="KQ149" s="217"/>
      <c r="KR149" s="217"/>
      <c r="KS149" s="217"/>
      <c r="KT149" s="217"/>
      <c r="KU149" s="217"/>
      <c r="KV149" s="217"/>
      <c r="KW149" s="217"/>
      <c r="KX149" s="217"/>
      <c r="KY149" s="217"/>
      <c r="KZ149" s="217"/>
      <c r="LA149" s="217"/>
      <c r="LB149" s="217"/>
      <c r="LC149" s="217"/>
      <c r="LD149" s="217"/>
      <c r="LE149" s="217"/>
      <c r="LF149" s="218"/>
      <c r="LG149" s="184">
        <v>32</v>
      </c>
      <c r="LH149" s="185"/>
      <c r="LI149" s="185"/>
      <c r="LJ149" s="185"/>
      <c r="LK149" s="185"/>
      <c r="LL149" s="186"/>
      <c r="LM149" s="52"/>
      <c r="LU149" s="155"/>
      <c r="LY149" s="16"/>
      <c r="MB149" s="184" t="s">
        <v>45</v>
      </c>
      <c r="MC149" s="185"/>
      <c r="MD149" s="185"/>
      <c r="ME149" s="185"/>
      <c r="MF149" s="185"/>
      <c r="MG149" s="185"/>
      <c r="MH149" s="185"/>
      <c r="MI149" s="185"/>
      <c r="MJ149" s="185"/>
      <c r="MK149" s="185"/>
      <c r="ML149" s="185"/>
      <c r="MM149" s="185"/>
      <c r="MN149" s="185"/>
      <c r="MO149" s="185"/>
      <c r="MP149" s="185"/>
      <c r="MQ149" s="185"/>
      <c r="MR149" s="185"/>
      <c r="MS149" s="185"/>
      <c r="MT149" s="185"/>
      <c r="MU149" s="185"/>
      <c r="MV149" s="185"/>
      <c r="MW149" s="185"/>
      <c r="MX149" s="185"/>
      <c r="MY149" s="185"/>
      <c r="MZ149" s="185"/>
      <c r="NA149" s="185"/>
      <c r="NB149" s="185"/>
      <c r="NC149" s="185"/>
      <c r="ND149" s="185"/>
      <c r="NE149" s="185"/>
      <c r="NF149" s="185"/>
      <c r="NG149" s="185"/>
      <c r="NH149" s="185"/>
      <c r="NI149" s="185"/>
      <c r="NJ149" s="185"/>
      <c r="NK149" s="185"/>
      <c r="NL149" s="185"/>
      <c r="NM149" s="185"/>
      <c r="NN149" s="185"/>
      <c r="NO149" s="185"/>
      <c r="NP149" s="186"/>
      <c r="NQ149" s="184">
        <v>1</v>
      </c>
      <c r="NR149" s="185"/>
      <c r="NS149" s="185"/>
      <c r="NT149" s="185"/>
      <c r="NU149" s="186"/>
      <c r="OW149" s="12"/>
      <c r="OX149" s="7"/>
      <c r="OY149" s="3"/>
      <c r="OZ149" s="3"/>
      <c r="PA149" s="3"/>
      <c r="PB149" s="3"/>
      <c r="PC149" s="2"/>
      <c r="PQ149" s="3"/>
      <c r="PR149" s="3"/>
      <c r="PS149" s="3"/>
      <c r="PT149" s="3"/>
      <c r="PU149" s="3"/>
      <c r="PV149" s="2"/>
    </row>
    <row r="150" spans="3:438" ht="5.0999999999999996" customHeight="1" x14ac:dyDescent="0.3">
      <c r="C150" s="11"/>
      <c r="D150" s="13"/>
      <c r="Q150" s="190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2"/>
      <c r="BF150" s="190"/>
      <c r="BG150" s="191"/>
      <c r="BH150" s="191"/>
      <c r="BI150" s="191"/>
      <c r="BJ150" s="192"/>
      <c r="DV150" s="219"/>
      <c r="DW150" s="220"/>
      <c r="DX150" s="220"/>
      <c r="DY150" s="220"/>
      <c r="DZ150" s="220"/>
      <c r="EA150" s="220"/>
      <c r="EB150" s="220"/>
      <c r="EC150" s="220"/>
      <c r="ED150" s="220"/>
      <c r="EE150" s="220"/>
      <c r="EF150" s="220"/>
      <c r="EG150" s="220"/>
      <c r="EH150" s="220"/>
      <c r="EI150" s="220"/>
      <c r="EJ150" s="220"/>
      <c r="EK150" s="220"/>
      <c r="EL150" s="220"/>
      <c r="EM150" s="220"/>
      <c r="EN150" s="220"/>
      <c r="EO150" s="220"/>
      <c r="EP150" s="220"/>
      <c r="EQ150" s="220"/>
      <c r="ER150" s="220"/>
      <c r="ES150" s="220"/>
      <c r="ET150" s="220"/>
      <c r="EU150" s="220"/>
      <c r="EV150" s="220"/>
      <c r="EW150" s="220"/>
      <c r="EX150" s="220"/>
      <c r="EY150" s="220"/>
      <c r="EZ150" s="220"/>
      <c r="FA150" s="220"/>
      <c r="FB150" s="220"/>
      <c r="FC150" s="220"/>
      <c r="FD150" s="220"/>
      <c r="FE150" s="220"/>
      <c r="FF150" s="220"/>
      <c r="FG150" s="220"/>
      <c r="FH150" s="220"/>
      <c r="FI150" s="221"/>
      <c r="FJ150" s="219"/>
      <c r="FK150" s="220"/>
      <c r="FL150" s="220"/>
      <c r="FM150" s="220"/>
      <c r="FN150" s="221"/>
      <c r="FT150" s="219"/>
      <c r="FU150" s="220"/>
      <c r="FV150" s="220"/>
      <c r="FW150" s="220"/>
      <c r="FX150" s="220"/>
      <c r="FY150" s="220"/>
      <c r="FZ150" s="220"/>
      <c r="GA150" s="220"/>
      <c r="GB150" s="220"/>
      <c r="GC150" s="220"/>
      <c r="GD150" s="220"/>
      <c r="GE150" s="220"/>
      <c r="GF150" s="220"/>
      <c r="GG150" s="220"/>
      <c r="GH150" s="220"/>
      <c r="GI150" s="220"/>
      <c r="GJ150" s="220"/>
      <c r="GK150" s="220"/>
      <c r="GL150" s="220"/>
      <c r="GM150" s="220"/>
      <c r="GN150" s="220"/>
      <c r="GO150" s="220"/>
      <c r="GP150" s="220"/>
      <c r="GQ150" s="220"/>
      <c r="GR150" s="220"/>
      <c r="GS150" s="220"/>
      <c r="GT150" s="220"/>
      <c r="GU150" s="220"/>
      <c r="GV150" s="220"/>
      <c r="GW150" s="220"/>
      <c r="GX150" s="220"/>
      <c r="GY150" s="220"/>
      <c r="GZ150" s="220"/>
      <c r="HA150" s="220"/>
      <c r="HB150" s="220"/>
      <c r="HC150" s="220"/>
      <c r="HD150" s="220"/>
      <c r="HE150" s="220"/>
      <c r="HF150" s="220"/>
      <c r="HG150" s="221"/>
      <c r="HH150" s="219"/>
      <c r="HI150" s="220"/>
      <c r="HJ150" s="220"/>
      <c r="HK150" s="220"/>
      <c r="HL150" s="221"/>
      <c r="HQ150" s="219"/>
      <c r="HR150" s="220"/>
      <c r="HS150" s="220"/>
      <c r="HT150" s="220"/>
      <c r="HU150" s="220"/>
      <c r="HV150" s="220"/>
      <c r="HW150" s="220"/>
      <c r="HX150" s="220"/>
      <c r="HY150" s="220"/>
      <c r="HZ150" s="220"/>
      <c r="IA150" s="220"/>
      <c r="IB150" s="220"/>
      <c r="IC150" s="220"/>
      <c r="ID150" s="220"/>
      <c r="IE150" s="220"/>
      <c r="IF150" s="220"/>
      <c r="IG150" s="220"/>
      <c r="IH150" s="220"/>
      <c r="II150" s="220"/>
      <c r="IJ150" s="220"/>
      <c r="IK150" s="220"/>
      <c r="IL150" s="220"/>
      <c r="IM150" s="220"/>
      <c r="IN150" s="220"/>
      <c r="IO150" s="220"/>
      <c r="IP150" s="220"/>
      <c r="IQ150" s="220"/>
      <c r="IR150" s="220"/>
      <c r="IS150" s="220"/>
      <c r="IT150" s="220"/>
      <c r="IU150" s="220"/>
      <c r="IV150" s="220"/>
      <c r="IW150" s="220"/>
      <c r="IX150" s="220"/>
      <c r="IY150" s="220"/>
      <c r="IZ150" s="220"/>
      <c r="JA150" s="220"/>
      <c r="JB150" s="220"/>
      <c r="JC150" s="220"/>
      <c r="JD150" s="221"/>
      <c r="JE150" s="219"/>
      <c r="JF150" s="220"/>
      <c r="JG150" s="220"/>
      <c r="JH150" s="220"/>
      <c r="JI150" s="221"/>
      <c r="JS150" s="219"/>
      <c r="JT150" s="220"/>
      <c r="JU150" s="220"/>
      <c r="JV150" s="220"/>
      <c r="JW150" s="220"/>
      <c r="JX150" s="220"/>
      <c r="JY150" s="220"/>
      <c r="JZ150" s="220"/>
      <c r="KA150" s="220"/>
      <c r="KB150" s="220"/>
      <c r="KC150" s="220"/>
      <c r="KD150" s="220"/>
      <c r="KE150" s="220"/>
      <c r="KF150" s="220"/>
      <c r="KG150" s="220"/>
      <c r="KH150" s="220"/>
      <c r="KI150" s="220"/>
      <c r="KJ150" s="220"/>
      <c r="KK150" s="220"/>
      <c r="KL150" s="220"/>
      <c r="KM150" s="220"/>
      <c r="KN150" s="220"/>
      <c r="KO150" s="220"/>
      <c r="KP150" s="220"/>
      <c r="KQ150" s="220"/>
      <c r="KR150" s="220"/>
      <c r="KS150" s="220"/>
      <c r="KT150" s="220"/>
      <c r="KU150" s="220"/>
      <c r="KV150" s="220"/>
      <c r="KW150" s="220"/>
      <c r="KX150" s="220"/>
      <c r="KY150" s="220"/>
      <c r="KZ150" s="220"/>
      <c r="LA150" s="220"/>
      <c r="LB150" s="220"/>
      <c r="LC150" s="220"/>
      <c r="LD150" s="220"/>
      <c r="LE150" s="220"/>
      <c r="LF150" s="221"/>
      <c r="LG150" s="187"/>
      <c r="LH150" s="188"/>
      <c r="LI150" s="188"/>
      <c r="LJ150" s="188"/>
      <c r="LK150" s="188"/>
      <c r="LL150" s="189"/>
      <c r="LM150" s="19"/>
      <c r="LU150" s="155"/>
      <c r="LY150" s="16"/>
      <c r="MB150" s="187"/>
      <c r="MC150" s="188"/>
      <c r="MD150" s="188"/>
      <c r="ME150" s="188"/>
      <c r="MF150" s="188"/>
      <c r="MG150" s="188"/>
      <c r="MH150" s="188"/>
      <c r="MI150" s="188"/>
      <c r="MJ150" s="188"/>
      <c r="MK150" s="188"/>
      <c r="ML150" s="188"/>
      <c r="MM150" s="188"/>
      <c r="MN150" s="188"/>
      <c r="MO150" s="188"/>
      <c r="MP150" s="188"/>
      <c r="MQ150" s="188"/>
      <c r="MR150" s="188"/>
      <c r="MS150" s="188"/>
      <c r="MT150" s="188"/>
      <c r="MU150" s="188"/>
      <c r="MV150" s="188"/>
      <c r="MW150" s="188"/>
      <c r="MX150" s="188"/>
      <c r="MY150" s="188"/>
      <c r="MZ150" s="188"/>
      <c r="NA150" s="188"/>
      <c r="NB150" s="188"/>
      <c r="NC150" s="188"/>
      <c r="ND150" s="188"/>
      <c r="NE150" s="188"/>
      <c r="NF150" s="188"/>
      <c r="NG150" s="188"/>
      <c r="NH150" s="188"/>
      <c r="NI150" s="188"/>
      <c r="NJ150" s="188"/>
      <c r="NK150" s="188"/>
      <c r="NL150" s="188"/>
      <c r="NM150" s="188"/>
      <c r="NN150" s="188"/>
      <c r="NO150" s="188"/>
      <c r="NP150" s="189"/>
      <c r="NQ150" s="187"/>
      <c r="NR150" s="188"/>
      <c r="NS150" s="188"/>
      <c r="NT150" s="188"/>
      <c r="NU150" s="189"/>
      <c r="OW150" s="12"/>
      <c r="OX150" s="7"/>
      <c r="OY150" s="3"/>
      <c r="OZ150" s="3"/>
      <c r="PA150" s="3"/>
      <c r="PB150" s="3"/>
      <c r="PC150" s="2"/>
      <c r="PQ150" s="3"/>
      <c r="PR150" s="3"/>
      <c r="PS150" s="3"/>
      <c r="PT150" s="3"/>
      <c r="PU150" s="3"/>
      <c r="PV150" s="2"/>
    </row>
    <row r="151" spans="3:438" ht="5.0999999999999996" customHeight="1" x14ac:dyDescent="0.3">
      <c r="C151" s="11"/>
      <c r="D151" s="13"/>
      <c r="Q151" s="184" t="s">
        <v>45</v>
      </c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6"/>
      <c r="BF151" s="184">
        <v>3</v>
      </c>
      <c r="BG151" s="185"/>
      <c r="BH151" s="185"/>
      <c r="BI151" s="185"/>
      <c r="BJ151" s="186"/>
      <c r="DV151" s="219"/>
      <c r="DW151" s="220"/>
      <c r="DX151" s="220"/>
      <c r="DY151" s="220"/>
      <c r="DZ151" s="220"/>
      <c r="EA151" s="220"/>
      <c r="EB151" s="220"/>
      <c r="EC151" s="220"/>
      <c r="ED151" s="220"/>
      <c r="EE151" s="220"/>
      <c r="EF151" s="220"/>
      <c r="EG151" s="220"/>
      <c r="EH151" s="220"/>
      <c r="EI151" s="220"/>
      <c r="EJ151" s="220"/>
      <c r="EK151" s="220"/>
      <c r="EL151" s="220"/>
      <c r="EM151" s="220"/>
      <c r="EN151" s="220"/>
      <c r="EO151" s="220"/>
      <c r="EP151" s="220"/>
      <c r="EQ151" s="220"/>
      <c r="ER151" s="220"/>
      <c r="ES151" s="220"/>
      <c r="ET151" s="220"/>
      <c r="EU151" s="220"/>
      <c r="EV151" s="220"/>
      <c r="EW151" s="220"/>
      <c r="EX151" s="220"/>
      <c r="EY151" s="220"/>
      <c r="EZ151" s="220"/>
      <c r="FA151" s="220"/>
      <c r="FB151" s="220"/>
      <c r="FC151" s="220"/>
      <c r="FD151" s="220"/>
      <c r="FE151" s="220"/>
      <c r="FF151" s="220"/>
      <c r="FG151" s="220"/>
      <c r="FH151" s="220"/>
      <c r="FI151" s="221"/>
      <c r="FJ151" s="219"/>
      <c r="FK151" s="220"/>
      <c r="FL151" s="220"/>
      <c r="FM151" s="220"/>
      <c r="FN151" s="221"/>
      <c r="FT151" s="219"/>
      <c r="FU151" s="220"/>
      <c r="FV151" s="220"/>
      <c r="FW151" s="220"/>
      <c r="FX151" s="220"/>
      <c r="FY151" s="220"/>
      <c r="FZ151" s="220"/>
      <c r="GA151" s="220"/>
      <c r="GB151" s="220"/>
      <c r="GC151" s="220"/>
      <c r="GD151" s="220"/>
      <c r="GE151" s="220"/>
      <c r="GF151" s="220"/>
      <c r="GG151" s="220"/>
      <c r="GH151" s="220"/>
      <c r="GI151" s="220"/>
      <c r="GJ151" s="220"/>
      <c r="GK151" s="220"/>
      <c r="GL151" s="220"/>
      <c r="GM151" s="220"/>
      <c r="GN151" s="220"/>
      <c r="GO151" s="220"/>
      <c r="GP151" s="220"/>
      <c r="GQ151" s="220"/>
      <c r="GR151" s="220"/>
      <c r="GS151" s="220"/>
      <c r="GT151" s="220"/>
      <c r="GU151" s="220"/>
      <c r="GV151" s="220"/>
      <c r="GW151" s="220"/>
      <c r="GX151" s="220"/>
      <c r="GY151" s="220"/>
      <c r="GZ151" s="220"/>
      <c r="HA151" s="220"/>
      <c r="HB151" s="220"/>
      <c r="HC151" s="220"/>
      <c r="HD151" s="220"/>
      <c r="HE151" s="220"/>
      <c r="HF151" s="220"/>
      <c r="HG151" s="221"/>
      <c r="HH151" s="219"/>
      <c r="HI151" s="220"/>
      <c r="HJ151" s="220"/>
      <c r="HK151" s="220"/>
      <c r="HL151" s="221"/>
      <c r="HQ151" s="219"/>
      <c r="HR151" s="220"/>
      <c r="HS151" s="220"/>
      <c r="HT151" s="220"/>
      <c r="HU151" s="220"/>
      <c r="HV151" s="220"/>
      <c r="HW151" s="220"/>
      <c r="HX151" s="220"/>
      <c r="HY151" s="220"/>
      <c r="HZ151" s="220"/>
      <c r="IA151" s="220"/>
      <c r="IB151" s="220"/>
      <c r="IC151" s="220"/>
      <c r="ID151" s="220"/>
      <c r="IE151" s="220"/>
      <c r="IF151" s="220"/>
      <c r="IG151" s="220"/>
      <c r="IH151" s="220"/>
      <c r="II151" s="220"/>
      <c r="IJ151" s="220"/>
      <c r="IK151" s="220"/>
      <c r="IL151" s="220"/>
      <c r="IM151" s="220"/>
      <c r="IN151" s="220"/>
      <c r="IO151" s="220"/>
      <c r="IP151" s="220"/>
      <c r="IQ151" s="220"/>
      <c r="IR151" s="220"/>
      <c r="IS151" s="220"/>
      <c r="IT151" s="220"/>
      <c r="IU151" s="220"/>
      <c r="IV151" s="220"/>
      <c r="IW151" s="220"/>
      <c r="IX151" s="220"/>
      <c r="IY151" s="220"/>
      <c r="IZ151" s="220"/>
      <c r="JA151" s="220"/>
      <c r="JB151" s="220"/>
      <c r="JC151" s="220"/>
      <c r="JD151" s="221"/>
      <c r="JE151" s="219"/>
      <c r="JF151" s="220"/>
      <c r="JG151" s="220"/>
      <c r="JH151" s="220"/>
      <c r="JI151" s="221"/>
      <c r="JS151" s="219"/>
      <c r="JT151" s="220"/>
      <c r="JU151" s="220"/>
      <c r="JV151" s="220"/>
      <c r="JW151" s="220"/>
      <c r="JX151" s="220"/>
      <c r="JY151" s="220"/>
      <c r="JZ151" s="220"/>
      <c r="KA151" s="220"/>
      <c r="KB151" s="220"/>
      <c r="KC151" s="220"/>
      <c r="KD151" s="220"/>
      <c r="KE151" s="220"/>
      <c r="KF151" s="220"/>
      <c r="KG151" s="220"/>
      <c r="KH151" s="220"/>
      <c r="KI151" s="220"/>
      <c r="KJ151" s="220"/>
      <c r="KK151" s="220"/>
      <c r="KL151" s="220"/>
      <c r="KM151" s="220"/>
      <c r="KN151" s="220"/>
      <c r="KO151" s="220"/>
      <c r="KP151" s="220"/>
      <c r="KQ151" s="220"/>
      <c r="KR151" s="220"/>
      <c r="KS151" s="220"/>
      <c r="KT151" s="220"/>
      <c r="KU151" s="220"/>
      <c r="KV151" s="220"/>
      <c r="KW151" s="220"/>
      <c r="KX151" s="220"/>
      <c r="KY151" s="220"/>
      <c r="KZ151" s="220"/>
      <c r="LA151" s="220"/>
      <c r="LB151" s="220"/>
      <c r="LC151" s="220"/>
      <c r="LD151" s="220"/>
      <c r="LE151" s="220"/>
      <c r="LF151" s="221"/>
      <c r="LG151" s="187"/>
      <c r="LH151" s="188"/>
      <c r="LI151" s="188"/>
      <c r="LJ151" s="188"/>
      <c r="LK151" s="188"/>
      <c r="LL151" s="189"/>
      <c r="LM151" s="19"/>
      <c r="LU151" s="155"/>
      <c r="LY151" s="16"/>
      <c r="MB151" s="187"/>
      <c r="MC151" s="188"/>
      <c r="MD151" s="188"/>
      <c r="ME151" s="188"/>
      <c r="MF151" s="188"/>
      <c r="MG151" s="188"/>
      <c r="MH151" s="188"/>
      <c r="MI151" s="188"/>
      <c r="MJ151" s="188"/>
      <c r="MK151" s="188"/>
      <c r="ML151" s="188"/>
      <c r="MM151" s="188"/>
      <c r="MN151" s="188"/>
      <c r="MO151" s="188"/>
      <c r="MP151" s="188"/>
      <c r="MQ151" s="188"/>
      <c r="MR151" s="188"/>
      <c r="MS151" s="188"/>
      <c r="MT151" s="188"/>
      <c r="MU151" s="188"/>
      <c r="MV151" s="188"/>
      <c r="MW151" s="188"/>
      <c r="MX151" s="188"/>
      <c r="MY151" s="188"/>
      <c r="MZ151" s="188"/>
      <c r="NA151" s="188"/>
      <c r="NB151" s="188"/>
      <c r="NC151" s="188"/>
      <c r="ND151" s="188"/>
      <c r="NE151" s="188"/>
      <c r="NF151" s="188"/>
      <c r="NG151" s="188"/>
      <c r="NH151" s="188"/>
      <c r="NI151" s="188"/>
      <c r="NJ151" s="188"/>
      <c r="NK151" s="188"/>
      <c r="NL151" s="188"/>
      <c r="NM151" s="188"/>
      <c r="NN151" s="188"/>
      <c r="NO151" s="188"/>
      <c r="NP151" s="189"/>
      <c r="NQ151" s="187"/>
      <c r="NR151" s="188"/>
      <c r="NS151" s="188"/>
      <c r="NT151" s="188"/>
      <c r="NU151" s="189"/>
      <c r="OW151" s="12"/>
      <c r="OX151" s="7"/>
      <c r="OY151" s="3"/>
      <c r="OZ151" s="3"/>
      <c r="PA151" s="3"/>
      <c r="PB151" s="3"/>
      <c r="PC151" s="2"/>
      <c r="PQ151" s="3"/>
      <c r="PR151" s="3"/>
      <c r="PS151" s="3"/>
      <c r="PT151" s="3"/>
      <c r="PU151" s="3"/>
      <c r="PV151" s="2"/>
    </row>
    <row r="152" spans="3:438" ht="5.0999999999999996" customHeight="1" x14ac:dyDescent="0.3">
      <c r="C152" s="11"/>
      <c r="D152" s="13"/>
      <c r="Q152" s="187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E152" s="189"/>
      <c r="BF152" s="187"/>
      <c r="BG152" s="188"/>
      <c r="BH152" s="188"/>
      <c r="BI152" s="188"/>
      <c r="BJ152" s="189"/>
      <c r="DV152" s="219"/>
      <c r="DW152" s="220"/>
      <c r="DX152" s="220"/>
      <c r="DY152" s="220"/>
      <c r="DZ152" s="220"/>
      <c r="EA152" s="220"/>
      <c r="EB152" s="220"/>
      <c r="EC152" s="220"/>
      <c r="ED152" s="220"/>
      <c r="EE152" s="220"/>
      <c r="EF152" s="220"/>
      <c r="EG152" s="220"/>
      <c r="EH152" s="220"/>
      <c r="EI152" s="220"/>
      <c r="EJ152" s="220"/>
      <c r="EK152" s="220"/>
      <c r="EL152" s="220"/>
      <c r="EM152" s="220"/>
      <c r="EN152" s="220"/>
      <c r="EO152" s="220"/>
      <c r="EP152" s="220"/>
      <c r="EQ152" s="220"/>
      <c r="ER152" s="220"/>
      <c r="ES152" s="220"/>
      <c r="ET152" s="220"/>
      <c r="EU152" s="220"/>
      <c r="EV152" s="220"/>
      <c r="EW152" s="220"/>
      <c r="EX152" s="220"/>
      <c r="EY152" s="220"/>
      <c r="EZ152" s="220"/>
      <c r="FA152" s="220"/>
      <c r="FB152" s="220"/>
      <c r="FC152" s="220"/>
      <c r="FD152" s="220"/>
      <c r="FE152" s="220"/>
      <c r="FF152" s="220"/>
      <c r="FG152" s="220"/>
      <c r="FH152" s="220"/>
      <c r="FI152" s="221"/>
      <c r="FJ152" s="219"/>
      <c r="FK152" s="220"/>
      <c r="FL152" s="220"/>
      <c r="FM152" s="220"/>
      <c r="FN152" s="221"/>
      <c r="FT152" s="219"/>
      <c r="FU152" s="220"/>
      <c r="FV152" s="220"/>
      <c r="FW152" s="220"/>
      <c r="FX152" s="220"/>
      <c r="FY152" s="220"/>
      <c r="FZ152" s="220"/>
      <c r="GA152" s="220"/>
      <c r="GB152" s="220"/>
      <c r="GC152" s="220"/>
      <c r="GD152" s="220"/>
      <c r="GE152" s="220"/>
      <c r="GF152" s="220"/>
      <c r="GG152" s="220"/>
      <c r="GH152" s="220"/>
      <c r="GI152" s="220"/>
      <c r="GJ152" s="220"/>
      <c r="GK152" s="220"/>
      <c r="GL152" s="220"/>
      <c r="GM152" s="220"/>
      <c r="GN152" s="220"/>
      <c r="GO152" s="220"/>
      <c r="GP152" s="220"/>
      <c r="GQ152" s="220"/>
      <c r="GR152" s="220"/>
      <c r="GS152" s="220"/>
      <c r="GT152" s="220"/>
      <c r="GU152" s="220"/>
      <c r="GV152" s="220"/>
      <c r="GW152" s="220"/>
      <c r="GX152" s="220"/>
      <c r="GY152" s="220"/>
      <c r="GZ152" s="220"/>
      <c r="HA152" s="220"/>
      <c r="HB152" s="220"/>
      <c r="HC152" s="220"/>
      <c r="HD152" s="220"/>
      <c r="HE152" s="220"/>
      <c r="HF152" s="220"/>
      <c r="HG152" s="221"/>
      <c r="HH152" s="219"/>
      <c r="HI152" s="220"/>
      <c r="HJ152" s="220"/>
      <c r="HK152" s="220"/>
      <c r="HL152" s="221"/>
      <c r="HQ152" s="219"/>
      <c r="HR152" s="220"/>
      <c r="HS152" s="220"/>
      <c r="HT152" s="220"/>
      <c r="HU152" s="220"/>
      <c r="HV152" s="220"/>
      <c r="HW152" s="220"/>
      <c r="HX152" s="220"/>
      <c r="HY152" s="220"/>
      <c r="HZ152" s="220"/>
      <c r="IA152" s="220"/>
      <c r="IB152" s="220"/>
      <c r="IC152" s="220"/>
      <c r="ID152" s="220"/>
      <c r="IE152" s="220"/>
      <c r="IF152" s="220"/>
      <c r="IG152" s="220"/>
      <c r="IH152" s="220"/>
      <c r="II152" s="220"/>
      <c r="IJ152" s="220"/>
      <c r="IK152" s="220"/>
      <c r="IL152" s="220"/>
      <c r="IM152" s="220"/>
      <c r="IN152" s="220"/>
      <c r="IO152" s="220"/>
      <c r="IP152" s="220"/>
      <c r="IQ152" s="220"/>
      <c r="IR152" s="220"/>
      <c r="IS152" s="220"/>
      <c r="IT152" s="220"/>
      <c r="IU152" s="220"/>
      <c r="IV152" s="220"/>
      <c r="IW152" s="220"/>
      <c r="IX152" s="220"/>
      <c r="IY152" s="220"/>
      <c r="IZ152" s="220"/>
      <c r="JA152" s="220"/>
      <c r="JB152" s="220"/>
      <c r="JC152" s="220"/>
      <c r="JD152" s="221"/>
      <c r="JE152" s="219"/>
      <c r="JF152" s="220"/>
      <c r="JG152" s="220"/>
      <c r="JH152" s="220"/>
      <c r="JI152" s="221"/>
      <c r="JS152" s="219"/>
      <c r="JT152" s="220"/>
      <c r="JU152" s="220"/>
      <c r="JV152" s="220"/>
      <c r="JW152" s="220"/>
      <c r="JX152" s="220"/>
      <c r="JY152" s="220"/>
      <c r="JZ152" s="220"/>
      <c r="KA152" s="220"/>
      <c r="KB152" s="220"/>
      <c r="KC152" s="220"/>
      <c r="KD152" s="220"/>
      <c r="KE152" s="220"/>
      <c r="KF152" s="220"/>
      <c r="KG152" s="220"/>
      <c r="KH152" s="220"/>
      <c r="KI152" s="220"/>
      <c r="KJ152" s="220"/>
      <c r="KK152" s="220"/>
      <c r="KL152" s="220"/>
      <c r="KM152" s="220"/>
      <c r="KN152" s="220"/>
      <c r="KO152" s="220"/>
      <c r="KP152" s="220"/>
      <c r="KQ152" s="220"/>
      <c r="KR152" s="220"/>
      <c r="KS152" s="220"/>
      <c r="KT152" s="220"/>
      <c r="KU152" s="220"/>
      <c r="KV152" s="220"/>
      <c r="KW152" s="220"/>
      <c r="KX152" s="220"/>
      <c r="KY152" s="220"/>
      <c r="KZ152" s="220"/>
      <c r="LA152" s="220"/>
      <c r="LB152" s="220"/>
      <c r="LC152" s="220"/>
      <c r="LD152" s="220"/>
      <c r="LE152" s="220"/>
      <c r="LF152" s="221"/>
      <c r="LG152" s="187"/>
      <c r="LH152" s="188"/>
      <c r="LI152" s="188"/>
      <c r="LJ152" s="188"/>
      <c r="LK152" s="188"/>
      <c r="LL152" s="189"/>
      <c r="LM152" s="19"/>
      <c r="LU152" s="155"/>
      <c r="LY152" s="16"/>
      <c r="MB152" s="187"/>
      <c r="MC152" s="188"/>
      <c r="MD152" s="188"/>
      <c r="ME152" s="188"/>
      <c r="MF152" s="188"/>
      <c r="MG152" s="188"/>
      <c r="MH152" s="188"/>
      <c r="MI152" s="188"/>
      <c r="MJ152" s="188"/>
      <c r="MK152" s="188"/>
      <c r="ML152" s="188"/>
      <c r="MM152" s="188"/>
      <c r="MN152" s="188"/>
      <c r="MO152" s="188"/>
      <c r="MP152" s="188"/>
      <c r="MQ152" s="188"/>
      <c r="MR152" s="188"/>
      <c r="MS152" s="188"/>
      <c r="MT152" s="188"/>
      <c r="MU152" s="188"/>
      <c r="MV152" s="188"/>
      <c r="MW152" s="188"/>
      <c r="MX152" s="188"/>
      <c r="MY152" s="188"/>
      <c r="MZ152" s="188"/>
      <c r="NA152" s="188"/>
      <c r="NB152" s="188"/>
      <c r="NC152" s="188"/>
      <c r="ND152" s="188"/>
      <c r="NE152" s="188"/>
      <c r="NF152" s="188"/>
      <c r="NG152" s="188"/>
      <c r="NH152" s="188"/>
      <c r="NI152" s="188"/>
      <c r="NJ152" s="188"/>
      <c r="NK152" s="188"/>
      <c r="NL152" s="188"/>
      <c r="NM152" s="188"/>
      <c r="NN152" s="188"/>
      <c r="NO152" s="188"/>
      <c r="NP152" s="189"/>
      <c r="NQ152" s="187"/>
      <c r="NR152" s="188"/>
      <c r="NS152" s="188"/>
      <c r="NT152" s="188"/>
      <c r="NU152" s="189"/>
      <c r="OW152" s="12"/>
      <c r="OX152" s="7"/>
      <c r="OY152" s="3"/>
      <c r="OZ152" s="3"/>
      <c r="PA152" s="3"/>
      <c r="PB152" s="3"/>
      <c r="PC152" s="2"/>
      <c r="PQ152" s="3"/>
      <c r="PR152" s="3"/>
      <c r="PS152" s="3"/>
      <c r="PT152" s="3"/>
      <c r="PU152" s="3"/>
      <c r="PV152" s="2"/>
    </row>
    <row r="153" spans="3:438" ht="5.0999999999999996" customHeight="1" x14ac:dyDescent="0.3">
      <c r="C153" s="11"/>
      <c r="D153" s="13"/>
      <c r="Q153" s="187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E153" s="189"/>
      <c r="BF153" s="187"/>
      <c r="BG153" s="188"/>
      <c r="BH153" s="188"/>
      <c r="BI153" s="188"/>
      <c r="BJ153" s="189"/>
      <c r="DV153" s="219"/>
      <c r="DW153" s="220"/>
      <c r="DX153" s="220"/>
      <c r="DY153" s="220"/>
      <c r="DZ153" s="220"/>
      <c r="EA153" s="220"/>
      <c r="EB153" s="220"/>
      <c r="EC153" s="220"/>
      <c r="ED153" s="220"/>
      <c r="EE153" s="220"/>
      <c r="EF153" s="220"/>
      <c r="EG153" s="220"/>
      <c r="EH153" s="220"/>
      <c r="EI153" s="220"/>
      <c r="EJ153" s="220"/>
      <c r="EK153" s="220"/>
      <c r="EL153" s="220"/>
      <c r="EM153" s="220"/>
      <c r="EN153" s="220"/>
      <c r="EO153" s="220"/>
      <c r="EP153" s="220"/>
      <c r="EQ153" s="220"/>
      <c r="ER153" s="220"/>
      <c r="ES153" s="220"/>
      <c r="ET153" s="220"/>
      <c r="EU153" s="220"/>
      <c r="EV153" s="220"/>
      <c r="EW153" s="220"/>
      <c r="EX153" s="220"/>
      <c r="EY153" s="220"/>
      <c r="EZ153" s="220"/>
      <c r="FA153" s="220"/>
      <c r="FB153" s="220"/>
      <c r="FC153" s="220"/>
      <c r="FD153" s="220"/>
      <c r="FE153" s="220"/>
      <c r="FF153" s="220"/>
      <c r="FG153" s="220"/>
      <c r="FH153" s="220"/>
      <c r="FI153" s="221"/>
      <c r="FJ153" s="219"/>
      <c r="FK153" s="220"/>
      <c r="FL153" s="220"/>
      <c r="FM153" s="220"/>
      <c r="FN153" s="221"/>
      <c r="FT153" s="219"/>
      <c r="FU153" s="220"/>
      <c r="FV153" s="220"/>
      <c r="FW153" s="220"/>
      <c r="FX153" s="220"/>
      <c r="FY153" s="220"/>
      <c r="FZ153" s="220"/>
      <c r="GA153" s="220"/>
      <c r="GB153" s="220"/>
      <c r="GC153" s="220"/>
      <c r="GD153" s="220"/>
      <c r="GE153" s="220"/>
      <c r="GF153" s="220"/>
      <c r="GG153" s="220"/>
      <c r="GH153" s="220"/>
      <c r="GI153" s="220"/>
      <c r="GJ153" s="220"/>
      <c r="GK153" s="220"/>
      <c r="GL153" s="220"/>
      <c r="GM153" s="220"/>
      <c r="GN153" s="220"/>
      <c r="GO153" s="220"/>
      <c r="GP153" s="220"/>
      <c r="GQ153" s="220"/>
      <c r="GR153" s="220"/>
      <c r="GS153" s="220"/>
      <c r="GT153" s="220"/>
      <c r="GU153" s="220"/>
      <c r="GV153" s="220"/>
      <c r="GW153" s="220"/>
      <c r="GX153" s="220"/>
      <c r="GY153" s="220"/>
      <c r="GZ153" s="220"/>
      <c r="HA153" s="220"/>
      <c r="HB153" s="220"/>
      <c r="HC153" s="220"/>
      <c r="HD153" s="220"/>
      <c r="HE153" s="220"/>
      <c r="HF153" s="220"/>
      <c r="HG153" s="221"/>
      <c r="HH153" s="219"/>
      <c r="HI153" s="220"/>
      <c r="HJ153" s="220"/>
      <c r="HK153" s="220"/>
      <c r="HL153" s="221"/>
      <c r="HQ153" s="219"/>
      <c r="HR153" s="220"/>
      <c r="HS153" s="220"/>
      <c r="HT153" s="220"/>
      <c r="HU153" s="220"/>
      <c r="HV153" s="220"/>
      <c r="HW153" s="220"/>
      <c r="HX153" s="220"/>
      <c r="HY153" s="220"/>
      <c r="HZ153" s="220"/>
      <c r="IA153" s="220"/>
      <c r="IB153" s="220"/>
      <c r="IC153" s="220"/>
      <c r="ID153" s="220"/>
      <c r="IE153" s="220"/>
      <c r="IF153" s="220"/>
      <c r="IG153" s="220"/>
      <c r="IH153" s="220"/>
      <c r="II153" s="220"/>
      <c r="IJ153" s="220"/>
      <c r="IK153" s="220"/>
      <c r="IL153" s="220"/>
      <c r="IM153" s="220"/>
      <c r="IN153" s="220"/>
      <c r="IO153" s="220"/>
      <c r="IP153" s="220"/>
      <c r="IQ153" s="220"/>
      <c r="IR153" s="220"/>
      <c r="IS153" s="220"/>
      <c r="IT153" s="220"/>
      <c r="IU153" s="220"/>
      <c r="IV153" s="220"/>
      <c r="IW153" s="220"/>
      <c r="IX153" s="220"/>
      <c r="IY153" s="220"/>
      <c r="IZ153" s="220"/>
      <c r="JA153" s="220"/>
      <c r="JB153" s="220"/>
      <c r="JC153" s="220"/>
      <c r="JD153" s="221"/>
      <c r="JE153" s="219"/>
      <c r="JF153" s="220"/>
      <c r="JG153" s="220"/>
      <c r="JH153" s="220"/>
      <c r="JI153" s="221"/>
      <c r="JS153" s="219"/>
      <c r="JT153" s="220"/>
      <c r="JU153" s="220"/>
      <c r="JV153" s="220"/>
      <c r="JW153" s="220"/>
      <c r="JX153" s="220"/>
      <c r="JY153" s="220"/>
      <c r="JZ153" s="220"/>
      <c r="KA153" s="220"/>
      <c r="KB153" s="220"/>
      <c r="KC153" s="220"/>
      <c r="KD153" s="220"/>
      <c r="KE153" s="220"/>
      <c r="KF153" s="220"/>
      <c r="KG153" s="220"/>
      <c r="KH153" s="220"/>
      <c r="KI153" s="220"/>
      <c r="KJ153" s="220"/>
      <c r="KK153" s="220"/>
      <c r="KL153" s="220"/>
      <c r="KM153" s="220"/>
      <c r="KN153" s="220"/>
      <c r="KO153" s="220"/>
      <c r="KP153" s="220"/>
      <c r="KQ153" s="220"/>
      <c r="KR153" s="220"/>
      <c r="KS153" s="220"/>
      <c r="KT153" s="220"/>
      <c r="KU153" s="220"/>
      <c r="KV153" s="220"/>
      <c r="KW153" s="220"/>
      <c r="KX153" s="220"/>
      <c r="KY153" s="220"/>
      <c r="KZ153" s="220"/>
      <c r="LA153" s="220"/>
      <c r="LB153" s="220"/>
      <c r="LC153" s="220"/>
      <c r="LD153" s="220"/>
      <c r="LE153" s="220"/>
      <c r="LF153" s="221"/>
      <c r="LG153" s="187"/>
      <c r="LH153" s="188"/>
      <c r="LI153" s="188"/>
      <c r="LJ153" s="188"/>
      <c r="LK153" s="188"/>
      <c r="LL153" s="189"/>
      <c r="LM153" s="19"/>
      <c r="LU153" s="155"/>
      <c r="LY153" s="16"/>
      <c r="MB153" s="187"/>
      <c r="MC153" s="188"/>
      <c r="MD153" s="188"/>
      <c r="ME153" s="188"/>
      <c r="MF153" s="188"/>
      <c r="MG153" s="188"/>
      <c r="MH153" s="188"/>
      <c r="MI153" s="188"/>
      <c r="MJ153" s="188"/>
      <c r="MK153" s="188"/>
      <c r="ML153" s="188"/>
      <c r="MM153" s="188"/>
      <c r="MN153" s="188"/>
      <c r="MO153" s="188"/>
      <c r="MP153" s="188"/>
      <c r="MQ153" s="188"/>
      <c r="MR153" s="188"/>
      <c r="MS153" s="188"/>
      <c r="MT153" s="188"/>
      <c r="MU153" s="188"/>
      <c r="MV153" s="188"/>
      <c r="MW153" s="188"/>
      <c r="MX153" s="188"/>
      <c r="MY153" s="188"/>
      <c r="MZ153" s="188"/>
      <c r="NA153" s="188"/>
      <c r="NB153" s="188"/>
      <c r="NC153" s="188"/>
      <c r="ND153" s="188"/>
      <c r="NE153" s="188"/>
      <c r="NF153" s="188"/>
      <c r="NG153" s="188"/>
      <c r="NH153" s="188"/>
      <c r="NI153" s="188"/>
      <c r="NJ153" s="188"/>
      <c r="NK153" s="188"/>
      <c r="NL153" s="188"/>
      <c r="NM153" s="188"/>
      <c r="NN153" s="188"/>
      <c r="NO153" s="188"/>
      <c r="NP153" s="189"/>
      <c r="NQ153" s="187"/>
      <c r="NR153" s="188"/>
      <c r="NS153" s="188"/>
      <c r="NT153" s="188"/>
      <c r="NU153" s="189"/>
      <c r="OW153" s="12"/>
      <c r="OX153" s="7"/>
      <c r="OY153" s="3"/>
      <c r="OZ153" s="3"/>
      <c r="PA153" s="3"/>
      <c r="PB153" s="3"/>
      <c r="PC153" s="2"/>
      <c r="PQ153" s="3"/>
      <c r="PR153" s="3"/>
      <c r="PS153" s="3"/>
      <c r="PT153" s="3"/>
      <c r="PU153" s="3"/>
      <c r="PV153" s="2"/>
    </row>
    <row r="154" spans="3:438" ht="5.0999999999999996" customHeight="1" x14ac:dyDescent="0.3">
      <c r="C154" s="11"/>
      <c r="D154" s="13"/>
      <c r="Q154" s="187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E154" s="189"/>
      <c r="BF154" s="187"/>
      <c r="BG154" s="188"/>
      <c r="BH154" s="188"/>
      <c r="BI154" s="188"/>
      <c r="BJ154" s="189"/>
      <c r="DV154" s="219"/>
      <c r="DW154" s="220"/>
      <c r="DX154" s="220"/>
      <c r="DY154" s="220"/>
      <c r="DZ154" s="220"/>
      <c r="EA154" s="220"/>
      <c r="EB154" s="220"/>
      <c r="EC154" s="220"/>
      <c r="ED154" s="220"/>
      <c r="EE154" s="220"/>
      <c r="EF154" s="220"/>
      <c r="EG154" s="220"/>
      <c r="EH154" s="220"/>
      <c r="EI154" s="220"/>
      <c r="EJ154" s="220"/>
      <c r="EK154" s="220"/>
      <c r="EL154" s="220"/>
      <c r="EM154" s="220"/>
      <c r="EN154" s="220"/>
      <c r="EO154" s="220"/>
      <c r="EP154" s="220"/>
      <c r="EQ154" s="220"/>
      <c r="ER154" s="220"/>
      <c r="ES154" s="220"/>
      <c r="ET154" s="220"/>
      <c r="EU154" s="220"/>
      <c r="EV154" s="220"/>
      <c r="EW154" s="220"/>
      <c r="EX154" s="220"/>
      <c r="EY154" s="220"/>
      <c r="EZ154" s="220"/>
      <c r="FA154" s="220"/>
      <c r="FB154" s="220"/>
      <c r="FC154" s="220"/>
      <c r="FD154" s="220"/>
      <c r="FE154" s="220"/>
      <c r="FF154" s="220"/>
      <c r="FG154" s="220"/>
      <c r="FH154" s="220"/>
      <c r="FI154" s="221"/>
      <c r="FJ154" s="219"/>
      <c r="FK154" s="220"/>
      <c r="FL154" s="220"/>
      <c r="FM154" s="220"/>
      <c r="FN154" s="221"/>
      <c r="FT154" s="219"/>
      <c r="FU154" s="220"/>
      <c r="FV154" s="220"/>
      <c r="FW154" s="220"/>
      <c r="FX154" s="220"/>
      <c r="FY154" s="220"/>
      <c r="FZ154" s="220"/>
      <c r="GA154" s="220"/>
      <c r="GB154" s="220"/>
      <c r="GC154" s="220"/>
      <c r="GD154" s="220"/>
      <c r="GE154" s="220"/>
      <c r="GF154" s="220"/>
      <c r="GG154" s="220"/>
      <c r="GH154" s="220"/>
      <c r="GI154" s="220"/>
      <c r="GJ154" s="220"/>
      <c r="GK154" s="220"/>
      <c r="GL154" s="220"/>
      <c r="GM154" s="220"/>
      <c r="GN154" s="220"/>
      <c r="GO154" s="220"/>
      <c r="GP154" s="220"/>
      <c r="GQ154" s="220"/>
      <c r="GR154" s="220"/>
      <c r="GS154" s="220"/>
      <c r="GT154" s="220"/>
      <c r="GU154" s="220"/>
      <c r="GV154" s="220"/>
      <c r="GW154" s="220"/>
      <c r="GX154" s="220"/>
      <c r="GY154" s="220"/>
      <c r="GZ154" s="220"/>
      <c r="HA154" s="220"/>
      <c r="HB154" s="220"/>
      <c r="HC154" s="220"/>
      <c r="HD154" s="220"/>
      <c r="HE154" s="220"/>
      <c r="HF154" s="220"/>
      <c r="HG154" s="221"/>
      <c r="HH154" s="219"/>
      <c r="HI154" s="220"/>
      <c r="HJ154" s="220"/>
      <c r="HK154" s="220"/>
      <c r="HL154" s="221"/>
      <c r="HQ154" s="219"/>
      <c r="HR154" s="220"/>
      <c r="HS154" s="220"/>
      <c r="HT154" s="220"/>
      <c r="HU154" s="220"/>
      <c r="HV154" s="220"/>
      <c r="HW154" s="220"/>
      <c r="HX154" s="220"/>
      <c r="HY154" s="220"/>
      <c r="HZ154" s="220"/>
      <c r="IA154" s="220"/>
      <c r="IB154" s="220"/>
      <c r="IC154" s="220"/>
      <c r="ID154" s="220"/>
      <c r="IE154" s="220"/>
      <c r="IF154" s="220"/>
      <c r="IG154" s="220"/>
      <c r="IH154" s="220"/>
      <c r="II154" s="220"/>
      <c r="IJ154" s="220"/>
      <c r="IK154" s="220"/>
      <c r="IL154" s="220"/>
      <c r="IM154" s="220"/>
      <c r="IN154" s="220"/>
      <c r="IO154" s="220"/>
      <c r="IP154" s="220"/>
      <c r="IQ154" s="220"/>
      <c r="IR154" s="220"/>
      <c r="IS154" s="220"/>
      <c r="IT154" s="220"/>
      <c r="IU154" s="220"/>
      <c r="IV154" s="220"/>
      <c r="IW154" s="220"/>
      <c r="IX154" s="220"/>
      <c r="IY154" s="220"/>
      <c r="IZ154" s="220"/>
      <c r="JA154" s="220"/>
      <c r="JB154" s="220"/>
      <c r="JC154" s="220"/>
      <c r="JD154" s="221"/>
      <c r="JE154" s="219"/>
      <c r="JF154" s="220"/>
      <c r="JG154" s="220"/>
      <c r="JH154" s="220"/>
      <c r="JI154" s="221"/>
      <c r="JS154" s="219"/>
      <c r="JT154" s="220"/>
      <c r="JU154" s="220"/>
      <c r="JV154" s="220"/>
      <c r="JW154" s="220"/>
      <c r="JX154" s="220"/>
      <c r="JY154" s="220"/>
      <c r="JZ154" s="220"/>
      <c r="KA154" s="220"/>
      <c r="KB154" s="220"/>
      <c r="KC154" s="220"/>
      <c r="KD154" s="220"/>
      <c r="KE154" s="220"/>
      <c r="KF154" s="220"/>
      <c r="KG154" s="220"/>
      <c r="KH154" s="220"/>
      <c r="KI154" s="220"/>
      <c r="KJ154" s="220"/>
      <c r="KK154" s="220"/>
      <c r="KL154" s="220"/>
      <c r="KM154" s="220"/>
      <c r="KN154" s="220"/>
      <c r="KO154" s="220"/>
      <c r="KP154" s="220"/>
      <c r="KQ154" s="220"/>
      <c r="KR154" s="220"/>
      <c r="KS154" s="220"/>
      <c r="KT154" s="220"/>
      <c r="KU154" s="220"/>
      <c r="KV154" s="220"/>
      <c r="KW154" s="220"/>
      <c r="KX154" s="220"/>
      <c r="KY154" s="220"/>
      <c r="KZ154" s="220"/>
      <c r="LA154" s="220"/>
      <c r="LB154" s="220"/>
      <c r="LC154" s="220"/>
      <c r="LD154" s="220"/>
      <c r="LE154" s="220"/>
      <c r="LF154" s="221"/>
      <c r="LG154" s="187"/>
      <c r="LH154" s="188"/>
      <c r="LI154" s="188"/>
      <c r="LJ154" s="188"/>
      <c r="LK154" s="188"/>
      <c r="LL154" s="189"/>
      <c r="LM154" s="19"/>
      <c r="LU154" s="155"/>
      <c r="LY154" s="16"/>
      <c r="MB154" s="187"/>
      <c r="MC154" s="188"/>
      <c r="MD154" s="188"/>
      <c r="ME154" s="188"/>
      <c r="MF154" s="188"/>
      <c r="MG154" s="188"/>
      <c r="MH154" s="188"/>
      <c r="MI154" s="188"/>
      <c r="MJ154" s="188"/>
      <c r="MK154" s="188"/>
      <c r="ML154" s="188"/>
      <c r="MM154" s="188"/>
      <c r="MN154" s="188"/>
      <c r="MO154" s="188"/>
      <c r="MP154" s="188"/>
      <c r="MQ154" s="188"/>
      <c r="MR154" s="188"/>
      <c r="MS154" s="188"/>
      <c r="MT154" s="188"/>
      <c r="MU154" s="188"/>
      <c r="MV154" s="188"/>
      <c r="MW154" s="188"/>
      <c r="MX154" s="188"/>
      <c r="MY154" s="188"/>
      <c r="MZ154" s="188"/>
      <c r="NA154" s="188"/>
      <c r="NB154" s="188"/>
      <c r="NC154" s="188"/>
      <c r="ND154" s="188"/>
      <c r="NE154" s="188"/>
      <c r="NF154" s="188"/>
      <c r="NG154" s="188"/>
      <c r="NH154" s="188"/>
      <c r="NI154" s="188"/>
      <c r="NJ154" s="188"/>
      <c r="NK154" s="188"/>
      <c r="NL154" s="188"/>
      <c r="NM154" s="188"/>
      <c r="NN154" s="188"/>
      <c r="NO154" s="188"/>
      <c r="NP154" s="189"/>
      <c r="NQ154" s="187"/>
      <c r="NR154" s="188"/>
      <c r="NS154" s="188"/>
      <c r="NT154" s="188"/>
      <c r="NU154" s="189"/>
      <c r="OW154" s="12"/>
      <c r="OX154" s="7"/>
      <c r="OY154" s="3"/>
      <c r="OZ154" s="3"/>
      <c r="PA154" s="3"/>
      <c r="PB154" s="3"/>
      <c r="PC154" s="2"/>
      <c r="PQ154" s="3"/>
      <c r="PR154" s="3"/>
      <c r="PS154" s="3"/>
      <c r="PT154" s="3"/>
      <c r="PU154" s="3"/>
      <c r="PV154" s="2"/>
    </row>
    <row r="155" spans="3:438" ht="5.0999999999999996" customHeight="1" thickBot="1" x14ac:dyDescent="0.35">
      <c r="C155" s="11"/>
      <c r="D155" s="13"/>
      <c r="Q155" s="187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9"/>
      <c r="BF155" s="187"/>
      <c r="BG155" s="188"/>
      <c r="BH155" s="188"/>
      <c r="BI155" s="188"/>
      <c r="BJ155" s="189"/>
      <c r="DV155" s="219"/>
      <c r="DW155" s="220"/>
      <c r="DX155" s="220"/>
      <c r="DY155" s="220"/>
      <c r="DZ155" s="220"/>
      <c r="EA155" s="220"/>
      <c r="EB155" s="220"/>
      <c r="EC155" s="220"/>
      <c r="ED155" s="220"/>
      <c r="EE155" s="220"/>
      <c r="EF155" s="220"/>
      <c r="EG155" s="220"/>
      <c r="EH155" s="220"/>
      <c r="EI155" s="220"/>
      <c r="EJ155" s="220"/>
      <c r="EK155" s="220"/>
      <c r="EL155" s="220"/>
      <c r="EM155" s="220"/>
      <c r="EN155" s="220"/>
      <c r="EO155" s="220"/>
      <c r="EP155" s="220"/>
      <c r="EQ155" s="220"/>
      <c r="ER155" s="220"/>
      <c r="ES155" s="220"/>
      <c r="ET155" s="220"/>
      <c r="EU155" s="220"/>
      <c r="EV155" s="220"/>
      <c r="EW155" s="220"/>
      <c r="EX155" s="220"/>
      <c r="EY155" s="220"/>
      <c r="EZ155" s="220"/>
      <c r="FA155" s="220"/>
      <c r="FB155" s="220"/>
      <c r="FC155" s="220"/>
      <c r="FD155" s="220"/>
      <c r="FE155" s="220"/>
      <c r="FF155" s="220"/>
      <c r="FG155" s="220"/>
      <c r="FH155" s="220"/>
      <c r="FI155" s="221"/>
      <c r="FJ155" s="219"/>
      <c r="FK155" s="220"/>
      <c r="FL155" s="220"/>
      <c r="FM155" s="220"/>
      <c r="FN155" s="221"/>
      <c r="FT155" s="219"/>
      <c r="FU155" s="220"/>
      <c r="FV155" s="220"/>
      <c r="FW155" s="220"/>
      <c r="FX155" s="220"/>
      <c r="FY155" s="220"/>
      <c r="FZ155" s="220"/>
      <c r="GA155" s="220"/>
      <c r="GB155" s="220"/>
      <c r="GC155" s="220"/>
      <c r="GD155" s="220"/>
      <c r="GE155" s="220"/>
      <c r="GF155" s="220"/>
      <c r="GG155" s="220"/>
      <c r="GH155" s="220"/>
      <c r="GI155" s="220"/>
      <c r="GJ155" s="220"/>
      <c r="GK155" s="220"/>
      <c r="GL155" s="220"/>
      <c r="GM155" s="220"/>
      <c r="GN155" s="220"/>
      <c r="GO155" s="220"/>
      <c r="GP155" s="220"/>
      <c r="GQ155" s="220"/>
      <c r="GR155" s="220"/>
      <c r="GS155" s="220"/>
      <c r="GT155" s="220"/>
      <c r="GU155" s="220"/>
      <c r="GV155" s="220"/>
      <c r="GW155" s="220"/>
      <c r="GX155" s="220"/>
      <c r="GY155" s="220"/>
      <c r="GZ155" s="220"/>
      <c r="HA155" s="220"/>
      <c r="HB155" s="220"/>
      <c r="HC155" s="220"/>
      <c r="HD155" s="220"/>
      <c r="HE155" s="220"/>
      <c r="HF155" s="220"/>
      <c r="HG155" s="221"/>
      <c r="HH155" s="219"/>
      <c r="HI155" s="220"/>
      <c r="HJ155" s="220"/>
      <c r="HK155" s="220"/>
      <c r="HL155" s="221"/>
      <c r="HQ155" s="219"/>
      <c r="HR155" s="220"/>
      <c r="HS155" s="220"/>
      <c r="HT155" s="220"/>
      <c r="HU155" s="220"/>
      <c r="HV155" s="220"/>
      <c r="HW155" s="220"/>
      <c r="HX155" s="220"/>
      <c r="HY155" s="220"/>
      <c r="HZ155" s="220"/>
      <c r="IA155" s="220"/>
      <c r="IB155" s="220"/>
      <c r="IC155" s="220"/>
      <c r="ID155" s="220"/>
      <c r="IE155" s="220"/>
      <c r="IF155" s="220"/>
      <c r="IG155" s="220"/>
      <c r="IH155" s="220"/>
      <c r="II155" s="220"/>
      <c r="IJ155" s="220"/>
      <c r="IK155" s="220"/>
      <c r="IL155" s="220"/>
      <c r="IM155" s="220"/>
      <c r="IN155" s="220"/>
      <c r="IO155" s="220"/>
      <c r="IP155" s="220"/>
      <c r="IQ155" s="220"/>
      <c r="IR155" s="220"/>
      <c r="IS155" s="220"/>
      <c r="IT155" s="220"/>
      <c r="IU155" s="220"/>
      <c r="IV155" s="220"/>
      <c r="IW155" s="220"/>
      <c r="IX155" s="220"/>
      <c r="IY155" s="220"/>
      <c r="IZ155" s="220"/>
      <c r="JA155" s="220"/>
      <c r="JB155" s="220"/>
      <c r="JC155" s="220"/>
      <c r="JD155" s="221"/>
      <c r="JE155" s="219"/>
      <c r="JF155" s="220"/>
      <c r="JG155" s="220"/>
      <c r="JH155" s="220"/>
      <c r="JI155" s="221"/>
      <c r="JS155" s="219"/>
      <c r="JT155" s="220"/>
      <c r="JU155" s="220"/>
      <c r="JV155" s="220"/>
      <c r="JW155" s="220"/>
      <c r="JX155" s="220"/>
      <c r="JY155" s="220"/>
      <c r="JZ155" s="220"/>
      <c r="KA155" s="220"/>
      <c r="KB155" s="220"/>
      <c r="KC155" s="220"/>
      <c r="KD155" s="220"/>
      <c r="KE155" s="220"/>
      <c r="KF155" s="220"/>
      <c r="KG155" s="220"/>
      <c r="KH155" s="220"/>
      <c r="KI155" s="220"/>
      <c r="KJ155" s="220"/>
      <c r="KK155" s="220"/>
      <c r="KL155" s="220"/>
      <c r="KM155" s="220"/>
      <c r="KN155" s="220"/>
      <c r="KO155" s="220"/>
      <c r="KP155" s="220"/>
      <c r="KQ155" s="220"/>
      <c r="KR155" s="220"/>
      <c r="KS155" s="220"/>
      <c r="KT155" s="220"/>
      <c r="KU155" s="220"/>
      <c r="KV155" s="220"/>
      <c r="KW155" s="220"/>
      <c r="KX155" s="220"/>
      <c r="KY155" s="220"/>
      <c r="KZ155" s="220"/>
      <c r="LA155" s="220"/>
      <c r="LB155" s="220"/>
      <c r="LC155" s="220"/>
      <c r="LD155" s="220"/>
      <c r="LE155" s="220"/>
      <c r="LF155" s="221"/>
      <c r="LG155" s="187"/>
      <c r="LH155" s="188"/>
      <c r="LI155" s="188"/>
      <c r="LJ155" s="188"/>
      <c r="LK155" s="188"/>
      <c r="LL155" s="189"/>
      <c r="LM155" s="19"/>
      <c r="LU155" s="155"/>
      <c r="LY155" s="23"/>
      <c r="LZ155" s="31"/>
      <c r="MA155" s="153"/>
      <c r="MB155" s="187"/>
      <c r="MC155" s="188"/>
      <c r="MD155" s="188"/>
      <c r="ME155" s="188"/>
      <c r="MF155" s="188"/>
      <c r="MG155" s="188"/>
      <c r="MH155" s="188"/>
      <c r="MI155" s="188"/>
      <c r="MJ155" s="188"/>
      <c r="MK155" s="188"/>
      <c r="ML155" s="188"/>
      <c r="MM155" s="188"/>
      <c r="MN155" s="188"/>
      <c r="MO155" s="188"/>
      <c r="MP155" s="188"/>
      <c r="MQ155" s="188"/>
      <c r="MR155" s="188"/>
      <c r="MS155" s="188"/>
      <c r="MT155" s="188"/>
      <c r="MU155" s="188"/>
      <c r="MV155" s="188"/>
      <c r="MW155" s="188"/>
      <c r="MX155" s="188"/>
      <c r="MY155" s="188"/>
      <c r="MZ155" s="188"/>
      <c r="NA155" s="188"/>
      <c r="NB155" s="188"/>
      <c r="NC155" s="188"/>
      <c r="ND155" s="188"/>
      <c r="NE155" s="188"/>
      <c r="NF155" s="188"/>
      <c r="NG155" s="188"/>
      <c r="NH155" s="188"/>
      <c r="NI155" s="188"/>
      <c r="NJ155" s="188"/>
      <c r="NK155" s="188"/>
      <c r="NL155" s="188"/>
      <c r="NM155" s="188"/>
      <c r="NN155" s="188"/>
      <c r="NO155" s="188"/>
      <c r="NP155" s="189"/>
      <c r="NQ155" s="187"/>
      <c r="NR155" s="188"/>
      <c r="NS155" s="188"/>
      <c r="NT155" s="188"/>
      <c r="NU155" s="189"/>
      <c r="OW155" s="12"/>
      <c r="OX155" s="7"/>
      <c r="OY155" s="3"/>
      <c r="OZ155" s="3"/>
      <c r="PA155" s="3"/>
      <c r="PB155" s="3"/>
      <c r="PC155" s="2"/>
      <c r="PQ155" s="3"/>
      <c r="PR155" s="3"/>
      <c r="PS155" s="3"/>
      <c r="PT155" s="3"/>
      <c r="PU155" s="3"/>
      <c r="PV155" s="2"/>
    </row>
    <row r="156" spans="3:438" ht="5.0999999999999996" customHeight="1" x14ac:dyDescent="0.3">
      <c r="C156" s="11"/>
      <c r="D156" s="13"/>
      <c r="Q156" s="187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E156" s="189"/>
      <c r="BF156" s="187"/>
      <c r="BG156" s="188"/>
      <c r="BH156" s="188"/>
      <c r="BI156" s="188"/>
      <c r="BJ156" s="189"/>
      <c r="DV156" s="222"/>
      <c r="DW156" s="223"/>
      <c r="DX156" s="223"/>
      <c r="DY156" s="223"/>
      <c r="DZ156" s="223"/>
      <c r="EA156" s="223"/>
      <c r="EB156" s="223"/>
      <c r="EC156" s="223"/>
      <c r="ED156" s="223"/>
      <c r="EE156" s="223"/>
      <c r="EF156" s="223"/>
      <c r="EG156" s="223"/>
      <c r="EH156" s="223"/>
      <c r="EI156" s="223"/>
      <c r="EJ156" s="223"/>
      <c r="EK156" s="223"/>
      <c r="EL156" s="223"/>
      <c r="EM156" s="223"/>
      <c r="EN156" s="223"/>
      <c r="EO156" s="223"/>
      <c r="EP156" s="223"/>
      <c r="EQ156" s="223"/>
      <c r="ER156" s="223"/>
      <c r="ES156" s="223"/>
      <c r="ET156" s="223"/>
      <c r="EU156" s="223"/>
      <c r="EV156" s="223"/>
      <c r="EW156" s="223"/>
      <c r="EX156" s="223"/>
      <c r="EY156" s="223"/>
      <c r="EZ156" s="223"/>
      <c r="FA156" s="223"/>
      <c r="FB156" s="223"/>
      <c r="FC156" s="223"/>
      <c r="FD156" s="223"/>
      <c r="FE156" s="223"/>
      <c r="FF156" s="223"/>
      <c r="FG156" s="223"/>
      <c r="FH156" s="223"/>
      <c r="FI156" s="224"/>
      <c r="FJ156" s="222"/>
      <c r="FK156" s="223"/>
      <c r="FL156" s="223"/>
      <c r="FM156" s="223"/>
      <c r="FN156" s="224"/>
      <c r="FT156" s="222"/>
      <c r="FU156" s="223"/>
      <c r="FV156" s="223"/>
      <c r="FW156" s="223"/>
      <c r="FX156" s="223"/>
      <c r="FY156" s="223"/>
      <c r="FZ156" s="223"/>
      <c r="GA156" s="223"/>
      <c r="GB156" s="223"/>
      <c r="GC156" s="223"/>
      <c r="GD156" s="223"/>
      <c r="GE156" s="223"/>
      <c r="GF156" s="223"/>
      <c r="GG156" s="223"/>
      <c r="GH156" s="223"/>
      <c r="GI156" s="223"/>
      <c r="GJ156" s="223"/>
      <c r="GK156" s="223"/>
      <c r="GL156" s="223"/>
      <c r="GM156" s="223"/>
      <c r="GN156" s="223"/>
      <c r="GO156" s="223"/>
      <c r="GP156" s="223"/>
      <c r="GQ156" s="223"/>
      <c r="GR156" s="223"/>
      <c r="GS156" s="223"/>
      <c r="GT156" s="223"/>
      <c r="GU156" s="223"/>
      <c r="GV156" s="223"/>
      <c r="GW156" s="223"/>
      <c r="GX156" s="223"/>
      <c r="GY156" s="223"/>
      <c r="GZ156" s="223"/>
      <c r="HA156" s="223"/>
      <c r="HB156" s="223"/>
      <c r="HC156" s="223"/>
      <c r="HD156" s="223"/>
      <c r="HE156" s="223"/>
      <c r="HF156" s="223"/>
      <c r="HG156" s="224"/>
      <c r="HH156" s="222"/>
      <c r="HI156" s="223"/>
      <c r="HJ156" s="223"/>
      <c r="HK156" s="223"/>
      <c r="HL156" s="224"/>
      <c r="HQ156" s="222"/>
      <c r="HR156" s="223"/>
      <c r="HS156" s="223"/>
      <c r="HT156" s="223"/>
      <c r="HU156" s="223"/>
      <c r="HV156" s="223"/>
      <c r="HW156" s="223"/>
      <c r="HX156" s="223"/>
      <c r="HY156" s="223"/>
      <c r="HZ156" s="223"/>
      <c r="IA156" s="223"/>
      <c r="IB156" s="223"/>
      <c r="IC156" s="223"/>
      <c r="ID156" s="223"/>
      <c r="IE156" s="223"/>
      <c r="IF156" s="223"/>
      <c r="IG156" s="223"/>
      <c r="IH156" s="223"/>
      <c r="II156" s="223"/>
      <c r="IJ156" s="223"/>
      <c r="IK156" s="223"/>
      <c r="IL156" s="223"/>
      <c r="IM156" s="223"/>
      <c r="IN156" s="223"/>
      <c r="IO156" s="223"/>
      <c r="IP156" s="223"/>
      <c r="IQ156" s="223"/>
      <c r="IR156" s="223"/>
      <c r="IS156" s="223"/>
      <c r="IT156" s="223"/>
      <c r="IU156" s="223"/>
      <c r="IV156" s="223"/>
      <c r="IW156" s="223"/>
      <c r="IX156" s="223"/>
      <c r="IY156" s="223"/>
      <c r="IZ156" s="223"/>
      <c r="JA156" s="223"/>
      <c r="JB156" s="223"/>
      <c r="JC156" s="223"/>
      <c r="JD156" s="224"/>
      <c r="JE156" s="222"/>
      <c r="JF156" s="223"/>
      <c r="JG156" s="223"/>
      <c r="JH156" s="223"/>
      <c r="JI156" s="224"/>
      <c r="JS156" s="219"/>
      <c r="JT156" s="220"/>
      <c r="JU156" s="220"/>
      <c r="JV156" s="220"/>
      <c r="JW156" s="220"/>
      <c r="JX156" s="220"/>
      <c r="JY156" s="220"/>
      <c r="JZ156" s="220"/>
      <c r="KA156" s="220"/>
      <c r="KB156" s="220"/>
      <c r="KC156" s="220"/>
      <c r="KD156" s="220"/>
      <c r="KE156" s="220"/>
      <c r="KF156" s="220"/>
      <c r="KG156" s="220"/>
      <c r="KH156" s="220"/>
      <c r="KI156" s="220"/>
      <c r="KJ156" s="220"/>
      <c r="KK156" s="220"/>
      <c r="KL156" s="220"/>
      <c r="KM156" s="220"/>
      <c r="KN156" s="220"/>
      <c r="KO156" s="220"/>
      <c r="KP156" s="220"/>
      <c r="KQ156" s="220"/>
      <c r="KR156" s="220"/>
      <c r="KS156" s="220"/>
      <c r="KT156" s="220"/>
      <c r="KU156" s="220"/>
      <c r="KV156" s="220"/>
      <c r="KW156" s="220"/>
      <c r="KX156" s="220"/>
      <c r="KY156" s="220"/>
      <c r="KZ156" s="220"/>
      <c r="LA156" s="220"/>
      <c r="LB156" s="220"/>
      <c r="LC156" s="220"/>
      <c r="LD156" s="220"/>
      <c r="LE156" s="220"/>
      <c r="LF156" s="221"/>
      <c r="LG156" s="187"/>
      <c r="LH156" s="188"/>
      <c r="LI156" s="188"/>
      <c r="LJ156" s="188"/>
      <c r="LK156" s="188"/>
      <c r="LL156" s="189"/>
      <c r="LM156" s="19"/>
      <c r="LU156" s="155"/>
      <c r="MB156" s="187"/>
      <c r="MC156" s="188"/>
      <c r="MD156" s="188"/>
      <c r="ME156" s="188"/>
      <c r="MF156" s="188"/>
      <c r="MG156" s="188"/>
      <c r="MH156" s="188"/>
      <c r="MI156" s="188"/>
      <c r="MJ156" s="188"/>
      <c r="MK156" s="188"/>
      <c r="ML156" s="188"/>
      <c r="MM156" s="188"/>
      <c r="MN156" s="188"/>
      <c r="MO156" s="188"/>
      <c r="MP156" s="188"/>
      <c r="MQ156" s="188"/>
      <c r="MR156" s="188"/>
      <c r="MS156" s="188"/>
      <c r="MT156" s="188"/>
      <c r="MU156" s="188"/>
      <c r="MV156" s="188"/>
      <c r="MW156" s="188"/>
      <c r="MX156" s="188"/>
      <c r="MY156" s="188"/>
      <c r="MZ156" s="188"/>
      <c r="NA156" s="188"/>
      <c r="NB156" s="188"/>
      <c r="NC156" s="188"/>
      <c r="ND156" s="188"/>
      <c r="NE156" s="188"/>
      <c r="NF156" s="188"/>
      <c r="NG156" s="188"/>
      <c r="NH156" s="188"/>
      <c r="NI156" s="188"/>
      <c r="NJ156" s="188"/>
      <c r="NK156" s="188"/>
      <c r="NL156" s="188"/>
      <c r="NM156" s="188"/>
      <c r="NN156" s="188"/>
      <c r="NO156" s="188"/>
      <c r="NP156" s="189"/>
      <c r="NQ156" s="187"/>
      <c r="NR156" s="188"/>
      <c r="NS156" s="188"/>
      <c r="NT156" s="188"/>
      <c r="NU156" s="189"/>
      <c r="OW156" s="12"/>
      <c r="OX156" s="7"/>
      <c r="OY156" s="3"/>
      <c r="OZ156" s="3"/>
      <c r="PA156" s="3"/>
      <c r="PB156" s="3"/>
      <c r="PC156" s="2"/>
      <c r="PQ156" s="3"/>
      <c r="PR156" s="3"/>
      <c r="PS156" s="3"/>
      <c r="PT156" s="3"/>
      <c r="PU156" s="3"/>
      <c r="PV156" s="2"/>
    </row>
    <row r="157" spans="3:438" ht="5.0999999999999996" customHeight="1" x14ac:dyDescent="0.3">
      <c r="C157" s="11"/>
      <c r="D157" s="13"/>
      <c r="Q157" s="187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E157" s="189"/>
      <c r="BF157" s="187"/>
      <c r="BG157" s="188"/>
      <c r="BH157" s="188"/>
      <c r="BI157" s="188"/>
      <c r="BJ157" s="189"/>
      <c r="ES157" s="17"/>
      <c r="ET157" s="18"/>
      <c r="GQ157" s="17"/>
      <c r="GR157" s="18"/>
      <c r="IN157" s="17"/>
      <c r="JS157" s="219"/>
      <c r="JT157" s="220"/>
      <c r="JU157" s="220"/>
      <c r="JV157" s="220"/>
      <c r="JW157" s="220"/>
      <c r="JX157" s="220"/>
      <c r="JY157" s="220"/>
      <c r="JZ157" s="220"/>
      <c r="KA157" s="220"/>
      <c r="KB157" s="220"/>
      <c r="KC157" s="220"/>
      <c r="KD157" s="220"/>
      <c r="KE157" s="220"/>
      <c r="KF157" s="220"/>
      <c r="KG157" s="220"/>
      <c r="KH157" s="220"/>
      <c r="KI157" s="220"/>
      <c r="KJ157" s="220"/>
      <c r="KK157" s="220"/>
      <c r="KL157" s="220"/>
      <c r="KM157" s="220"/>
      <c r="KN157" s="220"/>
      <c r="KO157" s="220"/>
      <c r="KP157" s="220"/>
      <c r="KQ157" s="220"/>
      <c r="KR157" s="220"/>
      <c r="KS157" s="220"/>
      <c r="KT157" s="220"/>
      <c r="KU157" s="220"/>
      <c r="KV157" s="220"/>
      <c r="KW157" s="220"/>
      <c r="KX157" s="220"/>
      <c r="KY157" s="220"/>
      <c r="KZ157" s="220"/>
      <c r="LA157" s="220"/>
      <c r="LB157" s="220"/>
      <c r="LC157" s="220"/>
      <c r="LD157" s="220"/>
      <c r="LE157" s="220"/>
      <c r="LF157" s="221"/>
      <c r="LG157" s="187"/>
      <c r="LH157" s="188"/>
      <c r="LI157" s="188"/>
      <c r="LJ157" s="188"/>
      <c r="LK157" s="188"/>
      <c r="LL157" s="189"/>
      <c r="LM157" s="19"/>
      <c r="LU157" s="155"/>
      <c r="MB157" s="187"/>
      <c r="MC157" s="188"/>
      <c r="MD157" s="188"/>
      <c r="ME157" s="188"/>
      <c r="MF157" s="188"/>
      <c r="MG157" s="188"/>
      <c r="MH157" s="188"/>
      <c r="MI157" s="188"/>
      <c r="MJ157" s="188"/>
      <c r="MK157" s="188"/>
      <c r="ML157" s="188"/>
      <c r="MM157" s="188"/>
      <c r="MN157" s="188"/>
      <c r="MO157" s="188"/>
      <c r="MP157" s="188"/>
      <c r="MQ157" s="188"/>
      <c r="MR157" s="188"/>
      <c r="MS157" s="188"/>
      <c r="MT157" s="188"/>
      <c r="MU157" s="188"/>
      <c r="MV157" s="188"/>
      <c r="MW157" s="188"/>
      <c r="MX157" s="188"/>
      <c r="MY157" s="188"/>
      <c r="MZ157" s="188"/>
      <c r="NA157" s="188"/>
      <c r="NB157" s="188"/>
      <c r="NC157" s="188"/>
      <c r="ND157" s="188"/>
      <c r="NE157" s="188"/>
      <c r="NF157" s="188"/>
      <c r="NG157" s="188"/>
      <c r="NH157" s="188"/>
      <c r="NI157" s="188"/>
      <c r="NJ157" s="188"/>
      <c r="NK157" s="188"/>
      <c r="NL157" s="188"/>
      <c r="NM157" s="188"/>
      <c r="NN157" s="188"/>
      <c r="NO157" s="188"/>
      <c r="NP157" s="189"/>
      <c r="NQ157" s="187"/>
      <c r="NR157" s="188"/>
      <c r="NS157" s="188"/>
      <c r="NT157" s="188"/>
      <c r="NU157" s="189"/>
      <c r="OW157" s="12"/>
      <c r="OX157" s="7"/>
      <c r="OY157" s="3"/>
      <c r="OZ157" s="3"/>
      <c r="PA157" s="3"/>
      <c r="PB157" s="3"/>
      <c r="PC157" s="2"/>
      <c r="PQ157" s="3"/>
      <c r="PR157" s="3"/>
      <c r="PS157" s="3"/>
      <c r="PT157" s="3"/>
      <c r="PU157" s="3"/>
      <c r="PV157" s="2"/>
    </row>
    <row r="158" spans="3:438" ht="5.0999999999999996" customHeight="1" x14ac:dyDescent="0.3">
      <c r="C158" s="11"/>
      <c r="D158" s="13"/>
      <c r="Q158" s="187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9"/>
      <c r="BF158" s="187"/>
      <c r="BG158" s="188"/>
      <c r="BH158" s="188"/>
      <c r="BI158" s="188"/>
      <c r="BJ158" s="189"/>
      <c r="ES158" s="16"/>
      <c r="GQ158" s="16"/>
      <c r="IN158" s="16"/>
      <c r="JS158" s="222"/>
      <c r="JT158" s="223"/>
      <c r="JU158" s="223"/>
      <c r="JV158" s="223"/>
      <c r="JW158" s="223"/>
      <c r="JX158" s="223"/>
      <c r="JY158" s="223"/>
      <c r="JZ158" s="223"/>
      <c r="KA158" s="223"/>
      <c r="KB158" s="223"/>
      <c r="KC158" s="223"/>
      <c r="KD158" s="223"/>
      <c r="KE158" s="223"/>
      <c r="KF158" s="223"/>
      <c r="KG158" s="223"/>
      <c r="KH158" s="223"/>
      <c r="KI158" s="223"/>
      <c r="KJ158" s="223"/>
      <c r="KK158" s="223"/>
      <c r="KL158" s="223"/>
      <c r="KM158" s="223"/>
      <c r="KN158" s="223"/>
      <c r="KO158" s="223"/>
      <c r="KP158" s="223"/>
      <c r="KQ158" s="223"/>
      <c r="KR158" s="223"/>
      <c r="KS158" s="223"/>
      <c r="KT158" s="223"/>
      <c r="KU158" s="223"/>
      <c r="KV158" s="223"/>
      <c r="KW158" s="223"/>
      <c r="KX158" s="223"/>
      <c r="KY158" s="223"/>
      <c r="KZ158" s="223"/>
      <c r="LA158" s="223"/>
      <c r="LB158" s="223"/>
      <c r="LC158" s="223"/>
      <c r="LD158" s="223"/>
      <c r="LE158" s="223"/>
      <c r="LF158" s="224"/>
      <c r="LG158" s="190"/>
      <c r="LH158" s="191"/>
      <c r="LI158" s="191"/>
      <c r="LJ158" s="191"/>
      <c r="LK158" s="191"/>
      <c r="LL158" s="192"/>
      <c r="LM158" s="19"/>
      <c r="LU158" s="155"/>
      <c r="MB158" s="190"/>
      <c r="MC158" s="191"/>
      <c r="MD158" s="191"/>
      <c r="ME158" s="191"/>
      <c r="MF158" s="191"/>
      <c r="MG158" s="191"/>
      <c r="MH158" s="191"/>
      <c r="MI158" s="191"/>
      <c r="MJ158" s="191"/>
      <c r="MK158" s="191"/>
      <c r="ML158" s="191"/>
      <c r="MM158" s="191"/>
      <c r="MN158" s="191"/>
      <c r="MO158" s="191"/>
      <c r="MP158" s="191"/>
      <c r="MQ158" s="191"/>
      <c r="MR158" s="191"/>
      <c r="MS158" s="191"/>
      <c r="MT158" s="191"/>
      <c r="MU158" s="191"/>
      <c r="MV158" s="191"/>
      <c r="MW158" s="191"/>
      <c r="MX158" s="191"/>
      <c r="MY158" s="191"/>
      <c r="MZ158" s="191"/>
      <c r="NA158" s="191"/>
      <c r="NB158" s="191"/>
      <c r="NC158" s="191"/>
      <c r="ND158" s="191"/>
      <c r="NE158" s="191"/>
      <c r="NF158" s="191"/>
      <c r="NG158" s="191"/>
      <c r="NH158" s="191"/>
      <c r="NI158" s="191"/>
      <c r="NJ158" s="191"/>
      <c r="NK158" s="191"/>
      <c r="NL158" s="191"/>
      <c r="NM158" s="191"/>
      <c r="NN158" s="191"/>
      <c r="NO158" s="191"/>
      <c r="NP158" s="192"/>
      <c r="NQ158" s="190"/>
      <c r="NR158" s="191"/>
      <c r="NS158" s="191"/>
      <c r="NT158" s="191"/>
      <c r="NU158" s="192"/>
      <c r="OW158" s="12"/>
      <c r="OX158" s="7"/>
      <c r="OY158" s="3"/>
      <c r="OZ158" s="3"/>
      <c r="PA158" s="3"/>
      <c r="PB158" s="3"/>
      <c r="PC158" s="2"/>
      <c r="PQ158" s="3"/>
      <c r="PR158" s="3"/>
      <c r="PS158" s="3"/>
      <c r="PT158" s="3"/>
      <c r="PU158" s="3"/>
      <c r="PV158" s="2"/>
    </row>
    <row r="159" spans="3:438" ht="5.0999999999999996" customHeight="1" x14ac:dyDescent="0.3">
      <c r="C159" s="11"/>
      <c r="D159" s="13"/>
      <c r="Q159" s="187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9"/>
      <c r="BF159" s="187"/>
      <c r="BG159" s="188"/>
      <c r="BH159" s="188"/>
      <c r="BI159" s="188"/>
      <c r="BJ159" s="189"/>
      <c r="ES159" s="16"/>
      <c r="GQ159" s="16"/>
      <c r="IN159" s="16"/>
      <c r="LM159" s="19"/>
      <c r="LU159" s="155"/>
      <c r="MB159" s="184" t="s">
        <v>44</v>
      </c>
      <c r="MC159" s="185"/>
      <c r="MD159" s="185"/>
      <c r="ME159" s="185"/>
      <c r="MF159" s="185"/>
      <c r="MG159" s="185"/>
      <c r="MH159" s="185"/>
      <c r="MI159" s="185"/>
      <c r="MJ159" s="185"/>
      <c r="MK159" s="185"/>
      <c r="ML159" s="185"/>
      <c r="MM159" s="185"/>
      <c r="MN159" s="185"/>
      <c r="MO159" s="185"/>
      <c r="MP159" s="185"/>
      <c r="MQ159" s="185"/>
      <c r="MR159" s="185"/>
      <c r="MS159" s="185"/>
      <c r="MT159" s="185"/>
      <c r="MU159" s="185"/>
      <c r="MV159" s="185"/>
      <c r="MW159" s="185"/>
      <c r="MX159" s="185"/>
      <c r="MY159" s="185"/>
      <c r="MZ159" s="185"/>
      <c r="NA159" s="185"/>
      <c r="NB159" s="185"/>
      <c r="NC159" s="185"/>
      <c r="ND159" s="185"/>
      <c r="NE159" s="185"/>
      <c r="NF159" s="185"/>
      <c r="NG159" s="185"/>
      <c r="NH159" s="185"/>
      <c r="NI159" s="185"/>
      <c r="NJ159" s="185"/>
      <c r="NK159" s="185"/>
      <c r="NL159" s="185"/>
      <c r="NM159" s="185"/>
      <c r="NN159" s="185"/>
      <c r="NO159" s="185"/>
      <c r="NP159" s="186"/>
      <c r="NQ159" s="184">
        <v>1</v>
      </c>
      <c r="NR159" s="185"/>
      <c r="NS159" s="185"/>
      <c r="NT159" s="185"/>
      <c r="NU159" s="186"/>
      <c r="OW159" s="12"/>
      <c r="OX159" s="7"/>
      <c r="OY159" s="3"/>
      <c r="OZ159" s="3"/>
      <c r="PA159" s="3"/>
      <c r="PB159" s="3"/>
      <c r="PC159" s="2"/>
      <c r="PQ159" s="3"/>
      <c r="PR159" s="3"/>
      <c r="PS159" s="3"/>
      <c r="PT159" s="3"/>
      <c r="PU159" s="3"/>
      <c r="PV159" s="2"/>
    </row>
    <row r="160" spans="3:438" ht="5.0999999999999996" customHeight="1" x14ac:dyDescent="0.3">
      <c r="C160" s="11"/>
      <c r="D160" s="13"/>
      <c r="Q160" s="190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2"/>
      <c r="BF160" s="190"/>
      <c r="BG160" s="191"/>
      <c r="BH160" s="191"/>
      <c r="BI160" s="191"/>
      <c r="BJ160" s="192"/>
      <c r="ES160" s="15"/>
      <c r="ET160" s="9"/>
      <c r="GQ160" s="15"/>
      <c r="GR160" s="9"/>
      <c r="IN160" s="15"/>
      <c r="LM160" s="19"/>
      <c r="LU160" s="155"/>
      <c r="MB160" s="187"/>
      <c r="MC160" s="188"/>
      <c r="MD160" s="188"/>
      <c r="ME160" s="188"/>
      <c r="MF160" s="188"/>
      <c r="MG160" s="188"/>
      <c r="MH160" s="188"/>
      <c r="MI160" s="188"/>
      <c r="MJ160" s="188"/>
      <c r="MK160" s="188"/>
      <c r="ML160" s="188"/>
      <c r="MM160" s="188"/>
      <c r="MN160" s="188"/>
      <c r="MO160" s="188"/>
      <c r="MP160" s="188"/>
      <c r="MQ160" s="188"/>
      <c r="MR160" s="188"/>
      <c r="MS160" s="188"/>
      <c r="MT160" s="188"/>
      <c r="MU160" s="188"/>
      <c r="MV160" s="188"/>
      <c r="MW160" s="188"/>
      <c r="MX160" s="188"/>
      <c r="MY160" s="188"/>
      <c r="MZ160" s="188"/>
      <c r="NA160" s="188"/>
      <c r="NB160" s="188"/>
      <c r="NC160" s="188"/>
      <c r="ND160" s="188"/>
      <c r="NE160" s="188"/>
      <c r="NF160" s="188"/>
      <c r="NG160" s="188"/>
      <c r="NH160" s="188"/>
      <c r="NI160" s="188"/>
      <c r="NJ160" s="188"/>
      <c r="NK160" s="188"/>
      <c r="NL160" s="188"/>
      <c r="NM160" s="188"/>
      <c r="NN160" s="188"/>
      <c r="NO160" s="188"/>
      <c r="NP160" s="189"/>
      <c r="NQ160" s="187"/>
      <c r="NR160" s="188"/>
      <c r="NS160" s="188"/>
      <c r="NT160" s="188"/>
      <c r="NU160" s="189"/>
      <c r="OW160" s="12"/>
      <c r="OX160" s="7"/>
      <c r="OY160" s="3"/>
      <c r="OZ160" s="3"/>
      <c r="PA160" s="3"/>
      <c r="PB160" s="3"/>
      <c r="PC160" s="2"/>
      <c r="PQ160" s="3"/>
      <c r="PR160" s="3"/>
      <c r="PS160" s="3"/>
      <c r="PT160" s="3"/>
      <c r="PU160" s="3"/>
      <c r="PV160" s="2"/>
    </row>
    <row r="161" spans="3:438" ht="5.0999999999999996" customHeight="1" x14ac:dyDescent="0.3">
      <c r="C161" s="11"/>
      <c r="D161" s="13"/>
      <c r="Q161" s="184" t="s">
        <v>44</v>
      </c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6"/>
      <c r="BF161" s="184">
        <v>2</v>
      </c>
      <c r="BG161" s="185"/>
      <c r="BH161" s="185"/>
      <c r="BI161" s="185"/>
      <c r="BJ161" s="186"/>
      <c r="DV161" s="184" t="s">
        <v>50</v>
      </c>
      <c r="DW161" s="185"/>
      <c r="DX161" s="185"/>
      <c r="DY161" s="185"/>
      <c r="DZ161" s="185"/>
      <c r="EA161" s="185"/>
      <c r="EB161" s="185"/>
      <c r="EC161" s="185"/>
      <c r="ED161" s="185"/>
      <c r="EE161" s="185"/>
      <c r="EF161" s="185"/>
      <c r="EG161" s="185"/>
      <c r="EH161" s="185"/>
      <c r="EI161" s="185"/>
      <c r="EJ161" s="185"/>
      <c r="EK161" s="185"/>
      <c r="EL161" s="185"/>
      <c r="EM161" s="185"/>
      <c r="EN161" s="185"/>
      <c r="EO161" s="185"/>
      <c r="EP161" s="185"/>
      <c r="EQ161" s="185"/>
      <c r="ER161" s="185"/>
      <c r="ES161" s="185"/>
      <c r="ET161" s="185"/>
      <c r="EU161" s="185"/>
      <c r="EV161" s="185"/>
      <c r="EW161" s="185"/>
      <c r="EX161" s="185"/>
      <c r="EY161" s="185"/>
      <c r="EZ161" s="185"/>
      <c r="FA161" s="185"/>
      <c r="FB161" s="185"/>
      <c r="FC161" s="185"/>
      <c r="FD161" s="185"/>
      <c r="FE161" s="185"/>
      <c r="FF161" s="185"/>
      <c r="FG161" s="185"/>
      <c r="FH161" s="185">
        <v>4</v>
      </c>
      <c r="FI161" s="186"/>
      <c r="FJ161" s="184">
        <v>1</v>
      </c>
      <c r="FK161" s="185"/>
      <c r="FL161" s="185"/>
      <c r="FM161" s="185"/>
      <c r="FN161" s="186"/>
      <c r="FT161" s="184" t="s">
        <v>52</v>
      </c>
      <c r="FU161" s="185"/>
      <c r="FV161" s="185"/>
      <c r="FW161" s="185"/>
      <c r="FX161" s="185"/>
      <c r="FY161" s="185"/>
      <c r="FZ161" s="185"/>
      <c r="GA161" s="185"/>
      <c r="GB161" s="185"/>
      <c r="GC161" s="185"/>
      <c r="GD161" s="185"/>
      <c r="GE161" s="185"/>
      <c r="GF161" s="185"/>
      <c r="GG161" s="185"/>
      <c r="GH161" s="185"/>
      <c r="GI161" s="185"/>
      <c r="GJ161" s="185"/>
      <c r="GK161" s="185"/>
      <c r="GL161" s="185"/>
      <c r="GM161" s="185"/>
      <c r="GN161" s="185"/>
      <c r="GO161" s="185"/>
      <c r="GP161" s="185"/>
      <c r="GQ161" s="185"/>
      <c r="GR161" s="185"/>
      <c r="GS161" s="185"/>
      <c r="GT161" s="185"/>
      <c r="GU161" s="185"/>
      <c r="GV161" s="185"/>
      <c r="GW161" s="185"/>
      <c r="GX161" s="185"/>
      <c r="GY161" s="185"/>
      <c r="GZ161" s="185"/>
      <c r="HA161" s="185"/>
      <c r="HB161" s="185"/>
      <c r="HC161" s="185"/>
      <c r="HD161" s="185"/>
      <c r="HE161" s="185"/>
      <c r="HF161" s="185">
        <v>1</v>
      </c>
      <c r="HG161" s="186"/>
      <c r="HH161" s="184">
        <v>4</v>
      </c>
      <c r="HI161" s="185"/>
      <c r="HJ161" s="185"/>
      <c r="HK161" s="185"/>
      <c r="HL161" s="186"/>
      <c r="HQ161" s="184" t="s">
        <v>54</v>
      </c>
      <c r="HR161" s="185"/>
      <c r="HS161" s="185"/>
      <c r="HT161" s="185"/>
      <c r="HU161" s="185"/>
      <c r="HV161" s="185"/>
      <c r="HW161" s="185"/>
      <c r="HX161" s="185"/>
      <c r="HY161" s="185"/>
      <c r="HZ161" s="185"/>
      <c r="IA161" s="185"/>
      <c r="IB161" s="185"/>
      <c r="IC161" s="185"/>
      <c r="ID161" s="185"/>
      <c r="IE161" s="185"/>
      <c r="IF161" s="185"/>
      <c r="IG161" s="185"/>
      <c r="IH161" s="185"/>
      <c r="II161" s="185"/>
      <c r="IJ161" s="185"/>
      <c r="IK161" s="185"/>
      <c r="IL161" s="185"/>
      <c r="IM161" s="185"/>
      <c r="IN161" s="185"/>
      <c r="IO161" s="185"/>
      <c r="IP161" s="185"/>
      <c r="IQ161" s="185"/>
      <c r="IR161" s="185"/>
      <c r="IS161" s="185"/>
      <c r="IT161" s="185"/>
      <c r="IU161" s="185"/>
      <c r="IV161" s="185"/>
      <c r="IW161" s="185"/>
      <c r="IX161" s="185"/>
      <c r="IY161" s="185"/>
      <c r="IZ161" s="185"/>
      <c r="JA161" s="185"/>
      <c r="JB161" s="185"/>
      <c r="JC161" s="185"/>
      <c r="JD161" s="186"/>
      <c r="JE161" s="184">
        <v>1</v>
      </c>
      <c r="JF161" s="185"/>
      <c r="JG161" s="185"/>
      <c r="JH161" s="185"/>
      <c r="JI161" s="186"/>
      <c r="JS161" s="195" t="s">
        <v>36</v>
      </c>
      <c r="JT161" s="196"/>
      <c r="JU161" s="196"/>
      <c r="JV161" s="196"/>
      <c r="JW161" s="196"/>
      <c r="JX161" s="196"/>
      <c r="JY161" s="196"/>
      <c r="JZ161" s="196"/>
      <c r="KA161" s="196"/>
      <c r="KB161" s="196"/>
      <c r="KC161" s="196"/>
      <c r="KD161" s="196"/>
      <c r="KE161" s="196"/>
      <c r="KF161" s="196"/>
      <c r="KG161" s="196"/>
      <c r="KH161" s="196"/>
      <c r="KI161" s="196"/>
      <c r="KJ161" s="196"/>
      <c r="KK161" s="196"/>
      <c r="KL161" s="196"/>
      <c r="KM161" s="196"/>
      <c r="KN161" s="196"/>
      <c r="KO161" s="196"/>
      <c r="KP161" s="196"/>
      <c r="KQ161" s="196"/>
      <c r="KR161" s="196"/>
      <c r="KS161" s="196"/>
      <c r="KT161" s="196"/>
      <c r="KU161" s="196"/>
      <c r="KV161" s="196"/>
      <c r="KW161" s="196"/>
      <c r="KX161" s="196"/>
      <c r="KY161" s="196"/>
      <c r="KZ161" s="196"/>
      <c r="LA161" s="196"/>
      <c r="LB161" s="196"/>
      <c r="LC161" s="196"/>
      <c r="LD161" s="196"/>
      <c r="LE161" s="196"/>
      <c r="LF161" s="196"/>
      <c r="LG161" s="204">
        <f>LG171</f>
        <v>1</v>
      </c>
      <c r="LH161" s="204"/>
      <c r="LI161" s="204"/>
      <c r="LJ161" s="204"/>
      <c r="LK161" s="204"/>
      <c r="LL161" s="204"/>
      <c r="LM161" s="19"/>
      <c r="LU161" s="155"/>
      <c r="MB161" s="187"/>
      <c r="MC161" s="188"/>
      <c r="MD161" s="188"/>
      <c r="ME161" s="188"/>
      <c r="MF161" s="188"/>
      <c r="MG161" s="188"/>
      <c r="MH161" s="188"/>
      <c r="MI161" s="188"/>
      <c r="MJ161" s="188"/>
      <c r="MK161" s="188"/>
      <c r="ML161" s="188"/>
      <c r="MM161" s="188"/>
      <c r="MN161" s="188"/>
      <c r="MO161" s="188"/>
      <c r="MP161" s="188"/>
      <c r="MQ161" s="188"/>
      <c r="MR161" s="188"/>
      <c r="MS161" s="188"/>
      <c r="MT161" s="188"/>
      <c r="MU161" s="188"/>
      <c r="MV161" s="188"/>
      <c r="MW161" s="188"/>
      <c r="MX161" s="188"/>
      <c r="MY161" s="188"/>
      <c r="MZ161" s="188"/>
      <c r="NA161" s="188"/>
      <c r="NB161" s="188"/>
      <c r="NC161" s="188"/>
      <c r="ND161" s="188"/>
      <c r="NE161" s="188"/>
      <c r="NF161" s="188"/>
      <c r="NG161" s="188"/>
      <c r="NH161" s="188"/>
      <c r="NI161" s="188"/>
      <c r="NJ161" s="188"/>
      <c r="NK161" s="188"/>
      <c r="NL161" s="188"/>
      <c r="NM161" s="188"/>
      <c r="NN161" s="188"/>
      <c r="NO161" s="188"/>
      <c r="NP161" s="189"/>
      <c r="NQ161" s="187"/>
      <c r="NR161" s="188"/>
      <c r="NS161" s="188"/>
      <c r="NT161" s="188"/>
      <c r="NU161" s="189"/>
      <c r="OW161" s="12"/>
      <c r="OX161" s="7"/>
      <c r="OY161" s="3"/>
      <c r="OZ161" s="3"/>
      <c r="PA161" s="3"/>
      <c r="PB161" s="3"/>
      <c r="PC161" s="2"/>
      <c r="PQ161" s="3"/>
      <c r="PR161" s="3"/>
      <c r="PS161" s="3"/>
      <c r="PT161" s="3"/>
      <c r="PU161" s="3"/>
      <c r="PV161" s="2"/>
    </row>
    <row r="162" spans="3:438" ht="5.0999999999999996" customHeight="1" x14ac:dyDescent="0.3">
      <c r="C162" s="11"/>
      <c r="D162" s="13"/>
      <c r="Q162" s="187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E162" s="189"/>
      <c r="BF162" s="187"/>
      <c r="BG162" s="188"/>
      <c r="BH162" s="188"/>
      <c r="BI162" s="188"/>
      <c r="BJ162" s="189"/>
      <c r="DV162" s="187"/>
      <c r="DW162" s="188"/>
      <c r="DX162" s="188"/>
      <c r="DY162" s="188"/>
      <c r="DZ162" s="188"/>
      <c r="EA162" s="188"/>
      <c r="EB162" s="188"/>
      <c r="EC162" s="188"/>
      <c r="ED162" s="188"/>
      <c r="EE162" s="188"/>
      <c r="EF162" s="188"/>
      <c r="EG162" s="188"/>
      <c r="EH162" s="188"/>
      <c r="EI162" s="188"/>
      <c r="EJ162" s="188"/>
      <c r="EK162" s="188"/>
      <c r="EL162" s="188"/>
      <c r="EM162" s="188"/>
      <c r="EN162" s="188"/>
      <c r="EO162" s="188"/>
      <c r="EP162" s="188"/>
      <c r="EQ162" s="188"/>
      <c r="ER162" s="188"/>
      <c r="ES162" s="188"/>
      <c r="ET162" s="188"/>
      <c r="EU162" s="188"/>
      <c r="EV162" s="188"/>
      <c r="EW162" s="188"/>
      <c r="EX162" s="188"/>
      <c r="EY162" s="188"/>
      <c r="EZ162" s="188"/>
      <c r="FA162" s="188"/>
      <c r="FB162" s="188"/>
      <c r="FC162" s="188"/>
      <c r="FD162" s="188"/>
      <c r="FE162" s="188"/>
      <c r="FF162" s="188"/>
      <c r="FG162" s="188"/>
      <c r="FH162" s="188"/>
      <c r="FI162" s="189"/>
      <c r="FJ162" s="187"/>
      <c r="FK162" s="188"/>
      <c r="FL162" s="188"/>
      <c r="FM162" s="188"/>
      <c r="FN162" s="189"/>
      <c r="FT162" s="187"/>
      <c r="FU162" s="188"/>
      <c r="FV162" s="188"/>
      <c r="FW162" s="188"/>
      <c r="FX162" s="188"/>
      <c r="FY162" s="188"/>
      <c r="FZ162" s="188"/>
      <c r="GA162" s="188"/>
      <c r="GB162" s="188"/>
      <c r="GC162" s="188"/>
      <c r="GD162" s="188"/>
      <c r="GE162" s="188"/>
      <c r="GF162" s="188"/>
      <c r="GG162" s="188"/>
      <c r="GH162" s="188"/>
      <c r="GI162" s="188"/>
      <c r="GJ162" s="188"/>
      <c r="GK162" s="188"/>
      <c r="GL162" s="188"/>
      <c r="GM162" s="188"/>
      <c r="GN162" s="188"/>
      <c r="GO162" s="188"/>
      <c r="GP162" s="188"/>
      <c r="GQ162" s="188"/>
      <c r="GR162" s="188"/>
      <c r="GS162" s="188"/>
      <c r="GT162" s="188"/>
      <c r="GU162" s="188"/>
      <c r="GV162" s="188"/>
      <c r="GW162" s="188"/>
      <c r="GX162" s="188"/>
      <c r="GY162" s="188"/>
      <c r="GZ162" s="188"/>
      <c r="HA162" s="188"/>
      <c r="HB162" s="188"/>
      <c r="HC162" s="188"/>
      <c r="HD162" s="188"/>
      <c r="HE162" s="188"/>
      <c r="HF162" s="188"/>
      <c r="HG162" s="189"/>
      <c r="HH162" s="187"/>
      <c r="HI162" s="188"/>
      <c r="HJ162" s="188"/>
      <c r="HK162" s="188"/>
      <c r="HL162" s="189"/>
      <c r="HQ162" s="187"/>
      <c r="HR162" s="188"/>
      <c r="HS162" s="188"/>
      <c r="HT162" s="188"/>
      <c r="HU162" s="188"/>
      <c r="HV162" s="188"/>
      <c r="HW162" s="188"/>
      <c r="HX162" s="188"/>
      <c r="HY162" s="188"/>
      <c r="HZ162" s="188"/>
      <c r="IA162" s="188"/>
      <c r="IB162" s="188"/>
      <c r="IC162" s="188"/>
      <c r="ID162" s="188"/>
      <c r="IE162" s="188"/>
      <c r="IF162" s="188"/>
      <c r="IG162" s="188"/>
      <c r="IH162" s="188"/>
      <c r="II162" s="188"/>
      <c r="IJ162" s="188"/>
      <c r="IK162" s="188"/>
      <c r="IL162" s="188"/>
      <c r="IM162" s="188"/>
      <c r="IN162" s="188"/>
      <c r="IO162" s="188"/>
      <c r="IP162" s="188"/>
      <c r="IQ162" s="188"/>
      <c r="IR162" s="188"/>
      <c r="IS162" s="188"/>
      <c r="IT162" s="188"/>
      <c r="IU162" s="188"/>
      <c r="IV162" s="188"/>
      <c r="IW162" s="188"/>
      <c r="IX162" s="188"/>
      <c r="IY162" s="188"/>
      <c r="IZ162" s="188"/>
      <c r="JA162" s="188"/>
      <c r="JB162" s="188"/>
      <c r="JC162" s="188"/>
      <c r="JD162" s="189"/>
      <c r="JE162" s="187"/>
      <c r="JF162" s="188"/>
      <c r="JG162" s="188"/>
      <c r="JH162" s="188"/>
      <c r="JI162" s="189"/>
      <c r="JS162" s="198"/>
      <c r="JT162" s="199"/>
      <c r="JU162" s="199"/>
      <c r="JV162" s="199"/>
      <c r="JW162" s="199"/>
      <c r="JX162" s="199"/>
      <c r="JY162" s="199"/>
      <c r="JZ162" s="199"/>
      <c r="KA162" s="199"/>
      <c r="KB162" s="199"/>
      <c r="KC162" s="199"/>
      <c r="KD162" s="199"/>
      <c r="KE162" s="199"/>
      <c r="KF162" s="199"/>
      <c r="KG162" s="199"/>
      <c r="KH162" s="199"/>
      <c r="KI162" s="199"/>
      <c r="KJ162" s="199"/>
      <c r="KK162" s="199"/>
      <c r="KL162" s="199"/>
      <c r="KM162" s="199"/>
      <c r="KN162" s="199"/>
      <c r="KO162" s="199"/>
      <c r="KP162" s="199"/>
      <c r="KQ162" s="199"/>
      <c r="KR162" s="199"/>
      <c r="KS162" s="199"/>
      <c r="KT162" s="199"/>
      <c r="KU162" s="199"/>
      <c r="KV162" s="199"/>
      <c r="KW162" s="199"/>
      <c r="KX162" s="199"/>
      <c r="KY162" s="199"/>
      <c r="KZ162" s="199"/>
      <c r="LA162" s="199"/>
      <c r="LB162" s="199"/>
      <c r="LC162" s="199"/>
      <c r="LD162" s="199"/>
      <c r="LE162" s="199"/>
      <c r="LF162" s="199"/>
      <c r="LG162" s="204"/>
      <c r="LH162" s="204"/>
      <c r="LI162" s="204"/>
      <c r="LJ162" s="204"/>
      <c r="LK162" s="204"/>
      <c r="LL162" s="204"/>
      <c r="LM162" s="19"/>
      <c r="LU162" s="155"/>
      <c r="MB162" s="187"/>
      <c r="MC162" s="188"/>
      <c r="MD162" s="188"/>
      <c r="ME162" s="188"/>
      <c r="MF162" s="188"/>
      <c r="MG162" s="188"/>
      <c r="MH162" s="188"/>
      <c r="MI162" s="188"/>
      <c r="MJ162" s="188"/>
      <c r="MK162" s="188"/>
      <c r="ML162" s="188"/>
      <c r="MM162" s="188"/>
      <c r="MN162" s="188"/>
      <c r="MO162" s="188"/>
      <c r="MP162" s="188"/>
      <c r="MQ162" s="188"/>
      <c r="MR162" s="188"/>
      <c r="MS162" s="188"/>
      <c r="MT162" s="188"/>
      <c r="MU162" s="188"/>
      <c r="MV162" s="188"/>
      <c r="MW162" s="188"/>
      <c r="MX162" s="188"/>
      <c r="MY162" s="188"/>
      <c r="MZ162" s="188"/>
      <c r="NA162" s="188"/>
      <c r="NB162" s="188"/>
      <c r="NC162" s="188"/>
      <c r="ND162" s="188"/>
      <c r="NE162" s="188"/>
      <c r="NF162" s="188"/>
      <c r="NG162" s="188"/>
      <c r="NH162" s="188"/>
      <c r="NI162" s="188"/>
      <c r="NJ162" s="188"/>
      <c r="NK162" s="188"/>
      <c r="NL162" s="188"/>
      <c r="NM162" s="188"/>
      <c r="NN162" s="188"/>
      <c r="NO162" s="188"/>
      <c r="NP162" s="189"/>
      <c r="NQ162" s="187"/>
      <c r="NR162" s="188"/>
      <c r="NS162" s="188"/>
      <c r="NT162" s="188"/>
      <c r="NU162" s="189"/>
      <c r="OW162" s="12"/>
      <c r="OX162" s="7"/>
      <c r="OY162" s="3"/>
      <c r="OZ162" s="3"/>
      <c r="PA162" s="3"/>
      <c r="PB162" s="3"/>
      <c r="PC162" s="2"/>
      <c r="PQ162" s="3"/>
      <c r="PR162" s="3"/>
      <c r="PS162" s="3"/>
      <c r="PT162" s="3"/>
      <c r="PU162" s="3"/>
      <c r="PV162" s="2"/>
    </row>
    <row r="163" spans="3:438" ht="5.0999999999999996" customHeight="1" x14ac:dyDescent="0.3">
      <c r="C163" s="11"/>
      <c r="D163" s="13"/>
      <c r="Q163" s="187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  <c r="BD163" s="188"/>
      <c r="BE163" s="189"/>
      <c r="BF163" s="187"/>
      <c r="BG163" s="188"/>
      <c r="BH163" s="188"/>
      <c r="BI163" s="188"/>
      <c r="BJ163" s="189"/>
      <c r="DV163" s="187"/>
      <c r="DW163" s="188"/>
      <c r="DX163" s="188"/>
      <c r="DY163" s="188"/>
      <c r="DZ163" s="188"/>
      <c r="EA163" s="188"/>
      <c r="EB163" s="188"/>
      <c r="EC163" s="188"/>
      <c r="ED163" s="188"/>
      <c r="EE163" s="188"/>
      <c r="EF163" s="188"/>
      <c r="EG163" s="188"/>
      <c r="EH163" s="188"/>
      <c r="EI163" s="188"/>
      <c r="EJ163" s="188"/>
      <c r="EK163" s="188"/>
      <c r="EL163" s="188"/>
      <c r="EM163" s="188"/>
      <c r="EN163" s="188"/>
      <c r="EO163" s="188"/>
      <c r="EP163" s="188"/>
      <c r="EQ163" s="188"/>
      <c r="ER163" s="188"/>
      <c r="ES163" s="188"/>
      <c r="ET163" s="188"/>
      <c r="EU163" s="188"/>
      <c r="EV163" s="188"/>
      <c r="EW163" s="188"/>
      <c r="EX163" s="188"/>
      <c r="EY163" s="188"/>
      <c r="EZ163" s="188"/>
      <c r="FA163" s="188"/>
      <c r="FB163" s="188"/>
      <c r="FC163" s="188"/>
      <c r="FD163" s="188"/>
      <c r="FE163" s="188"/>
      <c r="FF163" s="188"/>
      <c r="FG163" s="188"/>
      <c r="FH163" s="188"/>
      <c r="FI163" s="189"/>
      <c r="FJ163" s="187"/>
      <c r="FK163" s="188"/>
      <c r="FL163" s="188"/>
      <c r="FM163" s="188"/>
      <c r="FN163" s="189"/>
      <c r="FT163" s="187"/>
      <c r="FU163" s="188"/>
      <c r="FV163" s="188"/>
      <c r="FW163" s="188"/>
      <c r="FX163" s="188"/>
      <c r="FY163" s="188"/>
      <c r="FZ163" s="188"/>
      <c r="GA163" s="188"/>
      <c r="GB163" s="188"/>
      <c r="GC163" s="188"/>
      <c r="GD163" s="188"/>
      <c r="GE163" s="188"/>
      <c r="GF163" s="188"/>
      <c r="GG163" s="188"/>
      <c r="GH163" s="188"/>
      <c r="GI163" s="188"/>
      <c r="GJ163" s="188"/>
      <c r="GK163" s="188"/>
      <c r="GL163" s="188"/>
      <c r="GM163" s="188"/>
      <c r="GN163" s="188"/>
      <c r="GO163" s="188"/>
      <c r="GP163" s="188"/>
      <c r="GQ163" s="188"/>
      <c r="GR163" s="188"/>
      <c r="GS163" s="188"/>
      <c r="GT163" s="188"/>
      <c r="GU163" s="188"/>
      <c r="GV163" s="188"/>
      <c r="GW163" s="188"/>
      <c r="GX163" s="188"/>
      <c r="GY163" s="188"/>
      <c r="GZ163" s="188"/>
      <c r="HA163" s="188"/>
      <c r="HB163" s="188"/>
      <c r="HC163" s="188"/>
      <c r="HD163" s="188"/>
      <c r="HE163" s="188"/>
      <c r="HF163" s="188"/>
      <c r="HG163" s="189"/>
      <c r="HH163" s="187"/>
      <c r="HI163" s="188"/>
      <c r="HJ163" s="188"/>
      <c r="HK163" s="188"/>
      <c r="HL163" s="189"/>
      <c r="HQ163" s="187"/>
      <c r="HR163" s="188"/>
      <c r="HS163" s="188"/>
      <c r="HT163" s="188"/>
      <c r="HU163" s="188"/>
      <c r="HV163" s="188"/>
      <c r="HW163" s="188"/>
      <c r="HX163" s="188"/>
      <c r="HY163" s="188"/>
      <c r="HZ163" s="188"/>
      <c r="IA163" s="188"/>
      <c r="IB163" s="188"/>
      <c r="IC163" s="188"/>
      <c r="ID163" s="188"/>
      <c r="IE163" s="188"/>
      <c r="IF163" s="188"/>
      <c r="IG163" s="188"/>
      <c r="IH163" s="188"/>
      <c r="II163" s="188"/>
      <c r="IJ163" s="188"/>
      <c r="IK163" s="188"/>
      <c r="IL163" s="188"/>
      <c r="IM163" s="188"/>
      <c r="IN163" s="188"/>
      <c r="IO163" s="188"/>
      <c r="IP163" s="188"/>
      <c r="IQ163" s="188"/>
      <c r="IR163" s="188"/>
      <c r="IS163" s="188"/>
      <c r="IT163" s="188"/>
      <c r="IU163" s="188"/>
      <c r="IV163" s="188"/>
      <c r="IW163" s="188"/>
      <c r="IX163" s="188"/>
      <c r="IY163" s="188"/>
      <c r="IZ163" s="188"/>
      <c r="JA163" s="188"/>
      <c r="JB163" s="188"/>
      <c r="JC163" s="188"/>
      <c r="JD163" s="189"/>
      <c r="JE163" s="187"/>
      <c r="JF163" s="188"/>
      <c r="JG163" s="188"/>
      <c r="JH163" s="188"/>
      <c r="JI163" s="189"/>
      <c r="JS163" s="198"/>
      <c r="JT163" s="199"/>
      <c r="JU163" s="199"/>
      <c r="JV163" s="199"/>
      <c r="JW163" s="199"/>
      <c r="JX163" s="199"/>
      <c r="JY163" s="199"/>
      <c r="JZ163" s="199"/>
      <c r="KA163" s="199"/>
      <c r="KB163" s="199"/>
      <c r="KC163" s="199"/>
      <c r="KD163" s="199"/>
      <c r="KE163" s="199"/>
      <c r="KF163" s="199"/>
      <c r="KG163" s="199"/>
      <c r="KH163" s="199"/>
      <c r="KI163" s="199"/>
      <c r="KJ163" s="199"/>
      <c r="KK163" s="199"/>
      <c r="KL163" s="199"/>
      <c r="KM163" s="199"/>
      <c r="KN163" s="199"/>
      <c r="KO163" s="199"/>
      <c r="KP163" s="199"/>
      <c r="KQ163" s="199"/>
      <c r="KR163" s="199"/>
      <c r="KS163" s="199"/>
      <c r="KT163" s="199"/>
      <c r="KU163" s="199"/>
      <c r="KV163" s="199"/>
      <c r="KW163" s="199"/>
      <c r="KX163" s="199"/>
      <c r="KY163" s="199"/>
      <c r="KZ163" s="199"/>
      <c r="LA163" s="199"/>
      <c r="LB163" s="199"/>
      <c r="LC163" s="199"/>
      <c r="LD163" s="199"/>
      <c r="LE163" s="199"/>
      <c r="LF163" s="199"/>
      <c r="LG163" s="204"/>
      <c r="LH163" s="204"/>
      <c r="LI163" s="204"/>
      <c r="LJ163" s="204"/>
      <c r="LK163" s="204"/>
      <c r="LL163" s="204"/>
      <c r="LM163" s="19"/>
      <c r="LU163" s="155"/>
      <c r="MB163" s="187"/>
      <c r="MC163" s="188"/>
      <c r="MD163" s="188"/>
      <c r="ME163" s="188"/>
      <c r="MF163" s="188"/>
      <c r="MG163" s="188"/>
      <c r="MH163" s="188"/>
      <c r="MI163" s="188"/>
      <c r="MJ163" s="188"/>
      <c r="MK163" s="188"/>
      <c r="ML163" s="188"/>
      <c r="MM163" s="188"/>
      <c r="MN163" s="188"/>
      <c r="MO163" s="188"/>
      <c r="MP163" s="188"/>
      <c r="MQ163" s="188"/>
      <c r="MR163" s="188"/>
      <c r="MS163" s="188"/>
      <c r="MT163" s="188"/>
      <c r="MU163" s="188"/>
      <c r="MV163" s="188"/>
      <c r="MW163" s="188"/>
      <c r="MX163" s="188"/>
      <c r="MY163" s="188"/>
      <c r="MZ163" s="188"/>
      <c r="NA163" s="188"/>
      <c r="NB163" s="188"/>
      <c r="NC163" s="188"/>
      <c r="ND163" s="188"/>
      <c r="NE163" s="188"/>
      <c r="NF163" s="188"/>
      <c r="NG163" s="188"/>
      <c r="NH163" s="188"/>
      <c r="NI163" s="188"/>
      <c r="NJ163" s="188"/>
      <c r="NK163" s="188"/>
      <c r="NL163" s="188"/>
      <c r="NM163" s="188"/>
      <c r="NN163" s="188"/>
      <c r="NO163" s="188"/>
      <c r="NP163" s="189"/>
      <c r="NQ163" s="187"/>
      <c r="NR163" s="188"/>
      <c r="NS163" s="188"/>
      <c r="NT163" s="188"/>
      <c r="NU163" s="189"/>
      <c r="OW163" s="12"/>
      <c r="OX163" s="7"/>
      <c r="OY163" s="3"/>
      <c r="OZ163" s="3"/>
      <c r="PA163" s="3"/>
      <c r="PB163" s="3"/>
      <c r="PC163" s="2"/>
      <c r="PQ163" s="3"/>
      <c r="PR163" s="3"/>
      <c r="PS163" s="3"/>
      <c r="PT163" s="3"/>
      <c r="PU163" s="3"/>
      <c r="PV163" s="2"/>
    </row>
    <row r="164" spans="3:438" ht="5.0999999999999996" customHeight="1" x14ac:dyDescent="0.3">
      <c r="C164" s="11"/>
      <c r="D164" s="13"/>
      <c r="Q164" s="187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  <c r="BD164" s="188"/>
      <c r="BE164" s="189"/>
      <c r="BF164" s="187"/>
      <c r="BG164" s="188"/>
      <c r="BH164" s="188"/>
      <c r="BI164" s="188"/>
      <c r="BJ164" s="189"/>
      <c r="DV164" s="187"/>
      <c r="DW164" s="188"/>
      <c r="DX164" s="188"/>
      <c r="DY164" s="188"/>
      <c r="DZ164" s="188"/>
      <c r="EA164" s="188"/>
      <c r="EB164" s="188"/>
      <c r="EC164" s="188"/>
      <c r="ED164" s="188"/>
      <c r="EE164" s="188"/>
      <c r="EF164" s="188"/>
      <c r="EG164" s="188"/>
      <c r="EH164" s="188"/>
      <c r="EI164" s="188"/>
      <c r="EJ164" s="188"/>
      <c r="EK164" s="188"/>
      <c r="EL164" s="188"/>
      <c r="EM164" s="188"/>
      <c r="EN164" s="188"/>
      <c r="EO164" s="188"/>
      <c r="EP164" s="188"/>
      <c r="EQ164" s="188"/>
      <c r="ER164" s="188"/>
      <c r="ES164" s="188"/>
      <c r="ET164" s="188"/>
      <c r="EU164" s="188"/>
      <c r="EV164" s="188"/>
      <c r="EW164" s="188"/>
      <c r="EX164" s="188"/>
      <c r="EY164" s="188"/>
      <c r="EZ164" s="188"/>
      <c r="FA164" s="188"/>
      <c r="FB164" s="188"/>
      <c r="FC164" s="188"/>
      <c r="FD164" s="188"/>
      <c r="FE164" s="188"/>
      <c r="FF164" s="188"/>
      <c r="FG164" s="188"/>
      <c r="FH164" s="188"/>
      <c r="FI164" s="189"/>
      <c r="FJ164" s="187"/>
      <c r="FK164" s="188"/>
      <c r="FL164" s="188"/>
      <c r="FM164" s="188"/>
      <c r="FN164" s="189"/>
      <c r="FT164" s="187"/>
      <c r="FU164" s="188"/>
      <c r="FV164" s="188"/>
      <c r="FW164" s="188"/>
      <c r="FX164" s="188"/>
      <c r="FY164" s="188"/>
      <c r="FZ164" s="188"/>
      <c r="GA164" s="188"/>
      <c r="GB164" s="188"/>
      <c r="GC164" s="188"/>
      <c r="GD164" s="188"/>
      <c r="GE164" s="188"/>
      <c r="GF164" s="188"/>
      <c r="GG164" s="188"/>
      <c r="GH164" s="188"/>
      <c r="GI164" s="188"/>
      <c r="GJ164" s="188"/>
      <c r="GK164" s="188"/>
      <c r="GL164" s="188"/>
      <c r="GM164" s="188"/>
      <c r="GN164" s="188"/>
      <c r="GO164" s="188"/>
      <c r="GP164" s="188"/>
      <c r="GQ164" s="188"/>
      <c r="GR164" s="188"/>
      <c r="GS164" s="188"/>
      <c r="GT164" s="188"/>
      <c r="GU164" s="188"/>
      <c r="GV164" s="188"/>
      <c r="GW164" s="188"/>
      <c r="GX164" s="188"/>
      <c r="GY164" s="188"/>
      <c r="GZ164" s="188"/>
      <c r="HA164" s="188"/>
      <c r="HB164" s="188"/>
      <c r="HC164" s="188"/>
      <c r="HD164" s="188"/>
      <c r="HE164" s="188"/>
      <c r="HF164" s="188"/>
      <c r="HG164" s="189"/>
      <c r="HH164" s="187"/>
      <c r="HI164" s="188"/>
      <c r="HJ164" s="188"/>
      <c r="HK164" s="188"/>
      <c r="HL164" s="189"/>
      <c r="HQ164" s="187"/>
      <c r="HR164" s="188"/>
      <c r="HS164" s="188"/>
      <c r="HT164" s="188"/>
      <c r="HU164" s="188"/>
      <c r="HV164" s="188"/>
      <c r="HW164" s="188"/>
      <c r="HX164" s="188"/>
      <c r="HY164" s="188"/>
      <c r="HZ164" s="188"/>
      <c r="IA164" s="188"/>
      <c r="IB164" s="188"/>
      <c r="IC164" s="188"/>
      <c r="ID164" s="188"/>
      <c r="IE164" s="188"/>
      <c r="IF164" s="188"/>
      <c r="IG164" s="188"/>
      <c r="IH164" s="188"/>
      <c r="II164" s="188"/>
      <c r="IJ164" s="188"/>
      <c r="IK164" s="188"/>
      <c r="IL164" s="188"/>
      <c r="IM164" s="188"/>
      <c r="IN164" s="188"/>
      <c r="IO164" s="188"/>
      <c r="IP164" s="188"/>
      <c r="IQ164" s="188"/>
      <c r="IR164" s="188"/>
      <c r="IS164" s="188"/>
      <c r="IT164" s="188"/>
      <c r="IU164" s="188"/>
      <c r="IV164" s="188"/>
      <c r="IW164" s="188"/>
      <c r="IX164" s="188"/>
      <c r="IY164" s="188"/>
      <c r="IZ164" s="188"/>
      <c r="JA164" s="188"/>
      <c r="JB164" s="188"/>
      <c r="JC164" s="188"/>
      <c r="JD164" s="189"/>
      <c r="JE164" s="187"/>
      <c r="JF164" s="188"/>
      <c r="JG164" s="188"/>
      <c r="JH164" s="188"/>
      <c r="JI164" s="189"/>
      <c r="JS164" s="198"/>
      <c r="JT164" s="199"/>
      <c r="JU164" s="199"/>
      <c r="JV164" s="199"/>
      <c r="JW164" s="199"/>
      <c r="JX164" s="199"/>
      <c r="JY164" s="199"/>
      <c r="JZ164" s="199"/>
      <c r="KA164" s="199"/>
      <c r="KB164" s="199"/>
      <c r="KC164" s="199"/>
      <c r="KD164" s="199"/>
      <c r="KE164" s="199"/>
      <c r="KF164" s="199"/>
      <c r="KG164" s="199"/>
      <c r="KH164" s="199"/>
      <c r="KI164" s="199"/>
      <c r="KJ164" s="199"/>
      <c r="KK164" s="199"/>
      <c r="KL164" s="199"/>
      <c r="KM164" s="199"/>
      <c r="KN164" s="199"/>
      <c r="KO164" s="199"/>
      <c r="KP164" s="199"/>
      <c r="KQ164" s="199"/>
      <c r="KR164" s="199"/>
      <c r="KS164" s="199"/>
      <c r="KT164" s="199"/>
      <c r="KU164" s="199"/>
      <c r="KV164" s="199"/>
      <c r="KW164" s="199"/>
      <c r="KX164" s="199"/>
      <c r="KY164" s="199"/>
      <c r="KZ164" s="199"/>
      <c r="LA164" s="199"/>
      <c r="LB164" s="199"/>
      <c r="LC164" s="199"/>
      <c r="LD164" s="199"/>
      <c r="LE164" s="199"/>
      <c r="LF164" s="199"/>
      <c r="LG164" s="204"/>
      <c r="LH164" s="204"/>
      <c r="LI164" s="204"/>
      <c r="LJ164" s="204"/>
      <c r="LK164" s="204"/>
      <c r="LL164" s="204"/>
      <c r="LM164" s="19"/>
      <c r="LU164" s="155"/>
      <c r="MB164" s="187"/>
      <c r="MC164" s="188"/>
      <c r="MD164" s="188"/>
      <c r="ME164" s="188"/>
      <c r="MF164" s="188"/>
      <c r="MG164" s="188"/>
      <c r="MH164" s="188"/>
      <c r="MI164" s="188"/>
      <c r="MJ164" s="188"/>
      <c r="MK164" s="188"/>
      <c r="ML164" s="188"/>
      <c r="MM164" s="188"/>
      <c r="MN164" s="188"/>
      <c r="MO164" s="188"/>
      <c r="MP164" s="188"/>
      <c r="MQ164" s="188"/>
      <c r="MR164" s="188"/>
      <c r="MS164" s="188"/>
      <c r="MT164" s="188"/>
      <c r="MU164" s="188"/>
      <c r="MV164" s="188"/>
      <c r="MW164" s="188"/>
      <c r="MX164" s="188"/>
      <c r="MY164" s="188"/>
      <c r="MZ164" s="188"/>
      <c r="NA164" s="188"/>
      <c r="NB164" s="188"/>
      <c r="NC164" s="188"/>
      <c r="ND164" s="188"/>
      <c r="NE164" s="188"/>
      <c r="NF164" s="188"/>
      <c r="NG164" s="188"/>
      <c r="NH164" s="188"/>
      <c r="NI164" s="188"/>
      <c r="NJ164" s="188"/>
      <c r="NK164" s="188"/>
      <c r="NL164" s="188"/>
      <c r="NM164" s="188"/>
      <c r="NN164" s="188"/>
      <c r="NO164" s="188"/>
      <c r="NP164" s="189"/>
      <c r="NQ164" s="187"/>
      <c r="NR164" s="188"/>
      <c r="NS164" s="188"/>
      <c r="NT164" s="188"/>
      <c r="NU164" s="189"/>
      <c r="OW164" s="12"/>
      <c r="OX164" s="7"/>
      <c r="OY164" s="3"/>
      <c r="OZ164" s="3"/>
      <c r="PA164" s="3"/>
      <c r="PB164" s="3"/>
      <c r="PC164" s="2"/>
      <c r="PQ164" s="3"/>
      <c r="PR164" s="3"/>
      <c r="PS164" s="3"/>
      <c r="PT164" s="3"/>
      <c r="PU164" s="3"/>
      <c r="PV164" s="2"/>
    </row>
    <row r="165" spans="3:438" ht="5.0999999999999996" customHeight="1" x14ac:dyDescent="0.3">
      <c r="C165" s="11"/>
      <c r="D165" s="13"/>
      <c r="Q165" s="187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  <c r="BD165" s="188"/>
      <c r="BE165" s="189"/>
      <c r="BF165" s="187"/>
      <c r="BG165" s="188"/>
      <c r="BH165" s="188"/>
      <c r="BI165" s="188"/>
      <c r="BJ165" s="189"/>
      <c r="DV165" s="187"/>
      <c r="DW165" s="188"/>
      <c r="DX165" s="188"/>
      <c r="DY165" s="188"/>
      <c r="DZ165" s="188"/>
      <c r="EA165" s="188"/>
      <c r="EB165" s="188"/>
      <c r="EC165" s="188"/>
      <c r="ED165" s="188"/>
      <c r="EE165" s="188"/>
      <c r="EF165" s="188"/>
      <c r="EG165" s="188"/>
      <c r="EH165" s="188"/>
      <c r="EI165" s="188"/>
      <c r="EJ165" s="188"/>
      <c r="EK165" s="188"/>
      <c r="EL165" s="188"/>
      <c r="EM165" s="188"/>
      <c r="EN165" s="188"/>
      <c r="EO165" s="188"/>
      <c r="EP165" s="188"/>
      <c r="EQ165" s="188"/>
      <c r="ER165" s="188"/>
      <c r="ES165" s="188"/>
      <c r="ET165" s="188"/>
      <c r="EU165" s="188"/>
      <c r="EV165" s="188"/>
      <c r="EW165" s="188"/>
      <c r="EX165" s="188"/>
      <c r="EY165" s="188"/>
      <c r="EZ165" s="188"/>
      <c r="FA165" s="188"/>
      <c r="FB165" s="188"/>
      <c r="FC165" s="188"/>
      <c r="FD165" s="188"/>
      <c r="FE165" s="188"/>
      <c r="FF165" s="188"/>
      <c r="FG165" s="188"/>
      <c r="FH165" s="188"/>
      <c r="FI165" s="189"/>
      <c r="FJ165" s="187"/>
      <c r="FK165" s="188"/>
      <c r="FL165" s="188"/>
      <c r="FM165" s="188"/>
      <c r="FN165" s="189"/>
      <c r="FT165" s="187"/>
      <c r="FU165" s="188"/>
      <c r="FV165" s="188"/>
      <c r="FW165" s="188"/>
      <c r="FX165" s="188"/>
      <c r="FY165" s="188"/>
      <c r="FZ165" s="188"/>
      <c r="GA165" s="188"/>
      <c r="GB165" s="188"/>
      <c r="GC165" s="188"/>
      <c r="GD165" s="188"/>
      <c r="GE165" s="188"/>
      <c r="GF165" s="188"/>
      <c r="GG165" s="188"/>
      <c r="GH165" s="188"/>
      <c r="GI165" s="188"/>
      <c r="GJ165" s="188"/>
      <c r="GK165" s="188"/>
      <c r="GL165" s="188"/>
      <c r="GM165" s="188"/>
      <c r="GN165" s="188"/>
      <c r="GO165" s="188"/>
      <c r="GP165" s="188"/>
      <c r="GQ165" s="188"/>
      <c r="GR165" s="188"/>
      <c r="GS165" s="188"/>
      <c r="GT165" s="188"/>
      <c r="GU165" s="188"/>
      <c r="GV165" s="188"/>
      <c r="GW165" s="188"/>
      <c r="GX165" s="188"/>
      <c r="GY165" s="188"/>
      <c r="GZ165" s="188"/>
      <c r="HA165" s="188"/>
      <c r="HB165" s="188"/>
      <c r="HC165" s="188"/>
      <c r="HD165" s="188"/>
      <c r="HE165" s="188"/>
      <c r="HF165" s="188"/>
      <c r="HG165" s="189"/>
      <c r="HH165" s="187"/>
      <c r="HI165" s="188"/>
      <c r="HJ165" s="188"/>
      <c r="HK165" s="188"/>
      <c r="HL165" s="189"/>
      <c r="HQ165" s="187"/>
      <c r="HR165" s="188"/>
      <c r="HS165" s="188"/>
      <c r="HT165" s="188"/>
      <c r="HU165" s="188"/>
      <c r="HV165" s="188"/>
      <c r="HW165" s="188"/>
      <c r="HX165" s="188"/>
      <c r="HY165" s="188"/>
      <c r="HZ165" s="188"/>
      <c r="IA165" s="188"/>
      <c r="IB165" s="188"/>
      <c r="IC165" s="188"/>
      <c r="ID165" s="188"/>
      <c r="IE165" s="188"/>
      <c r="IF165" s="188"/>
      <c r="IG165" s="188"/>
      <c r="IH165" s="188"/>
      <c r="II165" s="188"/>
      <c r="IJ165" s="188"/>
      <c r="IK165" s="188"/>
      <c r="IL165" s="188"/>
      <c r="IM165" s="188"/>
      <c r="IN165" s="188"/>
      <c r="IO165" s="188"/>
      <c r="IP165" s="188"/>
      <c r="IQ165" s="188"/>
      <c r="IR165" s="188"/>
      <c r="IS165" s="188"/>
      <c r="IT165" s="188"/>
      <c r="IU165" s="188"/>
      <c r="IV165" s="188"/>
      <c r="IW165" s="188"/>
      <c r="IX165" s="188"/>
      <c r="IY165" s="188"/>
      <c r="IZ165" s="188"/>
      <c r="JA165" s="188"/>
      <c r="JB165" s="188"/>
      <c r="JC165" s="188"/>
      <c r="JD165" s="189"/>
      <c r="JE165" s="187"/>
      <c r="JF165" s="188"/>
      <c r="JG165" s="188"/>
      <c r="JH165" s="188"/>
      <c r="JI165" s="189"/>
      <c r="JS165" s="198"/>
      <c r="JT165" s="199"/>
      <c r="JU165" s="199"/>
      <c r="JV165" s="199"/>
      <c r="JW165" s="199"/>
      <c r="JX165" s="199"/>
      <c r="JY165" s="199"/>
      <c r="JZ165" s="199"/>
      <c r="KA165" s="199"/>
      <c r="KB165" s="199"/>
      <c r="KC165" s="199"/>
      <c r="KD165" s="199"/>
      <c r="KE165" s="199"/>
      <c r="KF165" s="199"/>
      <c r="KG165" s="199"/>
      <c r="KH165" s="199"/>
      <c r="KI165" s="199"/>
      <c r="KJ165" s="199"/>
      <c r="KK165" s="199"/>
      <c r="KL165" s="199"/>
      <c r="KM165" s="199"/>
      <c r="KN165" s="199"/>
      <c r="KO165" s="199"/>
      <c r="KP165" s="199"/>
      <c r="KQ165" s="199"/>
      <c r="KR165" s="199"/>
      <c r="KS165" s="199"/>
      <c r="KT165" s="199"/>
      <c r="KU165" s="199"/>
      <c r="KV165" s="199"/>
      <c r="KW165" s="199"/>
      <c r="KX165" s="199"/>
      <c r="KY165" s="199"/>
      <c r="KZ165" s="199"/>
      <c r="LA165" s="199"/>
      <c r="LB165" s="199"/>
      <c r="LC165" s="199"/>
      <c r="LD165" s="199"/>
      <c r="LE165" s="199"/>
      <c r="LF165" s="199"/>
      <c r="LG165" s="204"/>
      <c r="LH165" s="204"/>
      <c r="LI165" s="204"/>
      <c r="LJ165" s="204"/>
      <c r="LK165" s="204"/>
      <c r="LL165" s="204"/>
      <c r="LM165" s="19"/>
      <c r="LU165" s="155"/>
      <c r="MB165" s="187"/>
      <c r="MC165" s="188"/>
      <c r="MD165" s="188"/>
      <c r="ME165" s="188"/>
      <c r="MF165" s="188"/>
      <c r="MG165" s="188"/>
      <c r="MH165" s="188"/>
      <c r="MI165" s="188"/>
      <c r="MJ165" s="188"/>
      <c r="MK165" s="188"/>
      <c r="ML165" s="188"/>
      <c r="MM165" s="188"/>
      <c r="MN165" s="188"/>
      <c r="MO165" s="188"/>
      <c r="MP165" s="188"/>
      <c r="MQ165" s="188"/>
      <c r="MR165" s="188"/>
      <c r="MS165" s="188"/>
      <c r="MT165" s="188"/>
      <c r="MU165" s="188"/>
      <c r="MV165" s="188"/>
      <c r="MW165" s="188"/>
      <c r="MX165" s="188"/>
      <c r="MY165" s="188"/>
      <c r="MZ165" s="188"/>
      <c r="NA165" s="188"/>
      <c r="NB165" s="188"/>
      <c r="NC165" s="188"/>
      <c r="ND165" s="188"/>
      <c r="NE165" s="188"/>
      <c r="NF165" s="188"/>
      <c r="NG165" s="188"/>
      <c r="NH165" s="188"/>
      <c r="NI165" s="188"/>
      <c r="NJ165" s="188"/>
      <c r="NK165" s="188"/>
      <c r="NL165" s="188"/>
      <c r="NM165" s="188"/>
      <c r="NN165" s="188"/>
      <c r="NO165" s="188"/>
      <c r="NP165" s="189"/>
      <c r="NQ165" s="187"/>
      <c r="NR165" s="188"/>
      <c r="NS165" s="188"/>
      <c r="NT165" s="188"/>
      <c r="NU165" s="189"/>
      <c r="OW165" s="12"/>
      <c r="OX165" s="7"/>
      <c r="OY165" s="3"/>
      <c r="OZ165" s="3"/>
      <c r="PA165" s="3"/>
      <c r="PB165" s="3"/>
      <c r="PC165" s="2"/>
      <c r="PQ165" s="3"/>
      <c r="PR165" s="3"/>
      <c r="PS165" s="3"/>
      <c r="PT165" s="3"/>
      <c r="PU165" s="3"/>
      <c r="PV165" s="2"/>
    </row>
    <row r="166" spans="3:438" ht="5.0999999999999996" customHeight="1" x14ac:dyDescent="0.3">
      <c r="C166" s="11"/>
      <c r="D166" s="13"/>
      <c r="Q166" s="187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  <c r="BD166" s="188"/>
      <c r="BE166" s="189"/>
      <c r="BF166" s="187"/>
      <c r="BG166" s="188"/>
      <c r="BH166" s="188"/>
      <c r="BI166" s="188"/>
      <c r="BJ166" s="189"/>
      <c r="DV166" s="187"/>
      <c r="DW166" s="188"/>
      <c r="DX166" s="188"/>
      <c r="DY166" s="188"/>
      <c r="DZ166" s="188"/>
      <c r="EA166" s="188"/>
      <c r="EB166" s="188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R166" s="188"/>
      <c r="ES166" s="188"/>
      <c r="ET166" s="188"/>
      <c r="EU166" s="188"/>
      <c r="EV166" s="188"/>
      <c r="EW166" s="188"/>
      <c r="EX166" s="188"/>
      <c r="EY166" s="188"/>
      <c r="EZ166" s="188"/>
      <c r="FA166" s="188"/>
      <c r="FB166" s="188"/>
      <c r="FC166" s="188"/>
      <c r="FD166" s="188"/>
      <c r="FE166" s="188"/>
      <c r="FF166" s="188"/>
      <c r="FG166" s="188"/>
      <c r="FH166" s="188"/>
      <c r="FI166" s="189"/>
      <c r="FJ166" s="187"/>
      <c r="FK166" s="188"/>
      <c r="FL166" s="188"/>
      <c r="FM166" s="188"/>
      <c r="FN166" s="189"/>
      <c r="FT166" s="187"/>
      <c r="FU166" s="188"/>
      <c r="FV166" s="188"/>
      <c r="FW166" s="188"/>
      <c r="FX166" s="188"/>
      <c r="FY166" s="188"/>
      <c r="FZ166" s="188"/>
      <c r="GA166" s="188"/>
      <c r="GB166" s="188"/>
      <c r="GC166" s="188"/>
      <c r="GD166" s="188"/>
      <c r="GE166" s="188"/>
      <c r="GF166" s="188"/>
      <c r="GG166" s="188"/>
      <c r="GH166" s="188"/>
      <c r="GI166" s="188"/>
      <c r="GJ166" s="188"/>
      <c r="GK166" s="188"/>
      <c r="GL166" s="188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  <c r="GY166" s="188"/>
      <c r="GZ166" s="188"/>
      <c r="HA166" s="188"/>
      <c r="HB166" s="188"/>
      <c r="HC166" s="188"/>
      <c r="HD166" s="188"/>
      <c r="HE166" s="188"/>
      <c r="HF166" s="188"/>
      <c r="HG166" s="189"/>
      <c r="HH166" s="187"/>
      <c r="HI166" s="188"/>
      <c r="HJ166" s="188"/>
      <c r="HK166" s="188"/>
      <c r="HL166" s="189"/>
      <c r="HQ166" s="187"/>
      <c r="HR166" s="188"/>
      <c r="HS166" s="188"/>
      <c r="HT166" s="188"/>
      <c r="HU166" s="188"/>
      <c r="HV166" s="188"/>
      <c r="HW166" s="188"/>
      <c r="HX166" s="188"/>
      <c r="HY166" s="188"/>
      <c r="HZ166" s="188"/>
      <c r="IA166" s="188"/>
      <c r="IB166" s="188"/>
      <c r="IC166" s="188"/>
      <c r="ID166" s="188"/>
      <c r="IE166" s="188"/>
      <c r="IF166" s="188"/>
      <c r="IG166" s="188"/>
      <c r="IH166" s="188"/>
      <c r="II166" s="188"/>
      <c r="IJ166" s="188"/>
      <c r="IK166" s="188"/>
      <c r="IL166" s="188"/>
      <c r="IM166" s="188"/>
      <c r="IN166" s="188"/>
      <c r="IO166" s="188"/>
      <c r="IP166" s="188"/>
      <c r="IQ166" s="188"/>
      <c r="IR166" s="188"/>
      <c r="IS166" s="188"/>
      <c r="IT166" s="188"/>
      <c r="IU166" s="188"/>
      <c r="IV166" s="188"/>
      <c r="IW166" s="188"/>
      <c r="IX166" s="188"/>
      <c r="IY166" s="188"/>
      <c r="IZ166" s="188"/>
      <c r="JA166" s="188"/>
      <c r="JB166" s="188"/>
      <c r="JC166" s="188"/>
      <c r="JD166" s="189"/>
      <c r="JE166" s="187"/>
      <c r="JF166" s="188"/>
      <c r="JG166" s="188"/>
      <c r="JH166" s="188"/>
      <c r="JI166" s="189"/>
      <c r="JS166" s="198"/>
      <c r="JT166" s="199"/>
      <c r="JU166" s="199"/>
      <c r="JV166" s="199"/>
      <c r="JW166" s="199"/>
      <c r="JX166" s="199"/>
      <c r="JY166" s="199"/>
      <c r="JZ166" s="199"/>
      <c r="KA166" s="199"/>
      <c r="KB166" s="199"/>
      <c r="KC166" s="199"/>
      <c r="KD166" s="199"/>
      <c r="KE166" s="199"/>
      <c r="KF166" s="199"/>
      <c r="KG166" s="199"/>
      <c r="KH166" s="199"/>
      <c r="KI166" s="199"/>
      <c r="KJ166" s="199"/>
      <c r="KK166" s="199"/>
      <c r="KL166" s="199"/>
      <c r="KM166" s="199"/>
      <c r="KN166" s="199"/>
      <c r="KO166" s="199"/>
      <c r="KP166" s="199"/>
      <c r="KQ166" s="199"/>
      <c r="KR166" s="199"/>
      <c r="KS166" s="199"/>
      <c r="KT166" s="199"/>
      <c r="KU166" s="199"/>
      <c r="KV166" s="199"/>
      <c r="KW166" s="199"/>
      <c r="KX166" s="199"/>
      <c r="KY166" s="199"/>
      <c r="KZ166" s="199"/>
      <c r="LA166" s="199"/>
      <c r="LB166" s="199"/>
      <c r="LC166" s="199"/>
      <c r="LD166" s="199"/>
      <c r="LE166" s="199"/>
      <c r="LF166" s="199"/>
      <c r="LG166" s="204"/>
      <c r="LH166" s="204"/>
      <c r="LI166" s="204"/>
      <c r="LJ166" s="204"/>
      <c r="LK166" s="204"/>
      <c r="LL166" s="204"/>
      <c r="LM166" s="19"/>
      <c r="LU166" s="155"/>
      <c r="MB166" s="187"/>
      <c r="MC166" s="188"/>
      <c r="MD166" s="188"/>
      <c r="ME166" s="188"/>
      <c r="MF166" s="188"/>
      <c r="MG166" s="188"/>
      <c r="MH166" s="188"/>
      <c r="MI166" s="188"/>
      <c r="MJ166" s="188"/>
      <c r="MK166" s="188"/>
      <c r="ML166" s="188"/>
      <c r="MM166" s="188"/>
      <c r="MN166" s="188"/>
      <c r="MO166" s="188"/>
      <c r="MP166" s="188"/>
      <c r="MQ166" s="188"/>
      <c r="MR166" s="188"/>
      <c r="MS166" s="188"/>
      <c r="MT166" s="188"/>
      <c r="MU166" s="188"/>
      <c r="MV166" s="188"/>
      <c r="MW166" s="188"/>
      <c r="MX166" s="188"/>
      <c r="MY166" s="188"/>
      <c r="MZ166" s="188"/>
      <c r="NA166" s="188"/>
      <c r="NB166" s="188"/>
      <c r="NC166" s="188"/>
      <c r="ND166" s="188"/>
      <c r="NE166" s="188"/>
      <c r="NF166" s="188"/>
      <c r="NG166" s="188"/>
      <c r="NH166" s="188"/>
      <c r="NI166" s="188"/>
      <c r="NJ166" s="188"/>
      <c r="NK166" s="188"/>
      <c r="NL166" s="188"/>
      <c r="NM166" s="188"/>
      <c r="NN166" s="188"/>
      <c r="NO166" s="188"/>
      <c r="NP166" s="189"/>
      <c r="NQ166" s="187"/>
      <c r="NR166" s="188"/>
      <c r="NS166" s="188"/>
      <c r="NT166" s="188"/>
      <c r="NU166" s="189"/>
      <c r="OW166" s="12"/>
      <c r="OX166" s="7"/>
      <c r="OY166" s="3"/>
      <c r="OZ166" s="3"/>
      <c r="PA166" s="3"/>
      <c r="PB166" s="3"/>
      <c r="PC166" s="2"/>
      <c r="PQ166" s="3"/>
      <c r="PR166" s="3"/>
      <c r="PS166" s="3"/>
      <c r="PT166" s="3"/>
      <c r="PU166" s="3"/>
      <c r="PV166" s="2"/>
    </row>
    <row r="167" spans="3:438" ht="5.0999999999999996" customHeight="1" x14ac:dyDescent="0.3">
      <c r="C167" s="11"/>
      <c r="D167" s="13"/>
      <c r="Q167" s="187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  <c r="BD167" s="188"/>
      <c r="BE167" s="189"/>
      <c r="BF167" s="187"/>
      <c r="BG167" s="188"/>
      <c r="BH167" s="188"/>
      <c r="BI167" s="188"/>
      <c r="BJ167" s="189"/>
      <c r="DV167" s="187"/>
      <c r="DW167" s="188"/>
      <c r="DX167" s="188"/>
      <c r="DY167" s="188"/>
      <c r="DZ167" s="188"/>
      <c r="EA167" s="188"/>
      <c r="EB167" s="188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R167" s="188"/>
      <c r="ES167" s="188"/>
      <c r="ET167" s="188"/>
      <c r="EU167" s="188"/>
      <c r="EV167" s="188"/>
      <c r="EW167" s="188"/>
      <c r="EX167" s="188"/>
      <c r="EY167" s="188"/>
      <c r="EZ167" s="188"/>
      <c r="FA167" s="188"/>
      <c r="FB167" s="188"/>
      <c r="FC167" s="188"/>
      <c r="FD167" s="188"/>
      <c r="FE167" s="188"/>
      <c r="FF167" s="188"/>
      <c r="FG167" s="188"/>
      <c r="FH167" s="188"/>
      <c r="FI167" s="189"/>
      <c r="FJ167" s="187"/>
      <c r="FK167" s="188"/>
      <c r="FL167" s="188"/>
      <c r="FM167" s="188"/>
      <c r="FN167" s="189"/>
      <c r="FT167" s="187"/>
      <c r="FU167" s="188"/>
      <c r="FV167" s="188"/>
      <c r="FW167" s="188"/>
      <c r="FX167" s="188"/>
      <c r="FY167" s="188"/>
      <c r="FZ167" s="188"/>
      <c r="GA167" s="188"/>
      <c r="GB167" s="188"/>
      <c r="GC167" s="188"/>
      <c r="GD167" s="188"/>
      <c r="GE167" s="188"/>
      <c r="GF167" s="188"/>
      <c r="GG167" s="188"/>
      <c r="GH167" s="188"/>
      <c r="GI167" s="188"/>
      <c r="GJ167" s="188"/>
      <c r="GK167" s="188"/>
      <c r="GL167" s="188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  <c r="GY167" s="188"/>
      <c r="GZ167" s="188"/>
      <c r="HA167" s="188"/>
      <c r="HB167" s="188"/>
      <c r="HC167" s="188"/>
      <c r="HD167" s="188"/>
      <c r="HE167" s="188"/>
      <c r="HF167" s="188"/>
      <c r="HG167" s="189"/>
      <c r="HH167" s="187"/>
      <c r="HI167" s="188"/>
      <c r="HJ167" s="188"/>
      <c r="HK167" s="188"/>
      <c r="HL167" s="189"/>
      <c r="HQ167" s="187"/>
      <c r="HR167" s="188"/>
      <c r="HS167" s="188"/>
      <c r="HT167" s="188"/>
      <c r="HU167" s="188"/>
      <c r="HV167" s="188"/>
      <c r="HW167" s="188"/>
      <c r="HX167" s="188"/>
      <c r="HY167" s="188"/>
      <c r="HZ167" s="188"/>
      <c r="IA167" s="188"/>
      <c r="IB167" s="188"/>
      <c r="IC167" s="188"/>
      <c r="ID167" s="188"/>
      <c r="IE167" s="188"/>
      <c r="IF167" s="188"/>
      <c r="IG167" s="188"/>
      <c r="IH167" s="188"/>
      <c r="II167" s="188"/>
      <c r="IJ167" s="188"/>
      <c r="IK167" s="188"/>
      <c r="IL167" s="188"/>
      <c r="IM167" s="188"/>
      <c r="IN167" s="188"/>
      <c r="IO167" s="188"/>
      <c r="IP167" s="188"/>
      <c r="IQ167" s="188"/>
      <c r="IR167" s="188"/>
      <c r="IS167" s="188"/>
      <c r="IT167" s="188"/>
      <c r="IU167" s="188"/>
      <c r="IV167" s="188"/>
      <c r="IW167" s="188"/>
      <c r="IX167" s="188"/>
      <c r="IY167" s="188"/>
      <c r="IZ167" s="188"/>
      <c r="JA167" s="188"/>
      <c r="JB167" s="188"/>
      <c r="JC167" s="188"/>
      <c r="JD167" s="189"/>
      <c r="JE167" s="187"/>
      <c r="JF167" s="188"/>
      <c r="JG167" s="188"/>
      <c r="JH167" s="188"/>
      <c r="JI167" s="189"/>
      <c r="JS167" s="198"/>
      <c r="JT167" s="199"/>
      <c r="JU167" s="199"/>
      <c r="JV167" s="199"/>
      <c r="JW167" s="199"/>
      <c r="JX167" s="199"/>
      <c r="JY167" s="199"/>
      <c r="JZ167" s="199"/>
      <c r="KA167" s="199"/>
      <c r="KB167" s="199"/>
      <c r="KC167" s="199"/>
      <c r="KD167" s="199"/>
      <c r="KE167" s="199"/>
      <c r="KF167" s="199"/>
      <c r="KG167" s="199"/>
      <c r="KH167" s="199"/>
      <c r="KI167" s="199"/>
      <c r="KJ167" s="199"/>
      <c r="KK167" s="199"/>
      <c r="KL167" s="199"/>
      <c r="KM167" s="199"/>
      <c r="KN167" s="199"/>
      <c r="KO167" s="199"/>
      <c r="KP167" s="199"/>
      <c r="KQ167" s="199"/>
      <c r="KR167" s="199"/>
      <c r="KS167" s="199"/>
      <c r="KT167" s="199"/>
      <c r="KU167" s="199"/>
      <c r="KV167" s="199"/>
      <c r="KW167" s="199"/>
      <c r="KX167" s="199"/>
      <c r="KY167" s="199"/>
      <c r="KZ167" s="199"/>
      <c r="LA167" s="199"/>
      <c r="LB167" s="199"/>
      <c r="LC167" s="199"/>
      <c r="LD167" s="199"/>
      <c r="LE167" s="199"/>
      <c r="LF167" s="199"/>
      <c r="LG167" s="204"/>
      <c r="LH167" s="204"/>
      <c r="LI167" s="204"/>
      <c r="LJ167" s="204"/>
      <c r="LK167" s="204"/>
      <c r="LL167" s="204"/>
      <c r="LM167" s="19"/>
      <c r="LU167" s="155"/>
      <c r="MB167" s="187"/>
      <c r="MC167" s="188"/>
      <c r="MD167" s="188"/>
      <c r="ME167" s="188"/>
      <c r="MF167" s="188"/>
      <c r="MG167" s="188"/>
      <c r="MH167" s="188"/>
      <c r="MI167" s="188"/>
      <c r="MJ167" s="188"/>
      <c r="MK167" s="188"/>
      <c r="ML167" s="188"/>
      <c r="MM167" s="188"/>
      <c r="MN167" s="188"/>
      <c r="MO167" s="188"/>
      <c r="MP167" s="188"/>
      <c r="MQ167" s="188"/>
      <c r="MR167" s="188"/>
      <c r="MS167" s="188"/>
      <c r="MT167" s="188"/>
      <c r="MU167" s="188"/>
      <c r="MV167" s="188"/>
      <c r="MW167" s="188"/>
      <c r="MX167" s="188"/>
      <c r="MY167" s="188"/>
      <c r="MZ167" s="188"/>
      <c r="NA167" s="188"/>
      <c r="NB167" s="188"/>
      <c r="NC167" s="188"/>
      <c r="ND167" s="188"/>
      <c r="NE167" s="188"/>
      <c r="NF167" s="188"/>
      <c r="NG167" s="188"/>
      <c r="NH167" s="188"/>
      <c r="NI167" s="188"/>
      <c r="NJ167" s="188"/>
      <c r="NK167" s="188"/>
      <c r="NL167" s="188"/>
      <c r="NM167" s="188"/>
      <c r="NN167" s="188"/>
      <c r="NO167" s="188"/>
      <c r="NP167" s="189"/>
      <c r="NQ167" s="187"/>
      <c r="NR167" s="188"/>
      <c r="NS167" s="188"/>
      <c r="NT167" s="188"/>
      <c r="NU167" s="189"/>
      <c r="OW167" s="12"/>
      <c r="OX167" s="7"/>
      <c r="OY167" s="3"/>
      <c r="OZ167" s="3"/>
      <c r="PA167" s="3"/>
      <c r="PB167" s="3"/>
      <c r="PC167" s="2"/>
      <c r="PQ167" s="3"/>
      <c r="PR167" s="3"/>
      <c r="PS167" s="3"/>
      <c r="PT167" s="3"/>
      <c r="PU167" s="3"/>
      <c r="PV167" s="2"/>
    </row>
    <row r="168" spans="3:438" ht="5.0999999999999996" customHeight="1" x14ac:dyDescent="0.3">
      <c r="C168" s="11"/>
      <c r="D168" s="13"/>
      <c r="Q168" s="187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  <c r="BD168" s="188"/>
      <c r="BE168" s="189"/>
      <c r="BF168" s="187"/>
      <c r="BG168" s="188"/>
      <c r="BH168" s="188"/>
      <c r="BI168" s="188"/>
      <c r="BJ168" s="189"/>
      <c r="DV168" s="187"/>
      <c r="DW168" s="188"/>
      <c r="DX168" s="188"/>
      <c r="DY168" s="188"/>
      <c r="DZ168" s="188"/>
      <c r="EA168" s="188"/>
      <c r="EB168" s="188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R168" s="188"/>
      <c r="ES168" s="188"/>
      <c r="ET168" s="188"/>
      <c r="EU168" s="188"/>
      <c r="EV168" s="188"/>
      <c r="EW168" s="188"/>
      <c r="EX168" s="188"/>
      <c r="EY168" s="188"/>
      <c r="EZ168" s="188"/>
      <c r="FA168" s="188"/>
      <c r="FB168" s="188"/>
      <c r="FC168" s="188"/>
      <c r="FD168" s="188"/>
      <c r="FE168" s="188"/>
      <c r="FF168" s="188"/>
      <c r="FG168" s="188"/>
      <c r="FH168" s="188"/>
      <c r="FI168" s="189"/>
      <c r="FJ168" s="187"/>
      <c r="FK168" s="188"/>
      <c r="FL168" s="188"/>
      <c r="FM168" s="188"/>
      <c r="FN168" s="189"/>
      <c r="FT168" s="187"/>
      <c r="FU168" s="188"/>
      <c r="FV168" s="188"/>
      <c r="FW168" s="188"/>
      <c r="FX168" s="188"/>
      <c r="FY168" s="188"/>
      <c r="FZ168" s="188"/>
      <c r="GA168" s="188"/>
      <c r="GB168" s="188"/>
      <c r="GC168" s="188"/>
      <c r="GD168" s="188"/>
      <c r="GE168" s="188"/>
      <c r="GF168" s="188"/>
      <c r="GG168" s="188"/>
      <c r="GH168" s="188"/>
      <c r="GI168" s="188"/>
      <c r="GJ168" s="188"/>
      <c r="GK168" s="188"/>
      <c r="GL168" s="188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  <c r="GY168" s="188"/>
      <c r="GZ168" s="188"/>
      <c r="HA168" s="188"/>
      <c r="HB168" s="188"/>
      <c r="HC168" s="188"/>
      <c r="HD168" s="188"/>
      <c r="HE168" s="188"/>
      <c r="HF168" s="188"/>
      <c r="HG168" s="189"/>
      <c r="HH168" s="187"/>
      <c r="HI168" s="188"/>
      <c r="HJ168" s="188"/>
      <c r="HK168" s="188"/>
      <c r="HL168" s="189"/>
      <c r="HQ168" s="187"/>
      <c r="HR168" s="188"/>
      <c r="HS168" s="188"/>
      <c r="HT168" s="188"/>
      <c r="HU168" s="188"/>
      <c r="HV168" s="188"/>
      <c r="HW168" s="188"/>
      <c r="HX168" s="188"/>
      <c r="HY168" s="188"/>
      <c r="HZ168" s="188"/>
      <c r="IA168" s="188"/>
      <c r="IB168" s="188"/>
      <c r="IC168" s="188"/>
      <c r="ID168" s="188"/>
      <c r="IE168" s="188"/>
      <c r="IF168" s="188"/>
      <c r="IG168" s="188"/>
      <c r="IH168" s="188"/>
      <c r="II168" s="188"/>
      <c r="IJ168" s="188"/>
      <c r="IK168" s="188"/>
      <c r="IL168" s="188"/>
      <c r="IM168" s="188"/>
      <c r="IN168" s="188"/>
      <c r="IO168" s="188"/>
      <c r="IP168" s="188"/>
      <c r="IQ168" s="188"/>
      <c r="IR168" s="188"/>
      <c r="IS168" s="188"/>
      <c r="IT168" s="188"/>
      <c r="IU168" s="188"/>
      <c r="IV168" s="188"/>
      <c r="IW168" s="188"/>
      <c r="IX168" s="188"/>
      <c r="IY168" s="188"/>
      <c r="IZ168" s="188"/>
      <c r="JA168" s="188"/>
      <c r="JB168" s="188"/>
      <c r="JC168" s="188"/>
      <c r="JD168" s="189"/>
      <c r="JE168" s="187"/>
      <c r="JF168" s="188"/>
      <c r="JG168" s="188"/>
      <c r="JH168" s="188"/>
      <c r="JI168" s="189"/>
      <c r="JS168" s="198"/>
      <c r="JT168" s="199"/>
      <c r="JU168" s="199"/>
      <c r="JV168" s="199"/>
      <c r="JW168" s="199"/>
      <c r="JX168" s="199"/>
      <c r="JY168" s="199"/>
      <c r="JZ168" s="199"/>
      <c r="KA168" s="199"/>
      <c r="KB168" s="199"/>
      <c r="KC168" s="199"/>
      <c r="KD168" s="199"/>
      <c r="KE168" s="199"/>
      <c r="KF168" s="199"/>
      <c r="KG168" s="199"/>
      <c r="KH168" s="199"/>
      <c r="KI168" s="199"/>
      <c r="KJ168" s="199"/>
      <c r="KK168" s="199"/>
      <c r="KL168" s="199"/>
      <c r="KM168" s="199"/>
      <c r="KN168" s="199"/>
      <c r="KO168" s="199"/>
      <c r="KP168" s="199"/>
      <c r="KQ168" s="199"/>
      <c r="KR168" s="199"/>
      <c r="KS168" s="199"/>
      <c r="KT168" s="199"/>
      <c r="KU168" s="199"/>
      <c r="KV168" s="199"/>
      <c r="KW168" s="199"/>
      <c r="KX168" s="199"/>
      <c r="KY168" s="199"/>
      <c r="KZ168" s="199"/>
      <c r="LA168" s="199"/>
      <c r="LB168" s="199"/>
      <c r="LC168" s="199"/>
      <c r="LD168" s="199"/>
      <c r="LE168" s="199"/>
      <c r="LF168" s="199"/>
      <c r="LG168" s="204"/>
      <c r="LH168" s="204"/>
      <c r="LI168" s="204"/>
      <c r="LJ168" s="204"/>
      <c r="LK168" s="204"/>
      <c r="LL168" s="204"/>
      <c r="LM168" s="19"/>
      <c r="LU168" s="155"/>
      <c r="MB168" s="190"/>
      <c r="MC168" s="191"/>
      <c r="MD168" s="191"/>
      <c r="ME168" s="191"/>
      <c r="MF168" s="191"/>
      <c r="MG168" s="191"/>
      <c r="MH168" s="191"/>
      <c r="MI168" s="191"/>
      <c r="MJ168" s="191"/>
      <c r="MK168" s="191"/>
      <c r="ML168" s="191"/>
      <c r="MM168" s="191"/>
      <c r="MN168" s="191"/>
      <c r="MO168" s="191"/>
      <c r="MP168" s="191"/>
      <c r="MQ168" s="191"/>
      <c r="MR168" s="191"/>
      <c r="MS168" s="191"/>
      <c r="MT168" s="191"/>
      <c r="MU168" s="191"/>
      <c r="MV168" s="191"/>
      <c r="MW168" s="191"/>
      <c r="MX168" s="191"/>
      <c r="MY168" s="191"/>
      <c r="MZ168" s="191"/>
      <c r="NA168" s="191"/>
      <c r="NB168" s="191"/>
      <c r="NC168" s="191"/>
      <c r="ND168" s="191"/>
      <c r="NE168" s="191"/>
      <c r="NF168" s="191"/>
      <c r="NG168" s="191"/>
      <c r="NH168" s="191"/>
      <c r="NI168" s="191"/>
      <c r="NJ168" s="191"/>
      <c r="NK168" s="191"/>
      <c r="NL168" s="191"/>
      <c r="NM168" s="191"/>
      <c r="NN168" s="191"/>
      <c r="NO168" s="191"/>
      <c r="NP168" s="192"/>
      <c r="NQ168" s="190"/>
      <c r="NR168" s="191"/>
      <c r="NS168" s="191"/>
      <c r="NT168" s="191"/>
      <c r="NU168" s="192"/>
      <c r="OW168" s="12"/>
      <c r="OX168" s="7"/>
      <c r="OY168" s="3"/>
      <c r="OZ168" s="3"/>
      <c r="PA168" s="3"/>
      <c r="PB168" s="3"/>
      <c r="PC168" s="2"/>
      <c r="PQ168" s="3"/>
      <c r="PR168" s="3"/>
      <c r="PS168" s="3"/>
      <c r="PT168" s="3"/>
      <c r="PU168" s="3"/>
      <c r="PV168" s="2"/>
    </row>
    <row r="169" spans="3:438" ht="5.0999999999999996" customHeight="1" x14ac:dyDescent="0.3">
      <c r="C169" s="11"/>
      <c r="D169" s="13"/>
      <c r="Q169" s="187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  <c r="BE169" s="189"/>
      <c r="BF169" s="187"/>
      <c r="BG169" s="188"/>
      <c r="BH169" s="188"/>
      <c r="BI169" s="188"/>
      <c r="BJ169" s="189"/>
      <c r="DV169" s="187"/>
      <c r="DW169" s="188"/>
      <c r="DX169" s="188"/>
      <c r="DY169" s="188"/>
      <c r="DZ169" s="188"/>
      <c r="EA169" s="188"/>
      <c r="EB169" s="188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R169" s="188"/>
      <c r="ES169" s="188"/>
      <c r="ET169" s="188"/>
      <c r="EU169" s="188"/>
      <c r="EV169" s="188"/>
      <c r="EW169" s="188"/>
      <c r="EX169" s="188"/>
      <c r="EY169" s="188"/>
      <c r="EZ169" s="188"/>
      <c r="FA169" s="188"/>
      <c r="FB169" s="188"/>
      <c r="FC169" s="188"/>
      <c r="FD169" s="188"/>
      <c r="FE169" s="188"/>
      <c r="FF169" s="188"/>
      <c r="FG169" s="188"/>
      <c r="FH169" s="188"/>
      <c r="FI169" s="189"/>
      <c r="FJ169" s="187"/>
      <c r="FK169" s="188"/>
      <c r="FL169" s="188"/>
      <c r="FM169" s="188"/>
      <c r="FN169" s="189"/>
      <c r="FT169" s="187"/>
      <c r="FU169" s="188"/>
      <c r="FV169" s="188"/>
      <c r="FW169" s="188"/>
      <c r="FX169" s="188"/>
      <c r="FY169" s="188"/>
      <c r="FZ169" s="188"/>
      <c r="GA169" s="188"/>
      <c r="GB169" s="188"/>
      <c r="GC169" s="188"/>
      <c r="GD169" s="188"/>
      <c r="GE169" s="188"/>
      <c r="GF169" s="188"/>
      <c r="GG169" s="188"/>
      <c r="GH169" s="188"/>
      <c r="GI169" s="188"/>
      <c r="GJ169" s="188"/>
      <c r="GK169" s="188"/>
      <c r="GL169" s="188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  <c r="GY169" s="188"/>
      <c r="GZ169" s="188"/>
      <c r="HA169" s="188"/>
      <c r="HB169" s="188"/>
      <c r="HC169" s="188"/>
      <c r="HD169" s="188"/>
      <c r="HE169" s="188"/>
      <c r="HF169" s="188"/>
      <c r="HG169" s="189"/>
      <c r="HH169" s="187"/>
      <c r="HI169" s="188"/>
      <c r="HJ169" s="188"/>
      <c r="HK169" s="188"/>
      <c r="HL169" s="189"/>
      <c r="HQ169" s="187"/>
      <c r="HR169" s="188"/>
      <c r="HS169" s="188"/>
      <c r="HT169" s="188"/>
      <c r="HU169" s="188"/>
      <c r="HV169" s="188"/>
      <c r="HW169" s="188"/>
      <c r="HX169" s="188"/>
      <c r="HY169" s="188"/>
      <c r="HZ169" s="188"/>
      <c r="IA169" s="188"/>
      <c r="IB169" s="188"/>
      <c r="IC169" s="188"/>
      <c r="ID169" s="188"/>
      <c r="IE169" s="188"/>
      <c r="IF169" s="188"/>
      <c r="IG169" s="188"/>
      <c r="IH169" s="188"/>
      <c r="II169" s="188"/>
      <c r="IJ169" s="188"/>
      <c r="IK169" s="188"/>
      <c r="IL169" s="188"/>
      <c r="IM169" s="188"/>
      <c r="IN169" s="188"/>
      <c r="IO169" s="188"/>
      <c r="IP169" s="188"/>
      <c r="IQ169" s="188"/>
      <c r="IR169" s="188"/>
      <c r="IS169" s="188"/>
      <c r="IT169" s="188"/>
      <c r="IU169" s="188"/>
      <c r="IV169" s="188"/>
      <c r="IW169" s="188"/>
      <c r="IX169" s="188"/>
      <c r="IY169" s="188"/>
      <c r="IZ169" s="188"/>
      <c r="JA169" s="188"/>
      <c r="JB169" s="188"/>
      <c r="JC169" s="188"/>
      <c r="JD169" s="189"/>
      <c r="JE169" s="187"/>
      <c r="JF169" s="188"/>
      <c r="JG169" s="188"/>
      <c r="JH169" s="188"/>
      <c r="JI169" s="189"/>
      <c r="JS169" s="198"/>
      <c r="JT169" s="199"/>
      <c r="JU169" s="199"/>
      <c r="JV169" s="199"/>
      <c r="JW169" s="199"/>
      <c r="JX169" s="199"/>
      <c r="JY169" s="199"/>
      <c r="JZ169" s="199"/>
      <c r="KA169" s="199"/>
      <c r="KB169" s="199"/>
      <c r="KC169" s="199"/>
      <c r="KD169" s="199"/>
      <c r="KE169" s="199"/>
      <c r="KF169" s="199"/>
      <c r="KG169" s="199"/>
      <c r="KH169" s="199"/>
      <c r="KI169" s="199"/>
      <c r="KJ169" s="199"/>
      <c r="KK169" s="199"/>
      <c r="KL169" s="199"/>
      <c r="KM169" s="199"/>
      <c r="KN169" s="199"/>
      <c r="KO169" s="199"/>
      <c r="KP169" s="199"/>
      <c r="KQ169" s="199"/>
      <c r="KR169" s="199"/>
      <c r="KS169" s="199"/>
      <c r="KT169" s="199"/>
      <c r="KU169" s="199"/>
      <c r="KV169" s="199"/>
      <c r="KW169" s="199"/>
      <c r="KX169" s="199"/>
      <c r="KY169" s="199"/>
      <c r="KZ169" s="199"/>
      <c r="LA169" s="199"/>
      <c r="LB169" s="199"/>
      <c r="LC169" s="199"/>
      <c r="LD169" s="199"/>
      <c r="LE169" s="199"/>
      <c r="LF169" s="199"/>
      <c r="LG169" s="204"/>
      <c r="LH169" s="204"/>
      <c r="LI169" s="204"/>
      <c r="LJ169" s="204"/>
      <c r="LK169" s="204"/>
      <c r="LL169" s="204"/>
      <c r="LM169" s="53"/>
      <c r="LU169" s="155"/>
      <c r="MB169" s="184" t="s">
        <v>43</v>
      </c>
      <c r="MC169" s="185"/>
      <c r="MD169" s="185"/>
      <c r="ME169" s="185"/>
      <c r="MF169" s="185"/>
      <c r="MG169" s="185"/>
      <c r="MH169" s="185"/>
      <c r="MI169" s="185"/>
      <c r="MJ169" s="185"/>
      <c r="MK169" s="185"/>
      <c r="ML169" s="185"/>
      <c r="MM169" s="185"/>
      <c r="MN169" s="185"/>
      <c r="MO169" s="185"/>
      <c r="MP169" s="185"/>
      <c r="MQ169" s="185"/>
      <c r="MR169" s="185"/>
      <c r="MS169" s="185"/>
      <c r="MT169" s="185"/>
      <c r="MU169" s="185"/>
      <c r="MV169" s="185"/>
      <c r="MW169" s="185"/>
      <c r="MX169" s="185"/>
      <c r="MY169" s="185"/>
      <c r="MZ169" s="185"/>
      <c r="NA169" s="185"/>
      <c r="NB169" s="185"/>
      <c r="NC169" s="185"/>
      <c r="ND169" s="185"/>
      <c r="NE169" s="185"/>
      <c r="NF169" s="185"/>
      <c r="NG169" s="185"/>
      <c r="NH169" s="185"/>
      <c r="NI169" s="185"/>
      <c r="NJ169" s="185"/>
      <c r="NK169" s="185"/>
      <c r="NL169" s="185"/>
      <c r="NM169" s="185"/>
      <c r="NN169" s="185"/>
      <c r="NO169" s="185"/>
      <c r="NP169" s="186"/>
      <c r="NQ169" s="184">
        <v>1</v>
      </c>
      <c r="NR169" s="185"/>
      <c r="NS169" s="185"/>
      <c r="NT169" s="185"/>
      <c r="NU169" s="186"/>
      <c r="OW169" s="12"/>
      <c r="OX169" s="7"/>
      <c r="OY169" s="3"/>
      <c r="OZ169" s="3"/>
      <c r="PA169" s="3"/>
      <c r="PB169" s="3"/>
      <c r="PC169" s="2"/>
      <c r="PQ169" s="3"/>
      <c r="PR169" s="3"/>
      <c r="PS169" s="3"/>
      <c r="PT169" s="3"/>
      <c r="PU169" s="3"/>
      <c r="PV169" s="2"/>
    </row>
    <row r="170" spans="3:438" ht="5.0999999999999996" customHeight="1" thickBot="1" x14ac:dyDescent="0.35">
      <c r="C170" s="11"/>
      <c r="D170" s="13"/>
      <c r="Q170" s="190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2"/>
      <c r="BF170" s="190"/>
      <c r="BG170" s="191"/>
      <c r="BH170" s="191"/>
      <c r="BI170" s="191"/>
      <c r="BJ170" s="192"/>
      <c r="DV170" s="190"/>
      <c r="DW170" s="191"/>
      <c r="DX170" s="191"/>
      <c r="DY170" s="191"/>
      <c r="DZ170" s="191"/>
      <c r="EA170" s="191"/>
      <c r="EB170" s="191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1"/>
      <c r="FC170" s="191"/>
      <c r="FD170" s="191"/>
      <c r="FE170" s="191"/>
      <c r="FF170" s="191"/>
      <c r="FG170" s="191"/>
      <c r="FH170" s="191"/>
      <c r="FI170" s="192"/>
      <c r="FJ170" s="190"/>
      <c r="FK170" s="191"/>
      <c r="FL170" s="191"/>
      <c r="FM170" s="191"/>
      <c r="FN170" s="192"/>
      <c r="FT170" s="190"/>
      <c r="FU170" s="191"/>
      <c r="FV170" s="191"/>
      <c r="FW170" s="191"/>
      <c r="FX170" s="191"/>
      <c r="FY170" s="191"/>
      <c r="FZ170" s="191"/>
      <c r="GA170" s="191"/>
      <c r="GB170" s="191"/>
      <c r="GC170" s="191"/>
      <c r="GD170" s="191"/>
      <c r="GE170" s="191"/>
      <c r="GF170" s="191"/>
      <c r="GG170" s="191"/>
      <c r="GH170" s="191"/>
      <c r="GI170" s="191"/>
      <c r="GJ170" s="191"/>
      <c r="GK170" s="191"/>
      <c r="GL170" s="191"/>
      <c r="GM170" s="191"/>
      <c r="GN170" s="191"/>
      <c r="GO170" s="191"/>
      <c r="GP170" s="191"/>
      <c r="GQ170" s="191"/>
      <c r="GR170" s="191"/>
      <c r="GS170" s="191"/>
      <c r="GT170" s="191"/>
      <c r="GU170" s="191"/>
      <c r="GV170" s="191"/>
      <c r="GW170" s="191"/>
      <c r="GX170" s="191"/>
      <c r="GY170" s="191"/>
      <c r="GZ170" s="191"/>
      <c r="HA170" s="191"/>
      <c r="HB170" s="191"/>
      <c r="HC170" s="191"/>
      <c r="HD170" s="191"/>
      <c r="HE170" s="191"/>
      <c r="HF170" s="191"/>
      <c r="HG170" s="192"/>
      <c r="HH170" s="190"/>
      <c r="HI170" s="191"/>
      <c r="HJ170" s="191"/>
      <c r="HK170" s="191"/>
      <c r="HL170" s="192"/>
      <c r="HQ170" s="190"/>
      <c r="HR170" s="191"/>
      <c r="HS170" s="191"/>
      <c r="HT170" s="191"/>
      <c r="HU170" s="191"/>
      <c r="HV170" s="191"/>
      <c r="HW170" s="191"/>
      <c r="HX170" s="191"/>
      <c r="HY170" s="191"/>
      <c r="HZ170" s="191"/>
      <c r="IA170" s="191"/>
      <c r="IB170" s="191"/>
      <c r="IC170" s="191"/>
      <c r="ID170" s="191"/>
      <c r="IE170" s="191"/>
      <c r="IF170" s="191"/>
      <c r="IG170" s="191"/>
      <c r="IH170" s="191"/>
      <c r="II170" s="191"/>
      <c r="IJ170" s="191"/>
      <c r="IK170" s="191"/>
      <c r="IL170" s="191"/>
      <c r="IM170" s="191"/>
      <c r="IN170" s="191"/>
      <c r="IO170" s="191"/>
      <c r="IP170" s="191"/>
      <c r="IQ170" s="191"/>
      <c r="IR170" s="191"/>
      <c r="IS170" s="191"/>
      <c r="IT170" s="191"/>
      <c r="IU170" s="191"/>
      <c r="IV170" s="191"/>
      <c r="IW170" s="191"/>
      <c r="IX170" s="191"/>
      <c r="IY170" s="191"/>
      <c r="IZ170" s="191"/>
      <c r="JA170" s="191"/>
      <c r="JB170" s="191"/>
      <c r="JC170" s="191"/>
      <c r="JD170" s="192"/>
      <c r="JE170" s="190"/>
      <c r="JF170" s="191"/>
      <c r="JG170" s="191"/>
      <c r="JH170" s="191"/>
      <c r="JI170" s="192"/>
      <c r="JS170" s="201"/>
      <c r="JT170" s="202"/>
      <c r="JU170" s="202"/>
      <c r="JV170" s="202"/>
      <c r="JW170" s="202"/>
      <c r="JX170" s="202"/>
      <c r="JY170" s="202"/>
      <c r="JZ170" s="202"/>
      <c r="KA170" s="202"/>
      <c r="KB170" s="202"/>
      <c r="KC170" s="202"/>
      <c r="KD170" s="202"/>
      <c r="KE170" s="202"/>
      <c r="KF170" s="202"/>
      <c r="KG170" s="202"/>
      <c r="KH170" s="202"/>
      <c r="KI170" s="202"/>
      <c r="KJ170" s="202"/>
      <c r="KK170" s="202"/>
      <c r="KL170" s="202"/>
      <c r="KM170" s="202"/>
      <c r="KN170" s="202"/>
      <c r="KO170" s="202"/>
      <c r="KP170" s="202"/>
      <c r="KQ170" s="202"/>
      <c r="KR170" s="202"/>
      <c r="KS170" s="202"/>
      <c r="KT170" s="202"/>
      <c r="KU170" s="202"/>
      <c r="KV170" s="202"/>
      <c r="KW170" s="202"/>
      <c r="KX170" s="202"/>
      <c r="KY170" s="202"/>
      <c r="KZ170" s="202"/>
      <c r="LA170" s="202"/>
      <c r="LB170" s="202"/>
      <c r="LC170" s="202"/>
      <c r="LD170" s="202"/>
      <c r="LE170" s="202"/>
      <c r="LF170" s="202"/>
      <c r="LG170" s="204"/>
      <c r="LH170" s="204"/>
      <c r="LI170" s="204"/>
      <c r="LJ170" s="204"/>
      <c r="LK170" s="204"/>
      <c r="LL170" s="204"/>
      <c r="LM170" s="55"/>
      <c r="LU170" s="155"/>
      <c r="MB170" s="187"/>
      <c r="MC170" s="188"/>
      <c r="MD170" s="188"/>
      <c r="ME170" s="188"/>
      <c r="MF170" s="188"/>
      <c r="MG170" s="188"/>
      <c r="MH170" s="188"/>
      <c r="MI170" s="188"/>
      <c r="MJ170" s="188"/>
      <c r="MK170" s="188"/>
      <c r="ML170" s="188"/>
      <c r="MM170" s="188"/>
      <c r="MN170" s="188"/>
      <c r="MO170" s="188"/>
      <c r="MP170" s="188"/>
      <c r="MQ170" s="188"/>
      <c r="MR170" s="188"/>
      <c r="MS170" s="188"/>
      <c r="MT170" s="188"/>
      <c r="MU170" s="188"/>
      <c r="MV170" s="188"/>
      <c r="MW170" s="188"/>
      <c r="MX170" s="188"/>
      <c r="MY170" s="188"/>
      <c r="MZ170" s="188"/>
      <c r="NA170" s="188"/>
      <c r="NB170" s="188"/>
      <c r="NC170" s="188"/>
      <c r="ND170" s="188"/>
      <c r="NE170" s="188"/>
      <c r="NF170" s="188"/>
      <c r="NG170" s="188"/>
      <c r="NH170" s="188"/>
      <c r="NI170" s="188"/>
      <c r="NJ170" s="188"/>
      <c r="NK170" s="188"/>
      <c r="NL170" s="188"/>
      <c r="NM170" s="188"/>
      <c r="NN170" s="188"/>
      <c r="NO170" s="188"/>
      <c r="NP170" s="189"/>
      <c r="NQ170" s="187"/>
      <c r="NR170" s="188"/>
      <c r="NS170" s="188"/>
      <c r="NT170" s="188"/>
      <c r="NU170" s="189"/>
      <c r="OW170" s="12"/>
      <c r="OX170" s="7"/>
      <c r="OY170" s="3"/>
      <c r="OZ170" s="3"/>
      <c r="PA170" s="3"/>
      <c r="PB170" s="3"/>
      <c r="PC170" s="2"/>
      <c r="PQ170" s="3"/>
      <c r="PR170" s="3"/>
      <c r="PS170" s="3"/>
      <c r="PT170" s="3"/>
      <c r="PU170" s="3"/>
      <c r="PV170" s="2"/>
    </row>
    <row r="171" spans="3:438" ht="5.0999999999999996" customHeight="1" x14ac:dyDescent="0.3">
      <c r="C171" s="11"/>
      <c r="D171" s="13"/>
      <c r="Q171" s="184" t="s">
        <v>43</v>
      </c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6"/>
      <c r="BF171" s="184">
        <v>1</v>
      </c>
      <c r="BG171" s="185"/>
      <c r="BH171" s="185"/>
      <c r="BI171" s="185"/>
      <c r="BJ171" s="186"/>
      <c r="ER171" s="54"/>
      <c r="ES171" s="18"/>
      <c r="HQ171" s="184" t="s">
        <v>53</v>
      </c>
      <c r="HR171" s="185"/>
      <c r="HS171" s="185"/>
      <c r="HT171" s="185"/>
      <c r="HU171" s="185"/>
      <c r="HV171" s="185"/>
      <c r="HW171" s="185"/>
      <c r="HX171" s="185"/>
      <c r="HY171" s="185"/>
      <c r="HZ171" s="185"/>
      <c r="IA171" s="185"/>
      <c r="IB171" s="185"/>
      <c r="IC171" s="185"/>
      <c r="ID171" s="185"/>
      <c r="IE171" s="185"/>
      <c r="IF171" s="185"/>
      <c r="IG171" s="185"/>
      <c r="IH171" s="185"/>
      <c r="II171" s="185"/>
      <c r="IJ171" s="185"/>
      <c r="IK171" s="185"/>
      <c r="IL171" s="185"/>
      <c r="IM171" s="185"/>
      <c r="IN171" s="185"/>
      <c r="IO171" s="185"/>
      <c r="IP171" s="185"/>
      <c r="IQ171" s="185"/>
      <c r="IR171" s="185"/>
      <c r="IS171" s="185"/>
      <c r="IT171" s="185"/>
      <c r="IU171" s="185"/>
      <c r="IV171" s="185"/>
      <c r="IW171" s="185"/>
      <c r="IX171" s="185"/>
      <c r="IY171" s="185"/>
      <c r="IZ171" s="185"/>
      <c r="JA171" s="185"/>
      <c r="JB171" s="185"/>
      <c r="JC171" s="185"/>
      <c r="JD171" s="186"/>
      <c r="JE171" s="184">
        <v>1</v>
      </c>
      <c r="JF171" s="185"/>
      <c r="JG171" s="185"/>
      <c r="JH171" s="185"/>
      <c r="JI171" s="186"/>
      <c r="JS171" s="216" t="s">
        <v>37</v>
      </c>
      <c r="JT171" s="217"/>
      <c r="JU171" s="217"/>
      <c r="JV171" s="217"/>
      <c r="JW171" s="217"/>
      <c r="JX171" s="217"/>
      <c r="JY171" s="217"/>
      <c r="JZ171" s="217"/>
      <c r="KA171" s="217"/>
      <c r="KB171" s="217"/>
      <c r="KC171" s="217"/>
      <c r="KD171" s="217"/>
      <c r="KE171" s="217"/>
      <c r="KF171" s="217"/>
      <c r="KG171" s="217"/>
      <c r="KH171" s="217"/>
      <c r="KI171" s="217"/>
      <c r="KJ171" s="217"/>
      <c r="KK171" s="217"/>
      <c r="KL171" s="217"/>
      <c r="KM171" s="217"/>
      <c r="KN171" s="217"/>
      <c r="KO171" s="217"/>
      <c r="KP171" s="217"/>
      <c r="KQ171" s="217"/>
      <c r="KR171" s="217"/>
      <c r="KS171" s="217"/>
      <c r="KT171" s="217"/>
      <c r="KU171" s="217"/>
      <c r="KV171" s="217"/>
      <c r="KW171" s="217"/>
      <c r="KX171" s="217"/>
      <c r="KY171" s="217"/>
      <c r="KZ171" s="217"/>
      <c r="LA171" s="217"/>
      <c r="LB171" s="217"/>
      <c r="LC171" s="217"/>
      <c r="LD171" s="217"/>
      <c r="LE171" s="217"/>
      <c r="LF171" s="217"/>
      <c r="LG171" s="187">
        <v>1</v>
      </c>
      <c r="LH171" s="188"/>
      <c r="LI171" s="188"/>
      <c r="LJ171" s="188"/>
      <c r="LK171" s="188"/>
      <c r="LL171" s="189"/>
      <c r="LU171" s="155"/>
      <c r="MB171" s="187"/>
      <c r="MC171" s="188"/>
      <c r="MD171" s="188"/>
      <c r="ME171" s="188"/>
      <c r="MF171" s="188"/>
      <c r="MG171" s="188"/>
      <c r="MH171" s="188"/>
      <c r="MI171" s="188"/>
      <c r="MJ171" s="188"/>
      <c r="MK171" s="188"/>
      <c r="ML171" s="188"/>
      <c r="MM171" s="188"/>
      <c r="MN171" s="188"/>
      <c r="MO171" s="188"/>
      <c r="MP171" s="188"/>
      <c r="MQ171" s="188"/>
      <c r="MR171" s="188"/>
      <c r="MS171" s="188"/>
      <c r="MT171" s="188"/>
      <c r="MU171" s="188"/>
      <c r="MV171" s="188"/>
      <c r="MW171" s="188"/>
      <c r="MX171" s="188"/>
      <c r="MY171" s="188"/>
      <c r="MZ171" s="188"/>
      <c r="NA171" s="188"/>
      <c r="NB171" s="188"/>
      <c r="NC171" s="188"/>
      <c r="ND171" s="188"/>
      <c r="NE171" s="188"/>
      <c r="NF171" s="188"/>
      <c r="NG171" s="188"/>
      <c r="NH171" s="188"/>
      <c r="NI171" s="188"/>
      <c r="NJ171" s="188"/>
      <c r="NK171" s="188"/>
      <c r="NL171" s="188"/>
      <c r="NM171" s="188"/>
      <c r="NN171" s="188"/>
      <c r="NO171" s="188"/>
      <c r="NP171" s="189"/>
      <c r="NQ171" s="187"/>
      <c r="NR171" s="188"/>
      <c r="NS171" s="188"/>
      <c r="NT171" s="188"/>
      <c r="NU171" s="189"/>
      <c r="OW171" s="12"/>
      <c r="OX171" s="7"/>
      <c r="OY171" s="3"/>
      <c r="OZ171" s="3"/>
      <c r="PA171" s="3"/>
      <c r="PB171" s="3"/>
      <c r="PC171" s="2"/>
      <c r="PQ171" s="3"/>
      <c r="PR171" s="3"/>
      <c r="PS171" s="3"/>
      <c r="PT171" s="3"/>
      <c r="PU171" s="3"/>
      <c r="PV171" s="2"/>
    </row>
    <row r="172" spans="3:438" ht="5.0999999999999996" customHeight="1" x14ac:dyDescent="0.3">
      <c r="C172" s="11"/>
      <c r="D172" s="13"/>
      <c r="Q172" s="187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9"/>
      <c r="BF172" s="187"/>
      <c r="BG172" s="188"/>
      <c r="BH172" s="188"/>
      <c r="BI172" s="188"/>
      <c r="BJ172" s="189"/>
      <c r="ER172" s="19"/>
      <c r="HQ172" s="187"/>
      <c r="HR172" s="188"/>
      <c r="HS172" s="188"/>
      <c r="HT172" s="188"/>
      <c r="HU172" s="188"/>
      <c r="HV172" s="188"/>
      <c r="HW172" s="188"/>
      <c r="HX172" s="188"/>
      <c r="HY172" s="188"/>
      <c r="HZ172" s="188"/>
      <c r="IA172" s="188"/>
      <c r="IB172" s="188"/>
      <c r="IC172" s="188"/>
      <c r="ID172" s="188"/>
      <c r="IE172" s="188"/>
      <c r="IF172" s="188"/>
      <c r="IG172" s="188"/>
      <c r="IH172" s="188"/>
      <c r="II172" s="188"/>
      <c r="IJ172" s="188"/>
      <c r="IK172" s="188"/>
      <c r="IL172" s="188"/>
      <c r="IM172" s="188"/>
      <c r="IN172" s="188"/>
      <c r="IO172" s="188"/>
      <c r="IP172" s="188"/>
      <c r="IQ172" s="188"/>
      <c r="IR172" s="188"/>
      <c r="IS172" s="188"/>
      <c r="IT172" s="188"/>
      <c r="IU172" s="188"/>
      <c r="IV172" s="188"/>
      <c r="IW172" s="188"/>
      <c r="IX172" s="188"/>
      <c r="IY172" s="188"/>
      <c r="IZ172" s="188"/>
      <c r="JA172" s="188"/>
      <c r="JB172" s="188"/>
      <c r="JC172" s="188"/>
      <c r="JD172" s="189"/>
      <c r="JE172" s="187"/>
      <c r="JF172" s="188"/>
      <c r="JG172" s="188"/>
      <c r="JH172" s="188"/>
      <c r="JI172" s="189"/>
      <c r="JS172" s="219"/>
      <c r="JT172" s="220"/>
      <c r="JU172" s="220"/>
      <c r="JV172" s="220"/>
      <c r="JW172" s="220"/>
      <c r="JX172" s="220"/>
      <c r="JY172" s="220"/>
      <c r="JZ172" s="220"/>
      <c r="KA172" s="220"/>
      <c r="KB172" s="220"/>
      <c r="KC172" s="220"/>
      <c r="KD172" s="220"/>
      <c r="KE172" s="220"/>
      <c r="KF172" s="220"/>
      <c r="KG172" s="220"/>
      <c r="KH172" s="220"/>
      <c r="KI172" s="220"/>
      <c r="KJ172" s="220"/>
      <c r="KK172" s="220"/>
      <c r="KL172" s="220"/>
      <c r="KM172" s="220"/>
      <c r="KN172" s="220"/>
      <c r="KO172" s="220"/>
      <c r="KP172" s="220"/>
      <c r="KQ172" s="220"/>
      <c r="KR172" s="220"/>
      <c r="KS172" s="220"/>
      <c r="KT172" s="220"/>
      <c r="KU172" s="220"/>
      <c r="KV172" s="220"/>
      <c r="KW172" s="220"/>
      <c r="KX172" s="220"/>
      <c r="KY172" s="220"/>
      <c r="KZ172" s="220"/>
      <c r="LA172" s="220"/>
      <c r="LB172" s="220"/>
      <c r="LC172" s="220"/>
      <c r="LD172" s="220"/>
      <c r="LE172" s="220"/>
      <c r="LF172" s="220"/>
      <c r="LG172" s="187"/>
      <c r="LH172" s="188"/>
      <c r="LI172" s="188"/>
      <c r="LJ172" s="188"/>
      <c r="LK172" s="188"/>
      <c r="LL172" s="189"/>
      <c r="LU172" s="155"/>
      <c r="MB172" s="187"/>
      <c r="MC172" s="188"/>
      <c r="MD172" s="188"/>
      <c r="ME172" s="188"/>
      <c r="MF172" s="188"/>
      <c r="MG172" s="188"/>
      <c r="MH172" s="188"/>
      <c r="MI172" s="188"/>
      <c r="MJ172" s="188"/>
      <c r="MK172" s="188"/>
      <c r="ML172" s="188"/>
      <c r="MM172" s="188"/>
      <c r="MN172" s="188"/>
      <c r="MO172" s="188"/>
      <c r="MP172" s="188"/>
      <c r="MQ172" s="188"/>
      <c r="MR172" s="188"/>
      <c r="MS172" s="188"/>
      <c r="MT172" s="188"/>
      <c r="MU172" s="188"/>
      <c r="MV172" s="188"/>
      <c r="MW172" s="188"/>
      <c r="MX172" s="188"/>
      <c r="MY172" s="188"/>
      <c r="MZ172" s="188"/>
      <c r="NA172" s="188"/>
      <c r="NB172" s="188"/>
      <c r="NC172" s="188"/>
      <c r="ND172" s="188"/>
      <c r="NE172" s="188"/>
      <c r="NF172" s="188"/>
      <c r="NG172" s="188"/>
      <c r="NH172" s="188"/>
      <c r="NI172" s="188"/>
      <c r="NJ172" s="188"/>
      <c r="NK172" s="188"/>
      <c r="NL172" s="188"/>
      <c r="NM172" s="188"/>
      <c r="NN172" s="188"/>
      <c r="NO172" s="188"/>
      <c r="NP172" s="189"/>
      <c r="NQ172" s="187"/>
      <c r="NR172" s="188"/>
      <c r="NS172" s="188"/>
      <c r="NT172" s="188"/>
      <c r="NU172" s="189"/>
      <c r="OW172" s="12"/>
      <c r="OX172" s="7"/>
      <c r="OY172" s="3"/>
      <c r="OZ172" s="3"/>
      <c r="PA172" s="3"/>
      <c r="PB172" s="3"/>
      <c r="PC172" s="2"/>
      <c r="PQ172" s="3"/>
      <c r="PR172" s="3"/>
      <c r="PS172" s="3"/>
      <c r="PT172" s="3"/>
      <c r="PU172" s="3"/>
      <c r="PV172" s="2"/>
    </row>
    <row r="173" spans="3:438" ht="5.0999999999999996" customHeight="1" x14ac:dyDescent="0.3">
      <c r="C173" s="11"/>
      <c r="D173" s="13"/>
      <c r="Q173" s="187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  <c r="BD173" s="188"/>
      <c r="BE173" s="189"/>
      <c r="BF173" s="187"/>
      <c r="BG173" s="188"/>
      <c r="BH173" s="188"/>
      <c r="BI173" s="188"/>
      <c r="BJ173" s="189"/>
      <c r="DV173" s="184" t="s">
        <v>49</v>
      </c>
      <c r="DW173" s="185"/>
      <c r="DX173" s="185"/>
      <c r="DY173" s="185"/>
      <c r="DZ173" s="185"/>
      <c r="EA173" s="185"/>
      <c r="EB173" s="185"/>
      <c r="EC173" s="185"/>
      <c r="ED173" s="185"/>
      <c r="EE173" s="185"/>
      <c r="EF173" s="185"/>
      <c r="EG173" s="185"/>
      <c r="EH173" s="185"/>
      <c r="EI173" s="185"/>
      <c r="EJ173" s="185"/>
      <c r="EK173" s="185"/>
      <c r="EL173" s="185"/>
      <c r="EM173" s="185"/>
      <c r="EN173" s="185"/>
      <c r="EO173" s="185"/>
      <c r="EP173" s="185"/>
      <c r="EQ173" s="185"/>
      <c r="ER173" s="185"/>
      <c r="ES173" s="185"/>
      <c r="ET173" s="185"/>
      <c r="EU173" s="185"/>
      <c r="EV173" s="185"/>
      <c r="EW173" s="185"/>
      <c r="EX173" s="185"/>
      <c r="EY173" s="185"/>
      <c r="EZ173" s="185"/>
      <c r="FA173" s="185"/>
      <c r="FB173" s="185"/>
      <c r="FC173" s="185"/>
      <c r="FD173" s="185"/>
      <c r="FE173" s="185"/>
      <c r="FF173" s="185"/>
      <c r="FG173" s="185"/>
      <c r="FH173" s="185">
        <v>1</v>
      </c>
      <c r="FI173" s="186"/>
      <c r="FJ173" s="184">
        <v>7</v>
      </c>
      <c r="FK173" s="185"/>
      <c r="FL173" s="185"/>
      <c r="FM173" s="185"/>
      <c r="FN173" s="186"/>
      <c r="HQ173" s="187"/>
      <c r="HR173" s="188"/>
      <c r="HS173" s="188"/>
      <c r="HT173" s="188"/>
      <c r="HU173" s="188"/>
      <c r="HV173" s="188"/>
      <c r="HW173" s="188"/>
      <c r="HX173" s="188"/>
      <c r="HY173" s="188"/>
      <c r="HZ173" s="188"/>
      <c r="IA173" s="188"/>
      <c r="IB173" s="188"/>
      <c r="IC173" s="188"/>
      <c r="ID173" s="188"/>
      <c r="IE173" s="188"/>
      <c r="IF173" s="188"/>
      <c r="IG173" s="188"/>
      <c r="IH173" s="188"/>
      <c r="II173" s="188"/>
      <c r="IJ173" s="188"/>
      <c r="IK173" s="188"/>
      <c r="IL173" s="188"/>
      <c r="IM173" s="188"/>
      <c r="IN173" s="188"/>
      <c r="IO173" s="188"/>
      <c r="IP173" s="188"/>
      <c r="IQ173" s="188"/>
      <c r="IR173" s="188"/>
      <c r="IS173" s="188"/>
      <c r="IT173" s="188"/>
      <c r="IU173" s="188"/>
      <c r="IV173" s="188"/>
      <c r="IW173" s="188"/>
      <c r="IX173" s="188"/>
      <c r="IY173" s="188"/>
      <c r="IZ173" s="188"/>
      <c r="JA173" s="188"/>
      <c r="JB173" s="188"/>
      <c r="JC173" s="188"/>
      <c r="JD173" s="189"/>
      <c r="JE173" s="187"/>
      <c r="JF173" s="188"/>
      <c r="JG173" s="188"/>
      <c r="JH173" s="188"/>
      <c r="JI173" s="189"/>
      <c r="JQ173" s="14"/>
      <c r="JS173" s="219"/>
      <c r="JT173" s="220"/>
      <c r="JU173" s="220"/>
      <c r="JV173" s="220"/>
      <c r="JW173" s="220"/>
      <c r="JX173" s="220"/>
      <c r="JY173" s="220"/>
      <c r="JZ173" s="220"/>
      <c r="KA173" s="220"/>
      <c r="KB173" s="220"/>
      <c r="KC173" s="220"/>
      <c r="KD173" s="220"/>
      <c r="KE173" s="220"/>
      <c r="KF173" s="220"/>
      <c r="KG173" s="220"/>
      <c r="KH173" s="220"/>
      <c r="KI173" s="220"/>
      <c r="KJ173" s="220"/>
      <c r="KK173" s="220"/>
      <c r="KL173" s="220"/>
      <c r="KM173" s="220"/>
      <c r="KN173" s="220"/>
      <c r="KO173" s="220"/>
      <c r="KP173" s="220"/>
      <c r="KQ173" s="220"/>
      <c r="KR173" s="220"/>
      <c r="KS173" s="220"/>
      <c r="KT173" s="220"/>
      <c r="KU173" s="220"/>
      <c r="KV173" s="220"/>
      <c r="KW173" s="220"/>
      <c r="KX173" s="220"/>
      <c r="KY173" s="220"/>
      <c r="KZ173" s="220"/>
      <c r="LA173" s="220"/>
      <c r="LB173" s="220"/>
      <c r="LC173" s="220"/>
      <c r="LD173" s="220"/>
      <c r="LE173" s="220"/>
      <c r="LF173" s="220"/>
      <c r="LG173" s="187"/>
      <c r="LH173" s="188"/>
      <c r="LI173" s="188"/>
      <c r="LJ173" s="188"/>
      <c r="LK173" s="188"/>
      <c r="LL173" s="189"/>
      <c r="LU173" s="155"/>
      <c r="MB173" s="187"/>
      <c r="MC173" s="188"/>
      <c r="MD173" s="188"/>
      <c r="ME173" s="188"/>
      <c r="MF173" s="188"/>
      <c r="MG173" s="188"/>
      <c r="MH173" s="188"/>
      <c r="MI173" s="188"/>
      <c r="MJ173" s="188"/>
      <c r="MK173" s="188"/>
      <c r="ML173" s="188"/>
      <c r="MM173" s="188"/>
      <c r="MN173" s="188"/>
      <c r="MO173" s="188"/>
      <c r="MP173" s="188"/>
      <c r="MQ173" s="188"/>
      <c r="MR173" s="188"/>
      <c r="MS173" s="188"/>
      <c r="MT173" s="188"/>
      <c r="MU173" s="188"/>
      <c r="MV173" s="188"/>
      <c r="MW173" s="188"/>
      <c r="MX173" s="188"/>
      <c r="MY173" s="188"/>
      <c r="MZ173" s="188"/>
      <c r="NA173" s="188"/>
      <c r="NB173" s="188"/>
      <c r="NC173" s="188"/>
      <c r="ND173" s="188"/>
      <c r="NE173" s="188"/>
      <c r="NF173" s="188"/>
      <c r="NG173" s="188"/>
      <c r="NH173" s="188"/>
      <c r="NI173" s="188"/>
      <c r="NJ173" s="188"/>
      <c r="NK173" s="188"/>
      <c r="NL173" s="188"/>
      <c r="NM173" s="188"/>
      <c r="NN173" s="188"/>
      <c r="NO173" s="188"/>
      <c r="NP173" s="189"/>
      <c r="NQ173" s="187"/>
      <c r="NR173" s="188"/>
      <c r="NS173" s="188"/>
      <c r="NT173" s="188"/>
      <c r="NU173" s="189"/>
      <c r="OW173" s="12"/>
      <c r="OX173" s="7"/>
      <c r="OY173" s="3"/>
      <c r="OZ173" s="3"/>
      <c r="PA173" s="3"/>
      <c r="PB173" s="3"/>
      <c r="PC173" s="2"/>
      <c r="PQ173" s="3"/>
      <c r="PR173" s="3"/>
      <c r="PS173" s="3"/>
      <c r="PT173" s="3"/>
      <c r="PU173" s="3"/>
      <c r="PV173" s="2"/>
    </row>
    <row r="174" spans="3:438" ht="5.0999999999999996" customHeight="1" x14ac:dyDescent="0.3">
      <c r="C174" s="11"/>
      <c r="D174" s="13"/>
      <c r="Q174" s="187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  <c r="BD174" s="188"/>
      <c r="BE174" s="189"/>
      <c r="BF174" s="187"/>
      <c r="BG174" s="188"/>
      <c r="BH174" s="188"/>
      <c r="BI174" s="188"/>
      <c r="BJ174" s="189"/>
      <c r="DV174" s="187"/>
      <c r="DW174" s="188"/>
      <c r="DX174" s="188"/>
      <c r="DY174" s="188"/>
      <c r="DZ174" s="188"/>
      <c r="EA174" s="188"/>
      <c r="EB174" s="188"/>
      <c r="EC174" s="188"/>
      <c r="ED174" s="188"/>
      <c r="EE174" s="188"/>
      <c r="EF174" s="188"/>
      <c r="EG174" s="188"/>
      <c r="EH174" s="188"/>
      <c r="EI174" s="188"/>
      <c r="EJ174" s="188"/>
      <c r="EK174" s="188"/>
      <c r="EL174" s="188"/>
      <c r="EM174" s="188"/>
      <c r="EN174" s="188"/>
      <c r="EO174" s="188"/>
      <c r="EP174" s="188"/>
      <c r="EQ174" s="188"/>
      <c r="ER174" s="188"/>
      <c r="ES174" s="188"/>
      <c r="ET174" s="188"/>
      <c r="EU174" s="188"/>
      <c r="EV174" s="188"/>
      <c r="EW174" s="188"/>
      <c r="EX174" s="188"/>
      <c r="EY174" s="188"/>
      <c r="EZ174" s="188"/>
      <c r="FA174" s="188"/>
      <c r="FB174" s="188"/>
      <c r="FC174" s="188"/>
      <c r="FD174" s="188"/>
      <c r="FE174" s="188"/>
      <c r="FF174" s="188"/>
      <c r="FG174" s="188"/>
      <c r="FH174" s="188"/>
      <c r="FI174" s="189"/>
      <c r="FJ174" s="187"/>
      <c r="FK174" s="188"/>
      <c r="FL174" s="188"/>
      <c r="FM174" s="188"/>
      <c r="FN174" s="189"/>
      <c r="HQ174" s="187"/>
      <c r="HR174" s="188"/>
      <c r="HS174" s="188"/>
      <c r="HT174" s="188"/>
      <c r="HU174" s="188"/>
      <c r="HV174" s="188"/>
      <c r="HW174" s="188"/>
      <c r="HX174" s="188"/>
      <c r="HY174" s="188"/>
      <c r="HZ174" s="188"/>
      <c r="IA174" s="188"/>
      <c r="IB174" s="188"/>
      <c r="IC174" s="188"/>
      <c r="ID174" s="188"/>
      <c r="IE174" s="188"/>
      <c r="IF174" s="188"/>
      <c r="IG174" s="188"/>
      <c r="IH174" s="188"/>
      <c r="II174" s="188"/>
      <c r="IJ174" s="188"/>
      <c r="IK174" s="188"/>
      <c r="IL174" s="188"/>
      <c r="IM174" s="188"/>
      <c r="IN174" s="188"/>
      <c r="IO174" s="188"/>
      <c r="IP174" s="188"/>
      <c r="IQ174" s="188"/>
      <c r="IR174" s="188"/>
      <c r="IS174" s="188"/>
      <c r="IT174" s="188"/>
      <c r="IU174" s="188"/>
      <c r="IV174" s="188"/>
      <c r="IW174" s="188"/>
      <c r="IX174" s="188"/>
      <c r="IY174" s="188"/>
      <c r="IZ174" s="188"/>
      <c r="JA174" s="188"/>
      <c r="JB174" s="188"/>
      <c r="JC174" s="188"/>
      <c r="JD174" s="189"/>
      <c r="JE174" s="187"/>
      <c r="JF174" s="188"/>
      <c r="JG174" s="188"/>
      <c r="JH174" s="188"/>
      <c r="JI174" s="189"/>
      <c r="JQ174" s="14"/>
      <c r="JS174" s="219"/>
      <c r="JT174" s="220"/>
      <c r="JU174" s="220"/>
      <c r="JV174" s="220"/>
      <c r="JW174" s="220"/>
      <c r="JX174" s="220"/>
      <c r="JY174" s="220"/>
      <c r="JZ174" s="220"/>
      <c r="KA174" s="220"/>
      <c r="KB174" s="220"/>
      <c r="KC174" s="220"/>
      <c r="KD174" s="220"/>
      <c r="KE174" s="220"/>
      <c r="KF174" s="220"/>
      <c r="KG174" s="220"/>
      <c r="KH174" s="220"/>
      <c r="KI174" s="220"/>
      <c r="KJ174" s="220"/>
      <c r="KK174" s="220"/>
      <c r="KL174" s="220"/>
      <c r="KM174" s="220"/>
      <c r="KN174" s="220"/>
      <c r="KO174" s="220"/>
      <c r="KP174" s="220"/>
      <c r="KQ174" s="220"/>
      <c r="KR174" s="220"/>
      <c r="KS174" s="220"/>
      <c r="KT174" s="220"/>
      <c r="KU174" s="220"/>
      <c r="KV174" s="220"/>
      <c r="KW174" s="220"/>
      <c r="KX174" s="220"/>
      <c r="KY174" s="220"/>
      <c r="KZ174" s="220"/>
      <c r="LA174" s="220"/>
      <c r="LB174" s="220"/>
      <c r="LC174" s="220"/>
      <c r="LD174" s="220"/>
      <c r="LE174" s="220"/>
      <c r="LF174" s="220"/>
      <c r="LG174" s="187"/>
      <c r="LH174" s="188"/>
      <c r="LI174" s="188"/>
      <c r="LJ174" s="188"/>
      <c r="LK174" s="188"/>
      <c r="LL174" s="189"/>
      <c r="LU174" s="155"/>
      <c r="MB174" s="187"/>
      <c r="MC174" s="188"/>
      <c r="MD174" s="188"/>
      <c r="ME174" s="188"/>
      <c r="MF174" s="188"/>
      <c r="MG174" s="188"/>
      <c r="MH174" s="188"/>
      <c r="MI174" s="188"/>
      <c r="MJ174" s="188"/>
      <c r="MK174" s="188"/>
      <c r="ML174" s="188"/>
      <c r="MM174" s="188"/>
      <c r="MN174" s="188"/>
      <c r="MO174" s="188"/>
      <c r="MP174" s="188"/>
      <c r="MQ174" s="188"/>
      <c r="MR174" s="188"/>
      <c r="MS174" s="188"/>
      <c r="MT174" s="188"/>
      <c r="MU174" s="188"/>
      <c r="MV174" s="188"/>
      <c r="MW174" s="188"/>
      <c r="MX174" s="188"/>
      <c r="MY174" s="188"/>
      <c r="MZ174" s="188"/>
      <c r="NA174" s="188"/>
      <c r="NB174" s="188"/>
      <c r="NC174" s="188"/>
      <c r="ND174" s="188"/>
      <c r="NE174" s="188"/>
      <c r="NF174" s="188"/>
      <c r="NG174" s="188"/>
      <c r="NH174" s="188"/>
      <c r="NI174" s="188"/>
      <c r="NJ174" s="188"/>
      <c r="NK174" s="188"/>
      <c r="NL174" s="188"/>
      <c r="NM174" s="188"/>
      <c r="NN174" s="188"/>
      <c r="NO174" s="188"/>
      <c r="NP174" s="189"/>
      <c r="NQ174" s="187"/>
      <c r="NR174" s="188"/>
      <c r="NS174" s="188"/>
      <c r="NT174" s="188"/>
      <c r="NU174" s="189"/>
      <c r="OW174" s="12"/>
      <c r="OX174" s="7"/>
      <c r="OY174" s="3"/>
      <c r="OZ174" s="3"/>
      <c r="PA174" s="3"/>
      <c r="PB174" s="3"/>
      <c r="PC174" s="2"/>
      <c r="PQ174" s="3"/>
      <c r="PR174" s="3"/>
      <c r="PS174" s="3"/>
      <c r="PT174" s="3"/>
      <c r="PU174" s="3"/>
      <c r="PV174" s="2"/>
    </row>
    <row r="175" spans="3:438" ht="5.0999999999999996" customHeight="1" x14ac:dyDescent="0.3">
      <c r="C175" s="11"/>
      <c r="D175" s="13"/>
      <c r="Q175" s="187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9"/>
      <c r="BF175" s="187"/>
      <c r="BG175" s="188"/>
      <c r="BH175" s="188"/>
      <c r="BI175" s="188"/>
      <c r="BJ175" s="189"/>
      <c r="DV175" s="187"/>
      <c r="DW175" s="188"/>
      <c r="DX175" s="188"/>
      <c r="DY175" s="188"/>
      <c r="DZ175" s="188"/>
      <c r="EA175" s="188"/>
      <c r="EB175" s="188"/>
      <c r="EC175" s="188"/>
      <c r="ED175" s="188"/>
      <c r="EE175" s="188"/>
      <c r="EF175" s="188"/>
      <c r="EG175" s="188"/>
      <c r="EH175" s="188"/>
      <c r="EI175" s="188"/>
      <c r="EJ175" s="188"/>
      <c r="EK175" s="188"/>
      <c r="EL175" s="188"/>
      <c r="EM175" s="188"/>
      <c r="EN175" s="188"/>
      <c r="EO175" s="188"/>
      <c r="EP175" s="188"/>
      <c r="EQ175" s="188"/>
      <c r="ER175" s="188"/>
      <c r="ES175" s="188"/>
      <c r="ET175" s="188"/>
      <c r="EU175" s="188"/>
      <c r="EV175" s="188"/>
      <c r="EW175" s="188"/>
      <c r="EX175" s="188"/>
      <c r="EY175" s="188"/>
      <c r="EZ175" s="188"/>
      <c r="FA175" s="188"/>
      <c r="FB175" s="188"/>
      <c r="FC175" s="188"/>
      <c r="FD175" s="188"/>
      <c r="FE175" s="188"/>
      <c r="FF175" s="188"/>
      <c r="FG175" s="188"/>
      <c r="FH175" s="188"/>
      <c r="FI175" s="189"/>
      <c r="FJ175" s="187"/>
      <c r="FK175" s="188"/>
      <c r="FL175" s="188"/>
      <c r="FM175" s="188"/>
      <c r="FN175" s="189"/>
      <c r="HQ175" s="187"/>
      <c r="HR175" s="188"/>
      <c r="HS175" s="188"/>
      <c r="HT175" s="188"/>
      <c r="HU175" s="188"/>
      <c r="HV175" s="188"/>
      <c r="HW175" s="188"/>
      <c r="HX175" s="188"/>
      <c r="HY175" s="188"/>
      <c r="HZ175" s="188"/>
      <c r="IA175" s="188"/>
      <c r="IB175" s="188"/>
      <c r="IC175" s="188"/>
      <c r="ID175" s="188"/>
      <c r="IE175" s="188"/>
      <c r="IF175" s="188"/>
      <c r="IG175" s="188"/>
      <c r="IH175" s="188"/>
      <c r="II175" s="188"/>
      <c r="IJ175" s="188"/>
      <c r="IK175" s="188"/>
      <c r="IL175" s="188"/>
      <c r="IM175" s="188"/>
      <c r="IN175" s="188"/>
      <c r="IO175" s="188"/>
      <c r="IP175" s="188"/>
      <c r="IQ175" s="188"/>
      <c r="IR175" s="188"/>
      <c r="IS175" s="188"/>
      <c r="IT175" s="188"/>
      <c r="IU175" s="188"/>
      <c r="IV175" s="188"/>
      <c r="IW175" s="188"/>
      <c r="IX175" s="188"/>
      <c r="IY175" s="188"/>
      <c r="IZ175" s="188"/>
      <c r="JA175" s="188"/>
      <c r="JB175" s="188"/>
      <c r="JC175" s="188"/>
      <c r="JD175" s="189"/>
      <c r="JE175" s="187"/>
      <c r="JF175" s="188"/>
      <c r="JG175" s="188"/>
      <c r="JH175" s="188"/>
      <c r="JI175" s="189"/>
      <c r="JQ175" s="14"/>
      <c r="JS175" s="219"/>
      <c r="JT175" s="220"/>
      <c r="JU175" s="220"/>
      <c r="JV175" s="220"/>
      <c r="JW175" s="220"/>
      <c r="JX175" s="220"/>
      <c r="JY175" s="220"/>
      <c r="JZ175" s="220"/>
      <c r="KA175" s="220"/>
      <c r="KB175" s="220"/>
      <c r="KC175" s="220"/>
      <c r="KD175" s="220"/>
      <c r="KE175" s="220"/>
      <c r="KF175" s="220"/>
      <c r="KG175" s="220"/>
      <c r="KH175" s="220"/>
      <c r="KI175" s="220"/>
      <c r="KJ175" s="220"/>
      <c r="KK175" s="220"/>
      <c r="KL175" s="220"/>
      <c r="KM175" s="220"/>
      <c r="KN175" s="220"/>
      <c r="KO175" s="220"/>
      <c r="KP175" s="220"/>
      <c r="KQ175" s="220"/>
      <c r="KR175" s="220"/>
      <c r="KS175" s="220"/>
      <c r="KT175" s="220"/>
      <c r="KU175" s="220"/>
      <c r="KV175" s="220"/>
      <c r="KW175" s="220"/>
      <c r="KX175" s="220"/>
      <c r="KY175" s="220"/>
      <c r="KZ175" s="220"/>
      <c r="LA175" s="220"/>
      <c r="LB175" s="220"/>
      <c r="LC175" s="220"/>
      <c r="LD175" s="220"/>
      <c r="LE175" s="220"/>
      <c r="LF175" s="220"/>
      <c r="LG175" s="187"/>
      <c r="LH175" s="188"/>
      <c r="LI175" s="188"/>
      <c r="LJ175" s="188"/>
      <c r="LK175" s="188"/>
      <c r="LL175" s="189"/>
      <c r="LU175" s="155"/>
      <c r="MB175" s="187"/>
      <c r="MC175" s="188"/>
      <c r="MD175" s="188"/>
      <c r="ME175" s="188"/>
      <c r="MF175" s="188"/>
      <c r="MG175" s="188"/>
      <c r="MH175" s="188"/>
      <c r="MI175" s="188"/>
      <c r="MJ175" s="188"/>
      <c r="MK175" s="188"/>
      <c r="ML175" s="188"/>
      <c r="MM175" s="188"/>
      <c r="MN175" s="188"/>
      <c r="MO175" s="188"/>
      <c r="MP175" s="188"/>
      <c r="MQ175" s="188"/>
      <c r="MR175" s="188"/>
      <c r="MS175" s="188"/>
      <c r="MT175" s="188"/>
      <c r="MU175" s="188"/>
      <c r="MV175" s="188"/>
      <c r="MW175" s="188"/>
      <c r="MX175" s="188"/>
      <c r="MY175" s="188"/>
      <c r="MZ175" s="188"/>
      <c r="NA175" s="188"/>
      <c r="NB175" s="188"/>
      <c r="NC175" s="188"/>
      <c r="ND175" s="188"/>
      <c r="NE175" s="188"/>
      <c r="NF175" s="188"/>
      <c r="NG175" s="188"/>
      <c r="NH175" s="188"/>
      <c r="NI175" s="188"/>
      <c r="NJ175" s="188"/>
      <c r="NK175" s="188"/>
      <c r="NL175" s="188"/>
      <c r="NM175" s="188"/>
      <c r="NN175" s="188"/>
      <c r="NO175" s="188"/>
      <c r="NP175" s="189"/>
      <c r="NQ175" s="187"/>
      <c r="NR175" s="188"/>
      <c r="NS175" s="188"/>
      <c r="NT175" s="188"/>
      <c r="NU175" s="189"/>
      <c r="OW175" s="12"/>
      <c r="OX175" s="7"/>
      <c r="OY175" s="3"/>
      <c r="OZ175" s="3"/>
      <c r="PA175" s="3"/>
      <c r="PB175" s="3"/>
      <c r="PC175" s="2"/>
      <c r="PQ175" s="3"/>
      <c r="PR175" s="3"/>
      <c r="PS175" s="3"/>
      <c r="PT175" s="3"/>
      <c r="PU175" s="3"/>
      <c r="PV175" s="2"/>
    </row>
    <row r="176" spans="3:438" ht="5.0999999999999996" customHeight="1" x14ac:dyDescent="0.3">
      <c r="C176" s="11"/>
      <c r="D176" s="13"/>
      <c r="Q176" s="187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9"/>
      <c r="BF176" s="187"/>
      <c r="BG176" s="188"/>
      <c r="BH176" s="188"/>
      <c r="BI176" s="188"/>
      <c r="BJ176" s="189"/>
      <c r="DV176" s="187"/>
      <c r="DW176" s="188"/>
      <c r="DX176" s="188"/>
      <c r="DY176" s="188"/>
      <c r="DZ176" s="188"/>
      <c r="EA176" s="188"/>
      <c r="EB176" s="188"/>
      <c r="EC176" s="188"/>
      <c r="ED176" s="188"/>
      <c r="EE176" s="188"/>
      <c r="EF176" s="188"/>
      <c r="EG176" s="188"/>
      <c r="EH176" s="188"/>
      <c r="EI176" s="188"/>
      <c r="EJ176" s="188"/>
      <c r="EK176" s="188"/>
      <c r="EL176" s="188"/>
      <c r="EM176" s="188"/>
      <c r="EN176" s="188"/>
      <c r="EO176" s="188"/>
      <c r="EP176" s="188"/>
      <c r="EQ176" s="188"/>
      <c r="ER176" s="188"/>
      <c r="ES176" s="188"/>
      <c r="ET176" s="188"/>
      <c r="EU176" s="188"/>
      <c r="EV176" s="188"/>
      <c r="EW176" s="188"/>
      <c r="EX176" s="188"/>
      <c r="EY176" s="188"/>
      <c r="EZ176" s="188"/>
      <c r="FA176" s="188"/>
      <c r="FB176" s="188"/>
      <c r="FC176" s="188"/>
      <c r="FD176" s="188"/>
      <c r="FE176" s="188"/>
      <c r="FF176" s="188"/>
      <c r="FG176" s="188"/>
      <c r="FH176" s="188"/>
      <c r="FI176" s="189"/>
      <c r="FJ176" s="187"/>
      <c r="FK176" s="188"/>
      <c r="FL176" s="188"/>
      <c r="FM176" s="188"/>
      <c r="FN176" s="189"/>
      <c r="HQ176" s="187"/>
      <c r="HR176" s="188"/>
      <c r="HS176" s="188"/>
      <c r="HT176" s="188"/>
      <c r="HU176" s="188"/>
      <c r="HV176" s="188"/>
      <c r="HW176" s="188"/>
      <c r="HX176" s="188"/>
      <c r="HY176" s="188"/>
      <c r="HZ176" s="188"/>
      <c r="IA176" s="188"/>
      <c r="IB176" s="188"/>
      <c r="IC176" s="188"/>
      <c r="ID176" s="188"/>
      <c r="IE176" s="188"/>
      <c r="IF176" s="188"/>
      <c r="IG176" s="188"/>
      <c r="IH176" s="188"/>
      <c r="II176" s="188"/>
      <c r="IJ176" s="188"/>
      <c r="IK176" s="188"/>
      <c r="IL176" s="188"/>
      <c r="IM176" s="188"/>
      <c r="IN176" s="188"/>
      <c r="IO176" s="188"/>
      <c r="IP176" s="188"/>
      <c r="IQ176" s="188"/>
      <c r="IR176" s="188"/>
      <c r="IS176" s="188"/>
      <c r="IT176" s="188"/>
      <c r="IU176" s="188"/>
      <c r="IV176" s="188"/>
      <c r="IW176" s="188"/>
      <c r="IX176" s="188"/>
      <c r="IY176" s="188"/>
      <c r="IZ176" s="188"/>
      <c r="JA176" s="188"/>
      <c r="JB176" s="188"/>
      <c r="JC176" s="188"/>
      <c r="JD176" s="189"/>
      <c r="JE176" s="187"/>
      <c r="JF176" s="188"/>
      <c r="JG176" s="188"/>
      <c r="JH176" s="188"/>
      <c r="JI176" s="189"/>
      <c r="JQ176" s="14"/>
      <c r="JS176" s="219"/>
      <c r="JT176" s="220"/>
      <c r="JU176" s="220"/>
      <c r="JV176" s="220"/>
      <c r="JW176" s="220"/>
      <c r="JX176" s="220"/>
      <c r="JY176" s="220"/>
      <c r="JZ176" s="220"/>
      <c r="KA176" s="220"/>
      <c r="KB176" s="220"/>
      <c r="KC176" s="220"/>
      <c r="KD176" s="220"/>
      <c r="KE176" s="220"/>
      <c r="KF176" s="220"/>
      <c r="KG176" s="220"/>
      <c r="KH176" s="220"/>
      <c r="KI176" s="220"/>
      <c r="KJ176" s="220"/>
      <c r="KK176" s="220"/>
      <c r="KL176" s="220"/>
      <c r="KM176" s="220"/>
      <c r="KN176" s="220"/>
      <c r="KO176" s="220"/>
      <c r="KP176" s="220"/>
      <c r="KQ176" s="220"/>
      <c r="KR176" s="220"/>
      <c r="KS176" s="220"/>
      <c r="KT176" s="220"/>
      <c r="KU176" s="220"/>
      <c r="KV176" s="220"/>
      <c r="KW176" s="220"/>
      <c r="KX176" s="220"/>
      <c r="KY176" s="220"/>
      <c r="KZ176" s="220"/>
      <c r="LA176" s="220"/>
      <c r="LB176" s="220"/>
      <c r="LC176" s="220"/>
      <c r="LD176" s="220"/>
      <c r="LE176" s="220"/>
      <c r="LF176" s="220"/>
      <c r="LG176" s="187"/>
      <c r="LH176" s="188"/>
      <c r="LI176" s="188"/>
      <c r="LJ176" s="188"/>
      <c r="LK176" s="188"/>
      <c r="LL176" s="189"/>
      <c r="LU176" s="155"/>
      <c r="MB176" s="187"/>
      <c r="MC176" s="188"/>
      <c r="MD176" s="188"/>
      <c r="ME176" s="188"/>
      <c r="MF176" s="188"/>
      <c r="MG176" s="188"/>
      <c r="MH176" s="188"/>
      <c r="MI176" s="188"/>
      <c r="MJ176" s="188"/>
      <c r="MK176" s="188"/>
      <c r="ML176" s="188"/>
      <c r="MM176" s="188"/>
      <c r="MN176" s="188"/>
      <c r="MO176" s="188"/>
      <c r="MP176" s="188"/>
      <c r="MQ176" s="188"/>
      <c r="MR176" s="188"/>
      <c r="MS176" s="188"/>
      <c r="MT176" s="188"/>
      <c r="MU176" s="188"/>
      <c r="MV176" s="188"/>
      <c r="MW176" s="188"/>
      <c r="MX176" s="188"/>
      <c r="MY176" s="188"/>
      <c r="MZ176" s="188"/>
      <c r="NA176" s="188"/>
      <c r="NB176" s="188"/>
      <c r="NC176" s="188"/>
      <c r="ND176" s="188"/>
      <c r="NE176" s="188"/>
      <c r="NF176" s="188"/>
      <c r="NG176" s="188"/>
      <c r="NH176" s="188"/>
      <c r="NI176" s="188"/>
      <c r="NJ176" s="188"/>
      <c r="NK176" s="188"/>
      <c r="NL176" s="188"/>
      <c r="NM176" s="188"/>
      <c r="NN176" s="188"/>
      <c r="NO176" s="188"/>
      <c r="NP176" s="189"/>
      <c r="NQ176" s="187"/>
      <c r="NR176" s="188"/>
      <c r="NS176" s="188"/>
      <c r="NT176" s="188"/>
      <c r="NU176" s="189"/>
      <c r="OW176" s="12"/>
      <c r="OX176" s="7"/>
      <c r="OY176" s="3"/>
      <c r="OZ176" s="3"/>
      <c r="PA176" s="3"/>
      <c r="PB176" s="3"/>
      <c r="PC176" s="2"/>
      <c r="PQ176" s="3"/>
      <c r="PR176" s="3"/>
      <c r="PS176" s="3"/>
      <c r="PT176" s="3"/>
      <c r="PU176" s="3"/>
      <c r="PV176" s="2"/>
    </row>
    <row r="177" spans="3:438" ht="5.0999999999999996" customHeight="1" x14ac:dyDescent="0.3">
      <c r="C177" s="11"/>
      <c r="D177" s="13"/>
      <c r="Q177" s="187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  <c r="BE177" s="189"/>
      <c r="BF177" s="187"/>
      <c r="BG177" s="188"/>
      <c r="BH177" s="188"/>
      <c r="BI177" s="188"/>
      <c r="BJ177" s="189"/>
      <c r="DV177" s="187"/>
      <c r="DW177" s="188"/>
      <c r="DX177" s="188"/>
      <c r="DY177" s="188"/>
      <c r="DZ177" s="188"/>
      <c r="EA177" s="188"/>
      <c r="EB177" s="188"/>
      <c r="EC177" s="188"/>
      <c r="ED177" s="188"/>
      <c r="EE177" s="188"/>
      <c r="EF177" s="188"/>
      <c r="EG177" s="188"/>
      <c r="EH177" s="188"/>
      <c r="EI177" s="188"/>
      <c r="EJ177" s="188"/>
      <c r="EK177" s="188"/>
      <c r="EL177" s="188"/>
      <c r="EM177" s="188"/>
      <c r="EN177" s="188"/>
      <c r="EO177" s="188"/>
      <c r="EP177" s="188"/>
      <c r="EQ177" s="188"/>
      <c r="ER177" s="188"/>
      <c r="ES177" s="188"/>
      <c r="ET177" s="188"/>
      <c r="EU177" s="188"/>
      <c r="EV177" s="188"/>
      <c r="EW177" s="188"/>
      <c r="EX177" s="188"/>
      <c r="EY177" s="188"/>
      <c r="EZ177" s="188"/>
      <c r="FA177" s="188"/>
      <c r="FB177" s="188"/>
      <c r="FC177" s="188"/>
      <c r="FD177" s="188"/>
      <c r="FE177" s="188"/>
      <c r="FF177" s="188"/>
      <c r="FG177" s="188"/>
      <c r="FH177" s="188"/>
      <c r="FI177" s="189"/>
      <c r="FJ177" s="187"/>
      <c r="FK177" s="188"/>
      <c r="FL177" s="188"/>
      <c r="FM177" s="188"/>
      <c r="FN177" s="189"/>
      <c r="HQ177" s="187"/>
      <c r="HR177" s="188"/>
      <c r="HS177" s="188"/>
      <c r="HT177" s="188"/>
      <c r="HU177" s="188"/>
      <c r="HV177" s="188"/>
      <c r="HW177" s="188"/>
      <c r="HX177" s="188"/>
      <c r="HY177" s="188"/>
      <c r="HZ177" s="188"/>
      <c r="IA177" s="188"/>
      <c r="IB177" s="188"/>
      <c r="IC177" s="188"/>
      <c r="ID177" s="188"/>
      <c r="IE177" s="188"/>
      <c r="IF177" s="188"/>
      <c r="IG177" s="188"/>
      <c r="IH177" s="188"/>
      <c r="II177" s="188"/>
      <c r="IJ177" s="188"/>
      <c r="IK177" s="188"/>
      <c r="IL177" s="188"/>
      <c r="IM177" s="188"/>
      <c r="IN177" s="188"/>
      <c r="IO177" s="188"/>
      <c r="IP177" s="188"/>
      <c r="IQ177" s="188"/>
      <c r="IR177" s="188"/>
      <c r="IS177" s="188"/>
      <c r="IT177" s="188"/>
      <c r="IU177" s="188"/>
      <c r="IV177" s="188"/>
      <c r="IW177" s="188"/>
      <c r="IX177" s="188"/>
      <c r="IY177" s="188"/>
      <c r="IZ177" s="188"/>
      <c r="JA177" s="188"/>
      <c r="JB177" s="188"/>
      <c r="JC177" s="188"/>
      <c r="JD177" s="189"/>
      <c r="JE177" s="187"/>
      <c r="JF177" s="188"/>
      <c r="JG177" s="188"/>
      <c r="JH177" s="188"/>
      <c r="JI177" s="189"/>
      <c r="JQ177" s="14"/>
      <c r="JS177" s="219"/>
      <c r="JT177" s="220"/>
      <c r="JU177" s="220"/>
      <c r="JV177" s="220"/>
      <c r="JW177" s="220"/>
      <c r="JX177" s="220"/>
      <c r="JY177" s="220"/>
      <c r="JZ177" s="220"/>
      <c r="KA177" s="220"/>
      <c r="KB177" s="220"/>
      <c r="KC177" s="220"/>
      <c r="KD177" s="220"/>
      <c r="KE177" s="220"/>
      <c r="KF177" s="220"/>
      <c r="KG177" s="220"/>
      <c r="KH177" s="220"/>
      <c r="KI177" s="220"/>
      <c r="KJ177" s="220"/>
      <c r="KK177" s="220"/>
      <c r="KL177" s="220"/>
      <c r="KM177" s="220"/>
      <c r="KN177" s="220"/>
      <c r="KO177" s="220"/>
      <c r="KP177" s="220"/>
      <c r="KQ177" s="220"/>
      <c r="KR177" s="220"/>
      <c r="KS177" s="220"/>
      <c r="KT177" s="220"/>
      <c r="KU177" s="220"/>
      <c r="KV177" s="220"/>
      <c r="KW177" s="220"/>
      <c r="KX177" s="220"/>
      <c r="KY177" s="220"/>
      <c r="KZ177" s="220"/>
      <c r="LA177" s="220"/>
      <c r="LB177" s="220"/>
      <c r="LC177" s="220"/>
      <c r="LD177" s="220"/>
      <c r="LE177" s="220"/>
      <c r="LF177" s="220"/>
      <c r="LG177" s="187"/>
      <c r="LH177" s="188"/>
      <c r="LI177" s="188"/>
      <c r="LJ177" s="188"/>
      <c r="LK177" s="188"/>
      <c r="LL177" s="189"/>
      <c r="LU177" s="155"/>
      <c r="MB177" s="187"/>
      <c r="MC177" s="188"/>
      <c r="MD177" s="188"/>
      <c r="ME177" s="188"/>
      <c r="MF177" s="188"/>
      <c r="MG177" s="188"/>
      <c r="MH177" s="188"/>
      <c r="MI177" s="188"/>
      <c r="MJ177" s="188"/>
      <c r="MK177" s="188"/>
      <c r="ML177" s="188"/>
      <c r="MM177" s="188"/>
      <c r="MN177" s="188"/>
      <c r="MO177" s="188"/>
      <c r="MP177" s="188"/>
      <c r="MQ177" s="188"/>
      <c r="MR177" s="188"/>
      <c r="MS177" s="188"/>
      <c r="MT177" s="188"/>
      <c r="MU177" s="188"/>
      <c r="MV177" s="188"/>
      <c r="MW177" s="188"/>
      <c r="MX177" s="188"/>
      <c r="MY177" s="188"/>
      <c r="MZ177" s="188"/>
      <c r="NA177" s="188"/>
      <c r="NB177" s="188"/>
      <c r="NC177" s="188"/>
      <c r="ND177" s="188"/>
      <c r="NE177" s="188"/>
      <c r="NF177" s="188"/>
      <c r="NG177" s="188"/>
      <c r="NH177" s="188"/>
      <c r="NI177" s="188"/>
      <c r="NJ177" s="188"/>
      <c r="NK177" s="188"/>
      <c r="NL177" s="188"/>
      <c r="NM177" s="188"/>
      <c r="NN177" s="188"/>
      <c r="NO177" s="188"/>
      <c r="NP177" s="189"/>
      <c r="NQ177" s="187"/>
      <c r="NR177" s="188"/>
      <c r="NS177" s="188"/>
      <c r="NT177" s="188"/>
      <c r="NU177" s="189"/>
      <c r="OW177" s="12"/>
      <c r="OX177" s="7"/>
    </row>
    <row r="178" spans="3:438" ht="5.0999999999999996" customHeight="1" x14ac:dyDescent="0.3">
      <c r="C178" s="11"/>
      <c r="D178" s="13"/>
      <c r="Q178" s="187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  <c r="BD178" s="188"/>
      <c r="BE178" s="189"/>
      <c r="BF178" s="187"/>
      <c r="BG178" s="188"/>
      <c r="BH178" s="188"/>
      <c r="BI178" s="188"/>
      <c r="BJ178" s="189"/>
      <c r="DV178" s="187"/>
      <c r="DW178" s="188"/>
      <c r="DX178" s="188"/>
      <c r="DY178" s="188"/>
      <c r="DZ178" s="188"/>
      <c r="EA178" s="188"/>
      <c r="EB178" s="188"/>
      <c r="EC178" s="188"/>
      <c r="ED178" s="188"/>
      <c r="EE178" s="188"/>
      <c r="EF178" s="188"/>
      <c r="EG178" s="188"/>
      <c r="EH178" s="188"/>
      <c r="EI178" s="188"/>
      <c r="EJ178" s="188"/>
      <c r="EK178" s="188"/>
      <c r="EL178" s="188"/>
      <c r="EM178" s="188"/>
      <c r="EN178" s="188"/>
      <c r="EO178" s="188"/>
      <c r="EP178" s="188"/>
      <c r="EQ178" s="188"/>
      <c r="ER178" s="188"/>
      <c r="ES178" s="188"/>
      <c r="ET178" s="188"/>
      <c r="EU178" s="188"/>
      <c r="EV178" s="188"/>
      <c r="EW178" s="188"/>
      <c r="EX178" s="188"/>
      <c r="EY178" s="188"/>
      <c r="EZ178" s="188"/>
      <c r="FA178" s="188"/>
      <c r="FB178" s="188"/>
      <c r="FC178" s="188"/>
      <c r="FD178" s="188"/>
      <c r="FE178" s="188"/>
      <c r="FF178" s="188"/>
      <c r="FG178" s="188"/>
      <c r="FH178" s="188"/>
      <c r="FI178" s="189"/>
      <c r="FJ178" s="187"/>
      <c r="FK178" s="188"/>
      <c r="FL178" s="188"/>
      <c r="FM178" s="188"/>
      <c r="FN178" s="189"/>
      <c r="HQ178" s="187"/>
      <c r="HR178" s="188"/>
      <c r="HS178" s="188"/>
      <c r="HT178" s="188"/>
      <c r="HU178" s="188"/>
      <c r="HV178" s="188"/>
      <c r="HW178" s="188"/>
      <c r="HX178" s="188"/>
      <c r="HY178" s="188"/>
      <c r="HZ178" s="188"/>
      <c r="IA178" s="188"/>
      <c r="IB178" s="188"/>
      <c r="IC178" s="188"/>
      <c r="ID178" s="188"/>
      <c r="IE178" s="188"/>
      <c r="IF178" s="188"/>
      <c r="IG178" s="188"/>
      <c r="IH178" s="188"/>
      <c r="II178" s="188"/>
      <c r="IJ178" s="188"/>
      <c r="IK178" s="188"/>
      <c r="IL178" s="188"/>
      <c r="IM178" s="188"/>
      <c r="IN178" s="188"/>
      <c r="IO178" s="188"/>
      <c r="IP178" s="188"/>
      <c r="IQ178" s="188"/>
      <c r="IR178" s="188"/>
      <c r="IS178" s="188"/>
      <c r="IT178" s="188"/>
      <c r="IU178" s="188"/>
      <c r="IV178" s="188"/>
      <c r="IW178" s="188"/>
      <c r="IX178" s="188"/>
      <c r="IY178" s="188"/>
      <c r="IZ178" s="188"/>
      <c r="JA178" s="188"/>
      <c r="JB178" s="188"/>
      <c r="JC178" s="188"/>
      <c r="JD178" s="189"/>
      <c r="JE178" s="187"/>
      <c r="JF178" s="188"/>
      <c r="JG178" s="188"/>
      <c r="JH178" s="188"/>
      <c r="JI178" s="189"/>
      <c r="JQ178" s="14"/>
      <c r="JS178" s="219"/>
      <c r="JT178" s="220"/>
      <c r="JU178" s="220"/>
      <c r="JV178" s="220"/>
      <c r="JW178" s="220"/>
      <c r="JX178" s="220"/>
      <c r="JY178" s="220"/>
      <c r="JZ178" s="220"/>
      <c r="KA178" s="220"/>
      <c r="KB178" s="220"/>
      <c r="KC178" s="220"/>
      <c r="KD178" s="220"/>
      <c r="KE178" s="220"/>
      <c r="KF178" s="220"/>
      <c r="KG178" s="220"/>
      <c r="KH178" s="220"/>
      <c r="KI178" s="220"/>
      <c r="KJ178" s="220"/>
      <c r="KK178" s="220"/>
      <c r="KL178" s="220"/>
      <c r="KM178" s="220"/>
      <c r="KN178" s="220"/>
      <c r="KO178" s="220"/>
      <c r="KP178" s="220"/>
      <c r="KQ178" s="220"/>
      <c r="KR178" s="220"/>
      <c r="KS178" s="220"/>
      <c r="KT178" s="220"/>
      <c r="KU178" s="220"/>
      <c r="KV178" s="220"/>
      <c r="KW178" s="220"/>
      <c r="KX178" s="220"/>
      <c r="KY178" s="220"/>
      <c r="KZ178" s="220"/>
      <c r="LA178" s="220"/>
      <c r="LB178" s="220"/>
      <c r="LC178" s="220"/>
      <c r="LD178" s="220"/>
      <c r="LE178" s="220"/>
      <c r="LF178" s="220"/>
      <c r="LG178" s="187"/>
      <c r="LH178" s="188"/>
      <c r="LI178" s="188"/>
      <c r="LJ178" s="188"/>
      <c r="LK178" s="188"/>
      <c r="LL178" s="189"/>
      <c r="LU178" s="155"/>
      <c r="MB178" s="190"/>
      <c r="MC178" s="191"/>
      <c r="MD178" s="191"/>
      <c r="ME178" s="191"/>
      <c r="MF178" s="191"/>
      <c r="MG178" s="191"/>
      <c r="MH178" s="191"/>
      <c r="MI178" s="191"/>
      <c r="MJ178" s="191"/>
      <c r="MK178" s="191"/>
      <c r="ML178" s="191"/>
      <c r="MM178" s="191"/>
      <c r="MN178" s="191"/>
      <c r="MO178" s="191"/>
      <c r="MP178" s="191"/>
      <c r="MQ178" s="191"/>
      <c r="MR178" s="191"/>
      <c r="MS178" s="191"/>
      <c r="MT178" s="191"/>
      <c r="MU178" s="191"/>
      <c r="MV178" s="191"/>
      <c r="MW178" s="191"/>
      <c r="MX178" s="191"/>
      <c r="MY178" s="191"/>
      <c r="MZ178" s="191"/>
      <c r="NA178" s="191"/>
      <c r="NB178" s="191"/>
      <c r="NC178" s="191"/>
      <c r="ND178" s="191"/>
      <c r="NE178" s="191"/>
      <c r="NF178" s="191"/>
      <c r="NG178" s="191"/>
      <c r="NH178" s="191"/>
      <c r="NI178" s="191"/>
      <c r="NJ178" s="191"/>
      <c r="NK178" s="191"/>
      <c r="NL178" s="191"/>
      <c r="NM178" s="191"/>
      <c r="NN178" s="191"/>
      <c r="NO178" s="191"/>
      <c r="NP178" s="192"/>
      <c r="NQ178" s="190"/>
      <c r="NR178" s="191"/>
      <c r="NS178" s="191"/>
      <c r="NT178" s="191"/>
      <c r="NU178" s="192"/>
      <c r="OW178" s="12"/>
      <c r="OX178" s="7"/>
    </row>
    <row r="179" spans="3:438" ht="5.0999999999999996" customHeight="1" x14ac:dyDescent="0.3">
      <c r="C179" s="11"/>
      <c r="D179" s="13"/>
      <c r="Q179" s="187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  <c r="BD179" s="188"/>
      <c r="BE179" s="189"/>
      <c r="BF179" s="187"/>
      <c r="BG179" s="188"/>
      <c r="BH179" s="188"/>
      <c r="BI179" s="188"/>
      <c r="BJ179" s="189"/>
      <c r="DV179" s="187"/>
      <c r="DW179" s="188"/>
      <c r="DX179" s="188"/>
      <c r="DY179" s="188"/>
      <c r="DZ179" s="188"/>
      <c r="EA179" s="188"/>
      <c r="EB179" s="188"/>
      <c r="EC179" s="188"/>
      <c r="ED179" s="188"/>
      <c r="EE179" s="188"/>
      <c r="EF179" s="188"/>
      <c r="EG179" s="188"/>
      <c r="EH179" s="188"/>
      <c r="EI179" s="188"/>
      <c r="EJ179" s="188"/>
      <c r="EK179" s="188"/>
      <c r="EL179" s="188"/>
      <c r="EM179" s="188"/>
      <c r="EN179" s="188"/>
      <c r="EO179" s="188"/>
      <c r="EP179" s="188"/>
      <c r="EQ179" s="188"/>
      <c r="ER179" s="188"/>
      <c r="ES179" s="188"/>
      <c r="ET179" s="188"/>
      <c r="EU179" s="188"/>
      <c r="EV179" s="188"/>
      <c r="EW179" s="188"/>
      <c r="EX179" s="188"/>
      <c r="EY179" s="188"/>
      <c r="EZ179" s="188"/>
      <c r="FA179" s="188"/>
      <c r="FB179" s="188"/>
      <c r="FC179" s="188"/>
      <c r="FD179" s="188"/>
      <c r="FE179" s="188"/>
      <c r="FF179" s="188"/>
      <c r="FG179" s="188"/>
      <c r="FH179" s="188"/>
      <c r="FI179" s="189"/>
      <c r="FJ179" s="187"/>
      <c r="FK179" s="188"/>
      <c r="FL179" s="188"/>
      <c r="FM179" s="188"/>
      <c r="FN179" s="189"/>
      <c r="HQ179" s="187"/>
      <c r="HR179" s="188"/>
      <c r="HS179" s="188"/>
      <c r="HT179" s="188"/>
      <c r="HU179" s="188"/>
      <c r="HV179" s="188"/>
      <c r="HW179" s="188"/>
      <c r="HX179" s="188"/>
      <c r="HY179" s="188"/>
      <c r="HZ179" s="188"/>
      <c r="IA179" s="188"/>
      <c r="IB179" s="188"/>
      <c r="IC179" s="188"/>
      <c r="ID179" s="188"/>
      <c r="IE179" s="188"/>
      <c r="IF179" s="188"/>
      <c r="IG179" s="188"/>
      <c r="IH179" s="188"/>
      <c r="II179" s="188"/>
      <c r="IJ179" s="188"/>
      <c r="IK179" s="188"/>
      <c r="IL179" s="188"/>
      <c r="IM179" s="188"/>
      <c r="IN179" s="188"/>
      <c r="IO179" s="188"/>
      <c r="IP179" s="188"/>
      <c r="IQ179" s="188"/>
      <c r="IR179" s="188"/>
      <c r="IS179" s="188"/>
      <c r="IT179" s="188"/>
      <c r="IU179" s="188"/>
      <c r="IV179" s="188"/>
      <c r="IW179" s="188"/>
      <c r="IX179" s="188"/>
      <c r="IY179" s="188"/>
      <c r="IZ179" s="188"/>
      <c r="JA179" s="188"/>
      <c r="JB179" s="188"/>
      <c r="JC179" s="188"/>
      <c r="JD179" s="189"/>
      <c r="JE179" s="187"/>
      <c r="JF179" s="188"/>
      <c r="JG179" s="188"/>
      <c r="JH179" s="188"/>
      <c r="JI179" s="189"/>
      <c r="JQ179" s="14"/>
      <c r="JS179" s="219"/>
      <c r="JT179" s="220"/>
      <c r="JU179" s="220"/>
      <c r="JV179" s="220"/>
      <c r="JW179" s="220"/>
      <c r="JX179" s="220"/>
      <c r="JY179" s="220"/>
      <c r="JZ179" s="220"/>
      <c r="KA179" s="220"/>
      <c r="KB179" s="220"/>
      <c r="KC179" s="220"/>
      <c r="KD179" s="220"/>
      <c r="KE179" s="220"/>
      <c r="KF179" s="220"/>
      <c r="KG179" s="220"/>
      <c r="KH179" s="220"/>
      <c r="KI179" s="220"/>
      <c r="KJ179" s="220"/>
      <c r="KK179" s="220"/>
      <c r="KL179" s="220"/>
      <c r="KM179" s="220"/>
      <c r="KN179" s="220"/>
      <c r="KO179" s="220"/>
      <c r="KP179" s="220"/>
      <c r="KQ179" s="220"/>
      <c r="KR179" s="220"/>
      <c r="KS179" s="220"/>
      <c r="KT179" s="220"/>
      <c r="KU179" s="220"/>
      <c r="KV179" s="220"/>
      <c r="KW179" s="220"/>
      <c r="KX179" s="220"/>
      <c r="KY179" s="220"/>
      <c r="KZ179" s="220"/>
      <c r="LA179" s="220"/>
      <c r="LB179" s="220"/>
      <c r="LC179" s="220"/>
      <c r="LD179" s="220"/>
      <c r="LE179" s="220"/>
      <c r="LF179" s="220"/>
      <c r="LG179" s="187"/>
      <c r="LH179" s="188"/>
      <c r="LI179" s="188"/>
      <c r="LJ179" s="188"/>
      <c r="LK179" s="188"/>
      <c r="LL179" s="189"/>
      <c r="LU179" s="155"/>
      <c r="MB179" s="184" t="s">
        <v>42</v>
      </c>
      <c r="MC179" s="185"/>
      <c r="MD179" s="185"/>
      <c r="ME179" s="185"/>
      <c r="MF179" s="185"/>
      <c r="MG179" s="185"/>
      <c r="MH179" s="185"/>
      <c r="MI179" s="185"/>
      <c r="MJ179" s="185"/>
      <c r="MK179" s="185"/>
      <c r="ML179" s="185"/>
      <c r="MM179" s="185"/>
      <c r="MN179" s="185"/>
      <c r="MO179" s="185"/>
      <c r="MP179" s="185"/>
      <c r="MQ179" s="185"/>
      <c r="MR179" s="185"/>
      <c r="MS179" s="185"/>
      <c r="MT179" s="185"/>
      <c r="MU179" s="185"/>
      <c r="MV179" s="185"/>
      <c r="MW179" s="185"/>
      <c r="MX179" s="185"/>
      <c r="MY179" s="185"/>
      <c r="MZ179" s="185"/>
      <c r="NA179" s="185"/>
      <c r="NB179" s="185"/>
      <c r="NC179" s="185"/>
      <c r="ND179" s="185"/>
      <c r="NE179" s="185"/>
      <c r="NF179" s="185"/>
      <c r="NG179" s="185"/>
      <c r="NH179" s="185"/>
      <c r="NI179" s="185"/>
      <c r="NJ179" s="185"/>
      <c r="NK179" s="185"/>
      <c r="NL179" s="185"/>
      <c r="NM179" s="185"/>
      <c r="NN179" s="185"/>
      <c r="NO179" s="185"/>
      <c r="NP179" s="186"/>
      <c r="NQ179" s="184">
        <v>1</v>
      </c>
      <c r="NR179" s="185"/>
      <c r="NS179" s="185"/>
      <c r="NT179" s="185"/>
      <c r="NU179" s="186"/>
      <c r="OW179" s="12"/>
      <c r="OX179" s="7"/>
    </row>
    <row r="180" spans="3:438" ht="5.0999999999999996" customHeight="1" x14ac:dyDescent="0.3">
      <c r="C180" s="11"/>
      <c r="D180" s="13"/>
      <c r="Q180" s="190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2"/>
      <c r="BF180" s="190"/>
      <c r="BG180" s="191"/>
      <c r="BH180" s="191"/>
      <c r="BI180" s="191"/>
      <c r="BJ180" s="192"/>
      <c r="DV180" s="187"/>
      <c r="DW180" s="188"/>
      <c r="DX180" s="188"/>
      <c r="DY180" s="188"/>
      <c r="DZ180" s="188"/>
      <c r="EA180" s="188"/>
      <c r="EB180" s="188"/>
      <c r="EC180" s="188"/>
      <c r="ED180" s="188"/>
      <c r="EE180" s="188"/>
      <c r="EF180" s="188"/>
      <c r="EG180" s="188"/>
      <c r="EH180" s="188"/>
      <c r="EI180" s="188"/>
      <c r="EJ180" s="188"/>
      <c r="EK180" s="188"/>
      <c r="EL180" s="188"/>
      <c r="EM180" s="188"/>
      <c r="EN180" s="188"/>
      <c r="EO180" s="188"/>
      <c r="EP180" s="188"/>
      <c r="EQ180" s="188"/>
      <c r="ER180" s="188"/>
      <c r="ES180" s="188"/>
      <c r="ET180" s="188"/>
      <c r="EU180" s="188"/>
      <c r="EV180" s="188"/>
      <c r="EW180" s="188"/>
      <c r="EX180" s="188"/>
      <c r="EY180" s="188"/>
      <c r="EZ180" s="188"/>
      <c r="FA180" s="188"/>
      <c r="FB180" s="188"/>
      <c r="FC180" s="188"/>
      <c r="FD180" s="188"/>
      <c r="FE180" s="188"/>
      <c r="FF180" s="188"/>
      <c r="FG180" s="188"/>
      <c r="FH180" s="188"/>
      <c r="FI180" s="189"/>
      <c r="FJ180" s="187"/>
      <c r="FK180" s="188"/>
      <c r="FL180" s="188"/>
      <c r="FM180" s="188"/>
      <c r="FN180" s="189"/>
      <c r="HQ180" s="190"/>
      <c r="HR180" s="191"/>
      <c r="HS180" s="191"/>
      <c r="HT180" s="191"/>
      <c r="HU180" s="191"/>
      <c r="HV180" s="191"/>
      <c r="HW180" s="191"/>
      <c r="HX180" s="191"/>
      <c r="HY180" s="191"/>
      <c r="HZ180" s="191"/>
      <c r="IA180" s="191"/>
      <c r="IB180" s="191"/>
      <c r="IC180" s="191"/>
      <c r="ID180" s="191"/>
      <c r="IE180" s="191"/>
      <c r="IF180" s="191"/>
      <c r="IG180" s="191"/>
      <c r="IH180" s="191"/>
      <c r="II180" s="191"/>
      <c r="IJ180" s="191"/>
      <c r="IK180" s="191"/>
      <c r="IL180" s="191"/>
      <c r="IM180" s="191"/>
      <c r="IN180" s="191"/>
      <c r="IO180" s="191"/>
      <c r="IP180" s="191"/>
      <c r="IQ180" s="191"/>
      <c r="IR180" s="191"/>
      <c r="IS180" s="191"/>
      <c r="IT180" s="191"/>
      <c r="IU180" s="191"/>
      <c r="IV180" s="191"/>
      <c r="IW180" s="191"/>
      <c r="IX180" s="191"/>
      <c r="IY180" s="191"/>
      <c r="IZ180" s="191"/>
      <c r="JA180" s="191"/>
      <c r="JB180" s="191"/>
      <c r="JC180" s="191"/>
      <c r="JD180" s="192"/>
      <c r="JE180" s="190"/>
      <c r="JF180" s="191"/>
      <c r="JG180" s="191"/>
      <c r="JH180" s="191"/>
      <c r="JI180" s="192"/>
      <c r="JQ180" s="14"/>
      <c r="JS180" s="222"/>
      <c r="JT180" s="223"/>
      <c r="JU180" s="223"/>
      <c r="JV180" s="223"/>
      <c r="JW180" s="223"/>
      <c r="JX180" s="223"/>
      <c r="JY180" s="223"/>
      <c r="JZ180" s="223"/>
      <c r="KA180" s="223"/>
      <c r="KB180" s="223"/>
      <c r="KC180" s="223"/>
      <c r="KD180" s="223"/>
      <c r="KE180" s="223"/>
      <c r="KF180" s="223"/>
      <c r="KG180" s="223"/>
      <c r="KH180" s="223"/>
      <c r="KI180" s="223"/>
      <c r="KJ180" s="223"/>
      <c r="KK180" s="223"/>
      <c r="KL180" s="223"/>
      <c r="KM180" s="223"/>
      <c r="KN180" s="223"/>
      <c r="KO180" s="223"/>
      <c r="KP180" s="223"/>
      <c r="KQ180" s="223"/>
      <c r="KR180" s="223"/>
      <c r="KS180" s="223"/>
      <c r="KT180" s="223"/>
      <c r="KU180" s="223"/>
      <c r="KV180" s="223"/>
      <c r="KW180" s="223"/>
      <c r="KX180" s="223"/>
      <c r="KY180" s="223"/>
      <c r="KZ180" s="223"/>
      <c r="LA180" s="223"/>
      <c r="LB180" s="223"/>
      <c r="LC180" s="223"/>
      <c r="LD180" s="223"/>
      <c r="LE180" s="223"/>
      <c r="LF180" s="223"/>
      <c r="LG180" s="190"/>
      <c r="LH180" s="191"/>
      <c r="LI180" s="191"/>
      <c r="LJ180" s="191"/>
      <c r="LK180" s="191"/>
      <c r="LL180" s="192"/>
      <c r="LU180" s="155"/>
      <c r="MB180" s="187"/>
      <c r="MC180" s="188"/>
      <c r="MD180" s="188"/>
      <c r="ME180" s="188"/>
      <c r="MF180" s="188"/>
      <c r="MG180" s="188"/>
      <c r="MH180" s="188"/>
      <c r="MI180" s="188"/>
      <c r="MJ180" s="188"/>
      <c r="MK180" s="188"/>
      <c r="ML180" s="188"/>
      <c r="MM180" s="188"/>
      <c r="MN180" s="188"/>
      <c r="MO180" s="188"/>
      <c r="MP180" s="188"/>
      <c r="MQ180" s="188"/>
      <c r="MR180" s="188"/>
      <c r="MS180" s="188"/>
      <c r="MT180" s="188"/>
      <c r="MU180" s="188"/>
      <c r="MV180" s="188"/>
      <c r="MW180" s="188"/>
      <c r="MX180" s="188"/>
      <c r="MY180" s="188"/>
      <c r="MZ180" s="188"/>
      <c r="NA180" s="188"/>
      <c r="NB180" s="188"/>
      <c r="NC180" s="188"/>
      <c r="ND180" s="188"/>
      <c r="NE180" s="188"/>
      <c r="NF180" s="188"/>
      <c r="NG180" s="188"/>
      <c r="NH180" s="188"/>
      <c r="NI180" s="188"/>
      <c r="NJ180" s="188"/>
      <c r="NK180" s="188"/>
      <c r="NL180" s="188"/>
      <c r="NM180" s="188"/>
      <c r="NN180" s="188"/>
      <c r="NO180" s="188"/>
      <c r="NP180" s="189"/>
      <c r="NQ180" s="187"/>
      <c r="NR180" s="188"/>
      <c r="NS180" s="188"/>
      <c r="NT180" s="188"/>
      <c r="NU180" s="189"/>
      <c r="OW180" s="12"/>
      <c r="OX180" s="7"/>
    </row>
    <row r="181" spans="3:438" ht="5.0999999999999996" customHeight="1" x14ac:dyDescent="0.3">
      <c r="C181" s="11"/>
      <c r="D181" s="13"/>
      <c r="Q181" s="184" t="s">
        <v>42</v>
      </c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6"/>
      <c r="BF181" s="184">
        <v>1</v>
      </c>
      <c r="BG181" s="185"/>
      <c r="BH181" s="185"/>
      <c r="BI181" s="185"/>
      <c r="BJ181" s="186"/>
      <c r="DV181" s="187"/>
      <c r="DW181" s="188"/>
      <c r="DX181" s="188"/>
      <c r="DY181" s="188"/>
      <c r="DZ181" s="188"/>
      <c r="EA181" s="188"/>
      <c r="EB181" s="188"/>
      <c r="EC181" s="188"/>
      <c r="ED181" s="188"/>
      <c r="EE181" s="188"/>
      <c r="EF181" s="188"/>
      <c r="EG181" s="188"/>
      <c r="EH181" s="188"/>
      <c r="EI181" s="188"/>
      <c r="EJ181" s="188"/>
      <c r="EK181" s="188"/>
      <c r="EL181" s="188"/>
      <c r="EM181" s="188"/>
      <c r="EN181" s="188"/>
      <c r="EO181" s="188"/>
      <c r="EP181" s="188"/>
      <c r="EQ181" s="188"/>
      <c r="ER181" s="188"/>
      <c r="ES181" s="188"/>
      <c r="ET181" s="188"/>
      <c r="EU181" s="188"/>
      <c r="EV181" s="188"/>
      <c r="EW181" s="188"/>
      <c r="EX181" s="188"/>
      <c r="EY181" s="188"/>
      <c r="EZ181" s="188"/>
      <c r="FA181" s="188"/>
      <c r="FB181" s="188"/>
      <c r="FC181" s="188"/>
      <c r="FD181" s="188"/>
      <c r="FE181" s="188"/>
      <c r="FF181" s="188"/>
      <c r="FG181" s="188"/>
      <c r="FH181" s="188"/>
      <c r="FI181" s="189"/>
      <c r="FJ181" s="187"/>
      <c r="FK181" s="188"/>
      <c r="FL181" s="188"/>
      <c r="FM181" s="188"/>
      <c r="FN181" s="189"/>
      <c r="HQ181" s="184" t="s">
        <v>3</v>
      </c>
      <c r="HR181" s="185"/>
      <c r="HS181" s="185"/>
      <c r="HT181" s="185"/>
      <c r="HU181" s="185"/>
      <c r="HV181" s="185"/>
      <c r="HW181" s="185"/>
      <c r="HX181" s="185"/>
      <c r="HY181" s="185"/>
      <c r="HZ181" s="185"/>
      <c r="IA181" s="185"/>
      <c r="IB181" s="185"/>
      <c r="IC181" s="185"/>
      <c r="ID181" s="185"/>
      <c r="IE181" s="185"/>
      <c r="IF181" s="185"/>
      <c r="IG181" s="185"/>
      <c r="IH181" s="185"/>
      <c r="II181" s="185"/>
      <c r="IJ181" s="185"/>
      <c r="IK181" s="185"/>
      <c r="IL181" s="185"/>
      <c r="IM181" s="185"/>
      <c r="IN181" s="185"/>
      <c r="IO181" s="185"/>
      <c r="IP181" s="185"/>
      <c r="IQ181" s="185"/>
      <c r="IR181" s="185"/>
      <c r="IS181" s="185"/>
      <c r="IT181" s="185"/>
      <c r="IU181" s="185"/>
      <c r="IV181" s="185"/>
      <c r="IW181" s="185"/>
      <c r="IX181" s="185"/>
      <c r="IY181" s="185"/>
      <c r="IZ181" s="185"/>
      <c r="JA181" s="185"/>
      <c r="JB181" s="185"/>
      <c r="JC181" s="185"/>
      <c r="JD181" s="186"/>
      <c r="JE181" s="184">
        <v>2</v>
      </c>
      <c r="JF181" s="185"/>
      <c r="JG181" s="185"/>
      <c r="JH181" s="185"/>
      <c r="JI181" s="186"/>
      <c r="LU181" s="155"/>
      <c r="MB181" s="187"/>
      <c r="MC181" s="188"/>
      <c r="MD181" s="188"/>
      <c r="ME181" s="188"/>
      <c r="MF181" s="188"/>
      <c r="MG181" s="188"/>
      <c r="MH181" s="188"/>
      <c r="MI181" s="188"/>
      <c r="MJ181" s="188"/>
      <c r="MK181" s="188"/>
      <c r="ML181" s="188"/>
      <c r="MM181" s="188"/>
      <c r="MN181" s="188"/>
      <c r="MO181" s="188"/>
      <c r="MP181" s="188"/>
      <c r="MQ181" s="188"/>
      <c r="MR181" s="188"/>
      <c r="MS181" s="188"/>
      <c r="MT181" s="188"/>
      <c r="MU181" s="188"/>
      <c r="MV181" s="188"/>
      <c r="MW181" s="188"/>
      <c r="MX181" s="188"/>
      <c r="MY181" s="188"/>
      <c r="MZ181" s="188"/>
      <c r="NA181" s="188"/>
      <c r="NB181" s="188"/>
      <c r="NC181" s="188"/>
      <c r="ND181" s="188"/>
      <c r="NE181" s="188"/>
      <c r="NF181" s="188"/>
      <c r="NG181" s="188"/>
      <c r="NH181" s="188"/>
      <c r="NI181" s="188"/>
      <c r="NJ181" s="188"/>
      <c r="NK181" s="188"/>
      <c r="NL181" s="188"/>
      <c r="NM181" s="188"/>
      <c r="NN181" s="188"/>
      <c r="NO181" s="188"/>
      <c r="NP181" s="189"/>
      <c r="NQ181" s="187"/>
      <c r="NR181" s="188"/>
      <c r="NS181" s="188"/>
      <c r="NT181" s="188"/>
      <c r="NU181" s="189"/>
      <c r="OW181" s="12"/>
      <c r="OX181" s="7"/>
    </row>
    <row r="182" spans="3:438" ht="5.0999999999999996" customHeight="1" x14ac:dyDescent="0.3">
      <c r="C182" s="11"/>
      <c r="D182" s="13"/>
      <c r="Q182" s="187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  <c r="BD182" s="188"/>
      <c r="BE182" s="189"/>
      <c r="BF182" s="187"/>
      <c r="BG182" s="188"/>
      <c r="BH182" s="188"/>
      <c r="BI182" s="188"/>
      <c r="BJ182" s="189"/>
      <c r="DV182" s="190"/>
      <c r="DW182" s="191"/>
      <c r="DX182" s="191"/>
      <c r="DY182" s="191"/>
      <c r="DZ182" s="191"/>
      <c r="EA182" s="191"/>
      <c r="EB182" s="191"/>
      <c r="EC182" s="191"/>
      <c r="ED182" s="191"/>
      <c r="EE182" s="191"/>
      <c r="EF182" s="191"/>
      <c r="EG182" s="191"/>
      <c r="EH182" s="191"/>
      <c r="EI182" s="191"/>
      <c r="EJ182" s="191"/>
      <c r="EK182" s="191"/>
      <c r="EL182" s="191"/>
      <c r="EM182" s="191"/>
      <c r="EN182" s="191"/>
      <c r="EO182" s="191"/>
      <c r="EP182" s="191"/>
      <c r="EQ182" s="191"/>
      <c r="ER182" s="191"/>
      <c r="ES182" s="191"/>
      <c r="ET182" s="191"/>
      <c r="EU182" s="191"/>
      <c r="EV182" s="191"/>
      <c r="EW182" s="191"/>
      <c r="EX182" s="191"/>
      <c r="EY182" s="191"/>
      <c r="EZ182" s="191"/>
      <c r="FA182" s="191"/>
      <c r="FB182" s="191"/>
      <c r="FC182" s="191"/>
      <c r="FD182" s="191"/>
      <c r="FE182" s="191"/>
      <c r="FF182" s="191"/>
      <c r="FG182" s="191"/>
      <c r="FH182" s="191"/>
      <c r="FI182" s="192"/>
      <c r="FJ182" s="190"/>
      <c r="FK182" s="191"/>
      <c r="FL182" s="191"/>
      <c r="FM182" s="191"/>
      <c r="FN182" s="192"/>
      <c r="HQ182" s="187"/>
      <c r="HR182" s="188"/>
      <c r="HS182" s="188"/>
      <c r="HT182" s="188"/>
      <c r="HU182" s="188"/>
      <c r="HV182" s="188"/>
      <c r="HW182" s="188"/>
      <c r="HX182" s="188"/>
      <c r="HY182" s="188"/>
      <c r="HZ182" s="188"/>
      <c r="IA182" s="188"/>
      <c r="IB182" s="188"/>
      <c r="IC182" s="188"/>
      <c r="ID182" s="188"/>
      <c r="IE182" s="188"/>
      <c r="IF182" s="188"/>
      <c r="IG182" s="188"/>
      <c r="IH182" s="188"/>
      <c r="II182" s="188"/>
      <c r="IJ182" s="188"/>
      <c r="IK182" s="188"/>
      <c r="IL182" s="188"/>
      <c r="IM182" s="188"/>
      <c r="IN182" s="188"/>
      <c r="IO182" s="188"/>
      <c r="IP182" s="188"/>
      <c r="IQ182" s="188"/>
      <c r="IR182" s="188"/>
      <c r="IS182" s="188"/>
      <c r="IT182" s="188"/>
      <c r="IU182" s="188"/>
      <c r="IV182" s="188"/>
      <c r="IW182" s="188"/>
      <c r="IX182" s="188"/>
      <c r="IY182" s="188"/>
      <c r="IZ182" s="188"/>
      <c r="JA182" s="188"/>
      <c r="JB182" s="188"/>
      <c r="JC182" s="188"/>
      <c r="JD182" s="189"/>
      <c r="JE182" s="187"/>
      <c r="JF182" s="188"/>
      <c r="JG182" s="188"/>
      <c r="JH182" s="188"/>
      <c r="JI182" s="189"/>
      <c r="LU182" s="155"/>
      <c r="MB182" s="187"/>
      <c r="MC182" s="188"/>
      <c r="MD182" s="188"/>
      <c r="ME182" s="188"/>
      <c r="MF182" s="188"/>
      <c r="MG182" s="188"/>
      <c r="MH182" s="188"/>
      <c r="MI182" s="188"/>
      <c r="MJ182" s="188"/>
      <c r="MK182" s="188"/>
      <c r="ML182" s="188"/>
      <c r="MM182" s="188"/>
      <c r="MN182" s="188"/>
      <c r="MO182" s="188"/>
      <c r="MP182" s="188"/>
      <c r="MQ182" s="188"/>
      <c r="MR182" s="188"/>
      <c r="MS182" s="188"/>
      <c r="MT182" s="188"/>
      <c r="MU182" s="188"/>
      <c r="MV182" s="188"/>
      <c r="MW182" s="188"/>
      <c r="MX182" s="188"/>
      <c r="MY182" s="188"/>
      <c r="MZ182" s="188"/>
      <c r="NA182" s="188"/>
      <c r="NB182" s="188"/>
      <c r="NC182" s="188"/>
      <c r="ND182" s="188"/>
      <c r="NE182" s="188"/>
      <c r="NF182" s="188"/>
      <c r="NG182" s="188"/>
      <c r="NH182" s="188"/>
      <c r="NI182" s="188"/>
      <c r="NJ182" s="188"/>
      <c r="NK182" s="188"/>
      <c r="NL182" s="188"/>
      <c r="NM182" s="188"/>
      <c r="NN182" s="188"/>
      <c r="NO182" s="188"/>
      <c r="NP182" s="189"/>
      <c r="NQ182" s="187"/>
      <c r="NR182" s="188"/>
      <c r="NS182" s="188"/>
      <c r="NT182" s="188"/>
      <c r="NU182" s="189"/>
      <c r="OW182" s="12"/>
      <c r="OX182" s="7"/>
    </row>
    <row r="183" spans="3:438" ht="5.0999999999999996" customHeight="1" x14ac:dyDescent="0.3">
      <c r="C183" s="11"/>
      <c r="D183" s="13"/>
      <c r="Q183" s="187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  <c r="BE183" s="189"/>
      <c r="BF183" s="187"/>
      <c r="BG183" s="188"/>
      <c r="BH183" s="188"/>
      <c r="BI183" s="188"/>
      <c r="BJ183" s="189"/>
      <c r="HQ183" s="187"/>
      <c r="HR183" s="188"/>
      <c r="HS183" s="188"/>
      <c r="HT183" s="188"/>
      <c r="HU183" s="188"/>
      <c r="HV183" s="188"/>
      <c r="HW183" s="188"/>
      <c r="HX183" s="188"/>
      <c r="HY183" s="188"/>
      <c r="HZ183" s="188"/>
      <c r="IA183" s="188"/>
      <c r="IB183" s="188"/>
      <c r="IC183" s="188"/>
      <c r="ID183" s="188"/>
      <c r="IE183" s="188"/>
      <c r="IF183" s="188"/>
      <c r="IG183" s="188"/>
      <c r="IH183" s="188"/>
      <c r="II183" s="188"/>
      <c r="IJ183" s="188"/>
      <c r="IK183" s="188"/>
      <c r="IL183" s="188"/>
      <c r="IM183" s="188"/>
      <c r="IN183" s="188"/>
      <c r="IO183" s="188"/>
      <c r="IP183" s="188"/>
      <c r="IQ183" s="188"/>
      <c r="IR183" s="188"/>
      <c r="IS183" s="188"/>
      <c r="IT183" s="188"/>
      <c r="IU183" s="188"/>
      <c r="IV183" s="188"/>
      <c r="IW183" s="188"/>
      <c r="IX183" s="188"/>
      <c r="IY183" s="188"/>
      <c r="IZ183" s="188"/>
      <c r="JA183" s="188"/>
      <c r="JB183" s="188"/>
      <c r="JC183" s="188"/>
      <c r="JD183" s="189"/>
      <c r="JE183" s="187"/>
      <c r="JF183" s="188"/>
      <c r="JG183" s="188"/>
      <c r="JH183" s="188"/>
      <c r="JI183" s="189"/>
      <c r="LU183" s="155"/>
      <c r="MB183" s="187"/>
      <c r="MC183" s="188"/>
      <c r="MD183" s="188"/>
      <c r="ME183" s="188"/>
      <c r="MF183" s="188"/>
      <c r="MG183" s="188"/>
      <c r="MH183" s="188"/>
      <c r="MI183" s="188"/>
      <c r="MJ183" s="188"/>
      <c r="MK183" s="188"/>
      <c r="ML183" s="188"/>
      <c r="MM183" s="188"/>
      <c r="MN183" s="188"/>
      <c r="MO183" s="188"/>
      <c r="MP183" s="188"/>
      <c r="MQ183" s="188"/>
      <c r="MR183" s="188"/>
      <c r="MS183" s="188"/>
      <c r="MT183" s="188"/>
      <c r="MU183" s="188"/>
      <c r="MV183" s="188"/>
      <c r="MW183" s="188"/>
      <c r="MX183" s="188"/>
      <c r="MY183" s="188"/>
      <c r="MZ183" s="188"/>
      <c r="NA183" s="188"/>
      <c r="NB183" s="188"/>
      <c r="NC183" s="188"/>
      <c r="ND183" s="188"/>
      <c r="NE183" s="188"/>
      <c r="NF183" s="188"/>
      <c r="NG183" s="188"/>
      <c r="NH183" s="188"/>
      <c r="NI183" s="188"/>
      <c r="NJ183" s="188"/>
      <c r="NK183" s="188"/>
      <c r="NL183" s="188"/>
      <c r="NM183" s="188"/>
      <c r="NN183" s="188"/>
      <c r="NO183" s="188"/>
      <c r="NP183" s="189"/>
      <c r="NQ183" s="187"/>
      <c r="NR183" s="188"/>
      <c r="NS183" s="188"/>
      <c r="NT183" s="188"/>
      <c r="NU183" s="189"/>
      <c r="OW183" s="12"/>
      <c r="OX183" s="7"/>
    </row>
    <row r="184" spans="3:438" ht="5.0999999999999996" customHeight="1" x14ac:dyDescent="0.3">
      <c r="C184" s="11"/>
      <c r="D184" s="13"/>
      <c r="Q184" s="187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  <c r="BD184" s="188"/>
      <c r="BE184" s="189"/>
      <c r="BF184" s="187"/>
      <c r="BG184" s="188"/>
      <c r="BH184" s="188"/>
      <c r="BI184" s="188"/>
      <c r="BJ184" s="189"/>
      <c r="HQ184" s="187"/>
      <c r="HR184" s="188"/>
      <c r="HS184" s="188"/>
      <c r="HT184" s="188"/>
      <c r="HU184" s="188"/>
      <c r="HV184" s="188"/>
      <c r="HW184" s="188"/>
      <c r="HX184" s="188"/>
      <c r="HY184" s="188"/>
      <c r="HZ184" s="188"/>
      <c r="IA184" s="188"/>
      <c r="IB184" s="188"/>
      <c r="IC184" s="188"/>
      <c r="ID184" s="188"/>
      <c r="IE184" s="188"/>
      <c r="IF184" s="188"/>
      <c r="IG184" s="188"/>
      <c r="IH184" s="188"/>
      <c r="II184" s="188"/>
      <c r="IJ184" s="188"/>
      <c r="IK184" s="188"/>
      <c r="IL184" s="188"/>
      <c r="IM184" s="188"/>
      <c r="IN184" s="188"/>
      <c r="IO184" s="188"/>
      <c r="IP184" s="188"/>
      <c r="IQ184" s="188"/>
      <c r="IR184" s="188"/>
      <c r="IS184" s="188"/>
      <c r="IT184" s="188"/>
      <c r="IU184" s="188"/>
      <c r="IV184" s="188"/>
      <c r="IW184" s="188"/>
      <c r="IX184" s="188"/>
      <c r="IY184" s="188"/>
      <c r="IZ184" s="188"/>
      <c r="JA184" s="188"/>
      <c r="JB184" s="188"/>
      <c r="JC184" s="188"/>
      <c r="JD184" s="189"/>
      <c r="JE184" s="187"/>
      <c r="JF184" s="188"/>
      <c r="JG184" s="188"/>
      <c r="JH184" s="188"/>
      <c r="JI184" s="189"/>
      <c r="LU184" s="155"/>
      <c r="MB184" s="187"/>
      <c r="MC184" s="188"/>
      <c r="MD184" s="188"/>
      <c r="ME184" s="188"/>
      <c r="MF184" s="188"/>
      <c r="MG184" s="188"/>
      <c r="MH184" s="188"/>
      <c r="MI184" s="188"/>
      <c r="MJ184" s="188"/>
      <c r="MK184" s="188"/>
      <c r="ML184" s="188"/>
      <c r="MM184" s="188"/>
      <c r="MN184" s="188"/>
      <c r="MO184" s="188"/>
      <c r="MP184" s="188"/>
      <c r="MQ184" s="188"/>
      <c r="MR184" s="188"/>
      <c r="MS184" s="188"/>
      <c r="MT184" s="188"/>
      <c r="MU184" s="188"/>
      <c r="MV184" s="188"/>
      <c r="MW184" s="188"/>
      <c r="MX184" s="188"/>
      <c r="MY184" s="188"/>
      <c r="MZ184" s="188"/>
      <c r="NA184" s="188"/>
      <c r="NB184" s="188"/>
      <c r="NC184" s="188"/>
      <c r="ND184" s="188"/>
      <c r="NE184" s="188"/>
      <c r="NF184" s="188"/>
      <c r="NG184" s="188"/>
      <c r="NH184" s="188"/>
      <c r="NI184" s="188"/>
      <c r="NJ184" s="188"/>
      <c r="NK184" s="188"/>
      <c r="NL184" s="188"/>
      <c r="NM184" s="188"/>
      <c r="NN184" s="188"/>
      <c r="NO184" s="188"/>
      <c r="NP184" s="189"/>
      <c r="NQ184" s="187"/>
      <c r="NR184" s="188"/>
      <c r="NS184" s="188"/>
      <c r="NT184" s="188"/>
      <c r="NU184" s="189"/>
      <c r="OW184" s="12"/>
      <c r="OX184" s="7"/>
    </row>
    <row r="185" spans="3:438" ht="5.0999999999999996" customHeight="1" x14ac:dyDescent="0.3">
      <c r="C185" s="11"/>
      <c r="D185" s="13"/>
      <c r="Q185" s="187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  <c r="BD185" s="188"/>
      <c r="BE185" s="189"/>
      <c r="BF185" s="187"/>
      <c r="BG185" s="188"/>
      <c r="BH185" s="188"/>
      <c r="BI185" s="188"/>
      <c r="BJ185" s="189"/>
      <c r="HQ185" s="187"/>
      <c r="HR185" s="188"/>
      <c r="HS185" s="188"/>
      <c r="HT185" s="188"/>
      <c r="HU185" s="188"/>
      <c r="HV185" s="188"/>
      <c r="HW185" s="188"/>
      <c r="HX185" s="188"/>
      <c r="HY185" s="188"/>
      <c r="HZ185" s="188"/>
      <c r="IA185" s="188"/>
      <c r="IB185" s="188"/>
      <c r="IC185" s="188"/>
      <c r="ID185" s="188"/>
      <c r="IE185" s="188"/>
      <c r="IF185" s="188"/>
      <c r="IG185" s="188"/>
      <c r="IH185" s="188"/>
      <c r="II185" s="188"/>
      <c r="IJ185" s="188"/>
      <c r="IK185" s="188"/>
      <c r="IL185" s="188"/>
      <c r="IM185" s="188"/>
      <c r="IN185" s="188"/>
      <c r="IO185" s="188"/>
      <c r="IP185" s="188"/>
      <c r="IQ185" s="188"/>
      <c r="IR185" s="188"/>
      <c r="IS185" s="188"/>
      <c r="IT185" s="188"/>
      <c r="IU185" s="188"/>
      <c r="IV185" s="188"/>
      <c r="IW185" s="188"/>
      <c r="IX185" s="188"/>
      <c r="IY185" s="188"/>
      <c r="IZ185" s="188"/>
      <c r="JA185" s="188"/>
      <c r="JB185" s="188"/>
      <c r="JC185" s="188"/>
      <c r="JD185" s="189"/>
      <c r="JE185" s="187"/>
      <c r="JF185" s="188"/>
      <c r="JG185" s="188"/>
      <c r="JH185" s="188"/>
      <c r="JI185" s="189"/>
      <c r="LU185" s="155"/>
      <c r="MB185" s="187"/>
      <c r="MC185" s="188"/>
      <c r="MD185" s="188"/>
      <c r="ME185" s="188"/>
      <c r="MF185" s="188"/>
      <c r="MG185" s="188"/>
      <c r="MH185" s="188"/>
      <c r="MI185" s="188"/>
      <c r="MJ185" s="188"/>
      <c r="MK185" s="188"/>
      <c r="ML185" s="188"/>
      <c r="MM185" s="188"/>
      <c r="MN185" s="188"/>
      <c r="MO185" s="188"/>
      <c r="MP185" s="188"/>
      <c r="MQ185" s="188"/>
      <c r="MR185" s="188"/>
      <c r="MS185" s="188"/>
      <c r="MT185" s="188"/>
      <c r="MU185" s="188"/>
      <c r="MV185" s="188"/>
      <c r="MW185" s="188"/>
      <c r="MX185" s="188"/>
      <c r="MY185" s="188"/>
      <c r="MZ185" s="188"/>
      <c r="NA185" s="188"/>
      <c r="NB185" s="188"/>
      <c r="NC185" s="188"/>
      <c r="ND185" s="188"/>
      <c r="NE185" s="188"/>
      <c r="NF185" s="188"/>
      <c r="NG185" s="188"/>
      <c r="NH185" s="188"/>
      <c r="NI185" s="188"/>
      <c r="NJ185" s="188"/>
      <c r="NK185" s="188"/>
      <c r="NL185" s="188"/>
      <c r="NM185" s="188"/>
      <c r="NN185" s="188"/>
      <c r="NO185" s="188"/>
      <c r="NP185" s="189"/>
      <c r="NQ185" s="187"/>
      <c r="NR185" s="188"/>
      <c r="NS185" s="188"/>
      <c r="NT185" s="188"/>
      <c r="NU185" s="189"/>
      <c r="OW185" s="12"/>
      <c r="OX185" s="7"/>
      <c r="OY185" s="3"/>
      <c r="OZ185" s="3"/>
      <c r="PA185" s="3"/>
      <c r="PB185" s="3"/>
      <c r="PC185" s="2"/>
      <c r="PQ185" s="3"/>
      <c r="PR185" s="3"/>
      <c r="PS185" s="3"/>
      <c r="PT185" s="3"/>
      <c r="PU185" s="3"/>
      <c r="PV185" s="2"/>
    </row>
    <row r="186" spans="3:438" ht="5.0999999999999996" customHeight="1" x14ac:dyDescent="0.3">
      <c r="C186" s="11"/>
      <c r="D186" s="13"/>
      <c r="Q186" s="187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  <c r="BD186" s="188"/>
      <c r="BE186" s="189"/>
      <c r="BF186" s="187"/>
      <c r="BG186" s="188"/>
      <c r="BH186" s="188"/>
      <c r="BI186" s="188"/>
      <c r="BJ186" s="189"/>
      <c r="HQ186" s="187"/>
      <c r="HR186" s="188"/>
      <c r="HS186" s="188"/>
      <c r="HT186" s="188"/>
      <c r="HU186" s="188"/>
      <c r="HV186" s="188"/>
      <c r="HW186" s="188"/>
      <c r="HX186" s="188"/>
      <c r="HY186" s="188"/>
      <c r="HZ186" s="188"/>
      <c r="IA186" s="188"/>
      <c r="IB186" s="188"/>
      <c r="IC186" s="188"/>
      <c r="ID186" s="188"/>
      <c r="IE186" s="188"/>
      <c r="IF186" s="188"/>
      <c r="IG186" s="188"/>
      <c r="IH186" s="188"/>
      <c r="II186" s="188"/>
      <c r="IJ186" s="188"/>
      <c r="IK186" s="188"/>
      <c r="IL186" s="188"/>
      <c r="IM186" s="188"/>
      <c r="IN186" s="188"/>
      <c r="IO186" s="188"/>
      <c r="IP186" s="188"/>
      <c r="IQ186" s="188"/>
      <c r="IR186" s="188"/>
      <c r="IS186" s="188"/>
      <c r="IT186" s="188"/>
      <c r="IU186" s="188"/>
      <c r="IV186" s="188"/>
      <c r="IW186" s="188"/>
      <c r="IX186" s="188"/>
      <c r="IY186" s="188"/>
      <c r="IZ186" s="188"/>
      <c r="JA186" s="188"/>
      <c r="JB186" s="188"/>
      <c r="JC186" s="188"/>
      <c r="JD186" s="189"/>
      <c r="JE186" s="187"/>
      <c r="JF186" s="188"/>
      <c r="JG186" s="188"/>
      <c r="JH186" s="188"/>
      <c r="JI186" s="189"/>
      <c r="LU186" s="155"/>
      <c r="MB186" s="187"/>
      <c r="MC186" s="188"/>
      <c r="MD186" s="188"/>
      <c r="ME186" s="188"/>
      <c r="MF186" s="188"/>
      <c r="MG186" s="188"/>
      <c r="MH186" s="188"/>
      <c r="MI186" s="188"/>
      <c r="MJ186" s="188"/>
      <c r="MK186" s="188"/>
      <c r="ML186" s="188"/>
      <c r="MM186" s="188"/>
      <c r="MN186" s="188"/>
      <c r="MO186" s="188"/>
      <c r="MP186" s="188"/>
      <c r="MQ186" s="188"/>
      <c r="MR186" s="188"/>
      <c r="MS186" s="188"/>
      <c r="MT186" s="188"/>
      <c r="MU186" s="188"/>
      <c r="MV186" s="188"/>
      <c r="MW186" s="188"/>
      <c r="MX186" s="188"/>
      <c r="MY186" s="188"/>
      <c r="MZ186" s="188"/>
      <c r="NA186" s="188"/>
      <c r="NB186" s="188"/>
      <c r="NC186" s="188"/>
      <c r="ND186" s="188"/>
      <c r="NE186" s="188"/>
      <c r="NF186" s="188"/>
      <c r="NG186" s="188"/>
      <c r="NH186" s="188"/>
      <c r="NI186" s="188"/>
      <c r="NJ186" s="188"/>
      <c r="NK186" s="188"/>
      <c r="NL186" s="188"/>
      <c r="NM186" s="188"/>
      <c r="NN186" s="188"/>
      <c r="NO186" s="188"/>
      <c r="NP186" s="189"/>
      <c r="NQ186" s="187"/>
      <c r="NR186" s="188"/>
      <c r="NS186" s="188"/>
      <c r="NT186" s="188"/>
      <c r="NU186" s="189"/>
      <c r="OW186" s="12"/>
      <c r="OX186" s="7"/>
      <c r="OY186" s="3"/>
      <c r="OZ186" s="3"/>
      <c r="PA186" s="3"/>
      <c r="PB186" s="3"/>
      <c r="PC186" s="2"/>
      <c r="PQ186" s="3"/>
      <c r="PR186" s="3"/>
      <c r="PS186" s="3"/>
      <c r="PT186" s="3"/>
      <c r="PU186" s="3"/>
      <c r="PV186" s="2"/>
    </row>
    <row r="187" spans="3:438" ht="3.75" customHeight="1" x14ac:dyDescent="0.3">
      <c r="C187" s="11"/>
      <c r="D187" s="13"/>
      <c r="Q187" s="187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  <c r="BD187" s="188"/>
      <c r="BE187" s="189"/>
      <c r="BF187" s="187"/>
      <c r="BG187" s="188"/>
      <c r="BH187" s="188"/>
      <c r="BI187" s="188"/>
      <c r="BJ187" s="189"/>
      <c r="HQ187" s="187"/>
      <c r="HR187" s="188"/>
      <c r="HS187" s="188"/>
      <c r="HT187" s="188"/>
      <c r="HU187" s="188"/>
      <c r="HV187" s="188"/>
      <c r="HW187" s="188"/>
      <c r="HX187" s="188"/>
      <c r="HY187" s="188"/>
      <c r="HZ187" s="188"/>
      <c r="IA187" s="188"/>
      <c r="IB187" s="188"/>
      <c r="IC187" s="188"/>
      <c r="ID187" s="188"/>
      <c r="IE187" s="188"/>
      <c r="IF187" s="188"/>
      <c r="IG187" s="188"/>
      <c r="IH187" s="188"/>
      <c r="II187" s="188"/>
      <c r="IJ187" s="188"/>
      <c r="IK187" s="188"/>
      <c r="IL187" s="188"/>
      <c r="IM187" s="188"/>
      <c r="IN187" s="188"/>
      <c r="IO187" s="188"/>
      <c r="IP187" s="188"/>
      <c r="IQ187" s="188"/>
      <c r="IR187" s="188"/>
      <c r="IS187" s="188"/>
      <c r="IT187" s="188"/>
      <c r="IU187" s="188"/>
      <c r="IV187" s="188"/>
      <c r="IW187" s="188"/>
      <c r="IX187" s="188"/>
      <c r="IY187" s="188"/>
      <c r="IZ187" s="188"/>
      <c r="JA187" s="188"/>
      <c r="JB187" s="188"/>
      <c r="JC187" s="188"/>
      <c r="JD187" s="189"/>
      <c r="JE187" s="187"/>
      <c r="JF187" s="188"/>
      <c r="JG187" s="188"/>
      <c r="JH187" s="188"/>
      <c r="JI187" s="189"/>
      <c r="LU187" s="155"/>
      <c r="MB187" s="187"/>
      <c r="MC187" s="188"/>
      <c r="MD187" s="188"/>
      <c r="ME187" s="188"/>
      <c r="MF187" s="188"/>
      <c r="MG187" s="188"/>
      <c r="MH187" s="188"/>
      <c r="MI187" s="188"/>
      <c r="MJ187" s="188"/>
      <c r="MK187" s="188"/>
      <c r="ML187" s="188"/>
      <c r="MM187" s="188"/>
      <c r="MN187" s="188"/>
      <c r="MO187" s="188"/>
      <c r="MP187" s="188"/>
      <c r="MQ187" s="188"/>
      <c r="MR187" s="188"/>
      <c r="MS187" s="188"/>
      <c r="MT187" s="188"/>
      <c r="MU187" s="188"/>
      <c r="MV187" s="188"/>
      <c r="MW187" s="188"/>
      <c r="MX187" s="188"/>
      <c r="MY187" s="188"/>
      <c r="MZ187" s="188"/>
      <c r="NA187" s="188"/>
      <c r="NB187" s="188"/>
      <c r="NC187" s="188"/>
      <c r="ND187" s="188"/>
      <c r="NE187" s="188"/>
      <c r="NF187" s="188"/>
      <c r="NG187" s="188"/>
      <c r="NH187" s="188"/>
      <c r="NI187" s="188"/>
      <c r="NJ187" s="188"/>
      <c r="NK187" s="188"/>
      <c r="NL187" s="188"/>
      <c r="NM187" s="188"/>
      <c r="NN187" s="188"/>
      <c r="NO187" s="188"/>
      <c r="NP187" s="189"/>
      <c r="NQ187" s="187"/>
      <c r="NR187" s="188"/>
      <c r="NS187" s="188"/>
      <c r="NT187" s="188"/>
      <c r="NU187" s="189"/>
      <c r="OW187" s="12"/>
      <c r="OX187" s="7"/>
      <c r="OY187" s="3"/>
      <c r="OZ187" s="3"/>
      <c r="PA187" s="3"/>
      <c r="PB187" s="3"/>
      <c r="PC187" s="2"/>
      <c r="PQ187" s="3"/>
      <c r="PR187" s="3"/>
      <c r="PS187" s="3"/>
      <c r="PT187" s="3"/>
      <c r="PU187" s="3"/>
      <c r="PV187" s="2"/>
    </row>
    <row r="188" spans="3:438" ht="5.0999999999999996" customHeight="1" x14ac:dyDescent="0.3">
      <c r="C188" s="11"/>
      <c r="D188" s="13"/>
      <c r="Q188" s="187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  <c r="BD188" s="188"/>
      <c r="BE188" s="189"/>
      <c r="BF188" s="187"/>
      <c r="BG188" s="188"/>
      <c r="BH188" s="188"/>
      <c r="BI188" s="188"/>
      <c r="BJ188" s="189"/>
      <c r="HQ188" s="187"/>
      <c r="HR188" s="188"/>
      <c r="HS188" s="188"/>
      <c r="HT188" s="188"/>
      <c r="HU188" s="188"/>
      <c r="HV188" s="188"/>
      <c r="HW188" s="188"/>
      <c r="HX188" s="188"/>
      <c r="HY188" s="188"/>
      <c r="HZ188" s="188"/>
      <c r="IA188" s="188"/>
      <c r="IB188" s="188"/>
      <c r="IC188" s="188"/>
      <c r="ID188" s="188"/>
      <c r="IE188" s="188"/>
      <c r="IF188" s="188"/>
      <c r="IG188" s="188"/>
      <c r="IH188" s="188"/>
      <c r="II188" s="188"/>
      <c r="IJ188" s="188"/>
      <c r="IK188" s="188"/>
      <c r="IL188" s="188"/>
      <c r="IM188" s="188"/>
      <c r="IN188" s="188"/>
      <c r="IO188" s="188"/>
      <c r="IP188" s="188"/>
      <c r="IQ188" s="188"/>
      <c r="IR188" s="188"/>
      <c r="IS188" s="188"/>
      <c r="IT188" s="188"/>
      <c r="IU188" s="188"/>
      <c r="IV188" s="188"/>
      <c r="IW188" s="188"/>
      <c r="IX188" s="188"/>
      <c r="IY188" s="188"/>
      <c r="IZ188" s="188"/>
      <c r="JA188" s="188"/>
      <c r="JB188" s="188"/>
      <c r="JC188" s="188"/>
      <c r="JD188" s="189"/>
      <c r="JE188" s="187"/>
      <c r="JF188" s="188"/>
      <c r="JG188" s="188"/>
      <c r="JH188" s="188"/>
      <c r="JI188" s="189"/>
      <c r="LU188" s="155"/>
      <c r="MB188" s="190"/>
      <c r="MC188" s="191"/>
      <c r="MD188" s="191"/>
      <c r="ME188" s="191"/>
      <c r="MF188" s="191"/>
      <c r="MG188" s="191"/>
      <c r="MH188" s="191"/>
      <c r="MI188" s="191"/>
      <c r="MJ188" s="191"/>
      <c r="MK188" s="191"/>
      <c r="ML188" s="191"/>
      <c r="MM188" s="191"/>
      <c r="MN188" s="191"/>
      <c r="MO188" s="191"/>
      <c r="MP188" s="191"/>
      <c r="MQ188" s="191"/>
      <c r="MR188" s="191"/>
      <c r="MS188" s="191"/>
      <c r="MT188" s="191"/>
      <c r="MU188" s="191"/>
      <c r="MV188" s="191"/>
      <c r="MW188" s="191"/>
      <c r="MX188" s="191"/>
      <c r="MY188" s="191"/>
      <c r="MZ188" s="191"/>
      <c r="NA188" s="191"/>
      <c r="NB188" s="191"/>
      <c r="NC188" s="191"/>
      <c r="ND188" s="191"/>
      <c r="NE188" s="191"/>
      <c r="NF188" s="191"/>
      <c r="NG188" s="191"/>
      <c r="NH188" s="191"/>
      <c r="NI188" s="191"/>
      <c r="NJ188" s="191"/>
      <c r="NK188" s="191"/>
      <c r="NL188" s="191"/>
      <c r="NM188" s="191"/>
      <c r="NN188" s="191"/>
      <c r="NO188" s="191"/>
      <c r="NP188" s="192"/>
      <c r="NQ188" s="190"/>
      <c r="NR188" s="191"/>
      <c r="NS188" s="191"/>
      <c r="NT188" s="191"/>
      <c r="NU188" s="192"/>
      <c r="OW188" s="12"/>
      <c r="OX188" s="7"/>
      <c r="OY188" s="3"/>
      <c r="OZ188" s="3"/>
      <c r="PA188" s="3"/>
      <c r="PB188" s="3"/>
      <c r="PC188" s="2"/>
      <c r="PQ188" s="3"/>
      <c r="PR188" s="3"/>
      <c r="PS188" s="3"/>
      <c r="PT188" s="3"/>
      <c r="PU188" s="3"/>
      <c r="PV188" s="2"/>
    </row>
    <row r="189" spans="3:438" ht="5.0999999999999996" customHeight="1" x14ac:dyDescent="0.3">
      <c r="C189" s="11"/>
      <c r="D189" s="13"/>
      <c r="Q189" s="187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  <c r="BE189" s="189"/>
      <c r="BF189" s="187"/>
      <c r="BG189" s="188"/>
      <c r="BH189" s="188"/>
      <c r="BI189" s="188"/>
      <c r="BJ189" s="189"/>
      <c r="HQ189" s="187"/>
      <c r="HR189" s="188"/>
      <c r="HS189" s="188"/>
      <c r="HT189" s="188"/>
      <c r="HU189" s="188"/>
      <c r="HV189" s="188"/>
      <c r="HW189" s="188"/>
      <c r="HX189" s="188"/>
      <c r="HY189" s="188"/>
      <c r="HZ189" s="188"/>
      <c r="IA189" s="188"/>
      <c r="IB189" s="188"/>
      <c r="IC189" s="188"/>
      <c r="ID189" s="188"/>
      <c r="IE189" s="188"/>
      <c r="IF189" s="188"/>
      <c r="IG189" s="188"/>
      <c r="IH189" s="188"/>
      <c r="II189" s="188"/>
      <c r="IJ189" s="188"/>
      <c r="IK189" s="188"/>
      <c r="IL189" s="188"/>
      <c r="IM189" s="188"/>
      <c r="IN189" s="188"/>
      <c r="IO189" s="188"/>
      <c r="IP189" s="188"/>
      <c r="IQ189" s="188"/>
      <c r="IR189" s="188"/>
      <c r="IS189" s="188"/>
      <c r="IT189" s="188"/>
      <c r="IU189" s="188"/>
      <c r="IV189" s="188"/>
      <c r="IW189" s="188"/>
      <c r="IX189" s="188"/>
      <c r="IY189" s="188"/>
      <c r="IZ189" s="188"/>
      <c r="JA189" s="188"/>
      <c r="JB189" s="188"/>
      <c r="JC189" s="188"/>
      <c r="JD189" s="189"/>
      <c r="JE189" s="187"/>
      <c r="JF189" s="188"/>
      <c r="JG189" s="188"/>
      <c r="JH189" s="188"/>
      <c r="JI189" s="189"/>
      <c r="LU189" s="155"/>
      <c r="MB189" s="184" t="s">
        <v>63</v>
      </c>
      <c r="MC189" s="185"/>
      <c r="MD189" s="185"/>
      <c r="ME189" s="185"/>
      <c r="MF189" s="185"/>
      <c r="MG189" s="185"/>
      <c r="MH189" s="185"/>
      <c r="MI189" s="185"/>
      <c r="MJ189" s="185"/>
      <c r="MK189" s="185"/>
      <c r="ML189" s="185"/>
      <c r="MM189" s="185"/>
      <c r="MN189" s="185"/>
      <c r="MO189" s="185"/>
      <c r="MP189" s="185"/>
      <c r="MQ189" s="185"/>
      <c r="MR189" s="185"/>
      <c r="MS189" s="185"/>
      <c r="MT189" s="185"/>
      <c r="MU189" s="185"/>
      <c r="MV189" s="185"/>
      <c r="MW189" s="185"/>
      <c r="MX189" s="185"/>
      <c r="MY189" s="185"/>
      <c r="MZ189" s="185"/>
      <c r="NA189" s="185"/>
      <c r="NB189" s="185"/>
      <c r="NC189" s="185"/>
      <c r="ND189" s="185"/>
      <c r="NE189" s="185"/>
      <c r="NF189" s="185"/>
      <c r="NG189" s="185"/>
      <c r="NH189" s="185"/>
      <c r="NI189" s="185"/>
      <c r="NJ189" s="185"/>
      <c r="NK189" s="185"/>
      <c r="NL189" s="185"/>
      <c r="NM189" s="185"/>
      <c r="NN189" s="185"/>
      <c r="NO189" s="185"/>
      <c r="NP189" s="186"/>
      <c r="NQ189" s="184">
        <v>1</v>
      </c>
      <c r="NR189" s="185"/>
      <c r="NS189" s="185"/>
      <c r="NT189" s="185"/>
      <c r="NU189" s="186"/>
      <c r="OW189" s="12"/>
      <c r="OX189" s="7"/>
      <c r="OY189" s="3"/>
      <c r="OZ189" s="3"/>
      <c r="PA189" s="3"/>
      <c r="PB189" s="3"/>
      <c r="PC189" s="2"/>
      <c r="PQ189" s="3"/>
      <c r="PR189" s="3"/>
      <c r="PS189" s="3"/>
      <c r="PT189" s="3"/>
      <c r="PU189" s="3"/>
      <c r="PV189" s="2"/>
    </row>
    <row r="190" spans="3:438" ht="5.0999999999999996" customHeight="1" x14ac:dyDescent="0.3">
      <c r="C190" s="11"/>
      <c r="D190" s="13"/>
      <c r="Q190" s="190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2"/>
      <c r="BF190" s="190"/>
      <c r="BG190" s="191"/>
      <c r="BH190" s="191"/>
      <c r="BI190" s="191"/>
      <c r="BJ190" s="192"/>
      <c r="HQ190" s="190"/>
      <c r="HR190" s="191"/>
      <c r="HS190" s="191"/>
      <c r="HT190" s="191"/>
      <c r="HU190" s="191"/>
      <c r="HV190" s="191"/>
      <c r="HW190" s="191"/>
      <c r="HX190" s="191"/>
      <c r="HY190" s="191"/>
      <c r="HZ190" s="191"/>
      <c r="IA190" s="191"/>
      <c r="IB190" s="191"/>
      <c r="IC190" s="191"/>
      <c r="ID190" s="191"/>
      <c r="IE190" s="191"/>
      <c r="IF190" s="191"/>
      <c r="IG190" s="191"/>
      <c r="IH190" s="191"/>
      <c r="II190" s="191"/>
      <c r="IJ190" s="191"/>
      <c r="IK190" s="191"/>
      <c r="IL190" s="191"/>
      <c r="IM190" s="191"/>
      <c r="IN190" s="191"/>
      <c r="IO190" s="191"/>
      <c r="IP190" s="191"/>
      <c r="IQ190" s="191"/>
      <c r="IR190" s="191"/>
      <c r="IS190" s="191"/>
      <c r="IT190" s="191"/>
      <c r="IU190" s="191"/>
      <c r="IV190" s="191"/>
      <c r="IW190" s="191"/>
      <c r="IX190" s="191"/>
      <c r="IY190" s="191"/>
      <c r="IZ190" s="191"/>
      <c r="JA190" s="191"/>
      <c r="JB190" s="191"/>
      <c r="JC190" s="191"/>
      <c r="JD190" s="192"/>
      <c r="JE190" s="190"/>
      <c r="JF190" s="191"/>
      <c r="JG190" s="191"/>
      <c r="JH190" s="191"/>
      <c r="JI190" s="192"/>
      <c r="LU190" s="155"/>
      <c r="MB190" s="187"/>
      <c r="MC190" s="188"/>
      <c r="MD190" s="188"/>
      <c r="ME190" s="188"/>
      <c r="MF190" s="188"/>
      <c r="MG190" s="188"/>
      <c r="MH190" s="188"/>
      <c r="MI190" s="188"/>
      <c r="MJ190" s="188"/>
      <c r="MK190" s="188"/>
      <c r="ML190" s="188"/>
      <c r="MM190" s="188"/>
      <c r="MN190" s="188"/>
      <c r="MO190" s="188"/>
      <c r="MP190" s="188"/>
      <c r="MQ190" s="188"/>
      <c r="MR190" s="188"/>
      <c r="MS190" s="188"/>
      <c r="MT190" s="188"/>
      <c r="MU190" s="188"/>
      <c r="MV190" s="188"/>
      <c r="MW190" s="188"/>
      <c r="MX190" s="188"/>
      <c r="MY190" s="188"/>
      <c r="MZ190" s="188"/>
      <c r="NA190" s="188"/>
      <c r="NB190" s="188"/>
      <c r="NC190" s="188"/>
      <c r="ND190" s="188"/>
      <c r="NE190" s="188"/>
      <c r="NF190" s="188"/>
      <c r="NG190" s="188"/>
      <c r="NH190" s="188"/>
      <c r="NI190" s="188"/>
      <c r="NJ190" s="188"/>
      <c r="NK190" s="188"/>
      <c r="NL190" s="188"/>
      <c r="NM190" s="188"/>
      <c r="NN190" s="188"/>
      <c r="NO190" s="188"/>
      <c r="NP190" s="189"/>
      <c r="NQ190" s="187"/>
      <c r="NR190" s="188"/>
      <c r="NS190" s="188"/>
      <c r="NT190" s="188"/>
      <c r="NU190" s="189"/>
      <c r="OW190" s="12"/>
      <c r="OX190" s="7"/>
    </row>
    <row r="191" spans="3:438" ht="5.0999999999999996" customHeight="1" x14ac:dyDescent="0.3">
      <c r="C191" s="11"/>
      <c r="D191" s="13"/>
      <c r="Q191" s="184" t="s">
        <v>41</v>
      </c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6"/>
      <c r="BF191" s="184">
        <v>1</v>
      </c>
      <c r="BG191" s="185"/>
      <c r="BH191" s="185"/>
      <c r="BI191" s="185"/>
      <c r="BJ191" s="186"/>
      <c r="LU191" s="155"/>
      <c r="MB191" s="187"/>
      <c r="MC191" s="188"/>
      <c r="MD191" s="188"/>
      <c r="ME191" s="188"/>
      <c r="MF191" s="188"/>
      <c r="MG191" s="188"/>
      <c r="MH191" s="188"/>
      <c r="MI191" s="188"/>
      <c r="MJ191" s="188"/>
      <c r="MK191" s="188"/>
      <c r="ML191" s="188"/>
      <c r="MM191" s="188"/>
      <c r="MN191" s="188"/>
      <c r="MO191" s="188"/>
      <c r="MP191" s="188"/>
      <c r="MQ191" s="188"/>
      <c r="MR191" s="188"/>
      <c r="MS191" s="188"/>
      <c r="MT191" s="188"/>
      <c r="MU191" s="188"/>
      <c r="MV191" s="188"/>
      <c r="MW191" s="188"/>
      <c r="MX191" s="188"/>
      <c r="MY191" s="188"/>
      <c r="MZ191" s="188"/>
      <c r="NA191" s="188"/>
      <c r="NB191" s="188"/>
      <c r="NC191" s="188"/>
      <c r="ND191" s="188"/>
      <c r="NE191" s="188"/>
      <c r="NF191" s="188"/>
      <c r="NG191" s="188"/>
      <c r="NH191" s="188"/>
      <c r="NI191" s="188"/>
      <c r="NJ191" s="188"/>
      <c r="NK191" s="188"/>
      <c r="NL191" s="188"/>
      <c r="NM191" s="188"/>
      <c r="NN191" s="188"/>
      <c r="NO191" s="188"/>
      <c r="NP191" s="189"/>
      <c r="NQ191" s="187"/>
      <c r="NR191" s="188"/>
      <c r="NS191" s="188"/>
      <c r="NT191" s="188"/>
      <c r="NU191" s="189"/>
      <c r="OW191" s="12"/>
      <c r="OX191" s="7"/>
    </row>
    <row r="192" spans="3:438" ht="5.0999999999999996" customHeight="1" x14ac:dyDescent="0.3">
      <c r="C192" s="11"/>
      <c r="D192" s="13"/>
      <c r="Q192" s="187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  <c r="BD192" s="188"/>
      <c r="BE192" s="189"/>
      <c r="BF192" s="187"/>
      <c r="BG192" s="188"/>
      <c r="BH192" s="188"/>
      <c r="BI192" s="188"/>
      <c r="BJ192" s="189"/>
      <c r="LU192" s="155"/>
      <c r="MB192" s="187"/>
      <c r="MC192" s="188"/>
      <c r="MD192" s="188"/>
      <c r="ME192" s="188"/>
      <c r="MF192" s="188"/>
      <c r="MG192" s="188"/>
      <c r="MH192" s="188"/>
      <c r="MI192" s="188"/>
      <c r="MJ192" s="188"/>
      <c r="MK192" s="188"/>
      <c r="ML192" s="188"/>
      <c r="MM192" s="188"/>
      <c r="MN192" s="188"/>
      <c r="MO192" s="188"/>
      <c r="MP192" s="188"/>
      <c r="MQ192" s="188"/>
      <c r="MR192" s="188"/>
      <c r="MS192" s="188"/>
      <c r="MT192" s="188"/>
      <c r="MU192" s="188"/>
      <c r="MV192" s="188"/>
      <c r="MW192" s="188"/>
      <c r="MX192" s="188"/>
      <c r="MY192" s="188"/>
      <c r="MZ192" s="188"/>
      <c r="NA192" s="188"/>
      <c r="NB192" s="188"/>
      <c r="NC192" s="188"/>
      <c r="ND192" s="188"/>
      <c r="NE192" s="188"/>
      <c r="NF192" s="188"/>
      <c r="NG192" s="188"/>
      <c r="NH192" s="188"/>
      <c r="NI192" s="188"/>
      <c r="NJ192" s="188"/>
      <c r="NK192" s="188"/>
      <c r="NL192" s="188"/>
      <c r="NM192" s="188"/>
      <c r="NN192" s="188"/>
      <c r="NO192" s="188"/>
      <c r="NP192" s="189"/>
      <c r="NQ192" s="187"/>
      <c r="NR192" s="188"/>
      <c r="NS192" s="188"/>
      <c r="NT192" s="188"/>
      <c r="NU192" s="189"/>
      <c r="OW192" s="12"/>
      <c r="OX192" s="7"/>
      <c r="OY192" s="3"/>
      <c r="OZ192" s="3"/>
      <c r="PA192" s="3"/>
      <c r="PB192" s="3"/>
      <c r="PC192" s="2"/>
      <c r="PQ192" s="3"/>
      <c r="PR192" s="3"/>
      <c r="PS192" s="3"/>
      <c r="PT192" s="3"/>
      <c r="PU192" s="3"/>
      <c r="PV192" s="2"/>
    </row>
    <row r="193" spans="3:438" ht="5.0999999999999996" customHeight="1" x14ac:dyDescent="0.3">
      <c r="C193" s="11"/>
      <c r="D193" s="13"/>
      <c r="Q193" s="187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  <c r="BE193" s="189"/>
      <c r="BF193" s="187"/>
      <c r="BG193" s="188"/>
      <c r="BH193" s="188"/>
      <c r="BI193" s="188"/>
      <c r="BJ193" s="189"/>
      <c r="LU193" s="155"/>
      <c r="MB193" s="187"/>
      <c r="MC193" s="188"/>
      <c r="MD193" s="188"/>
      <c r="ME193" s="188"/>
      <c r="MF193" s="188"/>
      <c r="MG193" s="188"/>
      <c r="MH193" s="188"/>
      <c r="MI193" s="188"/>
      <c r="MJ193" s="188"/>
      <c r="MK193" s="188"/>
      <c r="ML193" s="188"/>
      <c r="MM193" s="188"/>
      <c r="MN193" s="188"/>
      <c r="MO193" s="188"/>
      <c r="MP193" s="188"/>
      <c r="MQ193" s="188"/>
      <c r="MR193" s="188"/>
      <c r="MS193" s="188"/>
      <c r="MT193" s="188"/>
      <c r="MU193" s="188"/>
      <c r="MV193" s="188"/>
      <c r="MW193" s="188"/>
      <c r="MX193" s="188"/>
      <c r="MY193" s="188"/>
      <c r="MZ193" s="188"/>
      <c r="NA193" s="188"/>
      <c r="NB193" s="188"/>
      <c r="NC193" s="188"/>
      <c r="ND193" s="188"/>
      <c r="NE193" s="188"/>
      <c r="NF193" s="188"/>
      <c r="NG193" s="188"/>
      <c r="NH193" s="188"/>
      <c r="NI193" s="188"/>
      <c r="NJ193" s="188"/>
      <c r="NK193" s="188"/>
      <c r="NL193" s="188"/>
      <c r="NM193" s="188"/>
      <c r="NN193" s="188"/>
      <c r="NO193" s="188"/>
      <c r="NP193" s="189"/>
      <c r="NQ193" s="187"/>
      <c r="NR193" s="188"/>
      <c r="NS193" s="188"/>
      <c r="NT193" s="188"/>
      <c r="NU193" s="189"/>
      <c r="OW193" s="12"/>
      <c r="OX193" s="7"/>
      <c r="OY193" s="3"/>
      <c r="OZ193" s="3"/>
      <c r="PA193" s="3"/>
      <c r="PB193" s="3"/>
      <c r="PC193" s="2"/>
      <c r="PQ193" s="3"/>
      <c r="PR193" s="3"/>
      <c r="PS193" s="3"/>
      <c r="PT193" s="3"/>
      <c r="PU193" s="3"/>
      <c r="PV193" s="2"/>
    </row>
    <row r="194" spans="3:438" ht="5.0999999999999996" customHeight="1" x14ac:dyDescent="0.3">
      <c r="C194" s="11"/>
      <c r="D194" s="13"/>
      <c r="Q194" s="187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  <c r="BD194" s="188"/>
      <c r="BE194" s="189"/>
      <c r="BF194" s="187"/>
      <c r="BG194" s="188"/>
      <c r="BH194" s="188"/>
      <c r="BI194" s="188"/>
      <c r="BJ194" s="189"/>
      <c r="LU194" s="155"/>
      <c r="MB194" s="187"/>
      <c r="MC194" s="188"/>
      <c r="MD194" s="188"/>
      <c r="ME194" s="188"/>
      <c r="MF194" s="188"/>
      <c r="MG194" s="188"/>
      <c r="MH194" s="188"/>
      <c r="MI194" s="188"/>
      <c r="MJ194" s="188"/>
      <c r="MK194" s="188"/>
      <c r="ML194" s="188"/>
      <c r="MM194" s="188"/>
      <c r="MN194" s="188"/>
      <c r="MO194" s="188"/>
      <c r="MP194" s="188"/>
      <c r="MQ194" s="188"/>
      <c r="MR194" s="188"/>
      <c r="MS194" s="188"/>
      <c r="MT194" s="188"/>
      <c r="MU194" s="188"/>
      <c r="MV194" s="188"/>
      <c r="MW194" s="188"/>
      <c r="MX194" s="188"/>
      <c r="MY194" s="188"/>
      <c r="MZ194" s="188"/>
      <c r="NA194" s="188"/>
      <c r="NB194" s="188"/>
      <c r="NC194" s="188"/>
      <c r="ND194" s="188"/>
      <c r="NE194" s="188"/>
      <c r="NF194" s="188"/>
      <c r="NG194" s="188"/>
      <c r="NH194" s="188"/>
      <c r="NI194" s="188"/>
      <c r="NJ194" s="188"/>
      <c r="NK194" s="188"/>
      <c r="NL194" s="188"/>
      <c r="NM194" s="188"/>
      <c r="NN194" s="188"/>
      <c r="NO194" s="188"/>
      <c r="NP194" s="189"/>
      <c r="NQ194" s="187"/>
      <c r="NR194" s="188"/>
      <c r="NS194" s="188"/>
      <c r="NT194" s="188"/>
      <c r="NU194" s="189"/>
      <c r="OW194" s="12"/>
      <c r="OX194" s="7"/>
      <c r="OY194" s="3"/>
      <c r="OZ194" s="3"/>
      <c r="PA194" s="3"/>
      <c r="PB194" s="3"/>
      <c r="PC194" s="2"/>
      <c r="PQ194" s="3"/>
      <c r="PR194" s="3"/>
      <c r="PS194" s="3"/>
      <c r="PT194" s="3"/>
      <c r="PU194" s="3"/>
      <c r="PV194" s="2"/>
    </row>
    <row r="195" spans="3:438" ht="5.0999999999999996" customHeight="1" x14ac:dyDescent="0.3">
      <c r="C195" s="11"/>
      <c r="D195" s="13"/>
      <c r="Q195" s="187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9"/>
      <c r="BF195" s="187"/>
      <c r="BG195" s="188"/>
      <c r="BH195" s="188"/>
      <c r="BI195" s="188"/>
      <c r="BJ195" s="189"/>
      <c r="LU195" s="155"/>
      <c r="MB195" s="187"/>
      <c r="MC195" s="188"/>
      <c r="MD195" s="188"/>
      <c r="ME195" s="188"/>
      <c r="MF195" s="188"/>
      <c r="MG195" s="188"/>
      <c r="MH195" s="188"/>
      <c r="MI195" s="188"/>
      <c r="MJ195" s="188"/>
      <c r="MK195" s="188"/>
      <c r="ML195" s="188"/>
      <c r="MM195" s="188"/>
      <c r="MN195" s="188"/>
      <c r="MO195" s="188"/>
      <c r="MP195" s="188"/>
      <c r="MQ195" s="188"/>
      <c r="MR195" s="188"/>
      <c r="MS195" s="188"/>
      <c r="MT195" s="188"/>
      <c r="MU195" s="188"/>
      <c r="MV195" s="188"/>
      <c r="MW195" s="188"/>
      <c r="MX195" s="188"/>
      <c r="MY195" s="188"/>
      <c r="MZ195" s="188"/>
      <c r="NA195" s="188"/>
      <c r="NB195" s="188"/>
      <c r="NC195" s="188"/>
      <c r="ND195" s="188"/>
      <c r="NE195" s="188"/>
      <c r="NF195" s="188"/>
      <c r="NG195" s="188"/>
      <c r="NH195" s="188"/>
      <c r="NI195" s="188"/>
      <c r="NJ195" s="188"/>
      <c r="NK195" s="188"/>
      <c r="NL195" s="188"/>
      <c r="NM195" s="188"/>
      <c r="NN195" s="188"/>
      <c r="NO195" s="188"/>
      <c r="NP195" s="189"/>
      <c r="NQ195" s="187"/>
      <c r="NR195" s="188"/>
      <c r="NS195" s="188"/>
      <c r="NT195" s="188"/>
      <c r="NU195" s="189"/>
      <c r="OW195" s="12"/>
      <c r="OX195" s="7"/>
      <c r="OY195" s="3"/>
      <c r="OZ195" s="3"/>
      <c r="PA195" s="3"/>
      <c r="PB195" s="3"/>
      <c r="PC195" s="2"/>
      <c r="PQ195" s="3"/>
      <c r="PR195" s="3"/>
      <c r="PS195" s="3"/>
      <c r="PT195" s="3"/>
      <c r="PU195" s="3"/>
      <c r="PV195" s="2"/>
    </row>
    <row r="196" spans="3:438" ht="5.0999999999999996" customHeight="1" x14ac:dyDescent="0.3">
      <c r="C196" s="11"/>
      <c r="D196" s="13"/>
      <c r="Q196" s="187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  <c r="BD196" s="188"/>
      <c r="BE196" s="189"/>
      <c r="BF196" s="187"/>
      <c r="BG196" s="188"/>
      <c r="BH196" s="188"/>
      <c r="BI196" s="188"/>
      <c r="BJ196" s="189"/>
      <c r="LU196" s="155"/>
      <c r="MB196" s="187"/>
      <c r="MC196" s="188"/>
      <c r="MD196" s="188"/>
      <c r="ME196" s="188"/>
      <c r="MF196" s="188"/>
      <c r="MG196" s="188"/>
      <c r="MH196" s="188"/>
      <c r="MI196" s="188"/>
      <c r="MJ196" s="188"/>
      <c r="MK196" s="188"/>
      <c r="ML196" s="188"/>
      <c r="MM196" s="188"/>
      <c r="MN196" s="188"/>
      <c r="MO196" s="188"/>
      <c r="MP196" s="188"/>
      <c r="MQ196" s="188"/>
      <c r="MR196" s="188"/>
      <c r="MS196" s="188"/>
      <c r="MT196" s="188"/>
      <c r="MU196" s="188"/>
      <c r="MV196" s="188"/>
      <c r="MW196" s="188"/>
      <c r="MX196" s="188"/>
      <c r="MY196" s="188"/>
      <c r="MZ196" s="188"/>
      <c r="NA196" s="188"/>
      <c r="NB196" s="188"/>
      <c r="NC196" s="188"/>
      <c r="ND196" s="188"/>
      <c r="NE196" s="188"/>
      <c r="NF196" s="188"/>
      <c r="NG196" s="188"/>
      <c r="NH196" s="188"/>
      <c r="NI196" s="188"/>
      <c r="NJ196" s="188"/>
      <c r="NK196" s="188"/>
      <c r="NL196" s="188"/>
      <c r="NM196" s="188"/>
      <c r="NN196" s="188"/>
      <c r="NO196" s="188"/>
      <c r="NP196" s="189"/>
      <c r="NQ196" s="187"/>
      <c r="NR196" s="188"/>
      <c r="NS196" s="188"/>
      <c r="NT196" s="188"/>
      <c r="NU196" s="189"/>
      <c r="OW196" s="12"/>
      <c r="OX196" s="7"/>
      <c r="OY196" s="3"/>
      <c r="OZ196" s="3"/>
      <c r="PA196" s="3"/>
      <c r="PB196" s="3"/>
      <c r="PC196" s="2"/>
      <c r="PQ196" s="3"/>
      <c r="PR196" s="3"/>
      <c r="PS196" s="3"/>
      <c r="PT196" s="3"/>
      <c r="PU196" s="3"/>
      <c r="PV196" s="2"/>
    </row>
    <row r="197" spans="3:438" ht="5.0999999999999996" customHeight="1" x14ac:dyDescent="0.3">
      <c r="C197" s="11"/>
      <c r="D197" s="13"/>
      <c r="Q197" s="187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  <c r="BD197" s="188"/>
      <c r="BE197" s="189"/>
      <c r="BF197" s="187"/>
      <c r="BG197" s="188"/>
      <c r="BH197" s="188"/>
      <c r="BI197" s="188"/>
      <c r="BJ197" s="189"/>
      <c r="LU197" s="155"/>
      <c r="MB197" s="187"/>
      <c r="MC197" s="188"/>
      <c r="MD197" s="188"/>
      <c r="ME197" s="188"/>
      <c r="MF197" s="188"/>
      <c r="MG197" s="188"/>
      <c r="MH197" s="188"/>
      <c r="MI197" s="188"/>
      <c r="MJ197" s="188"/>
      <c r="MK197" s="188"/>
      <c r="ML197" s="188"/>
      <c r="MM197" s="188"/>
      <c r="MN197" s="188"/>
      <c r="MO197" s="188"/>
      <c r="MP197" s="188"/>
      <c r="MQ197" s="188"/>
      <c r="MR197" s="188"/>
      <c r="MS197" s="188"/>
      <c r="MT197" s="188"/>
      <c r="MU197" s="188"/>
      <c r="MV197" s="188"/>
      <c r="MW197" s="188"/>
      <c r="MX197" s="188"/>
      <c r="MY197" s="188"/>
      <c r="MZ197" s="188"/>
      <c r="NA197" s="188"/>
      <c r="NB197" s="188"/>
      <c r="NC197" s="188"/>
      <c r="ND197" s="188"/>
      <c r="NE197" s="188"/>
      <c r="NF197" s="188"/>
      <c r="NG197" s="188"/>
      <c r="NH197" s="188"/>
      <c r="NI197" s="188"/>
      <c r="NJ197" s="188"/>
      <c r="NK197" s="188"/>
      <c r="NL197" s="188"/>
      <c r="NM197" s="188"/>
      <c r="NN197" s="188"/>
      <c r="NO197" s="188"/>
      <c r="NP197" s="189"/>
      <c r="NQ197" s="187"/>
      <c r="NR197" s="188"/>
      <c r="NS197" s="188"/>
      <c r="NT197" s="188"/>
      <c r="NU197" s="189"/>
      <c r="OW197" s="12"/>
      <c r="OX197" s="7"/>
      <c r="OY197" s="3"/>
      <c r="OZ197" s="3"/>
      <c r="PA197" s="3"/>
      <c r="PB197" s="3"/>
      <c r="PC197" s="2"/>
      <c r="PQ197" s="3"/>
      <c r="PR197" s="3"/>
      <c r="PS197" s="3"/>
      <c r="PT197" s="3"/>
      <c r="PU197" s="3"/>
      <c r="PV197" s="2"/>
    </row>
    <row r="198" spans="3:438" ht="5.0999999999999996" customHeight="1" x14ac:dyDescent="0.3">
      <c r="C198" s="11"/>
      <c r="D198" s="13"/>
      <c r="Q198" s="187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9"/>
      <c r="BF198" s="187"/>
      <c r="BG198" s="188"/>
      <c r="BH198" s="188"/>
      <c r="BI198" s="188"/>
      <c r="BJ198" s="189"/>
      <c r="LU198" s="155"/>
      <c r="MB198" s="190"/>
      <c r="MC198" s="191"/>
      <c r="MD198" s="191"/>
      <c r="ME198" s="191"/>
      <c r="MF198" s="191"/>
      <c r="MG198" s="191"/>
      <c r="MH198" s="191"/>
      <c r="MI198" s="191"/>
      <c r="MJ198" s="191"/>
      <c r="MK198" s="191"/>
      <c r="ML198" s="191"/>
      <c r="MM198" s="191"/>
      <c r="MN198" s="191"/>
      <c r="MO198" s="191"/>
      <c r="MP198" s="191"/>
      <c r="MQ198" s="191"/>
      <c r="MR198" s="191"/>
      <c r="MS198" s="191"/>
      <c r="MT198" s="191"/>
      <c r="MU198" s="191"/>
      <c r="MV198" s="191"/>
      <c r="MW198" s="191"/>
      <c r="MX198" s="191"/>
      <c r="MY198" s="191"/>
      <c r="MZ198" s="191"/>
      <c r="NA198" s="191"/>
      <c r="NB198" s="191"/>
      <c r="NC198" s="191"/>
      <c r="ND198" s="191"/>
      <c r="NE198" s="191"/>
      <c r="NF198" s="191"/>
      <c r="NG198" s="191"/>
      <c r="NH198" s="191"/>
      <c r="NI198" s="191"/>
      <c r="NJ198" s="191"/>
      <c r="NK198" s="191"/>
      <c r="NL198" s="191"/>
      <c r="NM198" s="191"/>
      <c r="NN198" s="191"/>
      <c r="NO198" s="191"/>
      <c r="NP198" s="192"/>
      <c r="NQ198" s="190"/>
      <c r="NR198" s="191"/>
      <c r="NS198" s="191"/>
      <c r="NT198" s="191"/>
      <c r="NU198" s="192"/>
      <c r="OW198" s="12"/>
      <c r="OX198" s="7"/>
      <c r="OY198" s="3"/>
      <c r="OZ198" s="3"/>
      <c r="PA198" s="3"/>
      <c r="PB198" s="3"/>
      <c r="PC198" s="2"/>
      <c r="PQ198" s="3"/>
      <c r="PR198" s="3"/>
      <c r="PS198" s="3"/>
      <c r="PT198" s="3"/>
      <c r="PU198" s="3"/>
      <c r="PV198" s="2"/>
    </row>
    <row r="199" spans="3:438" ht="5.0999999999999996" customHeight="1" x14ac:dyDescent="0.3">
      <c r="C199" s="11"/>
      <c r="D199" s="13"/>
      <c r="Q199" s="187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9"/>
      <c r="BF199" s="187"/>
      <c r="BG199" s="188"/>
      <c r="BH199" s="188"/>
      <c r="BI199" s="188"/>
      <c r="BJ199" s="189"/>
      <c r="LU199" s="155"/>
      <c r="MB199" s="184" t="s">
        <v>152</v>
      </c>
      <c r="MC199" s="185"/>
      <c r="MD199" s="185"/>
      <c r="ME199" s="185"/>
      <c r="MF199" s="185"/>
      <c r="MG199" s="185"/>
      <c r="MH199" s="185"/>
      <c r="MI199" s="185"/>
      <c r="MJ199" s="185"/>
      <c r="MK199" s="185"/>
      <c r="ML199" s="185"/>
      <c r="MM199" s="185"/>
      <c r="MN199" s="185"/>
      <c r="MO199" s="185"/>
      <c r="MP199" s="185"/>
      <c r="MQ199" s="185"/>
      <c r="MR199" s="185"/>
      <c r="MS199" s="185"/>
      <c r="MT199" s="185"/>
      <c r="MU199" s="185"/>
      <c r="MV199" s="185"/>
      <c r="MW199" s="185"/>
      <c r="MX199" s="185"/>
      <c r="MY199" s="185"/>
      <c r="MZ199" s="185"/>
      <c r="NA199" s="185"/>
      <c r="NB199" s="185"/>
      <c r="NC199" s="185"/>
      <c r="ND199" s="185"/>
      <c r="NE199" s="185"/>
      <c r="NF199" s="185"/>
      <c r="NG199" s="185"/>
      <c r="NH199" s="185"/>
      <c r="NI199" s="185"/>
      <c r="NJ199" s="185"/>
      <c r="NK199" s="185"/>
      <c r="NL199" s="185"/>
      <c r="NM199" s="185"/>
      <c r="NN199" s="185"/>
      <c r="NO199" s="185"/>
      <c r="NP199" s="186"/>
      <c r="NQ199" s="184">
        <v>6</v>
      </c>
      <c r="NR199" s="185"/>
      <c r="NS199" s="185"/>
      <c r="NT199" s="185"/>
      <c r="NU199" s="186"/>
      <c r="OW199" s="12"/>
      <c r="OX199" s="7"/>
      <c r="OY199" s="3"/>
      <c r="OZ199" s="3"/>
      <c r="PA199" s="3"/>
      <c r="PB199" s="3"/>
      <c r="PC199" s="2"/>
      <c r="PQ199" s="3"/>
      <c r="PR199" s="3"/>
      <c r="PS199" s="3"/>
      <c r="PT199" s="3"/>
      <c r="PU199" s="3"/>
      <c r="PV199" s="2"/>
    </row>
    <row r="200" spans="3:438" ht="5.0999999999999996" customHeight="1" x14ac:dyDescent="0.3">
      <c r="C200" s="11"/>
      <c r="D200" s="13"/>
      <c r="Q200" s="190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2"/>
      <c r="BF200" s="190"/>
      <c r="BG200" s="191"/>
      <c r="BH200" s="191"/>
      <c r="BI200" s="191"/>
      <c r="BJ200" s="192"/>
      <c r="LU200" s="155"/>
      <c r="MB200" s="187"/>
      <c r="MC200" s="188"/>
      <c r="MD200" s="188"/>
      <c r="ME200" s="188"/>
      <c r="MF200" s="188"/>
      <c r="MG200" s="188"/>
      <c r="MH200" s="188"/>
      <c r="MI200" s="188"/>
      <c r="MJ200" s="188"/>
      <c r="MK200" s="188"/>
      <c r="ML200" s="188"/>
      <c r="MM200" s="188"/>
      <c r="MN200" s="188"/>
      <c r="MO200" s="188"/>
      <c r="MP200" s="188"/>
      <c r="MQ200" s="188"/>
      <c r="MR200" s="188"/>
      <c r="MS200" s="188"/>
      <c r="MT200" s="188"/>
      <c r="MU200" s="188"/>
      <c r="MV200" s="188"/>
      <c r="MW200" s="188"/>
      <c r="MX200" s="188"/>
      <c r="MY200" s="188"/>
      <c r="MZ200" s="188"/>
      <c r="NA200" s="188"/>
      <c r="NB200" s="188"/>
      <c r="NC200" s="188"/>
      <c r="ND200" s="188"/>
      <c r="NE200" s="188"/>
      <c r="NF200" s="188"/>
      <c r="NG200" s="188"/>
      <c r="NH200" s="188"/>
      <c r="NI200" s="188"/>
      <c r="NJ200" s="188"/>
      <c r="NK200" s="188"/>
      <c r="NL200" s="188"/>
      <c r="NM200" s="188"/>
      <c r="NN200" s="188"/>
      <c r="NO200" s="188"/>
      <c r="NP200" s="189"/>
      <c r="NQ200" s="187"/>
      <c r="NR200" s="188"/>
      <c r="NS200" s="188"/>
      <c r="NT200" s="188"/>
      <c r="NU200" s="189"/>
      <c r="OW200" s="12"/>
      <c r="OX200" s="7"/>
      <c r="OY200" s="3"/>
      <c r="OZ200" s="3"/>
      <c r="PA200" s="3"/>
      <c r="PB200" s="3"/>
      <c r="PC200" s="2"/>
      <c r="PQ200" s="3"/>
      <c r="PR200" s="3"/>
      <c r="PS200" s="3"/>
      <c r="PT200" s="3"/>
      <c r="PU200" s="3"/>
      <c r="PV200" s="2"/>
    </row>
    <row r="201" spans="3:438" ht="5.0999999999999996" customHeight="1" x14ac:dyDescent="0.3">
      <c r="C201" s="11"/>
      <c r="D201" s="13"/>
      <c r="Q201" s="184" t="s">
        <v>40</v>
      </c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6"/>
      <c r="BF201" s="184">
        <v>2</v>
      </c>
      <c r="BG201" s="185"/>
      <c r="BH201" s="185"/>
      <c r="BI201" s="185"/>
      <c r="BJ201" s="186"/>
      <c r="LU201" s="155"/>
      <c r="MB201" s="187"/>
      <c r="MC201" s="188"/>
      <c r="MD201" s="188"/>
      <c r="ME201" s="188"/>
      <c r="MF201" s="188"/>
      <c r="MG201" s="188"/>
      <c r="MH201" s="188"/>
      <c r="MI201" s="188"/>
      <c r="MJ201" s="188"/>
      <c r="MK201" s="188"/>
      <c r="ML201" s="188"/>
      <c r="MM201" s="188"/>
      <c r="MN201" s="188"/>
      <c r="MO201" s="188"/>
      <c r="MP201" s="188"/>
      <c r="MQ201" s="188"/>
      <c r="MR201" s="188"/>
      <c r="MS201" s="188"/>
      <c r="MT201" s="188"/>
      <c r="MU201" s="188"/>
      <c r="MV201" s="188"/>
      <c r="MW201" s="188"/>
      <c r="MX201" s="188"/>
      <c r="MY201" s="188"/>
      <c r="MZ201" s="188"/>
      <c r="NA201" s="188"/>
      <c r="NB201" s="188"/>
      <c r="NC201" s="188"/>
      <c r="ND201" s="188"/>
      <c r="NE201" s="188"/>
      <c r="NF201" s="188"/>
      <c r="NG201" s="188"/>
      <c r="NH201" s="188"/>
      <c r="NI201" s="188"/>
      <c r="NJ201" s="188"/>
      <c r="NK201" s="188"/>
      <c r="NL201" s="188"/>
      <c r="NM201" s="188"/>
      <c r="NN201" s="188"/>
      <c r="NO201" s="188"/>
      <c r="NP201" s="189"/>
      <c r="NQ201" s="187"/>
      <c r="NR201" s="188"/>
      <c r="NS201" s="188"/>
      <c r="NT201" s="188"/>
      <c r="NU201" s="189"/>
      <c r="OW201" s="12"/>
      <c r="OX201" s="7"/>
      <c r="OY201" s="3"/>
      <c r="OZ201" s="3"/>
      <c r="PA201" s="3"/>
      <c r="PB201" s="3"/>
      <c r="PC201" s="2"/>
      <c r="PQ201" s="3"/>
      <c r="PR201" s="3"/>
      <c r="PS201" s="3"/>
      <c r="PT201" s="3"/>
      <c r="PU201" s="3"/>
      <c r="PV201" s="2"/>
    </row>
    <row r="202" spans="3:438" ht="5.0999999999999996" customHeight="1" x14ac:dyDescent="0.3">
      <c r="C202" s="11"/>
      <c r="D202" s="13"/>
      <c r="Q202" s="187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9"/>
      <c r="BF202" s="187"/>
      <c r="BG202" s="188"/>
      <c r="BH202" s="188"/>
      <c r="BI202" s="188"/>
      <c r="BJ202" s="189"/>
      <c r="LU202" s="155"/>
      <c r="MB202" s="187"/>
      <c r="MC202" s="188"/>
      <c r="MD202" s="188"/>
      <c r="ME202" s="188"/>
      <c r="MF202" s="188"/>
      <c r="MG202" s="188"/>
      <c r="MH202" s="188"/>
      <c r="MI202" s="188"/>
      <c r="MJ202" s="188"/>
      <c r="MK202" s="188"/>
      <c r="ML202" s="188"/>
      <c r="MM202" s="188"/>
      <c r="MN202" s="188"/>
      <c r="MO202" s="188"/>
      <c r="MP202" s="188"/>
      <c r="MQ202" s="188"/>
      <c r="MR202" s="188"/>
      <c r="MS202" s="188"/>
      <c r="MT202" s="188"/>
      <c r="MU202" s="188"/>
      <c r="MV202" s="188"/>
      <c r="MW202" s="188"/>
      <c r="MX202" s="188"/>
      <c r="MY202" s="188"/>
      <c r="MZ202" s="188"/>
      <c r="NA202" s="188"/>
      <c r="NB202" s="188"/>
      <c r="NC202" s="188"/>
      <c r="ND202" s="188"/>
      <c r="NE202" s="188"/>
      <c r="NF202" s="188"/>
      <c r="NG202" s="188"/>
      <c r="NH202" s="188"/>
      <c r="NI202" s="188"/>
      <c r="NJ202" s="188"/>
      <c r="NK202" s="188"/>
      <c r="NL202" s="188"/>
      <c r="NM202" s="188"/>
      <c r="NN202" s="188"/>
      <c r="NO202" s="188"/>
      <c r="NP202" s="189"/>
      <c r="NQ202" s="187"/>
      <c r="NR202" s="188"/>
      <c r="NS202" s="188"/>
      <c r="NT202" s="188"/>
      <c r="NU202" s="189"/>
      <c r="OW202" s="12"/>
      <c r="OX202" s="7"/>
      <c r="OY202" s="3"/>
      <c r="OZ202" s="3"/>
      <c r="PA202" s="3"/>
      <c r="PB202" s="3"/>
      <c r="PC202" s="2"/>
      <c r="PQ202" s="3"/>
      <c r="PR202" s="3"/>
      <c r="PS202" s="3"/>
      <c r="PT202" s="3"/>
      <c r="PU202" s="3"/>
      <c r="PV202" s="2"/>
    </row>
    <row r="203" spans="3:438" ht="5.0999999999999996" customHeight="1" x14ac:dyDescent="0.3">
      <c r="C203" s="11"/>
      <c r="D203" s="13"/>
      <c r="Q203" s="187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  <c r="BD203" s="188"/>
      <c r="BE203" s="189"/>
      <c r="BF203" s="187"/>
      <c r="BG203" s="188"/>
      <c r="BH203" s="188"/>
      <c r="BI203" s="188"/>
      <c r="BJ203" s="189"/>
      <c r="LU203" s="155"/>
      <c r="MB203" s="187"/>
      <c r="MC203" s="188"/>
      <c r="MD203" s="188"/>
      <c r="ME203" s="188"/>
      <c r="MF203" s="188"/>
      <c r="MG203" s="188"/>
      <c r="MH203" s="188"/>
      <c r="MI203" s="188"/>
      <c r="MJ203" s="188"/>
      <c r="MK203" s="188"/>
      <c r="ML203" s="188"/>
      <c r="MM203" s="188"/>
      <c r="MN203" s="188"/>
      <c r="MO203" s="188"/>
      <c r="MP203" s="188"/>
      <c r="MQ203" s="188"/>
      <c r="MR203" s="188"/>
      <c r="MS203" s="188"/>
      <c r="MT203" s="188"/>
      <c r="MU203" s="188"/>
      <c r="MV203" s="188"/>
      <c r="MW203" s="188"/>
      <c r="MX203" s="188"/>
      <c r="MY203" s="188"/>
      <c r="MZ203" s="188"/>
      <c r="NA203" s="188"/>
      <c r="NB203" s="188"/>
      <c r="NC203" s="188"/>
      <c r="ND203" s="188"/>
      <c r="NE203" s="188"/>
      <c r="NF203" s="188"/>
      <c r="NG203" s="188"/>
      <c r="NH203" s="188"/>
      <c r="NI203" s="188"/>
      <c r="NJ203" s="188"/>
      <c r="NK203" s="188"/>
      <c r="NL203" s="188"/>
      <c r="NM203" s="188"/>
      <c r="NN203" s="188"/>
      <c r="NO203" s="188"/>
      <c r="NP203" s="189"/>
      <c r="NQ203" s="187"/>
      <c r="NR203" s="188"/>
      <c r="NS203" s="188"/>
      <c r="NT203" s="188"/>
      <c r="NU203" s="189"/>
      <c r="OW203" s="12"/>
      <c r="OX203" s="7"/>
      <c r="OY203" s="3"/>
      <c r="OZ203" s="3"/>
      <c r="PA203" s="3"/>
      <c r="PB203" s="3"/>
      <c r="PC203" s="2"/>
      <c r="PQ203" s="3"/>
      <c r="PR203" s="3"/>
      <c r="PS203" s="3"/>
      <c r="PT203" s="3"/>
      <c r="PU203" s="3"/>
      <c r="PV203" s="2"/>
    </row>
    <row r="204" spans="3:438" ht="5.0999999999999996" customHeight="1" x14ac:dyDescent="0.3">
      <c r="C204" s="11"/>
      <c r="D204" s="13"/>
      <c r="Q204" s="187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  <c r="BD204" s="188"/>
      <c r="BE204" s="189"/>
      <c r="BF204" s="187"/>
      <c r="BG204" s="188"/>
      <c r="BH204" s="188"/>
      <c r="BI204" s="188"/>
      <c r="BJ204" s="189"/>
      <c r="LU204" s="155"/>
      <c r="MB204" s="187"/>
      <c r="MC204" s="188"/>
      <c r="MD204" s="188"/>
      <c r="ME204" s="188"/>
      <c r="MF204" s="188"/>
      <c r="MG204" s="188"/>
      <c r="MH204" s="188"/>
      <c r="MI204" s="188"/>
      <c r="MJ204" s="188"/>
      <c r="MK204" s="188"/>
      <c r="ML204" s="188"/>
      <c r="MM204" s="188"/>
      <c r="MN204" s="188"/>
      <c r="MO204" s="188"/>
      <c r="MP204" s="188"/>
      <c r="MQ204" s="188"/>
      <c r="MR204" s="188"/>
      <c r="MS204" s="188"/>
      <c r="MT204" s="188"/>
      <c r="MU204" s="188"/>
      <c r="MV204" s="188"/>
      <c r="MW204" s="188"/>
      <c r="MX204" s="188"/>
      <c r="MY204" s="188"/>
      <c r="MZ204" s="188"/>
      <c r="NA204" s="188"/>
      <c r="NB204" s="188"/>
      <c r="NC204" s="188"/>
      <c r="ND204" s="188"/>
      <c r="NE204" s="188"/>
      <c r="NF204" s="188"/>
      <c r="NG204" s="188"/>
      <c r="NH204" s="188"/>
      <c r="NI204" s="188"/>
      <c r="NJ204" s="188"/>
      <c r="NK204" s="188"/>
      <c r="NL204" s="188"/>
      <c r="NM204" s="188"/>
      <c r="NN204" s="188"/>
      <c r="NO204" s="188"/>
      <c r="NP204" s="189"/>
      <c r="NQ204" s="187"/>
      <c r="NR204" s="188"/>
      <c r="NS204" s="188"/>
      <c r="NT204" s="188"/>
      <c r="NU204" s="189"/>
      <c r="OW204" s="12"/>
      <c r="OX204" s="7"/>
      <c r="OY204" s="3"/>
      <c r="OZ204" s="3"/>
      <c r="PA204" s="3"/>
      <c r="PB204" s="3"/>
      <c r="PC204" s="2"/>
      <c r="PQ204" s="3"/>
      <c r="PR204" s="3"/>
      <c r="PS204" s="3"/>
      <c r="PT204" s="3"/>
      <c r="PU204" s="3"/>
      <c r="PV204" s="2"/>
    </row>
    <row r="205" spans="3:438" ht="5.0999999999999996" customHeight="1" x14ac:dyDescent="0.3">
      <c r="C205" s="11"/>
      <c r="D205" s="13"/>
      <c r="Q205" s="187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  <c r="BE205" s="189"/>
      <c r="BF205" s="187"/>
      <c r="BG205" s="188"/>
      <c r="BH205" s="188"/>
      <c r="BI205" s="188"/>
      <c r="BJ205" s="189"/>
      <c r="LU205" s="155"/>
      <c r="MB205" s="187"/>
      <c r="MC205" s="188"/>
      <c r="MD205" s="188"/>
      <c r="ME205" s="188"/>
      <c r="MF205" s="188"/>
      <c r="MG205" s="188"/>
      <c r="MH205" s="188"/>
      <c r="MI205" s="188"/>
      <c r="MJ205" s="188"/>
      <c r="MK205" s="188"/>
      <c r="ML205" s="188"/>
      <c r="MM205" s="188"/>
      <c r="MN205" s="188"/>
      <c r="MO205" s="188"/>
      <c r="MP205" s="188"/>
      <c r="MQ205" s="188"/>
      <c r="MR205" s="188"/>
      <c r="MS205" s="188"/>
      <c r="MT205" s="188"/>
      <c r="MU205" s="188"/>
      <c r="MV205" s="188"/>
      <c r="MW205" s="188"/>
      <c r="MX205" s="188"/>
      <c r="MY205" s="188"/>
      <c r="MZ205" s="188"/>
      <c r="NA205" s="188"/>
      <c r="NB205" s="188"/>
      <c r="NC205" s="188"/>
      <c r="ND205" s="188"/>
      <c r="NE205" s="188"/>
      <c r="NF205" s="188"/>
      <c r="NG205" s="188"/>
      <c r="NH205" s="188"/>
      <c r="NI205" s="188"/>
      <c r="NJ205" s="188"/>
      <c r="NK205" s="188"/>
      <c r="NL205" s="188"/>
      <c r="NM205" s="188"/>
      <c r="NN205" s="188"/>
      <c r="NO205" s="188"/>
      <c r="NP205" s="189"/>
      <c r="NQ205" s="187"/>
      <c r="NR205" s="188"/>
      <c r="NS205" s="188"/>
      <c r="NT205" s="188"/>
      <c r="NU205" s="189"/>
      <c r="OW205" s="12"/>
      <c r="OX205" s="7"/>
      <c r="OY205" s="3"/>
      <c r="OZ205" s="3"/>
      <c r="PA205" s="3"/>
      <c r="PB205" s="3"/>
      <c r="PC205" s="2"/>
      <c r="PQ205" s="3"/>
      <c r="PR205" s="3"/>
      <c r="PS205" s="3"/>
      <c r="PT205" s="3"/>
      <c r="PU205" s="3"/>
      <c r="PV205" s="2"/>
    </row>
    <row r="206" spans="3:438" ht="5.0999999999999996" customHeight="1" x14ac:dyDescent="0.3">
      <c r="C206" s="11"/>
      <c r="D206" s="13"/>
      <c r="Q206" s="187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  <c r="BD206" s="188"/>
      <c r="BE206" s="189"/>
      <c r="BF206" s="187"/>
      <c r="BG206" s="188"/>
      <c r="BH206" s="188"/>
      <c r="BI206" s="188"/>
      <c r="BJ206" s="189"/>
      <c r="LU206" s="155"/>
      <c r="MB206" s="187"/>
      <c r="MC206" s="188"/>
      <c r="MD206" s="188"/>
      <c r="ME206" s="188"/>
      <c r="MF206" s="188"/>
      <c r="MG206" s="188"/>
      <c r="MH206" s="188"/>
      <c r="MI206" s="188"/>
      <c r="MJ206" s="188"/>
      <c r="MK206" s="188"/>
      <c r="ML206" s="188"/>
      <c r="MM206" s="188"/>
      <c r="MN206" s="188"/>
      <c r="MO206" s="188"/>
      <c r="MP206" s="188"/>
      <c r="MQ206" s="188"/>
      <c r="MR206" s="188"/>
      <c r="MS206" s="188"/>
      <c r="MT206" s="188"/>
      <c r="MU206" s="188"/>
      <c r="MV206" s="188"/>
      <c r="MW206" s="188"/>
      <c r="MX206" s="188"/>
      <c r="MY206" s="188"/>
      <c r="MZ206" s="188"/>
      <c r="NA206" s="188"/>
      <c r="NB206" s="188"/>
      <c r="NC206" s="188"/>
      <c r="ND206" s="188"/>
      <c r="NE206" s="188"/>
      <c r="NF206" s="188"/>
      <c r="NG206" s="188"/>
      <c r="NH206" s="188"/>
      <c r="NI206" s="188"/>
      <c r="NJ206" s="188"/>
      <c r="NK206" s="188"/>
      <c r="NL206" s="188"/>
      <c r="NM206" s="188"/>
      <c r="NN206" s="188"/>
      <c r="NO206" s="188"/>
      <c r="NP206" s="189"/>
      <c r="NQ206" s="187"/>
      <c r="NR206" s="188"/>
      <c r="NS206" s="188"/>
      <c r="NT206" s="188"/>
      <c r="NU206" s="189"/>
      <c r="OW206" s="12"/>
      <c r="OX206" s="7"/>
      <c r="OY206" s="3"/>
      <c r="OZ206" s="3"/>
      <c r="PA206" s="3"/>
      <c r="PB206" s="3"/>
      <c r="PC206" s="2"/>
      <c r="PQ206" s="3"/>
      <c r="PR206" s="3"/>
      <c r="PS206" s="3"/>
      <c r="PT206" s="3"/>
      <c r="PU206" s="3"/>
      <c r="PV206" s="2"/>
    </row>
    <row r="207" spans="3:438" ht="5.0999999999999996" customHeight="1" x14ac:dyDescent="0.3">
      <c r="C207" s="11"/>
      <c r="D207" s="13"/>
      <c r="Q207" s="187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E207" s="189"/>
      <c r="BF207" s="187"/>
      <c r="BG207" s="188"/>
      <c r="BH207" s="188"/>
      <c r="BI207" s="188"/>
      <c r="BJ207" s="189"/>
      <c r="LU207" s="155"/>
      <c r="MB207" s="187"/>
      <c r="MC207" s="188"/>
      <c r="MD207" s="188"/>
      <c r="ME207" s="188"/>
      <c r="MF207" s="188"/>
      <c r="MG207" s="188"/>
      <c r="MH207" s="188"/>
      <c r="MI207" s="188"/>
      <c r="MJ207" s="188"/>
      <c r="MK207" s="188"/>
      <c r="ML207" s="188"/>
      <c r="MM207" s="188"/>
      <c r="MN207" s="188"/>
      <c r="MO207" s="188"/>
      <c r="MP207" s="188"/>
      <c r="MQ207" s="188"/>
      <c r="MR207" s="188"/>
      <c r="MS207" s="188"/>
      <c r="MT207" s="188"/>
      <c r="MU207" s="188"/>
      <c r="MV207" s="188"/>
      <c r="MW207" s="188"/>
      <c r="MX207" s="188"/>
      <c r="MY207" s="188"/>
      <c r="MZ207" s="188"/>
      <c r="NA207" s="188"/>
      <c r="NB207" s="188"/>
      <c r="NC207" s="188"/>
      <c r="ND207" s="188"/>
      <c r="NE207" s="188"/>
      <c r="NF207" s="188"/>
      <c r="NG207" s="188"/>
      <c r="NH207" s="188"/>
      <c r="NI207" s="188"/>
      <c r="NJ207" s="188"/>
      <c r="NK207" s="188"/>
      <c r="NL207" s="188"/>
      <c r="NM207" s="188"/>
      <c r="NN207" s="188"/>
      <c r="NO207" s="188"/>
      <c r="NP207" s="189"/>
      <c r="NQ207" s="187"/>
      <c r="NR207" s="188"/>
      <c r="NS207" s="188"/>
      <c r="NT207" s="188"/>
      <c r="NU207" s="189"/>
      <c r="OW207" s="12"/>
      <c r="OX207" s="7"/>
      <c r="OY207" s="3"/>
      <c r="OZ207" s="3"/>
      <c r="PA207" s="3"/>
      <c r="PB207" s="3"/>
      <c r="PC207" s="2"/>
      <c r="PQ207" s="3"/>
      <c r="PR207" s="3"/>
      <c r="PS207" s="3"/>
      <c r="PT207" s="3"/>
      <c r="PU207" s="3"/>
      <c r="PV207" s="2"/>
    </row>
    <row r="208" spans="3:438" ht="5.0999999999999996" customHeight="1" x14ac:dyDescent="0.3">
      <c r="C208" s="11"/>
      <c r="D208" s="13"/>
      <c r="Q208" s="187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E208" s="189"/>
      <c r="BF208" s="187"/>
      <c r="BG208" s="188"/>
      <c r="BH208" s="188"/>
      <c r="BI208" s="188"/>
      <c r="BJ208" s="189"/>
      <c r="LU208" s="155"/>
      <c r="MB208" s="190"/>
      <c r="MC208" s="191"/>
      <c r="MD208" s="191"/>
      <c r="ME208" s="191"/>
      <c r="MF208" s="191"/>
      <c r="MG208" s="191"/>
      <c r="MH208" s="191"/>
      <c r="MI208" s="191"/>
      <c r="MJ208" s="191"/>
      <c r="MK208" s="191"/>
      <c r="ML208" s="191"/>
      <c r="MM208" s="191"/>
      <c r="MN208" s="191"/>
      <c r="MO208" s="191"/>
      <c r="MP208" s="191"/>
      <c r="MQ208" s="191"/>
      <c r="MR208" s="191"/>
      <c r="MS208" s="191"/>
      <c r="MT208" s="191"/>
      <c r="MU208" s="191"/>
      <c r="MV208" s="191"/>
      <c r="MW208" s="191"/>
      <c r="MX208" s="191"/>
      <c r="MY208" s="191"/>
      <c r="MZ208" s="191"/>
      <c r="NA208" s="191"/>
      <c r="NB208" s="191"/>
      <c r="NC208" s="191"/>
      <c r="ND208" s="191"/>
      <c r="NE208" s="191"/>
      <c r="NF208" s="191"/>
      <c r="NG208" s="191"/>
      <c r="NH208" s="191"/>
      <c r="NI208" s="191"/>
      <c r="NJ208" s="191"/>
      <c r="NK208" s="191"/>
      <c r="NL208" s="191"/>
      <c r="NM208" s="191"/>
      <c r="NN208" s="191"/>
      <c r="NO208" s="191"/>
      <c r="NP208" s="192"/>
      <c r="NQ208" s="190"/>
      <c r="NR208" s="191"/>
      <c r="NS208" s="191"/>
      <c r="NT208" s="191"/>
      <c r="NU208" s="192"/>
      <c r="OW208" s="12"/>
      <c r="OX208" s="7"/>
    </row>
    <row r="209" spans="3:414" ht="5.0999999999999996" customHeight="1" x14ac:dyDescent="0.3">
      <c r="C209" s="11"/>
      <c r="D209" s="13"/>
      <c r="Q209" s="187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9"/>
      <c r="BF209" s="187"/>
      <c r="BG209" s="188"/>
      <c r="BH209" s="188"/>
      <c r="BI209" s="188"/>
      <c r="BJ209" s="189"/>
      <c r="LU209" s="155"/>
      <c r="OW209" s="12"/>
      <c r="OX209" s="7"/>
    </row>
    <row r="210" spans="3:414" ht="5.0999999999999996" customHeight="1" x14ac:dyDescent="0.3">
      <c r="C210" s="11"/>
      <c r="D210" s="13"/>
      <c r="Q210" s="190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2"/>
      <c r="BF210" s="190"/>
      <c r="BG210" s="191"/>
      <c r="BH210" s="191"/>
      <c r="BI210" s="191"/>
      <c r="BJ210" s="192"/>
      <c r="LU210" s="155"/>
      <c r="OW210" s="12"/>
      <c r="OX210" s="7"/>
    </row>
    <row r="211" spans="3:414" ht="5.0999999999999996" customHeight="1" x14ac:dyDescent="0.3">
      <c r="C211" s="11"/>
      <c r="D211" s="13"/>
      <c r="Q211" s="184" t="s">
        <v>48</v>
      </c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6">
        <v>10</v>
      </c>
      <c r="BF211" s="184">
        <v>2</v>
      </c>
      <c r="BG211" s="185"/>
      <c r="BH211" s="185"/>
      <c r="BI211" s="185"/>
      <c r="BJ211" s="186"/>
      <c r="LU211" s="155"/>
      <c r="MB211" s="184" t="s">
        <v>60</v>
      </c>
      <c r="MC211" s="185"/>
      <c r="MD211" s="185"/>
      <c r="ME211" s="185"/>
      <c r="MF211" s="185"/>
      <c r="MG211" s="185"/>
      <c r="MH211" s="185"/>
      <c r="MI211" s="185"/>
      <c r="MJ211" s="185"/>
      <c r="MK211" s="185"/>
      <c r="ML211" s="185"/>
      <c r="MM211" s="185"/>
      <c r="MN211" s="185"/>
      <c r="MO211" s="185"/>
      <c r="MP211" s="185"/>
      <c r="MQ211" s="185"/>
      <c r="MR211" s="185"/>
      <c r="MS211" s="185"/>
      <c r="MT211" s="185"/>
      <c r="MU211" s="185"/>
      <c r="MV211" s="185"/>
      <c r="MW211" s="185"/>
      <c r="MX211" s="185"/>
      <c r="MY211" s="185"/>
      <c r="MZ211" s="185"/>
      <c r="NA211" s="185"/>
      <c r="NB211" s="185"/>
      <c r="NC211" s="185"/>
      <c r="ND211" s="185"/>
      <c r="NE211" s="185"/>
      <c r="NF211" s="185"/>
      <c r="NG211" s="185"/>
      <c r="NH211" s="185"/>
      <c r="NI211" s="185"/>
      <c r="NJ211" s="185"/>
      <c r="NK211" s="185"/>
      <c r="NL211" s="185"/>
      <c r="NM211" s="185"/>
      <c r="NN211" s="185"/>
      <c r="NO211" s="185"/>
      <c r="NP211" s="186"/>
      <c r="NQ211" s="184">
        <v>1</v>
      </c>
      <c r="NR211" s="185"/>
      <c r="NS211" s="185"/>
      <c r="NT211" s="185"/>
      <c r="NU211" s="186"/>
      <c r="OW211" s="12"/>
      <c r="OX211" s="7"/>
    </row>
    <row r="212" spans="3:414" ht="5.0999999999999996" customHeight="1" x14ac:dyDescent="0.3">
      <c r="C212" s="11"/>
      <c r="D212" s="13"/>
      <c r="Q212" s="187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  <c r="BD212" s="188"/>
      <c r="BE212" s="189"/>
      <c r="BF212" s="187"/>
      <c r="BG212" s="188"/>
      <c r="BH212" s="188"/>
      <c r="BI212" s="188"/>
      <c r="BJ212" s="189"/>
      <c r="LU212" s="155"/>
      <c r="MB212" s="187"/>
      <c r="MC212" s="188"/>
      <c r="MD212" s="188"/>
      <c r="ME212" s="188"/>
      <c r="MF212" s="188"/>
      <c r="MG212" s="188"/>
      <c r="MH212" s="188"/>
      <c r="MI212" s="188"/>
      <c r="MJ212" s="188"/>
      <c r="MK212" s="188"/>
      <c r="ML212" s="188"/>
      <c r="MM212" s="188"/>
      <c r="MN212" s="188"/>
      <c r="MO212" s="188"/>
      <c r="MP212" s="188"/>
      <c r="MQ212" s="188"/>
      <c r="MR212" s="188"/>
      <c r="MS212" s="188"/>
      <c r="MT212" s="188"/>
      <c r="MU212" s="188"/>
      <c r="MV212" s="188"/>
      <c r="MW212" s="188"/>
      <c r="MX212" s="188"/>
      <c r="MY212" s="188"/>
      <c r="MZ212" s="188"/>
      <c r="NA212" s="188"/>
      <c r="NB212" s="188"/>
      <c r="NC212" s="188"/>
      <c r="ND212" s="188"/>
      <c r="NE212" s="188"/>
      <c r="NF212" s="188"/>
      <c r="NG212" s="188"/>
      <c r="NH212" s="188"/>
      <c r="NI212" s="188"/>
      <c r="NJ212" s="188"/>
      <c r="NK212" s="188"/>
      <c r="NL212" s="188"/>
      <c r="NM212" s="188"/>
      <c r="NN212" s="188"/>
      <c r="NO212" s="188"/>
      <c r="NP212" s="189"/>
      <c r="NQ212" s="187"/>
      <c r="NR212" s="188"/>
      <c r="NS212" s="188"/>
      <c r="NT212" s="188"/>
      <c r="NU212" s="189"/>
      <c r="OW212" s="12"/>
      <c r="OX212" s="7"/>
    </row>
    <row r="213" spans="3:414" ht="5.0999999999999996" customHeight="1" x14ac:dyDescent="0.3">
      <c r="C213" s="11"/>
      <c r="D213" s="13"/>
      <c r="Q213" s="187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  <c r="BE213" s="189"/>
      <c r="BF213" s="187"/>
      <c r="BG213" s="188"/>
      <c r="BH213" s="188"/>
      <c r="BI213" s="188"/>
      <c r="BJ213" s="189"/>
      <c r="LU213" s="155"/>
      <c r="MB213" s="187"/>
      <c r="MC213" s="188"/>
      <c r="MD213" s="188"/>
      <c r="ME213" s="188"/>
      <c r="MF213" s="188"/>
      <c r="MG213" s="188"/>
      <c r="MH213" s="188"/>
      <c r="MI213" s="188"/>
      <c r="MJ213" s="188"/>
      <c r="MK213" s="188"/>
      <c r="ML213" s="188"/>
      <c r="MM213" s="188"/>
      <c r="MN213" s="188"/>
      <c r="MO213" s="188"/>
      <c r="MP213" s="188"/>
      <c r="MQ213" s="188"/>
      <c r="MR213" s="188"/>
      <c r="MS213" s="188"/>
      <c r="MT213" s="188"/>
      <c r="MU213" s="188"/>
      <c r="MV213" s="188"/>
      <c r="MW213" s="188"/>
      <c r="MX213" s="188"/>
      <c r="MY213" s="188"/>
      <c r="MZ213" s="188"/>
      <c r="NA213" s="188"/>
      <c r="NB213" s="188"/>
      <c r="NC213" s="188"/>
      <c r="ND213" s="188"/>
      <c r="NE213" s="188"/>
      <c r="NF213" s="188"/>
      <c r="NG213" s="188"/>
      <c r="NH213" s="188"/>
      <c r="NI213" s="188"/>
      <c r="NJ213" s="188"/>
      <c r="NK213" s="188"/>
      <c r="NL213" s="188"/>
      <c r="NM213" s="188"/>
      <c r="NN213" s="188"/>
      <c r="NO213" s="188"/>
      <c r="NP213" s="189"/>
      <c r="NQ213" s="187"/>
      <c r="NR213" s="188"/>
      <c r="NS213" s="188"/>
      <c r="NT213" s="188"/>
      <c r="NU213" s="189"/>
      <c r="OW213" s="12"/>
      <c r="OX213" s="7"/>
    </row>
    <row r="214" spans="3:414" ht="5.0999999999999996" customHeight="1" x14ac:dyDescent="0.3">
      <c r="C214" s="11"/>
      <c r="D214" s="13"/>
      <c r="Q214" s="187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  <c r="BD214" s="188"/>
      <c r="BE214" s="189"/>
      <c r="BF214" s="187"/>
      <c r="BG214" s="188"/>
      <c r="BH214" s="188"/>
      <c r="BI214" s="188"/>
      <c r="BJ214" s="189"/>
      <c r="LU214" s="155"/>
      <c r="MB214" s="187"/>
      <c r="MC214" s="188"/>
      <c r="MD214" s="188"/>
      <c r="ME214" s="188"/>
      <c r="MF214" s="188"/>
      <c r="MG214" s="188"/>
      <c r="MH214" s="188"/>
      <c r="MI214" s="188"/>
      <c r="MJ214" s="188"/>
      <c r="MK214" s="188"/>
      <c r="ML214" s="188"/>
      <c r="MM214" s="188"/>
      <c r="MN214" s="188"/>
      <c r="MO214" s="188"/>
      <c r="MP214" s="188"/>
      <c r="MQ214" s="188"/>
      <c r="MR214" s="188"/>
      <c r="MS214" s="188"/>
      <c r="MT214" s="188"/>
      <c r="MU214" s="188"/>
      <c r="MV214" s="188"/>
      <c r="MW214" s="188"/>
      <c r="MX214" s="188"/>
      <c r="MY214" s="188"/>
      <c r="MZ214" s="188"/>
      <c r="NA214" s="188"/>
      <c r="NB214" s="188"/>
      <c r="NC214" s="188"/>
      <c r="ND214" s="188"/>
      <c r="NE214" s="188"/>
      <c r="NF214" s="188"/>
      <c r="NG214" s="188"/>
      <c r="NH214" s="188"/>
      <c r="NI214" s="188"/>
      <c r="NJ214" s="188"/>
      <c r="NK214" s="188"/>
      <c r="NL214" s="188"/>
      <c r="NM214" s="188"/>
      <c r="NN214" s="188"/>
      <c r="NO214" s="188"/>
      <c r="NP214" s="189"/>
      <c r="NQ214" s="187"/>
      <c r="NR214" s="188"/>
      <c r="NS214" s="188"/>
      <c r="NT214" s="188"/>
      <c r="NU214" s="189"/>
      <c r="OW214" s="12"/>
      <c r="OX214" s="7"/>
    </row>
    <row r="215" spans="3:414" ht="5.0999999999999996" customHeight="1" x14ac:dyDescent="0.3">
      <c r="C215" s="11"/>
      <c r="D215" s="13"/>
      <c r="Q215" s="187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  <c r="BD215" s="188"/>
      <c r="BE215" s="189"/>
      <c r="BF215" s="187"/>
      <c r="BG215" s="188"/>
      <c r="BH215" s="188"/>
      <c r="BI215" s="188"/>
      <c r="BJ215" s="189"/>
      <c r="LU215" s="155"/>
      <c r="MB215" s="187"/>
      <c r="MC215" s="188"/>
      <c r="MD215" s="188"/>
      <c r="ME215" s="188"/>
      <c r="MF215" s="188"/>
      <c r="MG215" s="188"/>
      <c r="MH215" s="188"/>
      <c r="MI215" s="188"/>
      <c r="MJ215" s="188"/>
      <c r="MK215" s="188"/>
      <c r="ML215" s="188"/>
      <c r="MM215" s="188"/>
      <c r="MN215" s="188"/>
      <c r="MO215" s="188"/>
      <c r="MP215" s="188"/>
      <c r="MQ215" s="188"/>
      <c r="MR215" s="188"/>
      <c r="MS215" s="188"/>
      <c r="MT215" s="188"/>
      <c r="MU215" s="188"/>
      <c r="MV215" s="188"/>
      <c r="MW215" s="188"/>
      <c r="MX215" s="188"/>
      <c r="MY215" s="188"/>
      <c r="MZ215" s="188"/>
      <c r="NA215" s="188"/>
      <c r="NB215" s="188"/>
      <c r="NC215" s="188"/>
      <c r="ND215" s="188"/>
      <c r="NE215" s="188"/>
      <c r="NF215" s="188"/>
      <c r="NG215" s="188"/>
      <c r="NH215" s="188"/>
      <c r="NI215" s="188"/>
      <c r="NJ215" s="188"/>
      <c r="NK215" s="188"/>
      <c r="NL215" s="188"/>
      <c r="NM215" s="188"/>
      <c r="NN215" s="188"/>
      <c r="NO215" s="188"/>
      <c r="NP215" s="189"/>
      <c r="NQ215" s="187"/>
      <c r="NR215" s="188"/>
      <c r="NS215" s="188"/>
      <c r="NT215" s="188"/>
      <c r="NU215" s="189"/>
      <c r="OW215" s="12"/>
      <c r="OX215" s="7"/>
    </row>
    <row r="216" spans="3:414" ht="5.0999999999999996" customHeight="1" x14ac:dyDescent="0.3">
      <c r="C216" s="11"/>
      <c r="D216" s="13"/>
      <c r="Q216" s="187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  <c r="BD216" s="188"/>
      <c r="BE216" s="189"/>
      <c r="BF216" s="187"/>
      <c r="BG216" s="188"/>
      <c r="BH216" s="188"/>
      <c r="BI216" s="188"/>
      <c r="BJ216" s="189"/>
      <c r="LU216" s="155"/>
      <c r="MB216" s="187"/>
      <c r="MC216" s="188"/>
      <c r="MD216" s="188"/>
      <c r="ME216" s="188"/>
      <c r="MF216" s="188"/>
      <c r="MG216" s="188"/>
      <c r="MH216" s="188"/>
      <c r="MI216" s="188"/>
      <c r="MJ216" s="188"/>
      <c r="MK216" s="188"/>
      <c r="ML216" s="188"/>
      <c r="MM216" s="188"/>
      <c r="MN216" s="188"/>
      <c r="MO216" s="188"/>
      <c r="MP216" s="188"/>
      <c r="MQ216" s="188"/>
      <c r="MR216" s="188"/>
      <c r="MS216" s="188"/>
      <c r="MT216" s="188"/>
      <c r="MU216" s="188"/>
      <c r="MV216" s="188"/>
      <c r="MW216" s="188"/>
      <c r="MX216" s="188"/>
      <c r="MY216" s="188"/>
      <c r="MZ216" s="188"/>
      <c r="NA216" s="188"/>
      <c r="NB216" s="188"/>
      <c r="NC216" s="188"/>
      <c r="ND216" s="188"/>
      <c r="NE216" s="188"/>
      <c r="NF216" s="188"/>
      <c r="NG216" s="188"/>
      <c r="NH216" s="188"/>
      <c r="NI216" s="188"/>
      <c r="NJ216" s="188"/>
      <c r="NK216" s="188"/>
      <c r="NL216" s="188"/>
      <c r="NM216" s="188"/>
      <c r="NN216" s="188"/>
      <c r="NO216" s="188"/>
      <c r="NP216" s="189"/>
      <c r="NQ216" s="187"/>
      <c r="NR216" s="188"/>
      <c r="NS216" s="188"/>
      <c r="NT216" s="188"/>
      <c r="NU216" s="189"/>
      <c r="OW216" s="12"/>
      <c r="OX216" s="7"/>
    </row>
    <row r="217" spans="3:414" ht="5.0999999999999996" customHeight="1" x14ac:dyDescent="0.3">
      <c r="C217" s="11"/>
      <c r="D217" s="13"/>
      <c r="Q217" s="187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  <c r="BD217" s="188"/>
      <c r="BE217" s="189"/>
      <c r="BF217" s="187"/>
      <c r="BG217" s="188"/>
      <c r="BH217" s="188"/>
      <c r="BI217" s="188"/>
      <c r="BJ217" s="189"/>
      <c r="LU217" s="155"/>
      <c r="MB217" s="187"/>
      <c r="MC217" s="188"/>
      <c r="MD217" s="188"/>
      <c r="ME217" s="188"/>
      <c r="MF217" s="188"/>
      <c r="MG217" s="188"/>
      <c r="MH217" s="188"/>
      <c r="MI217" s="188"/>
      <c r="MJ217" s="188"/>
      <c r="MK217" s="188"/>
      <c r="ML217" s="188"/>
      <c r="MM217" s="188"/>
      <c r="MN217" s="188"/>
      <c r="MO217" s="188"/>
      <c r="MP217" s="188"/>
      <c r="MQ217" s="188"/>
      <c r="MR217" s="188"/>
      <c r="MS217" s="188"/>
      <c r="MT217" s="188"/>
      <c r="MU217" s="188"/>
      <c r="MV217" s="188"/>
      <c r="MW217" s="188"/>
      <c r="MX217" s="188"/>
      <c r="MY217" s="188"/>
      <c r="MZ217" s="188"/>
      <c r="NA217" s="188"/>
      <c r="NB217" s="188"/>
      <c r="NC217" s="188"/>
      <c r="ND217" s="188"/>
      <c r="NE217" s="188"/>
      <c r="NF217" s="188"/>
      <c r="NG217" s="188"/>
      <c r="NH217" s="188"/>
      <c r="NI217" s="188"/>
      <c r="NJ217" s="188"/>
      <c r="NK217" s="188"/>
      <c r="NL217" s="188"/>
      <c r="NM217" s="188"/>
      <c r="NN217" s="188"/>
      <c r="NO217" s="188"/>
      <c r="NP217" s="189"/>
      <c r="NQ217" s="187"/>
      <c r="NR217" s="188"/>
      <c r="NS217" s="188"/>
      <c r="NT217" s="188"/>
      <c r="NU217" s="189"/>
      <c r="OW217" s="12"/>
      <c r="OX217" s="7"/>
    </row>
    <row r="218" spans="3:414" ht="5.0999999999999996" customHeight="1" x14ac:dyDescent="0.3">
      <c r="C218" s="11"/>
      <c r="D218" s="13"/>
      <c r="Q218" s="187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  <c r="BD218" s="188"/>
      <c r="BE218" s="189"/>
      <c r="BF218" s="187"/>
      <c r="BG218" s="188"/>
      <c r="BH218" s="188"/>
      <c r="BI218" s="188"/>
      <c r="BJ218" s="189"/>
      <c r="LU218" s="155"/>
      <c r="MB218" s="187"/>
      <c r="MC218" s="188"/>
      <c r="MD218" s="188"/>
      <c r="ME218" s="188"/>
      <c r="MF218" s="188"/>
      <c r="MG218" s="188"/>
      <c r="MH218" s="188"/>
      <c r="MI218" s="188"/>
      <c r="MJ218" s="188"/>
      <c r="MK218" s="188"/>
      <c r="ML218" s="188"/>
      <c r="MM218" s="188"/>
      <c r="MN218" s="188"/>
      <c r="MO218" s="188"/>
      <c r="MP218" s="188"/>
      <c r="MQ218" s="188"/>
      <c r="MR218" s="188"/>
      <c r="MS218" s="188"/>
      <c r="MT218" s="188"/>
      <c r="MU218" s="188"/>
      <c r="MV218" s="188"/>
      <c r="MW218" s="188"/>
      <c r="MX218" s="188"/>
      <c r="MY218" s="188"/>
      <c r="MZ218" s="188"/>
      <c r="NA218" s="188"/>
      <c r="NB218" s="188"/>
      <c r="NC218" s="188"/>
      <c r="ND218" s="188"/>
      <c r="NE218" s="188"/>
      <c r="NF218" s="188"/>
      <c r="NG218" s="188"/>
      <c r="NH218" s="188"/>
      <c r="NI218" s="188"/>
      <c r="NJ218" s="188"/>
      <c r="NK218" s="188"/>
      <c r="NL218" s="188"/>
      <c r="NM218" s="188"/>
      <c r="NN218" s="188"/>
      <c r="NO218" s="188"/>
      <c r="NP218" s="189"/>
      <c r="NQ218" s="187"/>
      <c r="NR218" s="188"/>
      <c r="NS218" s="188"/>
      <c r="NT218" s="188"/>
      <c r="NU218" s="189"/>
      <c r="OW218" s="12"/>
      <c r="OX218" s="7"/>
    </row>
    <row r="219" spans="3:414" ht="5.0999999999999996" customHeight="1" x14ac:dyDescent="0.3">
      <c r="C219" s="11"/>
      <c r="D219" s="13"/>
      <c r="Q219" s="187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  <c r="BD219" s="188"/>
      <c r="BE219" s="189"/>
      <c r="BF219" s="187"/>
      <c r="BG219" s="188"/>
      <c r="BH219" s="188"/>
      <c r="BI219" s="188"/>
      <c r="BJ219" s="189"/>
      <c r="LU219" s="155"/>
      <c r="MB219" s="187"/>
      <c r="MC219" s="188"/>
      <c r="MD219" s="188"/>
      <c r="ME219" s="188"/>
      <c r="MF219" s="188"/>
      <c r="MG219" s="188"/>
      <c r="MH219" s="188"/>
      <c r="MI219" s="188"/>
      <c r="MJ219" s="188"/>
      <c r="MK219" s="188"/>
      <c r="ML219" s="188"/>
      <c r="MM219" s="188"/>
      <c r="MN219" s="188"/>
      <c r="MO219" s="188"/>
      <c r="MP219" s="188"/>
      <c r="MQ219" s="188"/>
      <c r="MR219" s="188"/>
      <c r="MS219" s="188"/>
      <c r="MT219" s="188"/>
      <c r="MU219" s="188"/>
      <c r="MV219" s="188"/>
      <c r="MW219" s="188"/>
      <c r="MX219" s="188"/>
      <c r="MY219" s="188"/>
      <c r="MZ219" s="188"/>
      <c r="NA219" s="188"/>
      <c r="NB219" s="188"/>
      <c r="NC219" s="188"/>
      <c r="ND219" s="188"/>
      <c r="NE219" s="188"/>
      <c r="NF219" s="188"/>
      <c r="NG219" s="188"/>
      <c r="NH219" s="188"/>
      <c r="NI219" s="188"/>
      <c r="NJ219" s="188"/>
      <c r="NK219" s="188"/>
      <c r="NL219" s="188"/>
      <c r="NM219" s="188"/>
      <c r="NN219" s="188"/>
      <c r="NO219" s="188"/>
      <c r="NP219" s="189"/>
      <c r="NQ219" s="187"/>
      <c r="NR219" s="188"/>
      <c r="NS219" s="188"/>
      <c r="NT219" s="188"/>
      <c r="NU219" s="189"/>
      <c r="OW219" s="12"/>
      <c r="OX219" s="7"/>
    </row>
    <row r="220" spans="3:414" ht="5.0999999999999996" customHeight="1" x14ac:dyDescent="0.3">
      <c r="C220" s="11"/>
      <c r="D220" s="13"/>
      <c r="Q220" s="190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2"/>
      <c r="BF220" s="190"/>
      <c r="BG220" s="191"/>
      <c r="BH220" s="191"/>
      <c r="BI220" s="191"/>
      <c r="BJ220" s="192"/>
      <c r="LU220" s="155"/>
      <c r="MB220" s="190"/>
      <c r="MC220" s="191"/>
      <c r="MD220" s="191"/>
      <c r="ME220" s="191"/>
      <c r="MF220" s="191"/>
      <c r="MG220" s="191"/>
      <c r="MH220" s="191"/>
      <c r="MI220" s="191"/>
      <c r="MJ220" s="191"/>
      <c r="MK220" s="191"/>
      <c r="ML220" s="191"/>
      <c r="MM220" s="191"/>
      <c r="MN220" s="191"/>
      <c r="MO220" s="191"/>
      <c r="MP220" s="191"/>
      <c r="MQ220" s="191"/>
      <c r="MR220" s="191"/>
      <c r="MS220" s="191"/>
      <c r="MT220" s="191"/>
      <c r="MU220" s="191"/>
      <c r="MV220" s="191"/>
      <c r="MW220" s="191"/>
      <c r="MX220" s="191"/>
      <c r="MY220" s="191"/>
      <c r="MZ220" s="191"/>
      <c r="NA220" s="191"/>
      <c r="NB220" s="191"/>
      <c r="NC220" s="191"/>
      <c r="ND220" s="191"/>
      <c r="NE220" s="191"/>
      <c r="NF220" s="191"/>
      <c r="NG220" s="191"/>
      <c r="NH220" s="191"/>
      <c r="NI220" s="191"/>
      <c r="NJ220" s="191"/>
      <c r="NK220" s="191"/>
      <c r="NL220" s="191"/>
      <c r="NM220" s="191"/>
      <c r="NN220" s="191"/>
      <c r="NO220" s="191"/>
      <c r="NP220" s="192"/>
      <c r="NQ220" s="190"/>
      <c r="NR220" s="191"/>
      <c r="NS220" s="191"/>
      <c r="NT220" s="191"/>
      <c r="NU220" s="192"/>
      <c r="OW220" s="12"/>
      <c r="OX220" s="7"/>
    </row>
    <row r="221" spans="3:414" ht="5.0999999999999996" customHeight="1" x14ac:dyDescent="0.3">
      <c r="C221" s="11"/>
      <c r="D221" s="13"/>
      <c r="Q221" s="195" t="s">
        <v>27</v>
      </c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7">
        <v>10</v>
      </c>
      <c r="BF221" s="184"/>
      <c r="BG221" s="185"/>
      <c r="BH221" s="185"/>
      <c r="BI221" s="185"/>
      <c r="BJ221" s="186"/>
      <c r="LU221" s="155"/>
      <c r="MY221" s="151"/>
      <c r="OW221" s="12"/>
      <c r="OX221" s="7"/>
    </row>
    <row r="222" spans="3:414" ht="5.0999999999999996" customHeight="1" x14ac:dyDescent="0.3">
      <c r="C222" s="11"/>
      <c r="D222" s="13"/>
      <c r="Q222" s="198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199"/>
      <c r="AM222" s="199"/>
      <c r="AN222" s="199"/>
      <c r="AO222" s="199"/>
      <c r="AP222" s="199"/>
      <c r="AQ222" s="199"/>
      <c r="AR222" s="199"/>
      <c r="AS222" s="199"/>
      <c r="AT222" s="199"/>
      <c r="AU222" s="199"/>
      <c r="AV222" s="199"/>
      <c r="AW222" s="199"/>
      <c r="AX222" s="199"/>
      <c r="AY222" s="199"/>
      <c r="AZ222" s="199"/>
      <c r="BA222" s="199"/>
      <c r="BB222" s="199"/>
      <c r="BC222" s="199"/>
      <c r="BD222" s="199"/>
      <c r="BE222" s="200"/>
      <c r="BF222" s="187"/>
      <c r="BG222" s="188"/>
      <c r="BH222" s="188"/>
      <c r="BI222" s="188"/>
      <c r="BJ222" s="189"/>
      <c r="LU222" s="155"/>
      <c r="MB222" s="184" t="s">
        <v>58</v>
      </c>
      <c r="MC222" s="185"/>
      <c r="MD222" s="185"/>
      <c r="ME222" s="185"/>
      <c r="MF222" s="185"/>
      <c r="MG222" s="185"/>
      <c r="MH222" s="185"/>
      <c r="MI222" s="185"/>
      <c r="MJ222" s="185"/>
      <c r="MK222" s="185"/>
      <c r="ML222" s="185"/>
      <c r="MM222" s="185"/>
      <c r="MN222" s="185"/>
      <c r="MO222" s="185"/>
      <c r="MP222" s="185"/>
      <c r="MQ222" s="185"/>
      <c r="MR222" s="185"/>
      <c r="MS222" s="185"/>
      <c r="MT222" s="185"/>
      <c r="MU222" s="185"/>
      <c r="MV222" s="185"/>
      <c r="MW222" s="185"/>
      <c r="MX222" s="185"/>
      <c r="MY222" s="185"/>
      <c r="MZ222" s="185"/>
      <c r="NA222" s="185"/>
      <c r="NB222" s="185"/>
      <c r="NC222" s="185"/>
      <c r="ND222" s="185"/>
      <c r="NE222" s="185"/>
      <c r="NF222" s="185"/>
      <c r="NG222" s="185"/>
      <c r="NH222" s="185"/>
      <c r="NI222" s="185"/>
      <c r="NJ222" s="185"/>
      <c r="NK222" s="185"/>
      <c r="NL222" s="185"/>
      <c r="NM222" s="185"/>
      <c r="NN222" s="185"/>
      <c r="NO222" s="185"/>
      <c r="NP222" s="186"/>
      <c r="NQ222" s="184">
        <v>1</v>
      </c>
      <c r="NR222" s="185"/>
      <c r="NS222" s="185"/>
      <c r="NT222" s="185"/>
      <c r="NU222" s="186"/>
      <c r="OW222" s="12"/>
      <c r="OX222" s="7"/>
    </row>
    <row r="223" spans="3:414" ht="5.0999999999999996" customHeight="1" x14ac:dyDescent="0.3">
      <c r="C223" s="11"/>
      <c r="D223" s="13"/>
      <c r="Q223" s="198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199"/>
      <c r="AM223" s="199"/>
      <c r="AN223" s="199"/>
      <c r="AO223" s="199"/>
      <c r="AP223" s="199"/>
      <c r="AQ223" s="199"/>
      <c r="AR223" s="199"/>
      <c r="AS223" s="199"/>
      <c r="AT223" s="199"/>
      <c r="AU223" s="199"/>
      <c r="AV223" s="199"/>
      <c r="AW223" s="199"/>
      <c r="AX223" s="199"/>
      <c r="AY223" s="199"/>
      <c r="AZ223" s="199"/>
      <c r="BA223" s="199"/>
      <c r="BB223" s="199"/>
      <c r="BC223" s="199"/>
      <c r="BD223" s="199"/>
      <c r="BE223" s="200"/>
      <c r="BF223" s="187"/>
      <c r="BG223" s="188"/>
      <c r="BH223" s="188"/>
      <c r="BI223" s="188"/>
      <c r="BJ223" s="189"/>
      <c r="LU223" s="155"/>
      <c r="MB223" s="187"/>
      <c r="MC223" s="188"/>
      <c r="MD223" s="188"/>
      <c r="ME223" s="188"/>
      <c r="MF223" s="188"/>
      <c r="MG223" s="188"/>
      <c r="MH223" s="188"/>
      <c r="MI223" s="188"/>
      <c r="MJ223" s="188"/>
      <c r="MK223" s="188"/>
      <c r="ML223" s="188"/>
      <c r="MM223" s="188"/>
      <c r="MN223" s="188"/>
      <c r="MO223" s="188"/>
      <c r="MP223" s="188"/>
      <c r="MQ223" s="188"/>
      <c r="MR223" s="188"/>
      <c r="MS223" s="188"/>
      <c r="MT223" s="188"/>
      <c r="MU223" s="188"/>
      <c r="MV223" s="188"/>
      <c r="MW223" s="188"/>
      <c r="MX223" s="188"/>
      <c r="MY223" s="188"/>
      <c r="MZ223" s="188"/>
      <c r="NA223" s="188"/>
      <c r="NB223" s="188"/>
      <c r="NC223" s="188"/>
      <c r="ND223" s="188"/>
      <c r="NE223" s="188"/>
      <c r="NF223" s="188"/>
      <c r="NG223" s="188"/>
      <c r="NH223" s="188"/>
      <c r="NI223" s="188"/>
      <c r="NJ223" s="188"/>
      <c r="NK223" s="188"/>
      <c r="NL223" s="188"/>
      <c r="NM223" s="188"/>
      <c r="NN223" s="188"/>
      <c r="NO223" s="188"/>
      <c r="NP223" s="189"/>
      <c r="NQ223" s="187"/>
      <c r="NR223" s="188"/>
      <c r="NS223" s="188"/>
      <c r="NT223" s="188"/>
      <c r="NU223" s="189"/>
      <c r="OW223" s="12"/>
      <c r="OX223" s="7"/>
    </row>
    <row r="224" spans="3:414" ht="5.0999999999999996" customHeight="1" x14ac:dyDescent="0.3">
      <c r="C224" s="11"/>
      <c r="D224" s="13"/>
      <c r="Q224" s="198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199"/>
      <c r="AM224" s="199"/>
      <c r="AN224" s="199"/>
      <c r="AO224" s="199"/>
      <c r="AP224" s="199"/>
      <c r="AQ224" s="199"/>
      <c r="AR224" s="199"/>
      <c r="AS224" s="199"/>
      <c r="AT224" s="199"/>
      <c r="AU224" s="199"/>
      <c r="AV224" s="199"/>
      <c r="AW224" s="199"/>
      <c r="AX224" s="199"/>
      <c r="AY224" s="199"/>
      <c r="AZ224" s="199"/>
      <c r="BA224" s="199"/>
      <c r="BB224" s="199"/>
      <c r="BC224" s="199"/>
      <c r="BD224" s="199"/>
      <c r="BE224" s="200"/>
      <c r="BF224" s="187"/>
      <c r="BG224" s="188"/>
      <c r="BH224" s="188"/>
      <c r="BI224" s="188"/>
      <c r="BJ224" s="189"/>
      <c r="LU224" s="155"/>
      <c r="MB224" s="187"/>
      <c r="MC224" s="188"/>
      <c r="MD224" s="188"/>
      <c r="ME224" s="188"/>
      <c r="MF224" s="188"/>
      <c r="MG224" s="188"/>
      <c r="MH224" s="188"/>
      <c r="MI224" s="188"/>
      <c r="MJ224" s="188"/>
      <c r="MK224" s="188"/>
      <c r="ML224" s="188"/>
      <c r="MM224" s="188"/>
      <c r="MN224" s="188"/>
      <c r="MO224" s="188"/>
      <c r="MP224" s="188"/>
      <c r="MQ224" s="188"/>
      <c r="MR224" s="188"/>
      <c r="MS224" s="188"/>
      <c r="MT224" s="188"/>
      <c r="MU224" s="188"/>
      <c r="MV224" s="188"/>
      <c r="MW224" s="188"/>
      <c r="MX224" s="188"/>
      <c r="MY224" s="188"/>
      <c r="MZ224" s="188"/>
      <c r="NA224" s="188"/>
      <c r="NB224" s="188"/>
      <c r="NC224" s="188"/>
      <c r="ND224" s="188"/>
      <c r="NE224" s="188"/>
      <c r="NF224" s="188"/>
      <c r="NG224" s="188"/>
      <c r="NH224" s="188"/>
      <c r="NI224" s="188"/>
      <c r="NJ224" s="188"/>
      <c r="NK224" s="188"/>
      <c r="NL224" s="188"/>
      <c r="NM224" s="188"/>
      <c r="NN224" s="188"/>
      <c r="NO224" s="188"/>
      <c r="NP224" s="189"/>
      <c r="NQ224" s="187"/>
      <c r="NR224" s="188"/>
      <c r="NS224" s="188"/>
      <c r="NT224" s="188"/>
      <c r="NU224" s="189"/>
      <c r="OW224" s="12"/>
      <c r="OX224" s="7"/>
    </row>
    <row r="225" spans="3:414" ht="5.0999999999999996" customHeight="1" x14ac:dyDescent="0.3">
      <c r="C225" s="11"/>
      <c r="D225" s="13"/>
      <c r="Q225" s="198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199"/>
      <c r="AM225" s="199"/>
      <c r="AN225" s="199"/>
      <c r="AO225" s="199"/>
      <c r="AP225" s="199"/>
      <c r="AQ225" s="199"/>
      <c r="AR225" s="199"/>
      <c r="AS225" s="199"/>
      <c r="AT225" s="199"/>
      <c r="AU225" s="199"/>
      <c r="AV225" s="199"/>
      <c r="AW225" s="199"/>
      <c r="AX225" s="199"/>
      <c r="AY225" s="199"/>
      <c r="AZ225" s="199"/>
      <c r="BA225" s="199"/>
      <c r="BB225" s="199"/>
      <c r="BC225" s="199"/>
      <c r="BD225" s="199"/>
      <c r="BE225" s="200"/>
      <c r="BF225" s="187"/>
      <c r="BG225" s="188"/>
      <c r="BH225" s="188"/>
      <c r="BI225" s="188"/>
      <c r="BJ225" s="189"/>
      <c r="LU225" s="155"/>
      <c r="MB225" s="187"/>
      <c r="MC225" s="188"/>
      <c r="MD225" s="188"/>
      <c r="ME225" s="188"/>
      <c r="MF225" s="188"/>
      <c r="MG225" s="188"/>
      <c r="MH225" s="188"/>
      <c r="MI225" s="188"/>
      <c r="MJ225" s="188"/>
      <c r="MK225" s="188"/>
      <c r="ML225" s="188"/>
      <c r="MM225" s="188"/>
      <c r="MN225" s="188"/>
      <c r="MO225" s="188"/>
      <c r="MP225" s="188"/>
      <c r="MQ225" s="188"/>
      <c r="MR225" s="188"/>
      <c r="MS225" s="188"/>
      <c r="MT225" s="188"/>
      <c r="MU225" s="188"/>
      <c r="MV225" s="188"/>
      <c r="MW225" s="188"/>
      <c r="MX225" s="188"/>
      <c r="MY225" s="188"/>
      <c r="MZ225" s="188"/>
      <c r="NA225" s="188"/>
      <c r="NB225" s="188"/>
      <c r="NC225" s="188"/>
      <c r="ND225" s="188"/>
      <c r="NE225" s="188"/>
      <c r="NF225" s="188"/>
      <c r="NG225" s="188"/>
      <c r="NH225" s="188"/>
      <c r="NI225" s="188"/>
      <c r="NJ225" s="188"/>
      <c r="NK225" s="188"/>
      <c r="NL225" s="188"/>
      <c r="NM225" s="188"/>
      <c r="NN225" s="188"/>
      <c r="NO225" s="188"/>
      <c r="NP225" s="189"/>
      <c r="NQ225" s="187"/>
      <c r="NR225" s="188"/>
      <c r="NS225" s="188"/>
      <c r="NT225" s="188"/>
      <c r="NU225" s="189"/>
      <c r="OW225" s="12"/>
      <c r="OX225" s="7"/>
    </row>
    <row r="226" spans="3:414" ht="5.0999999999999996" customHeight="1" x14ac:dyDescent="0.3">
      <c r="C226" s="11"/>
      <c r="D226" s="13"/>
      <c r="Q226" s="198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199"/>
      <c r="AU226" s="199"/>
      <c r="AV226" s="199"/>
      <c r="AW226" s="199"/>
      <c r="AX226" s="199"/>
      <c r="AY226" s="199"/>
      <c r="AZ226" s="199"/>
      <c r="BA226" s="199"/>
      <c r="BB226" s="199"/>
      <c r="BC226" s="199"/>
      <c r="BD226" s="199"/>
      <c r="BE226" s="200"/>
      <c r="BF226" s="187"/>
      <c r="BG226" s="188"/>
      <c r="BH226" s="188"/>
      <c r="BI226" s="188"/>
      <c r="BJ226" s="189"/>
      <c r="LU226" s="155"/>
      <c r="MB226" s="187"/>
      <c r="MC226" s="188"/>
      <c r="MD226" s="188"/>
      <c r="ME226" s="188"/>
      <c r="MF226" s="188"/>
      <c r="MG226" s="188"/>
      <c r="MH226" s="188"/>
      <c r="MI226" s="188"/>
      <c r="MJ226" s="188"/>
      <c r="MK226" s="188"/>
      <c r="ML226" s="188"/>
      <c r="MM226" s="188"/>
      <c r="MN226" s="188"/>
      <c r="MO226" s="188"/>
      <c r="MP226" s="188"/>
      <c r="MQ226" s="188"/>
      <c r="MR226" s="188"/>
      <c r="MS226" s="188"/>
      <c r="MT226" s="188"/>
      <c r="MU226" s="188"/>
      <c r="MV226" s="188"/>
      <c r="MW226" s="188"/>
      <c r="MX226" s="188"/>
      <c r="MY226" s="188"/>
      <c r="MZ226" s="188"/>
      <c r="NA226" s="188"/>
      <c r="NB226" s="188"/>
      <c r="NC226" s="188"/>
      <c r="ND226" s="188"/>
      <c r="NE226" s="188"/>
      <c r="NF226" s="188"/>
      <c r="NG226" s="188"/>
      <c r="NH226" s="188"/>
      <c r="NI226" s="188"/>
      <c r="NJ226" s="188"/>
      <c r="NK226" s="188"/>
      <c r="NL226" s="188"/>
      <c r="NM226" s="188"/>
      <c r="NN226" s="188"/>
      <c r="NO226" s="188"/>
      <c r="NP226" s="189"/>
      <c r="NQ226" s="187"/>
      <c r="NR226" s="188"/>
      <c r="NS226" s="188"/>
      <c r="NT226" s="188"/>
      <c r="NU226" s="189"/>
      <c r="OW226" s="12"/>
      <c r="OX226" s="7"/>
    </row>
    <row r="227" spans="3:414" ht="5.0999999999999996" customHeight="1" x14ac:dyDescent="0.3">
      <c r="C227" s="11"/>
      <c r="D227" s="13"/>
      <c r="Q227" s="198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  <c r="AS227" s="199"/>
      <c r="AT227" s="199"/>
      <c r="AU227" s="199"/>
      <c r="AV227" s="199"/>
      <c r="AW227" s="199"/>
      <c r="AX227" s="199"/>
      <c r="AY227" s="199"/>
      <c r="AZ227" s="199"/>
      <c r="BA227" s="199"/>
      <c r="BB227" s="199"/>
      <c r="BC227" s="199"/>
      <c r="BD227" s="199"/>
      <c r="BE227" s="200"/>
      <c r="BF227" s="187"/>
      <c r="BG227" s="188"/>
      <c r="BH227" s="188"/>
      <c r="BI227" s="188"/>
      <c r="BJ227" s="189"/>
      <c r="LU227" s="155"/>
      <c r="MB227" s="187"/>
      <c r="MC227" s="188"/>
      <c r="MD227" s="188"/>
      <c r="ME227" s="188"/>
      <c r="MF227" s="188"/>
      <c r="MG227" s="188"/>
      <c r="MH227" s="188"/>
      <c r="MI227" s="188"/>
      <c r="MJ227" s="188"/>
      <c r="MK227" s="188"/>
      <c r="ML227" s="188"/>
      <c r="MM227" s="188"/>
      <c r="MN227" s="188"/>
      <c r="MO227" s="188"/>
      <c r="MP227" s="188"/>
      <c r="MQ227" s="188"/>
      <c r="MR227" s="188"/>
      <c r="MS227" s="188"/>
      <c r="MT227" s="188"/>
      <c r="MU227" s="188"/>
      <c r="MV227" s="188"/>
      <c r="MW227" s="188"/>
      <c r="MX227" s="188"/>
      <c r="MY227" s="188"/>
      <c r="MZ227" s="188"/>
      <c r="NA227" s="188"/>
      <c r="NB227" s="188"/>
      <c r="NC227" s="188"/>
      <c r="ND227" s="188"/>
      <c r="NE227" s="188"/>
      <c r="NF227" s="188"/>
      <c r="NG227" s="188"/>
      <c r="NH227" s="188"/>
      <c r="NI227" s="188"/>
      <c r="NJ227" s="188"/>
      <c r="NK227" s="188"/>
      <c r="NL227" s="188"/>
      <c r="NM227" s="188"/>
      <c r="NN227" s="188"/>
      <c r="NO227" s="188"/>
      <c r="NP227" s="189"/>
      <c r="NQ227" s="187"/>
      <c r="NR227" s="188"/>
      <c r="NS227" s="188"/>
      <c r="NT227" s="188"/>
      <c r="NU227" s="189"/>
      <c r="OW227" s="12"/>
      <c r="OX227" s="7"/>
    </row>
    <row r="228" spans="3:414" ht="5.0999999999999996" customHeight="1" x14ac:dyDescent="0.3">
      <c r="C228" s="11"/>
      <c r="D228" s="13"/>
      <c r="Q228" s="198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199"/>
      <c r="AM228" s="199"/>
      <c r="AN228" s="199"/>
      <c r="AO228" s="199"/>
      <c r="AP228" s="199"/>
      <c r="AQ228" s="199"/>
      <c r="AR228" s="199"/>
      <c r="AS228" s="199"/>
      <c r="AT228" s="199"/>
      <c r="AU228" s="199"/>
      <c r="AV228" s="199"/>
      <c r="AW228" s="199"/>
      <c r="AX228" s="199"/>
      <c r="AY228" s="199"/>
      <c r="AZ228" s="199"/>
      <c r="BA228" s="199"/>
      <c r="BB228" s="199"/>
      <c r="BC228" s="199"/>
      <c r="BD228" s="199"/>
      <c r="BE228" s="200"/>
      <c r="BF228" s="187"/>
      <c r="BG228" s="188"/>
      <c r="BH228" s="188"/>
      <c r="BI228" s="188"/>
      <c r="BJ228" s="189"/>
      <c r="LU228" s="155"/>
      <c r="MB228" s="187"/>
      <c r="MC228" s="188"/>
      <c r="MD228" s="188"/>
      <c r="ME228" s="188"/>
      <c r="MF228" s="188"/>
      <c r="MG228" s="188"/>
      <c r="MH228" s="188"/>
      <c r="MI228" s="188"/>
      <c r="MJ228" s="188"/>
      <c r="MK228" s="188"/>
      <c r="ML228" s="188"/>
      <c r="MM228" s="188"/>
      <c r="MN228" s="188"/>
      <c r="MO228" s="188"/>
      <c r="MP228" s="188"/>
      <c r="MQ228" s="188"/>
      <c r="MR228" s="188"/>
      <c r="MS228" s="188"/>
      <c r="MT228" s="188"/>
      <c r="MU228" s="188"/>
      <c r="MV228" s="188"/>
      <c r="MW228" s="188"/>
      <c r="MX228" s="188"/>
      <c r="MY228" s="188"/>
      <c r="MZ228" s="188"/>
      <c r="NA228" s="188"/>
      <c r="NB228" s="188"/>
      <c r="NC228" s="188"/>
      <c r="ND228" s="188"/>
      <c r="NE228" s="188"/>
      <c r="NF228" s="188"/>
      <c r="NG228" s="188"/>
      <c r="NH228" s="188"/>
      <c r="NI228" s="188"/>
      <c r="NJ228" s="188"/>
      <c r="NK228" s="188"/>
      <c r="NL228" s="188"/>
      <c r="NM228" s="188"/>
      <c r="NN228" s="188"/>
      <c r="NO228" s="188"/>
      <c r="NP228" s="189"/>
      <c r="NQ228" s="187"/>
      <c r="NR228" s="188"/>
      <c r="NS228" s="188"/>
      <c r="NT228" s="188"/>
      <c r="NU228" s="189"/>
      <c r="OW228" s="12"/>
      <c r="OX228" s="7"/>
    </row>
    <row r="229" spans="3:414" ht="5.0999999999999996" customHeight="1" x14ac:dyDescent="0.3">
      <c r="C229" s="11"/>
      <c r="D229" s="13"/>
      <c r="Q229" s="198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199"/>
      <c r="AM229" s="199"/>
      <c r="AN229" s="199"/>
      <c r="AO229" s="199"/>
      <c r="AP229" s="199"/>
      <c r="AQ229" s="199"/>
      <c r="AR229" s="199"/>
      <c r="AS229" s="199"/>
      <c r="AT229" s="199"/>
      <c r="AU229" s="199"/>
      <c r="AV229" s="199"/>
      <c r="AW229" s="199"/>
      <c r="AX229" s="199"/>
      <c r="AY229" s="199"/>
      <c r="AZ229" s="199"/>
      <c r="BA229" s="199"/>
      <c r="BB229" s="199"/>
      <c r="BC229" s="199"/>
      <c r="BD229" s="199"/>
      <c r="BE229" s="200"/>
      <c r="BF229" s="187"/>
      <c r="BG229" s="188"/>
      <c r="BH229" s="188"/>
      <c r="BI229" s="188"/>
      <c r="BJ229" s="189"/>
      <c r="LU229" s="155"/>
      <c r="MB229" s="187"/>
      <c r="MC229" s="188"/>
      <c r="MD229" s="188"/>
      <c r="ME229" s="188"/>
      <c r="MF229" s="188"/>
      <c r="MG229" s="188"/>
      <c r="MH229" s="188"/>
      <c r="MI229" s="188"/>
      <c r="MJ229" s="188"/>
      <c r="MK229" s="188"/>
      <c r="ML229" s="188"/>
      <c r="MM229" s="188"/>
      <c r="MN229" s="188"/>
      <c r="MO229" s="188"/>
      <c r="MP229" s="188"/>
      <c r="MQ229" s="188"/>
      <c r="MR229" s="188"/>
      <c r="MS229" s="188"/>
      <c r="MT229" s="188"/>
      <c r="MU229" s="188"/>
      <c r="MV229" s="188"/>
      <c r="MW229" s="188"/>
      <c r="MX229" s="188"/>
      <c r="MY229" s="188"/>
      <c r="MZ229" s="188"/>
      <c r="NA229" s="188"/>
      <c r="NB229" s="188"/>
      <c r="NC229" s="188"/>
      <c r="ND229" s="188"/>
      <c r="NE229" s="188"/>
      <c r="NF229" s="188"/>
      <c r="NG229" s="188"/>
      <c r="NH229" s="188"/>
      <c r="NI229" s="188"/>
      <c r="NJ229" s="188"/>
      <c r="NK229" s="188"/>
      <c r="NL229" s="188"/>
      <c r="NM229" s="188"/>
      <c r="NN229" s="188"/>
      <c r="NO229" s="188"/>
      <c r="NP229" s="189"/>
      <c r="NQ229" s="187"/>
      <c r="NR229" s="188"/>
      <c r="NS229" s="188"/>
      <c r="NT229" s="188"/>
      <c r="NU229" s="189"/>
      <c r="OW229" s="12"/>
      <c r="OX229" s="7"/>
    </row>
    <row r="230" spans="3:414" ht="5.0999999999999996" customHeight="1" x14ac:dyDescent="0.3">
      <c r="C230" s="11"/>
      <c r="D230" s="13"/>
      <c r="Q230" s="201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3"/>
      <c r="BF230" s="190"/>
      <c r="BG230" s="191"/>
      <c r="BH230" s="191"/>
      <c r="BI230" s="191"/>
      <c r="BJ230" s="192"/>
      <c r="LU230" s="155"/>
      <c r="MB230" s="187"/>
      <c r="MC230" s="188"/>
      <c r="MD230" s="188"/>
      <c r="ME230" s="188"/>
      <c r="MF230" s="188"/>
      <c r="MG230" s="188"/>
      <c r="MH230" s="188"/>
      <c r="MI230" s="188"/>
      <c r="MJ230" s="188"/>
      <c r="MK230" s="188"/>
      <c r="ML230" s="188"/>
      <c r="MM230" s="188"/>
      <c r="MN230" s="188"/>
      <c r="MO230" s="188"/>
      <c r="MP230" s="188"/>
      <c r="MQ230" s="188"/>
      <c r="MR230" s="188"/>
      <c r="MS230" s="188"/>
      <c r="MT230" s="188"/>
      <c r="MU230" s="188"/>
      <c r="MV230" s="188"/>
      <c r="MW230" s="188"/>
      <c r="MX230" s="188"/>
      <c r="MY230" s="188"/>
      <c r="MZ230" s="188"/>
      <c r="NA230" s="188"/>
      <c r="NB230" s="188"/>
      <c r="NC230" s="188"/>
      <c r="ND230" s="188"/>
      <c r="NE230" s="188"/>
      <c r="NF230" s="188"/>
      <c r="NG230" s="188"/>
      <c r="NH230" s="188"/>
      <c r="NI230" s="188"/>
      <c r="NJ230" s="188"/>
      <c r="NK230" s="188"/>
      <c r="NL230" s="188"/>
      <c r="NM230" s="188"/>
      <c r="NN230" s="188"/>
      <c r="NO230" s="188"/>
      <c r="NP230" s="189"/>
      <c r="NQ230" s="187"/>
      <c r="NR230" s="188"/>
      <c r="NS230" s="188"/>
      <c r="NT230" s="188"/>
      <c r="NU230" s="189"/>
      <c r="OW230" s="12"/>
      <c r="OX230" s="7"/>
    </row>
    <row r="231" spans="3:414" ht="5.0999999999999996" customHeight="1" x14ac:dyDescent="0.3">
      <c r="C231" s="11"/>
      <c r="D231" s="13"/>
      <c r="Q231" s="195" t="s">
        <v>28</v>
      </c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  <c r="AY231" s="196"/>
      <c r="AZ231" s="196"/>
      <c r="BA231" s="196"/>
      <c r="BB231" s="196"/>
      <c r="BC231" s="196"/>
      <c r="BD231" s="196"/>
      <c r="BE231" s="197">
        <v>10</v>
      </c>
      <c r="BF231" s="184"/>
      <c r="BG231" s="185"/>
      <c r="BH231" s="185"/>
      <c r="BI231" s="185"/>
      <c r="BJ231" s="186"/>
      <c r="LU231" s="155"/>
      <c r="MB231" s="190"/>
      <c r="MC231" s="191"/>
      <c r="MD231" s="191"/>
      <c r="ME231" s="191"/>
      <c r="MF231" s="191"/>
      <c r="MG231" s="191"/>
      <c r="MH231" s="191"/>
      <c r="MI231" s="191"/>
      <c r="MJ231" s="191"/>
      <c r="MK231" s="191"/>
      <c r="ML231" s="191"/>
      <c r="MM231" s="191"/>
      <c r="MN231" s="191"/>
      <c r="MO231" s="191"/>
      <c r="MP231" s="191"/>
      <c r="MQ231" s="191"/>
      <c r="MR231" s="191"/>
      <c r="MS231" s="191"/>
      <c r="MT231" s="191"/>
      <c r="MU231" s="191"/>
      <c r="MV231" s="191"/>
      <c r="MW231" s="191"/>
      <c r="MX231" s="191"/>
      <c r="MY231" s="191"/>
      <c r="MZ231" s="191"/>
      <c r="NA231" s="191"/>
      <c r="NB231" s="191"/>
      <c r="NC231" s="191"/>
      <c r="ND231" s="191"/>
      <c r="NE231" s="191"/>
      <c r="NF231" s="191"/>
      <c r="NG231" s="191"/>
      <c r="NH231" s="191"/>
      <c r="NI231" s="191"/>
      <c r="NJ231" s="191"/>
      <c r="NK231" s="191"/>
      <c r="NL231" s="191"/>
      <c r="NM231" s="191"/>
      <c r="NN231" s="191"/>
      <c r="NO231" s="191"/>
      <c r="NP231" s="192"/>
      <c r="NQ231" s="190"/>
      <c r="NR231" s="191"/>
      <c r="NS231" s="191"/>
      <c r="NT231" s="191"/>
      <c r="NU231" s="192"/>
      <c r="OW231" s="12"/>
      <c r="OX231" s="7"/>
    </row>
    <row r="232" spans="3:414" ht="5.0999999999999996" customHeight="1" x14ac:dyDescent="0.3">
      <c r="C232" s="11"/>
      <c r="D232" s="13"/>
      <c r="Q232" s="198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  <c r="AS232" s="199"/>
      <c r="AT232" s="199"/>
      <c r="AU232" s="199"/>
      <c r="AV232" s="199"/>
      <c r="AW232" s="199"/>
      <c r="AX232" s="199"/>
      <c r="AY232" s="199"/>
      <c r="AZ232" s="199"/>
      <c r="BA232" s="199"/>
      <c r="BB232" s="199"/>
      <c r="BC232" s="199"/>
      <c r="BD232" s="199"/>
      <c r="BE232" s="200"/>
      <c r="BF232" s="187"/>
      <c r="BG232" s="188"/>
      <c r="BH232" s="188"/>
      <c r="BI232" s="188"/>
      <c r="BJ232" s="189"/>
      <c r="LU232" s="155"/>
      <c r="MB232" s="1" t="s">
        <v>48</v>
      </c>
      <c r="NP232" s="1">
        <v>10</v>
      </c>
      <c r="NQ232" s="1">
        <v>2</v>
      </c>
      <c r="OW232" s="12"/>
      <c r="OX232" s="7"/>
    </row>
    <row r="233" spans="3:414" ht="5.0999999999999996" customHeight="1" x14ac:dyDescent="0.3">
      <c r="C233" s="11"/>
      <c r="D233" s="13"/>
      <c r="Q233" s="198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  <c r="AD233" s="199"/>
      <c r="AE233" s="199"/>
      <c r="AF233" s="199"/>
      <c r="AG233" s="199"/>
      <c r="AH233" s="199"/>
      <c r="AI233" s="199"/>
      <c r="AJ233" s="199"/>
      <c r="AK233" s="199"/>
      <c r="AL233" s="199"/>
      <c r="AM233" s="199"/>
      <c r="AN233" s="199"/>
      <c r="AO233" s="199"/>
      <c r="AP233" s="199"/>
      <c r="AQ233" s="199"/>
      <c r="AR233" s="199"/>
      <c r="AS233" s="199"/>
      <c r="AT233" s="199"/>
      <c r="AU233" s="199"/>
      <c r="AV233" s="199"/>
      <c r="AW233" s="199"/>
      <c r="AX233" s="199"/>
      <c r="AY233" s="199"/>
      <c r="AZ233" s="199"/>
      <c r="BA233" s="199"/>
      <c r="BB233" s="199"/>
      <c r="BC233" s="199"/>
      <c r="BD233" s="199"/>
      <c r="BE233" s="200"/>
      <c r="BF233" s="187"/>
      <c r="BG233" s="188"/>
      <c r="BH233" s="188"/>
      <c r="BI233" s="188"/>
      <c r="BJ233" s="189"/>
      <c r="LU233" s="155"/>
      <c r="OW233" s="12"/>
      <c r="OX233" s="7"/>
    </row>
    <row r="234" spans="3:414" ht="5.0999999999999996" customHeight="1" x14ac:dyDescent="0.3">
      <c r="C234" s="11"/>
      <c r="D234" s="13"/>
      <c r="Q234" s="198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  <c r="AD234" s="199"/>
      <c r="AE234" s="199"/>
      <c r="AF234" s="199"/>
      <c r="AG234" s="199"/>
      <c r="AH234" s="199"/>
      <c r="AI234" s="199"/>
      <c r="AJ234" s="199"/>
      <c r="AK234" s="199"/>
      <c r="AL234" s="199"/>
      <c r="AM234" s="199"/>
      <c r="AN234" s="199"/>
      <c r="AO234" s="199"/>
      <c r="AP234" s="199"/>
      <c r="AQ234" s="199"/>
      <c r="AR234" s="199"/>
      <c r="AS234" s="199"/>
      <c r="AT234" s="199"/>
      <c r="AU234" s="199"/>
      <c r="AV234" s="199"/>
      <c r="AW234" s="199"/>
      <c r="AX234" s="199"/>
      <c r="AY234" s="199"/>
      <c r="AZ234" s="199"/>
      <c r="BA234" s="199"/>
      <c r="BB234" s="199"/>
      <c r="BC234" s="199"/>
      <c r="BD234" s="199"/>
      <c r="BE234" s="200"/>
      <c r="BF234" s="187"/>
      <c r="BG234" s="188"/>
      <c r="BH234" s="188"/>
      <c r="BI234" s="188"/>
      <c r="BJ234" s="189"/>
      <c r="LU234" s="155"/>
      <c r="OW234" s="12"/>
      <c r="OX234" s="7"/>
    </row>
    <row r="235" spans="3:414" ht="5.0999999999999996" customHeight="1" x14ac:dyDescent="0.3">
      <c r="C235" s="11"/>
      <c r="D235" s="13"/>
      <c r="Q235" s="198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  <c r="AS235" s="199"/>
      <c r="AT235" s="199"/>
      <c r="AU235" s="199"/>
      <c r="AV235" s="199"/>
      <c r="AW235" s="199"/>
      <c r="AX235" s="199"/>
      <c r="AY235" s="199"/>
      <c r="AZ235" s="199"/>
      <c r="BA235" s="199"/>
      <c r="BB235" s="199"/>
      <c r="BC235" s="199"/>
      <c r="BD235" s="199"/>
      <c r="BE235" s="200"/>
      <c r="BF235" s="187"/>
      <c r="BG235" s="188"/>
      <c r="BH235" s="188"/>
      <c r="BI235" s="188"/>
      <c r="BJ235" s="189"/>
      <c r="LU235" s="155"/>
      <c r="OW235" s="12"/>
      <c r="OX235" s="7"/>
    </row>
    <row r="236" spans="3:414" ht="5.0999999999999996" customHeight="1" x14ac:dyDescent="0.3">
      <c r="C236" s="11"/>
      <c r="D236" s="13"/>
      <c r="Q236" s="198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199"/>
      <c r="AM236" s="199"/>
      <c r="AN236" s="199"/>
      <c r="AO236" s="199"/>
      <c r="AP236" s="199"/>
      <c r="AQ236" s="199"/>
      <c r="AR236" s="199"/>
      <c r="AS236" s="199"/>
      <c r="AT236" s="199"/>
      <c r="AU236" s="199"/>
      <c r="AV236" s="199"/>
      <c r="AW236" s="199"/>
      <c r="AX236" s="199"/>
      <c r="AY236" s="199"/>
      <c r="AZ236" s="199"/>
      <c r="BA236" s="199"/>
      <c r="BB236" s="199"/>
      <c r="BC236" s="199"/>
      <c r="BD236" s="199"/>
      <c r="BE236" s="200"/>
      <c r="BF236" s="187"/>
      <c r="BG236" s="188"/>
      <c r="BH236" s="188"/>
      <c r="BI236" s="188"/>
      <c r="BJ236" s="189"/>
      <c r="LU236" s="155"/>
      <c r="OW236" s="12"/>
      <c r="OX236" s="7"/>
    </row>
    <row r="237" spans="3:414" ht="5.0999999999999996" customHeight="1" x14ac:dyDescent="0.3">
      <c r="C237" s="11"/>
      <c r="D237" s="13"/>
      <c r="Q237" s="198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  <c r="AD237" s="199"/>
      <c r="AE237" s="199"/>
      <c r="AF237" s="199"/>
      <c r="AG237" s="199"/>
      <c r="AH237" s="199"/>
      <c r="AI237" s="199"/>
      <c r="AJ237" s="199"/>
      <c r="AK237" s="199"/>
      <c r="AL237" s="199"/>
      <c r="AM237" s="199"/>
      <c r="AN237" s="199"/>
      <c r="AO237" s="199"/>
      <c r="AP237" s="199"/>
      <c r="AQ237" s="199"/>
      <c r="AR237" s="199"/>
      <c r="AS237" s="199"/>
      <c r="AT237" s="199"/>
      <c r="AU237" s="199"/>
      <c r="AV237" s="199"/>
      <c r="AW237" s="199"/>
      <c r="AX237" s="199"/>
      <c r="AY237" s="199"/>
      <c r="AZ237" s="199"/>
      <c r="BA237" s="199"/>
      <c r="BB237" s="199"/>
      <c r="BC237" s="199"/>
      <c r="BD237" s="199"/>
      <c r="BE237" s="200"/>
      <c r="BF237" s="187"/>
      <c r="BG237" s="188"/>
      <c r="BH237" s="188"/>
      <c r="BI237" s="188"/>
      <c r="BJ237" s="189"/>
      <c r="LU237" s="155"/>
      <c r="OW237" s="12"/>
      <c r="OX237" s="7"/>
    </row>
    <row r="238" spans="3:414" ht="5.0999999999999996" customHeight="1" x14ac:dyDescent="0.3">
      <c r="C238" s="11"/>
      <c r="D238" s="13"/>
      <c r="Q238" s="198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  <c r="AD238" s="199"/>
      <c r="AE238" s="199"/>
      <c r="AF238" s="199"/>
      <c r="AG238" s="199"/>
      <c r="AH238" s="199"/>
      <c r="AI238" s="199"/>
      <c r="AJ238" s="199"/>
      <c r="AK238" s="199"/>
      <c r="AL238" s="199"/>
      <c r="AM238" s="199"/>
      <c r="AN238" s="199"/>
      <c r="AO238" s="199"/>
      <c r="AP238" s="199"/>
      <c r="AQ238" s="199"/>
      <c r="AR238" s="199"/>
      <c r="AS238" s="199"/>
      <c r="AT238" s="199"/>
      <c r="AU238" s="199"/>
      <c r="AV238" s="199"/>
      <c r="AW238" s="199"/>
      <c r="AX238" s="199"/>
      <c r="AY238" s="199"/>
      <c r="AZ238" s="199"/>
      <c r="BA238" s="199"/>
      <c r="BB238" s="199"/>
      <c r="BC238" s="199"/>
      <c r="BD238" s="199"/>
      <c r="BE238" s="200"/>
      <c r="BF238" s="187"/>
      <c r="BG238" s="188"/>
      <c r="BH238" s="188"/>
      <c r="BI238" s="188"/>
      <c r="BJ238" s="189"/>
      <c r="LU238" s="155"/>
      <c r="OW238" s="12"/>
      <c r="OX238" s="7"/>
    </row>
    <row r="239" spans="3:414" ht="5.0999999999999996" customHeight="1" x14ac:dyDescent="0.3">
      <c r="C239" s="11"/>
      <c r="D239" s="13"/>
      <c r="Q239" s="198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  <c r="AS239" s="199"/>
      <c r="AT239" s="199"/>
      <c r="AU239" s="199"/>
      <c r="AV239" s="199"/>
      <c r="AW239" s="199"/>
      <c r="AX239" s="199"/>
      <c r="AY239" s="199"/>
      <c r="AZ239" s="199"/>
      <c r="BA239" s="199"/>
      <c r="BB239" s="199"/>
      <c r="BC239" s="199"/>
      <c r="BD239" s="199"/>
      <c r="BE239" s="200"/>
      <c r="BF239" s="187"/>
      <c r="BG239" s="188"/>
      <c r="BH239" s="188"/>
      <c r="BI239" s="188"/>
      <c r="BJ239" s="189"/>
      <c r="LU239" s="155"/>
      <c r="OW239" s="12"/>
      <c r="OX239" s="7"/>
    </row>
    <row r="240" spans="3:414" ht="5.0999999999999996" customHeight="1" x14ac:dyDescent="0.3">
      <c r="C240" s="11"/>
      <c r="D240" s="13"/>
      <c r="Q240" s="201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  <c r="AV240" s="202"/>
      <c r="AW240" s="202"/>
      <c r="AX240" s="202"/>
      <c r="AY240" s="202"/>
      <c r="AZ240" s="202"/>
      <c r="BA240" s="202"/>
      <c r="BB240" s="202"/>
      <c r="BC240" s="202"/>
      <c r="BD240" s="202"/>
      <c r="BE240" s="203"/>
      <c r="BF240" s="190"/>
      <c r="BG240" s="191"/>
      <c r="BH240" s="191"/>
      <c r="BI240" s="191"/>
      <c r="BJ240" s="192"/>
      <c r="LU240" s="155"/>
      <c r="OW240" s="12"/>
      <c r="OX240" s="7"/>
    </row>
    <row r="241" spans="3:414" ht="5.0999999999999996" customHeight="1" thickBot="1" x14ac:dyDescent="0.35">
      <c r="C241" s="11"/>
      <c r="D241" s="13"/>
      <c r="Q241" s="1" t="s">
        <v>27</v>
      </c>
      <c r="BE241" s="1">
        <v>10</v>
      </c>
      <c r="LU241" s="155"/>
      <c r="OW241" s="12"/>
      <c r="OX241" s="7"/>
    </row>
    <row r="242" spans="3:414" ht="5.0999999999999996" customHeight="1" x14ac:dyDescent="0.3">
      <c r="C242" s="11"/>
      <c r="D242" s="13"/>
      <c r="LU242" s="155"/>
      <c r="MG242" s="329" t="s">
        <v>154</v>
      </c>
      <c r="MH242" s="330"/>
      <c r="MI242" s="330"/>
      <c r="MJ242" s="330"/>
      <c r="MK242" s="330"/>
      <c r="ML242" s="330"/>
      <c r="MM242" s="330"/>
      <c r="MN242" s="330"/>
      <c r="MO242" s="330"/>
      <c r="MP242" s="330"/>
      <c r="MQ242" s="330"/>
      <c r="MR242" s="330"/>
      <c r="MS242" s="330"/>
      <c r="MT242" s="330"/>
      <c r="MU242" s="330"/>
      <c r="MV242" s="330"/>
      <c r="MW242" s="330"/>
      <c r="MX242" s="330"/>
      <c r="MY242" s="330"/>
      <c r="MZ242" s="330"/>
      <c r="NA242" s="330"/>
      <c r="NB242" s="330"/>
      <c r="NC242" s="330"/>
      <c r="ND242" s="330"/>
      <c r="NE242" s="330"/>
      <c r="NF242" s="330"/>
      <c r="NG242" s="330"/>
      <c r="NH242" s="330"/>
      <c r="NI242" s="330"/>
      <c r="NJ242" s="330"/>
      <c r="NK242" s="330"/>
      <c r="NL242" s="330"/>
      <c r="NM242" s="330"/>
      <c r="NN242" s="330"/>
      <c r="NO242" s="330"/>
      <c r="NP242" s="330"/>
      <c r="NQ242" s="330"/>
      <c r="NR242" s="330"/>
      <c r="NS242" s="330"/>
      <c r="NT242" s="330"/>
      <c r="NU242" s="330"/>
      <c r="NV242" s="330"/>
      <c r="NW242" s="330"/>
      <c r="NX242" s="330"/>
      <c r="NY242" s="330"/>
      <c r="NZ242" s="330"/>
      <c r="OA242" s="330"/>
      <c r="OB242" s="330"/>
      <c r="OC242" s="330"/>
      <c r="OD242" s="331"/>
      <c r="OE242" s="285">
        <f>NQ117</f>
        <v>2</v>
      </c>
      <c r="OF242" s="285"/>
      <c r="OG242" s="285"/>
      <c r="OH242" s="285"/>
      <c r="OI242" s="285"/>
      <c r="OJ242" s="285"/>
      <c r="OK242" s="285"/>
      <c r="OL242" s="285"/>
      <c r="OM242" s="285"/>
      <c r="ON242" s="285"/>
      <c r="OO242" s="285"/>
      <c r="OP242" s="286"/>
      <c r="OW242" s="12"/>
      <c r="OX242" s="7"/>
    </row>
    <row r="243" spans="3:414" ht="5.0999999999999996" customHeight="1" x14ac:dyDescent="0.3">
      <c r="C243" s="11"/>
      <c r="D243" s="13"/>
      <c r="LU243" s="155"/>
      <c r="MG243" s="332"/>
      <c r="MH243" s="333"/>
      <c r="MI243" s="333"/>
      <c r="MJ243" s="333"/>
      <c r="MK243" s="333"/>
      <c r="ML243" s="333"/>
      <c r="MM243" s="333"/>
      <c r="MN243" s="333"/>
      <c r="MO243" s="333"/>
      <c r="MP243" s="333"/>
      <c r="MQ243" s="333"/>
      <c r="MR243" s="333"/>
      <c r="MS243" s="333"/>
      <c r="MT243" s="333"/>
      <c r="MU243" s="333"/>
      <c r="MV243" s="333"/>
      <c r="MW243" s="333"/>
      <c r="MX243" s="333"/>
      <c r="MY243" s="333"/>
      <c r="MZ243" s="333"/>
      <c r="NA243" s="333"/>
      <c r="NB243" s="333"/>
      <c r="NC243" s="333"/>
      <c r="ND243" s="333"/>
      <c r="NE243" s="333"/>
      <c r="NF243" s="333"/>
      <c r="NG243" s="333"/>
      <c r="NH243" s="333"/>
      <c r="NI243" s="333"/>
      <c r="NJ243" s="333"/>
      <c r="NK243" s="333"/>
      <c r="NL243" s="333"/>
      <c r="NM243" s="333"/>
      <c r="NN243" s="333"/>
      <c r="NO243" s="333"/>
      <c r="NP243" s="333"/>
      <c r="NQ243" s="333"/>
      <c r="NR243" s="333"/>
      <c r="NS243" s="333"/>
      <c r="NT243" s="333"/>
      <c r="NU243" s="333"/>
      <c r="NV243" s="333"/>
      <c r="NW243" s="333"/>
      <c r="NX243" s="333"/>
      <c r="NY243" s="333"/>
      <c r="NZ243" s="333"/>
      <c r="OA243" s="333"/>
      <c r="OB243" s="333"/>
      <c r="OC243" s="333"/>
      <c r="OD243" s="334"/>
      <c r="OE243" s="288"/>
      <c r="OF243" s="288"/>
      <c r="OG243" s="288"/>
      <c r="OH243" s="288"/>
      <c r="OI243" s="288"/>
      <c r="OJ243" s="288"/>
      <c r="OK243" s="288"/>
      <c r="OL243" s="288"/>
      <c r="OM243" s="288"/>
      <c r="ON243" s="288"/>
      <c r="OO243" s="288"/>
      <c r="OP243" s="289"/>
      <c r="OW243" s="12"/>
      <c r="OX243" s="7"/>
    </row>
    <row r="244" spans="3:414" ht="5.0999999999999996" customHeight="1" x14ac:dyDescent="0.3">
      <c r="C244" s="11"/>
      <c r="D244" s="13"/>
      <c r="LU244" s="155"/>
      <c r="MG244" s="332"/>
      <c r="MH244" s="333"/>
      <c r="MI244" s="333"/>
      <c r="MJ244" s="333"/>
      <c r="MK244" s="333"/>
      <c r="ML244" s="333"/>
      <c r="MM244" s="333"/>
      <c r="MN244" s="333"/>
      <c r="MO244" s="333"/>
      <c r="MP244" s="333"/>
      <c r="MQ244" s="333"/>
      <c r="MR244" s="333"/>
      <c r="MS244" s="333"/>
      <c r="MT244" s="333"/>
      <c r="MU244" s="333"/>
      <c r="MV244" s="333"/>
      <c r="MW244" s="333"/>
      <c r="MX244" s="333"/>
      <c r="MY244" s="333"/>
      <c r="MZ244" s="333"/>
      <c r="NA244" s="333"/>
      <c r="NB244" s="333"/>
      <c r="NC244" s="333"/>
      <c r="ND244" s="333"/>
      <c r="NE244" s="333"/>
      <c r="NF244" s="333"/>
      <c r="NG244" s="333"/>
      <c r="NH244" s="333"/>
      <c r="NI244" s="333"/>
      <c r="NJ244" s="333"/>
      <c r="NK244" s="333"/>
      <c r="NL244" s="333"/>
      <c r="NM244" s="333"/>
      <c r="NN244" s="333"/>
      <c r="NO244" s="333"/>
      <c r="NP244" s="333"/>
      <c r="NQ244" s="333"/>
      <c r="NR244" s="333"/>
      <c r="NS244" s="333"/>
      <c r="NT244" s="333"/>
      <c r="NU244" s="333"/>
      <c r="NV244" s="333"/>
      <c r="NW244" s="333"/>
      <c r="NX244" s="333"/>
      <c r="NY244" s="333"/>
      <c r="NZ244" s="333"/>
      <c r="OA244" s="333"/>
      <c r="OB244" s="333"/>
      <c r="OC244" s="333"/>
      <c r="OD244" s="334"/>
      <c r="OE244" s="288"/>
      <c r="OF244" s="288"/>
      <c r="OG244" s="288"/>
      <c r="OH244" s="288"/>
      <c r="OI244" s="288"/>
      <c r="OJ244" s="288"/>
      <c r="OK244" s="288"/>
      <c r="OL244" s="288"/>
      <c r="OM244" s="288"/>
      <c r="ON244" s="288"/>
      <c r="OO244" s="288"/>
      <c r="OP244" s="289"/>
      <c r="OW244" s="12"/>
      <c r="OX244" s="7"/>
    </row>
    <row r="245" spans="3:414" ht="4.5" customHeight="1" x14ac:dyDescent="0.3">
      <c r="C245" s="11"/>
      <c r="D245" s="13"/>
      <c r="LU245" s="155"/>
      <c r="MG245" s="332"/>
      <c r="MH245" s="333"/>
      <c r="MI245" s="333"/>
      <c r="MJ245" s="333"/>
      <c r="MK245" s="333"/>
      <c r="ML245" s="333"/>
      <c r="MM245" s="333"/>
      <c r="MN245" s="333"/>
      <c r="MO245" s="333"/>
      <c r="MP245" s="333"/>
      <c r="MQ245" s="333"/>
      <c r="MR245" s="333"/>
      <c r="MS245" s="333"/>
      <c r="MT245" s="333"/>
      <c r="MU245" s="333"/>
      <c r="MV245" s="333"/>
      <c r="MW245" s="333"/>
      <c r="MX245" s="333"/>
      <c r="MY245" s="333"/>
      <c r="MZ245" s="333"/>
      <c r="NA245" s="333"/>
      <c r="NB245" s="333"/>
      <c r="NC245" s="333"/>
      <c r="ND245" s="333"/>
      <c r="NE245" s="333"/>
      <c r="NF245" s="333"/>
      <c r="NG245" s="333"/>
      <c r="NH245" s="333"/>
      <c r="NI245" s="333"/>
      <c r="NJ245" s="333"/>
      <c r="NK245" s="333"/>
      <c r="NL245" s="333"/>
      <c r="NM245" s="333"/>
      <c r="NN245" s="333"/>
      <c r="NO245" s="333"/>
      <c r="NP245" s="333"/>
      <c r="NQ245" s="333"/>
      <c r="NR245" s="333"/>
      <c r="NS245" s="333"/>
      <c r="NT245" s="333"/>
      <c r="NU245" s="333"/>
      <c r="NV245" s="333"/>
      <c r="NW245" s="333"/>
      <c r="NX245" s="333"/>
      <c r="NY245" s="333"/>
      <c r="NZ245" s="333"/>
      <c r="OA245" s="333"/>
      <c r="OB245" s="333"/>
      <c r="OC245" s="333"/>
      <c r="OD245" s="334"/>
      <c r="OE245" s="288"/>
      <c r="OF245" s="288"/>
      <c r="OG245" s="288"/>
      <c r="OH245" s="288"/>
      <c r="OI245" s="288"/>
      <c r="OJ245" s="288"/>
      <c r="OK245" s="288"/>
      <c r="OL245" s="288"/>
      <c r="OM245" s="288"/>
      <c r="ON245" s="288"/>
      <c r="OO245" s="288"/>
      <c r="OP245" s="289"/>
      <c r="OW245" s="12"/>
      <c r="OX245" s="7"/>
    </row>
    <row r="246" spans="3:414" ht="5.0999999999999996" customHeight="1" x14ac:dyDescent="0.3">
      <c r="C246" s="11"/>
      <c r="D246" s="13"/>
      <c r="LU246" s="155"/>
      <c r="MG246" s="332"/>
      <c r="MH246" s="333"/>
      <c r="MI246" s="333"/>
      <c r="MJ246" s="333"/>
      <c r="MK246" s="333"/>
      <c r="ML246" s="333"/>
      <c r="MM246" s="333"/>
      <c r="MN246" s="333"/>
      <c r="MO246" s="333"/>
      <c r="MP246" s="333"/>
      <c r="MQ246" s="333"/>
      <c r="MR246" s="333"/>
      <c r="MS246" s="333"/>
      <c r="MT246" s="333"/>
      <c r="MU246" s="333"/>
      <c r="MV246" s="333"/>
      <c r="MW246" s="333"/>
      <c r="MX246" s="333"/>
      <c r="MY246" s="333"/>
      <c r="MZ246" s="333"/>
      <c r="NA246" s="333"/>
      <c r="NB246" s="333"/>
      <c r="NC246" s="333"/>
      <c r="ND246" s="333"/>
      <c r="NE246" s="333"/>
      <c r="NF246" s="333"/>
      <c r="NG246" s="333"/>
      <c r="NH246" s="333"/>
      <c r="NI246" s="333"/>
      <c r="NJ246" s="333"/>
      <c r="NK246" s="333"/>
      <c r="NL246" s="333"/>
      <c r="NM246" s="333"/>
      <c r="NN246" s="333"/>
      <c r="NO246" s="333"/>
      <c r="NP246" s="333"/>
      <c r="NQ246" s="333"/>
      <c r="NR246" s="333"/>
      <c r="NS246" s="333"/>
      <c r="NT246" s="333"/>
      <c r="NU246" s="333"/>
      <c r="NV246" s="333"/>
      <c r="NW246" s="333"/>
      <c r="NX246" s="333"/>
      <c r="NY246" s="333"/>
      <c r="NZ246" s="333"/>
      <c r="OA246" s="333"/>
      <c r="OB246" s="333"/>
      <c r="OC246" s="333"/>
      <c r="OD246" s="334"/>
      <c r="OE246" s="288"/>
      <c r="OF246" s="288"/>
      <c r="OG246" s="288"/>
      <c r="OH246" s="288"/>
      <c r="OI246" s="288"/>
      <c r="OJ246" s="288"/>
      <c r="OK246" s="288"/>
      <c r="OL246" s="288"/>
      <c r="OM246" s="288"/>
      <c r="ON246" s="288"/>
      <c r="OO246" s="288"/>
      <c r="OP246" s="289"/>
      <c r="OW246" s="12"/>
      <c r="OX246" s="7"/>
    </row>
    <row r="247" spans="3:414" ht="5.0999999999999996" customHeight="1" x14ac:dyDescent="0.3">
      <c r="C247" s="11"/>
      <c r="D247" s="13"/>
      <c r="LU247" s="155"/>
      <c r="MG247" s="332"/>
      <c r="MH247" s="333"/>
      <c r="MI247" s="333"/>
      <c r="MJ247" s="333"/>
      <c r="MK247" s="333"/>
      <c r="ML247" s="333"/>
      <c r="MM247" s="333"/>
      <c r="MN247" s="333"/>
      <c r="MO247" s="333"/>
      <c r="MP247" s="333"/>
      <c r="MQ247" s="333"/>
      <c r="MR247" s="333"/>
      <c r="MS247" s="333"/>
      <c r="MT247" s="333"/>
      <c r="MU247" s="333"/>
      <c r="MV247" s="333"/>
      <c r="MW247" s="333"/>
      <c r="MX247" s="333"/>
      <c r="MY247" s="333"/>
      <c r="MZ247" s="333"/>
      <c r="NA247" s="333"/>
      <c r="NB247" s="333"/>
      <c r="NC247" s="333"/>
      <c r="ND247" s="333"/>
      <c r="NE247" s="333"/>
      <c r="NF247" s="333"/>
      <c r="NG247" s="333"/>
      <c r="NH247" s="333"/>
      <c r="NI247" s="333"/>
      <c r="NJ247" s="333"/>
      <c r="NK247" s="333"/>
      <c r="NL247" s="333"/>
      <c r="NM247" s="333"/>
      <c r="NN247" s="333"/>
      <c r="NO247" s="333"/>
      <c r="NP247" s="333"/>
      <c r="NQ247" s="333"/>
      <c r="NR247" s="333"/>
      <c r="NS247" s="333"/>
      <c r="NT247" s="333"/>
      <c r="NU247" s="333"/>
      <c r="NV247" s="333"/>
      <c r="NW247" s="333"/>
      <c r="NX247" s="333"/>
      <c r="NY247" s="333"/>
      <c r="NZ247" s="333"/>
      <c r="OA247" s="333"/>
      <c r="OB247" s="333"/>
      <c r="OC247" s="333"/>
      <c r="OD247" s="334"/>
      <c r="OE247" s="288"/>
      <c r="OF247" s="288"/>
      <c r="OG247" s="288"/>
      <c r="OH247" s="288"/>
      <c r="OI247" s="288"/>
      <c r="OJ247" s="288"/>
      <c r="OK247" s="288"/>
      <c r="OL247" s="288"/>
      <c r="OM247" s="288"/>
      <c r="ON247" s="288"/>
      <c r="OO247" s="288"/>
      <c r="OP247" s="289"/>
      <c r="OW247" s="12"/>
      <c r="OX247" s="7"/>
    </row>
    <row r="248" spans="3:414" ht="5.0999999999999996" customHeight="1" thickBot="1" x14ac:dyDescent="0.35">
      <c r="C248" s="11"/>
      <c r="D248" s="13"/>
      <c r="LU248" s="155"/>
      <c r="MG248" s="335"/>
      <c r="MH248" s="336"/>
      <c r="MI248" s="336"/>
      <c r="MJ248" s="336"/>
      <c r="MK248" s="336"/>
      <c r="ML248" s="336"/>
      <c r="MM248" s="336"/>
      <c r="MN248" s="336"/>
      <c r="MO248" s="336"/>
      <c r="MP248" s="336"/>
      <c r="MQ248" s="336"/>
      <c r="MR248" s="336"/>
      <c r="MS248" s="336"/>
      <c r="MT248" s="336"/>
      <c r="MU248" s="336"/>
      <c r="MV248" s="336"/>
      <c r="MW248" s="336"/>
      <c r="MX248" s="336"/>
      <c r="MY248" s="336"/>
      <c r="MZ248" s="336"/>
      <c r="NA248" s="336"/>
      <c r="NB248" s="336"/>
      <c r="NC248" s="336"/>
      <c r="ND248" s="336"/>
      <c r="NE248" s="336"/>
      <c r="NF248" s="336"/>
      <c r="NG248" s="336"/>
      <c r="NH248" s="336"/>
      <c r="NI248" s="336"/>
      <c r="NJ248" s="336"/>
      <c r="NK248" s="336"/>
      <c r="NL248" s="336"/>
      <c r="NM248" s="336"/>
      <c r="NN248" s="336"/>
      <c r="NO248" s="336"/>
      <c r="NP248" s="336"/>
      <c r="NQ248" s="336"/>
      <c r="NR248" s="336"/>
      <c r="NS248" s="336"/>
      <c r="NT248" s="336"/>
      <c r="NU248" s="336"/>
      <c r="NV248" s="336"/>
      <c r="NW248" s="336"/>
      <c r="NX248" s="336"/>
      <c r="NY248" s="336"/>
      <c r="NZ248" s="336"/>
      <c r="OA248" s="336"/>
      <c r="OB248" s="336"/>
      <c r="OC248" s="336"/>
      <c r="OD248" s="337"/>
      <c r="OE248" s="291"/>
      <c r="OF248" s="291"/>
      <c r="OG248" s="291"/>
      <c r="OH248" s="291"/>
      <c r="OI248" s="291"/>
      <c r="OJ248" s="291"/>
      <c r="OK248" s="291"/>
      <c r="OL248" s="291"/>
      <c r="OM248" s="291"/>
      <c r="ON248" s="291"/>
      <c r="OO248" s="291"/>
      <c r="OP248" s="292"/>
      <c r="OW248" s="12"/>
      <c r="OX248" s="7"/>
    </row>
    <row r="249" spans="3:414" ht="5.0999999999999996" customHeight="1" x14ac:dyDescent="0.3">
      <c r="C249" s="11"/>
      <c r="D249" s="13"/>
      <c r="MG249" s="329" t="s">
        <v>153</v>
      </c>
      <c r="MH249" s="330"/>
      <c r="MI249" s="330"/>
      <c r="MJ249" s="330"/>
      <c r="MK249" s="330"/>
      <c r="ML249" s="330"/>
      <c r="MM249" s="330"/>
      <c r="MN249" s="330"/>
      <c r="MO249" s="330"/>
      <c r="MP249" s="330"/>
      <c r="MQ249" s="330"/>
      <c r="MR249" s="330"/>
      <c r="MS249" s="330"/>
      <c r="MT249" s="330"/>
      <c r="MU249" s="330"/>
      <c r="MV249" s="330"/>
      <c r="MW249" s="330"/>
      <c r="MX249" s="330"/>
      <c r="MY249" s="330"/>
      <c r="MZ249" s="330"/>
      <c r="NA249" s="330"/>
      <c r="NB249" s="330"/>
      <c r="NC249" s="330"/>
      <c r="ND249" s="330"/>
      <c r="NE249" s="330"/>
      <c r="NF249" s="330"/>
      <c r="NG249" s="330"/>
      <c r="NH249" s="330"/>
      <c r="NI249" s="330"/>
      <c r="NJ249" s="330"/>
      <c r="NK249" s="330"/>
      <c r="NL249" s="330"/>
      <c r="NM249" s="330"/>
      <c r="NN249" s="330"/>
      <c r="NO249" s="330"/>
      <c r="NP249" s="330"/>
      <c r="NQ249" s="330"/>
      <c r="NR249" s="330"/>
      <c r="NS249" s="330"/>
      <c r="NT249" s="330"/>
      <c r="NU249" s="330"/>
      <c r="NV249" s="330"/>
      <c r="NW249" s="330"/>
      <c r="NX249" s="330"/>
      <c r="NY249" s="330"/>
      <c r="NZ249" s="330"/>
      <c r="OA249" s="330"/>
      <c r="OB249" s="330"/>
      <c r="OC249" s="330"/>
      <c r="OD249" s="331"/>
      <c r="OE249" s="285">
        <f>SUM(HL18,HL37,CN53,EZ97,JE92,JE102,LG37,HG117,BF117,LG161)</f>
        <v>43</v>
      </c>
      <c r="OF249" s="285"/>
      <c r="OG249" s="285"/>
      <c r="OH249" s="285"/>
      <c r="OI249" s="285"/>
      <c r="OJ249" s="285"/>
      <c r="OK249" s="285"/>
      <c r="OL249" s="285"/>
      <c r="OM249" s="285"/>
      <c r="ON249" s="285"/>
      <c r="OO249" s="285"/>
      <c r="OP249" s="286"/>
      <c r="OW249" s="12"/>
      <c r="OX249" s="7"/>
    </row>
    <row r="250" spans="3:414" ht="5.0999999999999996" customHeight="1" x14ac:dyDescent="0.3">
      <c r="C250" s="11"/>
      <c r="D250" s="13"/>
      <c r="MG250" s="332"/>
      <c r="MH250" s="333"/>
      <c r="MI250" s="333"/>
      <c r="MJ250" s="333"/>
      <c r="MK250" s="333"/>
      <c r="ML250" s="333"/>
      <c r="MM250" s="333"/>
      <c r="MN250" s="333"/>
      <c r="MO250" s="333"/>
      <c r="MP250" s="333"/>
      <c r="MQ250" s="333"/>
      <c r="MR250" s="333"/>
      <c r="MS250" s="333"/>
      <c r="MT250" s="333"/>
      <c r="MU250" s="333"/>
      <c r="MV250" s="333"/>
      <c r="MW250" s="333"/>
      <c r="MX250" s="333"/>
      <c r="MY250" s="333"/>
      <c r="MZ250" s="333"/>
      <c r="NA250" s="333"/>
      <c r="NB250" s="333"/>
      <c r="NC250" s="333"/>
      <c r="ND250" s="333"/>
      <c r="NE250" s="333"/>
      <c r="NF250" s="333"/>
      <c r="NG250" s="333"/>
      <c r="NH250" s="333"/>
      <c r="NI250" s="333"/>
      <c r="NJ250" s="333"/>
      <c r="NK250" s="333"/>
      <c r="NL250" s="333"/>
      <c r="NM250" s="333"/>
      <c r="NN250" s="333"/>
      <c r="NO250" s="333"/>
      <c r="NP250" s="333"/>
      <c r="NQ250" s="333"/>
      <c r="NR250" s="333"/>
      <c r="NS250" s="333"/>
      <c r="NT250" s="333"/>
      <c r="NU250" s="333"/>
      <c r="NV250" s="333"/>
      <c r="NW250" s="333"/>
      <c r="NX250" s="333"/>
      <c r="NY250" s="333"/>
      <c r="NZ250" s="333"/>
      <c r="OA250" s="333"/>
      <c r="OB250" s="333"/>
      <c r="OC250" s="333"/>
      <c r="OD250" s="334"/>
      <c r="OE250" s="288"/>
      <c r="OF250" s="288"/>
      <c r="OG250" s="288"/>
      <c r="OH250" s="288"/>
      <c r="OI250" s="288"/>
      <c r="OJ250" s="288"/>
      <c r="OK250" s="288"/>
      <c r="OL250" s="288"/>
      <c r="OM250" s="288"/>
      <c r="ON250" s="288"/>
      <c r="OO250" s="288"/>
      <c r="OP250" s="289"/>
      <c r="OW250" s="12"/>
      <c r="OX250" s="7"/>
    </row>
    <row r="251" spans="3:414" ht="5.0999999999999996" customHeight="1" x14ac:dyDescent="0.3">
      <c r="C251" s="11"/>
      <c r="D251" s="13"/>
      <c r="Q251" s="1" t="s">
        <v>28</v>
      </c>
      <c r="BE251" s="1">
        <v>10</v>
      </c>
      <c r="MG251" s="332"/>
      <c r="MH251" s="333"/>
      <c r="MI251" s="333"/>
      <c r="MJ251" s="333"/>
      <c r="MK251" s="333"/>
      <c r="ML251" s="333"/>
      <c r="MM251" s="333"/>
      <c r="MN251" s="333"/>
      <c r="MO251" s="333"/>
      <c r="MP251" s="333"/>
      <c r="MQ251" s="333"/>
      <c r="MR251" s="333"/>
      <c r="MS251" s="333"/>
      <c r="MT251" s="333"/>
      <c r="MU251" s="333"/>
      <c r="MV251" s="333"/>
      <c r="MW251" s="333"/>
      <c r="MX251" s="333"/>
      <c r="MY251" s="333"/>
      <c r="MZ251" s="333"/>
      <c r="NA251" s="333"/>
      <c r="NB251" s="333"/>
      <c r="NC251" s="333"/>
      <c r="ND251" s="333"/>
      <c r="NE251" s="333"/>
      <c r="NF251" s="333"/>
      <c r="NG251" s="333"/>
      <c r="NH251" s="333"/>
      <c r="NI251" s="333"/>
      <c r="NJ251" s="333"/>
      <c r="NK251" s="333"/>
      <c r="NL251" s="333"/>
      <c r="NM251" s="333"/>
      <c r="NN251" s="333"/>
      <c r="NO251" s="333"/>
      <c r="NP251" s="333"/>
      <c r="NQ251" s="333"/>
      <c r="NR251" s="333"/>
      <c r="NS251" s="333"/>
      <c r="NT251" s="333"/>
      <c r="NU251" s="333"/>
      <c r="NV251" s="333"/>
      <c r="NW251" s="333"/>
      <c r="NX251" s="333"/>
      <c r="NY251" s="333"/>
      <c r="NZ251" s="333"/>
      <c r="OA251" s="333"/>
      <c r="OB251" s="333"/>
      <c r="OC251" s="333"/>
      <c r="OD251" s="334"/>
      <c r="OE251" s="288"/>
      <c r="OF251" s="288"/>
      <c r="OG251" s="288"/>
      <c r="OH251" s="288"/>
      <c r="OI251" s="288"/>
      <c r="OJ251" s="288"/>
      <c r="OK251" s="288"/>
      <c r="OL251" s="288"/>
      <c r="OM251" s="288"/>
      <c r="ON251" s="288"/>
      <c r="OO251" s="288"/>
      <c r="OP251" s="289"/>
      <c r="OW251" s="12"/>
      <c r="OX251" s="7"/>
    </row>
    <row r="252" spans="3:414" ht="5.0999999999999996" customHeight="1" x14ac:dyDescent="0.3">
      <c r="C252" s="11"/>
      <c r="D252" s="13"/>
      <c r="MG252" s="332"/>
      <c r="MH252" s="333"/>
      <c r="MI252" s="333"/>
      <c r="MJ252" s="333"/>
      <c r="MK252" s="333"/>
      <c r="ML252" s="333"/>
      <c r="MM252" s="333"/>
      <c r="MN252" s="333"/>
      <c r="MO252" s="333"/>
      <c r="MP252" s="333"/>
      <c r="MQ252" s="333"/>
      <c r="MR252" s="333"/>
      <c r="MS252" s="333"/>
      <c r="MT252" s="333"/>
      <c r="MU252" s="333"/>
      <c r="MV252" s="333"/>
      <c r="MW252" s="333"/>
      <c r="MX252" s="333"/>
      <c r="MY252" s="333"/>
      <c r="MZ252" s="333"/>
      <c r="NA252" s="333"/>
      <c r="NB252" s="333"/>
      <c r="NC252" s="333"/>
      <c r="ND252" s="333"/>
      <c r="NE252" s="333"/>
      <c r="NF252" s="333"/>
      <c r="NG252" s="333"/>
      <c r="NH252" s="333"/>
      <c r="NI252" s="333"/>
      <c r="NJ252" s="333"/>
      <c r="NK252" s="333"/>
      <c r="NL252" s="333"/>
      <c r="NM252" s="333"/>
      <c r="NN252" s="333"/>
      <c r="NO252" s="333"/>
      <c r="NP252" s="333"/>
      <c r="NQ252" s="333"/>
      <c r="NR252" s="333"/>
      <c r="NS252" s="333"/>
      <c r="NT252" s="333"/>
      <c r="NU252" s="333"/>
      <c r="NV252" s="333"/>
      <c r="NW252" s="333"/>
      <c r="NX252" s="333"/>
      <c r="NY252" s="333"/>
      <c r="NZ252" s="333"/>
      <c r="OA252" s="333"/>
      <c r="OB252" s="333"/>
      <c r="OC252" s="333"/>
      <c r="OD252" s="334"/>
      <c r="OE252" s="288"/>
      <c r="OF252" s="288"/>
      <c r="OG252" s="288"/>
      <c r="OH252" s="288"/>
      <c r="OI252" s="288"/>
      <c r="OJ252" s="288"/>
      <c r="OK252" s="288"/>
      <c r="OL252" s="288"/>
      <c r="OM252" s="288"/>
      <c r="ON252" s="288"/>
      <c r="OO252" s="288"/>
      <c r="OP252" s="289"/>
      <c r="OW252" s="12"/>
      <c r="OX252" s="7"/>
    </row>
    <row r="253" spans="3:414" ht="5.0999999999999996" customHeight="1" x14ac:dyDescent="0.3">
      <c r="C253" s="11"/>
      <c r="D253" s="13"/>
      <c r="MG253" s="332"/>
      <c r="MH253" s="333"/>
      <c r="MI253" s="333"/>
      <c r="MJ253" s="333"/>
      <c r="MK253" s="333"/>
      <c r="ML253" s="333"/>
      <c r="MM253" s="333"/>
      <c r="MN253" s="333"/>
      <c r="MO253" s="333"/>
      <c r="MP253" s="333"/>
      <c r="MQ253" s="333"/>
      <c r="MR253" s="333"/>
      <c r="MS253" s="333"/>
      <c r="MT253" s="333"/>
      <c r="MU253" s="333"/>
      <c r="MV253" s="333"/>
      <c r="MW253" s="333"/>
      <c r="MX253" s="333"/>
      <c r="MY253" s="333"/>
      <c r="MZ253" s="333"/>
      <c r="NA253" s="333"/>
      <c r="NB253" s="333"/>
      <c r="NC253" s="333"/>
      <c r="ND253" s="333"/>
      <c r="NE253" s="333"/>
      <c r="NF253" s="333"/>
      <c r="NG253" s="333"/>
      <c r="NH253" s="333"/>
      <c r="NI253" s="333"/>
      <c r="NJ253" s="333"/>
      <c r="NK253" s="333"/>
      <c r="NL253" s="333"/>
      <c r="NM253" s="333"/>
      <c r="NN253" s="333"/>
      <c r="NO253" s="333"/>
      <c r="NP253" s="333"/>
      <c r="NQ253" s="333"/>
      <c r="NR253" s="333"/>
      <c r="NS253" s="333"/>
      <c r="NT253" s="333"/>
      <c r="NU253" s="333"/>
      <c r="NV253" s="333"/>
      <c r="NW253" s="333"/>
      <c r="NX253" s="333"/>
      <c r="NY253" s="333"/>
      <c r="NZ253" s="333"/>
      <c r="OA253" s="333"/>
      <c r="OB253" s="333"/>
      <c r="OC253" s="333"/>
      <c r="OD253" s="334"/>
      <c r="OE253" s="288"/>
      <c r="OF253" s="288"/>
      <c r="OG253" s="288"/>
      <c r="OH253" s="288"/>
      <c r="OI253" s="288"/>
      <c r="OJ253" s="288"/>
      <c r="OK253" s="288"/>
      <c r="OL253" s="288"/>
      <c r="OM253" s="288"/>
      <c r="ON253" s="288"/>
      <c r="OO253" s="288"/>
      <c r="OP253" s="289"/>
      <c r="OW253" s="12"/>
      <c r="OX253" s="7"/>
    </row>
    <row r="254" spans="3:414" ht="5.0999999999999996" customHeight="1" x14ac:dyDescent="0.3">
      <c r="C254" s="11"/>
      <c r="D254" s="13"/>
      <c r="MG254" s="332"/>
      <c r="MH254" s="333"/>
      <c r="MI254" s="333"/>
      <c r="MJ254" s="333"/>
      <c r="MK254" s="333"/>
      <c r="ML254" s="333"/>
      <c r="MM254" s="333"/>
      <c r="MN254" s="333"/>
      <c r="MO254" s="333"/>
      <c r="MP254" s="333"/>
      <c r="MQ254" s="333"/>
      <c r="MR254" s="333"/>
      <c r="MS254" s="333"/>
      <c r="MT254" s="333"/>
      <c r="MU254" s="333"/>
      <c r="MV254" s="333"/>
      <c r="MW254" s="333"/>
      <c r="MX254" s="333"/>
      <c r="MY254" s="333"/>
      <c r="MZ254" s="333"/>
      <c r="NA254" s="333"/>
      <c r="NB254" s="333"/>
      <c r="NC254" s="333"/>
      <c r="ND254" s="333"/>
      <c r="NE254" s="333"/>
      <c r="NF254" s="333"/>
      <c r="NG254" s="333"/>
      <c r="NH254" s="333"/>
      <c r="NI254" s="333"/>
      <c r="NJ254" s="333"/>
      <c r="NK254" s="333"/>
      <c r="NL254" s="333"/>
      <c r="NM254" s="333"/>
      <c r="NN254" s="333"/>
      <c r="NO254" s="333"/>
      <c r="NP254" s="333"/>
      <c r="NQ254" s="333"/>
      <c r="NR254" s="333"/>
      <c r="NS254" s="333"/>
      <c r="NT254" s="333"/>
      <c r="NU254" s="333"/>
      <c r="NV254" s="333"/>
      <c r="NW254" s="333"/>
      <c r="NX254" s="333"/>
      <c r="NY254" s="333"/>
      <c r="NZ254" s="333"/>
      <c r="OA254" s="333"/>
      <c r="OB254" s="333"/>
      <c r="OC254" s="333"/>
      <c r="OD254" s="334"/>
      <c r="OE254" s="288"/>
      <c r="OF254" s="288"/>
      <c r="OG254" s="288"/>
      <c r="OH254" s="288"/>
      <c r="OI254" s="288"/>
      <c r="OJ254" s="288"/>
      <c r="OK254" s="288"/>
      <c r="OL254" s="288"/>
      <c r="OM254" s="288"/>
      <c r="ON254" s="288"/>
      <c r="OO254" s="288"/>
      <c r="OP254" s="289"/>
      <c r="OW254" s="12"/>
      <c r="OX254" s="7"/>
    </row>
    <row r="255" spans="3:414" ht="5.0999999999999996" customHeight="1" thickBot="1" x14ac:dyDescent="0.35">
      <c r="C255" s="11"/>
      <c r="D255" s="13"/>
      <c r="MG255" s="335"/>
      <c r="MH255" s="336"/>
      <c r="MI255" s="336"/>
      <c r="MJ255" s="336"/>
      <c r="MK255" s="336"/>
      <c r="ML255" s="336"/>
      <c r="MM255" s="336"/>
      <c r="MN255" s="336"/>
      <c r="MO255" s="336"/>
      <c r="MP255" s="336"/>
      <c r="MQ255" s="336"/>
      <c r="MR255" s="336"/>
      <c r="MS255" s="336"/>
      <c r="MT255" s="336"/>
      <c r="MU255" s="336"/>
      <c r="MV255" s="336"/>
      <c r="MW255" s="336"/>
      <c r="MX255" s="336"/>
      <c r="MY255" s="336"/>
      <c r="MZ255" s="336"/>
      <c r="NA255" s="336"/>
      <c r="NB255" s="336"/>
      <c r="NC255" s="336"/>
      <c r="ND255" s="336"/>
      <c r="NE255" s="336"/>
      <c r="NF255" s="336"/>
      <c r="NG255" s="336"/>
      <c r="NH255" s="336"/>
      <c r="NI255" s="336"/>
      <c r="NJ255" s="336"/>
      <c r="NK255" s="336"/>
      <c r="NL255" s="336"/>
      <c r="NM255" s="336"/>
      <c r="NN255" s="336"/>
      <c r="NO255" s="336"/>
      <c r="NP255" s="336"/>
      <c r="NQ255" s="336"/>
      <c r="NR255" s="336"/>
      <c r="NS255" s="336"/>
      <c r="NT255" s="336"/>
      <c r="NU255" s="336"/>
      <c r="NV255" s="336"/>
      <c r="NW255" s="336"/>
      <c r="NX255" s="336"/>
      <c r="NY255" s="336"/>
      <c r="NZ255" s="336"/>
      <c r="OA255" s="336"/>
      <c r="OB255" s="336"/>
      <c r="OC255" s="336"/>
      <c r="OD255" s="337"/>
      <c r="OE255" s="291"/>
      <c r="OF255" s="291"/>
      <c r="OG255" s="291"/>
      <c r="OH255" s="291"/>
      <c r="OI255" s="291"/>
      <c r="OJ255" s="291"/>
      <c r="OK255" s="291"/>
      <c r="OL255" s="291"/>
      <c r="OM255" s="291"/>
      <c r="ON255" s="291"/>
      <c r="OO255" s="291"/>
      <c r="OP255" s="292"/>
      <c r="OW255" s="12"/>
      <c r="OX255" s="7"/>
    </row>
    <row r="256" spans="3:414" ht="5.0999999999999996" customHeight="1" x14ac:dyDescent="0.3">
      <c r="C256" s="11"/>
      <c r="D256" s="13"/>
      <c r="MG256" s="329" t="s">
        <v>2</v>
      </c>
      <c r="MH256" s="330"/>
      <c r="MI256" s="330"/>
      <c r="MJ256" s="330"/>
      <c r="MK256" s="330"/>
      <c r="ML256" s="330"/>
      <c r="MM256" s="330"/>
      <c r="MN256" s="330"/>
      <c r="MO256" s="330"/>
      <c r="MP256" s="330"/>
      <c r="MQ256" s="330"/>
      <c r="MR256" s="330"/>
      <c r="MS256" s="330"/>
      <c r="MT256" s="330"/>
      <c r="MU256" s="330"/>
      <c r="MV256" s="330"/>
      <c r="MW256" s="330"/>
      <c r="MX256" s="330"/>
      <c r="MY256" s="330"/>
      <c r="MZ256" s="330"/>
      <c r="NA256" s="330"/>
      <c r="NB256" s="330"/>
      <c r="NC256" s="330"/>
      <c r="ND256" s="330"/>
      <c r="NE256" s="330"/>
      <c r="NF256" s="330"/>
      <c r="NG256" s="330"/>
      <c r="NH256" s="330"/>
      <c r="NI256" s="330"/>
      <c r="NJ256" s="330"/>
      <c r="NK256" s="330"/>
      <c r="NL256" s="330"/>
      <c r="NM256" s="330"/>
      <c r="NN256" s="330"/>
      <c r="NO256" s="330"/>
      <c r="NP256" s="330"/>
      <c r="NQ256" s="330"/>
      <c r="NR256" s="330"/>
      <c r="NS256" s="330"/>
      <c r="NT256" s="330"/>
      <c r="NU256" s="330"/>
      <c r="NV256" s="330"/>
      <c r="NW256" s="330"/>
      <c r="NX256" s="330"/>
      <c r="NY256" s="330"/>
      <c r="NZ256" s="330"/>
      <c r="OA256" s="330"/>
      <c r="OB256" s="330"/>
      <c r="OC256" s="330"/>
      <c r="OD256" s="331"/>
      <c r="OE256" s="284">
        <f>LG117</f>
        <v>10</v>
      </c>
      <c r="OF256" s="285"/>
      <c r="OG256" s="285"/>
      <c r="OH256" s="285"/>
      <c r="OI256" s="285"/>
      <c r="OJ256" s="285">
        <f>LG117</f>
        <v>10</v>
      </c>
      <c r="OK256" s="285"/>
      <c r="OL256" s="285"/>
      <c r="OM256" s="285"/>
      <c r="ON256" s="285"/>
      <c r="OO256" s="285"/>
      <c r="OP256" s="286"/>
      <c r="OW256" s="12"/>
      <c r="OX256" s="7"/>
    </row>
    <row r="257" spans="3:414" ht="5.0999999999999996" customHeight="1" x14ac:dyDescent="0.3">
      <c r="C257" s="11"/>
      <c r="D257" s="13"/>
      <c r="MG257" s="332"/>
      <c r="MH257" s="333"/>
      <c r="MI257" s="333"/>
      <c r="MJ257" s="333"/>
      <c r="MK257" s="333"/>
      <c r="ML257" s="333"/>
      <c r="MM257" s="333"/>
      <c r="MN257" s="333"/>
      <c r="MO257" s="333"/>
      <c r="MP257" s="333"/>
      <c r="MQ257" s="333"/>
      <c r="MR257" s="333"/>
      <c r="MS257" s="333"/>
      <c r="MT257" s="333"/>
      <c r="MU257" s="333"/>
      <c r="MV257" s="333"/>
      <c r="MW257" s="333"/>
      <c r="MX257" s="333"/>
      <c r="MY257" s="333"/>
      <c r="MZ257" s="333"/>
      <c r="NA257" s="333"/>
      <c r="NB257" s="333"/>
      <c r="NC257" s="333"/>
      <c r="ND257" s="333"/>
      <c r="NE257" s="333"/>
      <c r="NF257" s="333"/>
      <c r="NG257" s="333"/>
      <c r="NH257" s="333"/>
      <c r="NI257" s="333"/>
      <c r="NJ257" s="333"/>
      <c r="NK257" s="333"/>
      <c r="NL257" s="333"/>
      <c r="NM257" s="333"/>
      <c r="NN257" s="333"/>
      <c r="NO257" s="333"/>
      <c r="NP257" s="333"/>
      <c r="NQ257" s="333"/>
      <c r="NR257" s="333"/>
      <c r="NS257" s="333"/>
      <c r="NT257" s="333"/>
      <c r="NU257" s="333"/>
      <c r="NV257" s="333"/>
      <c r="NW257" s="333"/>
      <c r="NX257" s="333"/>
      <c r="NY257" s="333"/>
      <c r="NZ257" s="333"/>
      <c r="OA257" s="333"/>
      <c r="OB257" s="333"/>
      <c r="OC257" s="333"/>
      <c r="OD257" s="334"/>
      <c r="OE257" s="287"/>
      <c r="OF257" s="288"/>
      <c r="OG257" s="288"/>
      <c r="OH257" s="288"/>
      <c r="OI257" s="288"/>
      <c r="OJ257" s="288"/>
      <c r="OK257" s="288"/>
      <c r="OL257" s="288"/>
      <c r="OM257" s="288"/>
      <c r="ON257" s="288"/>
      <c r="OO257" s="288"/>
      <c r="OP257" s="289"/>
      <c r="OW257" s="12"/>
      <c r="OX257" s="7"/>
    </row>
    <row r="258" spans="3:414" ht="5.0999999999999996" customHeight="1" x14ac:dyDescent="0.3">
      <c r="C258" s="11"/>
      <c r="D258" s="13"/>
      <c r="MG258" s="332"/>
      <c r="MH258" s="333"/>
      <c r="MI258" s="333"/>
      <c r="MJ258" s="333"/>
      <c r="MK258" s="333"/>
      <c r="ML258" s="333"/>
      <c r="MM258" s="333"/>
      <c r="MN258" s="333"/>
      <c r="MO258" s="333"/>
      <c r="MP258" s="333"/>
      <c r="MQ258" s="333"/>
      <c r="MR258" s="333"/>
      <c r="MS258" s="333"/>
      <c r="MT258" s="333"/>
      <c r="MU258" s="333"/>
      <c r="MV258" s="333"/>
      <c r="MW258" s="333"/>
      <c r="MX258" s="333"/>
      <c r="MY258" s="333"/>
      <c r="MZ258" s="333"/>
      <c r="NA258" s="333"/>
      <c r="NB258" s="333"/>
      <c r="NC258" s="333"/>
      <c r="ND258" s="333"/>
      <c r="NE258" s="333"/>
      <c r="NF258" s="333"/>
      <c r="NG258" s="333"/>
      <c r="NH258" s="333"/>
      <c r="NI258" s="333"/>
      <c r="NJ258" s="333"/>
      <c r="NK258" s="333"/>
      <c r="NL258" s="333"/>
      <c r="NM258" s="333"/>
      <c r="NN258" s="333"/>
      <c r="NO258" s="333"/>
      <c r="NP258" s="333"/>
      <c r="NQ258" s="333"/>
      <c r="NR258" s="333"/>
      <c r="NS258" s="333"/>
      <c r="NT258" s="333"/>
      <c r="NU258" s="333"/>
      <c r="NV258" s="333"/>
      <c r="NW258" s="333"/>
      <c r="NX258" s="333"/>
      <c r="NY258" s="333"/>
      <c r="NZ258" s="333"/>
      <c r="OA258" s="333"/>
      <c r="OB258" s="333"/>
      <c r="OC258" s="333"/>
      <c r="OD258" s="334"/>
      <c r="OE258" s="287"/>
      <c r="OF258" s="288"/>
      <c r="OG258" s="288"/>
      <c r="OH258" s="288"/>
      <c r="OI258" s="288"/>
      <c r="OJ258" s="288"/>
      <c r="OK258" s="288"/>
      <c r="OL258" s="288"/>
      <c r="OM258" s="288"/>
      <c r="ON258" s="288"/>
      <c r="OO258" s="288"/>
      <c r="OP258" s="289"/>
      <c r="OW258" s="12"/>
      <c r="OX258" s="7"/>
    </row>
    <row r="259" spans="3:414" ht="5.0999999999999996" customHeight="1" x14ac:dyDescent="0.3">
      <c r="C259" s="11"/>
      <c r="D259" s="13"/>
      <c r="MG259" s="332"/>
      <c r="MH259" s="333"/>
      <c r="MI259" s="333"/>
      <c r="MJ259" s="333"/>
      <c r="MK259" s="333"/>
      <c r="ML259" s="333"/>
      <c r="MM259" s="333"/>
      <c r="MN259" s="333"/>
      <c r="MO259" s="333"/>
      <c r="MP259" s="333"/>
      <c r="MQ259" s="333"/>
      <c r="MR259" s="333"/>
      <c r="MS259" s="333"/>
      <c r="MT259" s="333"/>
      <c r="MU259" s="333"/>
      <c r="MV259" s="333"/>
      <c r="MW259" s="333"/>
      <c r="MX259" s="333"/>
      <c r="MY259" s="333"/>
      <c r="MZ259" s="333"/>
      <c r="NA259" s="333"/>
      <c r="NB259" s="333"/>
      <c r="NC259" s="333"/>
      <c r="ND259" s="333"/>
      <c r="NE259" s="333"/>
      <c r="NF259" s="333"/>
      <c r="NG259" s="333"/>
      <c r="NH259" s="333"/>
      <c r="NI259" s="333"/>
      <c r="NJ259" s="333"/>
      <c r="NK259" s="333"/>
      <c r="NL259" s="333"/>
      <c r="NM259" s="333"/>
      <c r="NN259" s="333"/>
      <c r="NO259" s="333"/>
      <c r="NP259" s="333"/>
      <c r="NQ259" s="333"/>
      <c r="NR259" s="333"/>
      <c r="NS259" s="333"/>
      <c r="NT259" s="333"/>
      <c r="NU259" s="333"/>
      <c r="NV259" s="333"/>
      <c r="NW259" s="333"/>
      <c r="NX259" s="333"/>
      <c r="NY259" s="333"/>
      <c r="NZ259" s="333"/>
      <c r="OA259" s="333"/>
      <c r="OB259" s="333"/>
      <c r="OC259" s="333"/>
      <c r="OD259" s="334"/>
      <c r="OE259" s="287"/>
      <c r="OF259" s="288"/>
      <c r="OG259" s="288"/>
      <c r="OH259" s="288"/>
      <c r="OI259" s="288"/>
      <c r="OJ259" s="288"/>
      <c r="OK259" s="288"/>
      <c r="OL259" s="288"/>
      <c r="OM259" s="288"/>
      <c r="ON259" s="288"/>
      <c r="OO259" s="288"/>
      <c r="OP259" s="289"/>
      <c r="OW259" s="12"/>
      <c r="OX259" s="7"/>
    </row>
    <row r="260" spans="3:414" ht="5.0999999999999996" customHeight="1" x14ac:dyDescent="0.3">
      <c r="C260" s="11"/>
      <c r="D260" s="13"/>
      <c r="MG260" s="332"/>
      <c r="MH260" s="333"/>
      <c r="MI260" s="333"/>
      <c r="MJ260" s="333"/>
      <c r="MK260" s="333"/>
      <c r="ML260" s="333"/>
      <c r="MM260" s="333"/>
      <c r="MN260" s="333"/>
      <c r="MO260" s="333"/>
      <c r="MP260" s="333"/>
      <c r="MQ260" s="333"/>
      <c r="MR260" s="333"/>
      <c r="MS260" s="333"/>
      <c r="MT260" s="333"/>
      <c r="MU260" s="333"/>
      <c r="MV260" s="333"/>
      <c r="MW260" s="333"/>
      <c r="MX260" s="333"/>
      <c r="MY260" s="333"/>
      <c r="MZ260" s="333"/>
      <c r="NA260" s="333"/>
      <c r="NB260" s="333"/>
      <c r="NC260" s="333"/>
      <c r="ND260" s="333"/>
      <c r="NE260" s="333"/>
      <c r="NF260" s="333"/>
      <c r="NG260" s="333"/>
      <c r="NH260" s="333"/>
      <c r="NI260" s="333"/>
      <c r="NJ260" s="333"/>
      <c r="NK260" s="333"/>
      <c r="NL260" s="333"/>
      <c r="NM260" s="333"/>
      <c r="NN260" s="333"/>
      <c r="NO260" s="333"/>
      <c r="NP260" s="333"/>
      <c r="NQ260" s="333"/>
      <c r="NR260" s="333"/>
      <c r="NS260" s="333"/>
      <c r="NT260" s="333"/>
      <c r="NU260" s="333"/>
      <c r="NV260" s="333"/>
      <c r="NW260" s="333"/>
      <c r="NX260" s="333"/>
      <c r="NY260" s="333"/>
      <c r="NZ260" s="333"/>
      <c r="OA260" s="333"/>
      <c r="OB260" s="333"/>
      <c r="OC260" s="333"/>
      <c r="OD260" s="334"/>
      <c r="OE260" s="287"/>
      <c r="OF260" s="288"/>
      <c r="OG260" s="288"/>
      <c r="OH260" s="288"/>
      <c r="OI260" s="288"/>
      <c r="OJ260" s="288"/>
      <c r="OK260" s="288"/>
      <c r="OL260" s="288"/>
      <c r="OM260" s="288"/>
      <c r="ON260" s="288"/>
      <c r="OO260" s="288"/>
      <c r="OP260" s="289"/>
      <c r="OW260" s="12"/>
      <c r="OX260" s="7"/>
    </row>
    <row r="261" spans="3:414" ht="5.0999999999999996" customHeight="1" x14ac:dyDescent="0.3">
      <c r="C261" s="11"/>
      <c r="D261" s="13"/>
      <c r="Q261" s="1" t="s">
        <v>28</v>
      </c>
      <c r="BE261" s="1">
        <v>10</v>
      </c>
      <c r="MG261" s="332"/>
      <c r="MH261" s="333"/>
      <c r="MI261" s="333"/>
      <c r="MJ261" s="333"/>
      <c r="MK261" s="333"/>
      <c r="ML261" s="333"/>
      <c r="MM261" s="333"/>
      <c r="MN261" s="333"/>
      <c r="MO261" s="333"/>
      <c r="MP261" s="333"/>
      <c r="MQ261" s="333"/>
      <c r="MR261" s="333"/>
      <c r="MS261" s="333"/>
      <c r="MT261" s="333"/>
      <c r="MU261" s="333"/>
      <c r="MV261" s="333"/>
      <c r="MW261" s="333"/>
      <c r="MX261" s="333"/>
      <c r="MY261" s="333"/>
      <c r="MZ261" s="333"/>
      <c r="NA261" s="333"/>
      <c r="NB261" s="333"/>
      <c r="NC261" s="333"/>
      <c r="ND261" s="333"/>
      <c r="NE261" s="333"/>
      <c r="NF261" s="333"/>
      <c r="NG261" s="333"/>
      <c r="NH261" s="333"/>
      <c r="NI261" s="333"/>
      <c r="NJ261" s="333"/>
      <c r="NK261" s="333"/>
      <c r="NL261" s="333"/>
      <c r="NM261" s="333"/>
      <c r="NN261" s="333"/>
      <c r="NO261" s="333"/>
      <c r="NP261" s="333"/>
      <c r="NQ261" s="333"/>
      <c r="NR261" s="333"/>
      <c r="NS261" s="333"/>
      <c r="NT261" s="333"/>
      <c r="NU261" s="333"/>
      <c r="NV261" s="333"/>
      <c r="NW261" s="333"/>
      <c r="NX261" s="333"/>
      <c r="NY261" s="333"/>
      <c r="NZ261" s="333"/>
      <c r="OA261" s="333"/>
      <c r="OB261" s="333"/>
      <c r="OC261" s="333"/>
      <c r="OD261" s="334"/>
      <c r="OE261" s="287"/>
      <c r="OF261" s="288"/>
      <c r="OG261" s="288"/>
      <c r="OH261" s="288"/>
      <c r="OI261" s="288"/>
      <c r="OJ261" s="288"/>
      <c r="OK261" s="288"/>
      <c r="OL261" s="288"/>
      <c r="OM261" s="288"/>
      <c r="ON261" s="288"/>
      <c r="OO261" s="288"/>
      <c r="OP261" s="289"/>
      <c r="OW261" s="12"/>
      <c r="OX261" s="7"/>
    </row>
    <row r="262" spans="3:414" ht="5.0999999999999996" customHeight="1" thickBot="1" x14ac:dyDescent="0.35">
      <c r="C262" s="11"/>
      <c r="D262" s="13"/>
      <c r="MG262" s="335"/>
      <c r="MH262" s="336"/>
      <c r="MI262" s="336"/>
      <c r="MJ262" s="336"/>
      <c r="MK262" s="336"/>
      <c r="ML262" s="336"/>
      <c r="MM262" s="336"/>
      <c r="MN262" s="336"/>
      <c r="MO262" s="336"/>
      <c r="MP262" s="336"/>
      <c r="MQ262" s="336"/>
      <c r="MR262" s="336"/>
      <c r="MS262" s="336"/>
      <c r="MT262" s="336"/>
      <c r="MU262" s="336"/>
      <c r="MV262" s="336"/>
      <c r="MW262" s="336"/>
      <c r="MX262" s="336"/>
      <c r="MY262" s="336"/>
      <c r="MZ262" s="336"/>
      <c r="NA262" s="336"/>
      <c r="NB262" s="336"/>
      <c r="NC262" s="336"/>
      <c r="ND262" s="336"/>
      <c r="NE262" s="336"/>
      <c r="NF262" s="336"/>
      <c r="NG262" s="336"/>
      <c r="NH262" s="336"/>
      <c r="NI262" s="336"/>
      <c r="NJ262" s="336"/>
      <c r="NK262" s="336"/>
      <c r="NL262" s="336"/>
      <c r="NM262" s="336"/>
      <c r="NN262" s="336"/>
      <c r="NO262" s="336"/>
      <c r="NP262" s="336"/>
      <c r="NQ262" s="336"/>
      <c r="NR262" s="336"/>
      <c r="NS262" s="336"/>
      <c r="NT262" s="336"/>
      <c r="NU262" s="336"/>
      <c r="NV262" s="336"/>
      <c r="NW262" s="336"/>
      <c r="NX262" s="336"/>
      <c r="NY262" s="336"/>
      <c r="NZ262" s="336"/>
      <c r="OA262" s="336"/>
      <c r="OB262" s="336"/>
      <c r="OC262" s="336"/>
      <c r="OD262" s="337"/>
      <c r="OE262" s="290"/>
      <c r="OF262" s="291"/>
      <c r="OG262" s="291"/>
      <c r="OH262" s="291"/>
      <c r="OI262" s="291"/>
      <c r="OJ262" s="291"/>
      <c r="OK262" s="291"/>
      <c r="OL262" s="291"/>
      <c r="OM262" s="291"/>
      <c r="ON262" s="291"/>
      <c r="OO262" s="291"/>
      <c r="OP262" s="292"/>
      <c r="OW262" s="12"/>
      <c r="OX262" s="7"/>
    </row>
    <row r="263" spans="3:414" ht="5.0999999999999996" customHeight="1" x14ac:dyDescent="0.3">
      <c r="C263" s="11"/>
      <c r="D263" s="13"/>
      <c r="MG263" s="329" t="s">
        <v>1</v>
      </c>
      <c r="MH263" s="330"/>
      <c r="MI263" s="330"/>
      <c r="MJ263" s="330"/>
      <c r="MK263" s="330"/>
      <c r="ML263" s="330"/>
      <c r="MM263" s="330"/>
      <c r="MN263" s="330"/>
      <c r="MO263" s="330"/>
      <c r="MP263" s="330"/>
      <c r="MQ263" s="330"/>
      <c r="MR263" s="330"/>
      <c r="MS263" s="330"/>
      <c r="MT263" s="330"/>
      <c r="MU263" s="330"/>
      <c r="MV263" s="330"/>
      <c r="MW263" s="330"/>
      <c r="MX263" s="330"/>
      <c r="MY263" s="330"/>
      <c r="MZ263" s="330"/>
      <c r="NA263" s="330"/>
      <c r="NB263" s="330"/>
      <c r="NC263" s="330"/>
      <c r="ND263" s="330"/>
      <c r="NE263" s="330"/>
      <c r="NF263" s="330"/>
      <c r="NG263" s="330"/>
      <c r="NH263" s="330"/>
      <c r="NI263" s="330"/>
      <c r="NJ263" s="330"/>
      <c r="NK263" s="330"/>
      <c r="NL263" s="330"/>
      <c r="NM263" s="330"/>
      <c r="NN263" s="330"/>
      <c r="NO263" s="330"/>
      <c r="NP263" s="330"/>
      <c r="NQ263" s="330"/>
      <c r="NR263" s="330"/>
      <c r="NS263" s="330"/>
      <c r="NT263" s="330"/>
      <c r="NU263" s="330"/>
      <c r="NV263" s="330"/>
      <c r="NW263" s="330"/>
      <c r="NX263" s="330"/>
      <c r="NY263" s="330"/>
      <c r="NZ263" s="330"/>
      <c r="OA263" s="330"/>
      <c r="OB263" s="330"/>
      <c r="OC263" s="330"/>
      <c r="OD263" s="331"/>
      <c r="OE263" s="284">
        <f>LG139</f>
        <v>32</v>
      </c>
      <c r="OF263" s="285"/>
      <c r="OG263" s="285"/>
      <c r="OH263" s="285"/>
      <c r="OI263" s="285"/>
      <c r="OJ263" s="285">
        <f>LG139</f>
        <v>32</v>
      </c>
      <c r="OK263" s="285"/>
      <c r="OL263" s="285"/>
      <c r="OM263" s="285"/>
      <c r="ON263" s="285"/>
      <c r="OO263" s="285"/>
      <c r="OP263" s="286"/>
      <c r="OW263" s="12"/>
      <c r="OX263" s="7"/>
    </row>
    <row r="264" spans="3:414" ht="5.0999999999999996" customHeight="1" x14ac:dyDescent="0.3">
      <c r="C264" s="11"/>
      <c r="D264" s="13"/>
      <c r="MG264" s="332"/>
      <c r="MH264" s="333"/>
      <c r="MI264" s="333"/>
      <c r="MJ264" s="333"/>
      <c r="MK264" s="333"/>
      <c r="ML264" s="333"/>
      <c r="MM264" s="333"/>
      <c r="MN264" s="333"/>
      <c r="MO264" s="333"/>
      <c r="MP264" s="333"/>
      <c r="MQ264" s="333"/>
      <c r="MR264" s="333"/>
      <c r="MS264" s="333"/>
      <c r="MT264" s="333"/>
      <c r="MU264" s="333"/>
      <c r="MV264" s="333"/>
      <c r="MW264" s="333"/>
      <c r="MX264" s="333"/>
      <c r="MY264" s="333"/>
      <c r="MZ264" s="333"/>
      <c r="NA264" s="333"/>
      <c r="NB264" s="333"/>
      <c r="NC264" s="333"/>
      <c r="ND264" s="333"/>
      <c r="NE264" s="333"/>
      <c r="NF264" s="333"/>
      <c r="NG264" s="333"/>
      <c r="NH264" s="333"/>
      <c r="NI264" s="333"/>
      <c r="NJ264" s="333"/>
      <c r="NK264" s="333"/>
      <c r="NL264" s="333"/>
      <c r="NM264" s="333"/>
      <c r="NN264" s="333"/>
      <c r="NO264" s="333"/>
      <c r="NP264" s="333"/>
      <c r="NQ264" s="333"/>
      <c r="NR264" s="333"/>
      <c r="NS264" s="333"/>
      <c r="NT264" s="333"/>
      <c r="NU264" s="333"/>
      <c r="NV264" s="333"/>
      <c r="NW264" s="333"/>
      <c r="NX264" s="333"/>
      <c r="NY264" s="333"/>
      <c r="NZ264" s="333"/>
      <c r="OA264" s="333"/>
      <c r="OB264" s="333"/>
      <c r="OC264" s="333"/>
      <c r="OD264" s="334"/>
      <c r="OE264" s="287"/>
      <c r="OF264" s="288"/>
      <c r="OG264" s="288"/>
      <c r="OH264" s="288"/>
      <c r="OI264" s="288"/>
      <c r="OJ264" s="288"/>
      <c r="OK264" s="288"/>
      <c r="OL264" s="288"/>
      <c r="OM264" s="288"/>
      <c r="ON264" s="288"/>
      <c r="OO264" s="288"/>
      <c r="OP264" s="289"/>
      <c r="OW264" s="12"/>
      <c r="OX264" s="7"/>
    </row>
    <row r="265" spans="3:414" ht="5.0999999999999996" customHeight="1" x14ac:dyDescent="0.3">
      <c r="C265" s="11"/>
      <c r="D265" s="13"/>
      <c r="MG265" s="332"/>
      <c r="MH265" s="333"/>
      <c r="MI265" s="333"/>
      <c r="MJ265" s="333"/>
      <c r="MK265" s="333"/>
      <c r="ML265" s="333"/>
      <c r="MM265" s="333"/>
      <c r="MN265" s="333"/>
      <c r="MO265" s="333"/>
      <c r="MP265" s="333"/>
      <c r="MQ265" s="333"/>
      <c r="MR265" s="333"/>
      <c r="MS265" s="333"/>
      <c r="MT265" s="333"/>
      <c r="MU265" s="333"/>
      <c r="MV265" s="333"/>
      <c r="MW265" s="333"/>
      <c r="MX265" s="333"/>
      <c r="MY265" s="333"/>
      <c r="MZ265" s="333"/>
      <c r="NA265" s="333"/>
      <c r="NB265" s="333"/>
      <c r="NC265" s="333"/>
      <c r="ND265" s="333"/>
      <c r="NE265" s="333"/>
      <c r="NF265" s="333"/>
      <c r="NG265" s="333"/>
      <c r="NH265" s="333"/>
      <c r="NI265" s="333"/>
      <c r="NJ265" s="333"/>
      <c r="NK265" s="333"/>
      <c r="NL265" s="333"/>
      <c r="NM265" s="333"/>
      <c r="NN265" s="333"/>
      <c r="NO265" s="333"/>
      <c r="NP265" s="333"/>
      <c r="NQ265" s="333"/>
      <c r="NR265" s="333"/>
      <c r="NS265" s="333"/>
      <c r="NT265" s="333"/>
      <c r="NU265" s="333"/>
      <c r="NV265" s="333"/>
      <c r="NW265" s="333"/>
      <c r="NX265" s="333"/>
      <c r="NY265" s="333"/>
      <c r="NZ265" s="333"/>
      <c r="OA265" s="333"/>
      <c r="OB265" s="333"/>
      <c r="OC265" s="333"/>
      <c r="OD265" s="334"/>
      <c r="OE265" s="287"/>
      <c r="OF265" s="288"/>
      <c r="OG265" s="288"/>
      <c r="OH265" s="288"/>
      <c r="OI265" s="288"/>
      <c r="OJ265" s="288"/>
      <c r="OK265" s="288"/>
      <c r="OL265" s="288"/>
      <c r="OM265" s="288"/>
      <c r="ON265" s="288"/>
      <c r="OO265" s="288"/>
      <c r="OP265" s="289"/>
      <c r="OW265" s="12"/>
      <c r="OX265" s="7"/>
    </row>
    <row r="266" spans="3:414" ht="5.0999999999999996" customHeight="1" x14ac:dyDescent="0.3">
      <c r="C266" s="11"/>
      <c r="D266" s="13"/>
      <c r="MG266" s="332"/>
      <c r="MH266" s="333"/>
      <c r="MI266" s="333"/>
      <c r="MJ266" s="333"/>
      <c r="MK266" s="333"/>
      <c r="ML266" s="333"/>
      <c r="MM266" s="333"/>
      <c r="MN266" s="333"/>
      <c r="MO266" s="333"/>
      <c r="MP266" s="333"/>
      <c r="MQ266" s="333"/>
      <c r="MR266" s="333"/>
      <c r="MS266" s="333"/>
      <c r="MT266" s="333"/>
      <c r="MU266" s="333"/>
      <c r="MV266" s="333"/>
      <c r="MW266" s="333"/>
      <c r="MX266" s="333"/>
      <c r="MY266" s="333"/>
      <c r="MZ266" s="333"/>
      <c r="NA266" s="333"/>
      <c r="NB266" s="333"/>
      <c r="NC266" s="333"/>
      <c r="ND266" s="333"/>
      <c r="NE266" s="333"/>
      <c r="NF266" s="333"/>
      <c r="NG266" s="333"/>
      <c r="NH266" s="333"/>
      <c r="NI266" s="333"/>
      <c r="NJ266" s="333"/>
      <c r="NK266" s="333"/>
      <c r="NL266" s="333"/>
      <c r="NM266" s="333"/>
      <c r="NN266" s="333"/>
      <c r="NO266" s="333"/>
      <c r="NP266" s="333"/>
      <c r="NQ266" s="333"/>
      <c r="NR266" s="333"/>
      <c r="NS266" s="333"/>
      <c r="NT266" s="333"/>
      <c r="NU266" s="333"/>
      <c r="NV266" s="333"/>
      <c r="NW266" s="333"/>
      <c r="NX266" s="333"/>
      <c r="NY266" s="333"/>
      <c r="NZ266" s="333"/>
      <c r="OA266" s="333"/>
      <c r="OB266" s="333"/>
      <c r="OC266" s="333"/>
      <c r="OD266" s="334"/>
      <c r="OE266" s="287"/>
      <c r="OF266" s="288"/>
      <c r="OG266" s="288"/>
      <c r="OH266" s="288"/>
      <c r="OI266" s="288"/>
      <c r="OJ266" s="288"/>
      <c r="OK266" s="288"/>
      <c r="OL266" s="288"/>
      <c r="OM266" s="288"/>
      <c r="ON266" s="288"/>
      <c r="OO266" s="288"/>
      <c r="OP266" s="289"/>
      <c r="OW266" s="12"/>
      <c r="OX266" s="7"/>
    </row>
    <row r="267" spans="3:414" ht="5.0999999999999996" customHeight="1" x14ac:dyDescent="0.3">
      <c r="C267" s="11"/>
      <c r="D267" s="13"/>
      <c r="MG267" s="332"/>
      <c r="MH267" s="333"/>
      <c r="MI267" s="333"/>
      <c r="MJ267" s="333"/>
      <c r="MK267" s="333"/>
      <c r="ML267" s="333"/>
      <c r="MM267" s="333"/>
      <c r="MN267" s="333"/>
      <c r="MO267" s="333"/>
      <c r="MP267" s="333"/>
      <c r="MQ267" s="333"/>
      <c r="MR267" s="333"/>
      <c r="MS267" s="333"/>
      <c r="MT267" s="333"/>
      <c r="MU267" s="333"/>
      <c r="MV267" s="333"/>
      <c r="MW267" s="333"/>
      <c r="MX267" s="333"/>
      <c r="MY267" s="333"/>
      <c r="MZ267" s="333"/>
      <c r="NA267" s="333"/>
      <c r="NB267" s="333"/>
      <c r="NC267" s="333"/>
      <c r="ND267" s="333"/>
      <c r="NE267" s="333"/>
      <c r="NF267" s="333"/>
      <c r="NG267" s="333"/>
      <c r="NH267" s="333"/>
      <c r="NI267" s="333"/>
      <c r="NJ267" s="333"/>
      <c r="NK267" s="333"/>
      <c r="NL267" s="333"/>
      <c r="NM267" s="333"/>
      <c r="NN267" s="333"/>
      <c r="NO267" s="333"/>
      <c r="NP267" s="333"/>
      <c r="NQ267" s="333"/>
      <c r="NR267" s="333"/>
      <c r="NS267" s="333"/>
      <c r="NT267" s="333"/>
      <c r="NU267" s="333"/>
      <c r="NV267" s="333"/>
      <c r="NW267" s="333"/>
      <c r="NX267" s="333"/>
      <c r="NY267" s="333"/>
      <c r="NZ267" s="333"/>
      <c r="OA267" s="333"/>
      <c r="OB267" s="333"/>
      <c r="OC267" s="333"/>
      <c r="OD267" s="334"/>
      <c r="OE267" s="287"/>
      <c r="OF267" s="288"/>
      <c r="OG267" s="288"/>
      <c r="OH267" s="288"/>
      <c r="OI267" s="288"/>
      <c r="OJ267" s="288"/>
      <c r="OK267" s="288"/>
      <c r="OL267" s="288"/>
      <c r="OM267" s="288"/>
      <c r="ON267" s="288"/>
      <c r="OO267" s="288"/>
      <c r="OP267" s="289"/>
      <c r="OW267" s="12"/>
      <c r="OX267" s="7"/>
    </row>
    <row r="268" spans="3:414" ht="5.0999999999999996" customHeight="1" x14ac:dyDescent="0.3">
      <c r="C268" s="11"/>
      <c r="D268" s="13"/>
      <c r="MG268" s="332"/>
      <c r="MH268" s="333"/>
      <c r="MI268" s="333"/>
      <c r="MJ268" s="333"/>
      <c r="MK268" s="333"/>
      <c r="ML268" s="333"/>
      <c r="MM268" s="333"/>
      <c r="MN268" s="333"/>
      <c r="MO268" s="333"/>
      <c r="MP268" s="333"/>
      <c r="MQ268" s="333"/>
      <c r="MR268" s="333"/>
      <c r="MS268" s="333"/>
      <c r="MT268" s="333"/>
      <c r="MU268" s="333"/>
      <c r="MV268" s="333"/>
      <c r="MW268" s="333"/>
      <c r="MX268" s="333"/>
      <c r="MY268" s="333"/>
      <c r="MZ268" s="333"/>
      <c r="NA268" s="333"/>
      <c r="NB268" s="333"/>
      <c r="NC268" s="333"/>
      <c r="ND268" s="333"/>
      <c r="NE268" s="333"/>
      <c r="NF268" s="333"/>
      <c r="NG268" s="333"/>
      <c r="NH268" s="333"/>
      <c r="NI268" s="333"/>
      <c r="NJ268" s="333"/>
      <c r="NK268" s="333"/>
      <c r="NL268" s="333"/>
      <c r="NM268" s="333"/>
      <c r="NN268" s="333"/>
      <c r="NO268" s="333"/>
      <c r="NP268" s="333"/>
      <c r="NQ268" s="333"/>
      <c r="NR268" s="333"/>
      <c r="NS268" s="333"/>
      <c r="NT268" s="333"/>
      <c r="NU268" s="333"/>
      <c r="NV268" s="333"/>
      <c r="NW268" s="333"/>
      <c r="NX268" s="333"/>
      <c r="NY268" s="333"/>
      <c r="NZ268" s="333"/>
      <c r="OA268" s="333"/>
      <c r="OB268" s="333"/>
      <c r="OC268" s="333"/>
      <c r="OD268" s="334"/>
      <c r="OE268" s="287"/>
      <c r="OF268" s="288"/>
      <c r="OG268" s="288"/>
      <c r="OH268" s="288"/>
      <c r="OI268" s="288"/>
      <c r="OJ268" s="288"/>
      <c r="OK268" s="288"/>
      <c r="OL268" s="288"/>
      <c r="OM268" s="288"/>
      <c r="ON268" s="288"/>
      <c r="OO268" s="288"/>
      <c r="OP268" s="289"/>
      <c r="OW268" s="12"/>
      <c r="OX268" s="7"/>
    </row>
    <row r="269" spans="3:414" ht="5.0999999999999996" customHeight="1" thickBot="1" x14ac:dyDescent="0.35">
      <c r="C269" s="11"/>
      <c r="D269" s="13"/>
      <c r="MG269" s="335"/>
      <c r="MH269" s="336"/>
      <c r="MI269" s="336"/>
      <c r="MJ269" s="336"/>
      <c r="MK269" s="336"/>
      <c r="ML269" s="336"/>
      <c r="MM269" s="336"/>
      <c r="MN269" s="336"/>
      <c r="MO269" s="336"/>
      <c r="MP269" s="336"/>
      <c r="MQ269" s="336"/>
      <c r="MR269" s="336"/>
      <c r="MS269" s="336"/>
      <c r="MT269" s="336"/>
      <c r="MU269" s="336"/>
      <c r="MV269" s="336"/>
      <c r="MW269" s="336"/>
      <c r="MX269" s="336"/>
      <c r="MY269" s="336"/>
      <c r="MZ269" s="336"/>
      <c r="NA269" s="336"/>
      <c r="NB269" s="336"/>
      <c r="NC269" s="336"/>
      <c r="ND269" s="336"/>
      <c r="NE269" s="336"/>
      <c r="NF269" s="336"/>
      <c r="NG269" s="336"/>
      <c r="NH269" s="336"/>
      <c r="NI269" s="336"/>
      <c r="NJ269" s="336"/>
      <c r="NK269" s="336"/>
      <c r="NL269" s="336"/>
      <c r="NM269" s="336"/>
      <c r="NN269" s="336"/>
      <c r="NO269" s="336"/>
      <c r="NP269" s="336"/>
      <c r="NQ269" s="336"/>
      <c r="NR269" s="336"/>
      <c r="NS269" s="336"/>
      <c r="NT269" s="336"/>
      <c r="NU269" s="336"/>
      <c r="NV269" s="336"/>
      <c r="NW269" s="336"/>
      <c r="NX269" s="336"/>
      <c r="NY269" s="336"/>
      <c r="NZ269" s="336"/>
      <c r="OA269" s="336"/>
      <c r="OB269" s="336"/>
      <c r="OC269" s="336"/>
      <c r="OD269" s="337"/>
      <c r="OE269" s="290"/>
      <c r="OF269" s="291"/>
      <c r="OG269" s="291"/>
      <c r="OH269" s="291"/>
      <c r="OI269" s="291"/>
      <c r="OJ269" s="291"/>
      <c r="OK269" s="291"/>
      <c r="OL269" s="291"/>
      <c r="OM269" s="291"/>
      <c r="ON269" s="291"/>
      <c r="OO269" s="291"/>
      <c r="OP269" s="292"/>
      <c r="OW269" s="12"/>
      <c r="OX269" s="7"/>
    </row>
    <row r="270" spans="3:414" ht="5.0999999999999996" customHeight="1" x14ac:dyDescent="0.3">
      <c r="C270" s="11"/>
      <c r="D270" s="13"/>
      <c r="MG270" s="329" t="s">
        <v>0</v>
      </c>
      <c r="MH270" s="330"/>
      <c r="MI270" s="330"/>
      <c r="MJ270" s="330"/>
      <c r="MK270" s="330"/>
      <c r="ML270" s="330"/>
      <c r="MM270" s="330"/>
      <c r="MN270" s="330"/>
      <c r="MO270" s="330"/>
      <c r="MP270" s="330"/>
      <c r="MQ270" s="330"/>
      <c r="MR270" s="330"/>
      <c r="MS270" s="330"/>
      <c r="MT270" s="330"/>
      <c r="MU270" s="330"/>
      <c r="MV270" s="330"/>
      <c r="MW270" s="330"/>
      <c r="MX270" s="330"/>
      <c r="MY270" s="330"/>
      <c r="MZ270" s="330"/>
      <c r="NA270" s="330"/>
      <c r="NB270" s="330"/>
      <c r="NC270" s="330"/>
      <c r="ND270" s="330"/>
      <c r="NE270" s="330"/>
      <c r="NF270" s="330"/>
      <c r="NG270" s="330"/>
      <c r="NH270" s="330"/>
      <c r="NI270" s="330"/>
      <c r="NJ270" s="330"/>
      <c r="NK270" s="330"/>
      <c r="NL270" s="330"/>
      <c r="NM270" s="330"/>
      <c r="NN270" s="330"/>
      <c r="NO270" s="330"/>
      <c r="NP270" s="330"/>
      <c r="NQ270" s="330"/>
      <c r="NR270" s="330"/>
      <c r="NS270" s="330"/>
      <c r="NT270" s="330"/>
      <c r="NU270" s="330"/>
      <c r="NV270" s="330"/>
      <c r="NW270" s="330"/>
      <c r="NX270" s="330"/>
      <c r="NY270" s="330"/>
      <c r="NZ270" s="330"/>
      <c r="OA270" s="330"/>
      <c r="OB270" s="330"/>
      <c r="OC270" s="330"/>
      <c r="OD270" s="331"/>
      <c r="OE270" s="284">
        <f>SUM(OE242:OP269)</f>
        <v>129</v>
      </c>
      <c r="OF270" s="285"/>
      <c r="OG270" s="285"/>
      <c r="OH270" s="285"/>
      <c r="OI270" s="285"/>
      <c r="OJ270" s="285">
        <f>SUM(OE249,OJ256,OJ263)</f>
        <v>85</v>
      </c>
      <c r="OK270" s="285"/>
      <c r="OL270" s="285"/>
      <c r="OM270" s="285"/>
      <c r="ON270" s="285"/>
      <c r="OO270" s="285"/>
      <c r="OP270" s="286"/>
      <c r="OW270" s="12"/>
      <c r="OX270" s="7"/>
    </row>
    <row r="271" spans="3:414" ht="5.0999999999999996" customHeight="1" x14ac:dyDescent="0.3">
      <c r="C271" s="11"/>
      <c r="D271" s="13"/>
      <c r="MG271" s="332"/>
      <c r="MH271" s="333"/>
      <c r="MI271" s="333"/>
      <c r="MJ271" s="333"/>
      <c r="MK271" s="333"/>
      <c r="ML271" s="333"/>
      <c r="MM271" s="333"/>
      <c r="MN271" s="333"/>
      <c r="MO271" s="333"/>
      <c r="MP271" s="333"/>
      <c r="MQ271" s="333"/>
      <c r="MR271" s="333"/>
      <c r="MS271" s="333"/>
      <c r="MT271" s="333"/>
      <c r="MU271" s="333"/>
      <c r="MV271" s="333"/>
      <c r="MW271" s="333"/>
      <c r="MX271" s="333"/>
      <c r="MY271" s="333"/>
      <c r="MZ271" s="333"/>
      <c r="NA271" s="333"/>
      <c r="NB271" s="333"/>
      <c r="NC271" s="333"/>
      <c r="ND271" s="333"/>
      <c r="NE271" s="333"/>
      <c r="NF271" s="333"/>
      <c r="NG271" s="333"/>
      <c r="NH271" s="333"/>
      <c r="NI271" s="333"/>
      <c r="NJ271" s="333"/>
      <c r="NK271" s="333"/>
      <c r="NL271" s="333"/>
      <c r="NM271" s="333"/>
      <c r="NN271" s="333"/>
      <c r="NO271" s="333"/>
      <c r="NP271" s="333"/>
      <c r="NQ271" s="333"/>
      <c r="NR271" s="333"/>
      <c r="NS271" s="333"/>
      <c r="NT271" s="333"/>
      <c r="NU271" s="333"/>
      <c r="NV271" s="333"/>
      <c r="NW271" s="333"/>
      <c r="NX271" s="333"/>
      <c r="NY271" s="333"/>
      <c r="NZ271" s="333"/>
      <c r="OA271" s="333"/>
      <c r="OB271" s="333"/>
      <c r="OC271" s="333"/>
      <c r="OD271" s="334"/>
      <c r="OE271" s="287"/>
      <c r="OF271" s="288"/>
      <c r="OG271" s="288"/>
      <c r="OH271" s="288"/>
      <c r="OI271" s="288"/>
      <c r="OJ271" s="288"/>
      <c r="OK271" s="288"/>
      <c r="OL271" s="288"/>
      <c r="OM271" s="288"/>
      <c r="ON271" s="288"/>
      <c r="OO271" s="288"/>
      <c r="OP271" s="289"/>
      <c r="OW271" s="12"/>
      <c r="OX271" s="7"/>
    </row>
    <row r="272" spans="3:414" ht="5.0999999999999996" customHeight="1" thickBot="1" x14ac:dyDescent="0.35">
      <c r="C272" s="11"/>
      <c r="D272" s="13"/>
      <c r="MG272" s="332"/>
      <c r="MH272" s="333"/>
      <c r="MI272" s="333"/>
      <c r="MJ272" s="333"/>
      <c r="MK272" s="333"/>
      <c r="ML272" s="333"/>
      <c r="MM272" s="333"/>
      <c r="MN272" s="333"/>
      <c r="MO272" s="333"/>
      <c r="MP272" s="333"/>
      <c r="MQ272" s="333"/>
      <c r="MR272" s="333"/>
      <c r="MS272" s="333"/>
      <c r="MT272" s="333"/>
      <c r="MU272" s="333"/>
      <c r="MV272" s="333"/>
      <c r="MW272" s="333"/>
      <c r="MX272" s="333"/>
      <c r="MY272" s="333"/>
      <c r="MZ272" s="333"/>
      <c r="NA272" s="333"/>
      <c r="NB272" s="333"/>
      <c r="NC272" s="333"/>
      <c r="ND272" s="333"/>
      <c r="NE272" s="333"/>
      <c r="NF272" s="333"/>
      <c r="NG272" s="333"/>
      <c r="NH272" s="333"/>
      <c r="NI272" s="333"/>
      <c r="NJ272" s="333"/>
      <c r="NK272" s="333"/>
      <c r="NL272" s="333"/>
      <c r="NM272" s="333"/>
      <c r="NN272" s="333"/>
      <c r="NO272" s="333"/>
      <c r="NP272" s="333"/>
      <c r="NQ272" s="333"/>
      <c r="NR272" s="333"/>
      <c r="NS272" s="333"/>
      <c r="NT272" s="333"/>
      <c r="NU272" s="333"/>
      <c r="NV272" s="333"/>
      <c r="NW272" s="333"/>
      <c r="NX272" s="333"/>
      <c r="NY272" s="333"/>
      <c r="NZ272" s="333"/>
      <c r="OA272" s="333"/>
      <c r="OB272" s="333"/>
      <c r="OC272" s="333"/>
      <c r="OD272" s="334"/>
      <c r="OE272" s="287"/>
      <c r="OF272" s="288"/>
      <c r="OG272" s="288"/>
      <c r="OH272" s="288"/>
      <c r="OI272" s="288"/>
      <c r="OJ272" s="288"/>
      <c r="OK272" s="288"/>
      <c r="OL272" s="288"/>
      <c r="OM272" s="288"/>
      <c r="ON272" s="288"/>
      <c r="OO272" s="288"/>
      <c r="OP272" s="289"/>
      <c r="OW272" s="12"/>
      <c r="OX272" s="7"/>
    </row>
    <row r="273" spans="3:414" ht="5.0999999999999996" customHeight="1" x14ac:dyDescent="0.3">
      <c r="C273" s="11"/>
      <c r="D273" s="13"/>
      <c r="G273" s="267" t="s">
        <v>22</v>
      </c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68"/>
      <c r="AF273" s="268"/>
      <c r="AG273" s="268"/>
      <c r="AH273" s="269"/>
      <c r="AI273" s="267" t="s">
        <v>23</v>
      </c>
      <c r="AJ273" s="268"/>
      <c r="AK273" s="268"/>
      <c r="AL273" s="268"/>
      <c r="AM273" s="268"/>
      <c r="AN273" s="268"/>
      <c r="AO273" s="268"/>
      <c r="AP273" s="268"/>
      <c r="AQ273" s="268"/>
      <c r="AR273" s="268"/>
      <c r="AS273" s="268"/>
      <c r="AT273" s="268"/>
      <c r="AU273" s="268"/>
      <c r="AV273" s="268"/>
      <c r="AW273" s="268"/>
      <c r="AX273" s="268"/>
      <c r="AY273" s="268"/>
      <c r="AZ273" s="268"/>
      <c r="BA273" s="268"/>
      <c r="BB273" s="268"/>
      <c r="BC273" s="268"/>
      <c r="BD273" s="268"/>
      <c r="BE273" s="268"/>
      <c r="BF273" s="268"/>
      <c r="BG273" s="268"/>
      <c r="BH273" s="268"/>
      <c r="BI273" s="268"/>
      <c r="BJ273" s="269"/>
      <c r="BK273" s="267" t="s">
        <v>24</v>
      </c>
      <c r="BL273" s="268"/>
      <c r="BM273" s="268"/>
      <c r="BN273" s="268"/>
      <c r="BO273" s="268"/>
      <c r="BP273" s="268"/>
      <c r="BQ273" s="268"/>
      <c r="BR273" s="268"/>
      <c r="BS273" s="268"/>
      <c r="BT273" s="268"/>
      <c r="BU273" s="268"/>
      <c r="BV273" s="268"/>
      <c r="BW273" s="268"/>
      <c r="BX273" s="268"/>
      <c r="BY273" s="268"/>
      <c r="BZ273" s="268"/>
      <c r="CA273" s="268"/>
      <c r="CB273" s="268"/>
      <c r="CC273" s="268"/>
      <c r="CD273" s="268"/>
      <c r="CE273" s="268"/>
      <c r="CF273" s="268"/>
      <c r="CG273" s="268"/>
      <c r="CH273" s="268"/>
      <c r="CI273" s="268"/>
      <c r="CJ273" s="268"/>
      <c r="CK273" s="268"/>
      <c r="CL273" s="269"/>
      <c r="MG273" s="332"/>
      <c r="MH273" s="333"/>
      <c r="MI273" s="333"/>
      <c r="MJ273" s="333"/>
      <c r="MK273" s="333"/>
      <c r="ML273" s="333"/>
      <c r="MM273" s="333"/>
      <c r="MN273" s="333"/>
      <c r="MO273" s="333"/>
      <c r="MP273" s="333"/>
      <c r="MQ273" s="333"/>
      <c r="MR273" s="333"/>
      <c r="MS273" s="333"/>
      <c r="MT273" s="333"/>
      <c r="MU273" s="333"/>
      <c r="MV273" s="333"/>
      <c r="MW273" s="333"/>
      <c r="MX273" s="333"/>
      <c r="MY273" s="333"/>
      <c r="MZ273" s="333"/>
      <c r="NA273" s="333"/>
      <c r="NB273" s="333"/>
      <c r="NC273" s="333"/>
      <c r="ND273" s="333"/>
      <c r="NE273" s="333"/>
      <c r="NF273" s="333"/>
      <c r="NG273" s="333"/>
      <c r="NH273" s="333"/>
      <c r="NI273" s="333"/>
      <c r="NJ273" s="333"/>
      <c r="NK273" s="333"/>
      <c r="NL273" s="333"/>
      <c r="NM273" s="333"/>
      <c r="NN273" s="333"/>
      <c r="NO273" s="333"/>
      <c r="NP273" s="333"/>
      <c r="NQ273" s="333"/>
      <c r="NR273" s="333"/>
      <c r="NS273" s="333"/>
      <c r="NT273" s="333"/>
      <c r="NU273" s="333"/>
      <c r="NV273" s="333"/>
      <c r="NW273" s="333"/>
      <c r="NX273" s="333"/>
      <c r="NY273" s="333"/>
      <c r="NZ273" s="333"/>
      <c r="OA273" s="333"/>
      <c r="OB273" s="333"/>
      <c r="OC273" s="333"/>
      <c r="OD273" s="334"/>
      <c r="OE273" s="287"/>
      <c r="OF273" s="288"/>
      <c r="OG273" s="288"/>
      <c r="OH273" s="288"/>
      <c r="OI273" s="288"/>
      <c r="OJ273" s="288"/>
      <c r="OK273" s="288"/>
      <c r="OL273" s="288"/>
      <c r="OM273" s="288"/>
      <c r="ON273" s="288"/>
      <c r="OO273" s="288"/>
      <c r="OP273" s="289"/>
      <c r="OW273" s="12"/>
      <c r="OX273" s="7"/>
    </row>
    <row r="274" spans="3:414" ht="5.0999999999999996" customHeight="1" x14ac:dyDescent="0.3">
      <c r="C274" s="11"/>
      <c r="D274" s="13"/>
      <c r="G274" s="2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  <c r="AF274" s="170"/>
      <c r="AG274" s="170"/>
      <c r="AH274" s="271"/>
      <c r="AI274" s="270"/>
      <c r="AJ274" s="170"/>
      <c r="AK274" s="170"/>
      <c r="AL274" s="170"/>
      <c r="AM274" s="170"/>
      <c r="AN274" s="170"/>
      <c r="AO274" s="170"/>
      <c r="AP274" s="170"/>
      <c r="AQ274" s="170"/>
      <c r="AR274" s="170"/>
      <c r="AS274" s="170"/>
      <c r="AT274" s="170"/>
      <c r="AU274" s="170"/>
      <c r="AV274" s="170"/>
      <c r="AW274" s="170"/>
      <c r="AX274" s="170"/>
      <c r="AY274" s="170"/>
      <c r="AZ274" s="170"/>
      <c r="BA274" s="170"/>
      <c r="BB274" s="170"/>
      <c r="BC274" s="170"/>
      <c r="BD274" s="170"/>
      <c r="BE274" s="170"/>
      <c r="BF274" s="170"/>
      <c r="BG274" s="170"/>
      <c r="BH274" s="170"/>
      <c r="BI274" s="170"/>
      <c r="BJ274" s="271"/>
      <c r="BK274" s="270"/>
      <c r="BL274" s="170"/>
      <c r="BM274" s="170"/>
      <c r="BN274" s="170"/>
      <c r="BO274" s="170"/>
      <c r="BP274" s="170"/>
      <c r="BQ274" s="170"/>
      <c r="BR274" s="170"/>
      <c r="BS274" s="170"/>
      <c r="BT274" s="170"/>
      <c r="BU274" s="170"/>
      <c r="BV274" s="170"/>
      <c r="BW274" s="170"/>
      <c r="BX274" s="170"/>
      <c r="BY274" s="170"/>
      <c r="BZ274" s="170"/>
      <c r="CA274" s="170"/>
      <c r="CB274" s="170"/>
      <c r="CC274" s="170"/>
      <c r="CD274" s="170"/>
      <c r="CE274" s="170"/>
      <c r="CF274" s="170"/>
      <c r="CG274" s="170"/>
      <c r="CH274" s="170"/>
      <c r="CI274" s="170"/>
      <c r="CJ274" s="170"/>
      <c r="CK274" s="170"/>
      <c r="CL274" s="271"/>
      <c r="MG274" s="332"/>
      <c r="MH274" s="333"/>
      <c r="MI274" s="333"/>
      <c r="MJ274" s="333"/>
      <c r="MK274" s="333"/>
      <c r="ML274" s="333"/>
      <c r="MM274" s="333"/>
      <c r="MN274" s="333"/>
      <c r="MO274" s="333"/>
      <c r="MP274" s="333"/>
      <c r="MQ274" s="333"/>
      <c r="MR274" s="333"/>
      <c r="MS274" s="333"/>
      <c r="MT274" s="333"/>
      <c r="MU274" s="333"/>
      <c r="MV274" s="333"/>
      <c r="MW274" s="333"/>
      <c r="MX274" s="333"/>
      <c r="MY274" s="333"/>
      <c r="MZ274" s="333"/>
      <c r="NA274" s="333"/>
      <c r="NB274" s="333"/>
      <c r="NC274" s="333"/>
      <c r="ND274" s="333"/>
      <c r="NE274" s="333"/>
      <c r="NF274" s="333"/>
      <c r="NG274" s="333"/>
      <c r="NH274" s="333"/>
      <c r="NI274" s="333"/>
      <c r="NJ274" s="333"/>
      <c r="NK274" s="333"/>
      <c r="NL274" s="333"/>
      <c r="NM274" s="333"/>
      <c r="NN274" s="333"/>
      <c r="NO274" s="333"/>
      <c r="NP274" s="333"/>
      <c r="NQ274" s="333"/>
      <c r="NR274" s="333"/>
      <c r="NS274" s="333"/>
      <c r="NT274" s="333"/>
      <c r="NU274" s="333"/>
      <c r="NV274" s="333"/>
      <c r="NW274" s="333"/>
      <c r="NX274" s="333"/>
      <c r="NY274" s="333"/>
      <c r="NZ274" s="333"/>
      <c r="OA274" s="333"/>
      <c r="OB274" s="333"/>
      <c r="OC274" s="333"/>
      <c r="OD274" s="334"/>
      <c r="OE274" s="287"/>
      <c r="OF274" s="288"/>
      <c r="OG274" s="288"/>
      <c r="OH274" s="288"/>
      <c r="OI274" s="288"/>
      <c r="OJ274" s="288"/>
      <c r="OK274" s="288"/>
      <c r="OL274" s="288"/>
      <c r="OM274" s="288"/>
      <c r="ON274" s="288"/>
      <c r="OO274" s="288"/>
      <c r="OP274" s="289"/>
      <c r="OW274" s="12"/>
      <c r="OX274" s="7"/>
    </row>
    <row r="275" spans="3:414" ht="5.0999999999999996" customHeight="1" x14ac:dyDescent="0.3">
      <c r="C275" s="11"/>
      <c r="D275" s="13"/>
      <c r="G275" s="2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271"/>
      <c r="AI275" s="270"/>
      <c r="AJ275" s="170"/>
      <c r="AK275" s="170"/>
      <c r="AL275" s="170"/>
      <c r="AM275" s="170"/>
      <c r="AN275" s="170"/>
      <c r="AO275" s="170"/>
      <c r="AP275" s="170"/>
      <c r="AQ275" s="170"/>
      <c r="AR275" s="170"/>
      <c r="AS275" s="170"/>
      <c r="AT275" s="170"/>
      <c r="AU275" s="170"/>
      <c r="AV275" s="170"/>
      <c r="AW275" s="170"/>
      <c r="AX275" s="170"/>
      <c r="AY275" s="170"/>
      <c r="AZ275" s="170"/>
      <c r="BA275" s="170"/>
      <c r="BB275" s="170"/>
      <c r="BC275" s="170"/>
      <c r="BD275" s="170"/>
      <c r="BE275" s="170"/>
      <c r="BF275" s="170"/>
      <c r="BG275" s="170"/>
      <c r="BH275" s="170"/>
      <c r="BI275" s="170"/>
      <c r="BJ275" s="271"/>
      <c r="BK275" s="270"/>
      <c r="BL275" s="170"/>
      <c r="BM275" s="170"/>
      <c r="BN275" s="170"/>
      <c r="BO275" s="170"/>
      <c r="BP275" s="170"/>
      <c r="BQ275" s="170"/>
      <c r="BR275" s="170"/>
      <c r="BS275" s="170"/>
      <c r="BT275" s="170"/>
      <c r="BU275" s="170"/>
      <c r="BV275" s="170"/>
      <c r="BW275" s="170"/>
      <c r="BX275" s="170"/>
      <c r="BY275" s="170"/>
      <c r="BZ275" s="170"/>
      <c r="CA275" s="170"/>
      <c r="CB275" s="170"/>
      <c r="CC275" s="170"/>
      <c r="CD275" s="170"/>
      <c r="CE275" s="170"/>
      <c r="CF275" s="170"/>
      <c r="CG275" s="170"/>
      <c r="CH275" s="170"/>
      <c r="CI275" s="170"/>
      <c r="CJ275" s="170"/>
      <c r="CK275" s="170"/>
      <c r="CL275" s="271"/>
      <c r="MG275" s="332"/>
      <c r="MH275" s="333"/>
      <c r="MI275" s="333"/>
      <c r="MJ275" s="333"/>
      <c r="MK275" s="333"/>
      <c r="ML275" s="333"/>
      <c r="MM275" s="333"/>
      <c r="MN275" s="333"/>
      <c r="MO275" s="333"/>
      <c r="MP275" s="333"/>
      <c r="MQ275" s="333"/>
      <c r="MR275" s="333"/>
      <c r="MS275" s="333"/>
      <c r="MT275" s="333"/>
      <c r="MU275" s="333"/>
      <c r="MV275" s="333"/>
      <c r="MW275" s="333"/>
      <c r="MX275" s="333"/>
      <c r="MY275" s="333"/>
      <c r="MZ275" s="333"/>
      <c r="NA275" s="333"/>
      <c r="NB275" s="333"/>
      <c r="NC275" s="333"/>
      <c r="ND275" s="333"/>
      <c r="NE275" s="333"/>
      <c r="NF275" s="333"/>
      <c r="NG275" s="333"/>
      <c r="NH275" s="333"/>
      <c r="NI275" s="333"/>
      <c r="NJ275" s="333"/>
      <c r="NK275" s="333"/>
      <c r="NL275" s="333"/>
      <c r="NM275" s="333"/>
      <c r="NN275" s="333"/>
      <c r="NO275" s="333"/>
      <c r="NP275" s="333"/>
      <c r="NQ275" s="333"/>
      <c r="NR275" s="333"/>
      <c r="NS275" s="333"/>
      <c r="NT275" s="333"/>
      <c r="NU275" s="333"/>
      <c r="NV275" s="333"/>
      <c r="NW275" s="333"/>
      <c r="NX275" s="333"/>
      <c r="NY275" s="333"/>
      <c r="NZ275" s="333"/>
      <c r="OA275" s="333"/>
      <c r="OB275" s="333"/>
      <c r="OC275" s="333"/>
      <c r="OD275" s="334"/>
      <c r="OE275" s="287"/>
      <c r="OF275" s="288"/>
      <c r="OG275" s="288"/>
      <c r="OH275" s="288"/>
      <c r="OI275" s="288"/>
      <c r="OJ275" s="288"/>
      <c r="OK275" s="288"/>
      <c r="OL275" s="288"/>
      <c r="OM275" s="288"/>
      <c r="ON275" s="288"/>
      <c r="OO275" s="288"/>
      <c r="OP275" s="289"/>
      <c r="OW275" s="12"/>
      <c r="OX275" s="7"/>
    </row>
    <row r="276" spans="3:414" ht="5.0999999999999996" customHeight="1" thickBot="1" x14ac:dyDescent="0.35">
      <c r="C276" s="11"/>
      <c r="D276" s="13"/>
      <c r="G276" s="2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  <c r="AF276" s="170"/>
      <c r="AG276" s="170"/>
      <c r="AH276" s="271"/>
      <c r="AI276" s="270"/>
      <c r="AJ276" s="170"/>
      <c r="AK276" s="170"/>
      <c r="AL276" s="170"/>
      <c r="AM276" s="170"/>
      <c r="AN276" s="170"/>
      <c r="AO276" s="170"/>
      <c r="AP276" s="170"/>
      <c r="AQ276" s="170"/>
      <c r="AR276" s="170"/>
      <c r="AS276" s="170"/>
      <c r="AT276" s="170"/>
      <c r="AU276" s="170"/>
      <c r="AV276" s="170"/>
      <c r="AW276" s="170"/>
      <c r="AX276" s="170"/>
      <c r="AY276" s="170"/>
      <c r="AZ276" s="170"/>
      <c r="BA276" s="170"/>
      <c r="BB276" s="170"/>
      <c r="BC276" s="170"/>
      <c r="BD276" s="170"/>
      <c r="BE276" s="170"/>
      <c r="BF276" s="170"/>
      <c r="BG276" s="170"/>
      <c r="BH276" s="170"/>
      <c r="BI276" s="170"/>
      <c r="BJ276" s="271"/>
      <c r="BK276" s="270"/>
      <c r="BL276" s="170"/>
      <c r="BM276" s="170"/>
      <c r="BN276" s="170"/>
      <c r="BO276" s="170"/>
      <c r="BP276" s="170"/>
      <c r="BQ276" s="170"/>
      <c r="BR276" s="170"/>
      <c r="BS276" s="170"/>
      <c r="BT276" s="170"/>
      <c r="BU276" s="170"/>
      <c r="BV276" s="170"/>
      <c r="BW276" s="170"/>
      <c r="BX276" s="170"/>
      <c r="BY276" s="170"/>
      <c r="BZ276" s="170"/>
      <c r="CA276" s="170"/>
      <c r="CB276" s="170"/>
      <c r="CC276" s="170"/>
      <c r="CD276" s="170"/>
      <c r="CE276" s="170"/>
      <c r="CF276" s="170"/>
      <c r="CG276" s="170"/>
      <c r="CH276" s="170"/>
      <c r="CI276" s="170"/>
      <c r="CJ276" s="170"/>
      <c r="CK276" s="170"/>
      <c r="CL276" s="271"/>
      <c r="MG276" s="335"/>
      <c r="MH276" s="336"/>
      <c r="MI276" s="336"/>
      <c r="MJ276" s="336"/>
      <c r="MK276" s="336"/>
      <c r="ML276" s="336"/>
      <c r="MM276" s="336"/>
      <c r="MN276" s="336"/>
      <c r="MO276" s="336"/>
      <c r="MP276" s="336"/>
      <c r="MQ276" s="336"/>
      <c r="MR276" s="336"/>
      <c r="MS276" s="336"/>
      <c r="MT276" s="336"/>
      <c r="MU276" s="336"/>
      <c r="MV276" s="336"/>
      <c r="MW276" s="336"/>
      <c r="MX276" s="336"/>
      <c r="MY276" s="336"/>
      <c r="MZ276" s="336"/>
      <c r="NA276" s="336"/>
      <c r="NB276" s="336"/>
      <c r="NC276" s="336"/>
      <c r="ND276" s="336"/>
      <c r="NE276" s="336"/>
      <c r="NF276" s="336"/>
      <c r="NG276" s="336"/>
      <c r="NH276" s="336"/>
      <c r="NI276" s="336"/>
      <c r="NJ276" s="336"/>
      <c r="NK276" s="336"/>
      <c r="NL276" s="336"/>
      <c r="NM276" s="336"/>
      <c r="NN276" s="336"/>
      <c r="NO276" s="336"/>
      <c r="NP276" s="336"/>
      <c r="NQ276" s="336"/>
      <c r="NR276" s="336"/>
      <c r="NS276" s="336"/>
      <c r="NT276" s="336"/>
      <c r="NU276" s="336"/>
      <c r="NV276" s="336"/>
      <c r="NW276" s="336"/>
      <c r="NX276" s="336"/>
      <c r="NY276" s="336"/>
      <c r="NZ276" s="336"/>
      <c r="OA276" s="336"/>
      <c r="OB276" s="336"/>
      <c r="OC276" s="336"/>
      <c r="OD276" s="337"/>
      <c r="OE276" s="290"/>
      <c r="OF276" s="291"/>
      <c r="OG276" s="291"/>
      <c r="OH276" s="291"/>
      <c r="OI276" s="291"/>
      <c r="OJ276" s="291"/>
      <c r="OK276" s="291"/>
      <c r="OL276" s="291"/>
      <c r="OM276" s="291"/>
      <c r="ON276" s="291"/>
      <c r="OO276" s="291"/>
      <c r="OP276" s="292"/>
      <c r="OW276" s="12"/>
      <c r="OX276" s="7"/>
    </row>
    <row r="277" spans="3:414" ht="5.0999999999999996" customHeight="1" thickBot="1" x14ac:dyDescent="0.35">
      <c r="C277" s="11"/>
      <c r="D277" s="13"/>
      <c r="G277" s="272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4"/>
      <c r="AI277" s="272"/>
      <c r="AJ277" s="273"/>
      <c r="AK277" s="273"/>
      <c r="AL277" s="273"/>
      <c r="AM277" s="273"/>
      <c r="AN277" s="273"/>
      <c r="AO277" s="273"/>
      <c r="AP277" s="273"/>
      <c r="AQ277" s="273"/>
      <c r="AR277" s="273"/>
      <c r="AS277" s="273"/>
      <c r="AT277" s="273"/>
      <c r="AU277" s="273"/>
      <c r="AV277" s="273"/>
      <c r="AW277" s="273"/>
      <c r="AX277" s="273"/>
      <c r="AY277" s="273"/>
      <c r="AZ277" s="273"/>
      <c r="BA277" s="273"/>
      <c r="BB277" s="273"/>
      <c r="BC277" s="273"/>
      <c r="BD277" s="273"/>
      <c r="BE277" s="273"/>
      <c r="BF277" s="273"/>
      <c r="BG277" s="273"/>
      <c r="BH277" s="273"/>
      <c r="BI277" s="273"/>
      <c r="BJ277" s="274"/>
      <c r="BK277" s="272"/>
      <c r="BL277" s="273"/>
      <c r="BM277" s="273"/>
      <c r="BN277" s="273"/>
      <c r="BO277" s="273"/>
      <c r="BP277" s="273"/>
      <c r="BQ277" s="273"/>
      <c r="BR277" s="273"/>
      <c r="BS277" s="273"/>
      <c r="BT277" s="273"/>
      <c r="BU277" s="273"/>
      <c r="BV277" s="273"/>
      <c r="BW277" s="273"/>
      <c r="BX277" s="273"/>
      <c r="BY277" s="273"/>
      <c r="BZ277" s="273"/>
      <c r="CA277" s="273"/>
      <c r="CB277" s="273"/>
      <c r="CC277" s="273"/>
      <c r="CD277" s="273"/>
      <c r="CE277" s="273"/>
      <c r="CF277" s="273"/>
      <c r="CG277" s="273"/>
      <c r="CH277" s="273"/>
      <c r="CI277" s="273"/>
      <c r="CJ277" s="273"/>
      <c r="CK277" s="273"/>
      <c r="CL277" s="274"/>
      <c r="OW277" s="12"/>
      <c r="OX277" s="7"/>
    </row>
    <row r="278" spans="3:414" ht="5.0999999999999996" customHeight="1" x14ac:dyDescent="0.3">
      <c r="C278" s="11"/>
      <c r="D278" s="13"/>
      <c r="G278" s="267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9"/>
      <c r="AI278" s="267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9"/>
      <c r="BK278" s="267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  <c r="CB278" s="268"/>
      <c r="CC278" s="268"/>
      <c r="CD278" s="268"/>
      <c r="CE278" s="268"/>
      <c r="CF278" s="268"/>
      <c r="CG278" s="268"/>
      <c r="CH278" s="268"/>
      <c r="CI278" s="268"/>
      <c r="CJ278" s="268"/>
      <c r="CK278" s="268"/>
      <c r="CL278" s="269"/>
      <c r="OW278" s="12"/>
      <c r="OX278" s="7"/>
    </row>
    <row r="279" spans="3:414" ht="5.0999999999999996" customHeight="1" x14ac:dyDescent="0.3">
      <c r="C279" s="11"/>
      <c r="D279" s="13"/>
      <c r="G279" s="2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  <c r="AF279" s="170"/>
      <c r="AG279" s="170"/>
      <c r="AH279" s="271"/>
      <c r="AI279" s="270"/>
      <c r="AJ279" s="170"/>
      <c r="AK279" s="170"/>
      <c r="AL279" s="170"/>
      <c r="AM279" s="170"/>
      <c r="AN279" s="170"/>
      <c r="AO279" s="170"/>
      <c r="AP279" s="170"/>
      <c r="AQ279" s="170"/>
      <c r="AR279" s="170"/>
      <c r="AS279" s="170"/>
      <c r="AT279" s="170"/>
      <c r="AU279" s="170"/>
      <c r="AV279" s="170"/>
      <c r="AW279" s="170"/>
      <c r="AX279" s="170"/>
      <c r="AY279" s="170"/>
      <c r="AZ279" s="170"/>
      <c r="BA279" s="170"/>
      <c r="BB279" s="170"/>
      <c r="BC279" s="170"/>
      <c r="BD279" s="170"/>
      <c r="BE279" s="170"/>
      <c r="BF279" s="170"/>
      <c r="BG279" s="170"/>
      <c r="BH279" s="170"/>
      <c r="BI279" s="170"/>
      <c r="BJ279" s="271"/>
      <c r="BK279" s="270"/>
      <c r="BL279" s="170"/>
      <c r="BM279" s="170"/>
      <c r="BN279" s="170"/>
      <c r="BO279" s="170"/>
      <c r="BP279" s="170"/>
      <c r="BQ279" s="170"/>
      <c r="BR279" s="170"/>
      <c r="BS279" s="170"/>
      <c r="BT279" s="170"/>
      <c r="BU279" s="170"/>
      <c r="BV279" s="170"/>
      <c r="BW279" s="170"/>
      <c r="BX279" s="170"/>
      <c r="BY279" s="170"/>
      <c r="BZ279" s="170"/>
      <c r="CA279" s="170"/>
      <c r="CB279" s="170"/>
      <c r="CC279" s="170"/>
      <c r="CD279" s="170"/>
      <c r="CE279" s="170"/>
      <c r="CF279" s="170"/>
      <c r="CG279" s="170"/>
      <c r="CH279" s="170"/>
      <c r="CI279" s="170"/>
      <c r="CJ279" s="170"/>
      <c r="CK279" s="170"/>
      <c r="CL279" s="271"/>
      <c r="OW279" s="12"/>
      <c r="OX279" s="7"/>
    </row>
    <row r="280" spans="3:414" ht="5.0999999999999996" customHeight="1" thickBot="1" x14ac:dyDescent="0.35">
      <c r="C280" s="11"/>
      <c r="D280" s="13"/>
      <c r="G280" s="2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  <c r="AF280" s="170"/>
      <c r="AG280" s="170"/>
      <c r="AH280" s="271"/>
      <c r="AI280" s="270"/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70"/>
      <c r="AV280" s="170"/>
      <c r="AW280" s="170"/>
      <c r="AX280" s="170"/>
      <c r="AY280" s="170"/>
      <c r="AZ280" s="170"/>
      <c r="BA280" s="170"/>
      <c r="BB280" s="170"/>
      <c r="BC280" s="170"/>
      <c r="BD280" s="170"/>
      <c r="BE280" s="170"/>
      <c r="BF280" s="170"/>
      <c r="BG280" s="170"/>
      <c r="BH280" s="170"/>
      <c r="BI280" s="170"/>
      <c r="BJ280" s="271"/>
      <c r="BK280" s="270"/>
      <c r="BL280" s="170"/>
      <c r="BM280" s="170"/>
      <c r="BN280" s="170"/>
      <c r="BO280" s="170"/>
      <c r="BP280" s="170"/>
      <c r="BQ280" s="170"/>
      <c r="BR280" s="170"/>
      <c r="BS280" s="170"/>
      <c r="BT280" s="170"/>
      <c r="BU280" s="170"/>
      <c r="BV280" s="170"/>
      <c r="BW280" s="170"/>
      <c r="BX280" s="170"/>
      <c r="BY280" s="170"/>
      <c r="BZ280" s="170"/>
      <c r="CA280" s="170"/>
      <c r="CB280" s="170"/>
      <c r="CC280" s="170"/>
      <c r="CD280" s="170"/>
      <c r="CE280" s="170"/>
      <c r="CF280" s="170"/>
      <c r="CG280" s="170"/>
      <c r="CH280" s="170"/>
      <c r="CI280" s="170"/>
      <c r="CJ280" s="170"/>
      <c r="CK280" s="170"/>
      <c r="CL280" s="271"/>
      <c r="OW280" s="12"/>
      <c r="OX280" s="7"/>
    </row>
    <row r="281" spans="3:414" ht="5.0999999999999996" customHeight="1" x14ac:dyDescent="0.3">
      <c r="C281" s="11"/>
      <c r="D281" s="13"/>
      <c r="G281" s="2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  <c r="AF281" s="170"/>
      <c r="AG281" s="170"/>
      <c r="AH281" s="271"/>
      <c r="AI281" s="270"/>
      <c r="AJ281" s="170"/>
      <c r="AK281" s="170"/>
      <c r="AL281" s="170"/>
      <c r="AM281" s="170"/>
      <c r="AN281" s="170"/>
      <c r="AO281" s="170"/>
      <c r="AP281" s="170"/>
      <c r="AQ281" s="170"/>
      <c r="AR281" s="170"/>
      <c r="AS281" s="170"/>
      <c r="AT281" s="170"/>
      <c r="AU281" s="170"/>
      <c r="AV281" s="170"/>
      <c r="AW281" s="170"/>
      <c r="AX281" s="170"/>
      <c r="AY281" s="170"/>
      <c r="AZ281" s="170"/>
      <c r="BA281" s="170"/>
      <c r="BB281" s="170"/>
      <c r="BC281" s="170"/>
      <c r="BD281" s="170"/>
      <c r="BE281" s="170"/>
      <c r="BF281" s="170"/>
      <c r="BG281" s="170"/>
      <c r="BH281" s="170"/>
      <c r="BI281" s="170"/>
      <c r="BJ281" s="271"/>
      <c r="BK281" s="270"/>
      <c r="BL281" s="170"/>
      <c r="BM281" s="170"/>
      <c r="BN281" s="170"/>
      <c r="BO281" s="170"/>
      <c r="BP281" s="170"/>
      <c r="BQ281" s="170"/>
      <c r="BR281" s="170"/>
      <c r="BS281" s="170"/>
      <c r="BT281" s="170"/>
      <c r="BU281" s="170"/>
      <c r="BV281" s="170"/>
      <c r="BW281" s="170"/>
      <c r="BX281" s="170"/>
      <c r="BY281" s="170"/>
      <c r="BZ281" s="170"/>
      <c r="CA281" s="170"/>
      <c r="CB281" s="170"/>
      <c r="CC281" s="170"/>
      <c r="CD281" s="170"/>
      <c r="CE281" s="170"/>
      <c r="CF281" s="170"/>
      <c r="CG281" s="170"/>
      <c r="CH281" s="170"/>
      <c r="CI281" s="170"/>
      <c r="CJ281" s="170"/>
      <c r="CK281" s="170"/>
      <c r="CL281" s="271"/>
      <c r="LJ281" s="267" t="s">
        <v>25</v>
      </c>
      <c r="LK281" s="268"/>
      <c r="LL281" s="268"/>
      <c r="LM281" s="268"/>
      <c r="LN281" s="268"/>
      <c r="LO281" s="268"/>
      <c r="LP281" s="268"/>
      <c r="LQ281" s="268"/>
      <c r="LR281" s="268"/>
      <c r="LS281" s="268"/>
      <c r="LT281" s="268"/>
      <c r="LU281" s="268"/>
      <c r="LV281" s="268"/>
      <c r="LW281" s="268"/>
      <c r="LX281" s="268"/>
      <c r="LY281" s="268"/>
      <c r="LZ281" s="268"/>
      <c r="MA281" s="268"/>
      <c r="MB281" s="268"/>
      <c r="MC281" s="268"/>
      <c r="MD281" s="268"/>
      <c r="ME281" s="268"/>
      <c r="MF281" s="268"/>
      <c r="MG281" s="268"/>
      <c r="MH281" s="268"/>
      <c r="MI281" s="268"/>
      <c r="MJ281" s="268"/>
      <c r="MK281" s="268"/>
      <c r="ML281" s="269"/>
      <c r="MM281" s="267" t="s">
        <v>151</v>
      </c>
      <c r="MN281" s="268"/>
      <c r="MO281" s="268"/>
      <c r="MP281" s="268"/>
      <c r="MQ281" s="268"/>
      <c r="MR281" s="268"/>
      <c r="MS281" s="268"/>
      <c r="MT281" s="268"/>
      <c r="MU281" s="268"/>
      <c r="MV281" s="268"/>
      <c r="MW281" s="268"/>
      <c r="MX281" s="268"/>
      <c r="MY281" s="268"/>
      <c r="MZ281" s="268"/>
      <c r="NA281" s="268"/>
      <c r="NB281" s="268"/>
      <c r="NC281" s="268"/>
      <c r="ND281" s="268"/>
      <c r="NE281" s="268"/>
      <c r="NF281" s="268"/>
      <c r="NG281" s="268"/>
      <c r="NH281" s="268"/>
      <c r="NI281" s="268"/>
      <c r="NJ281" s="268"/>
      <c r="NK281" s="268"/>
      <c r="NL281" s="268"/>
      <c r="NM281" s="268"/>
      <c r="NN281" s="269"/>
      <c r="NO281" s="267" t="s">
        <v>150</v>
      </c>
      <c r="NP281" s="268"/>
      <c r="NQ281" s="268"/>
      <c r="NR281" s="268"/>
      <c r="NS281" s="268"/>
      <c r="NT281" s="268"/>
      <c r="NU281" s="268"/>
      <c r="NV281" s="268"/>
      <c r="NW281" s="268"/>
      <c r="NX281" s="268"/>
      <c r="NY281" s="268"/>
      <c r="NZ281" s="268"/>
      <c r="OA281" s="268"/>
      <c r="OB281" s="268"/>
      <c r="OC281" s="268"/>
      <c r="OD281" s="268"/>
      <c r="OE281" s="268"/>
      <c r="OF281" s="268"/>
      <c r="OG281" s="268"/>
      <c r="OH281" s="268"/>
      <c r="OI281" s="268"/>
      <c r="OJ281" s="268"/>
      <c r="OK281" s="268"/>
      <c r="OL281" s="268"/>
      <c r="OM281" s="268"/>
      <c r="ON281" s="268"/>
      <c r="OO281" s="268"/>
      <c r="OP281" s="269"/>
      <c r="OW281" s="12"/>
      <c r="OX281" s="7"/>
    </row>
    <row r="282" spans="3:414" ht="5.0999999999999996" customHeight="1" thickBot="1" x14ac:dyDescent="0.35">
      <c r="C282" s="11"/>
      <c r="D282" s="13"/>
      <c r="G282" s="272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4"/>
      <c r="AI282" s="272"/>
      <c r="AJ282" s="273"/>
      <c r="AK282" s="273"/>
      <c r="AL282" s="273"/>
      <c r="AM282" s="273"/>
      <c r="AN282" s="273"/>
      <c r="AO282" s="273"/>
      <c r="AP282" s="273"/>
      <c r="AQ282" s="273"/>
      <c r="AR282" s="273"/>
      <c r="AS282" s="273"/>
      <c r="AT282" s="273"/>
      <c r="AU282" s="273"/>
      <c r="AV282" s="273"/>
      <c r="AW282" s="273"/>
      <c r="AX282" s="273"/>
      <c r="AY282" s="273"/>
      <c r="AZ282" s="273"/>
      <c r="BA282" s="273"/>
      <c r="BB282" s="273"/>
      <c r="BC282" s="273"/>
      <c r="BD282" s="273"/>
      <c r="BE282" s="273"/>
      <c r="BF282" s="273"/>
      <c r="BG282" s="273"/>
      <c r="BH282" s="273"/>
      <c r="BI282" s="273"/>
      <c r="BJ282" s="274"/>
      <c r="BK282" s="272"/>
      <c r="BL282" s="273"/>
      <c r="BM282" s="273"/>
      <c r="BN282" s="273"/>
      <c r="BO282" s="273"/>
      <c r="BP282" s="273"/>
      <c r="BQ282" s="273"/>
      <c r="BR282" s="273"/>
      <c r="BS282" s="273"/>
      <c r="BT282" s="273"/>
      <c r="BU282" s="273"/>
      <c r="BV282" s="273"/>
      <c r="BW282" s="273"/>
      <c r="BX282" s="273"/>
      <c r="BY282" s="273"/>
      <c r="BZ282" s="273"/>
      <c r="CA282" s="273"/>
      <c r="CB282" s="273"/>
      <c r="CC282" s="273"/>
      <c r="CD282" s="273"/>
      <c r="CE282" s="273"/>
      <c r="CF282" s="273"/>
      <c r="CG282" s="273"/>
      <c r="CH282" s="273"/>
      <c r="CI282" s="273"/>
      <c r="CJ282" s="273"/>
      <c r="CK282" s="273"/>
      <c r="CL282" s="274"/>
      <c r="LJ282" s="270"/>
      <c r="LK282" s="170"/>
      <c r="LL282" s="170"/>
      <c r="LM282" s="170"/>
      <c r="LN282" s="170"/>
      <c r="LO282" s="170"/>
      <c r="LP282" s="170"/>
      <c r="LQ282" s="170"/>
      <c r="LR282" s="170"/>
      <c r="LS282" s="170"/>
      <c r="LT282" s="170"/>
      <c r="LU282" s="170"/>
      <c r="LV282" s="170"/>
      <c r="LW282" s="170"/>
      <c r="LX282" s="170"/>
      <c r="LY282" s="170"/>
      <c r="LZ282" s="170"/>
      <c r="MA282" s="170"/>
      <c r="MB282" s="170"/>
      <c r="MC282" s="170"/>
      <c r="MD282" s="170"/>
      <c r="ME282" s="170"/>
      <c r="MF282" s="170"/>
      <c r="MG282" s="170"/>
      <c r="MH282" s="170"/>
      <c r="MI282" s="170"/>
      <c r="MJ282" s="170"/>
      <c r="MK282" s="170"/>
      <c r="ML282" s="271"/>
      <c r="MM282" s="270"/>
      <c r="MN282" s="170"/>
      <c r="MO282" s="170"/>
      <c r="MP282" s="170"/>
      <c r="MQ282" s="170"/>
      <c r="MR282" s="170"/>
      <c r="MS282" s="170"/>
      <c r="MT282" s="170"/>
      <c r="MU282" s="170"/>
      <c r="MV282" s="170"/>
      <c r="MW282" s="170"/>
      <c r="MX282" s="170"/>
      <c r="MY282" s="170"/>
      <c r="MZ282" s="170"/>
      <c r="NA282" s="170"/>
      <c r="NB282" s="170"/>
      <c r="NC282" s="170"/>
      <c r="ND282" s="170"/>
      <c r="NE282" s="170"/>
      <c r="NF282" s="170"/>
      <c r="NG282" s="170"/>
      <c r="NH282" s="170"/>
      <c r="NI282" s="170"/>
      <c r="NJ282" s="170"/>
      <c r="NK282" s="170"/>
      <c r="NL282" s="170"/>
      <c r="NM282" s="170"/>
      <c r="NN282" s="271"/>
      <c r="NO282" s="270"/>
      <c r="NP282" s="170"/>
      <c r="NQ282" s="170"/>
      <c r="NR282" s="170"/>
      <c r="NS282" s="170"/>
      <c r="NT282" s="170"/>
      <c r="NU282" s="170"/>
      <c r="NV282" s="170"/>
      <c r="NW282" s="170"/>
      <c r="NX282" s="170"/>
      <c r="NY282" s="170"/>
      <c r="NZ282" s="170"/>
      <c r="OA282" s="170"/>
      <c r="OB282" s="170"/>
      <c r="OC282" s="170"/>
      <c r="OD282" s="170"/>
      <c r="OE282" s="170"/>
      <c r="OF282" s="170"/>
      <c r="OG282" s="170"/>
      <c r="OH282" s="170"/>
      <c r="OI282" s="170"/>
      <c r="OJ282" s="170"/>
      <c r="OK282" s="170"/>
      <c r="OL282" s="170"/>
      <c r="OM282" s="170"/>
      <c r="ON282" s="170"/>
      <c r="OO282" s="170"/>
      <c r="OP282" s="271"/>
      <c r="OW282" s="12"/>
      <c r="OX282" s="7"/>
    </row>
    <row r="283" spans="3:414" ht="5.0999999999999996" customHeight="1" x14ac:dyDescent="0.3">
      <c r="C283" s="11"/>
      <c r="D283" s="13"/>
      <c r="G283" s="267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  <c r="AA283" s="268"/>
      <c r="AB283" s="268"/>
      <c r="AC283" s="268"/>
      <c r="AD283" s="268"/>
      <c r="AE283" s="268"/>
      <c r="AF283" s="268"/>
      <c r="AG283" s="268"/>
      <c r="AH283" s="269"/>
      <c r="AI283" s="267"/>
      <c r="AJ283" s="268"/>
      <c r="AK283" s="268"/>
      <c r="AL283" s="268"/>
      <c r="AM283" s="268"/>
      <c r="AN283" s="268"/>
      <c r="AO283" s="268"/>
      <c r="AP283" s="268"/>
      <c r="AQ283" s="268"/>
      <c r="AR283" s="268"/>
      <c r="AS283" s="268"/>
      <c r="AT283" s="268"/>
      <c r="AU283" s="268"/>
      <c r="AV283" s="268"/>
      <c r="AW283" s="268"/>
      <c r="AX283" s="268"/>
      <c r="AY283" s="268"/>
      <c r="AZ283" s="268"/>
      <c r="BA283" s="268"/>
      <c r="BB283" s="268"/>
      <c r="BC283" s="268"/>
      <c r="BD283" s="268"/>
      <c r="BE283" s="268"/>
      <c r="BF283" s="268"/>
      <c r="BG283" s="268"/>
      <c r="BH283" s="268"/>
      <c r="BI283" s="268"/>
      <c r="BJ283" s="269"/>
      <c r="BK283" s="267"/>
      <c r="BL283" s="268"/>
      <c r="BM283" s="268"/>
      <c r="BN283" s="268"/>
      <c r="BO283" s="268"/>
      <c r="BP283" s="268"/>
      <c r="BQ283" s="268"/>
      <c r="BR283" s="268"/>
      <c r="BS283" s="268"/>
      <c r="BT283" s="268"/>
      <c r="BU283" s="268"/>
      <c r="BV283" s="268"/>
      <c r="BW283" s="268"/>
      <c r="BX283" s="268"/>
      <c r="BY283" s="268"/>
      <c r="BZ283" s="268"/>
      <c r="CA283" s="268"/>
      <c r="CB283" s="268"/>
      <c r="CC283" s="268"/>
      <c r="CD283" s="268"/>
      <c r="CE283" s="268"/>
      <c r="CF283" s="268"/>
      <c r="CG283" s="268"/>
      <c r="CH283" s="268"/>
      <c r="CI283" s="268"/>
      <c r="CJ283" s="268"/>
      <c r="CK283" s="268"/>
      <c r="CL283" s="269"/>
      <c r="LJ283" s="270"/>
      <c r="LK283" s="170"/>
      <c r="LL283" s="170"/>
      <c r="LM283" s="170"/>
      <c r="LN283" s="170"/>
      <c r="LO283" s="170"/>
      <c r="LP283" s="170"/>
      <c r="LQ283" s="170"/>
      <c r="LR283" s="170"/>
      <c r="LS283" s="170"/>
      <c r="LT283" s="170"/>
      <c r="LU283" s="170"/>
      <c r="LV283" s="170"/>
      <c r="LW283" s="170"/>
      <c r="LX283" s="170"/>
      <c r="LY283" s="170"/>
      <c r="LZ283" s="170"/>
      <c r="MA283" s="170"/>
      <c r="MB283" s="170"/>
      <c r="MC283" s="170"/>
      <c r="MD283" s="170"/>
      <c r="ME283" s="170"/>
      <c r="MF283" s="170"/>
      <c r="MG283" s="170"/>
      <c r="MH283" s="170"/>
      <c r="MI283" s="170"/>
      <c r="MJ283" s="170"/>
      <c r="MK283" s="170"/>
      <c r="ML283" s="271"/>
      <c r="MM283" s="270"/>
      <c r="MN283" s="170"/>
      <c r="MO283" s="170"/>
      <c r="MP283" s="170"/>
      <c r="MQ283" s="170"/>
      <c r="MR283" s="170"/>
      <c r="MS283" s="170"/>
      <c r="MT283" s="170"/>
      <c r="MU283" s="170"/>
      <c r="MV283" s="170"/>
      <c r="MW283" s="170"/>
      <c r="MX283" s="170"/>
      <c r="MY283" s="170"/>
      <c r="MZ283" s="170"/>
      <c r="NA283" s="170"/>
      <c r="NB283" s="170"/>
      <c r="NC283" s="170"/>
      <c r="ND283" s="170"/>
      <c r="NE283" s="170"/>
      <c r="NF283" s="170"/>
      <c r="NG283" s="170"/>
      <c r="NH283" s="170"/>
      <c r="NI283" s="170"/>
      <c r="NJ283" s="170"/>
      <c r="NK283" s="170"/>
      <c r="NL283" s="170"/>
      <c r="NM283" s="170"/>
      <c r="NN283" s="271"/>
      <c r="NO283" s="270"/>
      <c r="NP283" s="170"/>
      <c r="NQ283" s="170"/>
      <c r="NR283" s="170"/>
      <c r="NS283" s="170"/>
      <c r="NT283" s="170"/>
      <c r="NU283" s="170"/>
      <c r="NV283" s="170"/>
      <c r="NW283" s="170"/>
      <c r="NX283" s="170"/>
      <c r="NY283" s="170"/>
      <c r="NZ283" s="170"/>
      <c r="OA283" s="170"/>
      <c r="OB283" s="170"/>
      <c r="OC283" s="170"/>
      <c r="OD283" s="170"/>
      <c r="OE283" s="170"/>
      <c r="OF283" s="170"/>
      <c r="OG283" s="170"/>
      <c r="OH283" s="170"/>
      <c r="OI283" s="170"/>
      <c r="OJ283" s="170"/>
      <c r="OK283" s="170"/>
      <c r="OL283" s="170"/>
      <c r="OM283" s="170"/>
      <c r="ON283" s="170"/>
      <c r="OO283" s="170"/>
      <c r="OP283" s="271"/>
      <c r="OW283" s="12"/>
      <c r="OX283" s="7"/>
    </row>
    <row r="284" spans="3:414" ht="5.0999999999999996" customHeight="1" x14ac:dyDescent="0.3">
      <c r="C284" s="11"/>
      <c r="D284" s="13"/>
      <c r="G284" s="2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  <c r="AF284" s="170"/>
      <c r="AG284" s="170"/>
      <c r="AH284" s="271"/>
      <c r="AI284" s="270"/>
      <c r="AJ284" s="170"/>
      <c r="AK284" s="170"/>
      <c r="AL284" s="170"/>
      <c r="AM284" s="170"/>
      <c r="AN284" s="170"/>
      <c r="AO284" s="170"/>
      <c r="AP284" s="170"/>
      <c r="AQ284" s="170"/>
      <c r="AR284" s="170"/>
      <c r="AS284" s="170"/>
      <c r="AT284" s="170"/>
      <c r="AU284" s="170"/>
      <c r="AV284" s="170"/>
      <c r="AW284" s="170"/>
      <c r="AX284" s="170"/>
      <c r="AY284" s="170"/>
      <c r="AZ284" s="170"/>
      <c r="BA284" s="170"/>
      <c r="BB284" s="170"/>
      <c r="BC284" s="170"/>
      <c r="BD284" s="170"/>
      <c r="BE284" s="170"/>
      <c r="BF284" s="170"/>
      <c r="BG284" s="170"/>
      <c r="BH284" s="170"/>
      <c r="BI284" s="170"/>
      <c r="BJ284" s="271"/>
      <c r="BK284" s="270"/>
      <c r="BL284" s="170"/>
      <c r="BM284" s="170"/>
      <c r="BN284" s="170"/>
      <c r="BO284" s="170"/>
      <c r="BP284" s="170"/>
      <c r="BQ284" s="170"/>
      <c r="BR284" s="170"/>
      <c r="BS284" s="170"/>
      <c r="BT284" s="170"/>
      <c r="BU284" s="170"/>
      <c r="BV284" s="170"/>
      <c r="BW284" s="170"/>
      <c r="BX284" s="170"/>
      <c r="BY284" s="170"/>
      <c r="BZ284" s="170"/>
      <c r="CA284" s="170"/>
      <c r="CB284" s="170"/>
      <c r="CC284" s="170"/>
      <c r="CD284" s="170"/>
      <c r="CE284" s="170"/>
      <c r="CF284" s="170"/>
      <c r="CG284" s="170"/>
      <c r="CH284" s="170"/>
      <c r="CI284" s="170"/>
      <c r="CJ284" s="170"/>
      <c r="CK284" s="170"/>
      <c r="CL284" s="271"/>
      <c r="LJ284" s="270"/>
      <c r="LK284" s="170"/>
      <c r="LL284" s="170"/>
      <c r="LM284" s="170"/>
      <c r="LN284" s="170"/>
      <c r="LO284" s="170"/>
      <c r="LP284" s="170"/>
      <c r="LQ284" s="170"/>
      <c r="LR284" s="170"/>
      <c r="LS284" s="170"/>
      <c r="LT284" s="170"/>
      <c r="LU284" s="170"/>
      <c r="LV284" s="170"/>
      <c r="LW284" s="170"/>
      <c r="LX284" s="170"/>
      <c r="LY284" s="170"/>
      <c r="LZ284" s="170"/>
      <c r="MA284" s="170"/>
      <c r="MB284" s="170"/>
      <c r="MC284" s="170"/>
      <c r="MD284" s="170"/>
      <c r="ME284" s="170"/>
      <c r="MF284" s="170"/>
      <c r="MG284" s="170"/>
      <c r="MH284" s="170"/>
      <c r="MI284" s="170"/>
      <c r="MJ284" s="170"/>
      <c r="MK284" s="170"/>
      <c r="ML284" s="271"/>
      <c r="MM284" s="270"/>
      <c r="MN284" s="170"/>
      <c r="MO284" s="170"/>
      <c r="MP284" s="170"/>
      <c r="MQ284" s="170"/>
      <c r="MR284" s="170"/>
      <c r="MS284" s="170"/>
      <c r="MT284" s="170"/>
      <c r="MU284" s="170"/>
      <c r="MV284" s="170"/>
      <c r="MW284" s="170"/>
      <c r="MX284" s="170"/>
      <c r="MY284" s="170"/>
      <c r="MZ284" s="170"/>
      <c r="NA284" s="170"/>
      <c r="NB284" s="170"/>
      <c r="NC284" s="170"/>
      <c r="ND284" s="170"/>
      <c r="NE284" s="170"/>
      <c r="NF284" s="170"/>
      <c r="NG284" s="170"/>
      <c r="NH284" s="170"/>
      <c r="NI284" s="170"/>
      <c r="NJ284" s="170"/>
      <c r="NK284" s="170"/>
      <c r="NL284" s="170"/>
      <c r="NM284" s="170"/>
      <c r="NN284" s="271"/>
      <c r="NO284" s="270"/>
      <c r="NP284" s="170"/>
      <c r="NQ284" s="170"/>
      <c r="NR284" s="170"/>
      <c r="NS284" s="170"/>
      <c r="NT284" s="170"/>
      <c r="NU284" s="170"/>
      <c r="NV284" s="170"/>
      <c r="NW284" s="170"/>
      <c r="NX284" s="170"/>
      <c r="NY284" s="170"/>
      <c r="NZ284" s="170"/>
      <c r="OA284" s="170"/>
      <c r="OB284" s="170"/>
      <c r="OC284" s="170"/>
      <c r="OD284" s="170"/>
      <c r="OE284" s="170"/>
      <c r="OF284" s="170"/>
      <c r="OG284" s="170"/>
      <c r="OH284" s="170"/>
      <c r="OI284" s="170"/>
      <c r="OJ284" s="170"/>
      <c r="OK284" s="170"/>
      <c r="OL284" s="170"/>
      <c r="OM284" s="170"/>
      <c r="ON284" s="170"/>
      <c r="OO284" s="170"/>
      <c r="OP284" s="271"/>
      <c r="OW284" s="12"/>
      <c r="OX284" s="7"/>
    </row>
    <row r="285" spans="3:414" ht="5.0999999999999996" customHeight="1" thickBot="1" x14ac:dyDescent="0.35">
      <c r="C285" s="11"/>
      <c r="D285" s="13"/>
      <c r="G285" s="2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170"/>
      <c r="AG285" s="170"/>
      <c r="AH285" s="271"/>
      <c r="AI285" s="270"/>
      <c r="AJ285" s="170"/>
      <c r="AK285" s="170"/>
      <c r="AL285" s="170"/>
      <c r="AM285" s="170"/>
      <c r="AN285" s="170"/>
      <c r="AO285" s="170"/>
      <c r="AP285" s="170"/>
      <c r="AQ285" s="170"/>
      <c r="AR285" s="170"/>
      <c r="AS285" s="170"/>
      <c r="AT285" s="170"/>
      <c r="AU285" s="170"/>
      <c r="AV285" s="170"/>
      <c r="AW285" s="170"/>
      <c r="AX285" s="170"/>
      <c r="AY285" s="170"/>
      <c r="AZ285" s="170"/>
      <c r="BA285" s="170"/>
      <c r="BB285" s="170"/>
      <c r="BC285" s="170"/>
      <c r="BD285" s="170"/>
      <c r="BE285" s="170"/>
      <c r="BF285" s="170"/>
      <c r="BG285" s="170"/>
      <c r="BH285" s="170"/>
      <c r="BI285" s="170"/>
      <c r="BJ285" s="271"/>
      <c r="BK285" s="270"/>
      <c r="BL285" s="170"/>
      <c r="BM285" s="170"/>
      <c r="BN285" s="170"/>
      <c r="BO285" s="170"/>
      <c r="BP285" s="170"/>
      <c r="BQ285" s="170"/>
      <c r="BR285" s="170"/>
      <c r="BS285" s="170"/>
      <c r="BT285" s="170"/>
      <c r="BU285" s="170"/>
      <c r="BV285" s="170"/>
      <c r="BW285" s="170"/>
      <c r="BX285" s="170"/>
      <c r="BY285" s="170"/>
      <c r="BZ285" s="170"/>
      <c r="CA285" s="170"/>
      <c r="CB285" s="170"/>
      <c r="CC285" s="170"/>
      <c r="CD285" s="170"/>
      <c r="CE285" s="170"/>
      <c r="CF285" s="170"/>
      <c r="CG285" s="170"/>
      <c r="CH285" s="170"/>
      <c r="CI285" s="170"/>
      <c r="CJ285" s="170"/>
      <c r="CK285" s="170"/>
      <c r="CL285" s="271"/>
      <c r="LJ285" s="272"/>
      <c r="LK285" s="273"/>
      <c r="LL285" s="273"/>
      <c r="LM285" s="273"/>
      <c r="LN285" s="273"/>
      <c r="LO285" s="273"/>
      <c r="LP285" s="273"/>
      <c r="LQ285" s="273"/>
      <c r="LR285" s="273"/>
      <c r="LS285" s="273"/>
      <c r="LT285" s="273"/>
      <c r="LU285" s="273"/>
      <c r="LV285" s="273"/>
      <c r="LW285" s="273"/>
      <c r="LX285" s="273"/>
      <c r="LY285" s="273"/>
      <c r="LZ285" s="273"/>
      <c r="MA285" s="273"/>
      <c r="MB285" s="273"/>
      <c r="MC285" s="273"/>
      <c r="MD285" s="273"/>
      <c r="ME285" s="273"/>
      <c r="MF285" s="273"/>
      <c r="MG285" s="273"/>
      <c r="MH285" s="273"/>
      <c r="MI285" s="273"/>
      <c r="MJ285" s="273"/>
      <c r="MK285" s="273"/>
      <c r="ML285" s="274"/>
      <c r="MM285" s="272"/>
      <c r="MN285" s="273"/>
      <c r="MO285" s="273"/>
      <c r="MP285" s="273"/>
      <c r="MQ285" s="273"/>
      <c r="MR285" s="273"/>
      <c r="MS285" s="273"/>
      <c r="MT285" s="273"/>
      <c r="MU285" s="273"/>
      <c r="MV285" s="273"/>
      <c r="MW285" s="273"/>
      <c r="MX285" s="273"/>
      <c r="MY285" s="273"/>
      <c r="MZ285" s="273"/>
      <c r="NA285" s="273"/>
      <c r="NB285" s="273"/>
      <c r="NC285" s="273"/>
      <c r="ND285" s="273"/>
      <c r="NE285" s="273"/>
      <c r="NF285" s="273"/>
      <c r="NG285" s="273"/>
      <c r="NH285" s="273"/>
      <c r="NI285" s="273"/>
      <c r="NJ285" s="273"/>
      <c r="NK285" s="273"/>
      <c r="NL285" s="273"/>
      <c r="NM285" s="273"/>
      <c r="NN285" s="274"/>
      <c r="NO285" s="272"/>
      <c r="NP285" s="273"/>
      <c r="NQ285" s="273"/>
      <c r="NR285" s="273"/>
      <c r="NS285" s="273"/>
      <c r="NT285" s="273"/>
      <c r="NU285" s="273"/>
      <c r="NV285" s="273"/>
      <c r="NW285" s="273"/>
      <c r="NX285" s="273"/>
      <c r="NY285" s="273"/>
      <c r="NZ285" s="273"/>
      <c r="OA285" s="273"/>
      <c r="OB285" s="273"/>
      <c r="OC285" s="273"/>
      <c r="OD285" s="273"/>
      <c r="OE285" s="273"/>
      <c r="OF285" s="273"/>
      <c r="OG285" s="273"/>
      <c r="OH285" s="273"/>
      <c r="OI285" s="273"/>
      <c r="OJ285" s="273"/>
      <c r="OK285" s="273"/>
      <c r="OL285" s="273"/>
      <c r="OM285" s="273"/>
      <c r="ON285" s="273"/>
      <c r="OO285" s="273"/>
      <c r="OP285" s="274"/>
      <c r="OW285" s="12"/>
      <c r="OX285" s="7"/>
    </row>
    <row r="286" spans="3:414" ht="5.0999999999999996" customHeight="1" x14ac:dyDescent="0.3">
      <c r="C286" s="11"/>
      <c r="D286" s="13"/>
      <c r="G286" s="2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  <c r="AF286" s="170"/>
      <c r="AG286" s="170"/>
      <c r="AH286" s="271"/>
      <c r="AI286" s="270"/>
      <c r="AJ286" s="170"/>
      <c r="AK286" s="170"/>
      <c r="AL286" s="170"/>
      <c r="AM286" s="170"/>
      <c r="AN286" s="170"/>
      <c r="AO286" s="170"/>
      <c r="AP286" s="170"/>
      <c r="AQ286" s="170"/>
      <c r="AR286" s="170"/>
      <c r="AS286" s="170"/>
      <c r="AT286" s="170"/>
      <c r="AU286" s="170"/>
      <c r="AV286" s="170"/>
      <c r="AW286" s="170"/>
      <c r="AX286" s="170"/>
      <c r="AY286" s="170"/>
      <c r="AZ286" s="170"/>
      <c r="BA286" s="170"/>
      <c r="BB286" s="170"/>
      <c r="BC286" s="170"/>
      <c r="BD286" s="170"/>
      <c r="BE286" s="170"/>
      <c r="BF286" s="170"/>
      <c r="BG286" s="170"/>
      <c r="BH286" s="170"/>
      <c r="BI286" s="170"/>
      <c r="BJ286" s="271"/>
      <c r="BK286" s="270"/>
      <c r="BL286" s="170"/>
      <c r="BM286" s="170"/>
      <c r="BN286" s="170"/>
      <c r="BO286" s="170"/>
      <c r="BP286" s="170"/>
      <c r="BQ286" s="170"/>
      <c r="BR286" s="170"/>
      <c r="BS286" s="170"/>
      <c r="BT286" s="170"/>
      <c r="BU286" s="170"/>
      <c r="BV286" s="170"/>
      <c r="BW286" s="170"/>
      <c r="BX286" s="170"/>
      <c r="BY286" s="170"/>
      <c r="BZ286" s="170"/>
      <c r="CA286" s="170"/>
      <c r="CB286" s="170"/>
      <c r="CC286" s="170"/>
      <c r="CD286" s="170"/>
      <c r="CE286" s="170"/>
      <c r="CF286" s="170"/>
      <c r="CG286" s="170"/>
      <c r="CH286" s="170"/>
      <c r="CI286" s="170"/>
      <c r="CJ286" s="170"/>
      <c r="CK286" s="170"/>
      <c r="CL286" s="271"/>
      <c r="OW286" s="12"/>
      <c r="OX286" s="7"/>
    </row>
    <row r="287" spans="3:414" ht="5.0999999999999996" customHeight="1" thickBot="1" x14ac:dyDescent="0.35">
      <c r="C287" s="11"/>
      <c r="D287" s="13"/>
      <c r="G287" s="272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4"/>
      <c r="AI287" s="272"/>
      <c r="AJ287" s="273"/>
      <c r="AK287" s="273"/>
      <c r="AL287" s="273"/>
      <c r="AM287" s="273"/>
      <c r="AN287" s="273"/>
      <c r="AO287" s="273"/>
      <c r="AP287" s="273"/>
      <c r="AQ287" s="273"/>
      <c r="AR287" s="273"/>
      <c r="AS287" s="273"/>
      <c r="AT287" s="273"/>
      <c r="AU287" s="273"/>
      <c r="AV287" s="273"/>
      <c r="AW287" s="273"/>
      <c r="AX287" s="273"/>
      <c r="AY287" s="273"/>
      <c r="AZ287" s="273"/>
      <c r="BA287" s="273"/>
      <c r="BB287" s="273"/>
      <c r="BC287" s="273"/>
      <c r="BD287" s="273"/>
      <c r="BE287" s="273"/>
      <c r="BF287" s="273"/>
      <c r="BG287" s="273"/>
      <c r="BH287" s="273"/>
      <c r="BI287" s="273"/>
      <c r="BJ287" s="274"/>
      <c r="BK287" s="272"/>
      <c r="BL287" s="273"/>
      <c r="BM287" s="273"/>
      <c r="BN287" s="273"/>
      <c r="BO287" s="273"/>
      <c r="BP287" s="273"/>
      <c r="BQ287" s="273"/>
      <c r="BR287" s="273"/>
      <c r="BS287" s="273"/>
      <c r="BT287" s="273"/>
      <c r="BU287" s="273"/>
      <c r="BV287" s="273"/>
      <c r="BW287" s="273"/>
      <c r="BX287" s="273"/>
      <c r="BY287" s="273"/>
      <c r="BZ287" s="273"/>
      <c r="CA287" s="273"/>
      <c r="CB287" s="273"/>
      <c r="CC287" s="273"/>
      <c r="CD287" s="273"/>
      <c r="CE287" s="273"/>
      <c r="CF287" s="273"/>
      <c r="CG287" s="273"/>
      <c r="CH287" s="273"/>
      <c r="CI287" s="273"/>
      <c r="CJ287" s="273"/>
      <c r="CK287" s="273"/>
      <c r="CL287" s="274"/>
      <c r="OW287" s="12"/>
      <c r="OX287" s="7"/>
    </row>
    <row r="288" spans="3:414" ht="5.0999999999999996" customHeight="1" x14ac:dyDescent="0.3">
      <c r="C288" s="11"/>
      <c r="D288" s="13"/>
      <c r="OW288" s="12"/>
      <c r="OX288" s="7"/>
    </row>
    <row r="289" spans="3:438" ht="5.0999999999999996" customHeight="1" x14ac:dyDescent="0.3">
      <c r="C289" s="11"/>
      <c r="D289" s="13"/>
      <c r="OW289" s="12"/>
      <c r="OX289" s="7"/>
    </row>
    <row r="290" spans="3:438" ht="5.0999999999999996" customHeight="1" x14ac:dyDescent="0.3">
      <c r="C290" s="11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9"/>
      <c r="ML290" s="9"/>
      <c r="MM290" s="9"/>
      <c r="MN290" s="9"/>
      <c r="MO290" s="9"/>
      <c r="MP290" s="9"/>
      <c r="MQ290" s="9"/>
      <c r="MR290" s="9"/>
      <c r="MS290" s="9"/>
      <c r="MT290" s="9"/>
      <c r="MU290" s="9"/>
      <c r="MV290" s="9"/>
      <c r="MW290" s="9"/>
      <c r="MX290" s="9"/>
      <c r="MY290" s="9"/>
      <c r="MZ290" s="9"/>
      <c r="NA290" s="9"/>
      <c r="NB290" s="9"/>
      <c r="NC290" s="9"/>
      <c r="ND290" s="9"/>
      <c r="NE290" s="9"/>
      <c r="NF290" s="9"/>
      <c r="NG290" s="9"/>
      <c r="NH290" s="9"/>
      <c r="NI290" s="9"/>
      <c r="NJ290" s="9"/>
      <c r="NK290" s="9"/>
      <c r="NL290" s="9"/>
      <c r="NM290" s="9"/>
      <c r="NN290" s="9"/>
      <c r="NO290" s="9"/>
      <c r="NP290" s="9"/>
      <c r="NQ290" s="9"/>
      <c r="NR290" s="9"/>
      <c r="NS290" s="9"/>
      <c r="NT290" s="9"/>
      <c r="NU290" s="9"/>
      <c r="NV290" s="9"/>
      <c r="NW290" s="9"/>
      <c r="NX290" s="9"/>
      <c r="NY290" s="9"/>
      <c r="NZ290" s="9"/>
      <c r="OA290" s="9"/>
      <c r="OB290" s="9"/>
      <c r="OC290" s="9"/>
      <c r="OD290" s="9"/>
      <c r="OE290" s="9"/>
      <c r="OF290" s="9"/>
      <c r="OG290" s="9"/>
      <c r="OH290" s="9"/>
      <c r="OI290" s="9"/>
      <c r="OJ290" s="9"/>
      <c r="OK290" s="9"/>
      <c r="OL290" s="9"/>
      <c r="OM290" s="9"/>
      <c r="ON290" s="9"/>
      <c r="OO290" s="9"/>
      <c r="OP290" s="9"/>
      <c r="OQ290" s="9"/>
      <c r="OR290" s="9"/>
      <c r="OS290" s="9"/>
      <c r="OT290" s="9"/>
      <c r="OU290" s="9"/>
      <c r="OV290" s="9"/>
      <c r="OW290" s="8"/>
      <c r="OX290" s="7"/>
    </row>
    <row r="291" spans="3:438" ht="3" customHeight="1" thickBot="1" x14ac:dyDescent="0.35"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5"/>
      <c r="MN291" s="5"/>
      <c r="MO291" s="5"/>
      <c r="MP291" s="5"/>
      <c r="MQ291" s="5"/>
      <c r="MR291" s="5"/>
      <c r="MS291" s="5"/>
      <c r="MT291" s="5"/>
      <c r="MU291" s="5"/>
      <c r="MV291" s="5"/>
      <c r="MW291" s="5"/>
      <c r="MX291" s="5"/>
      <c r="MY291" s="5"/>
      <c r="MZ291" s="5"/>
      <c r="NA291" s="5"/>
      <c r="NB291" s="5"/>
      <c r="NC291" s="5"/>
      <c r="ND291" s="5"/>
      <c r="NE291" s="5"/>
      <c r="NF291" s="5"/>
      <c r="NG291" s="5"/>
      <c r="NH291" s="5"/>
      <c r="NI291" s="5"/>
      <c r="NJ291" s="5"/>
      <c r="NK291" s="5"/>
      <c r="NL291" s="5"/>
      <c r="NM291" s="5"/>
      <c r="NN291" s="5"/>
      <c r="NO291" s="5"/>
      <c r="NP291" s="5"/>
      <c r="NQ291" s="5"/>
      <c r="NR291" s="5"/>
      <c r="NS291" s="5"/>
      <c r="NT291" s="5"/>
      <c r="NU291" s="5"/>
      <c r="NV291" s="5"/>
      <c r="NW291" s="5"/>
      <c r="NX291" s="5"/>
      <c r="NY291" s="5"/>
      <c r="NZ291" s="5"/>
      <c r="OA291" s="5"/>
      <c r="OB291" s="5"/>
      <c r="OC291" s="5"/>
      <c r="OD291" s="5"/>
      <c r="OE291" s="5"/>
      <c r="OF291" s="5"/>
      <c r="OG291" s="5"/>
      <c r="OH291" s="5"/>
      <c r="OI291" s="5"/>
      <c r="OJ291" s="5"/>
      <c r="OK291" s="5"/>
      <c r="OL291" s="5"/>
      <c r="OM291" s="5"/>
      <c r="ON291" s="5"/>
      <c r="OO291" s="5"/>
      <c r="OP291" s="5"/>
      <c r="OQ291" s="5"/>
      <c r="OR291" s="5"/>
      <c r="OS291" s="5"/>
      <c r="OT291" s="5"/>
      <c r="OU291" s="5"/>
      <c r="OV291" s="5"/>
      <c r="OW291" s="5"/>
      <c r="OX291" s="4"/>
    </row>
    <row r="292" spans="3:438" ht="5.0999999999999996" customHeight="1" thickTop="1" x14ac:dyDescent="0.3"/>
    <row r="293" spans="3:438" ht="5.0999999999999996" customHeight="1" x14ac:dyDescent="0.3"/>
    <row r="294" spans="3:438" ht="5.0999999999999996" customHeight="1" x14ac:dyDescent="0.3"/>
    <row r="295" spans="3:438" ht="5.0999999999999996" customHeight="1" x14ac:dyDescent="0.3"/>
    <row r="296" spans="3:438" ht="5.0999999999999996" customHeight="1" x14ac:dyDescent="0.3">
      <c r="N296" s="3"/>
      <c r="O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GN296" s="3"/>
      <c r="GO296" s="3"/>
      <c r="GP296" s="3"/>
      <c r="GQ296" s="3"/>
      <c r="GR296" s="3"/>
      <c r="GS296" s="3"/>
      <c r="GT296" s="3"/>
      <c r="GU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OY296" s="3"/>
      <c r="OZ296" s="3"/>
      <c r="PA296" s="3"/>
      <c r="PB296" s="3"/>
      <c r="PQ296" s="3"/>
      <c r="PR296" s="3"/>
      <c r="PS296" s="3"/>
      <c r="PT296" s="3"/>
      <c r="PU296" s="3"/>
    </row>
    <row r="297" spans="3:438" ht="5.0999999999999996" customHeight="1" x14ac:dyDescent="0.3">
      <c r="N297" s="3"/>
      <c r="O297" s="3"/>
      <c r="P297" s="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HK297" s="184" t="s">
        <v>47</v>
      </c>
      <c r="HL297" s="185"/>
      <c r="HM297" s="185"/>
      <c r="HN297" s="185"/>
      <c r="HO297" s="185"/>
      <c r="HP297" s="185"/>
      <c r="HQ297" s="185"/>
      <c r="HR297" s="185"/>
      <c r="HS297" s="185"/>
      <c r="HT297" s="185"/>
      <c r="HU297" s="185"/>
      <c r="HV297" s="185"/>
      <c r="HW297" s="185"/>
      <c r="HX297" s="185"/>
      <c r="HY297" s="185"/>
      <c r="HZ297" s="185"/>
      <c r="IA297" s="185"/>
      <c r="IB297" s="185"/>
      <c r="IC297" s="185"/>
      <c r="ID297" s="185"/>
      <c r="IE297" s="185"/>
      <c r="IF297" s="185"/>
      <c r="IG297" s="185"/>
      <c r="IH297" s="185"/>
      <c r="II297" s="185"/>
      <c r="IJ297" s="185"/>
      <c r="IK297" s="185"/>
      <c r="IL297" s="185"/>
      <c r="IM297" s="185"/>
      <c r="IN297" s="185"/>
      <c r="IO297" s="185"/>
      <c r="IP297" s="185"/>
      <c r="IQ297" s="185"/>
      <c r="IR297" s="185"/>
      <c r="IS297" s="185"/>
      <c r="IT297" s="185"/>
      <c r="IU297" s="185"/>
      <c r="IV297" s="185"/>
      <c r="IW297" s="185"/>
      <c r="IX297" s="185"/>
      <c r="IY297" s="186"/>
      <c r="IZ297" s="184">
        <v>1</v>
      </c>
      <c r="JA297" s="185"/>
      <c r="JB297" s="185"/>
      <c r="JC297" s="185"/>
      <c r="JD297" s="186"/>
      <c r="OY297" s="3"/>
      <c r="OZ297" s="3"/>
      <c r="PA297" s="3"/>
      <c r="PB297" s="3"/>
      <c r="PC297" s="2"/>
      <c r="PQ297" s="3"/>
      <c r="PR297" s="3"/>
      <c r="PS297" s="3"/>
      <c r="PT297" s="3"/>
      <c r="PU297" s="3"/>
      <c r="PV297" s="2"/>
    </row>
    <row r="298" spans="3:438" ht="5.0999999999999996" customHeight="1" x14ac:dyDescent="0.3">
      <c r="HK298" s="187"/>
      <c r="HL298" s="188"/>
      <c r="HM298" s="188"/>
      <c r="HN298" s="188"/>
      <c r="HO298" s="188"/>
      <c r="HP298" s="188"/>
      <c r="HQ298" s="188"/>
      <c r="HR298" s="188"/>
      <c r="HS298" s="188"/>
      <c r="HT298" s="188"/>
      <c r="HU298" s="188"/>
      <c r="HV298" s="188"/>
      <c r="HW298" s="188"/>
      <c r="HX298" s="188"/>
      <c r="HY298" s="188"/>
      <c r="HZ298" s="188"/>
      <c r="IA298" s="188"/>
      <c r="IB298" s="188"/>
      <c r="IC298" s="188"/>
      <c r="ID298" s="188"/>
      <c r="IE298" s="188"/>
      <c r="IF298" s="188"/>
      <c r="IG298" s="188"/>
      <c r="IH298" s="188"/>
      <c r="II298" s="188"/>
      <c r="IJ298" s="188"/>
      <c r="IK298" s="188"/>
      <c r="IL298" s="188"/>
      <c r="IM298" s="188"/>
      <c r="IN298" s="188"/>
      <c r="IO298" s="188"/>
      <c r="IP298" s="188"/>
      <c r="IQ298" s="188"/>
      <c r="IR298" s="188"/>
      <c r="IS298" s="188"/>
      <c r="IT298" s="188"/>
      <c r="IU298" s="188"/>
      <c r="IV298" s="188"/>
      <c r="IW298" s="188"/>
      <c r="IX298" s="188"/>
      <c r="IY298" s="189"/>
      <c r="IZ298" s="187"/>
      <c r="JA298" s="188"/>
      <c r="JB298" s="188"/>
      <c r="JC298" s="188"/>
      <c r="JD298" s="189"/>
    </row>
    <row r="299" spans="3:438" ht="5.0999999999999996" customHeight="1" x14ac:dyDescent="0.3">
      <c r="HK299" s="187"/>
      <c r="HL299" s="188"/>
      <c r="HM299" s="188"/>
      <c r="HN299" s="188"/>
      <c r="HO299" s="188"/>
      <c r="HP299" s="188"/>
      <c r="HQ299" s="188"/>
      <c r="HR299" s="188"/>
      <c r="HS299" s="188"/>
      <c r="HT299" s="188"/>
      <c r="HU299" s="188"/>
      <c r="HV299" s="188"/>
      <c r="HW299" s="188"/>
      <c r="HX299" s="188"/>
      <c r="HY299" s="188"/>
      <c r="HZ299" s="188"/>
      <c r="IA299" s="188"/>
      <c r="IB299" s="188"/>
      <c r="IC299" s="188"/>
      <c r="ID299" s="188"/>
      <c r="IE299" s="188"/>
      <c r="IF299" s="188"/>
      <c r="IG299" s="188"/>
      <c r="IH299" s="188"/>
      <c r="II299" s="188"/>
      <c r="IJ299" s="188"/>
      <c r="IK299" s="188"/>
      <c r="IL299" s="188"/>
      <c r="IM299" s="188"/>
      <c r="IN299" s="188"/>
      <c r="IO299" s="188"/>
      <c r="IP299" s="188"/>
      <c r="IQ299" s="188"/>
      <c r="IR299" s="188"/>
      <c r="IS299" s="188"/>
      <c r="IT299" s="188"/>
      <c r="IU299" s="188"/>
      <c r="IV299" s="188"/>
      <c r="IW299" s="188"/>
      <c r="IX299" s="188"/>
      <c r="IY299" s="189"/>
      <c r="IZ299" s="187"/>
      <c r="JA299" s="188"/>
      <c r="JB299" s="188"/>
      <c r="JC299" s="188"/>
      <c r="JD299" s="189"/>
    </row>
    <row r="300" spans="3:438" ht="5.0999999999999996" customHeight="1" x14ac:dyDescent="0.3">
      <c r="HK300" s="187"/>
      <c r="HL300" s="188"/>
      <c r="HM300" s="188"/>
      <c r="HN300" s="188"/>
      <c r="HO300" s="188"/>
      <c r="HP300" s="188"/>
      <c r="HQ300" s="188"/>
      <c r="HR300" s="188"/>
      <c r="HS300" s="188"/>
      <c r="HT300" s="188"/>
      <c r="HU300" s="188"/>
      <c r="HV300" s="188"/>
      <c r="HW300" s="188"/>
      <c r="HX300" s="188"/>
      <c r="HY300" s="188"/>
      <c r="HZ300" s="188"/>
      <c r="IA300" s="188"/>
      <c r="IB300" s="188"/>
      <c r="IC300" s="188"/>
      <c r="ID300" s="188"/>
      <c r="IE300" s="188"/>
      <c r="IF300" s="188"/>
      <c r="IG300" s="188"/>
      <c r="IH300" s="188"/>
      <c r="II300" s="188"/>
      <c r="IJ300" s="188"/>
      <c r="IK300" s="188"/>
      <c r="IL300" s="188"/>
      <c r="IM300" s="188"/>
      <c r="IN300" s="188"/>
      <c r="IO300" s="188"/>
      <c r="IP300" s="188"/>
      <c r="IQ300" s="188"/>
      <c r="IR300" s="188"/>
      <c r="IS300" s="188"/>
      <c r="IT300" s="188"/>
      <c r="IU300" s="188"/>
      <c r="IV300" s="188"/>
      <c r="IW300" s="188"/>
      <c r="IX300" s="188"/>
      <c r="IY300" s="189"/>
      <c r="IZ300" s="187"/>
      <c r="JA300" s="188"/>
      <c r="JB300" s="188"/>
      <c r="JC300" s="188"/>
      <c r="JD300" s="189"/>
    </row>
    <row r="301" spans="3:438" ht="5.0999999999999996" customHeight="1" x14ac:dyDescent="0.3">
      <c r="HK301" s="187"/>
      <c r="HL301" s="188"/>
      <c r="HM301" s="188"/>
      <c r="HN301" s="188"/>
      <c r="HO301" s="188"/>
      <c r="HP301" s="188"/>
      <c r="HQ301" s="188"/>
      <c r="HR301" s="188"/>
      <c r="HS301" s="188"/>
      <c r="HT301" s="188"/>
      <c r="HU301" s="188"/>
      <c r="HV301" s="188"/>
      <c r="HW301" s="188"/>
      <c r="HX301" s="188"/>
      <c r="HY301" s="188"/>
      <c r="HZ301" s="188"/>
      <c r="IA301" s="188"/>
      <c r="IB301" s="188"/>
      <c r="IC301" s="188"/>
      <c r="ID301" s="188"/>
      <c r="IE301" s="188"/>
      <c r="IF301" s="188"/>
      <c r="IG301" s="188"/>
      <c r="IH301" s="188"/>
      <c r="II301" s="188"/>
      <c r="IJ301" s="188"/>
      <c r="IK301" s="188"/>
      <c r="IL301" s="188"/>
      <c r="IM301" s="188"/>
      <c r="IN301" s="188"/>
      <c r="IO301" s="188"/>
      <c r="IP301" s="188"/>
      <c r="IQ301" s="188"/>
      <c r="IR301" s="188"/>
      <c r="IS301" s="188"/>
      <c r="IT301" s="188"/>
      <c r="IU301" s="188"/>
      <c r="IV301" s="188"/>
      <c r="IW301" s="188"/>
      <c r="IX301" s="188"/>
      <c r="IY301" s="189"/>
      <c r="IZ301" s="187"/>
      <c r="JA301" s="188"/>
      <c r="JB301" s="188"/>
      <c r="JC301" s="188"/>
      <c r="JD301" s="189"/>
    </row>
    <row r="302" spans="3:438" ht="5.0999999999999996" customHeight="1" x14ac:dyDescent="0.3">
      <c r="HK302" s="187"/>
      <c r="HL302" s="188"/>
      <c r="HM302" s="188"/>
      <c r="HN302" s="188"/>
      <c r="HO302" s="188"/>
      <c r="HP302" s="188"/>
      <c r="HQ302" s="188"/>
      <c r="HR302" s="188"/>
      <c r="HS302" s="188"/>
      <c r="HT302" s="188"/>
      <c r="HU302" s="188"/>
      <c r="HV302" s="188"/>
      <c r="HW302" s="188"/>
      <c r="HX302" s="188"/>
      <c r="HY302" s="188"/>
      <c r="HZ302" s="188"/>
      <c r="IA302" s="188"/>
      <c r="IB302" s="188"/>
      <c r="IC302" s="188"/>
      <c r="ID302" s="188"/>
      <c r="IE302" s="188"/>
      <c r="IF302" s="188"/>
      <c r="IG302" s="188"/>
      <c r="IH302" s="188"/>
      <c r="II302" s="188"/>
      <c r="IJ302" s="188"/>
      <c r="IK302" s="188"/>
      <c r="IL302" s="188"/>
      <c r="IM302" s="188"/>
      <c r="IN302" s="188"/>
      <c r="IO302" s="188"/>
      <c r="IP302" s="188"/>
      <c r="IQ302" s="188"/>
      <c r="IR302" s="188"/>
      <c r="IS302" s="188"/>
      <c r="IT302" s="188"/>
      <c r="IU302" s="188"/>
      <c r="IV302" s="188"/>
      <c r="IW302" s="188"/>
      <c r="IX302" s="188"/>
      <c r="IY302" s="189"/>
      <c r="IZ302" s="187"/>
      <c r="JA302" s="188"/>
      <c r="JB302" s="188"/>
      <c r="JC302" s="188"/>
      <c r="JD302" s="189"/>
    </row>
    <row r="303" spans="3:438" ht="5.0999999999999996" customHeight="1" x14ac:dyDescent="0.3">
      <c r="N303" s="3"/>
      <c r="O303" s="3"/>
      <c r="P303" s="2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HK303" s="187"/>
      <c r="HL303" s="188"/>
      <c r="HM303" s="188"/>
      <c r="HN303" s="188"/>
      <c r="HO303" s="188"/>
      <c r="HP303" s="188"/>
      <c r="HQ303" s="188"/>
      <c r="HR303" s="188"/>
      <c r="HS303" s="188"/>
      <c r="HT303" s="188"/>
      <c r="HU303" s="188"/>
      <c r="HV303" s="188"/>
      <c r="HW303" s="188"/>
      <c r="HX303" s="188"/>
      <c r="HY303" s="188"/>
      <c r="HZ303" s="188"/>
      <c r="IA303" s="188"/>
      <c r="IB303" s="188"/>
      <c r="IC303" s="188"/>
      <c r="ID303" s="188"/>
      <c r="IE303" s="188"/>
      <c r="IF303" s="188"/>
      <c r="IG303" s="188"/>
      <c r="IH303" s="188"/>
      <c r="II303" s="188"/>
      <c r="IJ303" s="188"/>
      <c r="IK303" s="188"/>
      <c r="IL303" s="188"/>
      <c r="IM303" s="188"/>
      <c r="IN303" s="188"/>
      <c r="IO303" s="188"/>
      <c r="IP303" s="188"/>
      <c r="IQ303" s="188"/>
      <c r="IR303" s="188"/>
      <c r="IS303" s="188"/>
      <c r="IT303" s="188"/>
      <c r="IU303" s="188"/>
      <c r="IV303" s="188"/>
      <c r="IW303" s="188"/>
      <c r="IX303" s="188"/>
      <c r="IY303" s="189"/>
      <c r="IZ303" s="187"/>
      <c r="JA303" s="188"/>
      <c r="JB303" s="188"/>
      <c r="JC303" s="188"/>
      <c r="JD303" s="189"/>
      <c r="OY303" s="3"/>
      <c r="OZ303" s="3"/>
      <c r="PA303" s="3"/>
      <c r="PB303" s="3"/>
      <c r="PC303" s="2"/>
      <c r="PQ303" s="3"/>
      <c r="PR303" s="3"/>
      <c r="PS303" s="3"/>
      <c r="PT303" s="3"/>
      <c r="PU303" s="3"/>
      <c r="PV303" s="2"/>
    </row>
    <row r="304" spans="3:438" ht="5.0999999999999996" customHeight="1" x14ac:dyDescent="0.3">
      <c r="N304" s="3"/>
      <c r="O304" s="3"/>
      <c r="P304" s="2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HK304" s="187"/>
      <c r="HL304" s="188"/>
      <c r="HM304" s="188"/>
      <c r="HN304" s="188"/>
      <c r="HO304" s="188"/>
      <c r="HP304" s="188"/>
      <c r="HQ304" s="188"/>
      <c r="HR304" s="188"/>
      <c r="HS304" s="188"/>
      <c r="HT304" s="188"/>
      <c r="HU304" s="188"/>
      <c r="HV304" s="188"/>
      <c r="HW304" s="188"/>
      <c r="HX304" s="188"/>
      <c r="HY304" s="188"/>
      <c r="HZ304" s="188"/>
      <c r="IA304" s="188"/>
      <c r="IB304" s="188"/>
      <c r="IC304" s="188"/>
      <c r="ID304" s="188"/>
      <c r="IE304" s="188"/>
      <c r="IF304" s="188"/>
      <c r="IG304" s="188"/>
      <c r="IH304" s="188"/>
      <c r="II304" s="188"/>
      <c r="IJ304" s="188"/>
      <c r="IK304" s="188"/>
      <c r="IL304" s="188"/>
      <c r="IM304" s="188"/>
      <c r="IN304" s="188"/>
      <c r="IO304" s="188"/>
      <c r="IP304" s="188"/>
      <c r="IQ304" s="188"/>
      <c r="IR304" s="188"/>
      <c r="IS304" s="188"/>
      <c r="IT304" s="188"/>
      <c r="IU304" s="188"/>
      <c r="IV304" s="188"/>
      <c r="IW304" s="188"/>
      <c r="IX304" s="188"/>
      <c r="IY304" s="189"/>
      <c r="IZ304" s="187"/>
      <c r="JA304" s="188"/>
      <c r="JB304" s="188"/>
      <c r="JC304" s="188"/>
      <c r="JD304" s="189"/>
      <c r="OY304" s="3"/>
      <c r="OZ304" s="3"/>
      <c r="PA304" s="3"/>
      <c r="PB304" s="3"/>
      <c r="PC304" s="2"/>
      <c r="PQ304" s="3"/>
      <c r="PR304" s="3"/>
      <c r="PS304" s="3"/>
      <c r="PT304" s="3"/>
      <c r="PU304" s="3"/>
      <c r="PV304" s="2"/>
    </row>
    <row r="305" spans="219:264" ht="5.0999999999999996" customHeight="1" x14ac:dyDescent="0.3">
      <c r="HK305" s="187"/>
      <c r="HL305" s="188"/>
      <c r="HM305" s="188"/>
      <c r="HN305" s="188"/>
      <c r="HO305" s="188"/>
      <c r="HP305" s="188"/>
      <c r="HQ305" s="188"/>
      <c r="HR305" s="188"/>
      <c r="HS305" s="188"/>
      <c r="HT305" s="188"/>
      <c r="HU305" s="188"/>
      <c r="HV305" s="188"/>
      <c r="HW305" s="188"/>
      <c r="HX305" s="188"/>
      <c r="HY305" s="188"/>
      <c r="HZ305" s="188"/>
      <c r="IA305" s="188"/>
      <c r="IB305" s="188"/>
      <c r="IC305" s="188"/>
      <c r="ID305" s="188"/>
      <c r="IE305" s="188"/>
      <c r="IF305" s="188"/>
      <c r="IG305" s="188"/>
      <c r="IH305" s="188"/>
      <c r="II305" s="188"/>
      <c r="IJ305" s="188"/>
      <c r="IK305" s="188"/>
      <c r="IL305" s="188"/>
      <c r="IM305" s="188"/>
      <c r="IN305" s="188"/>
      <c r="IO305" s="188"/>
      <c r="IP305" s="188"/>
      <c r="IQ305" s="188"/>
      <c r="IR305" s="188"/>
      <c r="IS305" s="188"/>
      <c r="IT305" s="188"/>
      <c r="IU305" s="188"/>
      <c r="IV305" s="188"/>
      <c r="IW305" s="188"/>
      <c r="IX305" s="188"/>
      <c r="IY305" s="189"/>
      <c r="IZ305" s="187"/>
      <c r="JA305" s="188"/>
      <c r="JB305" s="188"/>
      <c r="JC305" s="188"/>
      <c r="JD305" s="189"/>
    </row>
    <row r="306" spans="219:264" ht="5.0999999999999996" customHeight="1" x14ac:dyDescent="0.3">
      <c r="HK306" s="190"/>
      <c r="HL306" s="191"/>
      <c r="HM306" s="191"/>
      <c r="HN306" s="191"/>
      <c r="HO306" s="191"/>
      <c r="HP306" s="191"/>
      <c r="HQ306" s="191"/>
      <c r="HR306" s="191"/>
      <c r="HS306" s="191"/>
      <c r="HT306" s="191"/>
      <c r="HU306" s="191"/>
      <c r="HV306" s="191"/>
      <c r="HW306" s="191"/>
      <c r="HX306" s="191"/>
      <c r="HY306" s="191"/>
      <c r="HZ306" s="191"/>
      <c r="IA306" s="191"/>
      <c r="IB306" s="191"/>
      <c r="IC306" s="191"/>
      <c r="ID306" s="191"/>
      <c r="IE306" s="191"/>
      <c r="IF306" s="191"/>
      <c r="IG306" s="191"/>
      <c r="IH306" s="191"/>
      <c r="II306" s="191"/>
      <c r="IJ306" s="191"/>
      <c r="IK306" s="191"/>
      <c r="IL306" s="191"/>
      <c r="IM306" s="191"/>
      <c r="IN306" s="191"/>
      <c r="IO306" s="191"/>
      <c r="IP306" s="191"/>
      <c r="IQ306" s="191"/>
      <c r="IR306" s="191"/>
      <c r="IS306" s="191"/>
      <c r="IT306" s="191"/>
      <c r="IU306" s="191"/>
      <c r="IV306" s="191"/>
      <c r="IW306" s="191"/>
      <c r="IX306" s="191"/>
      <c r="IY306" s="192"/>
      <c r="IZ306" s="190"/>
      <c r="JA306" s="191"/>
      <c r="JB306" s="191"/>
      <c r="JC306" s="191"/>
      <c r="JD306" s="192"/>
    </row>
    <row r="307" spans="219:264" ht="5.0999999999999996" customHeight="1" x14ac:dyDescent="0.3">
      <c r="IH307" s="16"/>
    </row>
    <row r="308" spans="219:264" ht="5.0999999999999996" customHeight="1" x14ac:dyDescent="0.3">
      <c r="IH308" s="15"/>
      <c r="II308" s="9"/>
    </row>
    <row r="309" spans="219:264" ht="5.0999999999999996" customHeight="1" x14ac:dyDescent="0.3">
      <c r="HK309" s="184" t="s">
        <v>46</v>
      </c>
      <c r="HL309" s="185"/>
      <c r="HM309" s="185"/>
      <c r="HN309" s="185"/>
      <c r="HO309" s="185"/>
      <c r="HP309" s="185"/>
      <c r="HQ309" s="185"/>
      <c r="HR309" s="185"/>
      <c r="HS309" s="185"/>
      <c r="HT309" s="185"/>
      <c r="HU309" s="185"/>
      <c r="HV309" s="185"/>
      <c r="HW309" s="185"/>
      <c r="HX309" s="185"/>
      <c r="HY309" s="185"/>
      <c r="HZ309" s="185"/>
      <c r="IA309" s="185"/>
      <c r="IB309" s="185"/>
      <c r="IC309" s="185"/>
      <c r="ID309" s="185"/>
      <c r="IE309" s="185"/>
      <c r="IF309" s="185"/>
      <c r="IG309" s="185"/>
      <c r="IH309" s="185"/>
      <c r="II309" s="185"/>
      <c r="IJ309" s="185"/>
      <c r="IK309" s="185"/>
      <c r="IL309" s="185"/>
      <c r="IM309" s="185"/>
      <c r="IN309" s="185"/>
      <c r="IO309" s="185"/>
      <c r="IP309" s="185"/>
      <c r="IQ309" s="185"/>
      <c r="IR309" s="185"/>
      <c r="IS309" s="185"/>
      <c r="IT309" s="185"/>
      <c r="IU309" s="185"/>
      <c r="IV309" s="185"/>
      <c r="IW309" s="185"/>
      <c r="IX309" s="185"/>
      <c r="IY309" s="186"/>
      <c r="IZ309" s="184">
        <v>1</v>
      </c>
      <c r="JA309" s="185"/>
      <c r="JB309" s="185"/>
      <c r="JC309" s="185"/>
      <c r="JD309" s="186"/>
    </row>
    <row r="310" spans="219:264" ht="5.0999999999999996" customHeight="1" x14ac:dyDescent="0.3">
      <c r="HK310" s="187"/>
      <c r="HL310" s="188"/>
      <c r="HM310" s="188"/>
      <c r="HN310" s="188"/>
      <c r="HO310" s="188"/>
      <c r="HP310" s="188"/>
      <c r="HQ310" s="188"/>
      <c r="HR310" s="188"/>
      <c r="HS310" s="188"/>
      <c r="HT310" s="188"/>
      <c r="HU310" s="188"/>
      <c r="HV310" s="188"/>
      <c r="HW310" s="188"/>
      <c r="HX310" s="188"/>
      <c r="HY310" s="188"/>
      <c r="HZ310" s="188"/>
      <c r="IA310" s="188"/>
      <c r="IB310" s="188"/>
      <c r="IC310" s="188"/>
      <c r="ID310" s="188"/>
      <c r="IE310" s="188"/>
      <c r="IF310" s="188"/>
      <c r="IG310" s="188"/>
      <c r="IH310" s="188"/>
      <c r="II310" s="188"/>
      <c r="IJ310" s="188"/>
      <c r="IK310" s="188"/>
      <c r="IL310" s="188"/>
      <c r="IM310" s="188"/>
      <c r="IN310" s="188"/>
      <c r="IO310" s="188"/>
      <c r="IP310" s="188"/>
      <c r="IQ310" s="188"/>
      <c r="IR310" s="188"/>
      <c r="IS310" s="188"/>
      <c r="IT310" s="188"/>
      <c r="IU310" s="188"/>
      <c r="IV310" s="188"/>
      <c r="IW310" s="188"/>
      <c r="IX310" s="188"/>
      <c r="IY310" s="189"/>
      <c r="IZ310" s="187"/>
      <c r="JA310" s="188"/>
      <c r="JB310" s="188"/>
      <c r="JC310" s="188"/>
      <c r="JD310" s="189"/>
    </row>
    <row r="311" spans="219:264" ht="5.0999999999999996" customHeight="1" x14ac:dyDescent="0.3">
      <c r="HK311" s="187"/>
      <c r="HL311" s="188"/>
      <c r="HM311" s="188"/>
      <c r="HN311" s="188"/>
      <c r="HO311" s="188"/>
      <c r="HP311" s="188"/>
      <c r="HQ311" s="188"/>
      <c r="HR311" s="188"/>
      <c r="HS311" s="188"/>
      <c r="HT311" s="188"/>
      <c r="HU311" s="188"/>
      <c r="HV311" s="188"/>
      <c r="HW311" s="188"/>
      <c r="HX311" s="188"/>
      <c r="HY311" s="188"/>
      <c r="HZ311" s="188"/>
      <c r="IA311" s="188"/>
      <c r="IB311" s="188"/>
      <c r="IC311" s="188"/>
      <c r="ID311" s="188"/>
      <c r="IE311" s="188"/>
      <c r="IF311" s="188"/>
      <c r="IG311" s="188"/>
      <c r="IH311" s="188"/>
      <c r="II311" s="188"/>
      <c r="IJ311" s="188"/>
      <c r="IK311" s="188"/>
      <c r="IL311" s="188"/>
      <c r="IM311" s="188"/>
      <c r="IN311" s="188"/>
      <c r="IO311" s="188"/>
      <c r="IP311" s="188"/>
      <c r="IQ311" s="188"/>
      <c r="IR311" s="188"/>
      <c r="IS311" s="188"/>
      <c r="IT311" s="188"/>
      <c r="IU311" s="188"/>
      <c r="IV311" s="188"/>
      <c r="IW311" s="188"/>
      <c r="IX311" s="188"/>
      <c r="IY311" s="189"/>
      <c r="IZ311" s="187"/>
      <c r="JA311" s="188"/>
      <c r="JB311" s="188"/>
      <c r="JC311" s="188"/>
      <c r="JD311" s="189"/>
    </row>
    <row r="312" spans="219:264" x14ac:dyDescent="0.3">
      <c r="HK312" s="187"/>
      <c r="HL312" s="188"/>
      <c r="HM312" s="188"/>
      <c r="HN312" s="188"/>
      <c r="HO312" s="188"/>
      <c r="HP312" s="188"/>
      <c r="HQ312" s="188"/>
      <c r="HR312" s="188"/>
      <c r="HS312" s="188"/>
      <c r="HT312" s="188"/>
      <c r="HU312" s="188"/>
      <c r="HV312" s="188"/>
      <c r="HW312" s="188"/>
      <c r="HX312" s="188"/>
      <c r="HY312" s="188"/>
      <c r="HZ312" s="188"/>
      <c r="IA312" s="188"/>
      <c r="IB312" s="188"/>
      <c r="IC312" s="188"/>
      <c r="ID312" s="188"/>
      <c r="IE312" s="188"/>
      <c r="IF312" s="188"/>
      <c r="IG312" s="188"/>
      <c r="IH312" s="188"/>
      <c r="II312" s="188"/>
      <c r="IJ312" s="188"/>
      <c r="IK312" s="188"/>
      <c r="IL312" s="188"/>
      <c r="IM312" s="188"/>
      <c r="IN312" s="188"/>
      <c r="IO312" s="188"/>
      <c r="IP312" s="188"/>
      <c r="IQ312" s="188"/>
      <c r="IR312" s="188"/>
      <c r="IS312" s="188"/>
      <c r="IT312" s="188"/>
      <c r="IU312" s="188"/>
      <c r="IV312" s="188"/>
      <c r="IW312" s="188"/>
      <c r="IX312" s="188"/>
      <c r="IY312" s="189"/>
      <c r="IZ312" s="187"/>
      <c r="JA312" s="188"/>
      <c r="JB312" s="188"/>
      <c r="JC312" s="188"/>
      <c r="JD312" s="189"/>
    </row>
    <row r="313" spans="219:264" x14ac:dyDescent="0.3">
      <c r="HK313" s="187"/>
      <c r="HL313" s="188"/>
      <c r="HM313" s="188"/>
      <c r="HN313" s="188"/>
      <c r="HO313" s="188"/>
      <c r="HP313" s="188"/>
      <c r="HQ313" s="188"/>
      <c r="HR313" s="188"/>
      <c r="HS313" s="188"/>
      <c r="HT313" s="188"/>
      <c r="HU313" s="188"/>
      <c r="HV313" s="188"/>
      <c r="HW313" s="188"/>
      <c r="HX313" s="188"/>
      <c r="HY313" s="188"/>
      <c r="HZ313" s="188"/>
      <c r="IA313" s="188"/>
      <c r="IB313" s="188"/>
      <c r="IC313" s="188"/>
      <c r="ID313" s="188"/>
      <c r="IE313" s="188"/>
      <c r="IF313" s="188"/>
      <c r="IG313" s="188"/>
      <c r="IH313" s="188"/>
      <c r="II313" s="188"/>
      <c r="IJ313" s="188"/>
      <c r="IK313" s="188"/>
      <c r="IL313" s="188"/>
      <c r="IM313" s="188"/>
      <c r="IN313" s="188"/>
      <c r="IO313" s="188"/>
      <c r="IP313" s="188"/>
      <c r="IQ313" s="188"/>
      <c r="IR313" s="188"/>
      <c r="IS313" s="188"/>
      <c r="IT313" s="188"/>
      <c r="IU313" s="188"/>
      <c r="IV313" s="188"/>
      <c r="IW313" s="188"/>
      <c r="IX313" s="188"/>
      <c r="IY313" s="189"/>
      <c r="IZ313" s="187"/>
      <c r="JA313" s="188"/>
      <c r="JB313" s="188"/>
      <c r="JC313" s="188"/>
      <c r="JD313" s="189"/>
    </row>
    <row r="314" spans="219:264" x14ac:dyDescent="0.3">
      <c r="HK314" s="187"/>
      <c r="HL314" s="188"/>
      <c r="HM314" s="188"/>
      <c r="HN314" s="188"/>
      <c r="HO314" s="188"/>
      <c r="HP314" s="188"/>
      <c r="HQ314" s="188"/>
      <c r="HR314" s="188"/>
      <c r="HS314" s="188"/>
      <c r="HT314" s="188"/>
      <c r="HU314" s="188"/>
      <c r="HV314" s="188"/>
      <c r="HW314" s="188"/>
      <c r="HX314" s="188"/>
      <c r="HY314" s="188"/>
      <c r="HZ314" s="188"/>
      <c r="IA314" s="188"/>
      <c r="IB314" s="188"/>
      <c r="IC314" s="188"/>
      <c r="ID314" s="188"/>
      <c r="IE314" s="188"/>
      <c r="IF314" s="188"/>
      <c r="IG314" s="188"/>
      <c r="IH314" s="188"/>
      <c r="II314" s="188"/>
      <c r="IJ314" s="188"/>
      <c r="IK314" s="188"/>
      <c r="IL314" s="188"/>
      <c r="IM314" s="188"/>
      <c r="IN314" s="188"/>
      <c r="IO314" s="188"/>
      <c r="IP314" s="188"/>
      <c r="IQ314" s="188"/>
      <c r="IR314" s="188"/>
      <c r="IS314" s="188"/>
      <c r="IT314" s="188"/>
      <c r="IU314" s="188"/>
      <c r="IV314" s="188"/>
      <c r="IW314" s="188"/>
      <c r="IX314" s="188"/>
      <c r="IY314" s="189"/>
      <c r="IZ314" s="187"/>
      <c r="JA314" s="188"/>
      <c r="JB314" s="188"/>
      <c r="JC314" s="188"/>
      <c r="JD314" s="189"/>
    </row>
    <row r="315" spans="219:264" x14ac:dyDescent="0.3">
      <c r="HK315" s="187"/>
      <c r="HL315" s="188"/>
      <c r="HM315" s="188"/>
      <c r="HN315" s="188"/>
      <c r="HO315" s="188"/>
      <c r="HP315" s="188"/>
      <c r="HQ315" s="188"/>
      <c r="HR315" s="188"/>
      <c r="HS315" s="188"/>
      <c r="HT315" s="188"/>
      <c r="HU315" s="188"/>
      <c r="HV315" s="188"/>
      <c r="HW315" s="188"/>
      <c r="HX315" s="188"/>
      <c r="HY315" s="188"/>
      <c r="HZ315" s="188"/>
      <c r="IA315" s="188"/>
      <c r="IB315" s="188"/>
      <c r="IC315" s="188"/>
      <c r="ID315" s="188"/>
      <c r="IE315" s="188"/>
      <c r="IF315" s="188"/>
      <c r="IG315" s="188"/>
      <c r="IH315" s="188"/>
      <c r="II315" s="188"/>
      <c r="IJ315" s="188"/>
      <c r="IK315" s="188"/>
      <c r="IL315" s="188"/>
      <c r="IM315" s="188"/>
      <c r="IN315" s="188"/>
      <c r="IO315" s="188"/>
      <c r="IP315" s="188"/>
      <c r="IQ315" s="188"/>
      <c r="IR315" s="188"/>
      <c r="IS315" s="188"/>
      <c r="IT315" s="188"/>
      <c r="IU315" s="188"/>
      <c r="IV315" s="188"/>
      <c r="IW315" s="188"/>
      <c r="IX315" s="188"/>
      <c r="IY315" s="189"/>
      <c r="IZ315" s="187"/>
      <c r="JA315" s="188"/>
      <c r="JB315" s="188"/>
      <c r="JC315" s="188"/>
      <c r="JD315" s="189"/>
    </row>
    <row r="316" spans="219:264" x14ac:dyDescent="0.3">
      <c r="HK316" s="187"/>
      <c r="HL316" s="188"/>
      <c r="HM316" s="188"/>
      <c r="HN316" s="188"/>
      <c r="HO316" s="188"/>
      <c r="HP316" s="188"/>
      <c r="HQ316" s="188"/>
      <c r="HR316" s="188"/>
      <c r="HS316" s="188"/>
      <c r="HT316" s="188"/>
      <c r="HU316" s="188"/>
      <c r="HV316" s="188"/>
      <c r="HW316" s="188"/>
      <c r="HX316" s="188"/>
      <c r="HY316" s="188"/>
      <c r="HZ316" s="188"/>
      <c r="IA316" s="188"/>
      <c r="IB316" s="188"/>
      <c r="IC316" s="188"/>
      <c r="ID316" s="188"/>
      <c r="IE316" s="188"/>
      <c r="IF316" s="188"/>
      <c r="IG316" s="188"/>
      <c r="IH316" s="188"/>
      <c r="II316" s="188"/>
      <c r="IJ316" s="188"/>
      <c r="IK316" s="188"/>
      <c r="IL316" s="188"/>
      <c r="IM316" s="188"/>
      <c r="IN316" s="188"/>
      <c r="IO316" s="188"/>
      <c r="IP316" s="188"/>
      <c r="IQ316" s="188"/>
      <c r="IR316" s="188"/>
      <c r="IS316" s="188"/>
      <c r="IT316" s="188"/>
      <c r="IU316" s="188"/>
      <c r="IV316" s="188"/>
      <c r="IW316" s="188"/>
      <c r="IX316" s="188"/>
      <c r="IY316" s="189"/>
      <c r="IZ316" s="187"/>
      <c r="JA316" s="188"/>
      <c r="JB316" s="188"/>
      <c r="JC316" s="188"/>
      <c r="JD316" s="189"/>
    </row>
    <row r="317" spans="219:264" x14ac:dyDescent="0.3">
      <c r="HK317" s="187"/>
      <c r="HL317" s="188"/>
      <c r="HM317" s="188"/>
      <c r="HN317" s="188"/>
      <c r="HO317" s="188"/>
      <c r="HP317" s="188"/>
      <c r="HQ317" s="188"/>
      <c r="HR317" s="188"/>
      <c r="HS317" s="188"/>
      <c r="HT317" s="188"/>
      <c r="HU317" s="188"/>
      <c r="HV317" s="188"/>
      <c r="HW317" s="188"/>
      <c r="HX317" s="188"/>
      <c r="HY317" s="188"/>
      <c r="HZ317" s="188"/>
      <c r="IA317" s="188"/>
      <c r="IB317" s="188"/>
      <c r="IC317" s="188"/>
      <c r="ID317" s="188"/>
      <c r="IE317" s="188"/>
      <c r="IF317" s="188"/>
      <c r="IG317" s="188"/>
      <c r="IH317" s="188"/>
      <c r="II317" s="188"/>
      <c r="IJ317" s="188"/>
      <c r="IK317" s="188"/>
      <c r="IL317" s="188"/>
      <c r="IM317" s="188"/>
      <c r="IN317" s="188"/>
      <c r="IO317" s="188"/>
      <c r="IP317" s="188"/>
      <c r="IQ317" s="188"/>
      <c r="IR317" s="188"/>
      <c r="IS317" s="188"/>
      <c r="IT317" s="188"/>
      <c r="IU317" s="188"/>
      <c r="IV317" s="188"/>
      <c r="IW317" s="188"/>
      <c r="IX317" s="188"/>
      <c r="IY317" s="189"/>
      <c r="IZ317" s="187"/>
      <c r="JA317" s="188"/>
      <c r="JB317" s="188"/>
      <c r="JC317" s="188"/>
      <c r="JD317" s="189"/>
    </row>
    <row r="318" spans="219:264" x14ac:dyDescent="0.3">
      <c r="HK318" s="190"/>
      <c r="HL318" s="191"/>
      <c r="HM318" s="191"/>
      <c r="HN318" s="191"/>
      <c r="HO318" s="191"/>
      <c r="HP318" s="191"/>
      <c r="HQ318" s="191"/>
      <c r="HR318" s="191"/>
      <c r="HS318" s="191"/>
      <c r="HT318" s="191"/>
      <c r="HU318" s="191"/>
      <c r="HV318" s="191"/>
      <c r="HW318" s="191"/>
      <c r="HX318" s="191"/>
      <c r="HY318" s="191"/>
      <c r="HZ318" s="191"/>
      <c r="IA318" s="191"/>
      <c r="IB318" s="191"/>
      <c r="IC318" s="191"/>
      <c r="ID318" s="191"/>
      <c r="IE318" s="191"/>
      <c r="IF318" s="191"/>
      <c r="IG318" s="191"/>
      <c r="IH318" s="191"/>
      <c r="II318" s="191"/>
      <c r="IJ318" s="191"/>
      <c r="IK318" s="191"/>
      <c r="IL318" s="191"/>
      <c r="IM318" s="191"/>
      <c r="IN318" s="191"/>
      <c r="IO318" s="191"/>
      <c r="IP318" s="191"/>
      <c r="IQ318" s="191"/>
      <c r="IR318" s="191"/>
      <c r="IS318" s="191"/>
      <c r="IT318" s="191"/>
      <c r="IU318" s="191"/>
      <c r="IV318" s="191"/>
      <c r="IW318" s="191"/>
      <c r="IX318" s="191"/>
      <c r="IY318" s="192"/>
      <c r="IZ318" s="190"/>
      <c r="JA318" s="191"/>
      <c r="JB318" s="191"/>
      <c r="JC318" s="191"/>
      <c r="JD318" s="192"/>
    </row>
    <row r="319" spans="219:264" x14ac:dyDescent="0.3">
      <c r="HK319" s="184" t="s">
        <v>45</v>
      </c>
      <c r="HL319" s="185"/>
      <c r="HM319" s="185"/>
      <c r="HN319" s="185"/>
      <c r="HO319" s="185"/>
      <c r="HP319" s="185"/>
      <c r="HQ319" s="185"/>
      <c r="HR319" s="185"/>
      <c r="HS319" s="185"/>
      <c r="HT319" s="185"/>
      <c r="HU319" s="185"/>
      <c r="HV319" s="185"/>
      <c r="HW319" s="185"/>
      <c r="HX319" s="185"/>
      <c r="HY319" s="185"/>
      <c r="HZ319" s="185"/>
      <c r="IA319" s="185"/>
      <c r="IB319" s="185"/>
      <c r="IC319" s="185"/>
      <c r="ID319" s="185"/>
      <c r="IE319" s="185"/>
      <c r="IF319" s="185"/>
      <c r="IG319" s="185"/>
      <c r="IH319" s="185"/>
      <c r="II319" s="185"/>
      <c r="IJ319" s="185"/>
      <c r="IK319" s="185"/>
      <c r="IL319" s="185"/>
      <c r="IM319" s="185"/>
      <c r="IN319" s="185"/>
      <c r="IO319" s="185"/>
      <c r="IP319" s="185"/>
      <c r="IQ319" s="185"/>
      <c r="IR319" s="185"/>
      <c r="IS319" s="185"/>
      <c r="IT319" s="185"/>
      <c r="IU319" s="185"/>
      <c r="IV319" s="185"/>
      <c r="IW319" s="185"/>
      <c r="IX319" s="185"/>
      <c r="IY319" s="186"/>
      <c r="IZ319" s="184">
        <v>3</v>
      </c>
      <c r="JA319" s="185"/>
      <c r="JB319" s="185"/>
      <c r="JC319" s="185"/>
      <c r="JD319" s="186"/>
    </row>
    <row r="320" spans="219:264" x14ac:dyDescent="0.3">
      <c r="HK320" s="187"/>
      <c r="HL320" s="188"/>
      <c r="HM320" s="188"/>
      <c r="HN320" s="188"/>
      <c r="HO320" s="188"/>
      <c r="HP320" s="188"/>
      <c r="HQ320" s="188"/>
      <c r="HR320" s="188"/>
      <c r="HS320" s="188"/>
      <c r="HT320" s="188"/>
      <c r="HU320" s="188"/>
      <c r="HV320" s="188"/>
      <c r="HW320" s="188"/>
      <c r="HX320" s="188"/>
      <c r="HY320" s="188"/>
      <c r="HZ320" s="188"/>
      <c r="IA320" s="188"/>
      <c r="IB320" s="188"/>
      <c r="IC320" s="188"/>
      <c r="ID320" s="188"/>
      <c r="IE320" s="188"/>
      <c r="IF320" s="188"/>
      <c r="IG320" s="188"/>
      <c r="IH320" s="188"/>
      <c r="II320" s="188"/>
      <c r="IJ320" s="188"/>
      <c r="IK320" s="188"/>
      <c r="IL320" s="188"/>
      <c r="IM320" s="188"/>
      <c r="IN320" s="188"/>
      <c r="IO320" s="188"/>
      <c r="IP320" s="188"/>
      <c r="IQ320" s="188"/>
      <c r="IR320" s="188"/>
      <c r="IS320" s="188"/>
      <c r="IT320" s="188"/>
      <c r="IU320" s="188"/>
      <c r="IV320" s="188"/>
      <c r="IW320" s="188"/>
      <c r="IX320" s="188"/>
      <c r="IY320" s="189"/>
      <c r="IZ320" s="187"/>
      <c r="JA320" s="188"/>
      <c r="JB320" s="188"/>
      <c r="JC320" s="188"/>
      <c r="JD320" s="189"/>
    </row>
    <row r="321" spans="219:264" x14ac:dyDescent="0.3">
      <c r="HK321" s="187"/>
      <c r="HL321" s="188"/>
      <c r="HM321" s="188"/>
      <c r="HN321" s="188"/>
      <c r="HO321" s="188"/>
      <c r="HP321" s="188"/>
      <c r="HQ321" s="188"/>
      <c r="HR321" s="188"/>
      <c r="HS321" s="188"/>
      <c r="HT321" s="188"/>
      <c r="HU321" s="188"/>
      <c r="HV321" s="188"/>
      <c r="HW321" s="188"/>
      <c r="HX321" s="188"/>
      <c r="HY321" s="188"/>
      <c r="HZ321" s="188"/>
      <c r="IA321" s="188"/>
      <c r="IB321" s="188"/>
      <c r="IC321" s="188"/>
      <c r="ID321" s="188"/>
      <c r="IE321" s="188"/>
      <c r="IF321" s="188"/>
      <c r="IG321" s="188"/>
      <c r="IH321" s="188"/>
      <c r="II321" s="188"/>
      <c r="IJ321" s="188"/>
      <c r="IK321" s="188"/>
      <c r="IL321" s="188"/>
      <c r="IM321" s="188"/>
      <c r="IN321" s="188"/>
      <c r="IO321" s="188"/>
      <c r="IP321" s="188"/>
      <c r="IQ321" s="188"/>
      <c r="IR321" s="188"/>
      <c r="IS321" s="188"/>
      <c r="IT321" s="188"/>
      <c r="IU321" s="188"/>
      <c r="IV321" s="188"/>
      <c r="IW321" s="188"/>
      <c r="IX321" s="188"/>
      <c r="IY321" s="189"/>
      <c r="IZ321" s="187"/>
      <c r="JA321" s="188"/>
      <c r="JB321" s="188"/>
      <c r="JC321" s="188"/>
      <c r="JD321" s="189"/>
    </row>
    <row r="322" spans="219:264" x14ac:dyDescent="0.3">
      <c r="HK322" s="187"/>
      <c r="HL322" s="188"/>
      <c r="HM322" s="188"/>
      <c r="HN322" s="188"/>
      <c r="HO322" s="188"/>
      <c r="HP322" s="188"/>
      <c r="HQ322" s="188"/>
      <c r="HR322" s="188"/>
      <c r="HS322" s="188"/>
      <c r="HT322" s="188"/>
      <c r="HU322" s="188"/>
      <c r="HV322" s="188"/>
      <c r="HW322" s="188"/>
      <c r="HX322" s="188"/>
      <c r="HY322" s="188"/>
      <c r="HZ322" s="188"/>
      <c r="IA322" s="188"/>
      <c r="IB322" s="188"/>
      <c r="IC322" s="188"/>
      <c r="ID322" s="188"/>
      <c r="IE322" s="188"/>
      <c r="IF322" s="188"/>
      <c r="IG322" s="188"/>
      <c r="IH322" s="188"/>
      <c r="II322" s="188"/>
      <c r="IJ322" s="188"/>
      <c r="IK322" s="188"/>
      <c r="IL322" s="188"/>
      <c r="IM322" s="188"/>
      <c r="IN322" s="188"/>
      <c r="IO322" s="188"/>
      <c r="IP322" s="188"/>
      <c r="IQ322" s="188"/>
      <c r="IR322" s="188"/>
      <c r="IS322" s="188"/>
      <c r="IT322" s="188"/>
      <c r="IU322" s="188"/>
      <c r="IV322" s="188"/>
      <c r="IW322" s="188"/>
      <c r="IX322" s="188"/>
      <c r="IY322" s="189"/>
      <c r="IZ322" s="187"/>
      <c r="JA322" s="188"/>
      <c r="JB322" s="188"/>
      <c r="JC322" s="188"/>
      <c r="JD322" s="189"/>
    </row>
    <row r="323" spans="219:264" x14ac:dyDescent="0.3">
      <c r="HK323" s="187"/>
      <c r="HL323" s="188"/>
      <c r="HM323" s="188"/>
      <c r="HN323" s="188"/>
      <c r="HO323" s="188"/>
      <c r="HP323" s="188"/>
      <c r="HQ323" s="188"/>
      <c r="HR323" s="188"/>
      <c r="HS323" s="188"/>
      <c r="HT323" s="188"/>
      <c r="HU323" s="188"/>
      <c r="HV323" s="188"/>
      <c r="HW323" s="188"/>
      <c r="HX323" s="188"/>
      <c r="HY323" s="188"/>
      <c r="HZ323" s="188"/>
      <c r="IA323" s="188"/>
      <c r="IB323" s="188"/>
      <c r="IC323" s="188"/>
      <c r="ID323" s="188"/>
      <c r="IE323" s="188"/>
      <c r="IF323" s="188"/>
      <c r="IG323" s="188"/>
      <c r="IH323" s="188"/>
      <c r="II323" s="188"/>
      <c r="IJ323" s="188"/>
      <c r="IK323" s="188"/>
      <c r="IL323" s="188"/>
      <c r="IM323" s="188"/>
      <c r="IN323" s="188"/>
      <c r="IO323" s="188"/>
      <c r="IP323" s="188"/>
      <c r="IQ323" s="188"/>
      <c r="IR323" s="188"/>
      <c r="IS323" s="188"/>
      <c r="IT323" s="188"/>
      <c r="IU323" s="188"/>
      <c r="IV323" s="188"/>
      <c r="IW323" s="188"/>
      <c r="IX323" s="188"/>
      <c r="IY323" s="189"/>
      <c r="IZ323" s="187"/>
      <c r="JA323" s="188"/>
      <c r="JB323" s="188"/>
      <c r="JC323" s="188"/>
      <c r="JD323" s="189"/>
    </row>
    <row r="324" spans="219:264" x14ac:dyDescent="0.3">
      <c r="HK324" s="187"/>
      <c r="HL324" s="188"/>
      <c r="HM324" s="188"/>
      <c r="HN324" s="188"/>
      <c r="HO324" s="188"/>
      <c r="HP324" s="188"/>
      <c r="HQ324" s="188"/>
      <c r="HR324" s="188"/>
      <c r="HS324" s="188"/>
      <c r="HT324" s="188"/>
      <c r="HU324" s="188"/>
      <c r="HV324" s="188"/>
      <c r="HW324" s="188"/>
      <c r="HX324" s="188"/>
      <c r="HY324" s="188"/>
      <c r="HZ324" s="188"/>
      <c r="IA324" s="188"/>
      <c r="IB324" s="188"/>
      <c r="IC324" s="188"/>
      <c r="ID324" s="188"/>
      <c r="IE324" s="188"/>
      <c r="IF324" s="188"/>
      <c r="IG324" s="188"/>
      <c r="IH324" s="188"/>
      <c r="II324" s="188"/>
      <c r="IJ324" s="188"/>
      <c r="IK324" s="188"/>
      <c r="IL324" s="188"/>
      <c r="IM324" s="188"/>
      <c r="IN324" s="188"/>
      <c r="IO324" s="188"/>
      <c r="IP324" s="188"/>
      <c r="IQ324" s="188"/>
      <c r="IR324" s="188"/>
      <c r="IS324" s="188"/>
      <c r="IT324" s="188"/>
      <c r="IU324" s="188"/>
      <c r="IV324" s="188"/>
      <c r="IW324" s="188"/>
      <c r="IX324" s="188"/>
      <c r="IY324" s="189"/>
      <c r="IZ324" s="187"/>
      <c r="JA324" s="188"/>
      <c r="JB324" s="188"/>
      <c r="JC324" s="188"/>
      <c r="JD324" s="189"/>
    </row>
    <row r="325" spans="219:264" x14ac:dyDescent="0.3">
      <c r="HK325" s="187"/>
      <c r="HL325" s="188"/>
      <c r="HM325" s="188"/>
      <c r="HN325" s="188"/>
      <c r="HO325" s="188"/>
      <c r="HP325" s="188"/>
      <c r="HQ325" s="188"/>
      <c r="HR325" s="188"/>
      <c r="HS325" s="188"/>
      <c r="HT325" s="188"/>
      <c r="HU325" s="188"/>
      <c r="HV325" s="188"/>
      <c r="HW325" s="188"/>
      <c r="HX325" s="188"/>
      <c r="HY325" s="188"/>
      <c r="HZ325" s="188"/>
      <c r="IA325" s="188"/>
      <c r="IB325" s="188"/>
      <c r="IC325" s="188"/>
      <c r="ID325" s="188"/>
      <c r="IE325" s="188"/>
      <c r="IF325" s="188"/>
      <c r="IG325" s="188"/>
      <c r="IH325" s="188"/>
      <c r="II325" s="188"/>
      <c r="IJ325" s="188"/>
      <c r="IK325" s="188"/>
      <c r="IL325" s="188"/>
      <c r="IM325" s="188"/>
      <c r="IN325" s="188"/>
      <c r="IO325" s="188"/>
      <c r="IP325" s="188"/>
      <c r="IQ325" s="188"/>
      <c r="IR325" s="188"/>
      <c r="IS325" s="188"/>
      <c r="IT325" s="188"/>
      <c r="IU325" s="188"/>
      <c r="IV325" s="188"/>
      <c r="IW325" s="188"/>
      <c r="IX325" s="188"/>
      <c r="IY325" s="189"/>
      <c r="IZ325" s="187"/>
      <c r="JA325" s="188"/>
      <c r="JB325" s="188"/>
      <c r="JC325" s="188"/>
      <c r="JD325" s="189"/>
    </row>
    <row r="326" spans="219:264" x14ac:dyDescent="0.3">
      <c r="HK326" s="187"/>
      <c r="HL326" s="188"/>
      <c r="HM326" s="188"/>
      <c r="HN326" s="188"/>
      <c r="HO326" s="188"/>
      <c r="HP326" s="188"/>
      <c r="HQ326" s="188"/>
      <c r="HR326" s="188"/>
      <c r="HS326" s="188"/>
      <c r="HT326" s="188"/>
      <c r="HU326" s="188"/>
      <c r="HV326" s="188"/>
      <c r="HW326" s="188"/>
      <c r="HX326" s="188"/>
      <c r="HY326" s="188"/>
      <c r="HZ326" s="188"/>
      <c r="IA326" s="188"/>
      <c r="IB326" s="188"/>
      <c r="IC326" s="188"/>
      <c r="ID326" s="188"/>
      <c r="IE326" s="188"/>
      <c r="IF326" s="188"/>
      <c r="IG326" s="188"/>
      <c r="IH326" s="188"/>
      <c r="II326" s="188"/>
      <c r="IJ326" s="188"/>
      <c r="IK326" s="188"/>
      <c r="IL326" s="188"/>
      <c r="IM326" s="188"/>
      <c r="IN326" s="188"/>
      <c r="IO326" s="188"/>
      <c r="IP326" s="188"/>
      <c r="IQ326" s="188"/>
      <c r="IR326" s="188"/>
      <c r="IS326" s="188"/>
      <c r="IT326" s="188"/>
      <c r="IU326" s="188"/>
      <c r="IV326" s="188"/>
      <c r="IW326" s="188"/>
      <c r="IX326" s="188"/>
      <c r="IY326" s="189"/>
      <c r="IZ326" s="187"/>
      <c r="JA326" s="188"/>
      <c r="JB326" s="188"/>
      <c r="JC326" s="188"/>
      <c r="JD326" s="189"/>
    </row>
    <row r="327" spans="219:264" x14ac:dyDescent="0.3">
      <c r="HK327" s="187"/>
      <c r="HL327" s="188"/>
      <c r="HM327" s="188"/>
      <c r="HN327" s="188"/>
      <c r="HO327" s="188"/>
      <c r="HP327" s="188"/>
      <c r="HQ327" s="188"/>
      <c r="HR327" s="188"/>
      <c r="HS327" s="188"/>
      <c r="HT327" s="188"/>
      <c r="HU327" s="188"/>
      <c r="HV327" s="188"/>
      <c r="HW327" s="188"/>
      <c r="HX327" s="188"/>
      <c r="HY327" s="188"/>
      <c r="HZ327" s="188"/>
      <c r="IA327" s="188"/>
      <c r="IB327" s="188"/>
      <c r="IC327" s="188"/>
      <c r="ID327" s="188"/>
      <c r="IE327" s="188"/>
      <c r="IF327" s="188"/>
      <c r="IG327" s="188"/>
      <c r="IH327" s="188"/>
      <c r="II327" s="188"/>
      <c r="IJ327" s="188"/>
      <c r="IK327" s="188"/>
      <c r="IL327" s="188"/>
      <c r="IM327" s="188"/>
      <c r="IN327" s="188"/>
      <c r="IO327" s="188"/>
      <c r="IP327" s="188"/>
      <c r="IQ327" s="188"/>
      <c r="IR327" s="188"/>
      <c r="IS327" s="188"/>
      <c r="IT327" s="188"/>
      <c r="IU327" s="188"/>
      <c r="IV327" s="188"/>
      <c r="IW327" s="188"/>
      <c r="IX327" s="188"/>
      <c r="IY327" s="189"/>
      <c r="IZ327" s="187"/>
      <c r="JA327" s="188"/>
      <c r="JB327" s="188"/>
      <c r="JC327" s="188"/>
      <c r="JD327" s="189"/>
    </row>
    <row r="328" spans="219:264" x14ac:dyDescent="0.3">
      <c r="HK328" s="190"/>
      <c r="HL328" s="191"/>
      <c r="HM328" s="191"/>
      <c r="HN328" s="191"/>
      <c r="HO328" s="191"/>
      <c r="HP328" s="191"/>
      <c r="HQ328" s="191"/>
      <c r="HR328" s="191"/>
      <c r="HS328" s="191"/>
      <c r="HT328" s="191"/>
      <c r="HU328" s="191"/>
      <c r="HV328" s="191"/>
      <c r="HW328" s="191"/>
      <c r="HX328" s="191"/>
      <c r="HY328" s="191"/>
      <c r="HZ328" s="191"/>
      <c r="IA328" s="191"/>
      <c r="IB328" s="191"/>
      <c r="IC328" s="191"/>
      <c r="ID328" s="191"/>
      <c r="IE328" s="191"/>
      <c r="IF328" s="191"/>
      <c r="IG328" s="191"/>
      <c r="IH328" s="191"/>
      <c r="II328" s="191"/>
      <c r="IJ328" s="191"/>
      <c r="IK328" s="191"/>
      <c r="IL328" s="191"/>
      <c r="IM328" s="191"/>
      <c r="IN328" s="191"/>
      <c r="IO328" s="191"/>
      <c r="IP328" s="191"/>
      <c r="IQ328" s="191"/>
      <c r="IR328" s="191"/>
      <c r="IS328" s="191"/>
      <c r="IT328" s="191"/>
      <c r="IU328" s="191"/>
      <c r="IV328" s="191"/>
      <c r="IW328" s="191"/>
      <c r="IX328" s="191"/>
      <c r="IY328" s="192"/>
      <c r="IZ328" s="190"/>
      <c r="JA328" s="191"/>
      <c r="JB328" s="191"/>
      <c r="JC328" s="191"/>
      <c r="JD328" s="192"/>
    </row>
    <row r="329" spans="219:264" x14ac:dyDescent="0.3">
      <c r="HK329" s="184" t="s">
        <v>44</v>
      </c>
      <c r="HL329" s="185"/>
      <c r="HM329" s="185"/>
      <c r="HN329" s="185"/>
      <c r="HO329" s="185"/>
      <c r="HP329" s="185"/>
      <c r="HQ329" s="185"/>
      <c r="HR329" s="185"/>
      <c r="HS329" s="185"/>
      <c r="HT329" s="185"/>
      <c r="HU329" s="185"/>
      <c r="HV329" s="185"/>
      <c r="HW329" s="185"/>
      <c r="HX329" s="185"/>
      <c r="HY329" s="185"/>
      <c r="HZ329" s="185"/>
      <c r="IA329" s="185"/>
      <c r="IB329" s="185"/>
      <c r="IC329" s="185"/>
      <c r="ID329" s="185"/>
      <c r="IE329" s="185"/>
      <c r="IF329" s="185"/>
      <c r="IG329" s="185"/>
      <c r="IH329" s="185"/>
      <c r="II329" s="185"/>
      <c r="IJ329" s="185"/>
      <c r="IK329" s="185"/>
      <c r="IL329" s="185"/>
      <c r="IM329" s="185"/>
      <c r="IN329" s="185"/>
      <c r="IO329" s="185"/>
      <c r="IP329" s="185"/>
      <c r="IQ329" s="185"/>
      <c r="IR329" s="185"/>
      <c r="IS329" s="185"/>
      <c r="IT329" s="185"/>
      <c r="IU329" s="185"/>
      <c r="IV329" s="185"/>
      <c r="IW329" s="185"/>
      <c r="IX329" s="185"/>
      <c r="IY329" s="186"/>
      <c r="IZ329" s="184">
        <v>2</v>
      </c>
      <c r="JA329" s="185"/>
      <c r="JB329" s="185"/>
      <c r="JC329" s="185"/>
      <c r="JD329" s="186"/>
    </row>
    <row r="330" spans="219:264" x14ac:dyDescent="0.3">
      <c r="HK330" s="187"/>
      <c r="HL330" s="188"/>
      <c r="HM330" s="188"/>
      <c r="HN330" s="188"/>
      <c r="HO330" s="188"/>
      <c r="HP330" s="188"/>
      <c r="HQ330" s="188"/>
      <c r="HR330" s="188"/>
      <c r="HS330" s="188"/>
      <c r="HT330" s="188"/>
      <c r="HU330" s="188"/>
      <c r="HV330" s="188"/>
      <c r="HW330" s="188"/>
      <c r="HX330" s="188"/>
      <c r="HY330" s="188"/>
      <c r="HZ330" s="188"/>
      <c r="IA330" s="188"/>
      <c r="IB330" s="188"/>
      <c r="IC330" s="188"/>
      <c r="ID330" s="188"/>
      <c r="IE330" s="188"/>
      <c r="IF330" s="188"/>
      <c r="IG330" s="188"/>
      <c r="IH330" s="188"/>
      <c r="II330" s="188"/>
      <c r="IJ330" s="188"/>
      <c r="IK330" s="188"/>
      <c r="IL330" s="188"/>
      <c r="IM330" s="188"/>
      <c r="IN330" s="188"/>
      <c r="IO330" s="188"/>
      <c r="IP330" s="188"/>
      <c r="IQ330" s="188"/>
      <c r="IR330" s="188"/>
      <c r="IS330" s="188"/>
      <c r="IT330" s="188"/>
      <c r="IU330" s="188"/>
      <c r="IV330" s="188"/>
      <c r="IW330" s="188"/>
      <c r="IX330" s="188"/>
      <c r="IY330" s="189"/>
      <c r="IZ330" s="187"/>
      <c r="JA330" s="188"/>
      <c r="JB330" s="188"/>
      <c r="JC330" s="188"/>
      <c r="JD330" s="189"/>
    </row>
    <row r="331" spans="219:264" x14ac:dyDescent="0.3">
      <c r="HK331" s="187"/>
      <c r="HL331" s="188"/>
      <c r="HM331" s="188"/>
      <c r="HN331" s="188"/>
      <c r="HO331" s="188"/>
      <c r="HP331" s="188"/>
      <c r="HQ331" s="188"/>
      <c r="HR331" s="188"/>
      <c r="HS331" s="188"/>
      <c r="HT331" s="188"/>
      <c r="HU331" s="188"/>
      <c r="HV331" s="188"/>
      <c r="HW331" s="188"/>
      <c r="HX331" s="188"/>
      <c r="HY331" s="188"/>
      <c r="HZ331" s="188"/>
      <c r="IA331" s="188"/>
      <c r="IB331" s="188"/>
      <c r="IC331" s="188"/>
      <c r="ID331" s="188"/>
      <c r="IE331" s="188"/>
      <c r="IF331" s="188"/>
      <c r="IG331" s="188"/>
      <c r="IH331" s="188"/>
      <c r="II331" s="188"/>
      <c r="IJ331" s="188"/>
      <c r="IK331" s="188"/>
      <c r="IL331" s="188"/>
      <c r="IM331" s="188"/>
      <c r="IN331" s="188"/>
      <c r="IO331" s="188"/>
      <c r="IP331" s="188"/>
      <c r="IQ331" s="188"/>
      <c r="IR331" s="188"/>
      <c r="IS331" s="188"/>
      <c r="IT331" s="188"/>
      <c r="IU331" s="188"/>
      <c r="IV331" s="188"/>
      <c r="IW331" s="188"/>
      <c r="IX331" s="188"/>
      <c r="IY331" s="189"/>
      <c r="IZ331" s="187"/>
      <c r="JA331" s="188"/>
      <c r="JB331" s="188"/>
      <c r="JC331" s="188"/>
      <c r="JD331" s="189"/>
    </row>
    <row r="332" spans="219:264" x14ac:dyDescent="0.3">
      <c r="HK332" s="187"/>
      <c r="HL332" s="188"/>
      <c r="HM332" s="188"/>
      <c r="HN332" s="188"/>
      <c r="HO332" s="188"/>
      <c r="HP332" s="188"/>
      <c r="HQ332" s="188"/>
      <c r="HR332" s="188"/>
      <c r="HS332" s="188"/>
      <c r="HT332" s="188"/>
      <c r="HU332" s="188"/>
      <c r="HV332" s="188"/>
      <c r="HW332" s="188"/>
      <c r="HX332" s="188"/>
      <c r="HY332" s="188"/>
      <c r="HZ332" s="188"/>
      <c r="IA332" s="188"/>
      <c r="IB332" s="188"/>
      <c r="IC332" s="188"/>
      <c r="ID332" s="188"/>
      <c r="IE332" s="188"/>
      <c r="IF332" s="188"/>
      <c r="IG332" s="188"/>
      <c r="IH332" s="188"/>
      <c r="II332" s="188"/>
      <c r="IJ332" s="188"/>
      <c r="IK332" s="188"/>
      <c r="IL332" s="188"/>
      <c r="IM332" s="188"/>
      <c r="IN332" s="188"/>
      <c r="IO332" s="188"/>
      <c r="IP332" s="188"/>
      <c r="IQ332" s="188"/>
      <c r="IR332" s="188"/>
      <c r="IS332" s="188"/>
      <c r="IT332" s="188"/>
      <c r="IU332" s="188"/>
      <c r="IV332" s="188"/>
      <c r="IW332" s="188"/>
      <c r="IX332" s="188"/>
      <c r="IY332" s="189"/>
      <c r="IZ332" s="187"/>
      <c r="JA332" s="188"/>
      <c r="JB332" s="188"/>
      <c r="JC332" s="188"/>
      <c r="JD332" s="189"/>
    </row>
    <row r="333" spans="219:264" x14ac:dyDescent="0.3">
      <c r="HK333" s="187"/>
      <c r="HL333" s="188"/>
      <c r="HM333" s="188"/>
      <c r="HN333" s="188"/>
      <c r="HO333" s="188"/>
      <c r="HP333" s="188"/>
      <c r="HQ333" s="188"/>
      <c r="HR333" s="188"/>
      <c r="HS333" s="188"/>
      <c r="HT333" s="188"/>
      <c r="HU333" s="188"/>
      <c r="HV333" s="188"/>
      <c r="HW333" s="188"/>
      <c r="HX333" s="188"/>
      <c r="HY333" s="188"/>
      <c r="HZ333" s="188"/>
      <c r="IA333" s="188"/>
      <c r="IB333" s="188"/>
      <c r="IC333" s="188"/>
      <c r="ID333" s="188"/>
      <c r="IE333" s="188"/>
      <c r="IF333" s="188"/>
      <c r="IG333" s="188"/>
      <c r="IH333" s="188"/>
      <c r="II333" s="188"/>
      <c r="IJ333" s="188"/>
      <c r="IK333" s="188"/>
      <c r="IL333" s="188"/>
      <c r="IM333" s="188"/>
      <c r="IN333" s="188"/>
      <c r="IO333" s="188"/>
      <c r="IP333" s="188"/>
      <c r="IQ333" s="188"/>
      <c r="IR333" s="188"/>
      <c r="IS333" s="188"/>
      <c r="IT333" s="188"/>
      <c r="IU333" s="188"/>
      <c r="IV333" s="188"/>
      <c r="IW333" s="188"/>
      <c r="IX333" s="188"/>
      <c r="IY333" s="189"/>
      <c r="IZ333" s="187"/>
      <c r="JA333" s="188"/>
      <c r="JB333" s="188"/>
      <c r="JC333" s="188"/>
      <c r="JD333" s="189"/>
    </row>
    <row r="334" spans="219:264" x14ac:dyDescent="0.3">
      <c r="HK334" s="187"/>
      <c r="HL334" s="188"/>
      <c r="HM334" s="188"/>
      <c r="HN334" s="188"/>
      <c r="HO334" s="188"/>
      <c r="HP334" s="188"/>
      <c r="HQ334" s="188"/>
      <c r="HR334" s="188"/>
      <c r="HS334" s="188"/>
      <c r="HT334" s="188"/>
      <c r="HU334" s="188"/>
      <c r="HV334" s="188"/>
      <c r="HW334" s="188"/>
      <c r="HX334" s="188"/>
      <c r="HY334" s="188"/>
      <c r="HZ334" s="188"/>
      <c r="IA334" s="188"/>
      <c r="IB334" s="188"/>
      <c r="IC334" s="188"/>
      <c r="ID334" s="188"/>
      <c r="IE334" s="188"/>
      <c r="IF334" s="188"/>
      <c r="IG334" s="188"/>
      <c r="IH334" s="188"/>
      <c r="II334" s="188"/>
      <c r="IJ334" s="188"/>
      <c r="IK334" s="188"/>
      <c r="IL334" s="188"/>
      <c r="IM334" s="188"/>
      <c r="IN334" s="188"/>
      <c r="IO334" s="188"/>
      <c r="IP334" s="188"/>
      <c r="IQ334" s="188"/>
      <c r="IR334" s="188"/>
      <c r="IS334" s="188"/>
      <c r="IT334" s="188"/>
      <c r="IU334" s="188"/>
      <c r="IV334" s="188"/>
      <c r="IW334" s="188"/>
      <c r="IX334" s="188"/>
      <c r="IY334" s="189"/>
      <c r="IZ334" s="187"/>
      <c r="JA334" s="188"/>
      <c r="JB334" s="188"/>
      <c r="JC334" s="188"/>
      <c r="JD334" s="189"/>
    </row>
    <row r="335" spans="219:264" x14ac:dyDescent="0.3">
      <c r="HK335" s="187"/>
      <c r="HL335" s="188"/>
      <c r="HM335" s="188"/>
      <c r="HN335" s="188"/>
      <c r="HO335" s="188"/>
      <c r="HP335" s="188"/>
      <c r="HQ335" s="188"/>
      <c r="HR335" s="188"/>
      <c r="HS335" s="188"/>
      <c r="HT335" s="188"/>
      <c r="HU335" s="188"/>
      <c r="HV335" s="188"/>
      <c r="HW335" s="188"/>
      <c r="HX335" s="188"/>
      <c r="HY335" s="188"/>
      <c r="HZ335" s="188"/>
      <c r="IA335" s="188"/>
      <c r="IB335" s="188"/>
      <c r="IC335" s="188"/>
      <c r="ID335" s="188"/>
      <c r="IE335" s="188"/>
      <c r="IF335" s="188"/>
      <c r="IG335" s="188"/>
      <c r="IH335" s="188"/>
      <c r="II335" s="188"/>
      <c r="IJ335" s="188"/>
      <c r="IK335" s="188"/>
      <c r="IL335" s="188"/>
      <c r="IM335" s="188"/>
      <c r="IN335" s="188"/>
      <c r="IO335" s="188"/>
      <c r="IP335" s="188"/>
      <c r="IQ335" s="188"/>
      <c r="IR335" s="188"/>
      <c r="IS335" s="188"/>
      <c r="IT335" s="188"/>
      <c r="IU335" s="188"/>
      <c r="IV335" s="188"/>
      <c r="IW335" s="188"/>
      <c r="IX335" s="188"/>
      <c r="IY335" s="189"/>
      <c r="IZ335" s="187"/>
      <c r="JA335" s="188"/>
      <c r="JB335" s="188"/>
      <c r="JC335" s="188"/>
      <c r="JD335" s="189"/>
    </row>
    <row r="336" spans="219:264" x14ac:dyDescent="0.3">
      <c r="HK336" s="187"/>
      <c r="HL336" s="188"/>
      <c r="HM336" s="188"/>
      <c r="HN336" s="188"/>
      <c r="HO336" s="188"/>
      <c r="HP336" s="188"/>
      <c r="HQ336" s="188"/>
      <c r="HR336" s="188"/>
      <c r="HS336" s="188"/>
      <c r="HT336" s="188"/>
      <c r="HU336" s="188"/>
      <c r="HV336" s="188"/>
      <c r="HW336" s="188"/>
      <c r="HX336" s="188"/>
      <c r="HY336" s="188"/>
      <c r="HZ336" s="188"/>
      <c r="IA336" s="188"/>
      <c r="IB336" s="188"/>
      <c r="IC336" s="188"/>
      <c r="ID336" s="188"/>
      <c r="IE336" s="188"/>
      <c r="IF336" s="188"/>
      <c r="IG336" s="188"/>
      <c r="IH336" s="188"/>
      <c r="II336" s="188"/>
      <c r="IJ336" s="188"/>
      <c r="IK336" s="188"/>
      <c r="IL336" s="188"/>
      <c r="IM336" s="188"/>
      <c r="IN336" s="188"/>
      <c r="IO336" s="188"/>
      <c r="IP336" s="188"/>
      <c r="IQ336" s="188"/>
      <c r="IR336" s="188"/>
      <c r="IS336" s="188"/>
      <c r="IT336" s="188"/>
      <c r="IU336" s="188"/>
      <c r="IV336" s="188"/>
      <c r="IW336" s="188"/>
      <c r="IX336" s="188"/>
      <c r="IY336" s="189"/>
      <c r="IZ336" s="187"/>
      <c r="JA336" s="188"/>
      <c r="JB336" s="188"/>
      <c r="JC336" s="188"/>
      <c r="JD336" s="189"/>
    </row>
    <row r="337" spans="219:264" x14ac:dyDescent="0.3">
      <c r="HK337" s="187"/>
      <c r="HL337" s="188"/>
      <c r="HM337" s="188"/>
      <c r="HN337" s="188"/>
      <c r="HO337" s="188"/>
      <c r="HP337" s="188"/>
      <c r="HQ337" s="188"/>
      <c r="HR337" s="188"/>
      <c r="HS337" s="188"/>
      <c r="HT337" s="188"/>
      <c r="HU337" s="188"/>
      <c r="HV337" s="188"/>
      <c r="HW337" s="188"/>
      <c r="HX337" s="188"/>
      <c r="HY337" s="188"/>
      <c r="HZ337" s="188"/>
      <c r="IA337" s="188"/>
      <c r="IB337" s="188"/>
      <c r="IC337" s="188"/>
      <c r="ID337" s="188"/>
      <c r="IE337" s="188"/>
      <c r="IF337" s="188"/>
      <c r="IG337" s="188"/>
      <c r="IH337" s="188"/>
      <c r="II337" s="188"/>
      <c r="IJ337" s="188"/>
      <c r="IK337" s="188"/>
      <c r="IL337" s="188"/>
      <c r="IM337" s="188"/>
      <c r="IN337" s="188"/>
      <c r="IO337" s="188"/>
      <c r="IP337" s="188"/>
      <c r="IQ337" s="188"/>
      <c r="IR337" s="188"/>
      <c r="IS337" s="188"/>
      <c r="IT337" s="188"/>
      <c r="IU337" s="188"/>
      <c r="IV337" s="188"/>
      <c r="IW337" s="188"/>
      <c r="IX337" s="188"/>
      <c r="IY337" s="189"/>
      <c r="IZ337" s="187"/>
      <c r="JA337" s="188"/>
      <c r="JB337" s="188"/>
      <c r="JC337" s="188"/>
      <c r="JD337" s="189"/>
    </row>
    <row r="338" spans="219:264" x14ac:dyDescent="0.3">
      <c r="HK338" s="190"/>
      <c r="HL338" s="191"/>
      <c r="HM338" s="191"/>
      <c r="HN338" s="191"/>
      <c r="HO338" s="191"/>
      <c r="HP338" s="191"/>
      <c r="HQ338" s="191"/>
      <c r="HR338" s="191"/>
      <c r="HS338" s="191"/>
      <c r="HT338" s="191"/>
      <c r="HU338" s="191"/>
      <c r="HV338" s="191"/>
      <c r="HW338" s="191"/>
      <c r="HX338" s="191"/>
      <c r="HY338" s="191"/>
      <c r="HZ338" s="191"/>
      <c r="IA338" s="191"/>
      <c r="IB338" s="191"/>
      <c r="IC338" s="191"/>
      <c r="ID338" s="191"/>
      <c r="IE338" s="191"/>
      <c r="IF338" s="191"/>
      <c r="IG338" s="191"/>
      <c r="IH338" s="191"/>
      <c r="II338" s="191"/>
      <c r="IJ338" s="191"/>
      <c r="IK338" s="191"/>
      <c r="IL338" s="191"/>
      <c r="IM338" s="191"/>
      <c r="IN338" s="191"/>
      <c r="IO338" s="191"/>
      <c r="IP338" s="191"/>
      <c r="IQ338" s="191"/>
      <c r="IR338" s="191"/>
      <c r="IS338" s="191"/>
      <c r="IT338" s="191"/>
      <c r="IU338" s="191"/>
      <c r="IV338" s="191"/>
      <c r="IW338" s="191"/>
      <c r="IX338" s="191"/>
      <c r="IY338" s="192"/>
      <c r="IZ338" s="190"/>
      <c r="JA338" s="191"/>
      <c r="JB338" s="191"/>
      <c r="JC338" s="191"/>
      <c r="JD338" s="192"/>
    </row>
    <row r="339" spans="219:264" x14ac:dyDescent="0.3">
      <c r="HK339" s="184" t="s">
        <v>43</v>
      </c>
      <c r="HL339" s="185"/>
      <c r="HM339" s="185"/>
      <c r="HN339" s="185"/>
      <c r="HO339" s="185"/>
      <c r="HP339" s="185"/>
      <c r="HQ339" s="185"/>
      <c r="HR339" s="185"/>
      <c r="HS339" s="185"/>
      <c r="HT339" s="185"/>
      <c r="HU339" s="185"/>
      <c r="HV339" s="185"/>
      <c r="HW339" s="185"/>
      <c r="HX339" s="185"/>
      <c r="HY339" s="185"/>
      <c r="HZ339" s="185"/>
      <c r="IA339" s="185"/>
      <c r="IB339" s="185"/>
      <c r="IC339" s="185"/>
      <c r="ID339" s="185"/>
      <c r="IE339" s="185"/>
      <c r="IF339" s="185"/>
      <c r="IG339" s="185"/>
      <c r="IH339" s="185"/>
      <c r="II339" s="185"/>
      <c r="IJ339" s="185"/>
      <c r="IK339" s="185"/>
      <c r="IL339" s="185"/>
      <c r="IM339" s="185"/>
      <c r="IN339" s="185"/>
      <c r="IO339" s="185"/>
      <c r="IP339" s="185"/>
      <c r="IQ339" s="185"/>
      <c r="IR339" s="185"/>
      <c r="IS339" s="185"/>
      <c r="IT339" s="185"/>
      <c r="IU339" s="185"/>
      <c r="IV339" s="185"/>
      <c r="IW339" s="185"/>
      <c r="IX339" s="185"/>
      <c r="IY339" s="186"/>
      <c r="IZ339" s="184">
        <v>1</v>
      </c>
      <c r="JA339" s="185"/>
      <c r="JB339" s="185"/>
      <c r="JC339" s="185"/>
      <c r="JD339" s="186"/>
    </row>
    <row r="340" spans="219:264" x14ac:dyDescent="0.3">
      <c r="HK340" s="187"/>
      <c r="HL340" s="188"/>
      <c r="HM340" s="188"/>
      <c r="HN340" s="188"/>
      <c r="HO340" s="188"/>
      <c r="HP340" s="188"/>
      <c r="HQ340" s="188"/>
      <c r="HR340" s="188"/>
      <c r="HS340" s="188"/>
      <c r="HT340" s="188"/>
      <c r="HU340" s="188"/>
      <c r="HV340" s="188"/>
      <c r="HW340" s="188"/>
      <c r="HX340" s="188"/>
      <c r="HY340" s="188"/>
      <c r="HZ340" s="188"/>
      <c r="IA340" s="188"/>
      <c r="IB340" s="188"/>
      <c r="IC340" s="188"/>
      <c r="ID340" s="188"/>
      <c r="IE340" s="188"/>
      <c r="IF340" s="188"/>
      <c r="IG340" s="188"/>
      <c r="IH340" s="188"/>
      <c r="II340" s="188"/>
      <c r="IJ340" s="188"/>
      <c r="IK340" s="188"/>
      <c r="IL340" s="188"/>
      <c r="IM340" s="188"/>
      <c r="IN340" s="188"/>
      <c r="IO340" s="188"/>
      <c r="IP340" s="188"/>
      <c r="IQ340" s="188"/>
      <c r="IR340" s="188"/>
      <c r="IS340" s="188"/>
      <c r="IT340" s="188"/>
      <c r="IU340" s="188"/>
      <c r="IV340" s="188"/>
      <c r="IW340" s="188"/>
      <c r="IX340" s="188"/>
      <c r="IY340" s="189"/>
      <c r="IZ340" s="187"/>
      <c r="JA340" s="188"/>
      <c r="JB340" s="188"/>
      <c r="JC340" s="188"/>
      <c r="JD340" s="189"/>
    </row>
    <row r="341" spans="219:264" x14ac:dyDescent="0.3">
      <c r="HK341" s="187"/>
      <c r="HL341" s="188"/>
      <c r="HM341" s="188"/>
      <c r="HN341" s="188"/>
      <c r="HO341" s="188"/>
      <c r="HP341" s="188"/>
      <c r="HQ341" s="188"/>
      <c r="HR341" s="188"/>
      <c r="HS341" s="188"/>
      <c r="HT341" s="188"/>
      <c r="HU341" s="188"/>
      <c r="HV341" s="188"/>
      <c r="HW341" s="188"/>
      <c r="HX341" s="188"/>
      <c r="HY341" s="188"/>
      <c r="HZ341" s="188"/>
      <c r="IA341" s="188"/>
      <c r="IB341" s="188"/>
      <c r="IC341" s="188"/>
      <c r="ID341" s="188"/>
      <c r="IE341" s="188"/>
      <c r="IF341" s="188"/>
      <c r="IG341" s="188"/>
      <c r="IH341" s="188"/>
      <c r="II341" s="188"/>
      <c r="IJ341" s="188"/>
      <c r="IK341" s="188"/>
      <c r="IL341" s="188"/>
      <c r="IM341" s="188"/>
      <c r="IN341" s="188"/>
      <c r="IO341" s="188"/>
      <c r="IP341" s="188"/>
      <c r="IQ341" s="188"/>
      <c r="IR341" s="188"/>
      <c r="IS341" s="188"/>
      <c r="IT341" s="188"/>
      <c r="IU341" s="188"/>
      <c r="IV341" s="188"/>
      <c r="IW341" s="188"/>
      <c r="IX341" s="188"/>
      <c r="IY341" s="189"/>
      <c r="IZ341" s="187"/>
      <c r="JA341" s="188"/>
      <c r="JB341" s="188"/>
      <c r="JC341" s="188"/>
      <c r="JD341" s="189"/>
    </row>
    <row r="342" spans="219:264" x14ac:dyDescent="0.3">
      <c r="HK342" s="187"/>
      <c r="HL342" s="188"/>
      <c r="HM342" s="188"/>
      <c r="HN342" s="188"/>
      <c r="HO342" s="188"/>
      <c r="HP342" s="188"/>
      <c r="HQ342" s="188"/>
      <c r="HR342" s="188"/>
      <c r="HS342" s="188"/>
      <c r="HT342" s="188"/>
      <c r="HU342" s="188"/>
      <c r="HV342" s="188"/>
      <c r="HW342" s="188"/>
      <c r="HX342" s="188"/>
      <c r="HY342" s="188"/>
      <c r="HZ342" s="188"/>
      <c r="IA342" s="188"/>
      <c r="IB342" s="188"/>
      <c r="IC342" s="188"/>
      <c r="ID342" s="188"/>
      <c r="IE342" s="188"/>
      <c r="IF342" s="188"/>
      <c r="IG342" s="188"/>
      <c r="IH342" s="188"/>
      <c r="II342" s="188"/>
      <c r="IJ342" s="188"/>
      <c r="IK342" s="188"/>
      <c r="IL342" s="188"/>
      <c r="IM342" s="188"/>
      <c r="IN342" s="188"/>
      <c r="IO342" s="188"/>
      <c r="IP342" s="188"/>
      <c r="IQ342" s="188"/>
      <c r="IR342" s="188"/>
      <c r="IS342" s="188"/>
      <c r="IT342" s="188"/>
      <c r="IU342" s="188"/>
      <c r="IV342" s="188"/>
      <c r="IW342" s="188"/>
      <c r="IX342" s="188"/>
      <c r="IY342" s="189"/>
      <c r="IZ342" s="187"/>
      <c r="JA342" s="188"/>
      <c r="JB342" s="188"/>
      <c r="JC342" s="188"/>
      <c r="JD342" s="189"/>
    </row>
    <row r="343" spans="219:264" x14ac:dyDescent="0.3">
      <c r="HK343" s="187"/>
      <c r="HL343" s="188"/>
      <c r="HM343" s="188"/>
      <c r="HN343" s="188"/>
      <c r="HO343" s="188"/>
      <c r="HP343" s="188"/>
      <c r="HQ343" s="188"/>
      <c r="HR343" s="188"/>
      <c r="HS343" s="188"/>
      <c r="HT343" s="188"/>
      <c r="HU343" s="188"/>
      <c r="HV343" s="188"/>
      <c r="HW343" s="188"/>
      <c r="HX343" s="188"/>
      <c r="HY343" s="188"/>
      <c r="HZ343" s="188"/>
      <c r="IA343" s="188"/>
      <c r="IB343" s="188"/>
      <c r="IC343" s="188"/>
      <c r="ID343" s="188"/>
      <c r="IE343" s="188"/>
      <c r="IF343" s="188"/>
      <c r="IG343" s="188"/>
      <c r="IH343" s="188"/>
      <c r="II343" s="188"/>
      <c r="IJ343" s="188"/>
      <c r="IK343" s="188"/>
      <c r="IL343" s="188"/>
      <c r="IM343" s="188"/>
      <c r="IN343" s="188"/>
      <c r="IO343" s="188"/>
      <c r="IP343" s="188"/>
      <c r="IQ343" s="188"/>
      <c r="IR343" s="188"/>
      <c r="IS343" s="188"/>
      <c r="IT343" s="188"/>
      <c r="IU343" s="188"/>
      <c r="IV343" s="188"/>
      <c r="IW343" s="188"/>
      <c r="IX343" s="188"/>
      <c r="IY343" s="189"/>
      <c r="IZ343" s="187"/>
      <c r="JA343" s="188"/>
      <c r="JB343" s="188"/>
      <c r="JC343" s="188"/>
      <c r="JD343" s="189"/>
    </row>
    <row r="344" spans="219:264" x14ac:dyDescent="0.3">
      <c r="HK344" s="187"/>
      <c r="HL344" s="188"/>
      <c r="HM344" s="188"/>
      <c r="HN344" s="188"/>
      <c r="HO344" s="188"/>
      <c r="HP344" s="188"/>
      <c r="HQ344" s="188"/>
      <c r="HR344" s="188"/>
      <c r="HS344" s="188"/>
      <c r="HT344" s="188"/>
      <c r="HU344" s="188"/>
      <c r="HV344" s="188"/>
      <c r="HW344" s="188"/>
      <c r="HX344" s="188"/>
      <c r="HY344" s="188"/>
      <c r="HZ344" s="188"/>
      <c r="IA344" s="188"/>
      <c r="IB344" s="188"/>
      <c r="IC344" s="188"/>
      <c r="ID344" s="188"/>
      <c r="IE344" s="188"/>
      <c r="IF344" s="188"/>
      <c r="IG344" s="188"/>
      <c r="IH344" s="188"/>
      <c r="II344" s="188"/>
      <c r="IJ344" s="188"/>
      <c r="IK344" s="188"/>
      <c r="IL344" s="188"/>
      <c r="IM344" s="188"/>
      <c r="IN344" s="188"/>
      <c r="IO344" s="188"/>
      <c r="IP344" s="188"/>
      <c r="IQ344" s="188"/>
      <c r="IR344" s="188"/>
      <c r="IS344" s="188"/>
      <c r="IT344" s="188"/>
      <c r="IU344" s="188"/>
      <c r="IV344" s="188"/>
      <c r="IW344" s="188"/>
      <c r="IX344" s="188"/>
      <c r="IY344" s="189"/>
      <c r="IZ344" s="187"/>
      <c r="JA344" s="188"/>
      <c r="JB344" s="188"/>
      <c r="JC344" s="188"/>
      <c r="JD344" s="189"/>
    </row>
    <row r="345" spans="219:264" x14ac:dyDescent="0.3">
      <c r="HK345" s="187"/>
      <c r="HL345" s="188"/>
      <c r="HM345" s="188"/>
      <c r="HN345" s="188"/>
      <c r="HO345" s="188"/>
      <c r="HP345" s="188"/>
      <c r="HQ345" s="188"/>
      <c r="HR345" s="188"/>
      <c r="HS345" s="188"/>
      <c r="HT345" s="188"/>
      <c r="HU345" s="188"/>
      <c r="HV345" s="188"/>
      <c r="HW345" s="188"/>
      <c r="HX345" s="188"/>
      <c r="HY345" s="188"/>
      <c r="HZ345" s="188"/>
      <c r="IA345" s="188"/>
      <c r="IB345" s="188"/>
      <c r="IC345" s="188"/>
      <c r="ID345" s="188"/>
      <c r="IE345" s="188"/>
      <c r="IF345" s="188"/>
      <c r="IG345" s="188"/>
      <c r="IH345" s="188"/>
      <c r="II345" s="188"/>
      <c r="IJ345" s="188"/>
      <c r="IK345" s="188"/>
      <c r="IL345" s="188"/>
      <c r="IM345" s="188"/>
      <c r="IN345" s="188"/>
      <c r="IO345" s="188"/>
      <c r="IP345" s="188"/>
      <c r="IQ345" s="188"/>
      <c r="IR345" s="188"/>
      <c r="IS345" s="188"/>
      <c r="IT345" s="188"/>
      <c r="IU345" s="188"/>
      <c r="IV345" s="188"/>
      <c r="IW345" s="188"/>
      <c r="IX345" s="188"/>
      <c r="IY345" s="189"/>
      <c r="IZ345" s="187"/>
      <c r="JA345" s="188"/>
      <c r="JB345" s="188"/>
      <c r="JC345" s="188"/>
      <c r="JD345" s="189"/>
    </row>
    <row r="346" spans="219:264" x14ac:dyDescent="0.3">
      <c r="HK346" s="187"/>
      <c r="HL346" s="188"/>
      <c r="HM346" s="188"/>
      <c r="HN346" s="188"/>
      <c r="HO346" s="188"/>
      <c r="HP346" s="188"/>
      <c r="HQ346" s="188"/>
      <c r="HR346" s="188"/>
      <c r="HS346" s="188"/>
      <c r="HT346" s="188"/>
      <c r="HU346" s="188"/>
      <c r="HV346" s="188"/>
      <c r="HW346" s="188"/>
      <c r="HX346" s="188"/>
      <c r="HY346" s="188"/>
      <c r="HZ346" s="188"/>
      <c r="IA346" s="188"/>
      <c r="IB346" s="188"/>
      <c r="IC346" s="188"/>
      <c r="ID346" s="188"/>
      <c r="IE346" s="188"/>
      <c r="IF346" s="188"/>
      <c r="IG346" s="188"/>
      <c r="IH346" s="188"/>
      <c r="II346" s="188"/>
      <c r="IJ346" s="188"/>
      <c r="IK346" s="188"/>
      <c r="IL346" s="188"/>
      <c r="IM346" s="188"/>
      <c r="IN346" s="188"/>
      <c r="IO346" s="188"/>
      <c r="IP346" s="188"/>
      <c r="IQ346" s="188"/>
      <c r="IR346" s="188"/>
      <c r="IS346" s="188"/>
      <c r="IT346" s="188"/>
      <c r="IU346" s="188"/>
      <c r="IV346" s="188"/>
      <c r="IW346" s="188"/>
      <c r="IX346" s="188"/>
      <c r="IY346" s="189"/>
      <c r="IZ346" s="187"/>
      <c r="JA346" s="188"/>
      <c r="JB346" s="188"/>
      <c r="JC346" s="188"/>
      <c r="JD346" s="189"/>
    </row>
    <row r="347" spans="219:264" x14ac:dyDescent="0.3">
      <c r="HK347" s="187"/>
      <c r="HL347" s="188"/>
      <c r="HM347" s="188"/>
      <c r="HN347" s="188"/>
      <c r="HO347" s="188"/>
      <c r="HP347" s="188"/>
      <c r="HQ347" s="188"/>
      <c r="HR347" s="188"/>
      <c r="HS347" s="188"/>
      <c r="HT347" s="188"/>
      <c r="HU347" s="188"/>
      <c r="HV347" s="188"/>
      <c r="HW347" s="188"/>
      <c r="HX347" s="188"/>
      <c r="HY347" s="188"/>
      <c r="HZ347" s="188"/>
      <c r="IA347" s="188"/>
      <c r="IB347" s="188"/>
      <c r="IC347" s="188"/>
      <c r="ID347" s="188"/>
      <c r="IE347" s="188"/>
      <c r="IF347" s="188"/>
      <c r="IG347" s="188"/>
      <c r="IH347" s="188"/>
      <c r="II347" s="188"/>
      <c r="IJ347" s="188"/>
      <c r="IK347" s="188"/>
      <c r="IL347" s="188"/>
      <c r="IM347" s="188"/>
      <c r="IN347" s="188"/>
      <c r="IO347" s="188"/>
      <c r="IP347" s="188"/>
      <c r="IQ347" s="188"/>
      <c r="IR347" s="188"/>
      <c r="IS347" s="188"/>
      <c r="IT347" s="188"/>
      <c r="IU347" s="188"/>
      <c r="IV347" s="188"/>
      <c r="IW347" s="188"/>
      <c r="IX347" s="188"/>
      <c r="IY347" s="189"/>
      <c r="IZ347" s="187"/>
      <c r="JA347" s="188"/>
      <c r="JB347" s="188"/>
      <c r="JC347" s="188"/>
      <c r="JD347" s="189"/>
    </row>
    <row r="348" spans="219:264" x14ac:dyDescent="0.3">
      <c r="HK348" s="190"/>
      <c r="HL348" s="191"/>
      <c r="HM348" s="191"/>
      <c r="HN348" s="191"/>
      <c r="HO348" s="191"/>
      <c r="HP348" s="191"/>
      <c r="HQ348" s="191"/>
      <c r="HR348" s="191"/>
      <c r="HS348" s="191"/>
      <c r="HT348" s="191"/>
      <c r="HU348" s="191"/>
      <c r="HV348" s="191"/>
      <c r="HW348" s="191"/>
      <c r="HX348" s="191"/>
      <c r="HY348" s="191"/>
      <c r="HZ348" s="191"/>
      <c r="IA348" s="191"/>
      <c r="IB348" s="191"/>
      <c r="IC348" s="191"/>
      <c r="ID348" s="191"/>
      <c r="IE348" s="191"/>
      <c r="IF348" s="191"/>
      <c r="IG348" s="191"/>
      <c r="IH348" s="191"/>
      <c r="II348" s="191"/>
      <c r="IJ348" s="191"/>
      <c r="IK348" s="191"/>
      <c r="IL348" s="191"/>
      <c r="IM348" s="191"/>
      <c r="IN348" s="191"/>
      <c r="IO348" s="191"/>
      <c r="IP348" s="191"/>
      <c r="IQ348" s="191"/>
      <c r="IR348" s="191"/>
      <c r="IS348" s="191"/>
      <c r="IT348" s="191"/>
      <c r="IU348" s="191"/>
      <c r="IV348" s="191"/>
      <c r="IW348" s="191"/>
      <c r="IX348" s="191"/>
      <c r="IY348" s="192"/>
      <c r="IZ348" s="190"/>
      <c r="JA348" s="191"/>
      <c r="JB348" s="191"/>
      <c r="JC348" s="191"/>
      <c r="JD348" s="192"/>
    </row>
    <row r="349" spans="219:264" x14ac:dyDescent="0.3">
      <c r="HK349" s="184" t="s">
        <v>42</v>
      </c>
      <c r="HL349" s="185"/>
      <c r="HM349" s="185"/>
      <c r="HN349" s="185"/>
      <c r="HO349" s="185"/>
      <c r="HP349" s="185"/>
      <c r="HQ349" s="185"/>
      <c r="HR349" s="185"/>
      <c r="HS349" s="185"/>
      <c r="HT349" s="185"/>
      <c r="HU349" s="185"/>
      <c r="HV349" s="185"/>
      <c r="HW349" s="185"/>
      <c r="HX349" s="185"/>
      <c r="HY349" s="185"/>
      <c r="HZ349" s="185"/>
      <c r="IA349" s="185"/>
      <c r="IB349" s="185"/>
      <c r="IC349" s="185"/>
      <c r="ID349" s="185"/>
      <c r="IE349" s="185"/>
      <c r="IF349" s="185"/>
      <c r="IG349" s="185"/>
      <c r="IH349" s="185"/>
      <c r="II349" s="185"/>
      <c r="IJ349" s="185"/>
      <c r="IK349" s="185"/>
      <c r="IL349" s="185"/>
      <c r="IM349" s="185"/>
      <c r="IN349" s="185"/>
      <c r="IO349" s="185"/>
      <c r="IP349" s="185"/>
      <c r="IQ349" s="185"/>
      <c r="IR349" s="185"/>
      <c r="IS349" s="185"/>
      <c r="IT349" s="185"/>
      <c r="IU349" s="185"/>
      <c r="IV349" s="185"/>
      <c r="IW349" s="185"/>
      <c r="IX349" s="185"/>
      <c r="IY349" s="186"/>
      <c r="IZ349" s="184">
        <v>1</v>
      </c>
      <c r="JA349" s="185"/>
      <c r="JB349" s="185"/>
      <c r="JC349" s="185"/>
      <c r="JD349" s="186"/>
    </row>
    <row r="350" spans="219:264" x14ac:dyDescent="0.3">
      <c r="HK350" s="187"/>
      <c r="HL350" s="188"/>
      <c r="HM350" s="188"/>
      <c r="HN350" s="188"/>
      <c r="HO350" s="188"/>
      <c r="HP350" s="188"/>
      <c r="HQ350" s="188"/>
      <c r="HR350" s="188"/>
      <c r="HS350" s="188"/>
      <c r="HT350" s="188"/>
      <c r="HU350" s="188"/>
      <c r="HV350" s="188"/>
      <c r="HW350" s="188"/>
      <c r="HX350" s="188"/>
      <c r="HY350" s="188"/>
      <c r="HZ350" s="188"/>
      <c r="IA350" s="188"/>
      <c r="IB350" s="188"/>
      <c r="IC350" s="188"/>
      <c r="ID350" s="188"/>
      <c r="IE350" s="188"/>
      <c r="IF350" s="188"/>
      <c r="IG350" s="188"/>
      <c r="IH350" s="188"/>
      <c r="II350" s="188"/>
      <c r="IJ350" s="188"/>
      <c r="IK350" s="188"/>
      <c r="IL350" s="188"/>
      <c r="IM350" s="188"/>
      <c r="IN350" s="188"/>
      <c r="IO350" s="188"/>
      <c r="IP350" s="188"/>
      <c r="IQ350" s="188"/>
      <c r="IR350" s="188"/>
      <c r="IS350" s="188"/>
      <c r="IT350" s="188"/>
      <c r="IU350" s="188"/>
      <c r="IV350" s="188"/>
      <c r="IW350" s="188"/>
      <c r="IX350" s="188"/>
      <c r="IY350" s="189"/>
      <c r="IZ350" s="187"/>
      <c r="JA350" s="188"/>
      <c r="JB350" s="188"/>
      <c r="JC350" s="188"/>
      <c r="JD350" s="189"/>
    </row>
    <row r="351" spans="219:264" x14ac:dyDescent="0.3">
      <c r="HK351" s="187"/>
      <c r="HL351" s="188"/>
      <c r="HM351" s="188"/>
      <c r="HN351" s="188"/>
      <c r="HO351" s="188"/>
      <c r="HP351" s="188"/>
      <c r="HQ351" s="188"/>
      <c r="HR351" s="188"/>
      <c r="HS351" s="188"/>
      <c r="HT351" s="188"/>
      <c r="HU351" s="188"/>
      <c r="HV351" s="188"/>
      <c r="HW351" s="188"/>
      <c r="HX351" s="188"/>
      <c r="HY351" s="188"/>
      <c r="HZ351" s="188"/>
      <c r="IA351" s="188"/>
      <c r="IB351" s="188"/>
      <c r="IC351" s="188"/>
      <c r="ID351" s="188"/>
      <c r="IE351" s="188"/>
      <c r="IF351" s="188"/>
      <c r="IG351" s="188"/>
      <c r="IH351" s="188"/>
      <c r="II351" s="188"/>
      <c r="IJ351" s="188"/>
      <c r="IK351" s="188"/>
      <c r="IL351" s="188"/>
      <c r="IM351" s="188"/>
      <c r="IN351" s="188"/>
      <c r="IO351" s="188"/>
      <c r="IP351" s="188"/>
      <c r="IQ351" s="188"/>
      <c r="IR351" s="188"/>
      <c r="IS351" s="188"/>
      <c r="IT351" s="188"/>
      <c r="IU351" s="188"/>
      <c r="IV351" s="188"/>
      <c r="IW351" s="188"/>
      <c r="IX351" s="188"/>
      <c r="IY351" s="189"/>
      <c r="IZ351" s="187"/>
      <c r="JA351" s="188"/>
      <c r="JB351" s="188"/>
      <c r="JC351" s="188"/>
      <c r="JD351" s="189"/>
    </row>
    <row r="352" spans="219:264" x14ac:dyDescent="0.3">
      <c r="HK352" s="187"/>
      <c r="HL352" s="188"/>
      <c r="HM352" s="188"/>
      <c r="HN352" s="188"/>
      <c r="HO352" s="188"/>
      <c r="HP352" s="188"/>
      <c r="HQ352" s="188"/>
      <c r="HR352" s="188"/>
      <c r="HS352" s="188"/>
      <c r="HT352" s="188"/>
      <c r="HU352" s="188"/>
      <c r="HV352" s="188"/>
      <c r="HW352" s="188"/>
      <c r="HX352" s="188"/>
      <c r="HY352" s="188"/>
      <c r="HZ352" s="188"/>
      <c r="IA352" s="188"/>
      <c r="IB352" s="188"/>
      <c r="IC352" s="188"/>
      <c r="ID352" s="188"/>
      <c r="IE352" s="188"/>
      <c r="IF352" s="188"/>
      <c r="IG352" s="188"/>
      <c r="IH352" s="188"/>
      <c r="II352" s="188"/>
      <c r="IJ352" s="188"/>
      <c r="IK352" s="188"/>
      <c r="IL352" s="188"/>
      <c r="IM352" s="188"/>
      <c r="IN352" s="188"/>
      <c r="IO352" s="188"/>
      <c r="IP352" s="188"/>
      <c r="IQ352" s="188"/>
      <c r="IR352" s="188"/>
      <c r="IS352" s="188"/>
      <c r="IT352" s="188"/>
      <c r="IU352" s="188"/>
      <c r="IV352" s="188"/>
      <c r="IW352" s="188"/>
      <c r="IX352" s="188"/>
      <c r="IY352" s="189"/>
      <c r="IZ352" s="187"/>
      <c r="JA352" s="188"/>
      <c r="JB352" s="188"/>
      <c r="JC352" s="188"/>
      <c r="JD352" s="189"/>
    </row>
    <row r="353" spans="219:264" x14ac:dyDescent="0.3">
      <c r="HK353" s="187"/>
      <c r="HL353" s="188"/>
      <c r="HM353" s="188"/>
      <c r="HN353" s="188"/>
      <c r="HO353" s="188"/>
      <c r="HP353" s="188"/>
      <c r="HQ353" s="188"/>
      <c r="HR353" s="188"/>
      <c r="HS353" s="188"/>
      <c r="HT353" s="188"/>
      <c r="HU353" s="188"/>
      <c r="HV353" s="188"/>
      <c r="HW353" s="188"/>
      <c r="HX353" s="188"/>
      <c r="HY353" s="188"/>
      <c r="HZ353" s="188"/>
      <c r="IA353" s="188"/>
      <c r="IB353" s="188"/>
      <c r="IC353" s="188"/>
      <c r="ID353" s="188"/>
      <c r="IE353" s="188"/>
      <c r="IF353" s="188"/>
      <c r="IG353" s="188"/>
      <c r="IH353" s="188"/>
      <c r="II353" s="188"/>
      <c r="IJ353" s="188"/>
      <c r="IK353" s="188"/>
      <c r="IL353" s="188"/>
      <c r="IM353" s="188"/>
      <c r="IN353" s="188"/>
      <c r="IO353" s="188"/>
      <c r="IP353" s="188"/>
      <c r="IQ353" s="188"/>
      <c r="IR353" s="188"/>
      <c r="IS353" s="188"/>
      <c r="IT353" s="188"/>
      <c r="IU353" s="188"/>
      <c r="IV353" s="188"/>
      <c r="IW353" s="188"/>
      <c r="IX353" s="188"/>
      <c r="IY353" s="189"/>
      <c r="IZ353" s="187"/>
      <c r="JA353" s="188"/>
      <c r="JB353" s="188"/>
      <c r="JC353" s="188"/>
      <c r="JD353" s="189"/>
    </row>
    <row r="354" spans="219:264" x14ac:dyDescent="0.3">
      <c r="HK354" s="187"/>
      <c r="HL354" s="188"/>
      <c r="HM354" s="188"/>
      <c r="HN354" s="188"/>
      <c r="HO354" s="188"/>
      <c r="HP354" s="188"/>
      <c r="HQ354" s="188"/>
      <c r="HR354" s="188"/>
      <c r="HS354" s="188"/>
      <c r="HT354" s="188"/>
      <c r="HU354" s="188"/>
      <c r="HV354" s="188"/>
      <c r="HW354" s="188"/>
      <c r="HX354" s="188"/>
      <c r="HY354" s="188"/>
      <c r="HZ354" s="188"/>
      <c r="IA354" s="188"/>
      <c r="IB354" s="188"/>
      <c r="IC354" s="188"/>
      <c r="ID354" s="188"/>
      <c r="IE354" s="188"/>
      <c r="IF354" s="188"/>
      <c r="IG354" s="188"/>
      <c r="IH354" s="188"/>
      <c r="II354" s="188"/>
      <c r="IJ354" s="188"/>
      <c r="IK354" s="188"/>
      <c r="IL354" s="188"/>
      <c r="IM354" s="188"/>
      <c r="IN354" s="188"/>
      <c r="IO354" s="188"/>
      <c r="IP354" s="188"/>
      <c r="IQ354" s="188"/>
      <c r="IR354" s="188"/>
      <c r="IS354" s="188"/>
      <c r="IT354" s="188"/>
      <c r="IU354" s="188"/>
      <c r="IV354" s="188"/>
      <c r="IW354" s="188"/>
      <c r="IX354" s="188"/>
      <c r="IY354" s="189"/>
      <c r="IZ354" s="187"/>
      <c r="JA354" s="188"/>
      <c r="JB354" s="188"/>
      <c r="JC354" s="188"/>
      <c r="JD354" s="189"/>
    </row>
    <row r="355" spans="219:264" x14ac:dyDescent="0.3">
      <c r="HK355" s="187"/>
      <c r="HL355" s="188"/>
      <c r="HM355" s="188"/>
      <c r="HN355" s="188"/>
      <c r="HO355" s="188"/>
      <c r="HP355" s="188"/>
      <c r="HQ355" s="188"/>
      <c r="HR355" s="188"/>
      <c r="HS355" s="188"/>
      <c r="HT355" s="188"/>
      <c r="HU355" s="188"/>
      <c r="HV355" s="188"/>
      <c r="HW355" s="188"/>
      <c r="HX355" s="188"/>
      <c r="HY355" s="188"/>
      <c r="HZ355" s="188"/>
      <c r="IA355" s="188"/>
      <c r="IB355" s="188"/>
      <c r="IC355" s="188"/>
      <c r="ID355" s="188"/>
      <c r="IE355" s="188"/>
      <c r="IF355" s="188"/>
      <c r="IG355" s="188"/>
      <c r="IH355" s="188"/>
      <c r="II355" s="188"/>
      <c r="IJ355" s="188"/>
      <c r="IK355" s="188"/>
      <c r="IL355" s="188"/>
      <c r="IM355" s="188"/>
      <c r="IN355" s="188"/>
      <c r="IO355" s="188"/>
      <c r="IP355" s="188"/>
      <c r="IQ355" s="188"/>
      <c r="IR355" s="188"/>
      <c r="IS355" s="188"/>
      <c r="IT355" s="188"/>
      <c r="IU355" s="188"/>
      <c r="IV355" s="188"/>
      <c r="IW355" s="188"/>
      <c r="IX355" s="188"/>
      <c r="IY355" s="189"/>
      <c r="IZ355" s="187"/>
      <c r="JA355" s="188"/>
      <c r="JB355" s="188"/>
      <c r="JC355" s="188"/>
      <c r="JD355" s="189"/>
    </row>
    <row r="356" spans="219:264" x14ac:dyDescent="0.3">
      <c r="HK356" s="187"/>
      <c r="HL356" s="188"/>
      <c r="HM356" s="188"/>
      <c r="HN356" s="188"/>
      <c r="HO356" s="188"/>
      <c r="HP356" s="188"/>
      <c r="HQ356" s="188"/>
      <c r="HR356" s="188"/>
      <c r="HS356" s="188"/>
      <c r="HT356" s="188"/>
      <c r="HU356" s="188"/>
      <c r="HV356" s="188"/>
      <c r="HW356" s="188"/>
      <c r="HX356" s="188"/>
      <c r="HY356" s="188"/>
      <c r="HZ356" s="188"/>
      <c r="IA356" s="188"/>
      <c r="IB356" s="188"/>
      <c r="IC356" s="188"/>
      <c r="ID356" s="188"/>
      <c r="IE356" s="188"/>
      <c r="IF356" s="188"/>
      <c r="IG356" s="188"/>
      <c r="IH356" s="188"/>
      <c r="II356" s="188"/>
      <c r="IJ356" s="188"/>
      <c r="IK356" s="188"/>
      <c r="IL356" s="188"/>
      <c r="IM356" s="188"/>
      <c r="IN356" s="188"/>
      <c r="IO356" s="188"/>
      <c r="IP356" s="188"/>
      <c r="IQ356" s="188"/>
      <c r="IR356" s="188"/>
      <c r="IS356" s="188"/>
      <c r="IT356" s="188"/>
      <c r="IU356" s="188"/>
      <c r="IV356" s="188"/>
      <c r="IW356" s="188"/>
      <c r="IX356" s="188"/>
      <c r="IY356" s="189"/>
      <c r="IZ356" s="187"/>
      <c r="JA356" s="188"/>
      <c r="JB356" s="188"/>
      <c r="JC356" s="188"/>
      <c r="JD356" s="189"/>
    </row>
    <row r="357" spans="219:264" x14ac:dyDescent="0.3">
      <c r="HK357" s="187"/>
      <c r="HL357" s="188"/>
      <c r="HM357" s="188"/>
      <c r="HN357" s="188"/>
      <c r="HO357" s="188"/>
      <c r="HP357" s="188"/>
      <c r="HQ357" s="188"/>
      <c r="HR357" s="188"/>
      <c r="HS357" s="188"/>
      <c r="HT357" s="188"/>
      <c r="HU357" s="188"/>
      <c r="HV357" s="188"/>
      <c r="HW357" s="188"/>
      <c r="HX357" s="188"/>
      <c r="HY357" s="188"/>
      <c r="HZ357" s="188"/>
      <c r="IA357" s="188"/>
      <c r="IB357" s="188"/>
      <c r="IC357" s="188"/>
      <c r="ID357" s="188"/>
      <c r="IE357" s="188"/>
      <c r="IF357" s="188"/>
      <c r="IG357" s="188"/>
      <c r="IH357" s="188"/>
      <c r="II357" s="188"/>
      <c r="IJ357" s="188"/>
      <c r="IK357" s="188"/>
      <c r="IL357" s="188"/>
      <c r="IM357" s="188"/>
      <c r="IN357" s="188"/>
      <c r="IO357" s="188"/>
      <c r="IP357" s="188"/>
      <c r="IQ357" s="188"/>
      <c r="IR357" s="188"/>
      <c r="IS357" s="188"/>
      <c r="IT357" s="188"/>
      <c r="IU357" s="188"/>
      <c r="IV357" s="188"/>
      <c r="IW357" s="188"/>
      <c r="IX357" s="188"/>
      <c r="IY357" s="189"/>
      <c r="IZ357" s="187"/>
      <c r="JA357" s="188"/>
      <c r="JB357" s="188"/>
      <c r="JC357" s="188"/>
      <c r="JD357" s="189"/>
    </row>
    <row r="358" spans="219:264" x14ac:dyDescent="0.3">
      <c r="HK358" s="190"/>
      <c r="HL358" s="191"/>
      <c r="HM358" s="191"/>
      <c r="HN358" s="191"/>
      <c r="HO358" s="191"/>
      <c r="HP358" s="191"/>
      <c r="HQ358" s="191"/>
      <c r="HR358" s="191"/>
      <c r="HS358" s="191"/>
      <c r="HT358" s="191"/>
      <c r="HU358" s="191"/>
      <c r="HV358" s="191"/>
      <c r="HW358" s="191"/>
      <c r="HX358" s="191"/>
      <c r="HY358" s="191"/>
      <c r="HZ358" s="191"/>
      <c r="IA358" s="191"/>
      <c r="IB358" s="191"/>
      <c r="IC358" s="191"/>
      <c r="ID358" s="191"/>
      <c r="IE358" s="191"/>
      <c r="IF358" s="191"/>
      <c r="IG358" s="191"/>
      <c r="IH358" s="191"/>
      <c r="II358" s="191"/>
      <c r="IJ358" s="191"/>
      <c r="IK358" s="191"/>
      <c r="IL358" s="191"/>
      <c r="IM358" s="191"/>
      <c r="IN358" s="191"/>
      <c r="IO358" s="191"/>
      <c r="IP358" s="191"/>
      <c r="IQ358" s="191"/>
      <c r="IR358" s="191"/>
      <c r="IS358" s="191"/>
      <c r="IT358" s="191"/>
      <c r="IU358" s="191"/>
      <c r="IV358" s="191"/>
      <c r="IW358" s="191"/>
      <c r="IX358" s="191"/>
      <c r="IY358" s="192"/>
      <c r="IZ358" s="190"/>
      <c r="JA358" s="191"/>
      <c r="JB358" s="191"/>
      <c r="JC358" s="191"/>
      <c r="JD358" s="192"/>
    </row>
    <row r="359" spans="219:264" x14ac:dyDescent="0.3">
      <c r="HK359" s="184" t="s">
        <v>41</v>
      </c>
      <c r="HL359" s="185"/>
      <c r="HM359" s="185"/>
      <c r="HN359" s="185"/>
      <c r="HO359" s="185"/>
      <c r="HP359" s="185"/>
      <c r="HQ359" s="185"/>
      <c r="HR359" s="185"/>
      <c r="HS359" s="185"/>
      <c r="HT359" s="185"/>
      <c r="HU359" s="185"/>
      <c r="HV359" s="185"/>
      <c r="HW359" s="185"/>
      <c r="HX359" s="185"/>
      <c r="HY359" s="185"/>
      <c r="HZ359" s="185"/>
      <c r="IA359" s="185"/>
      <c r="IB359" s="185"/>
      <c r="IC359" s="185"/>
      <c r="ID359" s="185"/>
      <c r="IE359" s="185"/>
      <c r="IF359" s="185"/>
      <c r="IG359" s="185"/>
      <c r="IH359" s="185"/>
      <c r="II359" s="185"/>
      <c r="IJ359" s="185"/>
      <c r="IK359" s="185"/>
      <c r="IL359" s="185"/>
      <c r="IM359" s="185"/>
      <c r="IN359" s="185"/>
      <c r="IO359" s="185"/>
      <c r="IP359" s="185"/>
      <c r="IQ359" s="185"/>
      <c r="IR359" s="185"/>
      <c r="IS359" s="185"/>
      <c r="IT359" s="185"/>
      <c r="IU359" s="185"/>
      <c r="IV359" s="185"/>
      <c r="IW359" s="185"/>
      <c r="IX359" s="185"/>
      <c r="IY359" s="186"/>
      <c r="IZ359" s="184">
        <v>1</v>
      </c>
      <c r="JA359" s="185"/>
      <c r="JB359" s="185"/>
      <c r="JC359" s="185"/>
      <c r="JD359" s="186"/>
    </row>
    <row r="360" spans="219:264" x14ac:dyDescent="0.3">
      <c r="HK360" s="187"/>
      <c r="HL360" s="188"/>
      <c r="HM360" s="188"/>
      <c r="HN360" s="188"/>
      <c r="HO360" s="188"/>
      <c r="HP360" s="188"/>
      <c r="HQ360" s="188"/>
      <c r="HR360" s="188"/>
      <c r="HS360" s="188"/>
      <c r="HT360" s="188"/>
      <c r="HU360" s="188"/>
      <c r="HV360" s="188"/>
      <c r="HW360" s="188"/>
      <c r="HX360" s="188"/>
      <c r="HY360" s="188"/>
      <c r="HZ360" s="188"/>
      <c r="IA360" s="188"/>
      <c r="IB360" s="188"/>
      <c r="IC360" s="188"/>
      <c r="ID360" s="188"/>
      <c r="IE360" s="188"/>
      <c r="IF360" s="188"/>
      <c r="IG360" s="188"/>
      <c r="IH360" s="188"/>
      <c r="II360" s="188"/>
      <c r="IJ360" s="188"/>
      <c r="IK360" s="188"/>
      <c r="IL360" s="188"/>
      <c r="IM360" s="188"/>
      <c r="IN360" s="188"/>
      <c r="IO360" s="188"/>
      <c r="IP360" s="188"/>
      <c r="IQ360" s="188"/>
      <c r="IR360" s="188"/>
      <c r="IS360" s="188"/>
      <c r="IT360" s="188"/>
      <c r="IU360" s="188"/>
      <c r="IV360" s="188"/>
      <c r="IW360" s="188"/>
      <c r="IX360" s="188"/>
      <c r="IY360" s="189"/>
      <c r="IZ360" s="187"/>
      <c r="JA360" s="188"/>
      <c r="JB360" s="188"/>
      <c r="JC360" s="188"/>
      <c r="JD360" s="189"/>
    </row>
    <row r="361" spans="219:264" x14ac:dyDescent="0.3">
      <c r="HK361" s="187"/>
      <c r="HL361" s="188"/>
      <c r="HM361" s="188"/>
      <c r="HN361" s="188"/>
      <c r="HO361" s="188"/>
      <c r="HP361" s="188"/>
      <c r="HQ361" s="188"/>
      <c r="HR361" s="188"/>
      <c r="HS361" s="188"/>
      <c r="HT361" s="188"/>
      <c r="HU361" s="188"/>
      <c r="HV361" s="188"/>
      <c r="HW361" s="188"/>
      <c r="HX361" s="188"/>
      <c r="HY361" s="188"/>
      <c r="HZ361" s="188"/>
      <c r="IA361" s="188"/>
      <c r="IB361" s="188"/>
      <c r="IC361" s="188"/>
      <c r="ID361" s="188"/>
      <c r="IE361" s="188"/>
      <c r="IF361" s="188"/>
      <c r="IG361" s="188"/>
      <c r="IH361" s="188"/>
      <c r="II361" s="188"/>
      <c r="IJ361" s="188"/>
      <c r="IK361" s="188"/>
      <c r="IL361" s="188"/>
      <c r="IM361" s="188"/>
      <c r="IN361" s="188"/>
      <c r="IO361" s="188"/>
      <c r="IP361" s="188"/>
      <c r="IQ361" s="188"/>
      <c r="IR361" s="188"/>
      <c r="IS361" s="188"/>
      <c r="IT361" s="188"/>
      <c r="IU361" s="188"/>
      <c r="IV361" s="188"/>
      <c r="IW361" s="188"/>
      <c r="IX361" s="188"/>
      <c r="IY361" s="189"/>
      <c r="IZ361" s="187"/>
      <c r="JA361" s="188"/>
      <c r="JB361" s="188"/>
      <c r="JC361" s="188"/>
      <c r="JD361" s="189"/>
    </row>
    <row r="362" spans="219:264" x14ac:dyDescent="0.3">
      <c r="HK362" s="187"/>
      <c r="HL362" s="188"/>
      <c r="HM362" s="188"/>
      <c r="HN362" s="188"/>
      <c r="HO362" s="188"/>
      <c r="HP362" s="188"/>
      <c r="HQ362" s="188"/>
      <c r="HR362" s="188"/>
      <c r="HS362" s="188"/>
      <c r="HT362" s="188"/>
      <c r="HU362" s="188"/>
      <c r="HV362" s="188"/>
      <c r="HW362" s="188"/>
      <c r="HX362" s="188"/>
      <c r="HY362" s="188"/>
      <c r="HZ362" s="188"/>
      <c r="IA362" s="188"/>
      <c r="IB362" s="188"/>
      <c r="IC362" s="188"/>
      <c r="ID362" s="188"/>
      <c r="IE362" s="188"/>
      <c r="IF362" s="188"/>
      <c r="IG362" s="188"/>
      <c r="IH362" s="188"/>
      <c r="II362" s="188"/>
      <c r="IJ362" s="188"/>
      <c r="IK362" s="188"/>
      <c r="IL362" s="188"/>
      <c r="IM362" s="188"/>
      <c r="IN362" s="188"/>
      <c r="IO362" s="188"/>
      <c r="IP362" s="188"/>
      <c r="IQ362" s="188"/>
      <c r="IR362" s="188"/>
      <c r="IS362" s="188"/>
      <c r="IT362" s="188"/>
      <c r="IU362" s="188"/>
      <c r="IV362" s="188"/>
      <c r="IW362" s="188"/>
      <c r="IX362" s="188"/>
      <c r="IY362" s="189"/>
      <c r="IZ362" s="187"/>
      <c r="JA362" s="188"/>
      <c r="JB362" s="188"/>
      <c r="JC362" s="188"/>
      <c r="JD362" s="189"/>
    </row>
    <row r="363" spans="219:264" x14ac:dyDescent="0.3">
      <c r="HK363" s="187"/>
      <c r="HL363" s="188"/>
      <c r="HM363" s="188"/>
      <c r="HN363" s="188"/>
      <c r="HO363" s="188"/>
      <c r="HP363" s="188"/>
      <c r="HQ363" s="188"/>
      <c r="HR363" s="188"/>
      <c r="HS363" s="188"/>
      <c r="HT363" s="188"/>
      <c r="HU363" s="188"/>
      <c r="HV363" s="188"/>
      <c r="HW363" s="188"/>
      <c r="HX363" s="188"/>
      <c r="HY363" s="188"/>
      <c r="HZ363" s="188"/>
      <c r="IA363" s="188"/>
      <c r="IB363" s="188"/>
      <c r="IC363" s="188"/>
      <c r="ID363" s="188"/>
      <c r="IE363" s="188"/>
      <c r="IF363" s="188"/>
      <c r="IG363" s="188"/>
      <c r="IH363" s="188"/>
      <c r="II363" s="188"/>
      <c r="IJ363" s="188"/>
      <c r="IK363" s="188"/>
      <c r="IL363" s="188"/>
      <c r="IM363" s="188"/>
      <c r="IN363" s="188"/>
      <c r="IO363" s="188"/>
      <c r="IP363" s="188"/>
      <c r="IQ363" s="188"/>
      <c r="IR363" s="188"/>
      <c r="IS363" s="188"/>
      <c r="IT363" s="188"/>
      <c r="IU363" s="188"/>
      <c r="IV363" s="188"/>
      <c r="IW363" s="188"/>
      <c r="IX363" s="188"/>
      <c r="IY363" s="189"/>
      <c r="IZ363" s="187"/>
      <c r="JA363" s="188"/>
      <c r="JB363" s="188"/>
      <c r="JC363" s="188"/>
      <c r="JD363" s="189"/>
    </row>
    <row r="364" spans="219:264" x14ac:dyDescent="0.3">
      <c r="HK364" s="187"/>
      <c r="HL364" s="188"/>
      <c r="HM364" s="188"/>
      <c r="HN364" s="188"/>
      <c r="HO364" s="188"/>
      <c r="HP364" s="188"/>
      <c r="HQ364" s="188"/>
      <c r="HR364" s="188"/>
      <c r="HS364" s="188"/>
      <c r="HT364" s="188"/>
      <c r="HU364" s="188"/>
      <c r="HV364" s="188"/>
      <c r="HW364" s="188"/>
      <c r="HX364" s="188"/>
      <c r="HY364" s="188"/>
      <c r="HZ364" s="188"/>
      <c r="IA364" s="188"/>
      <c r="IB364" s="188"/>
      <c r="IC364" s="188"/>
      <c r="ID364" s="188"/>
      <c r="IE364" s="188"/>
      <c r="IF364" s="188"/>
      <c r="IG364" s="188"/>
      <c r="IH364" s="188"/>
      <c r="II364" s="188"/>
      <c r="IJ364" s="188"/>
      <c r="IK364" s="188"/>
      <c r="IL364" s="188"/>
      <c r="IM364" s="188"/>
      <c r="IN364" s="188"/>
      <c r="IO364" s="188"/>
      <c r="IP364" s="188"/>
      <c r="IQ364" s="188"/>
      <c r="IR364" s="188"/>
      <c r="IS364" s="188"/>
      <c r="IT364" s="188"/>
      <c r="IU364" s="188"/>
      <c r="IV364" s="188"/>
      <c r="IW364" s="188"/>
      <c r="IX364" s="188"/>
      <c r="IY364" s="189"/>
      <c r="IZ364" s="187"/>
      <c r="JA364" s="188"/>
      <c r="JB364" s="188"/>
      <c r="JC364" s="188"/>
      <c r="JD364" s="189"/>
    </row>
    <row r="365" spans="219:264" x14ac:dyDescent="0.3">
      <c r="HK365" s="187"/>
      <c r="HL365" s="188"/>
      <c r="HM365" s="188"/>
      <c r="HN365" s="188"/>
      <c r="HO365" s="188"/>
      <c r="HP365" s="188"/>
      <c r="HQ365" s="188"/>
      <c r="HR365" s="188"/>
      <c r="HS365" s="188"/>
      <c r="HT365" s="188"/>
      <c r="HU365" s="188"/>
      <c r="HV365" s="188"/>
      <c r="HW365" s="188"/>
      <c r="HX365" s="188"/>
      <c r="HY365" s="188"/>
      <c r="HZ365" s="188"/>
      <c r="IA365" s="188"/>
      <c r="IB365" s="188"/>
      <c r="IC365" s="188"/>
      <c r="ID365" s="188"/>
      <c r="IE365" s="188"/>
      <c r="IF365" s="188"/>
      <c r="IG365" s="188"/>
      <c r="IH365" s="188"/>
      <c r="II365" s="188"/>
      <c r="IJ365" s="188"/>
      <c r="IK365" s="188"/>
      <c r="IL365" s="188"/>
      <c r="IM365" s="188"/>
      <c r="IN365" s="188"/>
      <c r="IO365" s="188"/>
      <c r="IP365" s="188"/>
      <c r="IQ365" s="188"/>
      <c r="IR365" s="188"/>
      <c r="IS365" s="188"/>
      <c r="IT365" s="188"/>
      <c r="IU365" s="188"/>
      <c r="IV365" s="188"/>
      <c r="IW365" s="188"/>
      <c r="IX365" s="188"/>
      <c r="IY365" s="189"/>
      <c r="IZ365" s="187"/>
      <c r="JA365" s="188"/>
      <c r="JB365" s="188"/>
      <c r="JC365" s="188"/>
      <c r="JD365" s="189"/>
    </row>
    <row r="366" spans="219:264" x14ac:dyDescent="0.3">
      <c r="HK366" s="187"/>
      <c r="HL366" s="188"/>
      <c r="HM366" s="188"/>
      <c r="HN366" s="188"/>
      <c r="HO366" s="188"/>
      <c r="HP366" s="188"/>
      <c r="HQ366" s="188"/>
      <c r="HR366" s="188"/>
      <c r="HS366" s="188"/>
      <c r="HT366" s="188"/>
      <c r="HU366" s="188"/>
      <c r="HV366" s="188"/>
      <c r="HW366" s="188"/>
      <c r="HX366" s="188"/>
      <c r="HY366" s="188"/>
      <c r="HZ366" s="188"/>
      <c r="IA366" s="188"/>
      <c r="IB366" s="188"/>
      <c r="IC366" s="188"/>
      <c r="ID366" s="188"/>
      <c r="IE366" s="188"/>
      <c r="IF366" s="188"/>
      <c r="IG366" s="188"/>
      <c r="IH366" s="188"/>
      <c r="II366" s="188"/>
      <c r="IJ366" s="188"/>
      <c r="IK366" s="188"/>
      <c r="IL366" s="188"/>
      <c r="IM366" s="188"/>
      <c r="IN366" s="188"/>
      <c r="IO366" s="188"/>
      <c r="IP366" s="188"/>
      <c r="IQ366" s="188"/>
      <c r="IR366" s="188"/>
      <c r="IS366" s="188"/>
      <c r="IT366" s="188"/>
      <c r="IU366" s="188"/>
      <c r="IV366" s="188"/>
      <c r="IW366" s="188"/>
      <c r="IX366" s="188"/>
      <c r="IY366" s="189"/>
      <c r="IZ366" s="187"/>
      <c r="JA366" s="188"/>
      <c r="JB366" s="188"/>
      <c r="JC366" s="188"/>
      <c r="JD366" s="189"/>
    </row>
    <row r="367" spans="219:264" x14ac:dyDescent="0.3">
      <c r="HK367" s="187"/>
      <c r="HL367" s="188"/>
      <c r="HM367" s="188"/>
      <c r="HN367" s="188"/>
      <c r="HO367" s="188"/>
      <c r="HP367" s="188"/>
      <c r="HQ367" s="188"/>
      <c r="HR367" s="188"/>
      <c r="HS367" s="188"/>
      <c r="HT367" s="188"/>
      <c r="HU367" s="188"/>
      <c r="HV367" s="188"/>
      <c r="HW367" s="188"/>
      <c r="HX367" s="188"/>
      <c r="HY367" s="188"/>
      <c r="HZ367" s="188"/>
      <c r="IA367" s="188"/>
      <c r="IB367" s="188"/>
      <c r="IC367" s="188"/>
      <c r="ID367" s="188"/>
      <c r="IE367" s="188"/>
      <c r="IF367" s="188"/>
      <c r="IG367" s="188"/>
      <c r="IH367" s="188"/>
      <c r="II367" s="188"/>
      <c r="IJ367" s="188"/>
      <c r="IK367" s="188"/>
      <c r="IL367" s="188"/>
      <c r="IM367" s="188"/>
      <c r="IN367" s="188"/>
      <c r="IO367" s="188"/>
      <c r="IP367" s="188"/>
      <c r="IQ367" s="188"/>
      <c r="IR367" s="188"/>
      <c r="IS367" s="188"/>
      <c r="IT367" s="188"/>
      <c r="IU367" s="188"/>
      <c r="IV367" s="188"/>
      <c r="IW367" s="188"/>
      <c r="IX367" s="188"/>
      <c r="IY367" s="189"/>
      <c r="IZ367" s="187"/>
      <c r="JA367" s="188"/>
      <c r="JB367" s="188"/>
      <c r="JC367" s="188"/>
      <c r="JD367" s="189"/>
    </row>
    <row r="368" spans="219:264" x14ac:dyDescent="0.3">
      <c r="HK368" s="190"/>
      <c r="HL368" s="191"/>
      <c r="HM368" s="191"/>
      <c r="HN368" s="191"/>
      <c r="HO368" s="191"/>
      <c r="HP368" s="191"/>
      <c r="HQ368" s="191"/>
      <c r="HR368" s="191"/>
      <c r="HS368" s="191"/>
      <c r="HT368" s="191"/>
      <c r="HU368" s="191"/>
      <c r="HV368" s="191"/>
      <c r="HW368" s="191"/>
      <c r="HX368" s="191"/>
      <c r="HY368" s="191"/>
      <c r="HZ368" s="191"/>
      <c r="IA368" s="191"/>
      <c r="IB368" s="191"/>
      <c r="IC368" s="191"/>
      <c r="ID368" s="191"/>
      <c r="IE368" s="191"/>
      <c r="IF368" s="191"/>
      <c r="IG368" s="191"/>
      <c r="IH368" s="191"/>
      <c r="II368" s="191"/>
      <c r="IJ368" s="191"/>
      <c r="IK368" s="191"/>
      <c r="IL368" s="191"/>
      <c r="IM368" s="191"/>
      <c r="IN368" s="191"/>
      <c r="IO368" s="191"/>
      <c r="IP368" s="191"/>
      <c r="IQ368" s="191"/>
      <c r="IR368" s="191"/>
      <c r="IS368" s="191"/>
      <c r="IT368" s="191"/>
      <c r="IU368" s="191"/>
      <c r="IV368" s="191"/>
      <c r="IW368" s="191"/>
      <c r="IX368" s="191"/>
      <c r="IY368" s="192"/>
      <c r="IZ368" s="190"/>
      <c r="JA368" s="191"/>
      <c r="JB368" s="191"/>
      <c r="JC368" s="191"/>
      <c r="JD368" s="192"/>
    </row>
    <row r="369" spans="219:264" x14ac:dyDescent="0.3">
      <c r="HK369" s="184" t="s">
        <v>40</v>
      </c>
      <c r="HL369" s="185"/>
      <c r="HM369" s="185"/>
      <c r="HN369" s="185"/>
      <c r="HO369" s="185"/>
      <c r="HP369" s="185"/>
      <c r="HQ369" s="185"/>
      <c r="HR369" s="185"/>
      <c r="HS369" s="185"/>
      <c r="HT369" s="185"/>
      <c r="HU369" s="185"/>
      <c r="HV369" s="185"/>
      <c r="HW369" s="185"/>
      <c r="HX369" s="185"/>
      <c r="HY369" s="185"/>
      <c r="HZ369" s="185"/>
      <c r="IA369" s="185"/>
      <c r="IB369" s="185"/>
      <c r="IC369" s="185"/>
      <c r="ID369" s="185"/>
      <c r="IE369" s="185"/>
      <c r="IF369" s="185"/>
      <c r="IG369" s="185"/>
      <c r="IH369" s="185"/>
      <c r="II369" s="185"/>
      <c r="IJ369" s="185"/>
      <c r="IK369" s="185"/>
      <c r="IL369" s="185"/>
      <c r="IM369" s="185"/>
      <c r="IN369" s="185"/>
      <c r="IO369" s="185"/>
      <c r="IP369" s="185"/>
      <c r="IQ369" s="185"/>
      <c r="IR369" s="185"/>
      <c r="IS369" s="185"/>
      <c r="IT369" s="185"/>
      <c r="IU369" s="185"/>
      <c r="IV369" s="185"/>
      <c r="IW369" s="185"/>
      <c r="IX369" s="185"/>
      <c r="IY369" s="186"/>
      <c r="IZ369" s="184">
        <v>2</v>
      </c>
      <c r="JA369" s="185"/>
      <c r="JB369" s="185"/>
      <c r="JC369" s="185"/>
      <c r="JD369" s="186"/>
    </row>
    <row r="370" spans="219:264" x14ac:dyDescent="0.3">
      <c r="HK370" s="187"/>
      <c r="HL370" s="188"/>
      <c r="HM370" s="188"/>
      <c r="HN370" s="188"/>
      <c r="HO370" s="188"/>
      <c r="HP370" s="188"/>
      <c r="HQ370" s="188"/>
      <c r="HR370" s="188"/>
      <c r="HS370" s="188"/>
      <c r="HT370" s="188"/>
      <c r="HU370" s="188"/>
      <c r="HV370" s="188"/>
      <c r="HW370" s="188"/>
      <c r="HX370" s="188"/>
      <c r="HY370" s="188"/>
      <c r="HZ370" s="188"/>
      <c r="IA370" s="188"/>
      <c r="IB370" s="188"/>
      <c r="IC370" s="188"/>
      <c r="ID370" s="188"/>
      <c r="IE370" s="188"/>
      <c r="IF370" s="188"/>
      <c r="IG370" s="188"/>
      <c r="IH370" s="188"/>
      <c r="II370" s="188"/>
      <c r="IJ370" s="188"/>
      <c r="IK370" s="188"/>
      <c r="IL370" s="188"/>
      <c r="IM370" s="188"/>
      <c r="IN370" s="188"/>
      <c r="IO370" s="188"/>
      <c r="IP370" s="188"/>
      <c r="IQ370" s="188"/>
      <c r="IR370" s="188"/>
      <c r="IS370" s="188"/>
      <c r="IT370" s="188"/>
      <c r="IU370" s="188"/>
      <c r="IV370" s="188"/>
      <c r="IW370" s="188"/>
      <c r="IX370" s="188"/>
      <c r="IY370" s="189"/>
      <c r="IZ370" s="187"/>
      <c r="JA370" s="188"/>
      <c r="JB370" s="188"/>
      <c r="JC370" s="188"/>
      <c r="JD370" s="189"/>
    </row>
    <row r="371" spans="219:264" x14ac:dyDescent="0.3">
      <c r="HK371" s="187"/>
      <c r="HL371" s="188"/>
      <c r="HM371" s="188"/>
      <c r="HN371" s="188"/>
      <c r="HO371" s="188"/>
      <c r="HP371" s="188"/>
      <c r="HQ371" s="188"/>
      <c r="HR371" s="188"/>
      <c r="HS371" s="188"/>
      <c r="HT371" s="188"/>
      <c r="HU371" s="188"/>
      <c r="HV371" s="188"/>
      <c r="HW371" s="188"/>
      <c r="HX371" s="188"/>
      <c r="HY371" s="188"/>
      <c r="HZ371" s="188"/>
      <c r="IA371" s="188"/>
      <c r="IB371" s="188"/>
      <c r="IC371" s="188"/>
      <c r="ID371" s="188"/>
      <c r="IE371" s="188"/>
      <c r="IF371" s="188"/>
      <c r="IG371" s="188"/>
      <c r="IH371" s="188"/>
      <c r="II371" s="188"/>
      <c r="IJ371" s="188"/>
      <c r="IK371" s="188"/>
      <c r="IL371" s="188"/>
      <c r="IM371" s="188"/>
      <c r="IN371" s="188"/>
      <c r="IO371" s="188"/>
      <c r="IP371" s="188"/>
      <c r="IQ371" s="188"/>
      <c r="IR371" s="188"/>
      <c r="IS371" s="188"/>
      <c r="IT371" s="188"/>
      <c r="IU371" s="188"/>
      <c r="IV371" s="188"/>
      <c r="IW371" s="188"/>
      <c r="IX371" s="188"/>
      <c r="IY371" s="189"/>
      <c r="IZ371" s="187"/>
      <c r="JA371" s="188"/>
      <c r="JB371" s="188"/>
      <c r="JC371" s="188"/>
      <c r="JD371" s="189"/>
    </row>
    <row r="372" spans="219:264" x14ac:dyDescent="0.3">
      <c r="HK372" s="187"/>
      <c r="HL372" s="188"/>
      <c r="HM372" s="188"/>
      <c r="HN372" s="188"/>
      <c r="HO372" s="188"/>
      <c r="HP372" s="188"/>
      <c r="HQ372" s="188"/>
      <c r="HR372" s="188"/>
      <c r="HS372" s="188"/>
      <c r="HT372" s="188"/>
      <c r="HU372" s="188"/>
      <c r="HV372" s="188"/>
      <c r="HW372" s="188"/>
      <c r="HX372" s="188"/>
      <c r="HY372" s="188"/>
      <c r="HZ372" s="188"/>
      <c r="IA372" s="188"/>
      <c r="IB372" s="188"/>
      <c r="IC372" s="188"/>
      <c r="ID372" s="188"/>
      <c r="IE372" s="188"/>
      <c r="IF372" s="188"/>
      <c r="IG372" s="188"/>
      <c r="IH372" s="188"/>
      <c r="II372" s="188"/>
      <c r="IJ372" s="188"/>
      <c r="IK372" s="188"/>
      <c r="IL372" s="188"/>
      <c r="IM372" s="188"/>
      <c r="IN372" s="188"/>
      <c r="IO372" s="188"/>
      <c r="IP372" s="188"/>
      <c r="IQ372" s="188"/>
      <c r="IR372" s="188"/>
      <c r="IS372" s="188"/>
      <c r="IT372" s="188"/>
      <c r="IU372" s="188"/>
      <c r="IV372" s="188"/>
      <c r="IW372" s="188"/>
      <c r="IX372" s="188"/>
      <c r="IY372" s="189"/>
      <c r="IZ372" s="187"/>
      <c r="JA372" s="188"/>
      <c r="JB372" s="188"/>
      <c r="JC372" s="188"/>
      <c r="JD372" s="189"/>
    </row>
    <row r="373" spans="219:264" x14ac:dyDescent="0.3">
      <c r="HK373" s="187"/>
      <c r="HL373" s="188"/>
      <c r="HM373" s="188"/>
      <c r="HN373" s="188"/>
      <c r="HO373" s="188"/>
      <c r="HP373" s="188"/>
      <c r="HQ373" s="188"/>
      <c r="HR373" s="188"/>
      <c r="HS373" s="188"/>
      <c r="HT373" s="188"/>
      <c r="HU373" s="188"/>
      <c r="HV373" s="188"/>
      <c r="HW373" s="188"/>
      <c r="HX373" s="188"/>
      <c r="HY373" s="188"/>
      <c r="HZ373" s="188"/>
      <c r="IA373" s="188"/>
      <c r="IB373" s="188"/>
      <c r="IC373" s="188"/>
      <c r="ID373" s="188"/>
      <c r="IE373" s="188"/>
      <c r="IF373" s="188"/>
      <c r="IG373" s="188"/>
      <c r="IH373" s="188"/>
      <c r="II373" s="188"/>
      <c r="IJ373" s="188"/>
      <c r="IK373" s="188"/>
      <c r="IL373" s="188"/>
      <c r="IM373" s="188"/>
      <c r="IN373" s="188"/>
      <c r="IO373" s="188"/>
      <c r="IP373" s="188"/>
      <c r="IQ373" s="188"/>
      <c r="IR373" s="188"/>
      <c r="IS373" s="188"/>
      <c r="IT373" s="188"/>
      <c r="IU373" s="188"/>
      <c r="IV373" s="188"/>
      <c r="IW373" s="188"/>
      <c r="IX373" s="188"/>
      <c r="IY373" s="189"/>
      <c r="IZ373" s="187"/>
      <c r="JA373" s="188"/>
      <c r="JB373" s="188"/>
      <c r="JC373" s="188"/>
      <c r="JD373" s="189"/>
    </row>
    <row r="374" spans="219:264" x14ac:dyDescent="0.3">
      <c r="HK374" s="187"/>
      <c r="HL374" s="188"/>
      <c r="HM374" s="188"/>
      <c r="HN374" s="188"/>
      <c r="HO374" s="188"/>
      <c r="HP374" s="188"/>
      <c r="HQ374" s="188"/>
      <c r="HR374" s="188"/>
      <c r="HS374" s="188"/>
      <c r="HT374" s="188"/>
      <c r="HU374" s="188"/>
      <c r="HV374" s="188"/>
      <c r="HW374" s="188"/>
      <c r="HX374" s="188"/>
      <c r="HY374" s="188"/>
      <c r="HZ374" s="188"/>
      <c r="IA374" s="188"/>
      <c r="IB374" s="188"/>
      <c r="IC374" s="188"/>
      <c r="ID374" s="188"/>
      <c r="IE374" s="188"/>
      <c r="IF374" s="188"/>
      <c r="IG374" s="188"/>
      <c r="IH374" s="188"/>
      <c r="II374" s="188"/>
      <c r="IJ374" s="188"/>
      <c r="IK374" s="188"/>
      <c r="IL374" s="188"/>
      <c r="IM374" s="188"/>
      <c r="IN374" s="188"/>
      <c r="IO374" s="188"/>
      <c r="IP374" s="188"/>
      <c r="IQ374" s="188"/>
      <c r="IR374" s="188"/>
      <c r="IS374" s="188"/>
      <c r="IT374" s="188"/>
      <c r="IU374" s="188"/>
      <c r="IV374" s="188"/>
      <c r="IW374" s="188"/>
      <c r="IX374" s="188"/>
      <c r="IY374" s="189"/>
      <c r="IZ374" s="187"/>
      <c r="JA374" s="188"/>
      <c r="JB374" s="188"/>
      <c r="JC374" s="188"/>
      <c r="JD374" s="189"/>
    </row>
    <row r="375" spans="219:264" x14ac:dyDescent="0.3">
      <c r="HK375" s="187"/>
      <c r="HL375" s="188"/>
      <c r="HM375" s="188"/>
      <c r="HN375" s="188"/>
      <c r="HO375" s="188"/>
      <c r="HP375" s="188"/>
      <c r="HQ375" s="188"/>
      <c r="HR375" s="188"/>
      <c r="HS375" s="188"/>
      <c r="HT375" s="188"/>
      <c r="HU375" s="188"/>
      <c r="HV375" s="188"/>
      <c r="HW375" s="188"/>
      <c r="HX375" s="188"/>
      <c r="HY375" s="188"/>
      <c r="HZ375" s="188"/>
      <c r="IA375" s="188"/>
      <c r="IB375" s="188"/>
      <c r="IC375" s="188"/>
      <c r="ID375" s="188"/>
      <c r="IE375" s="188"/>
      <c r="IF375" s="188"/>
      <c r="IG375" s="188"/>
      <c r="IH375" s="188"/>
      <c r="II375" s="188"/>
      <c r="IJ375" s="188"/>
      <c r="IK375" s="188"/>
      <c r="IL375" s="188"/>
      <c r="IM375" s="188"/>
      <c r="IN375" s="188"/>
      <c r="IO375" s="188"/>
      <c r="IP375" s="188"/>
      <c r="IQ375" s="188"/>
      <c r="IR375" s="188"/>
      <c r="IS375" s="188"/>
      <c r="IT375" s="188"/>
      <c r="IU375" s="188"/>
      <c r="IV375" s="188"/>
      <c r="IW375" s="188"/>
      <c r="IX375" s="188"/>
      <c r="IY375" s="189"/>
      <c r="IZ375" s="187"/>
      <c r="JA375" s="188"/>
      <c r="JB375" s="188"/>
      <c r="JC375" s="188"/>
      <c r="JD375" s="189"/>
    </row>
    <row r="376" spans="219:264" x14ac:dyDescent="0.3">
      <c r="HK376" s="187"/>
      <c r="HL376" s="188"/>
      <c r="HM376" s="188"/>
      <c r="HN376" s="188"/>
      <c r="HO376" s="188"/>
      <c r="HP376" s="188"/>
      <c r="HQ376" s="188"/>
      <c r="HR376" s="188"/>
      <c r="HS376" s="188"/>
      <c r="HT376" s="188"/>
      <c r="HU376" s="188"/>
      <c r="HV376" s="188"/>
      <c r="HW376" s="188"/>
      <c r="HX376" s="188"/>
      <c r="HY376" s="188"/>
      <c r="HZ376" s="188"/>
      <c r="IA376" s="188"/>
      <c r="IB376" s="188"/>
      <c r="IC376" s="188"/>
      <c r="ID376" s="188"/>
      <c r="IE376" s="188"/>
      <c r="IF376" s="188"/>
      <c r="IG376" s="188"/>
      <c r="IH376" s="188"/>
      <c r="II376" s="188"/>
      <c r="IJ376" s="188"/>
      <c r="IK376" s="188"/>
      <c r="IL376" s="188"/>
      <c r="IM376" s="188"/>
      <c r="IN376" s="188"/>
      <c r="IO376" s="188"/>
      <c r="IP376" s="188"/>
      <c r="IQ376" s="188"/>
      <c r="IR376" s="188"/>
      <c r="IS376" s="188"/>
      <c r="IT376" s="188"/>
      <c r="IU376" s="188"/>
      <c r="IV376" s="188"/>
      <c r="IW376" s="188"/>
      <c r="IX376" s="188"/>
      <c r="IY376" s="189"/>
      <c r="IZ376" s="187"/>
      <c r="JA376" s="188"/>
      <c r="JB376" s="188"/>
      <c r="JC376" s="188"/>
      <c r="JD376" s="189"/>
    </row>
    <row r="377" spans="219:264" x14ac:dyDescent="0.3">
      <c r="HK377" s="187"/>
      <c r="HL377" s="188"/>
      <c r="HM377" s="188"/>
      <c r="HN377" s="188"/>
      <c r="HO377" s="188"/>
      <c r="HP377" s="188"/>
      <c r="HQ377" s="188"/>
      <c r="HR377" s="188"/>
      <c r="HS377" s="188"/>
      <c r="HT377" s="188"/>
      <c r="HU377" s="188"/>
      <c r="HV377" s="188"/>
      <c r="HW377" s="188"/>
      <c r="HX377" s="188"/>
      <c r="HY377" s="188"/>
      <c r="HZ377" s="188"/>
      <c r="IA377" s="188"/>
      <c r="IB377" s="188"/>
      <c r="IC377" s="188"/>
      <c r="ID377" s="188"/>
      <c r="IE377" s="188"/>
      <c r="IF377" s="188"/>
      <c r="IG377" s="188"/>
      <c r="IH377" s="188"/>
      <c r="II377" s="188"/>
      <c r="IJ377" s="188"/>
      <c r="IK377" s="188"/>
      <c r="IL377" s="188"/>
      <c r="IM377" s="188"/>
      <c r="IN377" s="188"/>
      <c r="IO377" s="188"/>
      <c r="IP377" s="188"/>
      <c r="IQ377" s="188"/>
      <c r="IR377" s="188"/>
      <c r="IS377" s="188"/>
      <c r="IT377" s="188"/>
      <c r="IU377" s="188"/>
      <c r="IV377" s="188"/>
      <c r="IW377" s="188"/>
      <c r="IX377" s="188"/>
      <c r="IY377" s="189"/>
      <c r="IZ377" s="187"/>
      <c r="JA377" s="188"/>
      <c r="JB377" s="188"/>
      <c r="JC377" s="188"/>
      <c r="JD377" s="189"/>
    </row>
    <row r="378" spans="219:264" x14ac:dyDescent="0.3">
      <c r="HK378" s="190"/>
      <c r="HL378" s="191"/>
      <c r="HM378" s="191"/>
      <c r="HN378" s="191"/>
      <c r="HO378" s="191"/>
      <c r="HP378" s="191"/>
      <c r="HQ378" s="191"/>
      <c r="HR378" s="191"/>
      <c r="HS378" s="191"/>
      <c r="HT378" s="191"/>
      <c r="HU378" s="191"/>
      <c r="HV378" s="191"/>
      <c r="HW378" s="191"/>
      <c r="HX378" s="191"/>
      <c r="HY378" s="191"/>
      <c r="HZ378" s="191"/>
      <c r="IA378" s="191"/>
      <c r="IB378" s="191"/>
      <c r="IC378" s="191"/>
      <c r="ID378" s="191"/>
      <c r="IE378" s="191"/>
      <c r="IF378" s="191"/>
      <c r="IG378" s="191"/>
      <c r="IH378" s="191"/>
      <c r="II378" s="191"/>
      <c r="IJ378" s="191"/>
      <c r="IK378" s="191"/>
      <c r="IL378" s="191"/>
      <c r="IM378" s="191"/>
      <c r="IN378" s="191"/>
      <c r="IO378" s="191"/>
      <c r="IP378" s="191"/>
      <c r="IQ378" s="191"/>
      <c r="IR378" s="191"/>
      <c r="IS378" s="191"/>
      <c r="IT378" s="191"/>
      <c r="IU378" s="191"/>
      <c r="IV378" s="191"/>
      <c r="IW378" s="191"/>
      <c r="IX378" s="191"/>
      <c r="IY378" s="192"/>
      <c r="IZ378" s="190"/>
      <c r="JA378" s="191"/>
      <c r="JB378" s="191"/>
      <c r="JC378" s="191"/>
      <c r="JD378" s="192"/>
    </row>
    <row r="379" spans="219:264" x14ac:dyDescent="0.3">
      <c r="HK379" s="184" t="s">
        <v>48</v>
      </c>
      <c r="HL379" s="185"/>
      <c r="HM379" s="185"/>
      <c r="HN379" s="185"/>
      <c r="HO379" s="185"/>
      <c r="HP379" s="185"/>
      <c r="HQ379" s="185"/>
      <c r="HR379" s="185"/>
      <c r="HS379" s="185"/>
      <c r="HT379" s="185"/>
      <c r="HU379" s="185"/>
      <c r="HV379" s="185"/>
      <c r="HW379" s="185"/>
      <c r="HX379" s="185"/>
      <c r="HY379" s="185"/>
      <c r="HZ379" s="185"/>
      <c r="IA379" s="185"/>
      <c r="IB379" s="185"/>
      <c r="IC379" s="185"/>
      <c r="ID379" s="185"/>
      <c r="IE379" s="185"/>
      <c r="IF379" s="185"/>
      <c r="IG379" s="185"/>
      <c r="IH379" s="185"/>
      <c r="II379" s="185"/>
      <c r="IJ379" s="185"/>
      <c r="IK379" s="185"/>
      <c r="IL379" s="185"/>
      <c r="IM379" s="185"/>
      <c r="IN379" s="185"/>
      <c r="IO379" s="185"/>
      <c r="IP379" s="185"/>
      <c r="IQ379" s="185"/>
      <c r="IR379" s="185"/>
      <c r="IS379" s="185"/>
      <c r="IT379" s="185"/>
      <c r="IU379" s="185"/>
      <c r="IV379" s="185"/>
      <c r="IW379" s="185"/>
      <c r="IX379" s="185"/>
      <c r="IY379" s="186">
        <v>10</v>
      </c>
      <c r="IZ379" s="184">
        <v>2</v>
      </c>
      <c r="JA379" s="185"/>
      <c r="JB379" s="185"/>
      <c r="JC379" s="185"/>
      <c r="JD379" s="186"/>
    </row>
    <row r="380" spans="219:264" x14ac:dyDescent="0.3">
      <c r="HK380" s="187"/>
      <c r="HL380" s="188"/>
      <c r="HM380" s="188"/>
      <c r="HN380" s="188"/>
      <c r="HO380" s="188"/>
      <c r="HP380" s="188"/>
      <c r="HQ380" s="188"/>
      <c r="HR380" s="188"/>
      <c r="HS380" s="188"/>
      <c r="HT380" s="188"/>
      <c r="HU380" s="188"/>
      <c r="HV380" s="188"/>
      <c r="HW380" s="188"/>
      <c r="HX380" s="188"/>
      <c r="HY380" s="188"/>
      <c r="HZ380" s="188"/>
      <c r="IA380" s="188"/>
      <c r="IB380" s="188"/>
      <c r="IC380" s="188"/>
      <c r="ID380" s="188"/>
      <c r="IE380" s="188"/>
      <c r="IF380" s="188"/>
      <c r="IG380" s="188"/>
      <c r="IH380" s="188"/>
      <c r="II380" s="188"/>
      <c r="IJ380" s="188"/>
      <c r="IK380" s="188"/>
      <c r="IL380" s="188"/>
      <c r="IM380" s="188"/>
      <c r="IN380" s="188"/>
      <c r="IO380" s="188"/>
      <c r="IP380" s="188"/>
      <c r="IQ380" s="188"/>
      <c r="IR380" s="188"/>
      <c r="IS380" s="188"/>
      <c r="IT380" s="188"/>
      <c r="IU380" s="188"/>
      <c r="IV380" s="188"/>
      <c r="IW380" s="188"/>
      <c r="IX380" s="188"/>
      <c r="IY380" s="189"/>
      <c r="IZ380" s="187"/>
      <c r="JA380" s="188"/>
      <c r="JB380" s="188"/>
      <c r="JC380" s="188"/>
      <c r="JD380" s="189"/>
    </row>
    <row r="381" spans="219:264" x14ac:dyDescent="0.3">
      <c r="HK381" s="187"/>
      <c r="HL381" s="188"/>
      <c r="HM381" s="188"/>
      <c r="HN381" s="188"/>
      <c r="HO381" s="188"/>
      <c r="HP381" s="188"/>
      <c r="HQ381" s="188"/>
      <c r="HR381" s="188"/>
      <c r="HS381" s="188"/>
      <c r="HT381" s="188"/>
      <c r="HU381" s="188"/>
      <c r="HV381" s="188"/>
      <c r="HW381" s="188"/>
      <c r="HX381" s="188"/>
      <c r="HY381" s="188"/>
      <c r="HZ381" s="188"/>
      <c r="IA381" s="188"/>
      <c r="IB381" s="188"/>
      <c r="IC381" s="188"/>
      <c r="ID381" s="188"/>
      <c r="IE381" s="188"/>
      <c r="IF381" s="188"/>
      <c r="IG381" s="188"/>
      <c r="IH381" s="188"/>
      <c r="II381" s="188"/>
      <c r="IJ381" s="188"/>
      <c r="IK381" s="188"/>
      <c r="IL381" s="188"/>
      <c r="IM381" s="188"/>
      <c r="IN381" s="188"/>
      <c r="IO381" s="188"/>
      <c r="IP381" s="188"/>
      <c r="IQ381" s="188"/>
      <c r="IR381" s="188"/>
      <c r="IS381" s="188"/>
      <c r="IT381" s="188"/>
      <c r="IU381" s="188"/>
      <c r="IV381" s="188"/>
      <c r="IW381" s="188"/>
      <c r="IX381" s="188"/>
      <c r="IY381" s="189"/>
      <c r="IZ381" s="187"/>
      <c r="JA381" s="188"/>
      <c r="JB381" s="188"/>
      <c r="JC381" s="188"/>
      <c r="JD381" s="189"/>
    </row>
    <row r="382" spans="219:264" x14ac:dyDescent="0.3">
      <c r="HK382" s="187"/>
      <c r="HL382" s="188"/>
      <c r="HM382" s="188"/>
      <c r="HN382" s="188"/>
      <c r="HO382" s="188"/>
      <c r="HP382" s="188"/>
      <c r="HQ382" s="188"/>
      <c r="HR382" s="188"/>
      <c r="HS382" s="188"/>
      <c r="HT382" s="188"/>
      <c r="HU382" s="188"/>
      <c r="HV382" s="188"/>
      <c r="HW382" s="188"/>
      <c r="HX382" s="188"/>
      <c r="HY382" s="188"/>
      <c r="HZ382" s="188"/>
      <c r="IA382" s="188"/>
      <c r="IB382" s="188"/>
      <c r="IC382" s="188"/>
      <c r="ID382" s="188"/>
      <c r="IE382" s="188"/>
      <c r="IF382" s="188"/>
      <c r="IG382" s="188"/>
      <c r="IH382" s="188"/>
      <c r="II382" s="188"/>
      <c r="IJ382" s="188"/>
      <c r="IK382" s="188"/>
      <c r="IL382" s="188"/>
      <c r="IM382" s="188"/>
      <c r="IN382" s="188"/>
      <c r="IO382" s="188"/>
      <c r="IP382" s="188"/>
      <c r="IQ382" s="188"/>
      <c r="IR382" s="188"/>
      <c r="IS382" s="188"/>
      <c r="IT382" s="188"/>
      <c r="IU382" s="188"/>
      <c r="IV382" s="188"/>
      <c r="IW382" s="188"/>
      <c r="IX382" s="188"/>
      <c r="IY382" s="189"/>
      <c r="IZ382" s="187"/>
      <c r="JA382" s="188"/>
      <c r="JB382" s="188"/>
      <c r="JC382" s="188"/>
      <c r="JD382" s="189"/>
    </row>
    <row r="383" spans="219:264" x14ac:dyDescent="0.3">
      <c r="HK383" s="187"/>
      <c r="HL383" s="188"/>
      <c r="HM383" s="188"/>
      <c r="HN383" s="188"/>
      <c r="HO383" s="188"/>
      <c r="HP383" s="188"/>
      <c r="HQ383" s="188"/>
      <c r="HR383" s="188"/>
      <c r="HS383" s="188"/>
      <c r="HT383" s="188"/>
      <c r="HU383" s="188"/>
      <c r="HV383" s="188"/>
      <c r="HW383" s="188"/>
      <c r="HX383" s="188"/>
      <c r="HY383" s="188"/>
      <c r="HZ383" s="188"/>
      <c r="IA383" s="188"/>
      <c r="IB383" s="188"/>
      <c r="IC383" s="188"/>
      <c r="ID383" s="188"/>
      <c r="IE383" s="188"/>
      <c r="IF383" s="188"/>
      <c r="IG383" s="188"/>
      <c r="IH383" s="188"/>
      <c r="II383" s="188"/>
      <c r="IJ383" s="188"/>
      <c r="IK383" s="188"/>
      <c r="IL383" s="188"/>
      <c r="IM383" s="188"/>
      <c r="IN383" s="188"/>
      <c r="IO383" s="188"/>
      <c r="IP383" s="188"/>
      <c r="IQ383" s="188"/>
      <c r="IR383" s="188"/>
      <c r="IS383" s="188"/>
      <c r="IT383" s="188"/>
      <c r="IU383" s="188"/>
      <c r="IV383" s="188"/>
      <c r="IW383" s="188"/>
      <c r="IX383" s="188"/>
      <c r="IY383" s="189"/>
      <c r="IZ383" s="187"/>
      <c r="JA383" s="188"/>
      <c r="JB383" s="188"/>
      <c r="JC383" s="188"/>
      <c r="JD383" s="189"/>
    </row>
    <row r="384" spans="219:264" x14ac:dyDescent="0.3">
      <c r="HK384" s="187"/>
      <c r="HL384" s="188"/>
      <c r="HM384" s="188"/>
      <c r="HN384" s="188"/>
      <c r="HO384" s="188"/>
      <c r="HP384" s="188"/>
      <c r="HQ384" s="188"/>
      <c r="HR384" s="188"/>
      <c r="HS384" s="188"/>
      <c r="HT384" s="188"/>
      <c r="HU384" s="188"/>
      <c r="HV384" s="188"/>
      <c r="HW384" s="188"/>
      <c r="HX384" s="188"/>
      <c r="HY384" s="188"/>
      <c r="HZ384" s="188"/>
      <c r="IA384" s="188"/>
      <c r="IB384" s="188"/>
      <c r="IC384" s="188"/>
      <c r="ID384" s="188"/>
      <c r="IE384" s="188"/>
      <c r="IF384" s="188"/>
      <c r="IG384" s="188"/>
      <c r="IH384" s="188"/>
      <c r="II384" s="188"/>
      <c r="IJ384" s="188"/>
      <c r="IK384" s="188"/>
      <c r="IL384" s="188"/>
      <c r="IM384" s="188"/>
      <c r="IN384" s="188"/>
      <c r="IO384" s="188"/>
      <c r="IP384" s="188"/>
      <c r="IQ384" s="188"/>
      <c r="IR384" s="188"/>
      <c r="IS384" s="188"/>
      <c r="IT384" s="188"/>
      <c r="IU384" s="188"/>
      <c r="IV384" s="188"/>
      <c r="IW384" s="188"/>
      <c r="IX384" s="188"/>
      <c r="IY384" s="189"/>
      <c r="IZ384" s="187"/>
      <c r="JA384" s="188"/>
      <c r="JB384" s="188"/>
      <c r="JC384" s="188"/>
      <c r="JD384" s="189"/>
    </row>
    <row r="385" spans="219:264" x14ac:dyDescent="0.3">
      <c r="HK385" s="187"/>
      <c r="HL385" s="188"/>
      <c r="HM385" s="188"/>
      <c r="HN385" s="188"/>
      <c r="HO385" s="188"/>
      <c r="HP385" s="188"/>
      <c r="HQ385" s="188"/>
      <c r="HR385" s="188"/>
      <c r="HS385" s="188"/>
      <c r="HT385" s="188"/>
      <c r="HU385" s="188"/>
      <c r="HV385" s="188"/>
      <c r="HW385" s="188"/>
      <c r="HX385" s="188"/>
      <c r="HY385" s="188"/>
      <c r="HZ385" s="188"/>
      <c r="IA385" s="188"/>
      <c r="IB385" s="188"/>
      <c r="IC385" s="188"/>
      <c r="ID385" s="188"/>
      <c r="IE385" s="188"/>
      <c r="IF385" s="188"/>
      <c r="IG385" s="188"/>
      <c r="IH385" s="188"/>
      <c r="II385" s="188"/>
      <c r="IJ385" s="188"/>
      <c r="IK385" s="188"/>
      <c r="IL385" s="188"/>
      <c r="IM385" s="188"/>
      <c r="IN385" s="188"/>
      <c r="IO385" s="188"/>
      <c r="IP385" s="188"/>
      <c r="IQ385" s="188"/>
      <c r="IR385" s="188"/>
      <c r="IS385" s="188"/>
      <c r="IT385" s="188"/>
      <c r="IU385" s="188"/>
      <c r="IV385" s="188"/>
      <c r="IW385" s="188"/>
      <c r="IX385" s="188"/>
      <c r="IY385" s="189"/>
      <c r="IZ385" s="187"/>
      <c r="JA385" s="188"/>
      <c r="JB385" s="188"/>
      <c r="JC385" s="188"/>
      <c r="JD385" s="189"/>
    </row>
    <row r="386" spans="219:264" x14ac:dyDescent="0.3">
      <c r="HK386" s="187"/>
      <c r="HL386" s="188"/>
      <c r="HM386" s="188"/>
      <c r="HN386" s="188"/>
      <c r="HO386" s="188"/>
      <c r="HP386" s="188"/>
      <c r="HQ386" s="188"/>
      <c r="HR386" s="188"/>
      <c r="HS386" s="188"/>
      <c r="HT386" s="188"/>
      <c r="HU386" s="188"/>
      <c r="HV386" s="188"/>
      <c r="HW386" s="188"/>
      <c r="HX386" s="188"/>
      <c r="HY386" s="188"/>
      <c r="HZ386" s="188"/>
      <c r="IA386" s="188"/>
      <c r="IB386" s="188"/>
      <c r="IC386" s="188"/>
      <c r="ID386" s="188"/>
      <c r="IE386" s="188"/>
      <c r="IF386" s="188"/>
      <c r="IG386" s="188"/>
      <c r="IH386" s="188"/>
      <c r="II386" s="188"/>
      <c r="IJ386" s="188"/>
      <c r="IK386" s="188"/>
      <c r="IL386" s="188"/>
      <c r="IM386" s="188"/>
      <c r="IN386" s="188"/>
      <c r="IO386" s="188"/>
      <c r="IP386" s="188"/>
      <c r="IQ386" s="188"/>
      <c r="IR386" s="188"/>
      <c r="IS386" s="188"/>
      <c r="IT386" s="188"/>
      <c r="IU386" s="188"/>
      <c r="IV386" s="188"/>
      <c r="IW386" s="188"/>
      <c r="IX386" s="188"/>
      <c r="IY386" s="189"/>
      <c r="IZ386" s="187"/>
      <c r="JA386" s="188"/>
      <c r="JB386" s="188"/>
      <c r="JC386" s="188"/>
      <c r="JD386" s="189"/>
    </row>
    <row r="387" spans="219:264" x14ac:dyDescent="0.3">
      <c r="HK387" s="187"/>
      <c r="HL387" s="188"/>
      <c r="HM387" s="188"/>
      <c r="HN387" s="188"/>
      <c r="HO387" s="188"/>
      <c r="HP387" s="188"/>
      <c r="HQ387" s="188"/>
      <c r="HR387" s="188"/>
      <c r="HS387" s="188"/>
      <c r="HT387" s="188"/>
      <c r="HU387" s="188"/>
      <c r="HV387" s="188"/>
      <c r="HW387" s="188"/>
      <c r="HX387" s="188"/>
      <c r="HY387" s="188"/>
      <c r="HZ387" s="188"/>
      <c r="IA387" s="188"/>
      <c r="IB387" s="188"/>
      <c r="IC387" s="188"/>
      <c r="ID387" s="188"/>
      <c r="IE387" s="188"/>
      <c r="IF387" s="188"/>
      <c r="IG387" s="188"/>
      <c r="IH387" s="188"/>
      <c r="II387" s="188"/>
      <c r="IJ387" s="188"/>
      <c r="IK387" s="188"/>
      <c r="IL387" s="188"/>
      <c r="IM387" s="188"/>
      <c r="IN387" s="188"/>
      <c r="IO387" s="188"/>
      <c r="IP387" s="188"/>
      <c r="IQ387" s="188"/>
      <c r="IR387" s="188"/>
      <c r="IS387" s="188"/>
      <c r="IT387" s="188"/>
      <c r="IU387" s="188"/>
      <c r="IV387" s="188"/>
      <c r="IW387" s="188"/>
      <c r="IX387" s="188"/>
      <c r="IY387" s="189"/>
      <c r="IZ387" s="187"/>
      <c r="JA387" s="188"/>
      <c r="JB387" s="188"/>
      <c r="JC387" s="188"/>
      <c r="JD387" s="189"/>
    </row>
    <row r="388" spans="219:264" x14ac:dyDescent="0.3">
      <c r="HK388" s="190"/>
      <c r="HL388" s="191"/>
      <c r="HM388" s="191"/>
      <c r="HN388" s="191"/>
      <c r="HO388" s="191"/>
      <c r="HP388" s="191"/>
      <c r="HQ388" s="191"/>
      <c r="HR388" s="191"/>
      <c r="HS388" s="191"/>
      <c r="HT388" s="191"/>
      <c r="HU388" s="191"/>
      <c r="HV388" s="191"/>
      <c r="HW388" s="191"/>
      <c r="HX388" s="191"/>
      <c r="HY388" s="191"/>
      <c r="HZ388" s="191"/>
      <c r="IA388" s="191"/>
      <c r="IB388" s="191"/>
      <c r="IC388" s="191"/>
      <c r="ID388" s="191"/>
      <c r="IE388" s="191"/>
      <c r="IF388" s="191"/>
      <c r="IG388" s="191"/>
      <c r="IH388" s="191"/>
      <c r="II388" s="191"/>
      <c r="IJ388" s="191"/>
      <c r="IK388" s="191"/>
      <c r="IL388" s="191"/>
      <c r="IM388" s="191"/>
      <c r="IN388" s="191"/>
      <c r="IO388" s="191"/>
      <c r="IP388" s="191"/>
      <c r="IQ388" s="191"/>
      <c r="IR388" s="191"/>
      <c r="IS388" s="191"/>
      <c r="IT388" s="191"/>
      <c r="IU388" s="191"/>
      <c r="IV388" s="191"/>
      <c r="IW388" s="191"/>
      <c r="IX388" s="191"/>
      <c r="IY388" s="192"/>
      <c r="IZ388" s="190"/>
      <c r="JA388" s="191"/>
      <c r="JB388" s="191"/>
      <c r="JC388" s="191"/>
      <c r="JD388" s="192"/>
    </row>
    <row r="389" spans="219:264" x14ac:dyDescent="0.3">
      <c r="HK389" s="195" t="s">
        <v>27</v>
      </c>
      <c r="HL389" s="196"/>
      <c r="HM389" s="196"/>
      <c r="HN389" s="196"/>
      <c r="HO389" s="196"/>
      <c r="HP389" s="196"/>
      <c r="HQ389" s="196"/>
      <c r="HR389" s="196"/>
      <c r="HS389" s="196"/>
      <c r="HT389" s="196"/>
      <c r="HU389" s="196"/>
      <c r="HV389" s="196"/>
      <c r="HW389" s="196"/>
      <c r="HX389" s="196"/>
      <c r="HY389" s="196"/>
      <c r="HZ389" s="196"/>
      <c r="IA389" s="196"/>
      <c r="IB389" s="196"/>
      <c r="IC389" s="196"/>
      <c r="ID389" s="196"/>
      <c r="IE389" s="196"/>
      <c r="IF389" s="196"/>
      <c r="IG389" s="196"/>
      <c r="IH389" s="196"/>
      <c r="II389" s="196"/>
      <c r="IJ389" s="196"/>
      <c r="IK389" s="196"/>
      <c r="IL389" s="196"/>
      <c r="IM389" s="196"/>
      <c r="IN389" s="196"/>
      <c r="IO389" s="196"/>
      <c r="IP389" s="196"/>
      <c r="IQ389" s="196"/>
      <c r="IR389" s="196"/>
      <c r="IS389" s="196"/>
      <c r="IT389" s="196"/>
      <c r="IU389" s="196"/>
      <c r="IV389" s="196"/>
      <c r="IW389" s="196"/>
      <c r="IX389" s="196"/>
      <c r="IY389" s="197">
        <v>10</v>
      </c>
      <c r="IZ389" s="184"/>
      <c r="JA389" s="185"/>
      <c r="JB389" s="185"/>
      <c r="JC389" s="185"/>
      <c r="JD389" s="186"/>
    </row>
    <row r="390" spans="219:264" x14ac:dyDescent="0.3">
      <c r="HK390" s="198"/>
      <c r="HL390" s="199"/>
      <c r="HM390" s="199"/>
      <c r="HN390" s="199"/>
      <c r="HO390" s="199"/>
      <c r="HP390" s="199"/>
      <c r="HQ390" s="199"/>
      <c r="HR390" s="199"/>
      <c r="HS390" s="199"/>
      <c r="HT390" s="199"/>
      <c r="HU390" s="199"/>
      <c r="HV390" s="199"/>
      <c r="HW390" s="199"/>
      <c r="HX390" s="199"/>
      <c r="HY390" s="199"/>
      <c r="HZ390" s="199"/>
      <c r="IA390" s="199"/>
      <c r="IB390" s="199"/>
      <c r="IC390" s="199"/>
      <c r="ID390" s="199"/>
      <c r="IE390" s="199"/>
      <c r="IF390" s="199"/>
      <c r="IG390" s="199"/>
      <c r="IH390" s="199"/>
      <c r="II390" s="199"/>
      <c r="IJ390" s="199"/>
      <c r="IK390" s="199"/>
      <c r="IL390" s="199"/>
      <c r="IM390" s="199"/>
      <c r="IN390" s="199"/>
      <c r="IO390" s="199"/>
      <c r="IP390" s="199"/>
      <c r="IQ390" s="199"/>
      <c r="IR390" s="199"/>
      <c r="IS390" s="199"/>
      <c r="IT390" s="199"/>
      <c r="IU390" s="199"/>
      <c r="IV390" s="199"/>
      <c r="IW390" s="199"/>
      <c r="IX390" s="199"/>
      <c r="IY390" s="200"/>
      <c r="IZ390" s="187"/>
      <c r="JA390" s="188"/>
      <c r="JB390" s="188"/>
      <c r="JC390" s="188"/>
      <c r="JD390" s="189"/>
    </row>
    <row r="391" spans="219:264" x14ac:dyDescent="0.3">
      <c r="HK391" s="198"/>
      <c r="HL391" s="199"/>
      <c r="HM391" s="199"/>
      <c r="HN391" s="199"/>
      <c r="HO391" s="199"/>
      <c r="HP391" s="199"/>
      <c r="HQ391" s="199"/>
      <c r="HR391" s="199"/>
      <c r="HS391" s="199"/>
      <c r="HT391" s="199"/>
      <c r="HU391" s="199"/>
      <c r="HV391" s="199"/>
      <c r="HW391" s="199"/>
      <c r="HX391" s="199"/>
      <c r="HY391" s="199"/>
      <c r="HZ391" s="199"/>
      <c r="IA391" s="199"/>
      <c r="IB391" s="199"/>
      <c r="IC391" s="199"/>
      <c r="ID391" s="199"/>
      <c r="IE391" s="199"/>
      <c r="IF391" s="199"/>
      <c r="IG391" s="199"/>
      <c r="IH391" s="199"/>
      <c r="II391" s="199"/>
      <c r="IJ391" s="199"/>
      <c r="IK391" s="199"/>
      <c r="IL391" s="199"/>
      <c r="IM391" s="199"/>
      <c r="IN391" s="199"/>
      <c r="IO391" s="199"/>
      <c r="IP391" s="199"/>
      <c r="IQ391" s="199"/>
      <c r="IR391" s="199"/>
      <c r="IS391" s="199"/>
      <c r="IT391" s="199"/>
      <c r="IU391" s="199"/>
      <c r="IV391" s="199"/>
      <c r="IW391" s="199"/>
      <c r="IX391" s="199"/>
      <c r="IY391" s="200"/>
      <c r="IZ391" s="187"/>
      <c r="JA391" s="188"/>
      <c r="JB391" s="188"/>
      <c r="JC391" s="188"/>
      <c r="JD391" s="189"/>
    </row>
    <row r="392" spans="219:264" x14ac:dyDescent="0.3">
      <c r="HK392" s="198"/>
      <c r="HL392" s="199"/>
      <c r="HM392" s="199"/>
      <c r="HN392" s="199"/>
      <c r="HO392" s="199"/>
      <c r="HP392" s="199"/>
      <c r="HQ392" s="199"/>
      <c r="HR392" s="199"/>
      <c r="HS392" s="199"/>
      <c r="HT392" s="199"/>
      <c r="HU392" s="199"/>
      <c r="HV392" s="199"/>
      <c r="HW392" s="199"/>
      <c r="HX392" s="199"/>
      <c r="HY392" s="199"/>
      <c r="HZ392" s="199"/>
      <c r="IA392" s="199"/>
      <c r="IB392" s="199"/>
      <c r="IC392" s="199"/>
      <c r="ID392" s="199"/>
      <c r="IE392" s="199"/>
      <c r="IF392" s="199"/>
      <c r="IG392" s="199"/>
      <c r="IH392" s="199"/>
      <c r="II392" s="199"/>
      <c r="IJ392" s="199"/>
      <c r="IK392" s="199"/>
      <c r="IL392" s="199"/>
      <c r="IM392" s="199"/>
      <c r="IN392" s="199"/>
      <c r="IO392" s="199"/>
      <c r="IP392" s="199"/>
      <c r="IQ392" s="199"/>
      <c r="IR392" s="199"/>
      <c r="IS392" s="199"/>
      <c r="IT392" s="199"/>
      <c r="IU392" s="199"/>
      <c r="IV392" s="199"/>
      <c r="IW392" s="199"/>
      <c r="IX392" s="199"/>
      <c r="IY392" s="200"/>
      <c r="IZ392" s="187"/>
      <c r="JA392" s="188"/>
      <c r="JB392" s="188"/>
      <c r="JC392" s="188"/>
      <c r="JD392" s="189"/>
    </row>
    <row r="393" spans="219:264" x14ac:dyDescent="0.3">
      <c r="HK393" s="198"/>
      <c r="HL393" s="199"/>
      <c r="HM393" s="199"/>
      <c r="HN393" s="199"/>
      <c r="HO393" s="199"/>
      <c r="HP393" s="199"/>
      <c r="HQ393" s="199"/>
      <c r="HR393" s="199"/>
      <c r="HS393" s="199"/>
      <c r="HT393" s="199"/>
      <c r="HU393" s="199"/>
      <c r="HV393" s="199"/>
      <c r="HW393" s="199"/>
      <c r="HX393" s="199"/>
      <c r="HY393" s="199"/>
      <c r="HZ393" s="199"/>
      <c r="IA393" s="199"/>
      <c r="IB393" s="199"/>
      <c r="IC393" s="199"/>
      <c r="ID393" s="199"/>
      <c r="IE393" s="199"/>
      <c r="IF393" s="199"/>
      <c r="IG393" s="199"/>
      <c r="IH393" s="199"/>
      <c r="II393" s="199"/>
      <c r="IJ393" s="199"/>
      <c r="IK393" s="199"/>
      <c r="IL393" s="199"/>
      <c r="IM393" s="199"/>
      <c r="IN393" s="199"/>
      <c r="IO393" s="199"/>
      <c r="IP393" s="199"/>
      <c r="IQ393" s="199"/>
      <c r="IR393" s="199"/>
      <c r="IS393" s="199"/>
      <c r="IT393" s="199"/>
      <c r="IU393" s="199"/>
      <c r="IV393" s="199"/>
      <c r="IW393" s="199"/>
      <c r="IX393" s="199"/>
      <c r="IY393" s="200"/>
      <c r="IZ393" s="187"/>
      <c r="JA393" s="188"/>
      <c r="JB393" s="188"/>
      <c r="JC393" s="188"/>
      <c r="JD393" s="189"/>
    </row>
    <row r="394" spans="219:264" x14ac:dyDescent="0.3">
      <c r="HK394" s="198"/>
      <c r="HL394" s="199"/>
      <c r="HM394" s="199"/>
      <c r="HN394" s="199"/>
      <c r="HO394" s="199"/>
      <c r="HP394" s="199"/>
      <c r="HQ394" s="199"/>
      <c r="HR394" s="199"/>
      <c r="HS394" s="199"/>
      <c r="HT394" s="199"/>
      <c r="HU394" s="199"/>
      <c r="HV394" s="199"/>
      <c r="HW394" s="199"/>
      <c r="HX394" s="199"/>
      <c r="HY394" s="199"/>
      <c r="HZ394" s="199"/>
      <c r="IA394" s="199"/>
      <c r="IB394" s="199"/>
      <c r="IC394" s="199"/>
      <c r="ID394" s="199"/>
      <c r="IE394" s="199"/>
      <c r="IF394" s="199"/>
      <c r="IG394" s="199"/>
      <c r="IH394" s="199"/>
      <c r="II394" s="199"/>
      <c r="IJ394" s="199"/>
      <c r="IK394" s="199"/>
      <c r="IL394" s="199"/>
      <c r="IM394" s="199"/>
      <c r="IN394" s="199"/>
      <c r="IO394" s="199"/>
      <c r="IP394" s="199"/>
      <c r="IQ394" s="199"/>
      <c r="IR394" s="199"/>
      <c r="IS394" s="199"/>
      <c r="IT394" s="199"/>
      <c r="IU394" s="199"/>
      <c r="IV394" s="199"/>
      <c r="IW394" s="199"/>
      <c r="IX394" s="199"/>
      <c r="IY394" s="200"/>
      <c r="IZ394" s="187"/>
      <c r="JA394" s="188"/>
      <c r="JB394" s="188"/>
      <c r="JC394" s="188"/>
      <c r="JD394" s="189"/>
    </row>
    <row r="395" spans="219:264" x14ac:dyDescent="0.3">
      <c r="HK395" s="198"/>
      <c r="HL395" s="199"/>
      <c r="HM395" s="199"/>
      <c r="HN395" s="199"/>
      <c r="HO395" s="199"/>
      <c r="HP395" s="199"/>
      <c r="HQ395" s="199"/>
      <c r="HR395" s="199"/>
      <c r="HS395" s="199"/>
      <c r="HT395" s="199"/>
      <c r="HU395" s="199"/>
      <c r="HV395" s="199"/>
      <c r="HW395" s="199"/>
      <c r="HX395" s="199"/>
      <c r="HY395" s="199"/>
      <c r="HZ395" s="199"/>
      <c r="IA395" s="199"/>
      <c r="IB395" s="199"/>
      <c r="IC395" s="199"/>
      <c r="ID395" s="199"/>
      <c r="IE395" s="199"/>
      <c r="IF395" s="199"/>
      <c r="IG395" s="199"/>
      <c r="IH395" s="199"/>
      <c r="II395" s="199"/>
      <c r="IJ395" s="199"/>
      <c r="IK395" s="199"/>
      <c r="IL395" s="199"/>
      <c r="IM395" s="199"/>
      <c r="IN395" s="199"/>
      <c r="IO395" s="199"/>
      <c r="IP395" s="199"/>
      <c r="IQ395" s="199"/>
      <c r="IR395" s="199"/>
      <c r="IS395" s="199"/>
      <c r="IT395" s="199"/>
      <c r="IU395" s="199"/>
      <c r="IV395" s="199"/>
      <c r="IW395" s="199"/>
      <c r="IX395" s="199"/>
      <c r="IY395" s="200"/>
      <c r="IZ395" s="187"/>
      <c r="JA395" s="188"/>
      <c r="JB395" s="188"/>
      <c r="JC395" s="188"/>
      <c r="JD395" s="189"/>
    </row>
    <row r="396" spans="219:264" x14ac:dyDescent="0.3">
      <c r="HK396" s="198"/>
      <c r="HL396" s="199"/>
      <c r="HM396" s="199"/>
      <c r="HN396" s="199"/>
      <c r="HO396" s="199"/>
      <c r="HP396" s="199"/>
      <c r="HQ396" s="199"/>
      <c r="HR396" s="199"/>
      <c r="HS396" s="199"/>
      <c r="HT396" s="199"/>
      <c r="HU396" s="199"/>
      <c r="HV396" s="199"/>
      <c r="HW396" s="199"/>
      <c r="HX396" s="199"/>
      <c r="HY396" s="199"/>
      <c r="HZ396" s="199"/>
      <c r="IA396" s="199"/>
      <c r="IB396" s="199"/>
      <c r="IC396" s="199"/>
      <c r="ID396" s="199"/>
      <c r="IE396" s="199"/>
      <c r="IF396" s="199"/>
      <c r="IG396" s="199"/>
      <c r="IH396" s="199"/>
      <c r="II396" s="199"/>
      <c r="IJ396" s="199"/>
      <c r="IK396" s="199"/>
      <c r="IL396" s="199"/>
      <c r="IM396" s="199"/>
      <c r="IN396" s="199"/>
      <c r="IO396" s="199"/>
      <c r="IP396" s="199"/>
      <c r="IQ396" s="199"/>
      <c r="IR396" s="199"/>
      <c r="IS396" s="199"/>
      <c r="IT396" s="199"/>
      <c r="IU396" s="199"/>
      <c r="IV396" s="199"/>
      <c r="IW396" s="199"/>
      <c r="IX396" s="199"/>
      <c r="IY396" s="200"/>
      <c r="IZ396" s="187"/>
      <c r="JA396" s="188"/>
      <c r="JB396" s="188"/>
      <c r="JC396" s="188"/>
      <c r="JD396" s="189"/>
    </row>
    <row r="397" spans="219:264" x14ac:dyDescent="0.3">
      <c r="HK397" s="198"/>
      <c r="HL397" s="199"/>
      <c r="HM397" s="199"/>
      <c r="HN397" s="199"/>
      <c r="HO397" s="199"/>
      <c r="HP397" s="199"/>
      <c r="HQ397" s="199"/>
      <c r="HR397" s="199"/>
      <c r="HS397" s="199"/>
      <c r="HT397" s="199"/>
      <c r="HU397" s="199"/>
      <c r="HV397" s="199"/>
      <c r="HW397" s="199"/>
      <c r="HX397" s="199"/>
      <c r="HY397" s="199"/>
      <c r="HZ397" s="199"/>
      <c r="IA397" s="199"/>
      <c r="IB397" s="199"/>
      <c r="IC397" s="199"/>
      <c r="ID397" s="199"/>
      <c r="IE397" s="199"/>
      <c r="IF397" s="199"/>
      <c r="IG397" s="199"/>
      <c r="IH397" s="199"/>
      <c r="II397" s="199"/>
      <c r="IJ397" s="199"/>
      <c r="IK397" s="199"/>
      <c r="IL397" s="199"/>
      <c r="IM397" s="199"/>
      <c r="IN397" s="199"/>
      <c r="IO397" s="199"/>
      <c r="IP397" s="199"/>
      <c r="IQ397" s="199"/>
      <c r="IR397" s="199"/>
      <c r="IS397" s="199"/>
      <c r="IT397" s="199"/>
      <c r="IU397" s="199"/>
      <c r="IV397" s="199"/>
      <c r="IW397" s="199"/>
      <c r="IX397" s="199"/>
      <c r="IY397" s="200"/>
      <c r="IZ397" s="187"/>
      <c r="JA397" s="188"/>
      <c r="JB397" s="188"/>
      <c r="JC397" s="188"/>
      <c r="JD397" s="189"/>
    </row>
    <row r="398" spans="219:264" x14ac:dyDescent="0.3">
      <c r="HK398" s="201"/>
      <c r="HL398" s="202"/>
      <c r="HM398" s="202"/>
      <c r="HN398" s="202"/>
      <c r="HO398" s="202"/>
      <c r="HP398" s="202"/>
      <c r="HQ398" s="202"/>
      <c r="HR398" s="202"/>
      <c r="HS398" s="202"/>
      <c r="HT398" s="202"/>
      <c r="HU398" s="202"/>
      <c r="HV398" s="202"/>
      <c r="HW398" s="202"/>
      <c r="HX398" s="202"/>
      <c r="HY398" s="202"/>
      <c r="HZ398" s="202"/>
      <c r="IA398" s="202"/>
      <c r="IB398" s="202"/>
      <c r="IC398" s="202"/>
      <c r="ID398" s="202"/>
      <c r="IE398" s="202"/>
      <c r="IF398" s="202"/>
      <c r="IG398" s="202"/>
      <c r="IH398" s="202"/>
      <c r="II398" s="202"/>
      <c r="IJ398" s="202"/>
      <c r="IK398" s="202"/>
      <c r="IL398" s="202"/>
      <c r="IM398" s="202"/>
      <c r="IN398" s="202"/>
      <c r="IO398" s="202"/>
      <c r="IP398" s="202"/>
      <c r="IQ398" s="202"/>
      <c r="IR398" s="202"/>
      <c r="IS398" s="202"/>
      <c r="IT398" s="202"/>
      <c r="IU398" s="202"/>
      <c r="IV398" s="202"/>
      <c r="IW398" s="202"/>
      <c r="IX398" s="202"/>
      <c r="IY398" s="203"/>
      <c r="IZ398" s="190"/>
      <c r="JA398" s="191"/>
      <c r="JB398" s="191"/>
      <c r="JC398" s="191"/>
      <c r="JD398" s="192"/>
    </row>
    <row r="399" spans="219:264" x14ac:dyDescent="0.3">
      <c r="HK399" s="195" t="s">
        <v>28</v>
      </c>
      <c r="HL399" s="196"/>
      <c r="HM399" s="196"/>
      <c r="HN399" s="196"/>
      <c r="HO399" s="196"/>
      <c r="HP399" s="196"/>
      <c r="HQ399" s="196"/>
      <c r="HR399" s="196"/>
      <c r="HS399" s="196"/>
      <c r="HT399" s="196"/>
      <c r="HU399" s="196"/>
      <c r="HV399" s="196"/>
      <c r="HW399" s="196"/>
      <c r="HX399" s="196"/>
      <c r="HY399" s="196"/>
      <c r="HZ399" s="196"/>
      <c r="IA399" s="196"/>
      <c r="IB399" s="196"/>
      <c r="IC399" s="196"/>
      <c r="ID399" s="196"/>
      <c r="IE399" s="196"/>
      <c r="IF399" s="196"/>
      <c r="IG399" s="196"/>
      <c r="IH399" s="196"/>
      <c r="II399" s="196"/>
      <c r="IJ399" s="196"/>
      <c r="IK399" s="196"/>
      <c r="IL399" s="196"/>
      <c r="IM399" s="196"/>
      <c r="IN399" s="196"/>
      <c r="IO399" s="196"/>
      <c r="IP399" s="196"/>
      <c r="IQ399" s="196"/>
      <c r="IR399" s="196"/>
      <c r="IS399" s="196"/>
      <c r="IT399" s="196"/>
      <c r="IU399" s="196"/>
      <c r="IV399" s="196"/>
      <c r="IW399" s="196"/>
      <c r="IX399" s="196"/>
      <c r="IY399" s="197">
        <v>10</v>
      </c>
      <c r="IZ399" s="184"/>
      <c r="JA399" s="185"/>
      <c r="JB399" s="185"/>
      <c r="JC399" s="185"/>
      <c r="JD399" s="186"/>
    </row>
    <row r="400" spans="219:264" x14ac:dyDescent="0.3">
      <c r="HK400" s="198"/>
      <c r="HL400" s="199"/>
      <c r="HM400" s="199"/>
      <c r="HN400" s="199"/>
      <c r="HO400" s="199"/>
      <c r="HP400" s="199"/>
      <c r="HQ400" s="199"/>
      <c r="HR400" s="199"/>
      <c r="HS400" s="199"/>
      <c r="HT400" s="199"/>
      <c r="HU400" s="199"/>
      <c r="HV400" s="199"/>
      <c r="HW400" s="199"/>
      <c r="HX400" s="199"/>
      <c r="HY400" s="199"/>
      <c r="HZ400" s="199"/>
      <c r="IA400" s="199"/>
      <c r="IB400" s="199"/>
      <c r="IC400" s="199"/>
      <c r="ID400" s="199"/>
      <c r="IE400" s="199"/>
      <c r="IF400" s="199"/>
      <c r="IG400" s="199"/>
      <c r="IH400" s="199"/>
      <c r="II400" s="199"/>
      <c r="IJ400" s="199"/>
      <c r="IK400" s="199"/>
      <c r="IL400" s="199"/>
      <c r="IM400" s="199"/>
      <c r="IN400" s="199"/>
      <c r="IO400" s="199"/>
      <c r="IP400" s="199"/>
      <c r="IQ400" s="199"/>
      <c r="IR400" s="199"/>
      <c r="IS400" s="199"/>
      <c r="IT400" s="199"/>
      <c r="IU400" s="199"/>
      <c r="IV400" s="199"/>
      <c r="IW400" s="199"/>
      <c r="IX400" s="199"/>
      <c r="IY400" s="200"/>
      <c r="IZ400" s="187"/>
      <c r="JA400" s="188"/>
      <c r="JB400" s="188"/>
      <c r="JC400" s="188"/>
      <c r="JD400" s="189"/>
    </row>
    <row r="401" spans="219:264" x14ac:dyDescent="0.3">
      <c r="HK401" s="198"/>
      <c r="HL401" s="199"/>
      <c r="HM401" s="199"/>
      <c r="HN401" s="199"/>
      <c r="HO401" s="199"/>
      <c r="HP401" s="199"/>
      <c r="HQ401" s="199"/>
      <c r="HR401" s="199"/>
      <c r="HS401" s="199"/>
      <c r="HT401" s="199"/>
      <c r="HU401" s="199"/>
      <c r="HV401" s="199"/>
      <c r="HW401" s="199"/>
      <c r="HX401" s="199"/>
      <c r="HY401" s="199"/>
      <c r="HZ401" s="199"/>
      <c r="IA401" s="199"/>
      <c r="IB401" s="199"/>
      <c r="IC401" s="199"/>
      <c r="ID401" s="199"/>
      <c r="IE401" s="199"/>
      <c r="IF401" s="199"/>
      <c r="IG401" s="199"/>
      <c r="IH401" s="199"/>
      <c r="II401" s="199"/>
      <c r="IJ401" s="199"/>
      <c r="IK401" s="199"/>
      <c r="IL401" s="199"/>
      <c r="IM401" s="199"/>
      <c r="IN401" s="199"/>
      <c r="IO401" s="199"/>
      <c r="IP401" s="199"/>
      <c r="IQ401" s="199"/>
      <c r="IR401" s="199"/>
      <c r="IS401" s="199"/>
      <c r="IT401" s="199"/>
      <c r="IU401" s="199"/>
      <c r="IV401" s="199"/>
      <c r="IW401" s="199"/>
      <c r="IX401" s="199"/>
      <c r="IY401" s="200"/>
      <c r="IZ401" s="187"/>
      <c r="JA401" s="188"/>
      <c r="JB401" s="188"/>
      <c r="JC401" s="188"/>
      <c r="JD401" s="189"/>
    </row>
    <row r="402" spans="219:264" x14ac:dyDescent="0.3">
      <c r="HK402" s="198"/>
      <c r="HL402" s="199"/>
      <c r="HM402" s="199"/>
      <c r="HN402" s="199"/>
      <c r="HO402" s="199"/>
      <c r="HP402" s="199"/>
      <c r="HQ402" s="199"/>
      <c r="HR402" s="199"/>
      <c r="HS402" s="199"/>
      <c r="HT402" s="199"/>
      <c r="HU402" s="199"/>
      <c r="HV402" s="199"/>
      <c r="HW402" s="199"/>
      <c r="HX402" s="199"/>
      <c r="HY402" s="199"/>
      <c r="HZ402" s="199"/>
      <c r="IA402" s="199"/>
      <c r="IB402" s="199"/>
      <c r="IC402" s="199"/>
      <c r="ID402" s="199"/>
      <c r="IE402" s="199"/>
      <c r="IF402" s="199"/>
      <c r="IG402" s="199"/>
      <c r="IH402" s="199"/>
      <c r="II402" s="199"/>
      <c r="IJ402" s="199"/>
      <c r="IK402" s="199"/>
      <c r="IL402" s="199"/>
      <c r="IM402" s="199"/>
      <c r="IN402" s="199"/>
      <c r="IO402" s="199"/>
      <c r="IP402" s="199"/>
      <c r="IQ402" s="199"/>
      <c r="IR402" s="199"/>
      <c r="IS402" s="199"/>
      <c r="IT402" s="199"/>
      <c r="IU402" s="199"/>
      <c r="IV402" s="199"/>
      <c r="IW402" s="199"/>
      <c r="IX402" s="199"/>
      <c r="IY402" s="200"/>
      <c r="IZ402" s="187"/>
      <c r="JA402" s="188"/>
      <c r="JB402" s="188"/>
      <c r="JC402" s="188"/>
      <c r="JD402" s="189"/>
    </row>
    <row r="403" spans="219:264" x14ac:dyDescent="0.3">
      <c r="HK403" s="198"/>
      <c r="HL403" s="199"/>
      <c r="HM403" s="199"/>
      <c r="HN403" s="199"/>
      <c r="HO403" s="199"/>
      <c r="HP403" s="199"/>
      <c r="HQ403" s="199"/>
      <c r="HR403" s="199"/>
      <c r="HS403" s="199"/>
      <c r="HT403" s="199"/>
      <c r="HU403" s="199"/>
      <c r="HV403" s="199"/>
      <c r="HW403" s="199"/>
      <c r="HX403" s="199"/>
      <c r="HY403" s="199"/>
      <c r="HZ403" s="199"/>
      <c r="IA403" s="199"/>
      <c r="IB403" s="199"/>
      <c r="IC403" s="199"/>
      <c r="ID403" s="199"/>
      <c r="IE403" s="199"/>
      <c r="IF403" s="199"/>
      <c r="IG403" s="199"/>
      <c r="IH403" s="199"/>
      <c r="II403" s="199"/>
      <c r="IJ403" s="199"/>
      <c r="IK403" s="199"/>
      <c r="IL403" s="199"/>
      <c r="IM403" s="199"/>
      <c r="IN403" s="199"/>
      <c r="IO403" s="199"/>
      <c r="IP403" s="199"/>
      <c r="IQ403" s="199"/>
      <c r="IR403" s="199"/>
      <c r="IS403" s="199"/>
      <c r="IT403" s="199"/>
      <c r="IU403" s="199"/>
      <c r="IV403" s="199"/>
      <c r="IW403" s="199"/>
      <c r="IX403" s="199"/>
      <c r="IY403" s="200"/>
      <c r="IZ403" s="187"/>
      <c r="JA403" s="188"/>
      <c r="JB403" s="188"/>
      <c r="JC403" s="188"/>
      <c r="JD403" s="189"/>
    </row>
    <row r="404" spans="219:264" x14ac:dyDescent="0.3">
      <c r="HK404" s="198"/>
      <c r="HL404" s="199"/>
      <c r="HM404" s="199"/>
      <c r="HN404" s="199"/>
      <c r="HO404" s="199"/>
      <c r="HP404" s="199"/>
      <c r="HQ404" s="199"/>
      <c r="HR404" s="199"/>
      <c r="HS404" s="199"/>
      <c r="HT404" s="199"/>
      <c r="HU404" s="199"/>
      <c r="HV404" s="199"/>
      <c r="HW404" s="199"/>
      <c r="HX404" s="199"/>
      <c r="HY404" s="199"/>
      <c r="HZ404" s="199"/>
      <c r="IA404" s="199"/>
      <c r="IB404" s="199"/>
      <c r="IC404" s="199"/>
      <c r="ID404" s="199"/>
      <c r="IE404" s="199"/>
      <c r="IF404" s="199"/>
      <c r="IG404" s="199"/>
      <c r="IH404" s="199"/>
      <c r="II404" s="199"/>
      <c r="IJ404" s="199"/>
      <c r="IK404" s="199"/>
      <c r="IL404" s="199"/>
      <c r="IM404" s="199"/>
      <c r="IN404" s="199"/>
      <c r="IO404" s="199"/>
      <c r="IP404" s="199"/>
      <c r="IQ404" s="199"/>
      <c r="IR404" s="199"/>
      <c r="IS404" s="199"/>
      <c r="IT404" s="199"/>
      <c r="IU404" s="199"/>
      <c r="IV404" s="199"/>
      <c r="IW404" s="199"/>
      <c r="IX404" s="199"/>
      <c r="IY404" s="200"/>
      <c r="IZ404" s="187"/>
      <c r="JA404" s="188"/>
      <c r="JB404" s="188"/>
      <c r="JC404" s="188"/>
      <c r="JD404" s="189"/>
    </row>
    <row r="405" spans="219:264" x14ac:dyDescent="0.3">
      <c r="HK405" s="198"/>
      <c r="HL405" s="199"/>
      <c r="HM405" s="199"/>
      <c r="HN405" s="199"/>
      <c r="HO405" s="199"/>
      <c r="HP405" s="199"/>
      <c r="HQ405" s="199"/>
      <c r="HR405" s="199"/>
      <c r="HS405" s="199"/>
      <c r="HT405" s="199"/>
      <c r="HU405" s="199"/>
      <c r="HV405" s="199"/>
      <c r="HW405" s="199"/>
      <c r="HX405" s="199"/>
      <c r="HY405" s="199"/>
      <c r="HZ405" s="199"/>
      <c r="IA405" s="199"/>
      <c r="IB405" s="199"/>
      <c r="IC405" s="199"/>
      <c r="ID405" s="199"/>
      <c r="IE405" s="199"/>
      <c r="IF405" s="199"/>
      <c r="IG405" s="199"/>
      <c r="IH405" s="199"/>
      <c r="II405" s="199"/>
      <c r="IJ405" s="199"/>
      <c r="IK405" s="199"/>
      <c r="IL405" s="199"/>
      <c r="IM405" s="199"/>
      <c r="IN405" s="199"/>
      <c r="IO405" s="199"/>
      <c r="IP405" s="199"/>
      <c r="IQ405" s="199"/>
      <c r="IR405" s="199"/>
      <c r="IS405" s="199"/>
      <c r="IT405" s="199"/>
      <c r="IU405" s="199"/>
      <c r="IV405" s="199"/>
      <c r="IW405" s="199"/>
      <c r="IX405" s="199"/>
      <c r="IY405" s="200"/>
      <c r="IZ405" s="187"/>
      <c r="JA405" s="188"/>
      <c r="JB405" s="188"/>
      <c r="JC405" s="188"/>
      <c r="JD405" s="189"/>
    </row>
    <row r="406" spans="219:264" x14ac:dyDescent="0.3">
      <c r="HK406" s="198"/>
      <c r="HL406" s="199"/>
      <c r="HM406" s="199"/>
      <c r="HN406" s="199"/>
      <c r="HO406" s="199"/>
      <c r="HP406" s="199"/>
      <c r="HQ406" s="199"/>
      <c r="HR406" s="199"/>
      <c r="HS406" s="199"/>
      <c r="HT406" s="199"/>
      <c r="HU406" s="199"/>
      <c r="HV406" s="199"/>
      <c r="HW406" s="199"/>
      <c r="HX406" s="199"/>
      <c r="HY406" s="199"/>
      <c r="HZ406" s="199"/>
      <c r="IA406" s="199"/>
      <c r="IB406" s="199"/>
      <c r="IC406" s="199"/>
      <c r="ID406" s="199"/>
      <c r="IE406" s="199"/>
      <c r="IF406" s="199"/>
      <c r="IG406" s="199"/>
      <c r="IH406" s="199"/>
      <c r="II406" s="199"/>
      <c r="IJ406" s="199"/>
      <c r="IK406" s="199"/>
      <c r="IL406" s="199"/>
      <c r="IM406" s="199"/>
      <c r="IN406" s="199"/>
      <c r="IO406" s="199"/>
      <c r="IP406" s="199"/>
      <c r="IQ406" s="199"/>
      <c r="IR406" s="199"/>
      <c r="IS406" s="199"/>
      <c r="IT406" s="199"/>
      <c r="IU406" s="199"/>
      <c r="IV406" s="199"/>
      <c r="IW406" s="199"/>
      <c r="IX406" s="199"/>
      <c r="IY406" s="200"/>
      <c r="IZ406" s="187"/>
      <c r="JA406" s="188"/>
      <c r="JB406" s="188"/>
      <c r="JC406" s="188"/>
      <c r="JD406" s="189"/>
    </row>
    <row r="407" spans="219:264" x14ac:dyDescent="0.3">
      <c r="HK407" s="198"/>
      <c r="HL407" s="199"/>
      <c r="HM407" s="199"/>
      <c r="HN407" s="199"/>
      <c r="HO407" s="199"/>
      <c r="HP407" s="199"/>
      <c r="HQ407" s="199"/>
      <c r="HR407" s="199"/>
      <c r="HS407" s="199"/>
      <c r="HT407" s="199"/>
      <c r="HU407" s="199"/>
      <c r="HV407" s="199"/>
      <c r="HW407" s="199"/>
      <c r="HX407" s="199"/>
      <c r="HY407" s="199"/>
      <c r="HZ407" s="199"/>
      <c r="IA407" s="199"/>
      <c r="IB407" s="199"/>
      <c r="IC407" s="199"/>
      <c r="ID407" s="199"/>
      <c r="IE407" s="199"/>
      <c r="IF407" s="199"/>
      <c r="IG407" s="199"/>
      <c r="IH407" s="199"/>
      <c r="II407" s="199"/>
      <c r="IJ407" s="199"/>
      <c r="IK407" s="199"/>
      <c r="IL407" s="199"/>
      <c r="IM407" s="199"/>
      <c r="IN407" s="199"/>
      <c r="IO407" s="199"/>
      <c r="IP407" s="199"/>
      <c r="IQ407" s="199"/>
      <c r="IR407" s="199"/>
      <c r="IS407" s="199"/>
      <c r="IT407" s="199"/>
      <c r="IU407" s="199"/>
      <c r="IV407" s="199"/>
      <c r="IW407" s="199"/>
      <c r="IX407" s="199"/>
      <c r="IY407" s="200"/>
      <c r="IZ407" s="187"/>
      <c r="JA407" s="188"/>
      <c r="JB407" s="188"/>
      <c r="JC407" s="188"/>
      <c r="JD407" s="189"/>
    </row>
    <row r="408" spans="219:264" x14ac:dyDescent="0.3">
      <c r="HK408" s="201"/>
      <c r="HL408" s="202"/>
      <c r="HM408" s="202"/>
      <c r="HN408" s="202"/>
      <c r="HO408" s="202"/>
      <c r="HP408" s="202"/>
      <c r="HQ408" s="202"/>
      <c r="HR408" s="202"/>
      <c r="HS408" s="202"/>
      <c r="HT408" s="202"/>
      <c r="HU408" s="202"/>
      <c r="HV408" s="202"/>
      <c r="HW408" s="202"/>
      <c r="HX408" s="202"/>
      <c r="HY408" s="202"/>
      <c r="HZ408" s="202"/>
      <c r="IA408" s="202"/>
      <c r="IB408" s="202"/>
      <c r="IC408" s="202"/>
      <c r="ID408" s="202"/>
      <c r="IE408" s="202"/>
      <c r="IF408" s="202"/>
      <c r="IG408" s="202"/>
      <c r="IH408" s="202"/>
      <c r="II408" s="202"/>
      <c r="IJ408" s="202"/>
      <c r="IK408" s="202"/>
      <c r="IL408" s="202"/>
      <c r="IM408" s="202"/>
      <c r="IN408" s="202"/>
      <c r="IO408" s="202"/>
      <c r="IP408" s="202"/>
      <c r="IQ408" s="202"/>
      <c r="IR408" s="202"/>
      <c r="IS408" s="202"/>
      <c r="IT408" s="202"/>
      <c r="IU408" s="202"/>
      <c r="IV408" s="202"/>
      <c r="IW408" s="202"/>
      <c r="IX408" s="202"/>
      <c r="IY408" s="203"/>
      <c r="IZ408" s="190"/>
      <c r="JA408" s="191"/>
      <c r="JB408" s="191"/>
      <c r="JC408" s="191"/>
      <c r="JD408" s="192"/>
    </row>
  </sheetData>
  <mergeCells count="147">
    <mergeCell ref="HK389:IY398"/>
    <mergeCell ref="IZ389:JD398"/>
    <mergeCell ref="HK399:IY408"/>
    <mergeCell ref="IZ399:JD408"/>
    <mergeCell ref="MB211:NP220"/>
    <mergeCell ref="NQ211:NU220"/>
    <mergeCell ref="MB222:NP231"/>
    <mergeCell ref="NQ222:NU231"/>
    <mergeCell ref="HK359:IY368"/>
    <mergeCell ref="IZ359:JD368"/>
    <mergeCell ref="HK369:IY378"/>
    <mergeCell ref="IZ369:JD378"/>
    <mergeCell ref="HK379:IY388"/>
    <mergeCell ref="IZ379:JD388"/>
    <mergeCell ref="HK339:IY348"/>
    <mergeCell ref="IZ339:JD348"/>
    <mergeCell ref="HK349:IY358"/>
    <mergeCell ref="IZ349:JD358"/>
    <mergeCell ref="MG242:OD248"/>
    <mergeCell ref="HK297:IY306"/>
    <mergeCell ref="IZ297:JD306"/>
    <mergeCell ref="HK309:IY318"/>
    <mergeCell ref="IZ309:JD318"/>
    <mergeCell ref="HK319:IY328"/>
    <mergeCell ref="MB139:NP148"/>
    <mergeCell ref="NQ139:NU148"/>
    <mergeCell ref="MB149:NP158"/>
    <mergeCell ref="NQ149:NU158"/>
    <mergeCell ref="MB159:NP168"/>
    <mergeCell ref="NQ159:NU168"/>
    <mergeCell ref="MB169:NP178"/>
    <mergeCell ref="NQ169:NU178"/>
    <mergeCell ref="OE242:OP248"/>
    <mergeCell ref="IZ319:JD328"/>
    <mergeCell ref="HK329:IY338"/>
    <mergeCell ref="IZ329:JD338"/>
    <mergeCell ref="JS161:LF170"/>
    <mergeCell ref="BK283:CL287"/>
    <mergeCell ref="LJ281:ML285"/>
    <mergeCell ref="MM281:NN285"/>
    <mergeCell ref="MG249:OD255"/>
    <mergeCell ref="LG161:LL170"/>
    <mergeCell ref="JS171:LF180"/>
    <mergeCell ref="LG171:LL180"/>
    <mergeCell ref="JE161:JI170"/>
    <mergeCell ref="MB179:NP188"/>
    <mergeCell ref="NQ179:NU188"/>
    <mergeCell ref="MB189:NP198"/>
    <mergeCell ref="NQ189:NU198"/>
    <mergeCell ref="MB199:NP208"/>
    <mergeCell ref="NQ199:NU208"/>
    <mergeCell ref="OE249:OP255"/>
    <mergeCell ref="NO281:OP285"/>
    <mergeCell ref="G273:AH277"/>
    <mergeCell ref="AI273:BJ277"/>
    <mergeCell ref="BK273:CL277"/>
    <mergeCell ref="G278:AH282"/>
    <mergeCell ref="AI278:BJ282"/>
    <mergeCell ref="BK278:CL282"/>
    <mergeCell ref="MG256:OD262"/>
    <mergeCell ref="OE256:OP262"/>
    <mergeCell ref="MG263:OD269"/>
    <mergeCell ref="OE263:OP269"/>
    <mergeCell ref="MG270:OD276"/>
    <mergeCell ref="OE270:OP276"/>
    <mergeCell ref="Q211:BE220"/>
    <mergeCell ref="BF211:BJ220"/>
    <mergeCell ref="Q191:BE200"/>
    <mergeCell ref="BF191:BJ200"/>
    <mergeCell ref="Q221:BE230"/>
    <mergeCell ref="BF221:BJ230"/>
    <mergeCell ref="Q231:BE240"/>
    <mergeCell ref="BF231:BJ240"/>
    <mergeCell ref="G283:AH287"/>
    <mergeCell ref="AI283:BJ287"/>
    <mergeCell ref="Q171:BE180"/>
    <mergeCell ref="BF171:BJ180"/>
    <mergeCell ref="DV173:FI182"/>
    <mergeCell ref="FJ173:FN182"/>
    <mergeCell ref="HQ171:JD180"/>
    <mergeCell ref="JE171:JI180"/>
    <mergeCell ref="Q201:BE210"/>
    <mergeCell ref="BF201:BJ210"/>
    <mergeCell ref="Q181:BE190"/>
    <mergeCell ref="BF181:BJ190"/>
    <mergeCell ref="HQ181:JD190"/>
    <mergeCell ref="JE181:JI190"/>
    <mergeCell ref="Q161:BE170"/>
    <mergeCell ref="BF161:BJ170"/>
    <mergeCell ref="DV161:FI170"/>
    <mergeCell ref="FJ161:FN170"/>
    <mergeCell ref="FT161:HG170"/>
    <mergeCell ref="HH161:HL170"/>
    <mergeCell ref="HQ161:JD170"/>
    <mergeCell ref="Q141:BE150"/>
    <mergeCell ref="BF141:BJ150"/>
    <mergeCell ref="DV147:FI156"/>
    <mergeCell ref="FJ147:FN156"/>
    <mergeCell ref="FT147:HG156"/>
    <mergeCell ref="HH147:HL156"/>
    <mergeCell ref="HQ147:JD156"/>
    <mergeCell ref="FT129:HF138"/>
    <mergeCell ref="HG129:HK138"/>
    <mergeCell ref="Q117:BE126"/>
    <mergeCell ref="BF117:BJ126"/>
    <mergeCell ref="E5:OV8"/>
    <mergeCell ref="E9:OV11"/>
    <mergeCell ref="E12:OV15"/>
    <mergeCell ref="FW18:HK26"/>
    <mergeCell ref="HL18:HO26"/>
    <mergeCell ref="AY53:CM62"/>
    <mergeCell ref="CN53:CR62"/>
    <mergeCell ref="JR37:LF46"/>
    <mergeCell ref="LG37:LL46"/>
    <mergeCell ref="FW37:HK45"/>
    <mergeCell ref="HL37:HO45"/>
    <mergeCell ref="MB117:NP126"/>
    <mergeCell ref="NQ117:NU126"/>
    <mergeCell ref="AY64:CM73"/>
    <mergeCell ref="CN64:CR73"/>
    <mergeCell ref="JR48:LF56"/>
    <mergeCell ref="MB128:NP137"/>
    <mergeCell ref="NQ128:NU137"/>
    <mergeCell ref="JE147:JI156"/>
    <mergeCell ref="JS149:LF158"/>
    <mergeCell ref="LG149:LL158"/>
    <mergeCell ref="Q151:BE160"/>
    <mergeCell ref="BF151:BJ160"/>
    <mergeCell ref="FT117:HF126"/>
    <mergeCell ref="HG117:HK126"/>
    <mergeCell ref="LG48:LL56"/>
    <mergeCell ref="DK97:EY106"/>
    <mergeCell ref="EZ97:FD106"/>
    <mergeCell ref="JS117:LF126"/>
    <mergeCell ref="LG117:LL126"/>
    <mergeCell ref="HQ92:JD101"/>
    <mergeCell ref="JE92:JI101"/>
    <mergeCell ref="HQ102:JD111"/>
    <mergeCell ref="JE102:JI111"/>
    <mergeCell ref="JS139:LF148"/>
    <mergeCell ref="LG139:LL148"/>
    <mergeCell ref="AY75:CM83"/>
    <mergeCell ref="CN75:CR83"/>
    <mergeCell ref="JS127:LF136"/>
    <mergeCell ref="LG127:LL136"/>
    <mergeCell ref="Q129:BE138"/>
    <mergeCell ref="BF129:BJ138"/>
  </mergeCells>
  <printOptions horizontalCentered="1" verticalCentered="1"/>
  <pageMargins left="0" right="0" top="0" bottom="0" header="0.31496062992125984" footer="0.31496062992125984"/>
  <pageSetup paperSize="8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FEF-55A4-41FC-BE21-90651539E444}">
  <sheetPr codeName="Sheet3">
    <pageSetUpPr fitToPage="1"/>
  </sheetPr>
  <dimension ref="C1:MP412"/>
  <sheetViews>
    <sheetView showGridLines="0" view="pageBreakPreview" topLeftCell="A133" zoomScale="70" zoomScaleNormal="70" zoomScaleSheetLayoutView="70" workbookViewId="0">
      <selection activeCell="DG190" sqref="DG190"/>
    </sheetView>
  </sheetViews>
  <sheetFormatPr defaultColWidth="9.109375" defaultRowHeight="17.399999999999999" x14ac:dyDescent="0.3"/>
  <cols>
    <col min="1" max="1" width="1.88671875" style="1" customWidth="1"/>
    <col min="2" max="2" width="1.33203125" style="1" customWidth="1"/>
    <col min="3" max="4" width="0.5546875" style="1" customWidth="1"/>
    <col min="5" max="70" width="0.88671875" style="1" customWidth="1"/>
    <col min="71" max="71" width="1" style="1" customWidth="1"/>
    <col min="72" max="73" width="0.88671875" style="1" hidden="1" customWidth="1"/>
    <col min="74" max="270" width="0.88671875" style="1" customWidth="1"/>
    <col min="271" max="271" width="0.6640625" style="1" customWidth="1"/>
    <col min="272" max="311" width="0.88671875" style="1" customWidth="1"/>
    <col min="312" max="312" width="0.6640625" style="1" customWidth="1"/>
    <col min="313" max="328" width="0.88671875" style="1" customWidth="1"/>
    <col min="329" max="330" width="0.5546875" style="1" customWidth="1"/>
    <col min="331" max="331" width="0.88671875" style="1" customWidth="1"/>
    <col min="332" max="332" width="0.6640625" style="1" customWidth="1"/>
    <col min="333" max="335" width="0.88671875" style="1" hidden="1" customWidth="1"/>
    <col min="336" max="336" width="8.33203125" style="1" hidden="1" customWidth="1"/>
    <col min="337" max="352" width="0.88671875" style="1" customWidth="1"/>
    <col min="353" max="353" width="1" style="1" customWidth="1"/>
    <col min="354" max="364" width="0.88671875" style="1" customWidth="1"/>
    <col min="365" max="16384" width="9.109375" style="1"/>
  </cols>
  <sheetData>
    <row r="1" spans="3:354" ht="18.75" customHeight="1" x14ac:dyDescent="0.3"/>
    <row r="2" spans="3:354" ht="9" customHeight="1" thickBot="1" x14ac:dyDescent="0.35"/>
    <row r="3" spans="3:354" s="35" customFormat="1" ht="3" customHeight="1" thickTop="1" x14ac:dyDescent="0.3">
      <c r="C3" s="47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5"/>
    </row>
    <row r="4" spans="3:354" s="35" customFormat="1" ht="3" customHeight="1" thickBot="1" x14ac:dyDescent="0.35">
      <c r="C4" s="39"/>
      <c r="D4" s="4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2"/>
      <c r="LR4" s="36"/>
    </row>
    <row r="5" spans="3:354" s="35" customFormat="1" ht="6.75" customHeight="1" x14ac:dyDescent="0.3">
      <c r="C5" s="39"/>
      <c r="D5" s="38"/>
      <c r="E5" s="243" t="s">
        <v>19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4"/>
      <c r="DM5" s="244"/>
      <c r="DN5" s="244"/>
      <c r="DO5" s="244"/>
      <c r="DP5" s="244"/>
      <c r="DQ5" s="244"/>
      <c r="DR5" s="244"/>
      <c r="DS5" s="244"/>
      <c r="DT5" s="244"/>
      <c r="DU5" s="244"/>
      <c r="DV5" s="244"/>
      <c r="DW5" s="244"/>
      <c r="DX5" s="244"/>
      <c r="DY5" s="244"/>
      <c r="DZ5" s="244"/>
      <c r="EA5" s="244"/>
      <c r="EB5" s="244"/>
      <c r="EC5" s="244"/>
      <c r="ED5" s="244"/>
      <c r="EE5" s="244"/>
      <c r="EF5" s="244"/>
      <c r="EG5" s="244"/>
      <c r="EH5" s="244"/>
      <c r="EI5" s="244"/>
      <c r="EJ5" s="244"/>
      <c r="EK5" s="244"/>
      <c r="EL5" s="244"/>
      <c r="EM5" s="244"/>
      <c r="EN5" s="244"/>
      <c r="EO5" s="244"/>
      <c r="EP5" s="244"/>
      <c r="EQ5" s="244"/>
      <c r="ER5" s="244"/>
      <c r="ES5" s="244"/>
      <c r="ET5" s="244"/>
      <c r="EU5" s="244"/>
      <c r="EV5" s="244"/>
      <c r="EW5" s="244"/>
      <c r="EX5" s="244"/>
      <c r="EY5" s="244"/>
      <c r="EZ5" s="244"/>
      <c r="FA5" s="244"/>
      <c r="FB5" s="244"/>
      <c r="FC5" s="244"/>
      <c r="FD5" s="244"/>
      <c r="FE5" s="244"/>
      <c r="FF5" s="244"/>
      <c r="FG5" s="244"/>
      <c r="FH5" s="244"/>
      <c r="FI5" s="244"/>
      <c r="FJ5" s="244"/>
      <c r="FK5" s="244"/>
      <c r="FL5" s="244"/>
      <c r="FM5" s="244"/>
      <c r="FN5" s="244"/>
      <c r="FO5" s="244"/>
      <c r="FP5" s="244"/>
      <c r="FQ5" s="244"/>
      <c r="FR5" s="244"/>
      <c r="FS5" s="244"/>
      <c r="FT5" s="244"/>
      <c r="FU5" s="244"/>
      <c r="FV5" s="244"/>
      <c r="FW5" s="244"/>
      <c r="FX5" s="244"/>
      <c r="FY5" s="244"/>
      <c r="FZ5" s="244"/>
      <c r="GA5" s="244"/>
      <c r="GB5" s="244"/>
      <c r="GC5" s="244"/>
      <c r="GD5" s="244"/>
      <c r="GE5" s="244"/>
      <c r="GF5" s="244"/>
      <c r="GG5" s="244"/>
      <c r="GH5" s="244"/>
      <c r="GI5" s="244"/>
      <c r="GJ5" s="244"/>
      <c r="GK5" s="244"/>
      <c r="GL5" s="244"/>
      <c r="GM5" s="244"/>
      <c r="GN5" s="244"/>
      <c r="GO5" s="244"/>
      <c r="GP5" s="244"/>
      <c r="GQ5" s="244"/>
      <c r="GR5" s="244"/>
      <c r="GS5" s="244"/>
      <c r="GT5" s="244"/>
      <c r="GU5" s="244"/>
      <c r="GV5" s="244"/>
      <c r="GW5" s="244"/>
      <c r="GX5" s="244"/>
      <c r="GY5" s="244"/>
      <c r="GZ5" s="244"/>
      <c r="HA5" s="244"/>
      <c r="HB5" s="244"/>
      <c r="HC5" s="244"/>
      <c r="HD5" s="244"/>
      <c r="HE5" s="244"/>
      <c r="HF5" s="244"/>
      <c r="HG5" s="244"/>
      <c r="HH5" s="244"/>
      <c r="HI5" s="244"/>
      <c r="HJ5" s="244"/>
      <c r="HK5" s="244"/>
      <c r="HL5" s="244"/>
      <c r="HM5" s="244"/>
      <c r="HN5" s="244"/>
      <c r="HO5" s="244"/>
      <c r="HP5" s="244"/>
      <c r="HQ5" s="244"/>
      <c r="HR5" s="244"/>
      <c r="HS5" s="244"/>
      <c r="HT5" s="244"/>
      <c r="HU5" s="244"/>
      <c r="HV5" s="244"/>
      <c r="HW5" s="244"/>
      <c r="HX5" s="244"/>
      <c r="HY5" s="244"/>
      <c r="HZ5" s="244"/>
      <c r="IA5" s="244"/>
      <c r="IB5" s="244"/>
      <c r="IC5" s="244"/>
      <c r="ID5" s="244"/>
      <c r="IE5" s="244"/>
      <c r="IF5" s="244"/>
      <c r="IG5" s="244"/>
      <c r="IH5" s="244"/>
      <c r="II5" s="244"/>
      <c r="IJ5" s="244"/>
      <c r="IK5" s="244"/>
      <c r="IL5" s="244"/>
      <c r="IM5" s="244"/>
      <c r="IN5" s="244"/>
      <c r="IO5" s="244"/>
      <c r="IP5" s="244"/>
      <c r="IQ5" s="244"/>
      <c r="IR5" s="244"/>
      <c r="IS5" s="244"/>
      <c r="IT5" s="244"/>
      <c r="IU5" s="244"/>
      <c r="IV5" s="244"/>
      <c r="IW5" s="244"/>
      <c r="IX5" s="244"/>
      <c r="IY5" s="244"/>
      <c r="IZ5" s="244"/>
      <c r="JA5" s="244"/>
      <c r="JB5" s="244"/>
      <c r="JC5" s="244"/>
      <c r="JD5" s="244"/>
      <c r="JE5" s="244"/>
      <c r="JF5" s="244"/>
      <c r="JG5" s="244"/>
      <c r="JH5" s="244"/>
      <c r="JI5" s="244"/>
      <c r="JJ5" s="244"/>
      <c r="JK5" s="244"/>
      <c r="JL5" s="244"/>
      <c r="JM5" s="244"/>
      <c r="JN5" s="244"/>
      <c r="JO5" s="244"/>
      <c r="JP5" s="244"/>
      <c r="JQ5" s="244"/>
      <c r="JR5" s="244"/>
      <c r="JS5" s="244"/>
      <c r="JT5" s="244"/>
      <c r="JU5" s="244"/>
      <c r="JV5" s="244"/>
      <c r="JW5" s="244"/>
      <c r="JX5" s="244"/>
      <c r="JY5" s="244"/>
      <c r="JZ5" s="244"/>
      <c r="KA5" s="244"/>
      <c r="KB5" s="244"/>
      <c r="KC5" s="244"/>
      <c r="KD5" s="244"/>
      <c r="KE5" s="244"/>
      <c r="KF5" s="244"/>
      <c r="KG5" s="244"/>
      <c r="KH5" s="244"/>
      <c r="KI5" s="244"/>
      <c r="KJ5" s="244"/>
      <c r="KK5" s="244"/>
      <c r="KL5" s="244"/>
      <c r="KM5" s="244"/>
      <c r="KN5" s="244"/>
      <c r="KO5" s="244"/>
      <c r="KP5" s="244"/>
      <c r="KQ5" s="244"/>
      <c r="KR5" s="244"/>
      <c r="KS5" s="244"/>
      <c r="KT5" s="244"/>
      <c r="KU5" s="244"/>
      <c r="KV5" s="244"/>
      <c r="KW5" s="244"/>
      <c r="KX5" s="244"/>
      <c r="KY5" s="244"/>
      <c r="KZ5" s="244"/>
      <c r="LA5" s="244"/>
      <c r="LB5" s="244"/>
      <c r="LC5" s="244"/>
      <c r="LD5" s="244"/>
      <c r="LE5" s="244"/>
      <c r="LF5" s="244"/>
      <c r="LG5" s="244"/>
      <c r="LH5" s="244"/>
      <c r="LI5" s="244"/>
      <c r="LJ5" s="244"/>
      <c r="LK5" s="244"/>
      <c r="LL5" s="244"/>
      <c r="LM5" s="244"/>
      <c r="LN5" s="244"/>
      <c r="LO5" s="244"/>
      <c r="LP5" s="245"/>
      <c r="LQ5" s="37"/>
      <c r="LR5" s="36"/>
    </row>
    <row r="6" spans="3:354" s="35" customFormat="1" ht="6.75" customHeight="1" x14ac:dyDescent="0.3">
      <c r="C6" s="39"/>
      <c r="D6" s="38"/>
      <c r="E6" s="246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8"/>
      <c r="LQ6" s="37"/>
      <c r="LR6" s="36"/>
    </row>
    <row r="7" spans="3:354" s="35" customFormat="1" ht="6.75" customHeight="1" x14ac:dyDescent="0.3">
      <c r="C7" s="39"/>
      <c r="D7" s="38"/>
      <c r="E7" s="246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8"/>
      <c r="LQ7" s="37"/>
      <c r="LR7" s="36"/>
    </row>
    <row r="8" spans="3:354" s="35" customFormat="1" ht="6.75" customHeight="1" x14ac:dyDescent="0.3">
      <c r="C8" s="39"/>
      <c r="D8" s="38"/>
      <c r="E8" s="24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8"/>
      <c r="LQ8" s="37"/>
      <c r="LR8" s="36"/>
      <c r="LS8" s="41"/>
      <c r="LT8" s="41"/>
      <c r="LU8" s="41"/>
      <c r="LV8" s="41"/>
      <c r="MK8" s="41"/>
      <c r="ML8" s="41"/>
      <c r="MM8" s="41"/>
      <c r="MN8" s="41"/>
      <c r="MO8" s="41"/>
    </row>
    <row r="9" spans="3:354" s="35" customFormat="1" ht="6.75" customHeight="1" x14ac:dyDescent="0.3">
      <c r="C9" s="39"/>
      <c r="D9" s="38"/>
      <c r="E9" s="246" t="s">
        <v>18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8"/>
      <c r="LQ9" s="37"/>
      <c r="LR9" s="36"/>
      <c r="LS9" s="41"/>
      <c r="LT9" s="41"/>
      <c r="LU9" s="41"/>
      <c r="LV9" s="41"/>
      <c r="LW9" s="40"/>
      <c r="MK9" s="41"/>
      <c r="ML9" s="41"/>
      <c r="MM9" s="41"/>
      <c r="MN9" s="41"/>
      <c r="MO9" s="41"/>
      <c r="MP9" s="40"/>
    </row>
    <row r="10" spans="3:354" s="35" customFormat="1" ht="6.75" customHeight="1" x14ac:dyDescent="0.3">
      <c r="C10" s="39"/>
      <c r="D10" s="38"/>
      <c r="E10" s="24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8"/>
      <c r="LQ10" s="37"/>
      <c r="LR10" s="36"/>
      <c r="LS10" s="41"/>
      <c r="LT10" s="41"/>
      <c r="LU10" s="41"/>
      <c r="LV10" s="41"/>
      <c r="LW10" s="40"/>
      <c r="MK10" s="41"/>
      <c r="ML10" s="41"/>
      <c r="MM10" s="41"/>
      <c r="MN10" s="41"/>
      <c r="MO10" s="41"/>
      <c r="MP10" s="40"/>
    </row>
    <row r="11" spans="3:354" s="35" customFormat="1" ht="6.75" customHeight="1" x14ac:dyDescent="0.3">
      <c r="C11" s="39"/>
      <c r="D11" s="38"/>
      <c r="E11" s="246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8"/>
      <c r="LQ11" s="37"/>
      <c r="LR11" s="36"/>
    </row>
    <row r="12" spans="3:354" s="35" customFormat="1" ht="6.75" customHeight="1" x14ac:dyDescent="0.3">
      <c r="C12" s="39"/>
      <c r="D12" s="38"/>
      <c r="E12" s="246" t="s">
        <v>17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8"/>
      <c r="LQ12" s="37"/>
      <c r="LR12" s="36"/>
    </row>
    <row r="13" spans="3:354" s="35" customFormat="1" ht="6.75" customHeight="1" x14ac:dyDescent="0.3">
      <c r="C13" s="39"/>
      <c r="D13" s="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8"/>
      <c r="LQ13" s="37"/>
      <c r="LR13" s="36"/>
    </row>
    <row r="14" spans="3:354" s="35" customFormat="1" ht="6.75" customHeight="1" x14ac:dyDescent="0.3">
      <c r="C14" s="39"/>
      <c r="D14" s="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8"/>
      <c r="LQ14" s="37"/>
      <c r="LR14" s="36"/>
    </row>
    <row r="15" spans="3:354" s="35" customFormat="1" ht="6.75" customHeight="1" thickBot="1" x14ac:dyDescent="0.35">
      <c r="C15" s="39"/>
      <c r="D15" s="38"/>
      <c r="E15" s="249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  <c r="HK15" s="250"/>
      <c r="HL15" s="250"/>
      <c r="HM15" s="250"/>
      <c r="HN15" s="250"/>
      <c r="HO15" s="250"/>
      <c r="HP15" s="250"/>
      <c r="HQ15" s="250"/>
      <c r="HR15" s="250"/>
      <c r="HS15" s="250"/>
      <c r="HT15" s="250"/>
      <c r="HU15" s="250"/>
      <c r="HV15" s="250"/>
      <c r="HW15" s="250"/>
      <c r="HX15" s="250"/>
      <c r="HY15" s="250"/>
      <c r="HZ15" s="250"/>
      <c r="IA15" s="250"/>
      <c r="IB15" s="250"/>
      <c r="IC15" s="250"/>
      <c r="ID15" s="250"/>
      <c r="IE15" s="250"/>
      <c r="IF15" s="250"/>
      <c r="IG15" s="250"/>
      <c r="IH15" s="250"/>
      <c r="II15" s="250"/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F15" s="250"/>
      <c r="KG15" s="250"/>
      <c r="KH15" s="250"/>
      <c r="KI15" s="250"/>
      <c r="KJ15" s="250"/>
      <c r="KK15" s="250"/>
      <c r="KL15" s="250"/>
      <c r="KM15" s="250"/>
      <c r="KN15" s="250"/>
      <c r="KO15" s="250"/>
      <c r="KP15" s="250"/>
      <c r="KQ15" s="250"/>
      <c r="KR15" s="250"/>
      <c r="KS15" s="250"/>
      <c r="KT15" s="250"/>
      <c r="KU15" s="250"/>
      <c r="KV15" s="250"/>
      <c r="KW15" s="250"/>
      <c r="KX15" s="250"/>
      <c r="KY15" s="250"/>
      <c r="KZ15" s="250"/>
      <c r="LA15" s="250"/>
      <c r="LB15" s="250"/>
      <c r="LC15" s="250"/>
      <c r="LD15" s="250"/>
      <c r="LE15" s="250"/>
      <c r="LF15" s="250"/>
      <c r="LG15" s="250"/>
      <c r="LH15" s="250"/>
      <c r="LI15" s="250"/>
      <c r="LJ15" s="250"/>
      <c r="LK15" s="250"/>
      <c r="LL15" s="250"/>
      <c r="LM15" s="250"/>
      <c r="LN15" s="250"/>
      <c r="LO15" s="250"/>
      <c r="LP15" s="251"/>
      <c r="LQ15" s="37"/>
      <c r="LR15" s="36"/>
    </row>
    <row r="16" spans="3:354" ht="5.0999999999999996" customHeight="1" x14ac:dyDescent="0.3">
      <c r="C16" s="11"/>
      <c r="D16" s="1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12"/>
      <c r="LR16" s="7"/>
    </row>
    <row r="17" spans="3:330" ht="5.0999999999999996" customHeight="1" x14ac:dyDescent="0.3">
      <c r="C17" s="11"/>
      <c r="D17" s="1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12"/>
      <c r="LR17" s="7"/>
    </row>
    <row r="18" spans="3:330" ht="5.0999999999999996" customHeight="1" x14ac:dyDescent="0.3">
      <c r="C18" s="11"/>
      <c r="D18" s="1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R18" s="216" t="s">
        <v>61</v>
      </c>
      <c r="DS18" s="217"/>
      <c r="DT18" s="217"/>
      <c r="DU18" s="217"/>
      <c r="DV18" s="217"/>
      <c r="DW18" s="217"/>
      <c r="DX18" s="217"/>
      <c r="DY18" s="217"/>
      <c r="DZ18" s="217"/>
      <c r="EA18" s="217"/>
      <c r="EB18" s="217"/>
      <c r="EC18" s="217"/>
      <c r="ED18" s="217"/>
      <c r="EE18" s="217"/>
      <c r="EF18" s="217"/>
      <c r="EG18" s="217"/>
      <c r="EH18" s="217"/>
      <c r="EI18" s="217"/>
      <c r="EJ18" s="217"/>
      <c r="EK18" s="217"/>
      <c r="EL18" s="217"/>
      <c r="EM18" s="217"/>
      <c r="EN18" s="217"/>
      <c r="EO18" s="217"/>
      <c r="EP18" s="217"/>
      <c r="EQ18" s="217"/>
      <c r="ER18" s="217"/>
      <c r="ES18" s="217"/>
      <c r="ET18" s="217"/>
      <c r="EU18" s="217"/>
      <c r="EV18" s="217"/>
      <c r="EW18" s="217"/>
      <c r="EX18" s="217"/>
      <c r="EY18" s="217"/>
      <c r="EZ18" s="217"/>
      <c r="FA18" s="217"/>
      <c r="FB18" s="217"/>
      <c r="FC18" s="217"/>
      <c r="FD18" s="217"/>
      <c r="FE18" s="217"/>
      <c r="FF18" s="252"/>
      <c r="FG18" s="255">
        <v>1</v>
      </c>
      <c r="FH18" s="255"/>
      <c r="FI18" s="255"/>
      <c r="FJ18" s="255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12"/>
      <c r="LR18" s="7"/>
    </row>
    <row r="19" spans="3:330" ht="5.0999999999999996" customHeight="1" x14ac:dyDescent="0.3">
      <c r="C19" s="11"/>
      <c r="D19" s="1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R19" s="219"/>
      <c r="DS19" s="220"/>
      <c r="DT19" s="220"/>
      <c r="DU19" s="220"/>
      <c r="DV19" s="220"/>
      <c r="DW19" s="220"/>
      <c r="DX19" s="220"/>
      <c r="DY19" s="220"/>
      <c r="DZ19" s="220"/>
      <c r="EA19" s="220"/>
      <c r="EB19" s="220"/>
      <c r="EC19" s="220"/>
      <c r="ED19" s="220"/>
      <c r="EE19" s="220"/>
      <c r="EF19" s="220"/>
      <c r="EG19" s="220"/>
      <c r="EH19" s="220"/>
      <c r="EI19" s="220"/>
      <c r="EJ19" s="220"/>
      <c r="EK19" s="220"/>
      <c r="EL19" s="220"/>
      <c r="EM19" s="220"/>
      <c r="EN19" s="220"/>
      <c r="EO19" s="220"/>
      <c r="EP19" s="220"/>
      <c r="EQ19" s="220"/>
      <c r="ER19" s="220"/>
      <c r="ES19" s="220"/>
      <c r="ET19" s="220"/>
      <c r="EU19" s="220"/>
      <c r="EV19" s="220"/>
      <c r="EW19" s="220"/>
      <c r="EX19" s="220"/>
      <c r="EY19" s="220"/>
      <c r="EZ19" s="220"/>
      <c r="FA19" s="220"/>
      <c r="FB19" s="220"/>
      <c r="FC19" s="220"/>
      <c r="FD19" s="220"/>
      <c r="FE19" s="220"/>
      <c r="FF19" s="253"/>
      <c r="FG19" s="255"/>
      <c r="FH19" s="255"/>
      <c r="FI19" s="255"/>
      <c r="FJ19" s="255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12"/>
      <c r="LR19" s="7"/>
    </row>
    <row r="20" spans="3:330" ht="5.0999999999999996" customHeight="1" x14ac:dyDescent="0.3">
      <c r="C20" s="11"/>
      <c r="D20" s="1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R20" s="219"/>
      <c r="DS20" s="220"/>
      <c r="DT20" s="220"/>
      <c r="DU20" s="220"/>
      <c r="DV20" s="220"/>
      <c r="DW20" s="220"/>
      <c r="DX20" s="220"/>
      <c r="DY20" s="220"/>
      <c r="DZ20" s="220"/>
      <c r="EA20" s="220"/>
      <c r="EB20" s="220"/>
      <c r="EC20" s="220"/>
      <c r="ED20" s="220"/>
      <c r="EE20" s="220"/>
      <c r="EF20" s="220"/>
      <c r="EG20" s="220"/>
      <c r="EH20" s="220"/>
      <c r="EI20" s="220"/>
      <c r="EJ20" s="220"/>
      <c r="EK20" s="220"/>
      <c r="EL20" s="220"/>
      <c r="EM20" s="220"/>
      <c r="EN20" s="220"/>
      <c r="EO20" s="220"/>
      <c r="EP20" s="220"/>
      <c r="EQ20" s="220"/>
      <c r="ER20" s="220"/>
      <c r="ES20" s="220"/>
      <c r="ET20" s="220"/>
      <c r="EU20" s="220"/>
      <c r="EV20" s="220"/>
      <c r="EW20" s="220"/>
      <c r="EX20" s="220"/>
      <c r="EY20" s="220"/>
      <c r="EZ20" s="220"/>
      <c r="FA20" s="220"/>
      <c r="FB20" s="220"/>
      <c r="FC20" s="220"/>
      <c r="FD20" s="220"/>
      <c r="FE20" s="220"/>
      <c r="FF20" s="253"/>
      <c r="FG20" s="255"/>
      <c r="FH20" s="255"/>
      <c r="FI20" s="255"/>
      <c r="FJ20" s="255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12"/>
      <c r="LR20" s="7"/>
    </row>
    <row r="21" spans="3:330" ht="5.0999999999999996" customHeight="1" x14ac:dyDescent="0.3">
      <c r="C21" s="11"/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R21" s="219"/>
      <c r="DS21" s="220"/>
      <c r="DT21" s="220"/>
      <c r="DU21" s="220"/>
      <c r="DV21" s="220"/>
      <c r="DW21" s="220"/>
      <c r="DX21" s="220"/>
      <c r="DY21" s="220"/>
      <c r="DZ21" s="220"/>
      <c r="EA21" s="220"/>
      <c r="EB21" s="220"/>
      <c r="EC21" s="220"/>
      <c r="ED21" s="220"/>
      <c r="EE21" s="220"/>
      <c r="EF21" s="220"/>
      <c r="EG21" s="220"/>
      <c r="EH21" s="220"/>
      <c r="EI21" s="220"/>
      <c r="EJ21" s="220"/>
      <c r="EK21" s="220"/>
      <c r="EL21" s="220"/>
      <c r="EM21" s="220"/>
      <c r="EN21" s="220"/>
      <c r="EO21" s="220"/>
      <c r="EP21" s="220"/>
      <c r="EQ21" s="220"/>
      <c r="ER21" s="220"/>
      <c r="ES21" s="220"/>
      <c r="ET21" s="220"/>
      <c r="EU21" s="220"/>
      <c r="EV21" s="220"/>
      <c r="EW21" s="220"/>
      <c r="EX21" s="220"/>
      <c r="EY21" s="220"/>
      <c r="EZ21" s="220"/>
      <c r="FA21" s="220"/>
      <c r="FB21" s="220"/>
      <c r="FC21" s="220"/>
      <c r="FD21" s="220"/>
      <c r="FE21" s="220"/>
      <c r="FF21" s="253"/>
      <c r="FG21" s="255"/>
      <c r="FH21" s="255"/>
      <c r="FI21" s="255"/>
      <c r="FJ21" s="255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12"/>
      <c r="LR21" s="7"/>
    </row>
    <row r="22" spans="3:330" ht="5.0999999999999996" customHeight="1" x14ac:dyDescent="0.3">
      <c r="C22" s="11"/>
      <c r="D22" s="1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R22" s="219"/>
      <c r="DS22" s="220"/>
      <c r="DT22" s="220"/>
      <c r="DU22" s="220"/>
      <c r="DV22" s="220"/>
      <c r="DW22" s="220"/>
      <c r="DX22" s="220"/>
      <c r="DY22" s="220"/>
      <c r="DZ22" s="220"/>
      <c r="EA22" s="220"/>
      <c r="EB22" s="220"/>
      <c r="EC22" s="220"/>
      <c r="ED22" s="220"/>
      <c r="EE22" s="220"/>
      <c r="EF22" s="220"/>
      <c r="EG22" s="220"/>
      <c r="EH22" s="220"/>
      <c r="EI22" s="220"/>
      <c r="EJ22" s="220"/>
      <c r="EK22" s="220"/>
      <c r="EL22" s="220"/>
      <c r="EM22" s="220"/>
      <c r="EN22" s="220"/>
      <c r="EO22" s="220"/>
      <c r="EP22" s="220"/>
      <c r="EQ22" s="220"/>
      <c r="ER22" s="220"/>
      <c r="ES22" s="220"/>
      <c r="ET22" s="220"/>
      <c r="EU22" s="220"/>
      <c r="EV22" s="220"/>
      <c r="EW22" s="220"/>
      <c r="EX22" s="220"/>
      <c r="EY22" s="220"/>
      <c r="EZ22" s="220"/>
      <c r="FA22" s="220"/>
      <c r="FB22" s="220"/>
      <c r="FC22" s="220"/>
      <c r="FD22" s="220"/>
      <c r="FE22" s="220"/>
      <c r="FF22" s="253"/>
      <c r="FG22" s="255"/>
      <c r="FH22" s="255"/>
      <c r="FI22" s="255"/>
      <c r="FJ22" s="255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12"/>
      <c r="LR22" s="7"/>
    </row>
    <row r="23" spans="3:330" ht="5.0999999999999996" customHeight="1" x14ac:dyDescent="0.3">
      <c r="C23" s="11"/>
      <c r="D23" s="1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R23" s="219"/>
      <c r="DS23" s="220"/>
      <c r="DT23" s="220"/>
      <c r="DU23" s="220"/>
      <c r="DV23" s="220"/>
      <c r="DW23" s="220"/>
      <c r="DX23" s="220"/>
      <c r="DY23" s="220"/>
      <c r="DZ23" s="220"/>
      <c r="EA23" s="220"/>
      <c r="EB23" s="220"/>
      <c r="EC23" s="220"/>
      <c r="ED23" s="220"/>
      <c r="EE23" s="220"/>
      <c r="EF23" s="220"/>
      <c r="EG23" s="220"/>
      <c r="EH23" s="220"/>
      <c r="EI23" s="220"/>
      <c r="EJ23" s="220"/>
      <c r="EK23" s="220"/>
      <c r="EL23" s="220"/>
      <c r="EM23" s="220"/>
      <c r="EN23" s="220"/>
      <c r="EO23" s="220"/>
      <c r="EP23" s="220"/>
      <c r="EQ23" s="220"/>
      <c r="ER23" s="220"/>
      <c r="ES23" s="220"/>
      <c r="ET23" s="220"/>
      <c r="EU23" s="220"/>
      <c r="EV23" s="220"/>
      <c r="EW23" s="220"/>
      <c r="EX23" s="220"/>
      <c r="EY23" s="220"/>
      <c r="EZ23" s="220"/>
      <c r="FA23" s="220"/>
      <c r="FB23" s="220"/>
      <c r="FC23" s="220"/>
      <c r="FD23" s="220"/>
      <c r="FE23" s="220"/>
      <c r="FF23" s="253"/>
      <c r="FG23" s="255"/>
      <c r="FH23" s="255"/>
      <c r="FI23" s="255"/>
      <c r="FJ23" s="255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12"/>
      <c r="LR23" s="7"/>
    </row>
    <row r="24" spans="3:330" ht="5.0999999999999996" customHeight="1" x14ac:dyDescent="0.3">
      <c r="C24" s="11"/>
      <c r="D24" s="1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R24" s="219"/>
      <c r="DS24" s="220"/>
      <c r="DT24" s="220"/>
      <c r="DU24" s="220"/>
      <c r="DV24" s="220"/>
      <c r="DW24" s="220"/>
      <c r="DX24" s="220"/>
      <c r="DY24" s="220"/>
      <c r="DZ24" s="220"/>
      <c r="EA24" s="220"/>
      <c r="EB24" s="220"/>
      <c r="EC24" s="220"/>
      <c r="ED24" s="220"/>
      <c r="EE24" s="220"/>
      <c r="EF24" s="220"/>
      <c r="EG24" s="220"/>
      <c r="EH24" s="220"/>
      <c r="EI24" s="220"/>
      <c r="EJ24" s="220"/>
      <c r="EK24" s="220"/>
      <c r="EL24" s="220"/>
      <c r="EM24" s="220"/>
      <c r="EN24" s="220"/>
      <c r="EO24" s="220"/>
      <c r="EP24" s="220"/>
      <c r="EQ24" s="220"/>
      <c r="ER24" s="220"/>
      <c r="ES24" s="220"/>
      <c r="ET24" s="220"/>
      <c r="EU24" s="220"/>
      <c r="EV24" s="220"/>
      <c r="EW24" s="220"/>
      <c r="EX24" s="220"/>
      <c r="EY24" s="220"/>
      <c r="EZ24" s="220"/>
      <c r="FA24" s="220"/>
      <c r="FB24" s="220"/>
      <c r="FC24" s="220"/>
      <c r="FD24" s="220"/>
      <c r="FE24" s="220"/>
      <c r="FF24" s="253"/>
      <c r="FG24" s="255"/>
      <c r="FH24" s="255"/>
      <c r="FI24" s="255"/>
      <c r="FJ24" s="255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12"/>
      <c r="LR24" s="7"/>
    </row>
    <row r="25" spans="3:330" ht="5.0999999999999996" customHeight="1" x14ac:dyDescent="0.3">
      <c r="C25" s="11"/>
      <c r="D25" s="1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DR25" s="219"/>
      <c r="DS25" s="220"/>
      <c r="DT25" s="220"/>
      <c r="DU25" s="220"/>
      <c r="DV25" s="220"/>
      <c r="DW25" s="220"/>
      <c r="DX25" s="220"/>
      <c r="DY25" s="220"/>
      <c r="DZ25" s="220"/>
      <c r="EA25" s="220"/>
      <c r="EB25" s="220"/>
      <c r="EC25" s="220"/>
      <c r="ED25" s="220"/>
      <c r="EE25" s="220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D25" s="220"/>
      <c r="FE25" s="220"/>
      <c r="FF25" s="253"/>
      <c r="FG25" s="255"/>
      <c r="FH25" s="255"/>
      <c r="FI25" s="255"/>
      <c r="FJ25" s="255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156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12"/>
      <c r="LR25" s="7"/>
    </row>
    <row r="26" spans="3:330" ht="5.0999999999999996" customHeight="1" x14ac:dyDescent="0.3">
      <c r="C26" s="11"/>
      <c r="D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DR26" s="222"/>
      <c r="DS26" s="223"/>
      <c r="DT26" s="223"/>
      <c r="DU26" s="223"/>
      <c r="DV26" s="223"/>
      <c r="DW26" s="223"/>
      <c r="DX26" s="223"/>
      <c r="DY26" s="223"/>
      <c r="DZ26" s="223"/>
      <c r="EA26" s="223"/>
      <c r="EB26" s="223"/>
      <c r="EC26" s="223"/>
      <c r="ED26" s="223"/>
      <c r="EE26" s="223"/>
      <c r="EF26" s="223"/>
      <c r="EG26" s="223"/>
      <c r="EH26" s="223"/>
      <c r="EI26" s="223"/>
      <c r="EJ26" s="223"/>
      <c r="EK26" s="223"/>
      <c r="EL26" s="223"/>
      <c r="EM26" s="223"/>
      <c r="EN26" s="223"/>
      <c r="EO26" s="223"/>
      <c r="EP26" s="223"/>
      <c r="EQ26" s="223"/>
      <c r="ER26" s="223"/>
      <c r="ES26" s="223"/>
      <c r="ET26" s="223"/>
      <c r="EU26" s="223"/>
      <c r="EV26" s="223"/>
      <c r="EW26" s="223"/>
      <c r="EX26" s="223"/>
      <c r="EY26" s="223"/>
      <c r="EZ26" s="223"/>
      <c r="FA26" s="223"/>
      <c r="FB26" s="223"/>
      <c r="FC26" s="223"/>
      <c r="FD26" s="223"/>
      <c r="FE26" s="223"/>
      <c r="FF26" s="254"/>
      <c r="FG26" s="255"/>
      <c r="FH26" s="255"/>
      <c r="FI26" s="255"/>
      <c r="FJ26" s="255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156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12"/>
      <c r="LR26" s="7"/>
    </row>
    <row r="27" spans="3:330" ht="5.0999999999999996" customHeight="1" x14ac:dyDescent="0.3">
      <c r="C27" s="11"/>
      <c r="D27" s="1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4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156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12"/>
      <c r="LR27" s="7"/>
    </row>
    <row r="28" spans="3:330" ht="5.0999999999999996" customHeight="1" x14ac:dyDescent="0.3">
      <c r="C28" s="11"/>
      <c r="D28" s="13"/>
      <c r="E28" s="33"/>
      <c r="F28" s="33"/>
      <c r="G28" s="33"/>
      <c r="H28" s="33"/>
      <c r="I28" s="33"/>
      <c r="J28" s="33"/>
      <c r="K28" s="33"/>
      <c r="L28" s="33"/>
      <c r="M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4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156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12"/>
      <c r="LR28" s="7"/>
    </row>
    <row r="29" spans="3:330" ht="5.0999999999999996" customHeight="1" x14ac:dyDescent="0.3">
      <c r="C29" s="11"/>
      <c r="D29" s="13"/>
      <c r="EL29" s="16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Y29" s="32"/>
      <c r="FZ29" s="32"/>
      <c r="IZ29" s="33"/>
      <c r="JA29" s="33"/>
      <c r="JB29" s="33"/>
      <c r="JC29" s="33"/>
      <c r="JD29" s="33"/>
      <c r="JE29" s="33"/>
      <c r="JF29" s="33"/>
      <c r="JG29" s="33"/>
      <c r="JH29" s="156"/>
      <c r="JI29" s="33"/>
      <c r="JJ29" s="33"/>
      <c r="LQ29" s="12"/>
      <c r="LR29" s="7"/>
    </row>
    <row r="30" spans="3:330" ht="5.0999999999999996" customHeight="1" x14ac:dyDescent="0.3">
      <c r="C30" s="11"/>
      <c r="D30" s="13"/>
      <c r="EL30" s="16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Y30" s="32"/>
      <c r="FZ30" s="32"/>
      <c r="JH30" s="155"/>
      <c r="LQ30" s="12"/>
      <c r="LR30" s="7"/>
    </row>
    <row r="31" spans="3:330" ht="5.0999999999999996" customHeight="1" x14ac:dyDescent="0.3">
      <c r="C31" s="11"/>
      <c r="D31" s="13"/>
      <c r="EL31" s="16"/>
      <c r="JH31" s="155"/>
      <c r="LQ31" s="12"/>
      <c r="LR31" s="7"/>
    </row>
    <row r="32" spans="3:330" ht="5.0999999999999996" customHeight="1" thickBot="1" x14ac:dyDescent="0.35">
      <c r="C32" s="11"/>
      <c r="D32" s="13"/>
      <c r="EL32" s="23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HC32" s="31"/>
      <c r="HD32" s="31"/>
      <c r="JH32" s="155"/>
      <c r="LQ32" s="12"/>
      <c r="LR32" s="7"/>
    </row>
    <row r="33" spans="3:330" ht="5.0999999999999996" customHeight="1" x14ac:dyDescent="0.3">
      <c r="C33" s="11"/>
      <c r="D33" s="13"/>
      <c r="EL33" s="22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0"/>
      <c r="JH33" s="155"/>
      <c r="LQ33" s="12"/>
      <c r="LR33" s="7"/>
    </row>
    <row r="34" spans="3:330" ht="5.0999999999999996" customHeight="1" x14ac:dyDescent="0.3">
      <c r="C34" s="11"/>
      <c r="D34" s="13"/>
      <c r="EL34" s="16"/>
      <c r="HZ34" s="19"/>
      <c r="JH34" s="155"/>
      <c r="LQ34" s="12"/>
      <c r="LR34" s="7"/>
    </row>
    <row r="35" spans="3:330" ht="5.0999999999999996" customHeight="1" x14ac:dyDescent="0.3">
      <c r="C35" s="11"/>
      <c r="D35" s="13"/>
      <c r="AE35" s="33"/>
      <c r="AF35" s="33"/>
      <c r="AG35" s="33"/>
      <c r="AH35" s="33"/>
      <c r="AI35" s="33"/>
      <c r="AJ35" s="33"/>
      <c r="AK35" s="33"/>
      <c r="AL35" s="33"/>
      <c r="EL35" s="16"/>
      <c r="HZ35" s="19"/>
      <c r="JH35" s="155"/>
      <c r="LQ35" s="12"/>
      <c r="LR35" s="7"/>
    </row>
    <row r="36" spans="3:330" ht="3.75" customHeight="1" x14ac:dyDescent="0.3">
      <c r="C36" s="11"/>
      <c r="D36" s="13"/>
      <c r="AE36" s="33"/>
      <c r="AF36" s="33"/>
      <c r="AG36" s="33"/>
      <c r="AH36" s="33"/>
      <c r="AI36" s="33"/>
      <c r="AJ36" s="33"/>
      <c r="AK36" s="33"/>
      <c r="AL36" s="33"/>
      <c r="DR36" s="216" t="s">
        <v>155</v>
      </c>
      <c r="DS36" s="217"/>
      <c r="DT36" s="217"/>
      <c r="DU36" s="217"/>
      <c r="DV36" s="217"/>
      <c r="DW36" s="217"/>
      <c r="DX36" s="217"/>
      <c r="DY36" s="217"/>
      <c r="DZ36" s="217"/>
      <c r="EA36" s="217"/>
      <c r="EB36" s="217"/>
      <c r="EC36" s="217"/>
      <c r="ED36" s="217"/>
      <c r="EE36" s="217"/>
      <c r="EF36" s="217"/>
      <c r="EG36" s="217"/>
      <c r="EH36" s="217"/>
      <c r="EI36" s="217"/>
      <c r="EJ36" s="217"/>
      <c r="EK36" s="217"/>
      <c r="EL36" s="217"/>
      <c r="EM36" s="217"/>
      <c r="EN36" s="217"/>
      <c r="EO36" s="217"/>
      <c r="EP36" s="217"/>
      <c r="EQ36" s="217"/>
      <c r="ER36" s="217"/>
      <c r="ES36" s="217"/>
      <c r="ET36" s="217"/>
      <c r="EU36" s="217"/>
      <c r="EV36" s="217"/>
      <c r="EW36" s="217"/>
      <c r="EX36" s="217"/>
      <c r="EY36" s="217"/>
      <c r="EZ36" s="217"/>
      <c r="FA36" s="217"/>
      <c r="FB36" s="217"/>
      <c r="FC36" s="217"/>
      <c r="FD36" s="217"/>
      <c r="FE36" s="217"/>
      <c r="FF36" s="252"/>
      <c r="FG36" s="255">
        <v>1</v>
      </c>
      <c r="FH36" s="255"/>
      <c r="FI36" s="255"/>
      <c r="FJ36" s="255"/>
      <c r="HZ36" s="19"/>
      <c r="IZ36" s="33"/>
      <c r="JA36" s="33"/>
      <c r="JB36" s="33"/>
      <c r="JC36" s="33"/>
      <c r="JD36" s="33"/>
      <c r="JE36" s="33"/>
      <c r="JF36" s="33"/>
      <c r="JG36" s="33"/>
      <c r="JH36" s="156"/>
      <c r="JI36" s="33"/>
      <c r="JJ36" s="33"/>
      <c r="LQ36" s="12"/>
      <c r="LR36" s="7"/>
    </row>
    <row r="37" spans="3:330" ht="5.0999999999999996" customHeight="1" x14ac:dyDescent="0.3">
      <c r="C37" s="11"/>
      <c r="D37" s="13"/>
      <c r="AE37" s="33"/>
      <c r="AF37" s="33"/>
      <c r="AG37" s="33"/>
      <c r="AH37" s="33"/>
      <c r="AI37" s="33"/>
      <c r="AJ37" s="33"/>
      <c r="AK37" s="33"/>
      <c r="AL37" s="33"/>
      <c r="DR37" s="219"/>
      <c r="DS37" s="220"/>
      <c r="DT37" s="220"/>
      <c r="DU37" s="220"/>
      <c r="DV37" s="220"/>
      <c r="DW37" s="220"/>
      <c r="DX37" s="220"/>
      <c r="DY37" s="220"/>
      <c r="DZ37" s="220"/>
      <c r="EA37" s="220"/>
      <c r="EB37" s="220"/>
      <c r="EC37" s="220"/>
      <c r="ED37" s="220"/>
      <c r="EE37" s="220"/>
      <c r="EF37" s="220"/>
      <c r="EG37" s="220"/>
      <c r="EH37" s="220"/>
      <c r="EI37" s="220"/>
      <c r="EJ37" s="220"/>
      <c r="EK37" s="220"/>
      <c r="EL37" s="220"/>
      <c r="EM37" s="220"/>
      <c r="EN37" s="220"/>
      <c r="EO37" s="220"/>
      <c r="EP37" s="220"/>
      <c r="EQ37" s="220"/>
      <c r="ER37" s="220"/>
      <c r="ES37" s="220"/>
      <c r="ET37" s="220"/>
      <c r="EU37" s="220"/>
      <c r="EV37" s="220"/>
      <c r="EW37" s="220"/>
      <c r="EX37" s="220"/>
      <c r="EY37" s="220"/>
      <c r="EZ37" s="220"/>
      <c r="FA37" s="220"/>
      <c r="FB37" s="220"/>
      <c r="FC37" s="220"/>
      <c r="FD37" s="220"/>
      <c r="FE37" s="220"/>
      <c r="FF37" s="253"/>
      <c r="FG37" s="255"/>
      <c r="FH37" s="255"/>
      <c r="FI37" s="255"/>
      <c r="FJ37" s="255"/>
      <c r="HC37" s="256" t="s">
        <v>15</v>
      </c>
      <c r="HD37" s="257"/>
      <c r="HE37" s="257"/>
      <c r="HF37" s="257"/>
      <c r="HG37" s="257"/>
      <c r="HH37" s="257"/>
      <c r="HI37" s="257"/>
      <c r="HJ37" s="257"/>
      <c r="HK37" s="257"/>
      <c r="HL37" s="257"/>
      <c r="HM37" s="257"/>
      <c r="HN37" s="257"/>
      <c r="HO37" s="257"/>
      <c r="HP37" s="257"/>
      <c r="HQ37" s="257"/>
      <c r="HR37" s="257"/>
      <c r="HS37" s="257"/>
      <c r="HT37" s="257"/>
      <c r="HU37" s="257"/>
      <c r="HV37" s="257"/>
      <c r="HW37" s="257"/>
      <c r="HX37" s="257"/>
      <c r="HY37" s="257"/>
      <c r="HZ37" s="257"/>
      <c r="IA37" s="257"/>
      <c r="IB37" s="257"/>
      <c r="IC37" s="257"/>
      <c r="ID37" s="257"/>
      <c r="IE37" s="257"/>
      <c r="IF37" s="257"/>
      <c r="IG37" s="257"/>
      <c r="IH37" s="257"/>
      <c r="II37" s="257"/>
      <c r="IJ37" s="257"/>
      <c r="IK37" s="257"/>
      <c r="IL37" s="257"/>
      <c r="IM37" s="257"/>
      <c r="IN37" s="257"/>
      <c r="IO37" s="257"/>
      <c r="IP37" s="257"/>
      <c r="IQ37" s="258"/>
      <c r="IR37" s="256">
        <f>SUM(IR48)</f>
        <v>2</v>
      </c>
      <c r="IS37" s="257"/>
      <c r="IT37" s="257"/>
      <c r="IU37" s="257"/>
      <c r="IV37" s="257"/>
      <c r="IW37" s="258"/>
      <c r="IZ37" s="33"/>
      <c r="JA37" s="33"/>
      <c r="JB37" s="33"/>
      <c r="JC37" s="33"/>
      <c r="JD37" s="33"/>
      <c r="JE37" s="33"/>
      <c r="JF37" s="33"/>
      <c r="JG37" s="33"/>
      <c r="JH37" s="156"/>
      <c r="JI37" s="33"/>
      <c r="JJ37" s="33"/>
      <c r="LQ37" s="12"/>
      <c r="LR37" s="7"/>
    </row>
    <row r="38" spans="3:330" ht="5.0999999999999996" customHeight="1" x14ac:dyDescent="0.3">
      <c r="C38" s="11"/>
      <c r="D38" s="13"/>
      <c r="DR38" s="219"/>
      <c r="DS38" s="220"/>
      <c r="DT38" s="220"/>
      <c r="DU38" s="220"/>
      <c r="DV38" s="220"/>
      <c r="DW38" s="220"/>
      <c r="DX38" s="220"/>
      <c r="DY38" s="220"/>
      <c r="DZ38" s="220"/>
      <c r="EA38" s="220"/>
      <c r="EB38" s="220"/>
      <c r="EC38" s="220"/>
      <c r="ED38" s="220"/>
      <c r="EE38" s="220"/>
      <c r="EF38" s="220"/>
      <c r="EG38" s="220"/>
      <c r="EH38" s="220"/>
      <c r="EI38" s="220"/>
      <c r="EJ38" s="220"/>
      <c r="EK38" s="220"/>
      <c r="EL38" s="220"/>
      <c r="EM38" s="220"/>
      <c r="EN38" s="220"/>
      <c r="EO38" s="220"/>
      <c r="EP38" s="220"/>
      <c r="EQ38" s="220"/>
      <c r="ER38" s="220"/>
      <c r="ES38" s="220"/>
      <c r="ET38" s="220"/>
      <c r="EU38" s="220"/>
      <c r="EV38" s="220"/>
      <c r="EW38" s="220"/>
      <c r="EX38" s="220"/>
      <c r="EY38" s="220"/>
      <c r="EZ38" s="220"/>
      <c r="FA38" s="220"/>
      <c r="FB38" s="220"/>
      <c r="FC38" s="220"/>
      <c r="FD38" s="220"/>
      <c r="FE38" s="220"/>
      <c r="FF38" s="253"/>
      <c r="FG38" s="255"/>
      <c r="FH38" s="255"/>
      <c r="FI38" s="255"/>
      <c r="FJ38" s="255"/>
      <c r="HC38" s="259"/>
      <c r="HD38" s="220"/>
      <c r="HE38" s="220"/>
      <c r="HF38" s="220"/>
      <c r="HG38" s="220"/>
      <c r="HH38" s="220"/>
      <c r="HI38" s="220"/>
      <c r="HJ38" s="220"/>
      <c r="HK38" s="220"/>
      <c r="HL38" s="220"/>
      <c r="HM38" s="220"/>
      <c r="HN38" s="220"/>
      <c r="HO38" s="220"/>
      <c r="HP38" s="220"/>
      <c r="HQ38" s="220"/>
      <c r="HR38" s="220"/>
      <c r="HS38" s="220"/>
      <c r="HT38" s="220"/>
      <c r="HU38" s="220"/>
      <c r="HV38" s="220"/>
      <c r="HW38" s="220"/>
      <c r="HX38" s="220"/>
      <c r="HY38" s="220"/>
      <c r="HZ38" s="220"/>
      <c r="IA38" s="220"/>
      <c r="IB38" s="220"/>
      <c r="IC38" s="220"/>
      <c r="ID38" s="220"/>
      <c r="IE38" s="220"/>
      <c r="IF38" s="220"/>
      <c r="IG38" s="220"/>
      <c r="IH38" s="220"/>
      <c r="II38" s="220"/>
      <c r="IJ38" s="220"/>
      <c r="IK38" s="220"/>
      <c r="IL38" s="220"/>
      <c r="IM38" s="220"/>
      <c r="IN38" s="220"/>
      <c r="IO38" s="220"/>
      <c r="IP38" s="220"/>
      <c r="IQ38" s="253"/>
      <c r="IR38" s="259"/>
      <c r="IS38" s="220"/>
      <c r="IT38" s="220"/>
      <c r="IU38" s="220"/>
      <c r="IV38" s="220"/>
      <c r="IW38" s="253"/>
      <c r="IZ38" s="33"/>
      <c r="JA38" s="33"/>
      <c r="JB38" s="33"/>
      <c r="JC38" s="33"/>
      <c r="JD38" s="33"/>
      <c r="JE38" s="33"/>
      <c r="JF38" s="33"/>
      <c r="JG38" s="33"/>
      <c r="JH38" s="156"/>
      <c r="JI38" s="33"/>
      <c r="JJ38" s="33"/>
      <c r="LQ38" s="12"/>
      <c r="LR38" s="7"/>
    </row>
    <row r="39" spans="3:330" ht="5.0999999999999996" customHeight="1" x14ac:dyDescent="0.3">
      <c r="C39" s="11"/>
      <c r="D39" s="13"/>
      <c r="DR39" s="219"/>
      <c r="DS39" s="220"/>
      <c r="DT39" s="220"/>
      <c r="DU39" s="220"/>
      <c r="DV39" s="220"/>
      <c r="DW39" s="220"/>
      <c r="DX39" s="220"/>
      <c r="DY39" s="220"/>
      <c r="DZ39" s="220"/>
      <c r="EA39" s="220"/>
      <c r="EB39" s="220"/>
      <c r="EC39" s="220"/>
      <c r="ED39" s="220"/>
      <c r="EE39" s="220"/>
      <c r="EF39" s="220"/>
      <c r="EG39" s="220"/>
      <c r="EH39" s="220"/>
      <c r="EI39" s="220"/>
      <c r="EJ39" s="220"/>
      <c r="EK39" s="220"/>
      <c r="EL39" s="220"/>
      <c r="EM39" s="220"/>
      <c r="EN39" s="220"/>
      <c r="EO39" s="220"/>
      <c r="EP39" s="220"/>
      <c r="EQ39" s="220"/>
      <c r="ER39" s="220"/>
      <c r="ES39" s="220"/>
      <c r="ET39" s="220"/>
      <c r="EU39" s="220"/>
      <c r="EV39" s="220"/>
      <c r="EW39" s="220"/>
      <c r="EX39" s="220"/>
      <c r="EY39" s="220"/>
      <c r="EZ39" s="220"/>
      <c r="FA39" s="220"/>
      <c r="FB39" s="220"/>
      <c r="FC39" s="220"/>
      <c r="FD39" s="220"/>
      <c r="FE39" s="220"/>
      <c r="FF39" s="253"/>
      <c r="FG39" s="255"/>
      <c r="FH39" s="255"/>
      <c r="FI39" s="255"/>
      <c r="FJ39" s="255"/>
      <c r="HC39" s="259"/>
      <c r="HD39" s="220"/>
      <c r="HE39" s="220"/>
      <c r="HF39" s="220"/>
      <c r="HG39" s="220"/>
      <c r="HH39" s="220"/>
      <c r="HI39" s="220"/>
      <c r="HJ39" s="220"/>
      <c r="HK39" s="220"/>
      <c r="HL39" s="220"/>
      <c r="HM39" s="220"/>
      <c r="HN39" s="220"/>
      <c r="HO39" s="220"/>
      <c r="HP39" s="220"/>
      <c r="HQ39" s="220"/>
      <c r="HR39" s="220"/>
      <c r="HS39" s="220"/>
      <c r="HT39" s="220"/>
      <c r="HU39" s="220"/>
      <c r="HV39" s="220"/>
      <c r="HW39" s="220"/>
      <c r="HX39" s="220"/>
      <c r="HY39" s="220"/>
      <c r="HZ39" s="220"/>
      <c r="IA39" s="220"/>
      <c r="IB39" s="220"/>
      <c r="IC39" s="220"/>
      <c r="ID39" s="220"/>
      <c r="IE39" s="220"/>
      <c r="IF39" s="220"/>
      <c r="IG39" s="220"/>
      <c r="IH39" s="220"/>
      <c r="II39" s="220"/>
      <c r="IJ39" s="220"/>
      <c r="IK39" s="220"/>
      <c r="IL39" s="220"/>
      <c r="IM39" s="220"/>
      <c r="IN39" s="220"/>
      <c r="IO39" s="220"/>
      <c r="IP39" s="220"/>
      <c r="IQ39" s="253"/>
      <c r="IR39" s="259"/>
      <c r="IS39" s="220"/>
      <c r="IT39" s="220"/>
      <c r="IU39" s="220"/>
      <c r="IV39" s="220"/>
      <c r="IW39" s="253"/>
      <c r="IZ39" s="33"/>
      <c r="JA39" s="33"/>
      <c r="JB39" s="33"/>
      <c r="JC39" s="33"/>
      <c r="JD39" s="33"/>
      <c r="JE39" s="33"/>
      <c r="JF39" s="33"/>
      <c r="JG39" s="33"/>
      <c r="JH39" s="156"/>
      <c r="JI39" s="33"/>
      <c r="JJ39" s="33"/>
      <c r="LQ39" s="12"/>
      <c r="LR39" s="7"/>
    </row>
    <row r="40" spans="3:330" ht="5.0999999999999996" customHeight="1" x14ac:dyDescent="0.3">
      <c r="C40" s="11"/>
      <c r="D40" s="13"/>
      <c r="DR40" s="219"/>
      <c r="DS40" s="220"/>
      <c r="DT40" s="220"/>
      <c r="DU40" s="220"/>
      <c r="DV40" s="220"/>
      <c r="DW40" s="220"/>
      <c r="DX40" s="220"/>
      <c r="DY40" s="220"/>
      <c r="DZ40" s="220"/>
      <c r="EA40" s="220"/>
      <c r="EB40" s="220"/>
      <c r="EC40" s="220"/>
      <c r="ED40" s="220"/>
      <c r="EE40" s="220"/>
      <c r="EF40" s="220"/>
      <c r="EG40" s="220"/>
      <c r="EH40" s="220"/>
      <c r="EI40" s="220"/>
      <c r="EJ40" s="220"/>
      <c r="EK40" s="220"/>
      <c r="EL40" s="220"/>
      <c r="EM40" s="220"/>
      <c r="EN40" s="220"/>
      <c r="EO40" s="220"/>
      <c r="EP40" s="220"/>
      <c r="EQ40" s="220"/>
      <c r="ER40" s="220"/>
      <c r="ES40" s="220"/>
      <c r="ET40" s="220"/>
      <c r="EU40" s="220"/>
      <c r="EV40" s="220"/>
      <c r="EW40" s="220"/>
      <c r="EX40" s="220"/>
      <c r="EY40" s="220"/>
      <c r="EZ40" s="220"/>
      <c r="FA40" s="220"/>
      <c r="FB40" s="220"/>
      <c r="FC40" s="220"/>
      <c r="FD40" s="220"/>
      <c r="FE40" s="220"/>
      <c r="FF40" s="253"/>
      <c r="FG40" s="255"/>
      <c r="FH40" s="255"/>
      <c r="FI40" s="255"/>
      <c r="FJ40" s="255"/>
      <c r="HC40" s="259"/>
      <c r="HD40" s="220"/>
      <c r="HE40" s="220"/>
      <c r="HF40" s="220"/>
      <c r="HG40" s="220"/>
      <c r="HH40" s="220"/>
      <c r="HI40" s="220"/>
      <c r="HJ40" s="220"/>
      <c r="HK40" s="220"/>
      <c r="HL40" s="220"/>
      <c r="HM40" s="220"/>
      <c r="HN40" s="220"/>
      <c r="HO40" s="220"/>
      <c r="HP40" s="220"/>
      <c r="HQ40" s="220"/>
      <c r="HR40" s="220"/>
      <c r="HS40" s="220"/>
      <c r="HT40" s="220"/>
      <c r="HU40" s="220"/>
      <c r="HV40" s="220"/>
      <c r="HW40" s="220"/>
      <c r="HX40" s="220"/>
      <c r="HY40" s="220"/>
      <c r="HZ40" s="220"/>
      <c r="IA40" s="220"/>
      <c r="IB40" s="220"/>
      <c r="IC40" s="220"/>
      <c r="ID40" s="220"/>
      <c r="IE40" s="220"/>
      <c r="IF40" s="220"/>
      <c r="IG40" s="220"/>
      <c r="IH40" s="220"/>
      <c r="II40" s="220"/>
      <c r="IJ40" s="220"/>
      <c r="IK40" s="220"/>
      <c r="IL40" s="220"/>
      <c r="IM40" s="220"/>
      <c r="IN40" s="220"/>
      <c r="IO40" s="220"/>
      <c r="IP40" s="220"/>
      <c r="IQ40" s="253"/>
      <c r="IR40" s="259"/>
      <c r="IS40" s="220"/>
      <c r="IT40" s="220"/>
      <c r="IU40" s="220"/>
      <c r="IV40" s="220"/>
      <c r="IW40" s="253"/>
      <c r="IZ40" s="33"/>
      <c r="JA40" s="33"/>
      <c r="JB40" s="33"/>
      <c r="JC40" s="33"/>
      <c r="JD40" s="33"/>
      <c r="JE40" s="33"/>
      <c r="JF40" s="33"/>
      <c r="JG40" s="33"/>
      <c r="JH40" s="156"/>
      <c r="JI40" s="33"/>
      <c r="JJ40" s="33"/>
      <c r="LQ40" s="12"/>
      <c r="LR40" s="7"/>
    </row>
    <row r="41" spans="3:330" ht="5.0999999999999996" customHeight="1" x14ac:dyDescent="0.3">
      <c r="C41" s="11"/>
      <c r="D41" s="13"/>
      <c r="DR41" s="219"/>
      <c r="DS41" s="220"/>
      <c r="DT41" s="220"/>
      <c r="DU41" s="220"/>
      <c r="DV41" s="220"/>
      <c r="DW41" s="220"/>
      <c r="DX41" s="220"/>
      <c r="DY41" s="220"/>
      <c r="DZ41" s="220"/>
      <c r="EA41" s="220"/>
      <c r="EB41" s="220"/>
      <c r="EC41" s="220"/>
      <c r="ED41" s="220"/>
      <c r="EE41" s="220"/>
      <c r="EF41" s="220"/>
      <c r="EG41" s="220"/>
      <c r="EH41" s="220"/>
      <c r="EI41" s="220"/>
      <c r="EJ41" s="220"/>
      <c r="EK41" s="220"/>
      <c r="EL41" s="220"/>
      <c r="EM41" s="220"/>
      <c r="EN41" s="220"/>
      <c r="EO41" s="220"/>
      <c r="EP41" s="220"/>
      <c r="EQ41" s="220"/>
      <c r="ER41" s="220"/>
      <c r="ES41" s="220"/>
      <c r="ET41" s="220"/>
      <c r="EU41" s="220"/>
      <c r="EV41" s="220"/>
      <c r="EW41" s="220"/>
      <c r="EX41" s="220"/>
      <c r="EY41" s="220"/>
      <c r="EZ41" s="220"/>
      <c r="FA41" s="220"/>
      <c r="FB41" s="220"/>
      <c r="FC41" s="220"/>
      <c r="FD41" s="220"/>
      <c r="FE41" s="220"/>
      <c r="FF41" s="253"/>
      <c r="FG41" s="255"/>
      <c r="FH41" s="255"/>
      <c r="FI41" s="255"/>
      <c r="FJ41" s="255"/>
      <c r="HC41" s="259"/>
      <c r="HD41" s="220"/>
      <c r="HE41" s="220"/>
      <c r="HF41" s="220"/>
      <c r="HG41" s="220"/>
      <c r="HH41" s="220"/>
      <c r="HI41" s="220"/>
      <c r="HJ41" s="220"/>
      <c r="HK41" s="220"/>
      <c r="HL41" s="220"/>
      <c r="HM41" s="220"/>
      <c r="HN41" s="220"/>
      <c r="HO41" s="220"/>
      <c r="HP41" s="220"/>
      <c r="HQ41" s="220"/>
      <c r="HR41" s="220"/>
      <c r="HS41" s="220"/>
      <c r="HT41" s="220"/>
      <c r="HU41" s="220"/>
      <c r="HV41" s="220"/>
      <c r="HW41" s="220"/>
      <c r="HX41" s="220"/>
      <c r="HY41" s="220"/>
      <c r="HZ41" s="220"/>
      <c r="IA41" s="220"/>
      <c r="IB41" s="220"/>
      <c r="IC41" s="220"/>
      <c r="ID41" s="220"/>
      <c r="IE41" s="220"/>
      <c r="IF41" s="220"/>
      <c r="IG41" s="220"/>
      <c r="IH41" s="220"/>
      <c r="II41" s="220"/>
      <c r="IJ41" s="220"/>
      <c r="IK41" s="220"/>
      <c r="IL41" s="220"/>
      <c r="IM41" s="220"/>
      <c r="IN41" s="220"/>
      <c r="IO41" s="220"/>
      <c r="IP41" s="220"/>
      <c r="IQ41" s="253"/>
      <c r="IR41" s="259"/>
      <c r="IS41" s="220"/>
      <c r="IT41" s="220"/>
      <c r="IU41" s="220"/>
      <c r="IV41" s="220"/>
      <c r="IW41" s="253"/>
      <c r="IZ41" s="33"/>
      <c r="JA41" s="33"/>
      <c r="JB41" s="33"/>
      <c r="JC41" s="33"/>
      <c r="JD41" s="33"/>
      <c r="JE41" s="33"/>
      <c r="JF41" s="33"/>
      <c r="JG41" s="33"/>
      <c r="JH41" s="156"/>
      <c r="JI41" s="33"/>
      <c r="JJ41" s="33"/>
      <c r="LQ41" s="12"/>
      <c r="LR41" s="7"/>
    </row>
    <row r="42" spans="3:330" ht="5.0999999999999996" customHeight="1" x14ac:dyDescent="0.3">
      <c r="C42" s="11"/>
      <c r="D42" s="13"/>
      <c r="DR42" s="219"/>
      <c r="DS42" s="220"/>
      <c r="DT42" s="220"/>
      <c r="DU42" s="220"/>
      <c r="DV42" s="220"/>
      <c r="DW42" s="220"/>
      <c r="DX42" s="220"/>
      <c r="DY42" s="220"/>
      <c r="DZ42" s="220"/>
      <c r="EA42" s="220"/>
      <c r="EB42" s="220"/>
      <c r="EC42" s="220"/>
      <c r="ED42" s="220"/>
      <c r="EE42" s="220"/>
      <c r="EF42" s="220"/>
      <c r="EG42" s="220"/>
      <c r="EH42" s="220"/>
      <c r="EI42" s="220"/>
      <c r="EJ42" s="220"/>
      <c r="EK42" s="220"/>
      <c r="EL42" s="220"/>
      <c r="EM42" s="220"/>
      <c r="EN42" s="220"/>
      <c r="EO42" s="220"/>
      <c r="EP42" s="220"/>
      <c r="EQ42" s="220"/>
      <c r="ER42" s="220"/>
      <c r="ES42" s="220"/>
      <c r="ET42" s="220"/>
      <c r="EU42" s="220"/>
      <c r="EV42" s="220"/>
      <c r="EW42" s="220"/>
      <c r="EX42" s="220"/>
      <c r="EY42" s="220"/>
      <c r="EZ42" s="220"/>
      <c r="FA42" s="220"/>
      <c r="FB42" s="220"/>
      <c r="FC42" s="220"/>
      <c r="FD42" s="220"/>
      <c r="FE42" s="220"/>
      <c r="FF42" s="253"/>
      <c r="FG42" s="255"/>
      <c r="FH42" s="255"/>
      <c r="FI42" s="255"/>
      <c r="FJ42" s="255"/>
      <c r="HC42" s="259"/>
      <c r="HD42" s="220"/>
      <c r="HE42" s="220"/>
      <c r="HF42" s="220"/>
      <c r="HG42" s="220"/>
      <c r="HH42" s="220"/>
      <c r="HI42" s="220"/>
      <c r="HJ42" s="220"/>
      <c r="HK42" s="220"/>
      <c r="HL42" s="220"/>
      <c r="HM42" s="220"/>
      <c r="HN42" s="220"/>
      <c r="HO42" s="220"/>
      <c r="HP42" s="220"/>
      <c r="HQ42" s="220"/>
      <c r="HR42" s="220"/>
      <c r="HS42" s="220"/>
      <c r="HT42" s="220"/>
      <c r="HU42" s="220"/>
      <c r="HV42" s="220"/>
      <c r="HW42" s="220"/>
      <c r="HX42" s="220"/>
      <c r="HY42" s="220"/>
      <c r="HZ42" s="220"/>
      <c r="IA42" s="220"/>
      <c r="IB42" s="220"/>
      <c r="IC42" s="220"/>
      <c r="ID42" s="220"/>
      <c r="IE42" s="220"/>
      <c r="IF42" s="220"/>
      <c r="IG42" s="220"/>
      <c r="IH42" s="220"/>
      <c r="II42" s="220"/>
      <c r="IJ42" s="220"/>
      <c r="IK42" s="220"/>
      <c r="IL42" s="220"/>
      <c r="IM42" s="220"/>
      <c r="IN42" s="220"/>
      <c r="IO42" s="220"/>
      <c r="IP42" s="220"/>
      <c r="IQ42" s="253"/>
      <c r="IR42" s="259"/>
      <c r="IS42" s="220"/>
      <c r="IT42" s="220"/>
      <c r="IU42" s="220"/>
      <c r="IV42" s="220"/>
      <c r="IW42" s="253"/>
      <c r="IZ42" s="33"/>
      <c r="JA42" s="33"/>
      <c r="JB42" s="33"/>
      <c r="JC42" s="33"/>
      <c r="JD42" s="33"/>
      <c r="JE42" s="33"/>
      <c r="JF42" s="33"/>
      <c r="JG42" s="33"/>
      <c r="JH42" s="156"/>
      <c r="JI42" s="33"/>
      <c r="JJ42" s="33"/>
      <c r="LQ42" s="12"/>
      <c r="LR42" s="7"/>
    </row>
    <row r="43" spans="3:330" ht="5.0999999999999996" customHeight="1" x14ac:dyDescent="0.3">
      <c r="C43" s="11"/>
      <c r="D43" s="13"/>
      <c r="DR43" s="219"/>
      <c r="DS43" s="220"/>
      <c r="DT43" s="220"/>
      <c r="DU43" s="220"/>
      <c r="DV43" s="220"/>
      <c r="DW43" s="220"/>
      <c r="DX43" s="220"/>
      <c r="DY43" s="220"/>
      <c r="DZ43" s="220"/>
      <c r="EA43" s="220"/>
      <c r="EB43" s="220"/>
      <c r="EC43" s="220"/>
      <c r="ED43" s="220"/>
      <c r="EE43" s="220"/>
      <c r="EF43" s="220"/>
      <c r="EG43" s="220"/>
      <c r="EH43" s="220"/>
      <c r="EI43" s="220"/>
      <c r="EJ43" s="220"/>
      <c r="EK43" s="220"/>
      <c r="EL43" s="220"/>
      <c r="EM43" s="220"/>
      <c r="EN43" s="220"/>
      <c r="EO43" s="220"/>
      <c r="EP43" s="220"/>
      <c r="EQ43" s="220"/>
      <c r="ER43" s="220"/>
      <c r="ES43" s="220"/>
      <c r="ET43" s="220"/>
      <c r="EU43" s="220"/>
      <c r="EV43" s="220"/>
      <c r="EW43" s="220"/>
      <c r="EX43" s="220"/>
      <c r="EY43" s="220"/>
      <c r="EZ43" s="220"/>
      <c r="FA43" s="220"/>
      <c r="FB43" s="220"/>
      <c r="FC43" s="220"/>
      <c r="FD43" s="220"/>
      <c r="FE43" s="220"/>
      <c r="FF43" s="253"/>
      <c r="FG43" s="255"/>
      <c r="FH43" s="255"/>
      <c r="FI43" s="255"/>
      <c r="FJ43" s="255"/>
      <c r="HC43" s="259"/>
      <c r="HD43" s="220"/>
      <c r="HE43" s="220"/>
      <c r="HF43" s="220"/>
      <c r="HG43" s="220"/>
      <c r="HH43" s="220"/>
      <c r="HI43" s="220"/>
      <c r="HJ43" s="220"/>
      <c r="HK43" s="220"/>
      <c r="HL43" s="220"/>
      <c r="HM43" s="220"/>
      <c r="HN43" s="220"/>
      <c r="HO43" s="220"/>
      <c r="HP43" s="220"/>
      <c r="HQ43" s="220"/>
      <c r="HR43" s="220"/>
      <c r="HS43" s="220"/>
      <c r="HT43" s="220"/>
      <c r="HU43" s="220"/>
      <c r="HV43" s="220"/>
      <c r="HW43" s="220"/>
      <c r="HX43" s="220"/>
      <c r="HY43" s="220"/>
      <c r="HZ43" s="220"/>
      <c r="IA43" s="220"/>
      <c r="IB43" s="220"/>
      <c r="IC43" s="220"/>
      <c r="ID43" s="220"/>
      <c r="IE43" s="220"/>
      <c r="IF43" s="220"/>
      <c r="IG43" s="220"/>
      <c r="IH43" s="220"/>
      <c r="II43" s="220"/>
      <c r="IJ43" s="220"/>
      <c r="IK43" s="220"/>
      <c r="IL43" s="220"/>
      <c r="IM43" s="220"/>
      <c r="IN43" s="220"/>
      <c r="IO43" s="220"/>
      <c r="IP43" s="220"/>
      <c r="IQ43" s="253"/>
      <c r="IR43" s="259"/>
      <c r="IS43" s="220"/>
      <c r="IT43" s="220"/>
      <c r="IU43" s="220"/>
      <c r="IV43" s="220"/>
      <c r="IW43" s="253"/>
      <c r="IZ43" s="33"/>
      <c r="JA43" s="33"/>
      <c r="JB43" s="33"/>
      <c r="JC43" s="33"/>
      <c r="JD43" s="33"/>
      <c r="JE43" s="33"/>
      <c r="JF43" s="33"/>
      <c r="JG43" s="33"/>
      <c r="JH43" s="156"/>
      <c r="JI43" s="33"/>
      <c r="JJ43" s="33"/>
      <c r="LQ43" s="12"/>
      <c r="LR43" s="7"/>
    </row>
    <row r="44" spans="3:330" ht="5.0999999999999996" customHeight="1" x14ac:dyDescent="0.3">
      <c r="C44" s="11"/>
      <c r="D44" s="13"/>
      <c r="DR44" s="222"/>
      <c r="DS44" s="223"/>
      <c r="DT44" s="223"/>
      <c r="DU44" s="223"/>
      <c r="DV44" s="223"/>
      <c r="DW44" s="223"/>
      <c r="DX44" s="223"/>
      <c r="DY44" s="223"/>
      <c r="DZ44" s="223"/>
      <c r="EA44" s="223"/>
      <c r="EB44" s="223"/>
      <c r="EC44" s="223"/>
      <c r="ED44" s="223"/>
      <c r="EE44" s="223"/>
      <c r="EF44" s="223"/>
      <c r="EG44" s="223"/>
      <c r="EH44" s="223"/>
      <c r="EI44" s="223"/>
      <c r="EJ44" s="223"/>
      <c r="EK44" s="223"/>
      <c r="EL44" s="223"/>
      <c r="EM44" s="223"/>
      <c r="EN44" s="223"/>
      <c r="EO44" s="223"/>
      <c r="EP44" s="223"/>
      <c r="EQ44" s="223"/>
      <c r="ER44" s="223"/>
      <c r="ES44" s="223"/>
      <c r="ET44" s="223"/>
      <c r="EU44" s="223"/>
      <c r="EV44" s="223"/>
      <c r="EW44" s="223"/>
      <c r="EX44" s="223"/>
      <c r="EY44" s="223"/>
      <c r="EZ44" s="223"/>
      <c r="FA44" s="223"/>
      <c r="FB44" s="223"/>
      <c r="FC44" s="223"/>
      <c r="FD44" s="223"/>
      <c r="FE44" s="223"/>
      <c r="FF44" s="254"/>
      <c r="FG44" s="255"/>
      <c r="FH44" s="255"/>
      <c r="FI44" s="255"/>
      <c r="FJ44" s="255"/>
      <c r="HC44" s="259"/>
      <c r="HD44" s="220"/>
      <c r="HE44" s="220"/>
      <c r="HF44" s="220"/>
      <c r="HG44" s="220"/>
      <c r="HH44" s="220"/>
      <c r="HI44" s="220"/>
      <c r="HJ44" s="220"/>
      <c r="HK44" s="220"/>
      <c r="HL44" s="220"/>
      <c r="HM44" s="220"/>
      <c r="HN44" s="220"/>
      <c r="HO44" s="220"/>
      <c r="HP44" s="220"/>
      <c r="HQ44" s="220"/>
      <c r="HR44" s="220"/>
      <c r="HS44" s="220"/>
      <c r="HT44" s="220"/>
      <c r="HU44" s="220"/>
      <c r="HV44" s="220"/>
      <c r="HW44" s="220"/>
      <c r="HX44" s="220"/>
      <c r="HY44" s="220"/>
      <c r="HZ44" s="220"/>
      <c r="IA44" s="220"/>
      <c r="IB44" s="220"/>
      <c r="IC44" s="220"/>
      <c r="ID44" s="220"/>
      <c r="IE44" s="220"/>
      <c r="IF44" s="220"/>
      <c r="IG44" s="220"/>
      <c r="IH44" s="220"/>
      <c r="II44" s="220"/>
      <c r="IJ44" s="220"/>
      <c r="IK44" s="220"/>
      <c r="IL44" s="220"/>
      <c r="IM44" s="220"/>
      <c r="IN44" s="220"/>
      <c r="IO44" s="220"/>
      <c r="IP44" s="220"/>
      <c r="IQ44" s="253"/>
      <c r="IR44" s="259"/>
      <c r="IS44" s="220"/>
      <c r="IT44" s="220"/>
      <c r="IU44" s="220"/>
      <c r="IV44" s="220"/>
      <c r="IW44" s="253"/>
      <c r="IZ44" s="33"/>
      <c r="JA44" s="33"/>
      <c r="JB44" s="33"/>
      <c r="JC44" s="33"/>
      <c r="JD44" s="33"/>
      <c r="JE44" s="33"/>
      <c r="JF44" s="33"/>
      <c r="JG44" s="33"/>
      <c r="JH44" s="156"/>
      <c r="JI44" s="33"/>
      <c r="JJ44" s="33"/>
      <c r="LQ44" s="12"/>
      <c r="LR44" s="7"/>
    </row>
    <row r="45" spans="3:330" ht="5.0999999999999996" customHeight="1" x14ac:dyDescent="0.3">
      <c r="C45" s="11"/>
      <c r="D45" s="13"/>
      <c r="EL45" s="16"/>
      <c r="HC45" s="259"/>
      <c r="HD45" s="220"/>
      <c r="HE45" s="220"/>
      <c r="HF45" s="220"/>
      <c r="HG45" s="220"/>
      <c r="HH45" s="220"/>
      <c r="HI45" s="220"/>
      <c r="HJ45" s="220"/>
      <c r="HK45" s="220"/>
      <c r="HL45" s="220"/>
      <c r="HM45" s="220"/>
      <c r="HN45" s="220"/>
      <c r="HO45" s="220"/>
      <c r="HP45" s="220"/>
      <c r="HQ45" s="220"/>
      <c r="HR45" s="220"/>
      <c r="HS45" s="220"/>
      <c r="HT45" s="220"/>
      <c r="HU45" s="220"/>
      <c r="HV45" s="220"/>
      <c r="HW45" s="220"/>
      <c r="HX45" s="220"/>
      <c r="HY45" s="220"/>
      <c r="HZ45" s="220"/>
      <c r="IA45" s="220"/>
      <c r="IB45" s="220"/>
      <c r="IC45" s="220"/>
      <c r="ID45" s="220"/>
      <c r="IE45" s="220"/>
      <c r="IF45" s="220"/>
      <c r="IG45" s="220"/>
      <c r="IH45" s="220"/>
      <c r="II45" s="220"/>
      <c r="IJ45" s="220"/>
      <c r="IK45" s="220"/>
      <c r="IL45" s="220"/>
      <c r="IM45" s="220"/>
      <c r="IN45" s="220"/>
      <c r="IO45" s="220"/>
      <c r="IP45" s="220"/>
      <c r="IQ45" s="253"/>
      <c r="IR45" s="259"/>
      <c r="IS45" s="220"/>
      <c r="IT45" s="220"/>
      <c r="IU45" s="220"/>
      <c r="IV45" s="220"/>
      <c r="IW45" s="253"/>
      <c r="IZ45" s="33"/>
      <c r="JA45" s="33"/>
      <c r="JB45" s="33"/>
      <c r="JC45" s="33"/>
      <c r="JD45" s="33"/>
      <c r="JE45" s="33"/>
      <c r="JF45" s="33"/>
      <c r="JG45" s="33"/>
      <c r="JH45" s="156"/>
      <c r="JI45" s="33"/>
      <c r="JJ45" s="33"/>
      <c r="LQ45" s="12"/>
      <c r="LR45" s="7"/>
    </row>
    <row r="46" spans="3:330" ht="5.0999999999999996" customHeight="1" thickBot="1" x14ac:dyDescent="0.35">
      <c r="C46" s="11"/>
      <c r="D46" s="13"/>
      <c r="EL46" s="16"/>
      <c r="HC46" s="260"/>
      <c r="HD46" s="261"/>
      <c r="HE46" s="261"/>
      <c r="HF46" s="261"/>
      <c r="HG46" s="261"/>
      <c r="HH46" s="261"/>
      <c r="HI46" s="261"/>
      <c r="HJ46" s="261"/>
      <c r="HK46" s="261"/>
      <c r="HL46" s="261"/>
      <c r="HM46" s="261"/>
      <c r="HN46" s="261"/>
      <c r="HO46" s="261"/>
      <c r="HP46" s="261"/>
      <c r="HQ46" s="261"/>
      <c r="HR46" s="261"/>
      <c r="HS46" s="261"/>
      <c r="HT46" s="261"/>
      <c r="HU46" s="261"/>
      <c r="HV46" s="261"/>
      <c r="HW46" s="261"/>
      <c r="HX46" s="261"/>
      <c r="HY46" s="261"/>
      <c r="HZ46" s="261"/>
      <c r="IA46" s="261"/>
      <c r="IB46" s="261"/>
      <c r="IC46" s="261"/>
      <c r="ID46" s="261"/>
      <c r="IE46" s="261"/>
      <c r="IF46" s="261"/>
      <c r="IG46" s="261"/>
      <c r="IH46" s="261"/>
      <c r="II46" s="261"/>
      <c r="IJ46" s="261"/>
      <c r="IK46" s="261"/>
      <c r="IL46" s="261"/>
      <c r="IM46" s="261"/>
      <c r="IN46" s="261"/>
      <c r="IO46" s="261"/>
      <c r="IP46" s="261"/>
      <c r="IQ46" s="262"/>
      <c r="IR46" s="260"/>
      <c r="IS46" s="261"/>
      <c r="IT46" s="261"/>
      <c r="IU46" s="261"/>
      <c r="IV46" s="261"/>
      <c r="IW46" s="262"/>
      <c r="IZ46" s="33"/>
      <c r="JA46" s="33"/>
      <c r="JB46" s="33"/>
      <c r="JC46" s="33"/>
      <c r="JD46" s="33"/>
      <c r="JE46" s="33"/>
      <c r="JF46" s="33"/>
      <c r="JG46" s="33"/>
      <c r="JH46" s="156"/>
      <c r="JI46" s="33"/>
      <c r="JJ46" s="33"/>
      <c r="LQ46" s="12"/>
      <c r="LR46" s="7"/>
    </row>
    <row r="47" spans="3:330" ht="5.0999999999999996" customHeight="1" x14ac:dyDescent="0.3">
      <c r="C47" s="11"/>
      <c r="D47" s="13"/>
      <c r="AH47" s="22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0"/>
      <c r="EL47" s="16"/>
      <c r="IA47" s="28"/>
      <c r="IZ47" s="33"/>
      <c r="JA47" s="33"/>
      <c r="JB47" s="33"/>
      <c r="JC47" s="33"/>
      <c r="JD47" s="33"/>
      <c r="JE47" s="33"/>
      <c r="JF47" s="33"/>
      <c r="JG47" s="33"/>
      <c r="JH47" s="156"/>
      <c r="JI47" s="33"/>
      <c r="JJ47" s="33"/>
      <c r="LQ47" s="12"/>
      <c r="LR47" s="7"/>
    </row>
    <row r="48" spans="3:330" ht="5.0999999999999996" customHeight="1" x14ac:dyDescent="0.3">
      <c r="C48" s="11"/>
      <c r="D48" s="13"/>
      <c r="AH48" s="16"/>
      <c r="EK48" s="19"/>
      <c r="EL48" s="16"/>
      <c r="HC48" s="234" t="s">
        <v>62</v>
      </c>
      <c r="HD48" s="235"/>
      <c r="HE48" s="235"/>
      <c r="HF48" s="235"/>
      <c r="HG48" s="235"/>
      <c r="HH48" s="235"/>
      <c r="HI48" s="235"/>
      <c r="HJ48" s="235"/>
      <c r="HK48" s="235"/>
      <c r="HL48" s="235"/>
      <c r="HM48" s="235"/>
      <c r="HN48" s="235"/>
      <c r="HO48" s="235"/>
      <c r="HP48" s="235"/>
      <c r="HQ48" s="235"/>
      <c r="HR48" s="235"/>
      <c r="HS48" s="235"/>
      <c r="HT48" s="235"/>
      <c r="HU48" s="235"/>
      <c r="HV48" s="235"/>
      <c r="HW48" s="235"/>
      <c r="HX48" s="235"/>
      <c r="HY48" s="235"/>
      <c r="HZ48" s="235"/>
      <c r="IA48" s="235"/>
      <c r="IB48" s="235"/>
      <c r="IC48" s="235"/>
      <c r="ID48" s="235"/>
      <c r="IE48" s="235"/>
      <c r="IF48" s="235"/>
      <c r="IG48" s="235"/>
      <c r="IH48" s="235"/>
      <c r="II48" s="235"/>
      <c r="IJ48" s="235"/>
      <c r="IK48" s="235"/>
      <c r="IL48" s="235"/>
      <c r="IM48" s="235"/>
      <c r="IN48" s="235"/>
      <c r="IO48" s="235"/>
      <c r="IP48" s="235"/>
      <c r="IQ48" s="236"/>
      <c r="IR48" s="242">
        <v>2</v>
      </c>
      <c r="IS48" s="242"/>
      <c r="IT48" s="242"/>
      <c r="IU48" s="242"/>
      <c r="IV48" s="242"/>
      <c r="IW48" s="242"/>
      <c r="IZ48" s="33"/>
      <c r="JA48" s="33"/>
      <c r="JB48" s="33"/>
      <c r="JC48" s="33"/>
      <c r="JD48" s="33"/>
      <c r="JE48" s="33"/>
      <c r="JF48" s="33"/>
      <c r="JG48" s="33"/>
      <c r="JH48" s="156"/>
      <c r="JI48" s="33"/>
      <c r="JJ48" s="33"/>
      <c r="LQ48" s="12"/>
      <c r="LR48" s="7"/>
    </row>
    <row r="49" spans="3:335" ht="5.0999999999999996" customHeight="1" x14ac:dyDescent="0.3">
      <c r="C49" s="11"/>
      <c r="D49" s="13"/>
      <c r="AH49" s="16"/>
      <c r="EK49" s="19"/>
      <c r="EL49" s="16"/>
      <c r="HC49" s="237"/>
      <c r="HD49" s="188"/>
      <c r="HE49" s="188"/>
      <c r="HF49" s="188"/>
      <c r="HG49" s="188"/>
      <c r="HH49" s="188"/>
      <c r="HI49" s="188"/>
      <c r="HJ49" s="188"/>
      <c r="HK49" s="188"/>
      <c r="HL49" s="188"/>
      <c r="HM49" s="188"/>
      <c r="HN49" s="188"/>
      <c r="HO49" s="188"/>
      <c r="HP49" s="188"/>
      <c r="HQ49" s="188"/>
      <c r="HR49" s="188"/>
      <c r="HS49" s="188"/>
      <c r="HT49" s="188"/>
      <c r="HU49" s="188"/>
      <c r="HV49" s="188"/>
      <c r="HW49" s="188"/>
      <c r="HX49" s="188"/>
      <c r="HY49" s="188"/>
      <c r="HZ49" s="188"/>
      <c r="IA49" s="188"/>
      <c r="IB49" s="188"/>
      <c r="IC49" s="188"/>
      <c r="ID49" s="188"/>
      <c r="IE49" s="188"/>
      <c r="IF49" s="188"/>
      <c r="IG49" s="188"/>
      <c r="IH49" s="188"/>
      <c r="II49" s="188"/>
      <c r="IJ49" s="188"/>
      <c r="IK49" s="188"/>
      <c r="IL49" s="188"/>
      <c r="IM49" s="188"/>
      <c r="IN49" s="188"/>
      <c r="IO49" s="188"/>
      <c r="IP49" s="188"/>
      <c r="IQ49" s="238"/>
      <c r="IR49" s="242"/>
      <c r="IS49" s="242"/>
      <c r="IT49" s="242"/>
      <c r="IU49" s="242"/>
      <c r="IV49" s="242"/>
      <c r="IW49" s="242"/>
      <c r="IZ49" s="33"/>
      <c r="JA49" s="33"/>
      <c r="JB49" s="33"/>
      <c r="JC49" s="33"/>
      <c r="JD49" s="33"/>
      <c r="JE49" s="33"/>
      <c r="JF49" s="33"/>
      <c r="JG49" s="33"/>
      <c r="JH49" s="156"/>
      <c r="JI49" s="33"/>
      <c r="JJ49" s="33"/>
      <c r="LQ49" s="12"/>
      <c r="LR49" s="7"/>
    </row>
    <row r="50" spans="3:335" ht="5.0999999999999996" customHeight="1" x14ac:dyDescent="0.3">
      <c r="C50" s="11"/>
      <c r="D50" s="13"/>
      <c r="AH50" s="16"/>
      <c r="EK50" s="19"/>
      <c r="EL50" s="16"/>
      <c r="HC50" s="237"/>
      <c r="HD50" s="188"/>
      <c r="HE50" s="188"/>
      <c r="HF50" s="188"/>
      <c r="HG50" s="188"/>
      <c r="HH50" s="188"/>
      <c r="HI50" s="188"/>
      <c r="HJ50" s="188"/>
      <c r="HK50" s="188"/>
      <c r="HL50" s="188"/>
      <c r="HM50" s="188"/>
      <c r="HN50" s="188"/>
      <c r="HO50" s="188"/>
      <c r="HP50" s="188"/>
      <c r="HQ50" s="188"/>
      <c r="HR50" s="188"/>
      <c r="HS50" s="188"/>
      <c r="HT50" s="188"/>
      <c r="HU50" s="188"/>
      <c r="HV50" s="188"/>
      <c r="HW50" s="188"/>
      <c r="HX50" s="188"/>
      <c r="HY50" s="188"/>
      <c r="HZ50" s="188"/>
      <c r="IA50" s="188"/>
      <c r="IB50" s="188"/>
      <c r="IC50" s="188"/>
      <c r="ID50" s="188"/>
      <c r="IE50" s="188"/>
      <c r="IF50" s="188"/>
      <c r="IG50" s="188"/>
      <c r="IH50" s="188"/>
      <c r="II50" s="188"/>
      <c r="IJ50" s="188"/>
      <c r="IK50" s="188"/>
      <c r="IL50" s="188"/>
      <c r="IM50" s="188"/>
      <c r="IN50" s="188"/>
      <c r="IO50" s="188"/>
      <c r="IP50" s="188"/>
      <c r="IQ50" s="238"/>
      <c r="IR50" s="242"/>
      <c r="IS50" s="242"/>
      <c r="IT50" s="242"/>
      <c r="IU50" s="242"/>
      <c r="IV50" s="242"/>
      <c r="IW50" s="242"/>
      <c r="IZ50" s="33"/>
      <c r="JA50" s="33"/>
      <c r="JB50" s="33"/>
      <c r="JC50" s="33"/>
      <c r="JD50" s="33"/>
      <c r="JE50" s="33"/>
      <c r="JF50" s="33"/>
      <c r="JG50" s="33"/>
      <c r="JH50" s="156"/>
      <c r="JI50" s="33"/>
      <c r="JJ50" s="33"/>
      <c r="LQ50" s="12"/>
      <c r="LR50" s="7"/>
    </row>
    <row r="51" spans="3:335" ht="5.0999999999999996" customHeight="1" x14ac:dyDescent="0.3">
      <c r="C51" s="11"/>
      <c r="D51" s="13"/>
      <c r="AH51" s="149"/>
      <c r="AI51" s="150"/>
      <c r="EL51" s="16"/>
      <c r="HC51" s="237"/>
      <c r="HD51" s="188"/>
      <c r="HE51" s="188"/>
      <c r="HF51" s="188"/>
      <c r="HG51" s="188"/>
      <c r="HH51" s="188"/>
      <c r="HI51" s="188"/>
      <c r="HJ51" s="188"/>
      <c r="HK51" s="188"/>
      <c r="HL51" s="188"/>
      <c r="HM51" s="188"/>
      <c r="HN51" s="188"/>
      <c r="HO51" s="188"/>
      <c r="HP51" s="188"/>
      <c r="HQ51" s="188"/>
      <c r="HR51" s="188"/>
      <c r="HS51" s="188"/>
      <c r="HT51" s="188"/>
      <c r="HU51" s="188"/>
      <c r="HV51" s="188"/>
      <c r="HW51" s="188"/>
      <c r="HX51" s="188"/>
      <c r="HY51" s="188"/>
      <c r="HZ51" s="188"/>
      <c r="IA51" s="188"/>
      <c r="IB51" s="188"/>
      <c r="IC51" s="188"/>
      <c r="ID51" s="188"/>
      <c r="IE51" s="188"/>
      <c r="IF51" s="188"/>
      <c r="IG51" s="188"/>
      <c r="IH51" s="188"/>
      <c r="II51" s="188"/>
      <c r="IJ51" s="188"/>
      <c r="IK51" s="188"/>
      <c r="IL51" s="188"/>
      <c r="IM51" s="188"/>
      <c r="IN51" s="188"/>
      <c r="IO51" s="188"/>
      <c r="IP51" s="188"/>
      <c r="IQ51" s="238"/>
      <c r="IR51" s="242"/>
      <c r="IS51" s="242"/>
      <c r="IT51" s="242"/>
      <c r="IU51" s="242"/>
      <c r="IV51" s="242"/>
      <c r="IW51" s="242"/>
      <c r="IZ51" s="33"/>
      <c r="JA51" s="33"/>
      <c r="JB51" s="33"/>
      <c r="JC51" s="33"/>
      <c r="JD51" s="33"/>
      <c r="JE51" s="33"/>
      <c r="JF51" s="33"/>
      <c r="JG51" s="33"/>
      <c r="JH51" s="156"/>
      <c r="JI51" s="33"/>
      <c r="JJ51" s="33"/>
      <c r="LQ51" s="12"/>
      <c r="LR51" s="7"/>
    </row>
    <row r="52" spans="3:335" ht="5.0999999999999996" customHeight="1" x14ac:dyDescent="0.3">
      <c r="C52" s="11"/>
      <c r="D52" s="13"/>
      <c r="Q52" s="255" t="s">
        <v>16</v>
      </c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  <c r="AS52" s="255"/>
      <c r="AT52" s="255"/>
      <c r="AU52" s="255"/>
      <c r="AV52" s="255"/>
      <c r="AW52" s="255"/>
      <c r="AX52" s="255"/>
      <c r="AY52" s="255"/>
      <c r="AZ52" s="255"/>
      <c r="BA52" s="255"/>
      <c r="BB52" s="255"/>
      <c r="BC52" s="255"/>
      <c r="BD52" s="255"/>
      <c r="BE52" s="255"/>
      <c r="BF52" s="255">
        <f>SUM(BF63,BF74,BF85)</f>
        <v>5</v>
      </c>
      <c r="BG52" s="255"/>
      <c r="BH52" s="255"/>
      <c r="BI52" s="255"/>
      <c r="BJ52" s="255"/>
      <c r="EL52" s="16"/>
      <c r="HC52" s="237"/>
      <c r="HD52" s="188"/>
      <c r="HE52" s="188"/>
      <c r="HF52" s="188"/>
      <c r="HG52" s="188"/>
      <c r="HH52" s="188"/>
      <c r="HI52" s="188"/>
      <c r="HJ52" s="188"/>
      <c r="HK52" s="188"/>
      <c r="HL52" s="188"/>
      <c r="HM52" s="188"/>
      <c r="HN52" s="188"/>
      <c r="HO52" s="188"/>
      <c r="HP52" s="188"/>
      <c r="HQ52" s="188"/>
      <c r="HR52" s="188"/>
      <c r="HS52" s="188"/>
      <c r="HT52" s="188"/>
      <c r="HU52" s="188"/>
      <c r="HV52" s="188"/>
      <c r="HW52" s="188"/>
      <c r="HX52" s="188"/>
      <c r="HY52" s="188"/>
      <c r="HZ52" s="188"/>
      <c r="IA52" s="188"/>
      <c r="IB52" s="188"/>
      <c r="IC52" s="188"/>
      <c r="ID52" s="188"/>
      <c r="IE52" s="188"/>
      <c r="IF52" s="188"/>
      <c r="IG52" s="188"/>
      <c r="IH52" s="188"/>
      <c r="II52" s="188"/>
      <c r="IJ52" s="188"/>
      <c r="IK52" s="188"/>
      <c r="IL52" s="188"/>
      <c r="IM52" s="188"/>
      <c r="IN52" s="188"/>
      <c r="IO52" s="188"/>
      <c r="IP52" s="188"/>
      <c r="IQ52" s="238"/>
      <c r="IR52" s="242"/>
      <c r="IS52" s="242"/>
      <c r="IT52" s="242"/>
      <c r="IU52" s="242"/>
      <c r="IV52" s="242"/>
      <c r="IW52" s="242"/>
      <c r="IZ52" s="33"/>
      <c r="JA52" s="33"/>
      <c r="JB52" s="33"/>
      <c r="JC52" s="33"/>
      <c r="JD52" s="33"/>
      <c r="JE52" s="33"/>
      <c r="JF52" s="33"/>
      <c r="JG52" s="33"/>
      <c r="JH52" s="156"/>
      <c r="JI52" s="33"/>
      <c r="JJ52" s="33"/>
      <c r="LQ52" s="12"/>
      <c r="LR52" s="7"/>
    </row>
    <row r="53" spans="3:335" ht="5.0999999999999996" customHeight="1" x14ac:dyDescent="0.3">
      <c r="C53" s="11"/>
      <c r="D53" s="13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255"/>
      <c r="AN53" s="255"/>
      <c r="AO53" s="255"/>
      <c r="AP53" s="255"/>
      <c r="AQ53" s="255"/>
      <c r="AR53" s="255"/>
      <c r="AS53" s="255"/>
      <c r="AT53" s="255"/>
      <c r="AU53" s="255"/>
      <c r="AV53" s="255"/>
      <c r="AW53" s="255"/>
      <c r="AX53" s="255"/>
      <c r="AY53" s="255"/>
      <c r="AZ53" s="255"/>
      <c r="BA53" s="255"/>
      <c r="BB53" s="255"/>
      <c r="BC53" s="255"/>
      <c r="BD53" s="255"/>
      <c r="BE53" s="255"/>
      <c r="BF53" s="255"/>
      <c r="BG53" s="255"/>
      <c r="BH53" s="255"/>
      <c r="BI53" s="255"/>
      <c r="BJ53" s="255"/>
      <c r="EL53" s="16"/>
      <c r="HC53" s="237"/>
      <c r="HD53" s="188"/>
      <c r="HE53" s="188"/>
      <c r="HF53" s="188"/>
      <c r="HG53" s="188"/>
      <c r="HH53" s="188"/>
      <c r="HI53" s="188"/>
      <c r="HJ53" s="188"/>
      <c r="HK53" s="188"/>
      <c r="HL53" s="188"/>
      <c r="HM53" s="188"/>
      <c r="HN53" s="188"/>
      <c r="HO53" s="188"/>
      <c r="HP53" s="188"/>
      <c r="HQ53" s="188"/>
      <c r="HR53" s="188"/>
      <c r="HS53" s="188"/>
      <c r="HT53" s="188"/>
      <c r="HU53" s="188"/>
      <c r="HV53" s="188"/>
      <c r="HW53" s="188"/>
      <c r="HX53" s="188"/>
      <c r="HY53" s="188"/>
      <c r="HZ53" s="188"/>
      <c r="IA53" s="188"/>
      <c r="IB53" s="188"/>
      <c r="IC53" s="188"/>
      <c r="ID53" s="188"/>
      <c r="IE53" s="188"/>
      <c r="IF53" s="188"/>
      <c r="IG53" s="188"/>
      <c r="IH53" s="188"/>
      <c r="II53" s="188"/>
      <c r="IJ53" s="188"/>
      <c r="IK53" s="188"/>
      <c r="IL53" s="188"/>
      <c r="IM53" s="188"/>
      <c r="IN53" s="188"/>
      <c r="IO53" s="188"/>
      <c r="IP53" s="188"/>
      <c r="IQ53" s="238"/>
      <c r="IR53" s="242"/>
      <c r="IS53" s="242"/>
      <c r="IT53" s="242"/>
      <c r="IU53" s="242"/>
      <c r="IV53" s="242"/>
      <c r="IW53" s="242"/>
      <c r="IZ53" s="33"/>
      <c r="JA53" s="33"/>
      <c r="JB53" s="33"/>
      <c r="JC53" s="33"/>
      <c r="JD53" s="33"/>
      <c r="JE53" s="33"/>
      <c r="JF53" s="33"/>
      <c r="JG53" s="33"/>
      <c r="JH53" s="156"/>
      <c r="JI53" s="33"/>
      <c r="JJ53" s="33"/>
      <c r="LQ53" s="12"/>
      <c r="LR53" s="7"/>
    </row>
    <row r="54" spans="3:335" ht="5.0999999999999996" customHeight="1" x14ac:dyDescent="0.3">
      <c r="C54" s="11"/>
      <c r="D54" s="13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255"/>
      <c r="AN54" s="255"/>
      <c r="AO54" s="255"/>
      <c r="AP54" s="255"/>
      <c r="AQ54" s="255"/>
      <c r="AR54" s="255"/>
      <c r="AS54" s="255"/>
      <c r="AT54" s="255"/>
      <c r="AU54" s="255"/>
      <c r="AV54" s="255"/>
      <c r="AW54" s="255"/>
      <c r="AX54" s="255"/>
      <c r="AY54" s="255"/>
      <c r="AZ54" s="255"/>
      <c r="BA54" s="255"/>
      <c r="BB54" s="255"/>
      <c r="BC54" s="255"/>
      <c r="BD54" s="255"/>
      <c r="BE54" s="255"/>
      <c r="BF54" s="255"/>
      <c r="BG54" s="255"/>
      <c r="BH54" s="255"/>
      <c r="BI54" s="255"/>
      <c r="BJ54" s="255"/>
      <c r="EL54" s="16"/>
      <c r="HC54" s="237"/>
      <c r="HD54" s="188"/>
      <c r="HE54" s="188"/>
      <c r="HF54" s="188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88"/>
      <c r="HW54" s="188"/>
      <c r="HX54" s="188"/>
      <c r="HY54" s="188"/>
      <c r="HZ54" s="188"/>
      <c r="IA54" s="188"/>
      <c r="IB54" s="188"/>
      <c r="IC54" s="188"/>
      <c r="ID54" s="188"/>
      <c r="IE54" s="188"/>
      <c r="IF54" s="188"/>
      <c r="IG54" s="188"/>
      <c r="IH54" s="188"/>
      <c r="II54" s="188"/>
      <c r="IJ54" s="188"/>
      <c r="IK54" s="188"/>
      <c r="IL54" s="188"/>
      <c r="IM54" s="188"/>
      <c r="IN54" s="188"/>
      <c r="IO54" s="188"/>
      <c r="IP54" s="188"/>
      <c r="IQ54" s="238"/>
      <c r="IR54" s="242"/>
      <c r="IS54" s="242"/>
      <c r="IT54" s="242"/>
      <c r="IU54" s="242"/>
      <c r="IV54" s="242"/>
      <c r="IW54" s="242"/>
      <c r="IZ54" s="33"/>
      <c r="JA54" s="33"/>
      <c r="JB54" s="33"/>
      <c r="JC54" s="33"/>
      <c r="JD54" s="33"/>
      <c r="JE54" s="33"/>
      <c r="JF54" s="33"/>
      <c r="JG54" s="33"/>
      <c r="JH54" s="156"/>
      <c r="JI54" s="33"/>
      <c r="JJ54" s="33"/>
      <c r="LQ54" s="12"/>
      <c r="LR54" s="7"/>
    </row>
    <row r="55" spans="3:335" ht="5.0999999999999996" customHeight="1" x14ac:dyDescent="0.3">
      <c r="C55" s="11"/>
      <c r="D55" s="13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  <c r="EL55" s="16"/>
      <c r="HC55" s="237"/>
      <c r="HD55" s="188"/>
      <c r="HE55" s="188"/>
      <c r="HF55" s="188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188"/>
      <c r="HW55" s="188"/>
      <c r="HX55" s="188"/>
      <c r="HY55" s="188"/>
      <c r="HZ55" s="188"/>
      <c r="IA55" s="188"/>
      <c r="IB55" s="188"/>
      <c r="IC55" s="188"/>
      <c r="ID55" s="188"/>
      <c r="IE55" s="188"/>
      <c r="IF55" s="188"/>
      <c r="IG55" s="188"/>
      <c r="IH55" s="188"/>
      <c r="II55" s="188"/>
      <c r="IJ55" s="188"/>
      <c r="IK55" s="188"/>
      <c r="IL55" s="188"/>
      <c r="IM55" s="188"/>
      <c r="IN55" s="188"/>
      <c r="IO55" s="188"/>
      <c r="IP55" s="188"/>
      <c r="IQ55" s="238"/>
      <c r="IR55" s="242"/>
      <c r="IS55" s="242"/>
      <c r="IT55" s="242"/>
      <c r="IU55" s="242"/>
      <c r="IV55" s="242"/>
      <c r="IW55" s="242"/>
      <c r="IZ55" s="33"/>
      <c r="JA55" s="33"/>
      <c r="JB55" s="33"/>
      <c r="JC55" s="33"/>
      <c r="JD55" s="33"/>
      <c r="JE55" s="33"/>
      <c r="JF55" s="33"/>
      <c r="JG55" s="33"/>
      <c r="JH55" s="156"/>
      <c r="JI55" s="33"/>
      <c r="JJ55" s="33"/>
      <c r="LQ55" s="12"/>
      <c r="LR55" s="7"/>
    </row>
    <row r="56" spans="3:335" ht="5.0999999999999996" customHeight="1" x14ac:dyDescent="0.3">
      <c r="C56" s="11"/>
      <c r="D56" s="13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  <c r="EL56" s="16"/>
      <c r="HC56" s="239"/>
      <c r="HD56" s="240"/>
      <c r="HE56" s="240"/>
      <c r="HF56" s="240"/>
      <c r="HG56" s="240"/>
      <c r="HH56" s="240"/>
      <c r="HI56" s="240"/>
      <c r="HJ56" s="240"/>
      <c r="HK56" s="240"/>
      <c r="HL56" s="240"/>
      <c r="HM56" s="240"/>
      <c r="HN56" s="240"/>
      <c r="HO56" s="240"/>
      <c r="HP56" s="240"/>
      <c r="HQ56" s="240"/>
      <c r="HR56" s="240"/>
      <c r="HS56" s="240"/>
      <c r="HT56" s="240"/>
      <c r="HU56" s="240"/>
      <c r="HV56" s="240"/>
      <c r="HW56" s="240"/>
      <c r="HX56" s="240"/>
      <c r="HY56" s="240"/>
      <c r="HZ56" s="240"/>
      <c r="IA56" s="240"/>
      <c r="IB56" s="240"/>
      <c r="IC56" s="240"/>
      <c r="ID56" s="240"/>
      <c r="IE56" s="240"/>
      <c r="IF56" s="240"/>
      <c r="IG56" s="240"/>
      <c r="IH56" s="240"/>
      <c r="II56" s="240"/>
      <c r="IJ56" s="240"/>
      <c r="IK56" s="240"/>
      <c r="IL56" s="240"/>
      <c r="IM56" s="240"/>
      <c r="IN56" s="240"/>
      <c r="IO56" s="240"/>
      <c r="IP56" s="240"/>
      <c r="IQ56" s="241"/>
      <c r="IR56" s="242"/>
      <c r="IS56" s="242"/>
      <c r="IT56" s="242"/>
      <c r="IU56" s="242"/>
      <c r="IV56" s="242"/>
      <c r="IW56" s="242"/>
      <c r="IZ56" s="33"/>
      <c r="JA56" s="33"/>
      <c r="JB56" s="33"/>
      <c r="JC56" s="33"/>
      <c r="JD56" s="33"/>
      <c r="JE56" s="33"/>
      <c r="JF56" s="33"/>
      <c r="JG56" s="33"/>
      <c r="JH56" s="156"/>
      <c r="JI56" s="33"/>
      <c r="JJ56" s="33"/>
      <c r="LQ56" s="12"/>
      <c r="LR56" s="7"/>
    </row>
    <row r="57" spans="3:335" ht="5.0999999999999996" customHeight="1" x14ac:dyDescent="0.3">
      <c r="C57" s="11"/>
      <c r="D57" s="13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255"/>
      <c r="BH57" s="255"/>
      <c r="BI57" s="255"/>
      <c r="BJ57" s="255"/>
      <c r="EL57" s="16"/>
      <c r="IZ57" s="33"/>
      <c r="JA57" s="33"/>
      <c r="JB57" s="33"/>
      <c r="JC57" s="33"/>
      <c r="JD57" s="33"/>
      <c r="JE57" s="33"/>
      <c r="JF57" s="33"/>
      <c r="JG57" s="33"/>
      <c r="JH57" s="156"/>
      <c r="JI57" s="33"/>
      <c r="JJ57" s="33"/>
      <c r="LQ57" s="12"/>
      <c r="LR57" s="7"/>
    </row>
    <row r="58" spans="3:335" ht="5.0999999999999996" customHeight="1" x14ac:dyDescent="0.3">
      <c r="C58" s="11"/>
      <c r="D58" s="13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5"/>
      <c r="EL58" s="16"/>
      <c r="IZ58" s="33"/>
      <c r="JA58" s="33"/>
      <c r="JB58" s="33"/>
      <c r="JC58" s="33"/>
      <c r="JD58" s="33"/>
      <c r="JE58" s="33"/>
      <c r="JF58" s="33"/>
      <c r="JG58" s="33"/>
      <c r="JH58" s="156"/>
      <c r="JI58" s="33"/>
      <c r="JJ58" s="33"/>
      <c r="LQ58" s="12"/>
      <c r="LR58" s="7"/>
    </row>
    <row r="59" spans="3:335" ht="5.0999999999999996" customHeight="1" x14ac:dyDescent="0.3">
      <c r="C59" s="11"/>
      <c r="D59" s="13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  <c r="EL59" s="16"/>
      <c r="IZ59" s="33"/>
      <c r="JA59" s="33"/>
      <c r="JB59" s="33"/>
      <c r="JC59" s="33"/>
      <c r="JD59" s="33"/>
      <c r="JE59" s="33"/>
      <c r="JF59" s="33"/>
      <c r="JG59" s="33"/>
      <c r="JH59" s="156"/>
      <c r="JI59" s="33"/>
      <c r="JJ59" s="33"/>
      <c r="LQ59" s="12"/>
      <c r="LR59" s="7"/>
      <c r="LT59" s="3"/>
      <c r="LU59" s="3"/>
      <c r="LV59" s="3"/>
      <c r="LW59" s="2"/>
    </row>
    <row r="60" spans="3:335" ht="5.0999999999999996" customHeight="1" x14ac:dyDescent="0.3">
      <c r="C60" s="11"/>
      <c r="D60" s="13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5"/>
      <c r="BE60" s="255"/>
      <c r="BF60" s="255"/>
      <c r="BG60" s="255"/>
      <c r="BH60" s="255"/>
      <c r="BI60" s="255"/>
      <c r="BJ60" s="255"/>
      <c r="EL60" s="16"/>
      <c r="IZ60" s="33"/>
      <c r="JA60" s="33"/>
      <c r="JB60" s="33"/>
      <c r="JC60" s="33"/>
      <c r="JD60" s="33"/>
      <c r="JE60" s="33"/>
      <c r="JF60" s="33"/>
      <c r="JG60" s="33"/>
      <c r="JH60" s="156"/>
      <c r="JI60" s="33"/>
      <c r="JJ60" s="33"/>
      <c r="LQ60" s="12"/>
      <c r="LR60" s="7"/>
    </row>
    <row r="61" spans="3:335" ht="5.0999999999999996" customHeight="1" x14ac:dyDescent="0.3">
      <c r="C61" s="11"/>
      <c r="D61" s="13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  <c r="AO61" s="255"/>
      <c r="AP61" s="255"/>
      <c r="AQ61" s="255"/>
      <c r="AR61" s="255"/>
      <c r="AS61" s="255"/>
      <c r="AT61" s="255"/>
      <c r="AU61" s="255"/>
      <c r="AV61" s="255"/>
      <c r="AW61" s="255"/>
      <c r="AX61" s="255"/>
      <c r="AY61" s="255"/>
      <c r="AZ61" s="255"/>
      <c r="BA61" s="255"/>
      <c r="BB61" s="255"/>
      <c r="BC61" s="255"/>
      <c r="BD61" s="255"/>
      <c r="BE61" s="255"/>
      <c r="BF61" s="255"/>
      <c r="BG61" s="255"/>
      <c r="BH61" s="255"/>
      <c r="BI61" s="255"/>
      <c r="BJ61" s="255"/>
      <c r="EL61" s="16"/>
      <c r="IZ61" s="33"/>
      <c r="JA61" s="33"/>
      <c r="JB61" s="33"/>
      <c r="JC61" s="33"/>
      <c r="JD61" s="33"/>
      <c r="JE61" s="33"/>
      <c r="JF61" s="33"/>
      <c r="JG61" s="33"/>
      <c r="JH61" s="156"/>
      <c r="JI61" s="33"/>
      <c r="JJ61" s="33"/>
      <c r="LQ61" s="12"/>
      <c r="LR61" s="7"/>
    </row>
    <row r="62" spans="3:335" ht="5.0999999999999996" customHeight="1" x14ac:dyDescent="0.3">
      <c r="C62" s="11"/>
      <c r="D62" s="13"/>
      <c r="AH62" s="15"/>
      <c r="EL62" s="16"/>
      <c r="IZ62" s="33"/>
      <c r="JA62" s="33"/>
      <c r="JB62" s="33"/>
      <c r="JC62" s="33"/>
      <c r="JD62" s="33"/>
      <c r="JE62" s="33"/>
      <c r="JF62" s="33"/>
      <c r="JG62" s="33"/>
      <c r="JH62" s="156"/>
      <c r="JI62" s="33"/>
      <c r="JJ62" s="33"/>
      <c r="LQ62" s="12"/>
      <c r="LR62" s="7"/>
    </row>
    <row r="63" spans="3:335" ht="5.0999999999999996" customHeight="1" x14ac:dyDescent="0.3">
      <c r="C63" s="11"/>
      <c r="D63" s="13"/>
      <c r="Q63" s="184" t="s">
        <v>60</v>
      </c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/>
      <c r="BD63" s="185"/>
      <c r="BE63" s="186"/>
      <c r="BF63" s="225">
        <v>1</v>
      </c>
      <c r="BG63" s="226"/>
      <c r="BH63" s="226"/>
      <c r="BI63" s="226"/>
      <c r="BJ63" s="227"/>
      <c r="EL63" s="16"/>
      <c r="IZ63" s="33"/>
      <c r="JA63" s="33"/>
      <c r="JB63" s="33"/>
      <c r="JC63" s="33"/>
      <c r="JD63" s="33"/>
      <c r="JE63" s="33"/>
      <c r="JF63" s="33"/>
      <c r="JG63" s="33"/>
      <c r="JH63" s="156"/>
      <c r="JI63" s="33"/>
      <c r="JJ63" s="33"/>
      <c r="LQ63" s="12"/>
      <c r="LR63" s="7"/>
    </row>
    <row r="64" spans="3:335" ht="5.0999999999999996" customHeight="1" x14ac:dyDescent="0.3">
      <c r="C64" s="11"/>
      <c r="D64" s="13"/>
      <c r="Q64" s="187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9"/>
      <c r="BF64" s="228"/>
      <c r="BG64" s="229"/>
      <c r="BH64" s="229"/>
      <c r="BI64" s="229"/>
      <c r="BJ64" s="230"/>
      <c r="EL64" s="16"/>
      <c r="IZ64" s="33"/>
      <c r="JA64" s="33"/>
      <c r="JB64" s="33"/>
      <c r="JC64" s="33"/>
      <c r="JD64" s="33"/>
      <c r="JE64" s="33"/>
      <c r="JF64" s="33"/>
      <c r="JG64" s="33"/>
      <c r="JH64" s="156"/>
      <c r="JI64" s="33"/>
      <c r="JJ64" s="33"/>
      <c r="LQ64" s="12"/>
      <c r="LR64" s="7"/>
    </row>
    <row r="65" spans="3:335" ht="5.0999999999999996" customHeight="1" x14ac:dyDescent="0.3">
      <c r="C65" s="11"/>
      <c r="D65" s="13"/>
      <c r="Q65" s="187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9"/>
      <c r="BF65" s="228"/>
      <c r="BG65" s="229"/>
      <c r="BH65" s="229"/>
      <c r="BI65" s="229"/>
      <c r="BJ65" s="230"/>
      <c r="EL65" s="16"/>
      <c r="IZ65" s="33"/>
      <c r="JA65" s="33"/>
      <c r="JB65" s="33"/>
      <c r="JC65" s="33"/>
      <c r="JD65" s="33"/>
      <c r="JE65" s="33"/>
      <c r="JF65" s="33"/>
      <c r="JG65" s="33"/>
      <c r="JH65" s="156"/>
      <c r="JI65" s="33"/>
      <c r="JJ65" s="33"/>
      <c r="LQ65" s="12"/>
      <c r="LR65" s="7"/>
    </row>
    <row r="66" spans="3:335" ht="5.0999999999999996" customHeight="1" x14ac:dyDescent="0.3">
      <c r="C66" s="11"/>
      <c r="D66" s="13"/>
      <c r="Q66" s="187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9"/>
      <c r="BF66" s="228"/>
      <c r="BG66" s="229"/>
      <c r="BH66" s="229"/>
      <c r="BI66" s="229"/>
      <c r="BJ66" s="230"/>
      <c r="EL66" s="16"/>
      <c r="IZ66" s="33"/>
      <c r="JA66" s="33"/>
      <c r="JB66" s="33"/>
      <c r="JC66" s="33"/>
      <c r="JD66" s="33"/>
      <c r="JE66" s="33"/>
      <c r="JF66" s="33"/>
      <c r="JG66" s="33"/>
      <c r="JH66" s="156"/>
      <c r="JI66" s="33"/>
      <c r="JJ66" s="33"/>
      <c r="LQ66" s="12"/>
      <c r="LR66" s="7"/>
    </row>
    <row r="67" spans="3:335" ht="5.0999999999999996" customHeight="1" thickBot="1" x14ac:dyDescent="0.35">
      <c r="C67" s="11"/>
      <c r="D67" s="13"/>
      <c r="Q67" s="187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9"/>
      <c r="BF67" s="228"/>
      <c r="BG67" s="229"/>
      <c r="BH67" s="229"/>
      <c r="BI67" s="229"/>
      <c r="BJ67" s="230"/>
      <c r="EL67" s="16"/>
      <c r="IZ67" s="157"/>
      <c r="JA67" s="157"/>
      <c r="JB67" s="157"/>
      <c r="JC67" s="157"/>
      <c r="JD67" s="157"/>
      <c r="JE67" s="157"/>
      <c r="JF67" s="157"/>
      <c r="JG67" s="157"/>
      <c r="JH67" s="158"/>
      <c r="JI67" s="157"/>
      <c r="JJ67" s="157"/>
      <c r="JK67" s="31"/>
      <c r="JL67" s="31"/>
      <c r="LQ67" s="12"/>
      <c r="LR67" s="7"/>
    </row>
    <row r="68" spans="3:335" ht="5.0999999999999996" customHeight="1" x14ac:dyDescent="0.3">
      <c r="C68" s="11"/>
      <c r="D68" s="13"/>
      <c r="Q68" s="187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9"/>
      <c r="BF68" s="228"/>
      <c r="BG68" s="229"/>
      <c r="BH68" s="229"/>
      <c r="BI68" s="229"/>
      <c r="BJ68" s="230"/>
      <c r="EL68" s="22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33"/>
      <c r="JA68" s="33"/>
      <c r="JB68" s="33"/>
      <c r="JC68" s="33"/>
      <c r="JD68" s="33"/>
      <c r="JE68" s="33"/>
      <c r="JF68" s="33"/>
      <c r="JG68" s="33"/>
      <c r="JH68" s="156"/>
      <c r="JI68" s="33"/>
      <c r="JJ68" s="33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0"/>
      <c r="LQ68" s="12"/>
      <c r="LR68" s="7"/>
    </row>
    <row r="69" spans="3:335" ht="5.0999999999999996" customHeight="1" x14ac:dyDescent="0.3">
      <c r="C69" s="11"/>
      <c r="D69" s="13"/>
      <c r="Q69" s="187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9"/>
      <c r="BF69" s="228"/>
      <c r="BG69" s="229"/>
      <c r="BH69" s="229"/>
      <c r="BI69" s="229"/>
      <c r="BJ69" s="230"/>
      <c r="EL69" s="16"/>
      <c r="IZ69" s="33"/>
      <c r="JA69" s="33"/>
      <c r="JB69" s="33"/>
      <c r="JC69" s="33"/>
      <c r="JD69" s="33"/>
      <c r="JE69" s="33"/>
      <c r="JF69" s="33"/>
      <c r="JG69" s="33"/>
      <c r="JH69" s="156"/>
      <c r="JI69" s="33"/>
      <c r="JJ69" s="33"/>
      <c r="KK69" s="19"/>
      <c r="LQ69" s="12"/>
      <c r="LR69" s="7"/>
      <c r="LT69" s="3"/>
      <c r="LU69" s="3"/>
      <c r="LV69" s="3"/>
      <c r="LW69" s="2"/>
    </row>
    <row r="70" spans="3:335" ht="5.0999999999999996" customHeight="1" x14ac:dyDescent="0.3">
      <c r="C70" s="11"/>
      <c r="D70" s="13"/>
      <c r="Q70" s="187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E70" s="189"/>
      <c r="BF70" s="228"/>
      <c r="BG70" s="229"/>
      <c r="BH70" s="229"/>
      <c r="BI70" s="229"/>
      <c r="BJ70" s="230"/>
      <c r="EL70" s="16"/>
      <c r="IZ70" s="33"/>
      <c r="JA70" s="33"/>
      <c r="JB70" s="33"/>
      <c r="JC70" s="33"/>
      <c r="JD70" s="33"/>
      <c r="JE70" s="33"/>
      <c r="JF70" s="33"/>
      <c r="JG70" s="33"/>
      <c r="JH70" s="156"/>
      <c r="JI70" s="33"/>
      <c r="JJ70" s="33"/>
      <c r="KK70" s="19"/>
      <c r="LQ70" s="12"/>
      <c r="LR70" s="7"/>
    </row>
    <row r="71" spans="3:335" ht="5.0999999999999996" customHeight="1" x14ac:dyDescent="0.3">
      <c r="C71" s="11"/>
      <c r="D71" s="13"/>
      <c r="Q71" s="187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E71" s="189"/>
      <c r="BF71" s="228"/>
      <c r="BG71" s="229"/>
      <c r="BH71" s="229"/>
      <c r="BI71" s="229"/>
      <c r="BJ71" s="230"/>
      <c r="EL71" s="16"/>
      <c r="IZ71" s="33"/>
      <c r="JA71" s="33"/>
      <c r="JB71" s="33"/>
      <c r="JC71" s="33"/>
      <c r="JD71" s="33"/>
      <c r="JE71" s="33"/>
      <c r="JF71" s="33"/>
      <c r="JG71" s="33"/>
      <c r="JH71" s="156"/>
      <c r="JI71" s="33"/>
      <c r="JJ71" s="33"/>
      <c r="KK71" s="19"/>
      <c r="LQ71" s="12"/>
      <c r="LR71" s="7"/>
    </row>
    <row r="72" spans="3:335" ht="5.0999999999999996" customHeight="1" x14ac:dyDescent="0.3">
      <c r="C72" s="11"/>
      <c r="D72" s="13"/>
      <c r="Q72" s="190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  <c r="BD72" s="191"/>
      <c r="BE72" s="192"/>
      <c r="BF72" s="231"/>
      <c r="BG72" s="232"/>
      <c r="BH72" s="232"/>
      <c r="BI72" s="232"/>
      <c r="BJ72" s="233"/>
      <c r="EL72" s="16"/>
      <c r="IZ72" s="33"/>
      <c r="JA72" s="33"/>
      <c r="JB72" s="33"/>
      <c r="JC72" s="33"/>
      <c r="JD72" s="33"/>
      <c r="JE72" s="33"/>
      <c r="JF72" s="33"/>
      <c r="JG72" s="33"/>
      <c r="JH72" s="156"/>
      <c r="JI72" s="33"/>
      <c r="JJ72" s="33"/>
      <c r="KK72" s="19"/>
      <c r="LQ72" s="12"/>
      <c r="LR72" s="7"/>
    </row>
    <row r="73" spans="3:335" ht="5.0999999999999996" customHeight="1" x14ac:dyDescent="0.3">
      <c r="C73" s="11"/>
      <c r="D73" s="13"/>
      <c r="AF73" s="27"/>
      <c r="AG73" s="26"/>
      <c r="EL73" s="16"/>
      <c r="IZ73" s="33"/>
      <c r="JA73" s="33"/>
      <c r="JB73" s="33"/>
      <c r="JC73" s="33"/>
      <c r="JD73" s="33"/>
      <c r="JE73" s="33"/>
      <c r="JF73" s="33"/>
      <c r="JG73" s="33"/>
      <c r="JH73" s="156"/>
      <c r="JI73" s="33"/>
      <c r="JJ73" s="33"/>
      <c r="KK73" s="19"/>
      <c r="LQ73" s="12"/>
      <c r="LR73" s="7"/>
    </row>
    <row r="74" spans="3:335" ht="5.0999999999999996" customHeight="1" x14ac:dyDescent="0.3">
      <c r="C74" s="11"/>
      <c r="D74" s="13"/>
      <c r="Q74" s="184" t="s">
        <v>147</v>
      </c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6"/>
      <c r="BF74" s="225">
        <v>2</v>
      </c>
      <c r="BG74" s="226"/>
      <c r="BH74" s="226"/>
      <c r="BI74" s="226"/>
      <c r="BJ74" s="227"/>
      <c r="EL74" s="16"/>
      <c r="IZ74" s="33"/>
      <c r="JA74" s="33"/>
      <c r="JB74" s="33"/>
      <c r="JC74" s="33"/>
      <c r="JD74" s="33"/>
      <c r="JE74" s="33"/>
      <c r="JF74" s="33"/>
      <c r="JG74" s="33"/>
      <c r="JH74" s="156"/>
      <c r="JI74" s="33"/>
      <c r="JJ74" s="33"/>
      <c r="KK74" s="19"/>
      <c r="LQ74" s="12"/>
      <c r="LR74" s="7"/>
    </row>
    <row r="75" spans="3:335" ht="5.0999999999999996" customHeight="1" x14ac:dyDescent="0.3">
      <c r="C75" s="11"/>
      <c r="D75" s="13"/>
      <c r="Q75" s="187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E75" s="189"/>
      <c r="BF75" s="228"/>
      <c r="BG75" s="229"/>
      <c r="BH75" s="229"/>
      <c r="BI75" s="229"/>
      <c r="BJ75" s="230"/>
      <c r="EL75" s="16"/>
      <c r="IZ75" s="33"/>
      <c r="JA75" s="33"/>
      <c r="JB75" s="33"/>
      <c r="JC75" s="33"/>
      <c r="JD75" s="33"/>
      <c r="JE75" s="33"/>
      <c r="JF75" s="33"/>
      <c r="JG75" s="33"/>
      <c r="JH75" s="156"/>
      <c r="JI75" s="33"/>
      <c r="JJ75" s="33"/>
      <c r="KK75" s="19"/>
      <c r="LQ75" s="12"/>
      <c r="LR75" s="7"/>
    </row>
    <row r="76" spans="3:335" ht="5.0999999999999996" customHeight="1" x14ac:dyDescent="0.3">
      <c r="C76" s="11"/>
      <c r="D76" s="13"/>
      <c r="Q76" s="187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E76" s="189"/>
      <c r="BF76" s="228"/>
      <c r="BG76" s="229"/>
      <c r="BH76" s="229"/>
      <c r="BI76" s="229"/>
      <c r="BJ76" s="230"/>
      <c r="EL76" s="16"/>
      <c r="IF76" s="1" t="s">
        <v>56</v>
      </c>
      <c r="IZ76" s="33"/>
      <c r="JA76" s="33"/>
      <c r="JB76" s="33"/>
      <c r="JC76" s="33"/>
      <c r="JD76" s="33"/>
      <c r="JE76" s="33"/>
      <c r="JF76" s="33"/>
      <c r="JG76" s="33"/>
      <c r="JH76" s="156"/>
      <c r="JI76" s="33"/>
      <c r="JJ76" s="33"/>
      <c r="JY76" s="1">
        <v>1</v>
      </c>
      <c r="KK76" s="19"/>
      <c r="LQ76" s="12"/>
      <c r="LR76" s="7"/>
    </row>
    <row r="77" spans="3:335" ht="5.0999999999999996" customHeight="1" x14ac:dyDescent="0.3">
      <c r="C77" s="11"/>
      <c r="D77" s="13"/>
      <c r="Q77" s="187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9"/>
      <c r="BF77" s="228"/>
      <c r="BG77" s="229"/>
      <c r="BH77" s="229"/>
      <c r="BI77" s="229"/>
      <c r="BJ77" s="230"/>
      <c r="EL77" s="16"/>
      <c r="IZ77" s="33"/>
      <c r="JA77" s="33"/>
      <c r="JB77" s="33"/>
      <c r="JC77" s="33"/>
      <c r="JD77" s="33"/>
      <c r="JE77" s="33"/>
      <c r="JF77" s="33"/>
      <c r="JG77" s="33"/>
      <c r="JH77" s="156"/>
      <c r="JI77" s="33"/>
      <c r="JJ77" s="33"/>
      <c r="KK77" s="19"/>
      <c r="LQ77" s="12"/>
      <c r="LR77" s="7"/>
    </row>
    <row r="78" spans="3:335" ht="5.0999999999999996" customHeight="1" x14ac:dyDescent="0.3">
      <c r="C78" s="11"/>
      <c r="D78" s="13"/>
      <c r="Q78" s="187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9"/>
      <c r="BF78" s="228"/>
      <c r="BG78" s="229"/>
      <c r="BH78" s="229"/>
      <c r="BI78" s="229"/>
      <c r="BJ78" s="230"/>
      <c r="EL78" s="16"/>
      <c r="IZ78" s="33"/>
      <c r="JA78" s="33"/>
      <c r="JB78" s="33"/>
      <c r="JC78" s="33"/>
      <c r="JD78" s="33"/>
      <c r="JE78" s="33"/>
      <c r="JF78" s="33"/>
      <c r="JG78" s="33"/>
      <c r="JH78" s="156"/>
      <c r="JI78" s="33"/>
      <c r="JJ78" s="33"/>
      <c r="KK78" s="19"/>
      <c r="LQ78" s="12"/>
      <c r="LR78" s="7"/>
    </row>
    <row r="79" spans="3:335" ht="5.0999999999999996" customHeight="1" x14ac:dyDescent="0.3">
      <c r="C79" s="11"/>
      <c r="D79" s="13"/>
      <c r="Q79" s="187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9"/>
      <c r="BF79" s="228"/>
      <c r="BG79" s="229"/>
      <c r="BH79" s="229"/>
      <c r="BI79" s="229"/>
      <c r="BJ79" s="230"/>
      <c r="EL79" s="16"/>
      <c r="IZ79" s="33"/>
      <c r="JA79" s="33"/>
      <c r="JB79" s="33"/>
      <c r="JC79" s="33"/>
      <c r="JD79" s="33"/>
      <c r="JE79" s="33"/>
      <c r="JF79" s="33"/>
      <c r="JG79" s="33"/>
      <c r="JH79" s="156"/>
      <c r="JI79" s="33"/>
      <c r="JJ79" s="33"/>
      <c r="KK79" s="19"/>
      <c r="LQ79" s="12"/>
      <c r="LR79" s="7"/>
    </row>
    <row r="80" spans="3:335" ht="5.0999999999999996" customHeight="1" x14ac:dyDescent="0.3">
      <c r="C80" s="11"/>
      <c r="D80" s="13"/>
      <c r="Q80" s="187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9"/>
      <c r="BF80" s="228"/>
      <c r="BG80" s="229"/>
      <c r="BH80" s="229"/>
      <c r="BI80" s="229"/>
      <c r="BJ80" s="230"/>
      <c r="EL80" s="16"/>
      <c r="IZ80" s="33"/>
      <c r="JA80" s="33"/>
      <c r="JB80" s="33"/>
      <c r="JC80" s="33"/>
      <c r="JD80" s="33"/>
      <c r="JE80" s="33"/>
      <c r="JF80" s="33"/>
      <c r="JG80" s="33"/>
      <c r="JH80" s="156"/>
      <c r="JI80" s="33"/>
      <c r="JJ80" s="33"/>
      <c r="KK80" s="19"/>
      <c r="LQ80" s="12"/>
      <c r="LR80" s="7"/>
    </row>
    <row r="81" spans="3:330" ht="5.0999999999999996" customHeight="1" x14ac:dyDescent="0.3">
      <c r="C81" s="11"/>
      <c r="D81" s="13"/>
      <c r="Q81" s="187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E81" s="189"/>
      <c r="BF81" s="228"/>
      <c r="BG81" s="229"/>
      <c r="BH81" s="229"/>
      <c r="BI81" s="229"/>
      <c r="BJ81" s="230"/>
      <c r="EL81" s="16"/>
      <c r="IZ81" s="33"/>
      <c r="JA81" s="33"/>
      <c r="JB81" s="33"/>
      <c r="JC81" s="33"/>
      <c r="JD81" s="33"/>
      <c r="JE81" s="33"/>
      <c r="JF81" s="33"/>
      <c r="JG81" s="33"/>
      <c r="JH81" s="156"/>
      <c r="JI81" s="33"/>
      <c r="JJ81" s="33"/>
      <c r="KK81" s="19"/>
      <c r="LQ81" s="12"/>
      <c r="LR81" s="7"/>
    </row>
    <row r="82" spans="3:330" ht="5.0999999999999996" customHeight="1" x14ac:dyDescent="0.3">
      <c r="C82" s="11"/>
      <c r="D82" s="13"/>
      <c r="Q82" s="187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E82" s="189"/>
      <c r="BF82" s="228"/>
      <c r="BG82" s="229"/>
      <c r="BH82" s="229"/>
      <c r="BI82" s="229"/>
      <c r="BJ82" s="230"/>
      <c r="EL82" s="16"/>
      <c r="FL82" s="184" t="s">
        <v>148</v>
      </c>
      <c r="FM82" s="185"/>
      <c r="FN82" s="185"/>
      <c r="FO82" s="185"/>
      <c r="FP82" s="185"/>
      <c r="FQ82" s="185"/>
      <c r="FR82" s="185"/>
      <c r="FS82" s="185"/>
      <c r="FT82" s="185"/>
      <c r="FU82" s="185"/>
      <c r="FV82" s="185"/>
      <c r="FW82" s="185"/>
      <c r="FX82" s="185"/>
      <c r="FY82" s="185"/>
      <c r="FZ82" s="185"/>
      <c r="GA82" s="185"/>
      <c r="GB82" s="185"/>
      <c r="GC82" s="185"/>
      <c r="GD82" s="185"/>
      <c r="GE82" s="185"/>
      <c r="GF82" s="185"/>
      <c r="GG82" s="185"/>
      <c r="GH82" s="185"/>
      <c r="GI82" s="185"/>
      <c r="GJ82" s="185"/>
      <c r="GK82" s="185"/>
      <c r="GL82" s="185"/>
      <c r="GM82" s="185"/>
      <c r="GN82" s="185"/>
      <c r="GO82" s="185"/>
      <c r="GP82" s="185"/>
      <c r="GQ82" s="185"/>
      <c r="GR82" s="185"/>
      <c r="GS82" s="185"/>
      <c r="GT82" s="185"/>
      <c r="GU82" s="185"/>
      <c r="GV82" s="185"/>
      <c r="GW82" s="185"/>
      <c r="GX82" s="185"/>
      <c r="GY82" s="186"/>
      <c r="GZ82" s="184">
        <v>0</v>
      </c>
      <c r="HA82" s="185"/>
      <c r="HB82" s="185"/>
      <c r="HC82" s="185"/>
      <c r="HD82" s="186"/>
      <c r="IZ82" s="33"/>
      <c r="JA82" s="33"/>
      <c r="JB82" s="33"/>
      <c r="JC82" s="33"/>
      <c r="JD82" s="33"/>
      <c r="JE82" s="33"/>
      <c r="JF82" s="33"/>
      <c r="JG82" s="33"/>
      <c r="JH82" s="156"/>
      <c r="JI82" s="33"/>
      <c r="JJ82" s="33"/>
      <c r="KK82" s="19"/>
      <c r="LQ82" s="12"/>
      <c r="LR82" s="7"/>
    </row>
    <row r="83" spans="3:330" ht="5.0999999999999996" customHeight="1" x14ac:dyDescent="0.3">
      <c r="C83" s="11"/>
      <c r="D83" s="13"/>
      <c r="Q83" s="190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  <c r="BE83" s="192"/>
      <c r="BF83" s="231"/>
      <c r="BG83" s="232"/>
      <c r="BH83" s="232"/>
      <c r="BI83" s="232"/>
      <c r="BJ83" s="233"/>
      <c r="EL83" s="16"/>
      <c r="FL83" s="187"/>
      <c r="FM83" s="188"/>
      <c r="FN83" s="188"/>
      <c r="FO83" s="188"/>
      <c r="FP83" s="188"/>
      <c r="FQ83" s="188"/>
      <c r="FR83" s="188"/>
      <c r="FS83" s="188"/>
      <c r="FT83" s="188"/>
      <c r="FU83" s="188"/>
      <c r="FV83" s="188"/>
      <c r="FW83" s="188"/>
      <c r="FX83" s="188"/>
      <c r="FY83" s="188"/>
      <c r="FZ83" s="188"/>
      <c r="GA83" s="188"/>
      <c r="GB83" s="188"/>
      <c r="GC83" s="188"/>
      <c r="GD83" s="188"/>
      <c r="GE83" s="188"/>
      <c r="GF83" s="188"/>
      <c r="GG83" s="188"/>
      <c r="GH83" s="188"/>
      <c r="GI83" s="188"/>
      <c r="GJ83" s="188"/>
      <c r="GK83" s="188"/>
      <c r="GL83" s="188"/>
      <c r="GM83" s="188"/>
      <c r="GN83" s="188"/>
      <c r="GO83" s="188"/>
      <c r="GP83" s="188"/>
      <c r="GQ83" s="188"/>
      <c r="GR83" s="188"/>
      <c r="GS83" s="188"/>
      <c r="GT83" s="188"/>
      <c r="GU83" s="188"/>
      <c r="GV83" s="188"/>
      <c r="GW83" s="188"/>
      <c r="GX83" s="188"/>
      <c r="GY83" s="189"/>
      <c r="GZ83" s="187"/>
      <c r="HA83" s="188"/>
      <c r="HB83" s="188"/>
      <c r="HC83" s="188"/>
      <c r="HD83" s="189"/>
      <c r="IZ83" s="33"/>
      <c r="JA83" s="33"/>
      <c r="JB83" s="33"/>
      <c r="JC83" s="33"/>
      <c r="JD83" s="33"/>
      <c r="JE83" s="33"/>
      <c r="JF83" s="33"/>
      <c r="JG83" s="33"/>
      <c r="JH83" s="156"/>
      <c r="JI83" s="33"/>
      <c r="JJ83" s="33"/>
      <c r="KK83" s="19"/>
      <c r="LQ83" s="12"/>
      <c r="LR83" s="7"/>
    </row>
    <row r="84" spans="3:330" ht="5.0999999999999996" customHeight="1" x14ac:dyDescent="0.3">
      <c r="C84" s="11"/>
      <c r="D84" s="13"/>
      <c r="AF84" s="27"/>
      <c r="AG84" s="26"/>
      <c r="EL84" s="16"/>
      <c r="FL84" s="187"/>
      <c r="FM84" s="188"/>
      <c r="FN84" s="188"/>
      <c r="FO84" s="188"/>
      <c r="FP84" s="188"/>
      <c r="FQ84" s="188"/>
      <c r="FR84" s="188"/>
      <c r="FS84" s="188"/>
      <c r="FT84" s="188"/>
      <c r="FU84" s="188"/>
      <c r="FV84" s="188"/>
      <c r="FW84" s="188"/>
      <c r="FX84" s="188"/>
      <c r="FY84" s="188"/>
      <c r="FZ84" s="188"/>
      <c r="GA84" s="188"/>
      <c r="GB84" s="188"/>
      <c r="GC84" s="188"/>
      <c r="GD84" s="188"/>
      <c r="GE84" s="188"/>
      <c r="GF84" s="188"/>
      <c r="GG84" s="188"/>
      <c r="GH84" s="188"/>
      <c r="GI84" s="188"/>
      <c r="GJ84" s="188"/>
      <c r="GK84" s="188"/>
      <c r="GL84" s="188"/>
      <c r="GM84" s="188"/>
      <c r="GN84" s="188"/>
      <c r="GO84" s="188"/>
      <c r="GP84" s="188"/>
      <c r="GQ84" s="188"/>
      <c r="GR84" s="188"/>
      <c r="GS84" s="188"/>
      <c r="GT84" s="188"/>
      <c r="GU84" s="188"/>
      <c r="GV84" s="188"/>
      <c r="GW84" s="188"/>
      <c r="GX84" s="188"/>
      <c r="GY84" s="189"/>
      <c r="GZ84" s="187"/>
      <c r="HA84" s="188"/>
      <c r="HB84" s="188"/>
      <c r="HC84" s="188"/>
      <c r="HD84" s="189"/>
      <c r="IZ84" s="33"/>
      <c r="JA84" s="33"/>
      <c r="JB84" s="33"/>
      <c r="JC84" s="33"/>
      <c r="JD84" s="33"/>
      <c r="JE84" s="33"/>
      <c r="JF84" s="33"/>
      <c r="JG84" s="33"/>
      <c r="JH84" s="156"/>
      <c r="JI84" s="33"/>
      <c r="JJ84" s="33"/>
      <c r="KK84" s="19"/>
      <c r="LQ84" s="12"/>
      <c r="LR84" s="7"/>
    </row>
    <row r="85" spans="3:330" ht="5.0999999999999996" customHeight="1" x14ac:dyDescent="0.3">
      <c r="C85" s="11"/>
      <c r="D85" s="13"/>
      <c r="Q85" s="184" t="s">
        <v>58</v>
      </c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6"/>
      <c r="BF85" s="225">
        <v>2</v>
      </c>
      <c r="BG85" s="226"/>
      <c r="BH85" s="226"/>
      <c r="BI85" s="226"/>
      <c r="BJ85" s="227"/>
      <c r="BS85" s="184" t="s">
        <v>59</v>
      </c>
      <c r="BT85" s="185"/>
      <c r="BU85" s="185"/>
      <c r="BV85" s="185"/>
      <c r="BW85" s="185"/>
      <c r="BX85" s="185"/>
      <c r="BY85" s="185"/>
      <c r="BZ85" s="185"/>
      <c r="CA85" s="185"/>
      <c r="CB85" s="185"/>
      <c r="CC85" s="185"/>
      <c r="CD85" s="185"/>
      <c r="CE85" s="185"/>
      <c r="CF85" s="185"/>
      <c r="CG85" s="185"/>
      <c r="CH85" s="185"/>
      <c r="CI85" s="185"/>
      <c r="CJ85" s="185"/>
      <c r="CK85" s="185"/>
      <c r="CL85" s="185"/>
      <c r="CM85" s="185"/>
      <c r="CN85" s="185"/>
      <c r="CO85" s="185"/>
      <c r="CP85" s="185"/>
      <c r="CQ85" s="185"/>
      <c r="CR85" s="185"/>
      <c r="CS85" s="185"/>
      <c r="CT85" s="185"/>
      <c r="CU85" s="185"/>
      <c r="CV85" s="185"/>
      <c r="CW85" s="185"/>
      <c r="CX85" s="185"/>
      <c r="CY85" s="185"/>
      <c r="CZ85" s="185"/>
      <c r="DA85" s="185"/>
      <c r="DB85" s="185"/>
      <c r="DC85" s="185"/>
      <c r="DD85" s="185"/>
      <c r="DE85" s="185"/>
      <c r="DF85" s="186"/>
      <c r="DG85" s="184">
        <v>1</v>
      </c>
      <c r="DH85" s="185"/>
      <c r="DI85" s="185"/>
      <c r="DJ85" s="185"/>
      <c r="DK85" s="186"/>
      <c r="EL85" s="16"/>
      <c r="FL85" s="187"/>
      <c r="FM85" s="188"/>
      <c r="FN85" s="188"/>
      <c r="FO85" s="188"/>
      <c r="FP85" s="188"/>
      <c r="FQ85" s="188"/>
      <c r="FR85" s="188"/>
      <c r="FS85" s="188"/>
      <c r="FT85" s="188"/>
      <c r="FU85" s="188"/>
      <c r="FV85" s="188"/>
      <c r="FW85" s="188"/>
      <c r="FX85" s="188"/>
      <c r="FY85" s="188"/>
      <c r="FZ85" s="188"/>
      <c r="GA85" s="188"/>
      <c r="GB85" s="188"/>
      <c r="GC85" s="188"/>
      <c r="GD85" s="188"/>
      <c r="GE85" s="188"/>
      <c r="GF85" s="188"/>
      <c r="GG85" s="188"/>
      <c r="GH85" s="188"/>
      <c r="GI85" s="188"/>
      <c r="GJ85" s="188"/>
      <c r="GK85" s="188"/>
      <c r="GL85" s="188"/>
      <c r="GM85" s="188"/>
      <c r="GN85" s="188"/>
      <c r="GO85" s="188"/>
      <c r="GP85" s="188"/>
      <c r="GQ85" s="188"/>
      <c r="GR85" s="188"/>
      <c r="GS85" s="188"/>
      <c r="GT85" s="188"/>
      <c r="GU85" s="188"/>
      <c r="GV85" s="188"/>
      <c r="GW85" s="188"/>
      <c r="GX85" s="188"/>
      <c r="GY85" s="189"/>
      <c r="GZ85" s="187"/>
      <c r="HA85" s="188"/>
      <c r="HB85" s="188"/>
      <c r="HC85" s="188"/>
      <c r="HD85" s="189"/>
      <c r="IZ85" s="33"/>
      <c r="JA85" s="33"/>
      <c r="JB85" s="33"/>
      <c r="JC85" s="33"/>
      <c r="JD85" s="33"/>
      <c r="JE85" s="33"/>
      <c r="JF85" s="33"/>
      <c r="JG85" s="33"/>
      <c r="JH85" s="156"/>
      <c r="JI85" s="33"/>
      <c r="JJ85" s="33"/>
      <c r="KK85" s="19"/>
      <c r="LQ85" s="12"/>
      <c r="LR85" s="7"/>
    </row>
    <row r="86" spans="3:330" ht="5.0999999999999996" customHeight="1" x14ac:dyDescent="0.3">
      <c r="C86" s="11"/>
      <c r="D86" s="13"/>
      <c r="Q86" s="187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E86" s="189"/>
      <c r="BF86" s="228"/>
      <c r="BG86" s="229"/>
      <c r="BH86" s="229"/>
      <c r="BI86" s="229"/>
      <c r="BJ86" s="230"/>
      <c r="BS86" s="187"/>
      <c r="BT86" s="188"/>
      <c r="BU86" s="188"/>
      <c r="BV86" s="188"/>
      <c r="BW86" s="188"/>
      <c r="BX86" s="188"/>
      <c r="BY86" s="188"/>
      <c r="BZ86" s="188"/>
      <c r="CA86" s="188"/>
      <c r="CB86" s="188"/>
      <c r="CC86" s="188"/>
      <c r="CD86" s="188"/>
      <c r="CE86" s="188"/>
      <c r="CF86" s="188"/>
      <c r="CG86" s="188"/>
      <c r="CH86" s="188"/>
      <c r="CI86" s="188"/>
      <c r="CJ86" s="188"/>
      <c r="CK86" s="188"/>
      <c r="CL86" s="188"/>
      <c r="CM86" s="188"/>
      <c r="CN86" s="188"/>
      <c r="CO86" s="188"/>
      <c r="CP86" s="188"/>
      <c r="CQ86" s="188"/>
      <c r="CR86" s="188"/>
      <c r="CS86" s="188"/>
      <c r="CT86" s="188"/>
      <c r="CU86" s="188"/>
      <c r="CV86" s="188"/>
      <c r="CW86" s="188"/>
      <c r="CX86" s="188"/>
      <c r="CY86" s="188"/>
      <c r="CZ86" s="188"/>
      <c r="DA86" s="188"/>
      <c r="DB86" s="188"/>
      <c r="DC86" s="188"/>
      <c r="DD86" s="188"/>
      <c r="DE86" s="188"/>
      <c r="DF86" s="189"/>
      <c r="DG86" s="187"/>
      <c r="DH86" s="188"/>
      <c r="DI86" s="188"/>
      <c r="DJ86" s="188"/>
      <c r="DK86" s="189"/>
      <c r="EL86" s="16"/>
      <c r="FL86" s="187"/>
      <c r="FM86" s="188"/>
      <c r="FN86" s="188"/>
      <c r="FO86" s="188"/>
      <c r="FP86" s="188"/>
      <c r="FQ86" s="188"/>
      <c r="FR86" s="188"/>
      <c r="FS86" s="188"/>
      <c r="FT86" s="188"/>
      <c r="FU86" s="188"/>
      <c r="FV86" s="188"/>
      <c r="FW86" s="188"/>
      <c r="FX86" s="188"/>
      <c r="FY86" s="188"/>
      <c r="FZ86" s="188"/>
      <c r="GA86" s="188"/>
      <c r="GB86" s="188"/>
      <c r="GC86" s="188"/>
      <c r="GD86" s="188"/>
      <c r="GE86" s="188"/>
      <c r="GF86" s="188"/>
      <c r="GG86" s="188"/>
      <c r="GH86" s="188"/>
      <c r="GI86" s="188"/>
      <c r="GJ86" s="188"/>
      <c r="GK86" s="188"/>
      <c r="GL86" s="188"/>
      <c r="GM86" s="188"/>
      <c r="GN86" s="188"/>
      <c r="GO86" s="188"/>
      <c r="GP86" s="188"/>
      <c r="GQ86" s="188"/>
      <c r="GR86" s="188"/>
      <c r="GS86" s="188"/>
      <c r="GT86" s="188"/>
      <c r="GU86" s="188"/>
      <c r="GV86" s="188"/>
      <c r="GW86" s="188"/>
      <c r="GX86" s="188"/>
      <c r="GY86" s="189"/>
      <c r="GZ86" s="187"/>
      <c r="HA86" s="188"/>
      <c r="HB86" s="188"/>
      <c r="HC86" s="188"/>
      <c r="HD86" s="189"/>
      <c r="IZ86" s="33"/>
      <c r="JA86" s="33"/>
      <c r="JB86" s="33"/>
      <c r="JC86" s="33"/>
      <c r="JD86" s="33"/>
      <c r="JE86" s="33"/>
      <c r="JF86" s="33"/>
      <c r="JG86" s="33"/>
      <c r="JH86" s="156"/>
      <c r="JI86" s="33"/>
      <c r="JJ86" s="33"/>
      <c r="KK86" s="19"/>
      <c r="LQ86" s="12"/>
      <c r="LR86" s="7"/>
    </row>
    <row r="87" spans="3:330" ht="5.0999999999999996" customHeight="1" x14ac:dyDescent="0.3">
      <c r="C87" s="11"/>
      <c r="D87" s="13"/>
      <c r="Q87" s="187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E87" s="189"/>
      <c r="BF87" s="228"/>
      <c r="BG87" s="229"/>
      <c r="BH87" s="229"/>
      <c r="BI87" s="229"/>
      <c r="BJ87" s="230"/>
      <c r="BS87" s="187"/>
      <c r="BT87" s="188"/>
      <c r="BU87" s="188"/>
      <c r="BV87" s="188"/>
      <c r="BW87" s="188"/>
      <c r="BX87" s="188"/>
      <c r="BY87" s="188"/>
      <c r="BZ87" s="188"/>
      <c r="CA87" s="188"/>
      <c r="CB87" s="188"/>
      <c r="CC87" s="188"/>
      <c r="CD87" s="188"/>
      <c r="CE87" s="188"/>
      <c r="CF87" s="188"/>
      <c r="CG87" s="188"/>
      <c r="CH87" s="188"/>
      <c r="CI87" s="188"/>
      <c r="CJ87" s="188"/>
      <c r="CK87" s="188"/>
      <c r="CL87" s="188"/>
      <c r="CM87" s="188"/>
      <c r="CN87" s="188"/>
      <c r="CO87" s="188"/>
      <c r="CP87" s="188"/>
      <c r="CQ87" s="188"/>
      <c r="CR87" s="188"/>
      <c r="CS87" s="188"/>
      <c r="CT87" s="188"/>
      <c r="CU87" s="188"/>
      <c r="CV87" s="188"/>
      <c r="CW87" s="188"/>
      <c r="CX87" s="188"/>
      <c r="CY87" s="188"/>
      <c r="CZ87" s="188"/>
      <c r="DA87" s="188"/>
      <c r="DB87" s="188"/>
      <c r="DC87" s="188"/>
      <c r="DD87" s="188"/>
      <c r="DE87" s="188"/>
      <c r="DF87" s="189"/>
      <c r="DG87" s="187"/>
      <c r="DH87" s="188"/>
      <c r="DI87" s="188"/>
      <c r="DJ87" s="188"/>
      <c r="DK87" s="189"/>
      <c r="EL87" s="16"/>
      <c r="FL87" s="187"/>
      <c r="FM87" s="188"/>
      <c r="FN87" s="188"/>
      <c r="FO87" s="188"/>
      <c r="FP87" s="188"/>
      <c r="FQ87" s="188"/>
      <c r="FR87" s="188"/>
      <c r="FS87" s="188"/>
      <c r="FT87" s="188"/>
      <c r="FU87" s="188"/>
      <c r="FV87" s="188"/>
      <c r="FW87" s="188"/>
      <c r="FX87" s="188"/>
      <c r="FY87" s="188"/>
      <c r="FZ87" s="188"/>
      <c r="GA87" s="188"/>
      <c r="GB87" s="188"/>
      <c r="GC87" s="188"/>
      <c r="GD87" s="188"/>
      <c r="GE87" s="188"/>
      <c r="GF87" s="188"/>
      <c r="GG87" s="188"/>
      <c r="GH87" s="188"/>
      <c r="GI87" s="188"/>
      <c r="GJ87" s="188"/>
      <c r="GK87" s="188"/>
      <c r="GL87" s="188"/>
      <c r="GM87" s="188"/>
      <c r="GN87" s="188"/>
      <c r="GO87" s="188"/>
      <c r="GP87" s="188"/>
      <c r="GQ87" s="188"/>
      <c r="GR87" s="188"/>
      <c r="GS87" s="188"/>
      <c r="GT87" s="188"/>
      <c r="GU87" s="188"/>
      <c r="GV87" s="188"/>
      <c r="GW87" s="188"/>
      <c r="GX87" s="188"/>
      <c r="GY87" s="189"/>
      <c r="GZ87" s="187"/>
      <c r="HA87" s="188"/>
      <c r="HB87" s="188"/>
      <c r="HC87" s="188"/>
      <c r="HD87" s="189"/>
      <c r="IZ87" s="33"/>
      <c r="JA87" s="33"/>
      <c r="JB87" s="33"/>
      <c r="JC87" s="33"/>
      <c r="JD87" s="33"/>
      <c r="JE87" s="33"/>
      <c r="JF87" s="33"/>
      <c r="JG87" s="33"/>
      <c r="JH87" s="156"/>
      <c r="JI87" s="33"/>
      <c r="JJ87" s="33"/>
      <c r="KK87" s="19"/>
      <c r="LQ87" s="12"/>
      <c r="LR87" s="7"/>
    </row>
    <row r="88" spans="3:330" ht="5.0999999999999996" customHeight="1" x14ac:dyDescent="0.3">
      <c r="C88" s="11"/>
      <c r="D88" s="13"/>
      <c r="Q88" s="187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E88" s="189"/>
      <c r="BF88" s="228"/>
      <c r="BG88" s="229"/>
      <c r="BH88" s="229"/>
      <c r="BI88" s="229"/>
      <c r="BJ88" s="230"/>
      <c r="BS88" s="187"/>
      <c r="BT88" s="188"/>
      <c r="BU88" s="188"/>
      <c r="BV88" s="188"/>
      <c r="BW88" s="188"/>
      <c r="BX88" s="188"/>
      <c r="BY88" s="188"/>
      <c r="BZ88" s="188"/>
      <c r="CA88" s="188"/>
      <c r="CB88" s="188"/>
      <c r="CC88" s="188"/>
      <c r="CD88" s="188"/>
      <c r="CE88" s="188"/>
      <c r="CF88" s="188"/>
      <c r="CG88" s="188"/>
      <c r="CH88" s="188"/>
      <c r="CI88" s="188"/>
      <c r="CJ88" s="188"/>
      <c r="CK88" s="188"/>
      <c r="CL88" s="188"/>
      <c r="CM88" s="188"/>
      <c r="CN88" s="188"/>
      <c r="CO88" s="188"/>
      <c r="CP88" s="188"/>
      <c r="CQ88" s="188"/>
      <c r="CR88" s="188"/>
      <c r="CS88" s="188"/>
      <c r="CT88" s="188"/>
      <c r="CU88" s="188"/>
      <c r="CV88" s="188"/>
      <c r="CW88" s="188"/>
      <c r="CX88" s="188"/>
      <c r="CY88" s="188"/>
      <c r="CZ88" s="188"/>
      <c r="DA88" s="188"/>
      <c r="DB88" s="188"/>
      <c r="DC88" s="188"/>
      <c r="DD88" s="188"/>
      <c r="DE88" s="188"/>
      <c r="DF88" s="189"/>
      <c r="DG88" s="187"/>
      <c r="DH88" s="188"/>
      <c r="DI88" s="188"/>
      <c r="DJ88" s="188"/>
      <c r="DK88" s="189"/>
      <c r="EL88" s="16"/>
      <c r="FL88" s="187"/>
      <c r="FM88" s="188"/>
      <c r="FN88" s="188"/>
      <c r="FO88" s="188"/>
      <c r="FP88" s="188"/>
      <c r="FQ88" s="188"/>
      <c r="FR88" s="188"/>
      <c r="FS88" s="188"/>
      <c r="FT88" s="188"/>
      <c r="FU88" s="188"/>
      <c r="FV88" s="188"/>
      <c r="FW88" s="188"/>
      <c r="FX88" s="188"/>
      <c r="FY88" s="188"/>
      <c r="FZ88" s="188"/>
      <c r="GA88" s="188"/>
      <c r="GB88" s="188"/>
      <c r="GC88" s="188"/>
      <c r="GD88" s="188"/>
      <c r="GE88" s="188"/>
      <c r="GF88" s="188"/>
      <c r="GG88" s="188"/>
      <c r="GH88" s="188"/>
      <c r="GI88" s="188"/>
      <c r="GJ88" s="188"/>
      <c r="GK88" s="188"/>
      <c r="GL88" s="188"/>
      <c r="GM88" s="188"/>
      <c r="GN88" s="188"/>
      <c r="GO88" s="188"/>
      <c r="GP88" s="188"/>
      <c r="GQ88" s="188"/>
      <c r="GR88" s="188"/>
      <c r="GS88" s="188"/>
      <c r="GT88" s="188"/>
      <c r="GU88" s="188"/>
      <c r="GV88" s="188"/>
      <c r="GW88" s="188"/>
      <c r="GX88" s="188"/>
      <c r="GY88" s="189"/>
      <c r="GZ88" s="187"/>
      <c r="HA88" s="188"/>
      <c r="HB88" s="188"/>
      <c r="HC88" s="188"/>
      <c r="HD88" s="189"/>
      <c r="IZ88" s="33"/>
      <c r="JA88" s="33"/>
      <c r="JB88" s="33"/>
      <c r="JC88" s="33"/>
      <c r="JD88" s="33"/>
      <c r="JE88" s="33"/>
      <c r="JF88" s="33"/>
      <c r="JG88" s="33"/>
      <c r="JH88" s="156"/>
      <c r="JI88" s="33"/>
      <c r="JJ88" s="33"/>
      <c r="KK88" s="19"/>
      <c r="LQ88" s="12"/>
      <c r="LR88" s="7"/>
    </row>
    <row r="89" spans="3:330" ht="5.0999999999999996" customHeight="1" thickBot="1" x14ac:dyDescent="0.35">
      <c r="C89" s="11"/>
      <c r="D89" s="13"/>
      <c r="Q89" s="187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9"/>
      <c r="BF89" s="228"/>
      <c r="BG89" s="229"/>
      <c r="BH89" s="229"/>
      <c r="BI89" s="229"/>
      <c r="BJ89" s="230"/>
      <c r="BS89" s="187"/>
      <c r="BT89" s="188"/>
      <c r="BU89" s="188"/>
      <c r="BV89" s="188"/>
      <c r="BW89" s="188"/>
      <c r="BX89" s="188"/>
      <c r="BY89" s="188"/>
      <c r="BZ89" s="188"/>
      <c r="CA89" s="188"/>
      <c r="CB89" s="188"/>
      <c r="CC89" s="188"/>
      <c r="CD89" s="188"/>
      <c r="CE89" s="188"/>
      <c r="CF89" s="188"/>
      <c r="CG89" s="188"/>
      <c r="CH89" s="188"/>
      <c r="CI89" s="188"/>
      <c r="CJ89" s="188"/>
      <c r="CK89" s="188"/>
      <c r="CL89" s="188"/>
      <c r="CM89" s="188"/>
      <c r="CN89" s="188"/>
      <c r="CO89" s="188"/>
      <c r="CP89" s="188"/>
      <c r="CQ89" s="188"/>
      <c r="CR89" s="188"/>
      <c r="CS89" s="188"/>
      <c r="CT89" s="188"/>
      <c r="CU89" s="188"/>
      <c r="CV89" s="188"/>
      <c r="CW89" s="188"/>
      <c r="CX89" s="188"/>
      <c r="CY89" s="188"/>
      <c r="CZ89" s="188"/>
      <c r="DA89" s="188"/>
      <c r="DB89" s="188"/>
      <c r="DC89" s="188"/>
      <c r="DD89" s="188"/>
      <c r="DE89" s="188"/>
      <c r="DF89" s="189"/>
      <c r="DG89" s="187"/>
      <c r="DH89" s="188"/>
      <c r="DI89" s="188"/>
      <c r="DJ89" s="188"/>
      <c r="DK89" s="189"/>
      <c r="EL89" s="16"/>
      <c r="FL89" s="187"/>
      <c r="FM89" s="188"/>
      <c r="FN89" s="188"/>
      <c r="FO89" s="188"/>
      <c r="FP89" s="188"/>
      <c r="FQ89" s="188"/>
      <c r="FR89" s="188"/>
      <c r="FS89" s="188"/>
      <c r="FT89" s="188"/>
      <c r="FU89" s="188"/>
      <c r="FV89" s="188"/>
      <c r="FW89" s="188"/>
      <c r="FX89" s="188"/>
      <c r="FY89" s="188"/>
      <c r="FZ89" s="188"/>
      <c r="GA89" s="188"/>
      <c r="GB89" s="188"/>
      <c r="GC89" s="188"/>
      <c r="GD89" s="188"/>
      <c r="GE89" s="188"/>
      <c r="GF89" s="188"/>
      <c r="GG89" s="188"/>
      <c r="GH89" s="188"/>
      <c r="GI89" s="188"/>
      <c r="GJ89" s="188"/>
      <c r="GK89" s="188"/>
      <c r="GL89" s="188"/>
      <c r="GM89" s="188"/>
      <c r="GN89" s="188"/>
      <c r="GO89" s="188"/>
      <c r="GP89" s="188"/>
      <c r="GQ89" s="188"/>
      <c r="GR89" s="188"/>
      <c r="GS89" s="188"/>
      <c r="GT89" s="188"/>
      <c r="GU89" s="188"/>
      <c r="GV89" s="188"/>
      <c r="GW89" s="188"/>
      <c r="GX89" s="188"/>
      <c r="GY89" s="189"/>
      <c r="GZ89" s="187"/>
      <c r="HA89" s="188"/>
      <c r="HB89" s="188"/>
      <c r="HC89" s="188"/>
      <c r="HD89" s="189"/>
      <c r="JH89" s="155"/>
      <c r="KK89" s="19"/>
      <c r="LQ89" s="12"/>
      <c r="LR89" s="7"/>
    </row>
    <row r="90" spans="3:330" ht="5.0999999999999996" customHeight="1" x14ac:dyDescent="0.3">
      <c r="C90" s="11"/>
      <c r="D90" s="13"/>
      <c r="Q90" s="187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E90" s="189"/>
      <c r="BF90" s="228"/>
      <c r="BG90" s="229"/>
      <c r="BH90" s="229"/>
      <c r="BI90" s="229"/>
      <c r="BJ90" s="230"/>
      <c r="BS90" s="187"/>
      <c r="BT90" s="188"/>
      <c r="BU90" s="188"/>
      <c r="BV90" s="188"/>
      <c r="BW90" s="188"/>
      <c r="BX90" s="188"/>
      <c r="BY90" s="188"/>
      <c r="BZ90" s="188"/>
      <c r="CA90" s="188"/>
      <c r="CB90" s="188"/>
      <c r="CC90" s="188"/>
      <c r="CD90" s="188"/>
      <c r="CE90" s="188"/>
      <c r="CF90" s="188"/>
      <c r="CG90" s="188"/>
      <c r="CH90" s="188"/>
      <c r="CI90" s="188"/>
      <c r="CJ90" s="188"/>
      <c r="CK90" s="188"/>
      <c r="CL90" s="188"/>
      <c r="CM90" s="188"/>
      <c r="CN90" s="188"/>
      <c r="CO90" s="188"/>
      <c r="CP90" s="188"/>
      <c r="CQ90" s="188"/>
      <c r="CR90" s="188"/>
      <c r="CS90" s="188"/>
      <c r="CT90" s="188"/>
      <c r="CU90" s="188"/>
      <c r="CV90" s="188"/>
      <c r="CW90" s="188"/>
      <c r="CX90" s="188"/>
      <c r="CY90" s="188"/>
      <c r="CZ90" s="188"/>
      <c r="DA90" s="188"/>
      <c r="DB90" s="188"/>
      <c r="DC90" s="188"/>
      <c r="DD90" s="188"/>
      <c r="DE90" s="188"/>
      <c r="DF90" s="189"/>
      <c r="DG90" s="187"/>
      <c r="DH90" s="188"/>
      <c r="DI90" s="188"/>
      <c r="DJ90" s="188"/>
      <c r="DK90" s="189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0"/>
      <c r="EL90" s="16"/>
      <c r="FL90" s="187"/>
      <c r="FM90" s="188"/>
      <c r="FN90" s="188"/>
      <c r="FO90" s="188"/>
      <c r="FP90" s="188"/>
      <c r="FQ90" s="188"/>
      <c r="FR90" s="188"/>
      <c r="FS90" s="188"/>
      <c r="FT90" s="188"/>
      <c r="FU90" s="188"/>
      <c r="FV90" s="188"/>
      <c r="FW90" s="188"/>
      <c r="FX90" s="188"/>
      <c r="FY90" s="188"/>
      <c r="FZ90" s="188"/>
      <c r="GA90" s="188"/>
      <c r="GB90" s="188"/>
      <c r="GC90" s="188"/>
      <c r="GD90" s="188"/>
      <c r="GE90" s="188"/>
      <c r="GF90" s="188"/>
      <c r="GG90" s="188"/>
      <c r="GH90" s="188"/>
      <c r="GI90" s="188"/>
      <c r="GJ90" s="188"/>
      <c r="GK90" s="188"/>
      <c r="GL90" s="188"/>
      <c r="GM90" s="188"/>
      <c r="GN90" s="188"/>
      <c r="GO90" s="188"/>
      <c r="GP90" s="188"/>
      <c r="GQ90" s="188"/>
      <c r="GR90" s="188"/>
      <c r="GS90" s="188"/>
      <c r="GT90" s="188"/>
      <c r="GU90" s="188"/>
      <c r="GV90" s="188"/>
      <c r="GW90" s="188"/>
      <c r="GX90" s="188"/>
      <c r="GY90" s="189"/>
      <c r="GZ90" s="187"/>
      <c r="HA90" s="188"/>
      <c r="HB90" s="188"/>
      <c r="HC90" s="188"/>
      <c r="HD90" s="189"/>
      <c r="JH90" s="155"/>
      <c r="KK90" s="19"/>
      <c r="LQ90" s="12"/>
      <c r="LR90" s="7"/>
    </row>
    <row r="91" spans="3:330" ht="5.0999999999999996" customHeight="1" x14ac:dyDescent="0.3">
      <c r="C91" s="11"/>
      <c r="D91" s="13"/>
      <c r="Q91" s="187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E91" s="189"/>
      <c r="BF91" s="228"/>
      <c r="BG91" s="229"/>
      <c r="BH91" s="229"/>
      <c r="BI91" s="229"/>
      <c r="BJ91" s="230"/>
      <c r="BS91" s="187"/>
      <c r="BT91" s="188"/>
      <c r="BU91" s="188"/>
      <c r="BV91" s="188"/>
      <c r="BW91" s="188"/>
      <c r="BX91" s="188"/>
      <c r="BY91" s="188"/>
      <c r="BZ91" s="188"/>
      <c r="CA91" s="188"/>
      <c r="CB91" s="188"/>
      <c r="CC91" s="188"/>
      <c r="CD91" s="188"/>
      <c r="CE91" s="188"/>
      <c r="CF91" s="188"/>
      <c r="CG91" s="188"/>
      <c r="CH91" s="188"/>
      <c r="CI91" s="188"/>
      <c r="CJ91" s="188"/>
      <c r="CK91" s="188"/>
      <c r="CL91" s="188"/>
      <c r="CM91" s="188"/>
      <c r="CN91" s="188"/>
      <c r="CO91" s="188"/>
      <c r="CP91" s="188"/>
      <c r="CQ91" s="188"/>
      <c r="CR91" s="188"/>
      <c r="CS91" s="188"/>
      <c r="CT91" s="188"/>
      <c r="CU91" s="188"/>
      <c r="CV91" s="188"/>
      <c r="CW91" s="188"/>
      <c r="CX91" s="188"/>
      <c r="CY91" s="188"/>
      <c r="CZ91" s="188"/>
      <c r="DA91" s="188"/>
      <c r="DB91" s="188"/>
      <c r="DC91" s="188"/>
      <c r="DD91" s="188"/>
      <c r="DE91" s="188"/>
      <c r="DF91" s="189"/>
      <c r="DG91" s="187"/>
      <c r="DH91" s="188"/>
      <c r="DI91" s="188"/>
      <c r="DJ91" s="188"/>
      <c r="DK91" s="189"/>
      <c r="EK91" s="19"/>
      <c r="EL91" s="16"/>
      <c r="FL91" s="190"/>
      <c r="FM91" s="191"/>
      <c r="FN91" s="191"/>
      <c r="FO91" s="191"/>
      <c r="FP91" s="191"/>
      <c r="FQ91" s="191"/>
      <c r="FR91" s="191"/>
      <c r="FS91" s="191"/>
      <c r="FT91" s="191"/>
      <c r="FU91" s="191"/>
      <c r="FV91" s="191"/>
      <c r="FW91" s="191"/>
      <c r="FX91" s="191"/>
      <c r="FY91" s="191"/>
      <c r="FZ91" s="191"/>
      <c r="GA91" s="191"/>
      <c r="GB91" s="191"/>
      <c r="GC91" s="191"/>
      <c r="GD91" s="191"/>
      <c r="GE91" s="191"/>
      <c r="GF91" s="191"/>
      <c r="GG91" s="191"/>
      <c r="GH91" s="191"/>
      <c r="GI91" s="191"/>
      <c r="GJ91" s="191"/>
      <c r="GK91" s="191"/>
      <c r="GL91" s="191"/>
      <c r="GM91" s="191"/>
      <c r="GN91" s="191"/>
      <c r="GO91" s="191"/>
      <c r="GP91" s="191"/>
      <c r="GQ91" s="191"/>
      <c r="GR91" s="191"/>
      <c r="GS91" s="191"/>
      <c r="GT91" s="191"/>
      <c r="GU91" s="191"/>
      <c r="GV91" s="191"/>
      <c r="GW91" s="191"/>
      <c r="GX91" s="191"/>
      <c r="GY91" s="192"/>
      <c r="GZ91" s="190"/>
      <c r="HA91" s="191"/>
      <c r="HB91" s="191"/>
      <c r="HC91" s="191"/>
      <c r="HD91" s="192"/>
      <c r="JH91" s="155"/>
      <c r="KK91" s="19"/>
      <c r="LQ91" s="12"/>
      <c r="LR91" s="7"/>
    </row>
    <row r="92" spans="3:330" ht="5.0999999999999996" customHeight="1" x14ac:dyDescent="0.3">
      <c r="C92" s="11"/>
      <c r="D92" s="13"/>
      <c r="Q92" s="187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E92" s="189"/>
      <c r="BF92" s="228"/>
      <c r="BG92" s="229"/>
      <c r="BH92" s="229"/>
      <c r="BI92" s="229"/>
      <c r="BJ92" s="230"/>
      <c r="BS92" s="187"/>
      <c r="BT92" s="188"/>
      <c r="BU92" s="188"/>
      <c r="BV92" s="188"/>
      <c r="BW92" s="188"/>
      <c r="BX92" s="188"/>
      <c r="BY92" s="188"/>
      <c r="BZ92" s="188"/>
      <c r="CA92" s="188"/>
      <c r="CB92" s="188"/>
      <c r="CC92" s="188"/>
      <c r="CD92" s="188"/>
      <c r="CE92" s="188"/>
      <c r="CF92" s="188"/>
      <c r="CG92" s="188"/>
      <c r="CH92" s="188"/>
      <c r="CI92" s="188"/>
      <c r="CJ92" s="188"/>
      <c r="CK92" s="188"/>
      <c r="CL92" s="188"/>
      <c r="CM92" s="188"/>
      <c r="CN92" s="188"/>
      <c r="CO92" s="188"/>
      <c r="CP92" s="188"/>
      <c r="CQ92" s="188"/>
      <c r="CR92" s="188"/>
      <c r="CS92" s="188"/>
      <c r="CT92" s="188"/>
      <c r="CU92" s="188"/>
      <c r="CV92" s="188"/>
      <c r="CW92" s="188"/>
      <c r="CX92" s="188"/>
      <c r="CY92" s="188"/>
      <c r="CZ92" s="188"/>
      <c r="DA92" s="188"/>
      <c r="DB92" s="188"/>
      <c r="DC92" s="188"/>
      <c r="DD92" s="188"/>
      <c r="DE92" s="188"/>
      <c r="DF92" s="189"/>
      <c r="DG92" s="187"/>
      <c r="DH92" s="188"/>
      <c r="DI92" s="188"/>
      <c r="DJ92" s="188"/>
      <c r="DK92" s="189"/>
      <c r="EL92" s="16"/>
      <c r="FL92" s="184" t="s">
        <v>56</v>
      </c>
      <c r="FM92" s="185"/>
      <c r="FN92" s="185"/>
      <c r="FO92" s="185"/>
      <c r="FP92" s="185"/>
      <c r="FQ92" s="185"/>
      <c r="FR92" s="185"/>
      <c r="FS92" s="185"/>
      <c r="FT92" s="185"/>
      <c r="FU92" s="185"/>
      <c r="FV92" s="185"/>
      <c r="FW92" s="185"/>
      <c r="FX92" s="185"/>
      <c r="FY92" s="185"/>
      <c r="FZ92" s="185"/>
      <c r="GA92" s="185"/>
      <c r="GB92" s="185"/>
      <c r="GC92" s="185"/>
      <c r="GD92" s="185"/>
      <c r="GE92" s="185"/>
      <c r="GF92" s="185"/>
      <c r="GG92" s="185"/>
      <c r="GH92" s="185"/>
      <c r="GI92" s="185"/>
      <c r="GJ92" s="185"/>
      <c r="GK92" s="185"/>
      <c r="GL92" s="185"/>
      <c r="GM92" s="185"/>
      <c r="GN92" s="185"/>
      <c r="GO92" s="185"/>
      <c r="GP92" s="185"/>
      <c r="GQ92" s="185"/>
      <c r="GR92" s="185"/>
      <c r="GS92" s="185"/>
      <c r="GT92" s="185"/>
      <c r="GU92" s="185"/>
      <c r="GV92" s="185"/>
      <c r="GW92" s="185"/>
      <c r="GX92" s="185"/>
      <c r="GY92" s="186"/>
      <c r="GZ92" s="184">
        <v>3</v>
      </c>
      <c r="HA92" s="185"/>
      <c r="HB92" s="185"/>
      <c r="HC92" s="185"/>
      <c r="HD92" s="186"/>
      <c r="JG92" s="154"/>
      <c r="KK92" s="19"/>
      <c r="LQ92" s="12"/>
      <c r="LR92" s="7"/>
    </row>
    <row r="93" spans="3:330" ht="5.0999999999999996" customHeight="1" x14ac:dyDescent="0.3">
      <c r="C93" s="11"/>
      <c r="D93" s="13"/>
      <c r="Q93" s="190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  <c r="BE93" s="192"/>
      <c r="BF93" s="231"/>
      <c r="BG93" s="232"/>
      <c r="BH93" s="232"/>
      <c r="BI93" s="232"/>
      <c r="BJ93" s="233"/>
      <c r="BS93" s="187"/>
      <c r="BT93" s="188"/>
      <c r="BU93" s="188"/>
      <c r="BV93" s="188"/>
      <c r="BW93" s="188"/>
      <c r="BX93" s="188"/>
      <c r="BY93" s="188"/>
      <c r="BZ93" s="188"/>
      <c r="CA93" s="188"/>
      <c r="CB93" s="188"/>
      <c r="CC93" s="188"/>
      <c r="CD93" s="188"/>
      <c r="CE93" s="188"/>
      <c r="CF93" s="188"/>
      <c r="CG93" s="188"/>
      <c r="CH93" s="188"/>
      <c r="CI93" s="188"/>
      <c r="CJ93" s="188"/>
      <c r="CK93" s="188"/>
      <c r="CL93" s="188"/>
      <c r="CM93" s="188"/>
      <c r="CN93" s="188"/>
      <c r="CO93" s="188"/>
      <c r="CP93" s="188"/>
      <c r="CQ93" s="188"/>
      <c r="CR93" s="188"/>
      <c r="CS93" s="188"/>
      <c r="CT93" s="188"/>
      <c r="CU93" s="188"/>
      <c r="CV93" s="188"/>
      <c r="CW93" s="188"/>
      <c r="CX93" s="188"/>
      <c r="CY93" s="188"/>
      <c r="CZ93" s="188"/>
      <c r="DA93" s="188"/>
      <c r="DB93" s="188"/>
      <c r="DC93" s="188"/>
      <c r="DD93" s="188"/>
      <c r="DE93" s="188"/>
      <c r="DF93" s="189"/>
      <c r="DG93" s="187"/>
      <c r="DH93" s="188"/>
      <c r="DI93" s="188"/>
      <c r="DJ93" s="188"/>
      <c r="DK93" s="189"/>
      <c r="EL93" s="16"/>
      <c r="FL93" s="187"/>
      <c r="FM93" s="188"/>
      <c r="FN93" s="188"/>
      <c r="FO93" s="188"/>
      <c r="FP93" s="188"/>
      <c r="FQ93" s="188"/>
      <c r="FR93" s="188"/>
      <c r="FS93" s="188"/>
      <c r="FT93" s="188"/>
      <c r="FU93" s="188"/>
      <c r="FV93" s="188"/>
      <c r="FW93" s="188"/>
      <c r="FX93" s="188"/>
      <c r="FY93" s="188"/>
      <c r="FZ93" s="188"/>
      <c r="GA93" s="188"/>
      <c r="GB93" s="188"/>
      <c r="GC93" s="188"/>
      <c r="GD93" s="188"/>
      <c r="GE93" s="188"/>
      <c r="GF93" s="188"/>
      <c r="GG93" s="188"/>
      <c r="GH93" s="188"/>
      <c r="GI93" s="188"/>
      <c r="GJ93" s="188"/>
      <c r="GK93" s="188"/>
      <c r="GL93" s="188"/>
      <c r="GM93" s="188"/>
      <c r="GN93" s="188"/>
      <c r="GO93" s="188"/>
      <c r="GP93" s="188"/>
      <c r="GQ93" s="188"/>
      <c r="GR93" s="188"/>
      <c r="GS93" s="188"/>
      <c r="GT93" s="188"/>
      <c r="GU93" s="188"/>
      <c r="GV93" s="188"/>
      <c r="GW93" s="188"/>
      <c r="GX93" s="188"/>
      <c r="GY93" s="189"/>
      <c r="GZ93" s="187"/>
      <c r="HA93" s="188"/>
      <c r="HB93" s="188"/>
      <c r="HC93" s="188"/>
      <c r="HD93" s="189"/>
      <c r="JG93" s="154"/>
      <c r="KK93" s="19"/>
      <c r="LQ93" s="12"/>
      <c r="LR93" s="7"/>
    </row>
    <row r="94" spans="3:330" ht="5.0999999999999996" customHeight="1" x14ac:dyDescent="0.3">
      <c r="C94" s="11"/>
      <c r="D94" s="13"/>
      <c r="BS94" s="190"/>
      <c r="BT94" s="191"/>
      <c r="BU94" s="191"/>
      <c r="BV94" s="191"/>
      <c r="BW94" s="191"/>
      <c r="BX94" s="191"/>
      <c r="BY94" s="191"/>
      <c r="BZ94" s="191"/>
      <c r="CA94" s="191"/>
      <c r="CB94" s="191"/>
      <c r="CC94" s="191"/>
      <c r="CD94" s="191"/>
      <c r="CE94" s="191"/>
      <c r="CF94" s="191"/>
      <c r="CG94" s="191"/>
      <c r="CH94" s="191"/>
      <c r="CI94" s="191"/>
      <c r="CJ94" s="191"/>
      <c r="CK94" s="191"/>
      <c r="CL94" s="191"/>
      <c r="CM94" s="191"/>
      <c r="CN94" s="191"/>
      <c r="CO94" s="191"/>
      <c r="CP94" s="191"/>
      <c r="CQ94" s="191"/>
      <c r="CR94" s="191"/>
      <c r="CS94" s="191"/>
      <c r="CT94" s="191"/>
      <c r="CU94" s="191"/>
      <c r="CV94" s="191"/>
      <c r="CW94" s="191"/>
      <c r="CX94" s="191"/>
      <c r="CY94" s="191"/>
      <c r="CZ94" s="191"/>
      <c r="DA94" s="191"/>
      <c r="DB94" s="191"/>
      <c r="DC94" s="191"/>
      <c r="DD94" s="191"/>
      <c r="DE94" s="191"/>
      <c r="DF94" s="192"/>
      <c r="DG94" s="190"/>
      <c r="DH94" s="191"/>
      <c r="DI94" s="191"/>
      <c r="DJ94" s="191"/>
      <c r="DK94" s="192"/>
      <c r="EL94" s="16"/>
      <c r="FL94" s="187"/>
      <c r="FM94" s="188"/>
      <c r="FN94" s="188"/>
      <c r="FO94" s="188"/>
      <c r="FP94" s="188"/>
      <c r="FQ94" s="188"/>
      <c r="FR94" s="188"/>
      <c r="FS94" s="188"/>
      <c r="FT94" s="188"/>
      <c r="FU94" s="188"/>
      <c r="FV94" s="188"/>
      <c r="FW94" s="188"/>
      <c r="FX94" s="188"/>
      <c r="FY94" s="188"/>
      <c r="FZ94" s="188"/>
      <c r="GA94" s="188"/>
      <c r="GB94" s="188"/>
      <c r="GC94" s="188"/>
      <c r="GD94" s="188"/>
      <c r="GE94" s="188"/>
      <c r="GF94" s="188"/>
      <c r="GG94" s="188"/>
      <c r="GH94" s="188"/>
      <c r="GI94" s="188"/>
      <c r="GJ94" s="188"/>
      <c r="GK94" s="188"/>
      <c r="GL94" s="188"/>
      <c r="GM94" s="188"/>
      <c r="GN94" s="188"/>
      <c r="GO94" s="188"/>
      <c r="GP94" s="188"/>
      <c r="GQ94" s="188"/>
      <c r="GR94" s="188"/>
      <c r="GS94" s="188"/>
      <c r="GT94" s="188"/>
      <c r="GU94" s="188"/>
      <c r="GV94" s="188"/>
      <c r="GW94" s="188"/>
      <c r="GX94" s="188"/>
      <c r="GY94" s="189"/>
      <c r="GZ94" s="187"/>
      <c r="HA94" s="188"/>
      <c r="HB94" s="188"/>
      <c r="HC94" s="188"/>
      <c r="HD94" s="189"/>
      <c r="JG94" s="154"/>
      <c r="KK94" s="19"/>
      <c r="LQ94" s="12"/>
      <c r="LR94" s="7"/>
    </row>
    <row r="95" spans="3:330" ht="5.0999999999999996" customHeight="1" x14ac:dyDescent="0.3">
      <c r="C95" s="11"/>
      <c r="D95" s="13"/>
      <c r="EL95" s="16"/>
      <c r="FL95" s="187"/>
      <c r="FM95" s="188"/>
      <c r="FN95" s="188"/>
      <c r="FO95" s="188"/>
      <c r="FP95" s="188"/>
      <c r="FQ95" s="188"/>
      <c r="FR95" s="188"/>
      <c r="FS95" s="188"/>
      <c r="FT95" s="188"/>
      <c r="FU95" s="188"/>
      <c r="FV95" s="188"/>
      <c r="FW95" s="188"/>
      <c r="FX95" s="188"/>
      <c r="FY95" s="188"/>
      <c r="FZ95" s="188"/>
      <c r="GA95" s="188"/>
      <c r="GB95" s="188"/>
      <c r="GC95" s="188"/>
      <c r="GD95" s="188"/>
      <c r="GE95" s="188"/>
      <c r="GF95" s="188"/>
      <c r="GG95" s="188"/>
      <c r="GH95" s="188"/>
      <c r="GI95" s="188"/>
      <c r="GJ95" s="188"/>
      <c r="GK95" s="188"/>
      <c r="GL95" s="188"/>
      <c r="GM95" s="188"/>
      <c r="GN95" s="188"/>
      <c r="GO95" s="188"/>
      <c r="GP95" s="188"/>
      <c r="GQ95" s="188"/>
      <c r="GR95" s="188"/>
      <c r="GS95" s="188"/>
      <c r="GT95" s="188"/>
      <c r="GU95" s="188"/>
      <c r="GV95" s="188"/>
      <c r="GW95" s="188"/>
      <c r="GX95" s="188"/>
      <c r="GY95" s="189"/>
      <c r="GZ95" s="187"/>
      <c r="HA95" s="188"/>
      <c r="HB95" s="188"/>
      <c r="HC95" s="188"/>
      <c r="HD95" s="189"/>
      <c r="JG95" s="154"/>
      <c r="KK95" s="19"/>
      <c r="LQ95" s="12"/>
      <c r="LR95" s="7"/>
    </row>
    <row r="96" spans="3:330" ht="5.0999999999999996" customHeight="1" x14ac:dyDescent="0.3">
      <c r="C96" s="11"/>
      <c r="D96" s="13"/>
      <c r="EL96" s="16"/>
      <c r="FL96" s="187"/>
      <c r="FM96" s="188"/>
      <c r="FN96" s="188"/>
      <c r="FO96" s="188"/>
      <c r="FP96" s="188"/>
      <c r="FQ96" s="188"/>
      <c r="FR96" s="188"/>
      <c r="FS96" s="188"/>
      <c r="FT96" s="188"/>
      <c r="FU96" s="188"/>
      <c r="FV96" s="188"/>
      <c r="FW96" s="188"/>
      <c r="FX96" s="188"/>
      <c r="FY96" s="188"/>
      <c r="FZ96" s="188"/>
      <c r="GA96" s="188"/>
      <c r="GB96" s="188"/>
      <c r="GC96" s="188"/>
      <c r="GD96" s="188"/>
      <c r="GE96" s="188"/>
      <c r="GF96" s="188"/>
      <c r="GG96" s="188"/>
      <c r="GH96" s="188"/>
      <c r="GI96" s="188"/>
      <c r="GJ96" s="188"/>
      <c r="GK96" s="188"/>
      <c r="GL96" s="188"/>
      <c r="GM96" s="188"/>
      <c r="GN96" s="188"/>
      <c r="GO96" s="188"/>
      <c r="GP96" s="188"/>
      <c r="GQ96" s="188"/>
      <c r="GR96" s="188"/>
      <c r="GS96" s="188"/>
      <c r="GT96" s="188"/>
      <c r="GU96" s="188"/>
      <c r="GV96" s="188"/>
      <c r="GW96" s="188"/>
      <c r="GX96" s="188"/>
      <c r="GY96" s="189"/>
      <c r="GZ96" s="187"/>
      <c r="HA96" s="188"/>
      <c r="HB96" s="188"/>
      <c r="HC96" s="188"/>
      <c r="HD96" s="189"/>
      <c r="JG96" s="154"/>
      <c r="KK96" s="19"/>
      <c r="LQ96" s="12"/>
      <c r="LR96" s="7"/>
    </row>
    <row r="97" spans="3:335" ht="5.0999999999999996" customHeight="1" x14ac:dyDescent="0.3">
      <c r="C97" s="11"/>
      <c r="D97" s="13"/>
      <c r="BS97" s="184" t="s">
        <v>70</v>
      </c>
      <c r="BT97" s="185"/>
      <c r="BU97" s="185"/>
      <c r="BV97" s="185"/>
      <c r="BW97" s="185"/>
      <c r="BX97" s="185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6"/>
      <c r="DG97" s="184">
        <v>0</v>
      </c>
      <c r="DH97" s="185"/>
      <c r="DI97" s="185"/>
      <c r="DJ97" s="185"/>
      <c r="DK97" s="186"/>
      <c r="EL97" s="16"/>
      <c r="FL97" s="187"/>
      <c r="FM97" s="188"/>
      <c r="FN97" s="188"/>
      <c r="FO97" s="188"/>
      <c r="FP97" s="188"/>
      <c r="FQ97" s="188"/>
      <c r="FR97" s="188"/>
      <c r="FS97" s="188"/>
      <c r="FT97" s="188"/>
      <c r="FU97" s="188"/>
      <c r="FV97" s="188"/>
      <c r="FW97" s="188"/>
      <c r="FX97" s="188"/>
      <c r="FY97" s="188"/>
      <c r="FZ97" s="188"/>
      <c r="GA97" s="188"/>
      <c r="GB97" s="188"/>
      <c r="GC97" s="188"/>
      <c r="GD97" s="188"/>
      <c r="GE97" s="188"/>
      <c r="GF97" s="188"/>
      <c r="GG97" s="188"/>
      <c r="GH97" s="188"/>
      <c r="GI97" s="188"/>
      <c r="GJ97" s="188"/>
      <c r="GK97" s="188"/>
      <c r="GL97" s="188"/>
      <c r="GM97" s="188"/>
      <c r="GN97" s="188"/>
      <c r="GO97" s="188"/>
      <c r="GP97" s="188"/>
      <c r="GQ97" s="188"/>
      <c r="GR97" s="188"/>
      <c r="GS97" s="188"/>
      <c r="GT97" s="188"/>
      <c r="GU97" s="188"/>
      <c r="GV97" s="188"/>
      <c r="GW97" s="188"/>
      <c r="GX97" s="188"/>
      <c r="GY97" s="189"/>
      <c r="GZ97" s="187"/>
      <c r="HA97" s="188"/>
      <c r="HB97" s="188"/>
      <c r="HC97" s="188"/>
      <c r="HD97" s="189"/>
      <c r="JG97" s="154"/>
      <c r="KK97" s="19"/>
      <c r="LQ97" s="12"/>
      <c r="LR97" s="7"/>
    </row>
    <row r="98" spans="3:335" ht="5.0999999999999996" customHeight="1" x14ac:dyDescent="0.3">
      <c r="C98" s="11"/>
      <c r="D98" s="13"/>
      <c r="BS98" s="187"/>
      <c r="BT98" s="188"/>
      <c r="BU98" s="188"/>
      <c r="BV98" s="188"/>
      <c r="BW98" s="188"/>
      <c r="BX98" s="188"/>
      <c r="BY98" s="188"/>
      <c r="BZ98" s="188"/>
      <c r="CA98" s="188"/>
      <c r="CB98" s="188"/>
      <c r="CC98" s="188"/>
      <c r="CD98" s="188"/>
      <c r="CE98" s="188"/>
      <c r="CF98" s="188"/>
      <c r="CG98" s="188"/>
      <c r="CH98" s="188"/>
      <c r="CI98" s="188"/>
      <c r="CJ98" s="188"/>
      <c r="CK98" s="188"/>
      <c r="CL98" s="188"/>
      <c r="CM98" s="188"/>
      <c r="CN98" s="188"/>
      <c r="CO98" s="188"/>
      <c r="CP98" s="188"/>
      <c r="CQ98" s="188"/>
      <c r="CR98" s="188"/>
      <c r="CS98" s="188"/>
      <c r="CT98" s="188"/>
      <c r="CU98" s="188"/>
      <c r="CV98" s="188"/>
      <c r="CW98" s="188"/>
      <c r="CX98" s="188"/>
      <c r="CY98" s="188"/>
      <c r="CZ98" s="188"/>
      <c r="DA98" s="188"/>
      <c r="DB98" s="188"/>
      <c r="DC98" s="188"/>
      <c r="DD98" s="188"/>
      <c r="DE98" s="188"/>
      <c r="DF98" s="189"/>
      <c r="DG98" s="187"/>
      <c r="DH98" s="188"/>
      <c r="DI98" s="188"/>
      <c r="DJ98" s="188"/>
      <c r="DK98" s="189"/>
      <c r="EL98" s="16"/>
      <c r="FL98" s="187"/>
      <c r="FM98" s="188"/>
      <c r="FN98" s="188"/>
      <c r="FO98" s="188"/>
      <c r="FP98" s="188"/>
      <c r="FQ98" s="188"/>
      <c r="FR98" s="188"/>
      <c r="FS98" s="188"/>
      <c r="FT98" s="188"/>
      <c r="FU98" s="188"/>
      <c r="FV98" s="188"/>
      <c r="FW98" s="188"/>
      <c r="FX98" s="188"/>
      <c r="FY98" s="188"/>
      <c r="FZ98" s="188"/>
      <c r="GA98" s="188"/>
      <c r="GB98" s="188"/>
      <c r="GC98" s="188"/>
      <c r="GD98" s="188"/>
      <c r="GE98" s="188"/>
      <c r="GF98" s="188"/>
      <c r="GG98" s="188"/>
      <c r="GH98" s="188"/>
      <c r="GI98" s="188"/>
      <c r="GJ98" s="188"/>
      <c r="GK98" s="188"/>
      <c r="GL98" s="188"/>
      <c r="GM98" s="188"/>
      <c r="GN98" s="188"/>
      <c r="GO98" s="188"/>
      <c r="GP98" s="188"/>
      <c r="GQ98" s="188"/>
      <c r="GR98" s="188"/>
      <c r="GS98" s="188"/>
      <c r="GT98" s="188"/>
      <c r="GU98" s="188"/>
      <c r="GV98" s="188"/>
      <c r="GW98" s="188"/>
      <c r="GX98" s="188"/>
      <c r="GY98" s="189"/>
      <c r="GZ98" s="187"/>
      <c r="HA98" s="188"/>
      <c r="HB98" s="188"/>
      <c r="HC98" s="188"/>
      <c r="HD98" s="189"/>
      <c r="JG98" s="154"/>
      <c r="KK98" s="19"/>
      <c r="LQ98" s="12"/>
      <c r="LR98" s="7"/>
    </row>
    <row r="99" spans="3:335" ht="5.0999999999999996" customHeight="1" x14ac:dyDescent="0.3">
      <c r="C99" s="11"/>
      <c r="D99" s="13"/>
      <c r="BS99" s="187"/>
      <c r="BT99" s="188"/>
      <c r="BU99" s="188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8"/>
      <c r="CG99" s="188"/>
      <c r="CH99" s="188"/>
      <c r="CI99" s="188"/>
      <c r="CJ99" s="188"/>
      <c r="CK99" s="188"/>
      <c r="CL99" s="188"/>
      <c r="CM99" s="188"/>
      <c r="CN99" s="188"/>
      <c r="CO99" s="188"/>
      <c r="CP99" s="188"/>
      <c r="CQ99" s="188"/>
      <c r="CR99" s="188"/>
      <c r="CS99" s="188"/>
      <c r="CT99" s="188"/>
      <c r="CU99" s="188"/>
      <c r="CV99" s="188"/>
      <c r="CW99" s="188"/>
      <c r="CX99" s="188"/>
      <c r="CY99" s="188"/>
      <c r="CZ99" s="188"/>
      <c r="DA99" s="188"/>
      <c r="DB99" s="188"/>
      <c r="DC99" s="188"/>
      <c r="DD99" s="188"/>
      <c r="DE99" s="188"/>
      <c r="DF99" s="189"/>
      <c r="DG99" s="187"/>
      <c r="DH99" s="188"/>
      <c r="DI99" s="188"/>
      <c r="DJ99" s="188"/>
      <c r="DK99" s="189"/>
      <c r="EL99" s="16"/>
      <c r="FL99" s="187"/>
      <c r="FM99" s="188"/>
      <c r="FN99" s="188"/>
      <c r="FO99" s="188"/>
      <c r="FP99" s="188"/>
      <c r="FQ99" s="188"/>
      <c r="FR99" s="188"/>
      <c r="FS99" s="188"/>
      <c r="FT99" s="188"/>
      <c r="FU99" s="188"/>
      <c r="FV99" s="188"/>
      <c r="FW99" s="188"/>
      <c r="FX99" s="188"/>
      <c r="FY99" s="188"/>
      <c r="FZ99" s="188"/>
      <c r="GA99" s="188"/>
      <c r="GB99" s="188"/>
      <c r="GC99" s="188"/>
      <c r="GD99" s="188"/>
      <c r="GE99" s="188"/>
      <c r="GF99" s="188"/>
      <c r="GG99" s="188"/>
      <c r="GH99" s="188"/>
      <c r="GI99" s="188"/>
      <c r="GJ99" s="188"/>
      <c r="GK99" s="188"/>
      <c r="GL99" s="188"/>
      <c r="GM99" s="188"/>
      <c r="GN99" s="188"/>
      <c r="GO99" s="188"/>
      <c r="GP99" s="188"/>
      <c r="GQ99" s="188"/>
      <c r="GR99" s="188"/>
      <c r="GS99" s="188"/>
      <c r="GT99" s="188"/>
      <c r="GU99" s="188"/>
      <c r="GV99" s="188"/>
      <c r="GW99" s="188"/>
      <c r="GX99" s="188"/>
      <c r="GY99" s="189"/>
      <c r="GZ99" s="187"/>
      <c r="HA99" s="188"/>
      <c r="HB99" s="188"/>
      <c r="HC99" s="188"/>
      <c r="HD99" s="189"/>
      <c r="JG99" s="154"/>
      <c r="KK99" s="19"/>
      <c r="LQ99" s="12"/>
      <c r="LR99" s="7"/>
    </row>
    <row r="100" spans="3:335" ht="5.0999999999999996" customHeight="1" x14ac:dyDescent="0.3">
      <c r="C100" s="11"/>
      <c r="D100" s="13"/>
      <c r="BS100" s="187"/>
      <c r="BT100" s="188"/>
      <c r="BU100" s="188"/>
      <c r="BV100" s="188"/>
      <c r="BW100" s="188"/>
      <c r="BX100" s="188"/>
      <c r="BY100" s="188"/>
      <c r="BZ100" s="188"/>
      <c r="CA100" s="188"/>
      <c r="CB100" s="188"/>
      <c r="CC100" s="188"/>
      <c r="CD100" s="188"/>
      <c r="CE100" s="188"/>
      <c r="CF100" s="188"/>
      <c r="CG100" s="188"/>
      <c r="CH100" s="188"/>
      <c r="CI100" s="188"/>
      <c r="CJ100" s="188"/>
      <c r="CK100" s="188"/>
      <c r="CL100" s="188"/>
      <c r="CM100" s="188"/>
      <c r="CN100" s="188"/>
      <c r="CO100" s="188"/>
      <c r="CP100" s="188"/>
      <c r="CQ100" s="188"/>
      <c r="CR100" s="188"/>
      <c r="CS100" s="188"/>
      <c r="CT100" s="188"/>
      <c r="CU100" s="188"/>
      <c r="CV100" s="188"/>
      <c r="CW100" s="188"/>
      <c r="CX100" s="188"/>
      <c r="CY100" s="188"/>
      <c r="CZ100" s="188"/>
      <c r="DA100" s="188"/>
      <c r="DB100" s="188"/>
      <c r="DC100" s="188"/>
      <c r="DD100" s="188"/>
      <c r="DE100" s="188"/>
      <c r="DF100" s="189"/>
      <c r="DG100" s="187"/>
      <c r="DH100" s="188"/>
      <c r="DI100" s="188"/>
      <c r="DJ100" s="188"/>
      <c r="DK100" s="189"/>
      <c r="EL100" s="16"/>
      <c r="FL100" s="187"/>
      <c r="FM100" s="188"/>
      <c r="FN100" s="188"/>
      <c r="FO100" s="188"/>
      <c r="FP100" s="188"/>
      <c r="FQ100" s="188"/>
      <c r="FR100" s="188"/>
      <c r="FS100" s="188"/>
      <c r="FT100" s="188"/>
      <c r="FU100" s="188"/>
      <c r="FV100" s="188"/>
      <c r="FW100" s="188"/>
      <c r="FX100" s="188"/>
      <c r="FY100" s="188"/>
      <c r="FZ100" s="188"/>
      <c r="GA100" s="188"/>
      <c r="GB100" s="188"/>
      <c r="GC100" s="188"/>
      <c r="GD100" s="188"/>
      <c r="GE100" s="188"/>
      <c r="GF100" s="188"/>
      <c r="GG100" s="188"/>
      <c r="GH100" s="188"/>
      <c r="GI100" s="188"/>
      <c r="GJ100" s="188"/>
      <c r="GK100" s="188"/>
      <c r="GL100" s="188"/>
      <c r="GM100" s="188"/>
      <c r="GN100" s="188"/>
      <c r="GO100" s="188"/>
      <c r="GP100" s="188"/>
      <c r="GQ100" s="188"/>
      <c r="GR100" s="188"/>
      <c r="GS100" s="188"/>
      <c r="GT100" s="188"/>
      <c r="GU100" s="188"/>
      <c r="GV100" s="188"/>
      <c r="GW100" s="188"/>
      <c r="GX100" s="188"/>
      <c r="GY100" s="189"/>
      <c r="GZ100" s="187"/>
      <c r="HA100" s="188"/>
      <c r="HB100" s="188"/>
      <c r="HC100" s="188"/>
      <c r="HD100" s="189"/>
      <c r="JG100" s="154"/>
      <c r="KK100" s="19"/>
      <c r="LQ100" s="12"/>
      <c r="LR100" s="7"/>
    </row>
    <row r="101" spans="3:335" ht="5.0999999999999996" customHeight="1" thickBot="1" x14ac:dyDescent="0.35">
      <c r="C101" s="11"/>
      <c r="D101" s="13"/>
      <c r="BS101" s="187"/>
      <c r="BT101" s="188"/>
      <c r="BU101" s="188"/>
      <c r="BV101" s="188"/>
      <c r="BW101" s="188"/>
      <c r="BX101" s="188"/>
      <c r="BY101" s="188"/>
      <c r="BZ101" s="188"/>
      <c r="CA101" s="188"/>
      <c r="CB101" s="188"/>
      <c r="CC101" s="188"/>
      <c r="CD101" s="188"/>
      <c r="CE101" s="188"/>
      <c r="CF101" s="188"/>
      <c r="CG101" s="188"/>
      <c r="CH101" s="188"/>
      <c r="CI101" s="188"/>
      <c r="CJ101" s="188"/>
      <c r="CK101" s="188"/>
      <c r="CL101" s="188"/>
      <c r="CM101" s="188"/>
      <c r="CN101" s="188"/>
      <c r="CO101" s="188"/>
      <c r="CP101" s="188"/>
      <c r="CQ101" s="188"/>
      <c r="CR101" s="188"/>
      <c r="CS101" s="188"/>
      <c r="CT101" s="188"/>
      <c r="CU101" s="188"/>
      <c r="CV101" s="188"/>
      <c r="CW101" s="188"/>
      <c r="CX101" s="188"/>
      <c r="CY101" s="188"/>
      <c r="CZ101" s="188"/>
      <c r="DA101" s="188"/>
      <c r="DB101" s="188"/>
      <c r="DC101" s="188"/>
      <c r="DD101" s="188"/>
      <c r="DE101" s="188"/>
      <c r="DF101" s="189"/>
      <c r="DG101" s="187"/>
      <c r="DH101" s="188"/>
      <c r="DI101" s="188"/>
      <c r="DJ101" s="188"/>
      <c r="DK101" s="189"/>
      <c r="EL101" s="16"/>
      <c r="FL101" s="190"/>
      <c r="FM101" s="191"/>
      <c r="FN101" s="191"/>
      <c r="FO101" s="191"/>
      <c r="FP101" s="191"/>
      <c r="FQ101" s="191"/>
      <c r="FR101" s="191"/>
      <c r="FS101" s="191"/>
      <c r="FT101" s="191"/>
      <c r="FU101" s="191"/>
      <c r="FV101" s="191"/>
      <c r="FW101" s="191"/>
      <c r="FX101" s="191"/>
      <c r="FY101" s="191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/>
      <c r="GL101" s="191"/>
      <c r="GM101" s="191"/>
      <c r="GN101" s="191"/>
      <c r="GO101" s="191"/>
      <c r="GP101" s="191"/>
      <c r="GQ101" s="191"/>
      <c r="GR101" s="191"/>
      <c r="GS101" s="191"/>
      <c r="GT101" s="191"/>
      <c r="GU101" s="191"/>
      <c r="GV101" s="191"/>
      <c r="GW101" s="191"/>
      <c r="GX101" s="191"/>
      <c r="GY101" s="192"/>
      <c r="GZ101" s="190"/>
      <c r="HA101" s="191"/>
      <c r="HB101" s="191"/>
      <c r="HC101" s="191"/>
      <c r="HD101" s="192"/>
      <c r="JG101" s="154"/>
      <c r="KK101" s="19"/>
      <c r="LQ101" s="12"/>
      <c r="LR101" s="7"/>
    </row>
    <row r="102" spans="3:335" ht="5.0999999999999996" customHeight="1" x14ac:dyDescent="0.3">
      <c r="C102" s="11"/>
      <c r="D102" s="13"/>
      <c r="BS102" s="187"/>
      <c r="BT102" s="188"/>
      <c r="BU102" s="188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8"/>
      <c r="CH102" s="188"/>
      <c r="CI102" s="188"/>
      <c r="CJ102" s="188"/>
      <c r="CK102" s="188"/>
      <c r="CL102" s="188"/>
      <c r="CM102" s="188"/>
      <c r="CN102" s="188"/>
      <c r="CO102" s="188"/>
      <c r="CP102" s="188"/>
      <c r="CQ102" s="188"/>
      <c r="CR102" s="188"/>
      <c r="CS102" s="188"/>
      <c r="CT102" s="188"/>
      <c r="CU102" s="188"/>
      <c r="CV102" s="188"/>
      <c r="CW102" s="188"/>
      <c r="CX102" s="188"/>
      <c r="CY102" s="188"/>
      <c r="CZ102" s="188"/>
      <c r="DA102" s="188"/>
      <c r="DB102" s="188"/>
      <c r="DC102" s="188"/>
      <c r="DD102" s="188"/>
      <c r="DE102" s="188"/>
      <c r="DF102" s="189"/>
      <c r="DG102" s="187"/>
      <c r="DH102" s="188"/>
      <c r="DI102" s="188"/>
      <c r="DJ102" s="188"/>
      <c r="DK102" s="189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0"/>
      <c r="EL102" s="22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48"/>
      <c r="FL102" s="184" t="s">
        <v>55</v>
      </c>
      <c r="FM102" s="185"/>
      <c r="FN102" s="185"/>
      <c r="FO102" s="185"/>
      <c r="FP102" s="185"/>
      <c r="FQ102" s="185"/>
      <c r="FR102" s="185"/>
      <c r="FS102" s="185"/>
      <c r="FT102" s="185"/>
      <c r="FU102" s="185"/>
      <c r="FV102" s="185"/>
      <c r="FW102" s="185"/>
      <c r="FX102" s="185"/>
      <c r="FY102" s="185"/>
      <c r="FZ102" s="185"/>
      <c r="GA102" s="185"/>
      <c r="GB102" s="185"/>
      <c r="GC102" s="185"/>
      <c r="GD102" s="185"/>
      <c r="GE102" s="185"/>
      <c r="GF102" s="185"/>
      <c r="GG102" s="185"/>
      <c r="GH102" s="185"/>
      <c r="GI102" s="185"/>
      <c r="GJ102" s="185"/>
      <c r="GK102" s="185"/>
      <c r="GL102" s="185"/>
      <c r="GM102" s="185"/>
      <c r="GN102" s="185"/>
      <c r="GO102" s="185"/>
      <c r="GP102" s="185"/>
      <c r="GQ102" s="185"/>
      <c r="GR102" s="185"/>
      <c r="GS102" s="185"/>
      <c r="GT102" s="185"/>
      <c r="GU102" s="185"/>
      <c r="GV102" s="185"/>
      <c r="GW102" s="185"/>
      <c r="GX102" s="185"/>
      <c r="GY102" s="186"/>
      <c r="GZ102" s="184">
        <v>3</v>
      </c>
      <c r="HA102" s="185"/>
      <c r="HB102" s="185"/>
      <c r="HC102" s="185"/>
      <c r="HD102" s="186"/>
      <c r="JG102" s="154"/>
      <c r="KK102" s="19"/>
      <c r="LQ102" s="12"/>
      <c r="LR102" s="7"/>
    </row>
    <row r="103" spans="3:335" ht="5.0999999999999996" customHeight="1" x14ac:dyDescent="0.3">
      <c r="C103" s="11"/>
      <c r="D103" s="13"/>
      <c r="BS103" s="187"/>
      <c r="BT103" s="188"/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8"/>
      <c r="CH103" s="188"/>
      <c r="CI103" s="188"/>
      <c r="CJ103" s="188"/>
      <c r="CK103" s="188"/>
      <c r="CL103" s="188"/>
      <c r="CM103" s="188"/>
      <c r="CN103" s="188"/>
      <c r="CO103" s="188"/>
      <c r="CP103" s="188"/>
      <c r="CQ103" s="188"/>
      <c r="CR103" s="188"/>
      <c r="CS103" s="188"/>
      <c r="CT103" s="188"/>
      <c r="CU103" s="188"/>
      <c r="CV103" s="188"/>
      <c r="CW103" s="188"/>
      <c r="CX103" s="188"/>
      <c r="CY103" s="188"/>
      <c r="CZ103" s="188"/>
      <c r="DA103" s="188"/>
      <c r="DB103" s="188"/>
      <c r="DC103" s="188"/>
      <c r="DD103" s="188"/>
      <c r="DE103" s="188"/>
      <c r="DF103" s="189"/>
      <c r="DG103" s="187"/>
      <c r="DH103" s="188"/>
      <c r="DI103" s="188"/>
      <c r="DJ103" s="188"/>
      <c r="DK103" s="189"/>
      <c r="EK103" s="19"/>
      <c r="EL103" s="16"/>
      <c r="FL103" s="187"/>
      <c r="FM103" s="188"/>
      <c r="FN103" s="188"/>
      <c r="FO103" s="188"/>
      <c r="FP103" s="188"/>
      <c r="FQ103" s="188"/>
      <c r="FR103" s="188"/>
      <c r="FS103" s="188"/>
      <c r="FT103" s="188"/>
      <c r="FU103" s="188"/>
      <c r="FV103" s="188"/>
      <c r="FW103" s="188"/>
      <c r="FX103" s="188"/>
      <c r="FY103" s="188"/>
      <c r="FZ103" s="188"/>
      <c r="GA103" s="188"/>
      <c r="GB103" s="188"/>
      <c r="GC103" s="188"/>
      <c r="GD103" s="188"/>
      <c r="GE103" s="188"/>
      <c r="GF103" s="188"/>
      <c r="GG103" s="188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8"/>
      <c r="GW103" s="188"/>
      <c r="GX103" s="188"/>
      <c r="GY103" s="189"/>
      <c r="GZ103" s="187"/>
      <c r="HA103" s="188"/>
      <c r="HB103" s="188"/>
      <c r="HC103" s="188"/>
      <c r="HD103" s="189"/>
      <c r="JG103" s="154"/>
      <c r="JL103" s="1" t="s">
        <v>14</v>
      </c>
      <c r="KK103" s="19"/>
      <c r="LQ103" s="12"/>
      <c r="LR103" s="7"/>
    </row>
    <row r="104" spans="3:335" ht="5.0999999999999996" customHeight="1" x14ac:dyDescent="0.3">
      <c r="C104" s="11"/>
      <c r="D104" s="13"/>
      <c r="BS104" s="187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8"/>
      <c r="CH104" s="188"/>
      <c r="CI104" s="188"/>
      <c r="CJ104" s="188"/>
      <c r="CK104" s="188"/>
      <c r="CL104" s="188"/>
      <c r="CM104" s="188"/>
      <c r="CN104" s="188"/>
      <c r="CO104" s="188"/>
      <c r="CP104" s="188"/>
      <c r="CQ104" s="188"/>
      <c r="CR104" s="188"/>
      <c r="CS104" s="188"/>
      <c r="CT104" s="188"/>
      <c r="CU104" s="188"/>
      <c r="CV104" s="188"/>
      <c r="CW104" s="188"/>
      <c r="CX104" s="188"/>
      <c r="CY104" s="188"/>
      <c r="CZ104" s="188"/>
      <c r="DA104" s="188"/>
      <c r="DB104" s="188"/>
      <c r="DC104" s="188"/>
      <c r="DD104" s="188"/>
      <c r="DE104" s="188"/>
      <c r="DF104" s="189"/>
      <c r="DG104" s="187"/>
      <c r="DH104" s="188"/>
      <c r="DI104" s="188"/>
      <c r="DJ104" s="188"/>
      <c r="DK104" s="189"/>
      <c r="EL104" s="16"/>
      <c r="FL104" s="187"/>
      <c r="FM104" s="188"/>
      <c r="FN104" s="188"/>
      <c r="FO104" s="188"/>
      <c r="FP104" s="188"/>
      <c r="FQ104" s="188"/>
      <c r="FR104" s="188"/>
      <c r="FS104" s="188"/>
      <c r="FT104" s="188"/>
      <c r="FU104" s="188"/>
      <c r="FV104" s="188"/>
      <c r="FW104" s="188"/>
      <c r="FX104" s="188"/>
      <c r="FY104" s="188"/>
      <c r="FZ104" s="188"/>
      <c r="GA104" s="188"/>
      <c r="GB104" s="188"/>
      <c r="GC104" s="188"/>
      <c r="GD104" s="188"/>
      <c r="GE104" s="188"/>
      <c r="GF104" s="188"/>
      <c r="GG104" s="188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8"/>
      <c r="GW104" s="188"/>
      <c r="GX104" s="188"/>
      <c r="GY104" s="189"/>
      <c r="GZ104" s="187"/>
      <c r="HA104" s="188"/>
      <c r="HB104" s="188"/>
      <c r="HC104" s="188"/>
      <c r="HD104" s="189"/>
      <c r="JG104" s="154"/>
      <c r="KK104" s="19"/>
      <c r="LQ104" s="12"/>
      <c r="LR104" s="7"/>
    </row>
    <row r="105" spans="3:335" ht="5.0999999999999996" customHeight="1" x14ac:dyDescent="0.3">
      <c r="C105" s="11"/>
      <c r="D105" s="13"/>
      <c r="BS105" s="187"/>
      <c r="BT105" s="188"/>
      <c r="BU105" s="188"/>
      <c r="BV105" s="188"/>
      <c r="BW105" s="188"/>
      <c r="BX105" s="188"/>
      <c r="BY105" s="188"/>
      <c r="BZ105" s="188"/>
      <c r="CA105" s="188"/>
      <c r="CB105" s="188"/>
      <c r="CC105" s="188"/>
      <c r="CD105" s="188"/>
      <c r="CE105" s="188"/>
      <c r="CF105" s="188"/>
      <c r="CG105" s="188"/>
      <c r="CH105" s="188"/>
      <c r="CI105" s="188"/>
      <c r="CJ105" s="188"/>
      <c r="CK105" s="188"/>
      <c r="CL105" s="188"/>
      <c r="CM105" s="188"/>
      <c r="CN105" s="188"/>
      <c r="CO105" s="188"/>
      <c r="CP105" s="188"/>
      <c r="CQ105" s="188"/>
      <c r="CR105" s="188"/>
      <c r="CS105" s="188"/>
      <c r="CT105" s="188"/>
      <c r="CU105" s="188"/>
      <c r="CV105" s="188"/>
      <c r="CW105" s="188"/>
      <c r="CX105" s="188"/>
      <c r="CY105" s="188"/>
      <c r="CZ105" s="188"/>
      <c r="DA105" s="188"/>
      <c r="DB105" s="188"/>
      <c r="DC105" s="188"/>
      <c r="DD105" s="188"/>
      <c r="DE105" s="188"/>
      <c r="DF105" s="189"/>
      <c r="DG105" s="187"/>
      <c r="DH105" s="188"/>
      <c r="DI105" s="188"/>
      <c r="DJ105" s="188"/>
      <c r="DK105" s="189"/>
      <c r="EL105" s="16"/>
      <c r="FL105" s="187"/>
      <c r="FM105" s="188"/>
      <c r="FN105" s="188"/>
      <c r="FO105" s="188"/>
      <c r="FP105" s="188"/>
      <c r="FQ105" s="188"/>
      <c r="FR105" s="188"/>
      <c r="FS105" s="188"/>
      <c r="FT105" s="188"/>
      <c r="FU105" s="188"/>
      <c r="FV105" s="188"/>
      <c r="FW105" s="188"/>
      <c r="FX105" s="188"/>
      <c r="FY105" s="188"/>
      <c r="FZ105" s="188"/>
      <c r="GA105" s="188"/>
      <c r="GB105" s="188"/>
      <c r="GC105" s="188"/>
      <c r="GD105" s="188"/>
      <c r="GE105" s="188"/>
      <c r="GF105" s="188"/>
      <c r="GG105" s="188"/>
      <c r="GH105" s="188"/>
      <c r="GI105" s="188"/>
      <c r="GJ105" s="188"/>
      <c r="GK105" s="188"/>
      <c r="GL105" s="188"/>
      <c r="GM105" s="188"/>
      <c r="GN105" s="188"/>
      <c r="GO105" s="188"/>
      <c r="GP105" s="188"/>
      <c r="GQ105" s="188"/>
      <c r="GR105" s="188"/>
      <c r="GS105" s="188"/>
      <c r="GT105" s="188"/>
      <c r="GU105" s="188"/>
      <c r="GV105" s="188"/>
      <c r="GW105" s="188"/>
      <c r="GX105" s="188"/>
      <c r="GY105" s="189"/>
      <c r="GZ105" s="187"/>
      <c r="HA105" s="188"/>
      <c r="HB105" s="188"/>
      <c r="HC105" s="188"/>
      <c r="HD105" s="189"/>
      <c r="JG105" s="154"/>
      <c r="KK105" s="19"/>
      <c r="LQ105" s="12"/>
      <c r="LR105" s="7"/>
    </row>
    <row r="106" spans="3:335" ht="5.0999999999999996" customHeight="1" x14ac:dyDescent="0.3">
      <c r="C106" s="11"/>
      <c r="D106" s="13"/>
      <c r="BS106" s="190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2"/>
      <c r="DG106" s="190"/>
      <c r="DH106" s="191"/>
      <c r="DI106" s="191"/>
      <c r="DJ106" s="191"/>
      <c r="DK106" s="192"/>
      <c r="EL106" s="16"/>
      <c r="FL106" s="187"/>
      <c r="FM106" s="188"/>
      <c r="FN106" s="188"/>
      <c r="FO106" s="188"/>
      <c r="FP106" s="188"/>
      <c r="FQ106" s="188"/>
      <c r="FR106" s="188"/>
      <c r="FS106" s="188"/>
      <c r="FT106" s="188"/>
      <c r="FU106" s="188"/>
      <c r="FV106" s="188"/>
      <c r="FW106" s="188"/>
      <c r="FX106" s="188"/>
      <c r="FY106" s="188"/>
      <c r="FZ106" s="188"/>
      <c r="GA106" s="188"/>
      <c r="GB106" s="188"/>
      <c r="GC106" s="188"/>
      <c r="GD106" s="188"/>
      <c r="GE106" s="188"/>
      <c r="GF106" s="188"/>
      <c r="GG106" s="188"/>
      <c r="GH106" s="188"/>
      <c r="GI106" s="188"/>
      <c r="GJ106" s="188"/>
      <c r="GK106" s="188"/>
      <c r="GL106" s="188"/>
      <c r="GM106" s="188"/>
      <c r="GN106" s="188"/>
      <c r="GO106" s="188"/>
      <c r="GP106" s="188"/>
      <c r="GQ106" s="188"/>
      <c r="GR106" s="188"/>
      <c r="GS106" s="188"/>
      <c r="GT106" s="188"/>
      <c r="GU106" s="188"/>
      <c r="GV106" s="188"/>
      <c r="GW106" s="188"/>
      <c r="GX106" s="188"/>
      <c r="GY106" s="189"/>
      <c r="GZ106" s="187"/>
      <c r="HA106" s="188"/>
      <c r="HB106" s="188"/>
      <c r="HC106" s="188"/>
      <c r="HD106" s="189"/>
      <c r="JG106" s="154"/>
      <c r="KK106" s="19"/>
      <c r="LQ106" s="12"/>
      <c r="LR106" s="7"/>
    </row>
    <row r="107" spans="3:335" ht="5.0999999999999996" customHeight="1" x14ac:dyDescent="0.3">
      <c r="C107" s="11"/>
      <c r="D107" s="13"/>
      <c r="EL107" s="16"/>
      <c r="FL107" s="187"/>
      <c r="FM107" s="188"/>
      <c r="FN107" s="188"/>
      <c r="FO107" s="188"/>
      <c r="FP107" s="188"/>
      <c r="FQ107" s="188"/>
      <c r="FR107" s="188"/>
      <c r="FS107" s="188"/>
      <c r="FT107" s="188"/>
      <c r="FU107" s="188"/>
      <c r="FV107" s="188"/>
      <c r="FW107" s="188"/>
      <c r="FX107" s="188"/>
      <c r="FY107" s="188"/>
      <c r="FZ107" s="188"/>
      <c r="GA107" s="188"/>
      <c r="GB107" s="188"/>
      <c r="GC107" s="188"/>
      <c r="GD107" s="188"/>
      <c r="GE107" s="188"/>
      <c r="GF107" s="188"/>
      <c r="GG107" s="188"/>
      <c r="GH107" s="188"/>
      <c r="GI107" s="188"/>
      <c r="GJ107" s="188"/>
      <c r="GK107" s="188"/>
      <c r="GL107" s="188"/>
      <c r="GM107" s="188"/>
      <c r="GN107" s="188"/>
      <c r="GO107" s="188"/>
      <c r="GP107" s="188"/>
      <c r="GQ107" s="188"/>
      <c r="GR107" s="188"/>
      <c r="GS107" s="188"/>
      <c r="GT107" s="188"/>
      <c r="GU107" s="188"/>
      <c r="GV107" s="188"/>
      <c r="GW107" s="188"/>
      <c r="GX107" s="188"/>
      <c r="GY107" s="189"/>
      <c r="GZ107" s="187"/>
      <c r="HA107" s="188"/>
      <c r="HB107" s="188"/>
      <c r="HC107" s="188"/>
      <c r="HD107" s="189"/>
      <c r="JG107" s="154"/>
      <c r="KK107" s="19"/>
      <c r="LQ107" s="12"/>
      <c r="LR107" s="7"/>
    </row>
    <row r="108" spans="3:335" ht="5.0999999999999996" customHeight="1" x14ac:dyDescent="0.3">
      <c r="C108" s="11"/>
      <c r="D108" s="13"/>
      <c r="EL108" s="16"/>
      <c r="FL108" s="187"/>
      <c r="FM108" s="188"/>
      <c r="FN108" s="188"/>
      <c r="FO108" s="188"/>
      <c r="FP108" s="188"/>
      <c r="FQ108" s="188"/>
      <c r="FR108" s="188"/>
      <c r="FS108" s="188"/>
      <c r="FT108" s="188"/>
      <c r="FU108" s="188"/>
      <c r="FV108" s="188"/>
      <c r="FW108" s="188"/>
      <c r="FX108" s="188"/>
      <c r="FY108" s="188"/>
      <c r="FZ108" s="188"/>
      <c r="GA108" s="188"/>
      <c r="GB108" s="188"/>
      <c r="GC108" s="188"/>
      <c r="GD108" s="188"/>
      <c r="GE108" s="188"/>
      <c r="GF108" s="188"/>
      <c r="GG108" s="188"/>
      <c r="GH108" s="188"/>
      <c r="GI108" s="188"/>
      <c r="GJ108" s="188"/>
      <c r="GK108" s="188"/>
      <c r="GL108" s="188"/>
      <c r="GM108" s="188"/>
      <c r="GN108" s="188"/>
      <c r="GO108" s="188"/>
      <c r="GP108" s="188"/>
      <c r="GQ108" s="188"/>
      <c r="GR108" s="188"/>
      <c r="GS108" s="188"/>
      <c r="GT108" s="188"/>
      <c r="GU108" s="188"/>
      <c r="GV108" s="188"/>
      <c r="GW108" s="188"/>
      <c r="GX108" s="188"/>
      <c r="GY108" s="189"/>
      <c r="GZ108" s="187"/>
      <c r="HA108" s="188"/>
      <c r="HB108" s="188"/>
      <c r="HC108" s="188"/>
      <c r="HD108" s="189"/>
      <c r="JG108" s="154"/>
      <c r="KK108" s="19"/>
      <c r="LQ108" s="12"/>
      <c r="LR108" s="7"/>
    </row>
    <row r="109" spans="3:335" ht="5.0999999999999996" customHeight="1" x14ac:dyDescent="0.3">
      <c r="C109" s="11"/>
      <c r="D109" s="13"/>
      <c r="EL109" s="16"/>
      <c r="FL109" s="187"/>
      <c r="FM109" s="188"/>
      <c r="FN109" s="188"/>
      <c r="FO109" s="188"/>
      <c r="FP109" s="188"/>
      <c r="FQ109" s="188"/>
      <c r="FR109" s="188"/>
      <c r="FS109" s="188"/>
      <c r="FT109" s="188"/>
      <c r="FU109" s="188"/>
      <c r="FV109" s="188"/>
      <c r="FW109" s="188"/>
      <c r="FX109" s="188"/>
      <c r="FY109" s="188"/>
      <c r="FZ109" s="188"/>
      <c r="GA109" s="188"/>
      <c r="GB109" s="188"/>
      <c r="GC109" s="188"/>
      <c r="GD109" s="188"/>
      <c r="GE109" s="188"/>
      <c r="GF109" s="188"/>
      <c r="GG109" s="188"/>
      <c r="GH109" s="188"/>
      <c r="GI109" s="188"/>
      <c r="GJ109" s="188"/>
      <c r="GK109" s="188"/>
      <c r="GL109" s="188"/>
      <c r="GM109" s="188"/>
      <c r="GN109" s="188"/>
      <c r="GO109" s="188"/>
      <c r="GP109" s="188"/>
      <c r="GQ109" s="188"/>
      <c r="GR109" s="188"/>
      <c r="GS109" s="188"/>
      <c r="GT109" s="188"/>
      <c r="GU109" s="188"/>
      <c r="GV109" s="188"/>
      <c r="GW109" s="188"/>
      <c r="GX109" s="188"/>
      <c r="GY109" s="189"/>
      <c r="GZ109" s="187"/>
      <c r="HA109" s="188"/>
      <c r="HB109" s="188"/>
      <c r="HC109" s="188"/>
      <c r="HD109" s="189"/>
      <c r="JG109" s="154"/>
      <c r="KK109" s="19"/>
      <c r="LQ109" s="12"/>
      <c r="LR109" s="7"/>
    </row>
    <row r="110" spans="3:335" ht="5.0999999999999996" customHeight="1" x14ac:dyDescent="0.3">
      <c r="C110" s="11"/>
      <c r="D110" s="13"/>
      <c r="EL110" s="16"/>
      <c r="FL110" s="187"/>
      <c r="FM110" s="188"/>
      <c r="FN110" s="188"/>
      <c r="FO110" s="188"/>
      <c r="FP110" s="188"/>
      <c r="FQ110" s="188"/>
      <c r="FR110" s="188"/>
      <c r="FS110" s="188"/>
      <c r="FT110" s="188"/>
      <c r="FU110" s="188"/>
      <c r="FV110" s="188"/>
      <c r="FW110" s="188"/>
      <c r="FX110" s="188"/>
      <c r="FY110" s="188"/>
      <c r="FZ110" s="188"/>
      <c r="GA110" s="188"/>
      <c r="GB110" s="188"/>
      <c r="GC110" s="188"/>
      <c r="GD110" s="188"/>
      <c r="GE110" s="188"/>
      <c r="GF110" s="188"/>
      <c r="GG110" s="188"/>
      <c r="GH110" s="188"/>
      <c r="GI110" s="188"/>
      <c r="GJ110" s="188"/>
      <c r="GK110" s="188"/>
      <c r="GL110" s="188"/>
      <c r="GM110" s="188"/>
      <c r="GN110" s="188"/>
      <c r="GO110" s="188"/>
      <c r="GP110" s="188"/>
      <c r="GQ110" s="188"/>
      <c r="GR110" s="188"/>
      <c r="GS110" s="188"/>
      <c r="GT110" s="188"/>
      <c r="GU110" s="188"/>
      <c r="GV110" s="188"/>
      <c r="GW110" s="188"/>
      <c r="GX110" s="188"/>
      <c r="GY110" s="189"/>
      <c r="GZ110" s="187"/>
      <c r="HA110" s="188"/>
      <c r="HB110" s="188"/>
      <c r="HC110" s="188"/>
      <c r="HD110" s="189"/>
      <c r="JG110" s="154"/>
      <c r="KK110" s="19"/>
      <c r="LQ110" s="12"/>
      <c r="LR110" s="7"/>
    </row>
    <row r="111" spans="3:335" ht="5.0999999999999996" customHeight="1" x14ac:dyDescent="0.3">
      <c r="C111" s="11"/>
      <c r="D111" s="13"/>
      <c r="EL111" s="16"/>
      <c r="FL111" s="190"/>
      <c r="FM111" s="191"/>
      <c r="FN111" s="191"/>
      <c r="FO111" s="191"/>
      <c r="FP111" s="191"/>
      <c r="FQ111" s="191"/>
      <c r="FR111" s="191"/>
      <c r="FS111" s="191"/>
      <c r="FT111" s="191"/>
      <c r="FU111" s="191"/>
      <c r="FV111" s="191"/>
      <c r="FW111" s="191"/>
      <c r="FX111" s="191"/>
      <c r="FY111" s="191"/>
      <c r="FZ111" s="191"/>
      <c r="GA111" s="191"/>
      <c r="GB111" s="191"/>
      <c r="GC111" s="191"/>
      <c r="GD111" s="191"/>
      <c r="GE111" s="191"/>
      <c r="GF111" s="191"/>
      <c r="GG111" s="191"/>
      <c r="GH111" s="191"/>
      <c r="GI111" s="191"/>
      <c r="GJ111" s="191"/>
      <c r="GK111" s="191"/>
      <c r="GL111" s="191"/>
      <c r="GM111" s="191"/>
      <c r="GN111" s="191"/>
      <c r="GO111" s="191"/>
      <c r="GP111" s="191"/>
      <c r="GQ111" s="191"/>
      <c r="GR111" s="191"/>
      <c r="GS111" s="191"/>
      <c r="GT111" s="191"/>
      <c r="GU111" s="191"/>
      <c r="GV111" s="191"/>
      <c r="GW111" s="191"/>
      <c r="GX111" s="191"/>
      <c r="GY111" s="192"/>
      <c r="GZ111" s="190"/>
      <c r="HA111" s="191"/>
      <c r="HB111" s="191"/>
      <c r="HC111" s="191"/>
      <c r="HD111" s="192"/>
      <c r="JG111" s="154"/>
      <c r="KK111" s="19"/>
      <c r="LQ111" s="12"/>
      <c r="LR111" s="7"/>
    </row>
    <row r="112" spans="3:335" ht="5.0999999999999996" customHeight="1" x14ac:dyDescent="0.3">
      <c r="C112" s="11"/>
      <c r="D112" s="13"/>
      <c r="EL112" s="16"/>
      <c r="JG112" s="154"/>
      <c r="KK112" s="19"/>
      <c r="LQ112" s="12"/>
      <c r="LR112" s="7"/>
      <c r="LS112" s="3"/>
      <c r="LT112" s="3"/>
      <c r="LU112" s="3"/>
      <c r="LV112" s="3"/>
      <c r="LW112" s="2"/>
    </row>
    <row r="113" spans="3:354" ht="5.0999999999999996" customHeight="1" x14ac:dyDescent="0.3">
      <c r="C113" s="11"/>
      <c r="D113" s="13"/>
      <c r="EL113" s="16"/>
      <c r="JG113" s="154"/>
      <c r="KK113" s="19"/>
      <c r="LQ113" s="12"/>
      <c r="LR113" s="7"/>
      <c r="LS113" s="3"/>
      <c r="LT113" s="3"/>
      <c r="LU113" s="3"/>
      <c r="LV113" s="3"/>
      <c r="LW113" s="2"/>
    </row>
    <row r="114" spans="3:354" ht="5.0999999999999996" customHeight="1" thickBot="1" x14ac:dyDescent="0.35">
      <c r="C114" s="11"/>
      <c r="D114" s="13"/>
      <c r="EL114" s="16"/>
      <c r="JG114" s="154"/>
      <c r="KK114" s="19"/>
      <c r="LQ114" s="12"/>
      <c r="LR114" s="7"/>
      <c r="LS114" s="3"/>
      <c r="LT114" s="3"/>
      <c r="LU114" s="3"/>
      <c r="LV114" s="3"/>
      <c r="LW114" s="2"/>
    </row>
    <row r="115" spans="3:354" ht="5.0999999999999996" customHeight="1" x14ac:dyDescent="0.3">
      <c r="C115" s="11"/>
      <c r="D115" s="13"/>
      <c r="AN115" s="22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2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0"/>
      <c r="JG115" s="154"/>
      <c r="KK115" s="19"/>
      <c r="LQ115" s="12"/>
      <c r="LR115" s="7"/>
      <c r="LS115" s="3"/>
      <c r="LT115" s="3"/>
      <c r="LU115" s="3"/>
      <c r="LV115" s="3"/>
      <c r="LW115" s="2"/>
    </row>
    <row r="116" spans="3:354" ht="5.0999999999999996" customHeight="1" x14ac:dyDescent="0.3">
      <c r="C116" s="11"/>
      <c r="D116" s="13"/>
      <c r="AH116" s="9"/>
      <c r="AI116" s="9"/>
      <c r="AJ116" s="9"/>
      <c r="AK116" s="9"/>
      <c r="AL116" s="9"/>
      <c r="AM116" s="9"/>
      <c r="AN116" s="15"/>
      <c r="AO116" s="9"/>
      <c r="AP116" s="9"/>
      <c r="EL116" s="15"/>
      <c r="IE116" s="19"/>
      <c r="JG116" s="154"/>
      <c r="KK116" s="19"/>
      <c r="LQ116" s="12"/>
      <c r="LR116" s="7"/>
      <c r="LS116" s="3"/>
      <c r="LT116" s="3"/>
      <c r="LU116" s="3"/>
      <c r="LV116" s="3"/>
      <c r="LW116" s="2"/>
      <c r="MK116" s="3"/>
      <c r="ML116" s="3"/>
      <c r="MM116" s="3"/>
      <c r="MN116" s="3"/>
      <c r="MO116" s="3"/>
      <c r="MP116" s="2"/>
    </row>
    <row r="117" spans="3:354" ht="5.0999999999999996" customHeight="1" x14ac:dyDescent="0.3">
      <c r="C117" s="11"/>
      <c r="D117" s="13"/>
      <c r="Q117" s="206" t="s">
        <v>13</v>
      </c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8"/>
      <c r="BF117" s="206">
        <f>SUM(BF129,BF141:BJ220)</f>
        <v>24</v>
      </c>
      <c r="BG117" s="207"/>
      <c r="BH117" s="207"/>
      <c r="BI117" s="207"/>
      <c r="BJ117" s="208"/>
      <c r="DO117" s="265" t="s">
        <v>12</v>
      </c>
      <c r="DP117" s="265"/>
      <c r="DQ117" s="265"/>
      <c r="DR117" s="265"/>
      <c r="DS117" s="265"/>
      <c r="DT117" s="265"/>
      <c r="DU117" s="265"/>
      <c r="DV117" s="265"/>
      <c r="DW117" s="265"/>
      <c r="DX117" s="265"/>
      <c r="DY117" s="265"/>
      <c r="DZ117" s="265"/>
      <c r="EA117" s="265"/>
      <c r="EB117" s="265"/>
      <c r="EC117" s="265"/>
      <c r="ED117" s="265"/>
      <c r="EE117" s="265"/>
      <c r="EF117" s="265"/>
      <c r="EG117" s="265"/>
      <c r="EH117" s="265"/>
      <c r="EI117" s="265"/>
      <c r="EJ117" s="265"/>
      <c r="EK117" s="265"/>
      <c r="EL117" s="265"/>
      <c r="EM117" s="265"/>
      <c r="EN117" s="265"/>
      <c r="EO117" s="265"/>
      <c r="EP117" s="265"/>
      <c r="EQ117" s="265"/>
      <c r="ER117" s="265"/>
      <c r="ES117" s="265"/>
      <c r="ET117" s="265"/>
      <c r="EU117" s="265"/>
      <c r="EV117" s="265"/>
      <c r="EW117" s="265"/>
      <c r="EX117" s="265"/>
      <c r="EY117" s="265"/>
      <c r="EZ117" s="265"/>
      <c r="FA117" s="265"/>
      <c r="FB117" s="302">
        <f>SUM(FB129,DE147,FC147,GZ147)</f>
        <v>48</v>
      </c>
      <c r="FC117" s="303"/>
      <c r="FD117" s="303"/>
      <c r="FE117" s="303"/>
      <c r="FF117" s="304"/>
      <c r="HI117" s="195" t="s">
        <v>11</v>
      </c>
      <c r="HJ117" s="196"/>
      <c r="HK117" s="196"/>
      <c r="HL117" s="196"/>
      <c r="HM117" s="196"/>
      <c r="HN117" s="196"/>
      <c r="HO117" s="196"/>
      <c r="HP117" s="196"/>
      <c r="HQ117" s="196"/>
      <c r="HR117" s="196"/>
      <c r="HS117" s="196"/>
      <c r="HT117" s="196"/>
      <c r="HU117" s="196"/>
      <c r="HV117" s="196"/>
      <c r="HW117" s="196"/>
      <c r="HX117" s="196"/>
      <c r="HY117" s="196"/>
      <c r="HZ117" s="196"/>
      <c r="IA117" s="196"/>
      <c r="IB117" s="196"/>
      <c r="IC117" s="196"/>
      <c r="ID117" s="196"/>
      <c r="IE117" s="196"/>
      <c r="IF117" s="196"/>
      <c r="IG117" s="196"/>
      <c r="IH117" s="196"/>
      <c r="II117" s="196"/>
      <c r="IJ117" s="196"/>
      <c r="IK117" s="196"/>
      <c r="IL117" s="196"/>
      <c r="IM117" s="196"/>
      <c r="IN117" s="196"/>
      <c r="IO117" s="196"/>
      <c r="IP117" s="196"/>
      <c r="IQ117" s="196"/>
      <c r="IR117" s="196"/>
      <c r="IS117" s="196"/>
      <c r="IT117" s="196"/>
      <c r="IU117" s="196"/>
      <c r="IV117" s="196"/>
      <c r="IW117" s="204">
        <f>IW127</f>
        <v>19</v>
      </c>
      <c r="IX117" s="204"/>
      <c r="IY117" s="204"/>
      <c r="IZ117" s="204"/>
      <c r="JA117" s="204"/>
      <c r="JB117" s="204"/>
      <c r="JG117" s="154"/>
      <c r="JJ117" s="14"/>
      <c r="JQ117" s="311" t="s">
        <v>32</v>
      </c>
      <c r="JR117" s="312"/>
      <c r="JS117" s="312"/>
      <c r="JT117" s="312"/>
      <c r="JU117" s="312"/>
      <c r="JV117" s="312"/>
      <c r="JW117" s="312"/>
      <c r="JX117" s="312"/>
      <c r="JY117" s="312"/>
      <c r="JZ117" s="312"/>
      <c r="KA117" s="312"/>
      <c r="KB117" s="312"/>
      <c r="KC117" s="312"/>
      <c r="KD117" s="312"/>
      <c r="KE117" s="312"/>
      <c r="KF117" s="312"/>
      <c r="KG117" s="312"/>
      <c r="KH117" s="312"/>
      <c r="KI117" s="312"/>
      <c r="KJ117" s="312"/>
      <c r="KK117" s="312"/>
      <c r="KL117" s="312"/>
      <c r="KM117" s="312"/>
      <c r="KN117" s="312"/>
      <c r="KO117" s="312"/>
      <c r="KP117" s="312"/>
      <c r="KQ117" s="312"/>
      <c r="KR117" s="312"/>
      <c r="KS117" s="312"/>
      <c r="KT117" s="312"/>
      <c r="KU117" s="312"/>
      <c r="KV117" s="312"/>
      <c r="KW117" s="312"/>
      <c r="KX117" s="312"/>
      <c r="KY117" s="312"/>
      <c r="KZ117" s="312"/>
      <c r="LA117" s="312"/>
      <c r="LB117" s="312"/>
      <c r="LC117" s="312"/>
      <c r="LD117" s="312"/>
      <c r="LE117" s="313"/>
      <c r="LF117" s="320">
        <f>SUM(LF128:LJ293)</f>
        <v>31</v>
      </c>
      <c r="LG117" s="321"/>
      <c r="LH117" s="321"/>
      <c r="LI117" s="321"/>
      <c r="LJ117" s="322"/>
      <c r="LQ117" s="12"/>
      <c r="LR117" s="7"/>
      <c r="LS117" s="3"/>
      <c r="LT117" s="3"/>
      <c r="LU117" s="3"/>
      <c r="LV117" s="3"/>
      <c r="LW117" s="2"/>
      <c r="MK117" s="3"/>
      <c r="ML117" s="3"/>
      <c r="MM117" s="3"/>
      <c r="MN117" s="3"/>
      <c r="MO117" s="3"/>
      <c r="MP117" s="2"/>
    </row>
    <row r="118" spans="3:354" ht="5.0999999999999996" customHeight="1" x14ac:dyDescent="0.3">
      <c r="C118" s="11"/>
      <c r="D118" s="13"/>
      <c r="Q118" s="209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1"/>
      <c r="BF118" s="209"/>
      <c r="BG118" s="210"/>
      <c r="BH118" s="210"/>
      <c r="BI118" s="210"/>
      <c r="BJ118" s="211"/>
      <c r="DO118" s="265"/>
      <c r="DP118" s="265"/>
      <c r="DQ118" s="265"/>
      <c r="DR118" s="265"/>
      <c r="DS118" s="265"/>
      <c r="DT118" s="265"/>
      <c r="DU118" s="265"/>
      <c r="DV118" s="265"/>
      <c r="DW118" s="265"/>
      <c r="DX118" s="265"/>
      <c r="DY118" s="265"/>
      <c r="DZ118" s="265"/>
      <c r="EA118" s="265"/>
      <c r="EB118" s="265"/>
      <c r="EC118" s="265"/>
      <c r="ED118" s="265"/>
      <c r="EE118" s="265"/>
      <c r="EF118" s="265"/>
      <c r="EG118" s="265"/>
      <c r="EH118" s="265"/>
      <c r="EI118" s="265"/>
      <c r="EJ118" s="265"/>
      <c r="EK118" s="265"/>
      <c r="EL118" s="265"/>
      <c r="EM118" s="265"/>
      <c r="EN118" s="265"/>
      <c r="EO118" s="265"/>
      <c r="EP118" s="265"/>
      <c r="EQ118" s="265"/>
      <c r="ER118" s="265"/>
      <c r="ES118" s="265"/>
      <c r="ET118" s="265"/>
      <c r="EU118" s="265"/>
      <c r="EV118" s="265"/>
      <c r="EW118" s="265"/>
      <c r="EX118" s="265"/>
      <c r="EY118" s="265"/>
      <c r="EZ118" s="265"/>
      <c r="FA118" s="265"/>
      <c r="FB118" s="305"/>
      <c r="FC118" s="306"/>
      <c r="FD118" s="306"/>
      <c r="FE118" s="306"/>
      <c r="FF118" s="307"/>
      <c r="HI118" s="198"/>
      <c r="HJ118" s="199"/>
      <c r="HK118" s="199"/>
      <c r="HL118" s="199"/>
      <c r="HM118" s="199"/>
      <c r="HN118" s="199"/>
      <c r="HO118" s="199"/>
      <c r="HP118" s="199"/>
      <c r="HQ118" s="199"/>
      <c r="HR118" s="199"/>
      <c r="HS118" s="199"/>
      <c r="HT118" s="199"/>
      <c r="HU118" s="199"/>
      <c r="HV118" s="199"/>
      <c r="HW118" s="199"/>
      <c r="HX118" s="199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  <c r="IW118" s="204"/>
      <c r="IX118" s="204"/>
      <c r="IY118" s="204"/>
      <c r="IZ118" s="204"/>
      <c r="JA118" s="204"/>
      <c r="JB118" s="204"/>
      <c r="JG118" s="154"/>
      <c r="JJ118" s="14"/>
      <c r="JQ118" s="314"/>
      <c r="JR118" s="315"/>
      <c r="JS118" s="315"/>
      <c r="JT118" s="315"/>
      <c r="JU118" s="315"/>
      <c r="JV118" s="315"/>
      <c r="JW118" s="315"/>
      <c r="JX118" s="315"/>
      <c r="JY118" s="315"/>
      <c r="JZ118" s="315"/>
      <c r="KA118" s="315"/>
      <c r="KB118" s="315"/>
      <c r="KC118" s="315"/>
      <c r="KD118" s="315"/>
      <c r="KE118" s="315"/>
      <c r="KF118" s="315"/>
      <c r="KG118" s="315"/>
      <c r="KH118" s="315"/>
      <c r="KI118" s="315"/>
      <c r="KJ118" s="315"/>
      <c r="KK118" s="315"/>
      <c r="KL118" s="315"/>
      <c r="KM118" s="315"/>
      <c r="KN118" s="315"/>
      <c r="KO118" s="315"/>
      <c r="KP118" s="315"/>
      <c r="KQ118" s="315"/>
      <c r="KR118" s="315"/>
      <c r="KS118" s="315"/>
      <c r="KT118" s="315"/>
      <c r="KU118" s="315"/>
      <c r="KV118" s="315"/>
      <c r="KW118" s="315"/>
      <c r="KX118" s="315"/>
      <c r="KY118" s="315"/>
      <c r="KZ118" s="315"/>
      <c r="LA118" s="315"/>
      <c r="LB118" s="315"/>
      <c r="LC118" s="315"/>
      <c r="LD118" s="315"/>
      <c r="LE118" s="316"/>
      <c r="LF118" s="323"/>
      <c r="LG118" s="324"/>
      <c r="LH118" s="324"/>
      <c r="LI118" s="324"/>
      <c r="LJ118" s="325"/>
      <c r="LQ118" s="12"/>
      <c r="LR118" s="7"/>
      <c r="LS118" s="3"/>
      <c r="LT118" s="3"/>
      <c r="LU118" s="3"/>
      <c r="LV118" s="3"/>
      <c r="LW118" s="2"/>
      <c r="MK118" s="3"/>
      <c r="ML118" s="3"/>
      <c r="MM118" s="3"/>
      <c r="MN118" s="3"/>
      <c r="MO118" s="3"/>
      <c r="MP118" s="2"/>
    </row>
    <row r="119" spans="3:354" ht="5.0999999999999996" customHeight="1" x14ac:dyDescent="0.3">
      <c r="C119" s="11"/>
      <c r="D119" s="13"/>
      <c r="Q119" s="209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1"/>
      <c r="BF119" s="209"/>
      <c r="BG119" s="210"/>
      <c r="BH119" s="210"/>
      <c r="BI119" s="210"/>
      <c r="BJ119" s="211"/>
      <c r="DO119" s="265"/>
      <c r="DP119" s="265"/>
      <c r="DQ119" s="265"/>
      <c r="DR119" s="265"/>
      <c r="DS119" s="265"/>
      <c r="DT119" s="265"/>
      <c r="DU119" s="265"/>
      <c r="DV119" s="265"/>
      <c r="DW119" s="265"/>
      <c r="DX119" s="265"/>
      <c r="DY119" s="265"/>
      <c r="DZ119" s="265"/>
      <c r="EA119" s="265"/>
      <c r="EB119" s="265"/>
      <c r="EC119" s="265"/>
      <c r="ED119" s="265"/>
      <c r="EE119" s="265"/>
      <c r="EF119" s="265"/>
      <c r="EG119" s="265"/>
      <c r="EH119" s="265"/>
      <c r="EI119" s="265"/>
      <c r="EJ119" s="265"/>
      <c r="EK119" s="265"/>
      <c r="EL119" s="265"/>
      <c r="EM119" s="265"/>
      <c r="EN119" s="265"/>
      <c r="EO119" s="265"/>
      <c r="EP119" s="265"/>
      <c r="EQ119" s="265"/>
      <c r="ER119" s="265"/>
      <c r="ES119" s="265"/>
      <c r="ET119" s="265"/>
      <c r="EU119" s="265"/>
      <c r="EV119" s="265"/>
      <c r="EW119" s="265"/>
      <c r="EX119" s="265"/>
      <c r="EY119" s="265"/>
      <c r="EZ119" s="265"/>
      <c r="FA119" s="265"/>
      <c r="FB119" s="305"/>
      <c r="FC119" s="306"/>
      <c r="FD119" s="306"/>
      <c r="FE119" s="306"/>
      <c r="FF119" s="307"/>
      <c r="HI119" s="198"/>
      <c r="HJ119" s="199"/>
      <c r="HK119" s="199"/>
      <c r="HL119" s="199"/>
      <c r="HM119" s="199"/>
      <c r="HN119" s="199"/>
      <c r="HO119" s="199"/>
      <c r="HP119" s="199"/>
      <c r="HQ119" s="199"/>
      <c r="HR119" s="199"/>
      <c r="HS119" s="199"/>
      <c r="HT119" s="199"/>
      <c r="HU119" s="199"/>
      <c r="HV119" s="199"/>
      <c r="HW119" s="199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  <c r="IW119" s="204"/>
      <c r="IX119" s="204"/>
      <c r="IY119" s="204"/>
      <c r="IZ119" s="204"/>
      <c r="JA119" s="204"/>
      <c r="JB119" s="204"/>
      <c r="JG119" s="154"/>
      <c r="JJ119" s="14"/>
      <c r="JQ119" s="314"/>
      <c r="JR119" s="315"/>
      <c r="JS119" s="315"/>
      <c r="JT119" s="315"/>
      <c r="JU119" s="315"/>
      <c r="JV119" s="315"/>
      <c r="JW119" s="315"/>
      <c r="JX119" s="315"/>
      <c r="JY119" s="315"/>
      <c r="JZ119" s="315"/>
      <c r="KA119" s="315"/>
      <c r="KB119" s="315"/>
      <c r="KC119" s="315"/>
      <c r="KD119" s="315"/>
      <c r="KE119" s="315"/>
      <c r="KF119" s="315"/>
      <c r="KG119" s="315"/>
      <c r="KH119" s="315"/>
      <c r="KI119" s="315"/>
      <c r="KJ119" s="315"/>
      <c r="KK119" s="315"/>
      <c r="KL119" s="315"/>
      <c r="KM119" s="315"/>
      <c r="KN119" s="315"/>
      <c r="KO119" s="315"/>
      <c r="KP119" s="315"/>
      <c r="KQ119" s="315"/>
      <c r="KR119" s="315"/>
      <c r="KS119" s="315"/>
      <c r="KT119" s="315"/>
      <c r="KU119" s="315"/>
      <c r="KV119" s="315"/>
      <c r="KW119" s="315"/>
      <c r="KX119" s="315"/>
      <c r="KY119" s="315"/>
      <c r="KZ119" s="315"/>
      <c r="LA119" s="315"/>
      <c r="LB119" s="315"/>
      <c r="LC119" s="315"/>
      <c r="LD119" s="315"/>
      <c r="LE119" s="316"/>
      <c r="LF119" s="323"/>
      <c r="LG119" s="324"/>
      <c r="LH119" s="324"/>
      <c r="LI119" s="324"/>
      <c r="LJ119" s="325"/>
      <c r="LQ119" s="12"/>
      <c r="LR119" s="7"/>
      <c r="LS119" s="3"/>
      <c r="LT119" s="3"/>
      <c r="LU119" s="3"/>
      <c r="LV119" s="3"/>
      <c r="LW119" s="2"/>
      <c r="MK119" s="3"/>
      <c r="ML119" s="3"/>
      <c r="MM119" s="3"/>
      <c r="MN119" s="3"/>
      <c r="MO119" s="3"/>
      <c r="MP119" s="2"/>
    </row>
    <row r="120" spans="3:354" ht="5.0999999999999996" customHeight="1" x14ac:dyDescent="0.3">
      <c r="C120" s="11"/>
      <c r="D120" s="13"/>
      <c r="Q120" s="209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1"/>
      <c r="BF120" s="209"/>
      <c r="BG120" s="210"/>
      <c r="BH120" s="210"/>
      <c r="BI120" s="210"/>
      <c r="BJ120" s="211"/>
      <c r="DO120" s="265"/>
      <c r="DP120" s="265"/>
      <c r="DQ120" s="265"/>
      <c r="DR120" s="265"/>
      <c r="DS120" s="265"/>
      <c r="DT120" s="265"/>
      <c r="DU120" s="265"/>
      <c r="DV120" s="265"/>
      <c r="DW120" s="265"/>
      <c r="DX120" s="265"/>
      <c r="DY120" s="265"/>
      <c r="DZ120" s="265"/>
      <c r="EA120" s="265"/>
      <c r="EB120" s="265"/>
      <c r="EC120" s="265"/>
      <c r="ED120" s="265"/>
      <c r="EE120" s="265"/>
      <c r="EF120" s="265"/>
      <c r="EG120" s="265"/>
      <c r="EH120" s="265"/>
      <c r="EI120" s="265"/>
      <c r="EJ120" s="265"/>
      <c r="EK120" s="265"/>
      <c r="EL120" s="265"/>
      <c r="EM120" s="265"/>
      <c r="EN120" s="265"/>
      <c r="EO120" s="265"/>
      <c r="EP120" s="265"/>
      <c r="EQ120" s="265"/>
      <c r="ER120" s="265"/>
      <c r="ES120" s="265"/>
      <c r="ET120" s="265"/>
      <c r="EU120" s="265"/>
      <c r="EV120" s="265"/>
      <c r="EW120" s="265"/>
      <c r="EX120" s="265"/>
      <c r="EY120" s="265"/>
      <c r="EZ120" s="265"/>
      <c r="FA120" s="265"/>
      <c r="FB120" s="305"/>
      <c r="FC120" s="306"/>
      <c r="FD120" s="306"/>
      <c r="FE120" s="306"/>
      <c r="FF120" s="307"/>
      <c r="HI120" s="198"/>
      <c r="HJ120" s="199"/>
      <c r="HK120" s="199"/>
      <c r="HL120" s="199"/>
      <c r="HM120" s="199"/>
      <c r="HN120" s="199"/>
      <c r="HO120" s="199"/>
      <c r="HP120" s="199"/>
      <c r="HQ120" s="199"/>
      <c r="HR120" s="199"/>
      <c r="HS120" s="199"/>
      <c r="HT120" s="199"/>
      <c r="HU120" s="199"/>
      <c r="HV120" s="199"/>
      <c r="HW120" s="199"/>
      <c r="HX120" s="199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  <c r="IW120" s="204"/>
      <c r="IX120" s="204"/>
      <c r="IY120" s="204"/>
      <c r="IZ120" s="204"/>
      <c r="JA120" s="204"/>
      <c r="JB120" s="204"/>
      <c r="JG120" s="154"/>
      <c r="JJ120" s="14"/>
      <c r="JQ120" s="314"/>
      <c r="JR120" s="315"/>
      <c r="JS120" s="315"/>
      <c r="JT120" s="315"/>
      <c r="JU120" s="315"/>
      <c r="JV120" s="315"/>
      <c r="JW120" s="315"/>
      <c r="JX120" s="315"/>
      <c r="JY120" s="315"/>
      <c r="JZ120" s="315"/>
      <c r="KA120" s="315"/>
      <c r="KB120" s="315"/>
      <c r="KC120" s="315"/>
      <c r="KD120" s="315"/>
      <c r="KE120" s="315"/>
      <c r="KF120" s="315"/>
      <c r="KG120" s="315"/>
      <c r="KH120" s="315"/>
      <c r="KI120" s="315"/>
      <c r="KJ120" s="315"/>
      <c r="KK120" s="315"/>
      <c r="KL120" s="315"/>
      <c r="KM120" s="315"/>
      <c r="KN120" s="315"/>
      <c r="KO120" s="315"/>
      <c r="KP120" s="315"/>
      <c r="KQ120" s="315"/>
      <c r="KR120" s="315"/>
      <c r="KS120" s="315"/>
      <c r="KT120" s="315"/>
      <c r="KU120" s="315"/>
      <c r="KV120" s="315"/>
      <c r="KW120" s="315"/>
      <c r="KX120" s="315"/>
      <c r="KY120" s="315"/>
      <c r="KZ120" s="315"/>
      <c r="LA120" s="315"/>
      <c r="LB120" s="315"/>
      <c r="LC120" s="315"/>
      <c r="LD120" s="315"/>
      <c r="LE120" s="316"/>
      <c r="LF120" s="323"/>
      <c r="LG120" s="324"/>
      <c r="LH120" s="324"/>
      <c r="LI120" s="324"/>
      <c r="LJ120" s="325"/>
      <c r="LQ120" s="12"/>
      <c r="LR120" s="7"/>
      <c r="LS120" s="3"/>
      <c r="LT120" s="3"/>
      <c r="LU120" s="3"/>
      <c r="LV120" s="3"/>
      <c r="LW120" s="2"/>
      <c r="MK120" s="3"/>
      <c r="ML120" s="3"/>
      <c r="MM120" s="3"/>
      <c r="MN120" s="3"/>
      <c r="MO120" s="3"/>
      <c r="MP120" s="2"/>
    </row>
    <row r="121" spans="3:354" ht="5.0999999999999996" customHeight="1" thickBot="1" x14ac:dyDescent="0.35">
      <c r="C121" s="11"/>
      <c r="D121" s="13"/>
      <c r="Q121" s="209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1"/>
      <c r="BF121" s="209"/>
      <c r="BG121" s="210"/>
      <c r="BH121" s="210"/>
      <c r="BI121" s="210"/>
      <c r="BJ121" s="211"/>
      <c r="DO121" s="265"/>
      <c r="DP121" s="265"/>
      <c r="DQ121" s="265"/>
      <c r="DR121" s="265"/>
      <c r="DS121" s="265"/>
      <c r="DT121" s="265"/>
      <c r="DU121" s="265"/>
      <c r="DV121" s="265"/>
      <c r="DW121" s="265"/>
      <c r="DX121" s="265"/>
      <c r="DY121" s="265"/>
      <c r="DZ121" s="265"/>
      <c r="EA121" s="265"/>
      <c r="EB121" s="265"/>
      <c r="EC121" s="265"/>
      <c r="ED121" s="265"/>
      <c r="EE121" s="265"/>
      <c r="EF121" s="265"/>
      <c r="EG121" s="265"/>
      <c r="EH121" s="265"/>
      <c r="EI121" s="265"/>
      <c r="EJ121" s="265"/>
      <c r="EK121" s="265"/>
      <c r="EL121" s="265"/>
      <c r="EM121" s="265"/>
      <c r="EN121" s="265"/>
      <c r="EO121" s="265"/>
      <c r="EP121" s="265"/>
      <c r="EQ121" s="265"/>
      <c r="ER121" s="265"/>
      <c r="ES121" s="265"/>
      <c r="ET121" s="265"/>
      <c r="EU121" s="265"/>
      <c r="EV121" s="265"/>
      <c r="EW121" s="265"/>
      <c r="EX121" s="265"/>
      <c r="EY121" s="265"/>
      <c r="EZ121" s="265"/>
      <c r="FA121" s="265"/>
      <c r="FB121" s="305"/>
      <c r="FC121" s="306"/>
      <c r="FD121" s="306"/>
      <c r="FE121" s="306"/>
      <c r="FF121" s="307"/>
      <c r="HI121" s="198"/>
      <c r="HJ121" s="199"/>
      <c r="HK121" s="199"/>
      <c r="HL121" s="199"/>
      <c r="HM121" s="199"/>
      <c r="HN121" s="199"/>
      <c r="HO121" s="199"/>
      <c r="HP121" s="199"/>
      <c r="HQ121" s="199"/>
      <c r="HR121" s="199"/>
      <c r="HS121" s="199"/>
      <c r="HT121" s="199"/>
      <c r="HU121" s="199"/>
      <c r="HV121" s="199"/>
      <c r="HW121" s="199"/>
      <c r="HX121" s="199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  <c r="IW121" s="204"/>
      <c r="IX121" s="204"/>
      <c r="IY121" s="204"/>
      <c r="IZ121" s="204"/>
      <c r="JA121" s="204"/>
      <c r="JB121" s="204"/>
      <c r="JG121" s="154"/>
      <c r="JJ121" s="14"/>
      <c r="JQ121" s="314"/>
      <c r="JR121" s="315"/>
      <c r="JS121" s="315"/>
      <c r="JT121" s="315"/>
      <c r="JU121" s="315"/>
      <c r="JV121" s="315"/>
      <c r="JW121" s="315"/>
      <c r="JX121" s="315"/>
      <c r="JY121" s="315"/>
      <c r="JZ121" s="315"/>
      <c r="KA121" s="315"/>
      <c r="KB121" s="315"/>
      <c r="KC121" s="315"/>
      <c r="KD121" s="315"/>
      <c r="KE121" s="315"/>
      <c r="KF121" s="315"/>
      <c r="KG121" s="315"/>
      <c r="KH121" s="315"/>
      <c r="KI121" s="315"/>
      <c r="KJ121" s="315"/>
      <c r="KK121" s="315"/>
      <c r="KL121" s="315"/>
      <c r="KM121" s="315"/>
      <c r="KN121" s="315"/>
      <c r="KO121" s="315"/>
      <c r="KP121" s="315"/>
      <c r="KQ121" s="315"/>
      <c r="KR121" s="315"/>
      <c r="KS121" s="315"/>
      <c r="KT121" s="315"/>
      <c r="KU121" s="315"/>
      <c r="KV121" s="315"/>
      <c r="KW121" s="315"/>
      <c r="KX121" s="315"/>
      <c r="KY121" s="315"/>
      <c r="KZ121" s="315"/>
      <c r="LA121" s="315"/>
      <c r="LB121" s="315"/>
      <c r="LC121" s="315"/>
      <c r="LD121" s="315"/>
      <c r="LE121" s="316"/>
      <c r="LF121" s="323"/>
      <c r="LG121" s="324"/>
      <c r="LH121" s="324"/>
      <c r="LI121" s="324"/>
      <c r="LJ121" s="325"/>
      <c r="LQ121" s="12"/>
      <c r="LR121" s="7"/>
      <c r="LS121" s="3"/>
      <c r="LT121" s="3"/>
      <c r="LU121" s="3"/>
      <c r="LV121" s="3"/>
      <c r="LW121" s="2"/>
      <c r="MK121" s="3"/>
      <c r="ML121" s="3"/>
      <c r="MM121" s="3"/>
      <c r="MN121" s="3"/>
      <c r="MO121" s="3"/>
      <c r="MP121" s="2"/>
    </row>
    <row r="122" spans="3:354" ht="5.0999999999999996" customHeight="1" x14ac:dyDescent="0.3">
      <c r="C122" s="11"/>
      <c r="D122" s="13"/>
      <c r="Q122" s="209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1"/>
      <c r="BF122" s="209"/>
      <c r="BG122" s="210"/>
      <c r="BH122" s="210"/>
      <c r="BI122" s="210"/>
      <c r="BJ122" s="211"/>
      <c r="DO122" s="265"/>
      <c r="DP122" s="265"/>
      <c r="DQ122" s="265"/>
      <c r="DR122" s="265"/>
      <c r="DS122" s="265"/>
      <c r="DT122" s="265"/>
      <c r="DU122" s="265"/>
      <c r="DV122" s="265"/>
      <c r="DW122" s="265"/>
      <c r="DX122" s="265"/>
      <c r="DY122" s="265"/>
      <c r="DZ122" s="265"/>
      <c r="EA122" s="265"/>
      <c r="EB122" s="265"/>
      <c r="EC122" s="265"/>
      <c r="ED122" s="265"/>
      <c r="EE122" s="265"/>
      <c r="EF122" s="265"/>
      <c r="EG122" s="265"/>
      <c r="EH122" s="265"/>
      <c r="EI122" s="265"/>
      <c r="EJ122" s="265"/>
      <c r="EK122" s="265"/>
      <c r="EL122" s="265"/>
      <c r="EM122" s="265"/>
      <c r="EN122" s="265"/>
      <c r="EO122" s="265"/>
      <c r="EP122" s="265"/>
      <c r="EQ122" s="265"/>
      <c r="ER122" s="265"/>
      <c r="ES122" s="265"/>
      <c r="ET122" s="265"/>
      <c r="EU122" s="265"/>
      <c r="EV122" s="265"/>
      <c r="EW122" s="265"/>
      <c r="EX122" s="265"/>
      <c r="EY122" s="265"/>
      <c r="EZ122" s="265"/>
      <c r="FA122" s="265"/>
      <c r="FB122" s="305"/>
      <c r="FC122" s="306"/>
      <c r="FD122" s="306"/>
      <c r="FE122" s="306"/>
      <c r="FF122" s="307"/>
      <c r="HI122" s="198"/>
      <c r="HJ122" s="199"/>
      <c r="HK122" s="199"/>
      <c r="HL122" s="199"/>
      <c r="HM122" s="199"/>
      <c r="HN122" s="199"/>
      <c r="HO122" s="199"/>
      <c r="HP122" s="199"/>
      <c r="HQ122" s="199"/>
      <c r="HR122" s="199"/>
      <c r="HS122" s="199"/>
      <c r="HT122" s="199"/>
      <c r="HU122" s="199"/>
      <c r="HV122" s="199"/>
      <c r="HW122" s="199"/>
      <c r="HX122" s="199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  <c r="IW122" s="204"/>
      <c r="IX122" s="204"/>
      <c r="IY122" s="204"/>
      <c r="IZ122" s="204"/>
      <c r="JA122" s="204"/>
      <c r="JB122" s="204"/>
      <c r="JG122" s="154"/>
      <c r="JJ122" s="14"/>
      <c r="JN122" s="22"/>
      <c r="JO122" s="21"/>
      <c r="JP122" s="21"/>
      <c r="JQ122" s="314"/>
      <c r="JR122" s="315"/>
      <c r="JS122" s="315"/>
      <c r="JT122" s="315"/>
      <c r="JU122" s="315"/>
      <c r="JV122" s="315"/>
      <c r="JW122" s="315"/>
      <c r="JX122" s="315"/>
      <c r="JY122" s="315"/>
      <c r="JZ122" s="315"/>
      <c r="KA122" s="315"/>
      <c r="KB122" s="315"/>
      <c r="KC122" s="315"/>
      <c r="KD122" s="315"/>
      <c r="KE122" s="315"/>
      <c r="KF122" s="315"/>
      <c r="KG122" s="315"/>
      <c r="KH122" s="315"/>
      <c r="KI122" s="315"/>
      <c r="KJ122" s="315"/>
      <c r="KK122" s="315"/>
      <c r="KL122" s="315"/>
      <c r="KM122" s="315"/>
      <c r="KN122" s="315"/>
      <c r="KO122" s="315"/>
      <c r="KP122" s="315"/>
      <c r="KQ122" s="315"/>
      <c r="KR122" s="315"/>
      <c r="KS122" s="315"/>
      <c r="KT122" s="315"/>
      <c r="KU122" s="315"/>
      <c r="KV122" s="315"/>
      <c r="KW122" s="315"/>
      <c r="KX122" s="315"/>
      <c r="KY122" s="315"/>
      <c r="KZ122" s="315"/>
      <c r="LA122" s="315"/>
      <c r="LB122" s="315"/>
      <c r="LC122" s="315"/>
      <c r="LD122" s="315"/>
      <c r="LE122" s="316"/>
      <c r="LF122" s="323"/>
      <c r="LG122" s="324"/>
      <c r="LH122" s="324"/>
      <c r="LI122" s="324"/>
      <c r="LJ122" s="325"/>
      <c r="LQ122" s="12"/>
      <c r="LR122" s="7"/>
      <c r="LS122" s="3"/>
      <c r="LT122" s="3"/>
      <c r="LU122" s="3"/>
      <c r="LV122" s="3"/>
      <c r="LW122" s="2"/>
      <c r="MK122" s="3"/>
      <c r="ML122" s="3"/>
      <c r="MM122" s="3"/>
      <c r="MN122" s="3"/>
      <c r="MO122" s="3"/>
      <c r="MP122" s="2"/>
    </row>
    <row r="123" spans="3:354" ht="5.0999999999999996" customHeight="1" x14ac:dyDescent="0.3">
      <c r="C123" s="11"/>
      <c r="D123" s="13"/>
      <c r="Q123" s="209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  <c r="AW123" s="210"/>
      <c r="AX123" s="210"/>
      <c r="AY123" s="210"/>
      <c r="AZ123" s="210"/>
      <c r="BA123" s="210"/>
      <c r="BB123" s="210"/>
      <c r="BC123" s="210"/>
      <c r="BD123" s="210"/>
      <c r="BE123" s="211"/>
      <c r="BF123" s="209"/>
      <c r="BG123" s="210"/>
      <c r="BH123" s="210"/>
      <c r="BI123" s="210"/>
      <c r="BJ123" s="211"/>
      <c r="DO123" s="265"/>
      <c r="DP123" s="265"/>
      <c r="DQ123" s="265"/>
      <c r="DR123" s="265"/>
      <c r="DS123" s="265"/>
      <c r="DT123" s="265"/>
      <c r="DU123" s="265"/>
      <c r="DV123" s="265"/>
      <c r="DW123" s="265"/>
      <c r="DX123" s="265"/>
      <c r="DY123" s="265"/>
      <c r="DZ123" s="265"/>
      <c r="EA123" s="265"/>
      <c r="EB123" s="265"/>
      <c r="EC123" s="265"/>
      <c r="ED123" s="265"/>
      <c r="EE123" s="265"/>
      <c r="EF123" s="265"/>
      <c r="EG123" s="265"/>
      <c r="EH123" s="265"/>
      <c r="EI123" s="265"/>
      <c r="EJ123" s="265"/>
      <c r="EK123" s="265"/>
      <c r="EL123" s="265"/>
      <c r="EM123" s="265"/>
      <c r="EN123" s="265"/>
      <c r="EO123" s="265"/>
      <c r="EP123" s="265"/>
      <c r="EQ123" s="265"/>
      <c r="ER123" s="265"/>
      <c r="ES123" s="265"/>
      <c r="ET123" s="265"/>
      <c r="EU123" s="265"/>
      <c r="EV123" s="265"/>
      <c r="EW123" s="265"/>
      <c r="EX123" s="265"/>
      <c r="EY123" s="265"/>
      <c r="EZ123" s="265"/>
      <c r="FA123" s="265"/>
      <c r="FB123" s="305"/>
      <c r="FC123" s="306"/>
      <c r="FD123" s="306"/>
      <c r="FE123" s="306"/>
      <c r="FF123" s="307"/>
      <c r="HI123" s="198"/>
      <c r="HJ123" s="199"/>
      <c r="HK123" s="199"/>
      <c r="HL123" s="199"/>
      <c r="HM123" s="199"/>
      <c r="HN123" s="199"/>
      <c r="HO123" s="199"/>
      <c r="HP123" s="199"/>
      <c r="HQ123" s="199"/>
      <c r="HR123" s="199"/>
      <c r="HS123" s="199"/>
      <c r="HT123" s="199"/>
      <c r="HU123" s="199"/>
      <c r="HV123" s="199"/>
      <c r="HW123" s="199"/>
      <c r="HX123" s="199"/>
      <c r="HY123" s="199"/>
      <c r="HZ123" s="199"/>
      <c r="IA123" s="199"/>
      <c r="IB123" s="199"/>
      <c r="IC123" s="199"/>
      <c r="ID123" s="199"/>
      <c r="IE123" s="199"/>
      <c r="IF123" s="199"/>
      <c r="IG123" s="199"/>
      <c r="IH123" s="199"/>
      <c r="II123" s="199"/>
      <c r="IJ123" s="199"/>
      <c r="IK123" s="199"/>
      <c r="IL123" s="199"/>
      <c r="IM123" s="199"/>
      <c r="IN123" s="199"/>
      <c r="IO123" s="199"/>
      <c r="IP123" s="199"/>
      <c r="IQ123" s="199"/>
      <c r="IR123" s="199"/>
      <c r="IS123" s="199"/>
      <c r="IT123" s="199"/>
      <c r="IU123" s="199"/>
      <c r="IV123" s="199"/>
      <c r="IW123" s="204"/>
      <c r="IX123" s="204"/>
      <c r="IY123" s="204"/>
      <c r="IZ123" s="204"/>
      <c r="JA123" s="204"/>
      <c r="JB123" s="204"/>
      <c r="JG123" s="154"/>
      <c r="JJ123" s="14"/>
      <c r="JN123" s="16"/>
      <c r="JQ123" s="314"/>
      <c r="JR123" s="315"/>
      <c r="JS123" s="315"/>
      <c r="JT123" s="315"/>
      <c r="JU123" s="315"/>
      <c r="JV123" s="315"/>
      <c r="JW123" s="315"/>
      <c r="JX123" s="315"/>
      <c r="JY123" s="315"/>
      <c r="JZ123" s="315"/>
      <c r="KA123" s="315"/>
      <c r="KB123" s="315"/>
      <c r="KC123" s="315"/>
      <c r="KD123" s="315"/>
      <c r="KE123" s="315"/>
      <c r="KF123" s="315"/>
      <c r="KG123" s="315"/>
      <c r="KH123" s="315"/>
      <c r="KI123" s="315"/>
      <c r="KJ123" s="315"/>
      <c r="KK123" s="315"/>
      <c r="KL123" s="315"/>
      <c r="KM123" s="315"/>
      <c r="KN123" s="315"/>
      <c r="KO123" s="315"/>
      <c r="KP123" s="315"/>
      <c r="KQ123" s="315"/>
      <c r="KR123" s="315"/>
      <c r="KS123" s="315"/>
      <c r="KT123" s="315"/>
      <c r="KU123" s="315"/>
      <c r="KV123" s="315"/>
      <c r="KW123" s="315"/>
      <c r="KX123" s="315"/>
      <c r="KY123" s="315"/>
      <c r="KZ123" s="315"/>
      <c r="LA123" s="315"/>
      <c r="LB123" s="315"/>
      <c r="LC123" s="315"/>
      <c r="LD123" s="315"/>
      <c r="LE123" s="316"/>
      <c r="LF123" s="323"/>
      <c r="LG123" s="324"/>
      <c r="LH123" s="324"/>
      <c r="LI123" s="324"/>
      <c r="LJ123" s="325"/>
      <c r="LQ123" s="12"/>
      <c r="LR123" s="7"/>
      <c r="LS123" s="3"/>
      <c r="LT123" s="3"/>
      <c r="LU123" s="3"/>
      <c r="LV123" s="3"/>
      <c r="LW123" s="2"/>
      <c r="MK123" s="3"/>
      <c r="ML123" s="3"/>
      <c r="MM123" s="3"/>
      <c r="MN123" s="3"/>
      <c r="MO123" s="3"/>
      <c r="MP123" s="2"/>
    </row>
    <row r="124" spans="3:354" ht="5.0999999999999996" customHeight="1" x14ac:dyDescent="0.3">
      <c r="C124" s="11"/>
      <c r="D124" s="13"/>
      <c r="Q124" s="209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  <c r="BD124" s="210"/>
      <c r="BE124" s="211"/>
      <c r="BF124" s="209"/>
      <c r="BG124" s="210"/>
      <c r="BH124" s="210"/>
      <c r="BI124" s="210"/>
      <c r="BJ124" s="211"/>
      <c r="DO124" s="265"/>
      <c r="DP124" s="265"/>
      <c r="DQ124" s="265"/>
      <c r="DR124" s="265"/>
      <c r="DS124" s="265"/>
      <c r="DT124" s="265"/>
      <c r="DU124" s="265"/>
      <c r="DV124" s="265"/>
      <c r="DW124" s="265"/>
      <c r="DX124" s="265"/>
      <c r="DY124" s="265"/>
      <c r="DZ124" s="265"/>
      <c r="EA124" s="265"/>
      <c r="EB124" s="265"/>
      <c r="EC124" s="265"/>
      <c r="ED124" s="265"/>
      <c r="EE124" s="265"/>
      <c r="EF124" s="265"/>
      <c r="EG124" s="265"/>
      <c r="EH124" s="265"/>
      <c r="EI124" s="265"/>
      <c r="EJ124" s="265"/>
      <c r="EK124" s="265"/>
      <c r="EL124" s="265"/>
      <c r="EM124" s="265"/>
      <c r="EN124" s="265"/>
      <c r="EO124" s="265"/>
      <c r="EP124" s="265"/>
      <c r="EQ124" s="265"/>
      <c r="ER124" s="265"/>
      <c r="ES124" s="265"/>
      <c r="ET124" s="265"/>
      <c r="EU124" s="265"/>
      <c r="EV124" s="265"/>
      <c r="EW124" s="265"/>
      <c r="EX124" s="265"/>
      <c r="EY124" s="265"/>
      <c r="EZ124" s="265"/>
      <c r="FA124" s="265"/>
      <c r="FB124" s="305"/>
      <c r="FC124" s="306"/>
      <c r="FD124" s="306"/>
      <c r="FE124" s="306"/>
      <c r="FF124" s="307"/>
      <c r="HI124" s="198"/>
      <c r="HJ124" s="199"/>
      <c r="HK124" s="199"/>
      <c r="HL124" s="199"/>
      <c r="HM124" s="199"/>
      <c r="HN124" s="199"/>
      <c r="HO124" s="199"/>
      <c r="HP124" s="199"/>
      <c r="HQ124" s="199"/>
      <c r="HR124" s="199"/>
      <c r="HS124" s="199"/>
      <c r="HT124" s="199"/>
      <c r="HU124" s="199"/>
      <c r="HV124" s="199"/>
      <c r="HW124" s="199"/>
      <c r="HX124" s="199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  <c r="IW124" s="204"/>
      <c r="IX124" s="204"/>
      <c r="IY124" s="204"/>
      <c r="IZ124" s="204"/>
      <c r="JA124" s="204"/>
      <c r="JB124" s="204"/>
      <c r="JG124" s="154"/>
      <c r="JN124" s="16"/>
      <c r="JQ124" s="314"/>
      <c r="JR124" s="315"/>
      <c r="JS124" s="315"/>
      <c r="JT124" s="315"/>
      <c r="JU124" s="315"/>
      <c r="JV124" s="315"/>
      <c r="JW124" s="315"/>
      <c r="JX124" s="315"/>
      <c r="JY124" s="315"/>
      <c r="JZ124" s="315"/>
      <c r="KA124" s="315"/>
      <c r="KB124" s="315"/>
      <c r="KC124" s="315"/>
      <c r="KD124" s="315"/>
      <c r="KE124" s="315"/>
      <c r="KF124" s="315"/>
      <c r="KG124" s="315"/>
      <c r="KH124" s="315"/>
      <c r="KI124" s="315"/>
      <c r="KJ124" s="315"/>
      <c r="KK124" s="315"/>
      <c r="KL124" s="315"/>
      <c r="KM124" s="315"/>
      <c r="KN124" s="315"/>
      <c r="KO124" s="315"/>
      <c r="KP124" s="315"/>
      <c r="KQ124" s="315"/>
      <c r="KR124" s="315"/>
      <c r="KS124" s="315"/>
      <c r="KT124" s="315"/>
      <c r="KU124" s="315"/>
      <c r="KV124" s="315"/>
      <c r="KW124" s="315"/>
      <c r="KX124" s="315"/>
      <c r="KY124" s="315"/>
      <c r="KZ124" s="315"/>
      <c r="LA124" s="315"/>
      <c r="LB124" s="315"/>
      <c r="LC124" s="315"/>
      <c r="LD124" s="315"/>
      <c r="LE124" s="316"/>
      <c r="LF124" s="323"/>
      <c r="LG124" s="324"/>
      <c r="LH124" s="324"/>
      <c r="LI124" s="324"/>
      <c r="LJ124" s="325"/>
      <c r="LQ124" s="12"/>
      <c r="LR124" s="7"/>
      <c r="LS124" s="3"/>
      <c r="LT124" s="3"/>
      <c r="LU124" s="3"/>
      <c r="LV124" s="3"/>
      <c r="LW124" s="2"/>
      <c r="MK124" s="3"/>
      <c r="ML124" s="3"/>
      <c r="MM124" s="3"/>
      <c r="MN124" s="3"/>
      <c r="MO124" s="3"/>
      <c r="MP124" s="2"/>
    </row>
    <row r="125" spans="3:354" ht="5.0999999999999996" customHeight="1" x14ac:dyDescent="0.3">
      <c r="C125" s="11"/>
      <c r="D125" s="13"/>
      <c r="Q125" s="209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  <c r="BD125" s="210"/>
      <c r="BE125" s="211"/>
      <c r="BF125" s="209"/>
      <c r="BG125" s="210"/>
      <c r="BH125" s="210"/>
      <c r="BI125" s="210"/>
      <c r="BJ125" s="211"/>
      <c r="DO125" s="265"/>
      <c r="DP125" s="265"/>
      <c r="DQ125" s="265"/>
      <c r="DR125" s="265"/>
      <c r="DS125" s="265"/>
      <c r="DT125" s="265"/>
      <c r="DU125" s="265"/>
      <c r="DV125" s="265"/>
      <c r="DW125" s="265"/>
      <c r="DX125" s="265"/>
      <c r="DY125" s="265"/>
      <c r="DZ125" s="265"/>
      <c r="EA125" s="265"/>
      <c r="EB125" s="265"/>
      <c r="EC125" s="265"/>
      <c r="ED125" s="265"/>
      <c r="EE125" s="265"/>
      <c r="EF125" s="265"/>
      <c r="EG125" s="265"/>
      <c r="EH125" s="265"/>
      <c r="EI125" s="265"/>
      <c r="EJ125" s="265"/>
      <c r="EK125" s="265"/>
      <c r="EL125" s="265"/>
      <c r="EM125" s="265"/>
      <c r="EN125" s="265"/>
      <c r="EO125" s="265"/>
      <c r="EP125" s="265"/>
      <c r="EQ125" s="265"/>
      <c r="ER125" s="265"/>
      <c r="ES125" s="265"/>
      <c r="ET125" s="265"/>
      <c r="EU125" s="265"/>
      <c r="EV125" s="265"/>
      <c r="EW125" s="265"/>
      <c r="EX125" s="265"/>
      <c r="EY125" s="265"/>
      <c r="EZ125" s="265"/>
      <c r="FA125" s="265"/>
      <c r="FB125" s="305"/>
      <c r="FC125" s="306"/>
      <c r="FD125" s="306"/>
      <c r="FE125" s="306"/>
      <c r="FF125" s="307"/>
      <c r="HI125" s="198"/>
      <c r="HJ125" s="199"/>
      <c r="HK125" s="199"/>
      <c r="HL125" s="199"/>
      <c r="HM125" s="199"/>
      <c r="HN125" s="199"/>
      <c r="HO125" s="199"/>
      <c r="HP125" s="199"/>
      <c r="HQ125" s="199"/>
      <c r="HR125" s="199"/>
      <c r="HS125" s="199"/>
      <c r="HT125" s="199"/>
      <c r="HU125" s="199"/>
      <c r="HV125" s="199"/>
      <c r="HW125" s="199"/>
      <c r="HX125" s="199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  <c r="IW125" s="204"/>
      <c r="IX125" s="204"/>
      <c r="IY125" s="204"/>
      <c r="IZ125" s="204"/>
      <c r="JA125" s="204"/>
      <c r="JB125" s="204"/>
      <c r="JG125" s="154"/>
      <c r="JN125" s="16"/>
      <c r="JQ125" s="314"/>
      <c r="JR125" s="315"/>
      <c r="JS125" s="315"/>
      <c r="JT125" s="315"/>
      <c r="JU125" s="315"/>
      <c r="JV125" s="315"/>
      <c r="JW125" s="315"/>
      <c r="JX125" s="315"/>
      <c r="JY125" s="315"/>
      <c r="JZ125" s="315"/>
      <c r="KA125" s="315"/>
      <c r="KB125" s="315"/>
      <c r="KC125" s="315"/>
      <c r="KD125" s="315"/>
      <c r="KE125" s="315"/>
      <c r="KF125" s="315"/>
      <c r="KG125" s="315"/>
      <c r="KH125" s="315"/>
      <c r="KI125" s="315"/>
      <c r="KJ125" s="315"/>
      <c r="KK125" s="315"/>
      <c r="KL125" s="315"/>
      <c r="KM125" s="315"/>
      <c r="KN125" s="315"/>
      <c r="KO125" s="315"/>
      <c r="KP125" s="315"/>
      <c r="KQ125" s="315"/>
      <c r="KR125" s="315"/>
      <c r="KS125" s="315"/>
      <c r="KT125" s="315"/>
      <c r="KU125" s="315"/>
      <c r="KV125" s="315"/>
      <c r="KW125" s="315"/>
      <c r="KX125" s="315"/>
      <c r="KY125" s="315"/>
      <c r="KZ125" s="315"/>
      <c r="LA125" s="315"/>
      <c r="LB125" s="315"/>
      <c r="LC125" s="315"/>
      <c r="LD125" s="315"/>
      <c r="LE125" s="316"/>
      <c r="LF125" s="323"/>
      <c r="LG125" s="324"/>
      <c r="LH125" s="324"/>
      <c r="LI125" s="324"/>
      <c r="LJ125" s="325"/>
      <c r="LQ125" s="12"/>
      <c r="LR125" s="7"/>
      <c r="LS125" s="3"/>
      <c r="LT125" s="3"/>
      <c r="LU125" s="3"/>
      <c r="LV125" s="3"/>
      <c r="LW125" s="2"/>
      <c r="MK125" s="3"/>
      <c r="ML125" s="3"/>
      <c r="MM125" s="3"/>
      <c r="MN125" s="3"/>
      <c r="MO125" s="3"/>
      <c r="MP125" s="2"/>
    </row>
    <row r="126" spans="3:354" ht="5.0999999999999996" customHeight="1" thickBot="1" x14ac:dyDescent="0.35">
      <c r="C126" s="11"/>
      <c r="D126" s="13"/>
      <c r="Q126" s="212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4"/>
      <c r="BF126" s="212"/>
      <c r="BG126" s="213"/>
      <c r="BH126" s="213"/>
      <c r="BI126" s="213"/>
      <c r="BJ126" s="214"/>
      <c r="DO126" s="265"/>
      <c r="DP126" s="265"/>
      <c r="DQ126" s="265"/>
      <c r="DR126" s="265"/>
      <c r="DS126" s="265"/>
      <c r="DT126" s="265"/>
      <c r="DU126" s="265"/>
      <c r="DV126" s="265"/>
      <c r="DW126" s="265"/>
      <c r="DX126" s="265"/>
      <c r="DY126" s="265"/>
      <c r="DZ126" s="265"/>
      <c r="EA126" s="265"/>
      <c r="EB126" s="265"/>
      <c r="EC126" s="265"/>
      <c r="ED126" s="265"/>
      <c r="EE126" s="265"/>
      <c r="EF126" s="265"/>
      <c r="EG126" s="265"/>
      <c r="EH126" s="265"/>
      <c r="EI126" s="265"/>
      <c r="EJ126" s="265"/>
      <c r="EK126" s="265"/>
      <c r="EL126" s="265"/>
      <c r="EM126" s="265"/>
      <c r="EN126" s="265"/>
      <c r="EO126" s="265"/>
      <c r="EP126" s="265"/>
      <c r="EQ126" s="265"/>
      <c r="ER126" s="265"/>
      <c r="ES126" s="265"/>
      <c r="ET126" s="265"/>
      <c r="EU126" s="265"/>
      <c r="EV126" s="265"/>
      <c r="EW126" s="265"/>
      <c r="EX126" s="265"/>
      <c r="EY126" s="265"/>
      <c r="EZ126" s="265"/>
      <c r="FA126" s="265"/>
      <c r="FB126" s="308"/>
      <c r="FC126" s="309"/>
      <c r="FD126" s="309"/>
      <c r="FE126" s="309"/>
      <c r="FF126" s="310"/>
      <c r="HI126" s="201"/>
      <c r="HJ126" s="202"/>
      <c r="HK126" s="202"/>
      <c r="HL126" s="202"/>
      <c r="HM126" s="202"/>
      <c r="HN126" s="202"/>
      <c r="HO126" s="202"/>
      <c r="HP126" s="202"/>
      <c r="HQ126" s="202"/>
      <c r="HR126" s="202"/>
      <c r="HS126" s="202"/>
      <c r="HT126" s="202"/>
      <c r="HU126" s="202"/>
      <c r="HV126" s="202"/>
      <c r="HW126" s="202"/>
      <c r="HX126" s="202"/>
      <c r="HY126" s="202"/>
      <c r="HZ126" s="202"/>
      <c r="IA126" s="202"/>
      <c r="IB126" s="202"/>
      <c r="IC126" s="202"/>
      <c r="ID126" s="202"/>
      <c r="IE126" s="202"/>
      <c r="IF126" s="202"/>
      <c r="IG126" s="202"/>
      <c r="IH126" s="202"/>
      <c r="II126" s="202"/>
      <c r="IJ126" s="202"/>
      <c r="IK126" s="202"/>
      <c r="IL126" s="202"/>
      <c r="IM126" s="202"/>
      <c r="IN126" s="202"/>
      <c r="IO126" s="202"/>
      <c r="IP126" s="202"/>
      <c r="IQ126" s="202"/>
      <c r="IR126" s="202"/>
      <c r="IS126" s="202"/>
      <c r="IT126" s="202"/>
      <c r="IU126" s="202"/>
      <c r="IV126" s="202"/>
      <c r="IW126" s="204"/>
      <c r="IX126" s="204"/>
      <c r="IY126" s="204"/>
      <c r="IZ126" s="204"/>
      <c r="JA126" s="204"/>
      <c r="JB126" s="204"/>
      <c r="JG126" s="154"/>
      <c r="JN126" s="16"/>
      <c r="JQ126" s="317"/>
      <c r="JR126" s="318"/>
      <c r="JS126" s="318"/>
      <c r="JT126" s="318"/>
      <c r="JU126" s="318"/>
      <c r="JV126" s="318"/>
      <c r="JW126" s="318"/>
      <c r="JX126" s="318"/>
      <c r="JY126" s="318"/>
      <c r="JZ126" s="318"/>
      <c r="KA126" s="318"/>
      <c r="KB126" s="318"/>
      <c r="KC126" s="318"/>
      <c r="KD126" s="318"/>
      <c r="KE126" s="318"/>
      <c r="KF126" s="318"/>
      <c r="KG126" s="318"/>
      <c r="KH126" s="318"/>
      <c r="KI126" s="318"/>
      <c r="KJ126" s="318"/>
      <c r="KK126" s="318"/>
      <c r="KL126" s="318"/>
      <c r="KM126" s="318"/>
      <c r="KN126" s="318"/>
      <c r="KO126" s="318"/>
      <c r="KP126" s="318"/>
      <c r="KQ126" s="318"/>
      <c r="KR126" s="318"/>
      <c r="KS126" s="318"/>
      <c r="KT126" s="318"/>
      <c r="KU126" s="318"/>
      <c r="KV126" s="318"/>
      <c r="KW126" s="318"/>
      <c r="KX126" s="318"/>
      <c r="KY126" s="318"/>
      <c r="KZ126" s="318"/>
      <c r="LA126" s="318"/>
      <c r="LB126" s="318"/>
      <c r="LC126" s="318"/>
      <c r="LD126" s="318"/>
      <c r="LE126" s="319"/>
      <c r="LF126" s="326"/>
      <c r="LG126" s="327"/>
      <c r="LH126" s="327"/>
      <c r="LI126" s="327"/>
      <c r="LJ126" s="328"/>
      <c r="LQ126" s="12"/>
      <c r="LR126" s="7"/>
      <c r="LS126" s="3"/>
      <c r="LT126" s="3"/>
      <c r="LU126" s="3"/>
      <c r="LV126" s="3"/>
      <c r="LW126" s="2"/>
      <c r="MK126" s="3"/>
      <c r="ML126" s="3"/>
      <c r="MM126" s="3"/>
      <c r="MN126" s="3"/>
      <c r="MO126" s="3"/>
      <c r="MP126" s="2"/>
    </row>
    <row r="127" spans="3:354" ht="5.0999999999999996" customHeight="1" x14ac:dyDescent="0.3">
      <c r="C127" s="11"/>
      <c r="D127" s="13"/>
      <c r="AN127" s="25"/>
      <c r="EL127" s="16"/>
      <c r="HI127" s="184" t="s">
        <v>10</v>
      </c>
      <c r="HJ127" s="185"/>
      <c r="HK127" s="185"/>
      <c r="HL127" s="185"/>
      <c r="HM127" s="185"/>
      <c r="HN127" s="185"/>
      <c r="HO127" s="185"/>
      <c r="HP127" s="185"/>
      <c r="HQ127" s="185"/>
      <c r="HR127" s="185"/>
      <c r="HS127" s="185"/>
      <c r="HT127" s="185"/>
      <c r="HU127" s="185"/>
      <c r="HV127" s="185"/>
      <c r="HW127" s="185"/>
      <c r="HX127" s="185"/>
      <c r="HY127" s="185"/>
      <c r="HZ127" s="185"/>
      <c r="IA127" s="185"/>
      <c r="IB127" s="185"/>
      <c r="IC127" s="185"/>
      <c r="ID127" s="185"/>
      <c r="IE127" s="185"/>
      <c r="IF127" s="185"/>
      <c r="IG127" s="185"/>
      <c r="IH127" s="185"/>
      <c r="II127" s="185"/>
      <c r="IJ127" s="185"/>
      <c r="IK127" s="185"/>
      <c r="IL127" s="185"/>
      <c r="IM127" s="185"/>
      <c r="IN127" s="185"/>
      <c r="IO127" s="185"/>
      <c r="IP127" s="185"/>
      <c r="IQ127" s="185"/>
      <c r="IR127" s="185"/>
      <c r="IS127" s="185"/>
      <c r="IT127" s="185"/>
      <c r="IU127" s="185"/>
      <c r="IV127" s="185"/>
      <c r="IW127" s="187">
        <v>19</v>
      </c>
      <c r="IX127" s="188"/>
      <c r="IY127" s="188"/>
      <c r="IZ127" s="188"/>
      <c r="JA127" s="188"/>
      <c r="JB127" s="189"/>
      <c r="JC127" s="52"/>
      <c r="JG127" s="154"/>
      <c r="JN127" s="16"/>
      <c r="LQ127" s="12"/>
      <c r="LR127" s="7"/>
      <c r="LS127" s="3"/>
      <c r="LT127" s="3"/>
      <c r="LU127" s="3"/>
      <c r="LV127" s="3"/>
      <c r="LW127" s="2"/>
      <c r="MK127" s="3"/>
      <c r="ML127" s="3"/>
      <c r="MM127" s="3"/>
      <c r="MN127" s="3"/>
      <c r="MO127" s="3"/>
      <c r="MP127" s="2"/>
    </row>
    <row r="128" spans="3:354" ht="5.0999999999999996" customHeight="1" x14ac:dyDescent="0.3">
      <c r="C128" s="11"/>
      <c r="D128" s="13"/>
      <c r="AN128" s="24"/>
      <c r="EL128" s="16"/>
      <c r="HI128" s="187"/>
      <c r="HJ128" s="188"/>
      <c r="HK128" s="188"/>
      <c r="HL128" s="188"/>
      <c r="HM128" s="188"/>
      <c r="HN128" s="188"/>
      <c r="HO128" s="188"/>
      <c r="HP128" s="188"/>
      <c r="HQ128" s="188"/>
      <c r="HR128" s="188"/>
      <c r="HS128" s="188"/>
      <c r="HT128" s="188"/>
      <c r="HU128" s="188"/>
      <c r="HV128" s="188"/>
      <c r="HW128" s="188"/>
      <c r="HX128" s="188"/>
      <c r="HY128" s="188"/>
      <c r="HZ128" s="188"/>
      <c r="IA128" s="188"/>
      <c r="IB128" s="188"/>
      <c r="IC128" s="188"/>
      <c r="ID128" s="188"/>
      <c r="IE128" s="188"/>
      <c r="IF128" s="188"/>
      <c r="IG128" s="188"/>
      <c r="IH128" s="188"/>
      <c r="II128" s="188"/>
      <c r="IJ128" s="188"/>
      <c r="IK128" s="188"/>
      <c r="IL128" s="188"/>
      <c r="IM128" s="188"/>
      <c r="IN128" s="188"/>
      <c r="IO128" s="188"/>
      <c r="IP128" s="188"/>
      <c r="IQ128" s="188"/>
      <c r="IR128" s="188"/>
      <c r="IS128" s="188"/>
      <c r="IT128" s="188"/>
      <c r="IU128" s="188"/>
      <c r="IV128" s="188"/>
      <c r="IW128" s="187"/>
      <c r="IX128" s="188"/>
      <c r="IY128" s="188"/>
      <c r="IZ128" s="188"/>
      <c r="JA128" s="188"/>
      <c r="JB128" s="189"/>
      <c r="JC128" s="53"/>
      <c r="JG128" s="154"/>
      <c r="JN128" s="16"/>
      <c r="JQ128" s="184" t="s">
        <v>57</v>
      </c>
      <c r="JR128" s="185"/>
      <c r="JS128" s="185"/>
      <c r="JT128" s="185"/>
      <c r="JU128" s="185"/>
      <c r="JV128" s="185"/>
      <c r="JW128" s="185"/>
      <c r="JX128" s="185"/>
      <c r="JY128" s="185"/>
      <c r="JZ128" s="185"/>
      <c r="KA128" s="185"/>
      <c r="KB128" s="185"/>
      <c r="KC128" s="185"/>
      <c r="KD128" s="185"/>
      <c r="KE128" s="185"/>
      <c r="KF128" s="185"/>
      <c r="KG128" s="185"/>
      <c r="KH128" s="185"/>
      <c r="KI128" s="185"/>
      <c r="KJ128" s="185"/>
      <c r="KK128" s="185"/>
      <c r="KL128" s="185"/>
      <c r="KM128" s="185"/>
      <c r="KN128" s="185"/>
      <c r="KO128" s="185"/>
      <c r="KP128" s="185"/>
      <c r="KQ128" s="185"/>
      <c r="KR128" s="185"/>
      <c r="KS128" s="185"/>
      <c r="KT128" s="185"/>
      <c r="KU128" s="185"/>
      <c r="KV128" s="185"/>
      <c r="KW128" s="185"/>
      <c r="KX128" s="185"/>
      <c r="KY128" s="185"/>
      <c r="KZ128" s="185"/>
      <c r="LA128" s="185"/>
      <c r="LB128" s="185"/>
      <c r="LC128" s="185"/>
      <c r="LD128" s="185"/>
      <c r="LE128" s="186"/>
      <c r="LF128" s="184">
        <v>1</v>
      </c>
      <c r="LG128" s="185"/>
      <c r="LH128" s="185"/>
      <c r="LI128" s="185"/>
      <c r="LJ128" s="186"/>
      <c r="LQ128" s="12"/>
      <c r="LR128" s="7"/>
      <c r="LS128" s="3"/>
      <c r="LT128" s="3"/>
      <c r="LU128" s="3"/>
      <c r="LV128" s="3"/>
      <c r="LW128" s="2"/>
      <c r="MK128" s="3"/>
      <c r="ML128" s="3"/>
      <c r="MM128" s="3"/>
      <c r="MN128" s="3"/>
      <c r="MO128" s="3"/>
      <c r="MP128" s="2"/>
    </row>
    <row r="129" spans="3:354" ht="5.0999999999999996" customHeight="1" x14ac:dyDescent="0.3">
      <c r="C129" s="11"/>
      <c r="D129" s="13"/>
      <c r="Q129" s="184" t="s">
        <v>47</v>
      </c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6"/>
      <c r="BF129" s="184">
        <v>1</v>
      </c>
      <c r="BG129" s="185"/>
      <c r="BH129" s="185"/>
      <c r="BI129" s="185"/>
      <c r="BJ129" s="186"/>
      <c r="DO129" s="215" t="s">
        <v>9</v>
      </c>
      <c r="DP129" s="215"/>
      <c r="DQ129" s="215"/>
      <c r="DR129" s="215"/>
      <c r="DS129" s="215"/>
      <c r="DT129" s="215"/>
      <c r="DU129" s="215"/>
      <c r="DV129" s="215"/>
      <c r="DW129" s="215"/>
      <c r="DX129" s="215"/>
      <c r="DY129" s="215"/>
      <c r="DZ129" s="215"/>
      <c r="EA129" s="215"/>
      <c r="EB129" s="215"/>
      <c r="EC129" s="215"/>
      <c r="ED129" s="215"/>
      <c r="EE129" s="215"/>
      <c r="EF129" s="215"/>
      <c r="EG129" s="215"/>
      <c r="EH129" s="215"/>
      <c r="EI129" s="215"/>
      <c r="EJ129" s="215"/>
      <c r="EK129" s="215"/>
      <c r="EL129" s="215"/>
      <c r="EM129" s="215"/>
      <c r="EN129" s="215"/>
      <c r="EO129" s="215"/>
      <c r="EP129" s="215"/>
      <c r="EQ129" s="215"/>
      <c r="ER129" s="215"/>
      <c r="ES129" s="215"/>
      <c r="ET129" s="215"/>
      <c r="EU129" s="215"/>
      <c r="EV129" s="215"/>
      <c r="EW129" s="215"/>
      <c r="EX129" s="215"/>
      <c r="EY129" s="215"/>
      <c r="EZ129" s="215"/>
      <c r="FA129" s="215"/>
      <c r="FB129" s="215">
        <v>1</v>
      </c>
      <c r="FC129" s="215"/>
      <c r="FD129" s="215"/>
      <c r="FE129" s="215"/>
      <c r="FF129" s="215"/>
      <c r="HI129" s="187"/>
      <c r="HJ129" s="188"/>
      <c r="HK129" s="188"/>
      <c r="HL129" s="188"/>
      <c r="HM129" s="188"/>
      <c r="HN129" s="188"/>
      <c r="HO129" s="188"/>
      <c r="HP129" s="188"/>
      <c r="HQ129" s="188"/>
      <c r="HR129" s="188"/>
      <c r="HS129" s="188"/>
      <c r="HT129" s="188"/>
      <c r="HU129" s="188"/>
      <c r="HV129" s="188"/>
      <c r="HW129" s="188"/>
      <c r="HX129" s="188"/>
      <c r="HY129" s="188"/>
      <c r="HZ129" s="188"/>
      <c r="IA129" s="188"/>
      <c r="IB129" s="188"/>
      <c r="IC129" s="188"/>
      <c r="ID129" s="188"/>
      <c r="IE129" s="188"/>
      <c r="IF129" s="188"/>
      <c r="IG129" s="188"/>
      <c r="IH129" s="188"/>
      <c r="II129" s="188"/>
      <c r="IJ129" s="188"/>
      <c r="IK129" s="188"/>
      <c r="IL129" s="188"/>
      <c r="IM129" s="188"/>
      <c r="IN129" s="188"/>
      <c r="IO129" s="188"/>
      <c r="IP129" s="188"/>
      <c r="IQ129" s="188"/>
      <c r="IR129" s="188"/>
      <c r="IS129" s="188"/>
      <c r="IT129" s="188"/>
      <c r="IU129" s="188"/>
      <c r="IV129" s="188"/>
      <c r="IW129" s="187"/>
      <c r="IX129" s="188"/>
      <c r="IY129" s="188"/>
      <c r="IZ129" s="188"/>
      <c r="JA129" s="188"/>
      <c r="JB129" s="189"/>
      <c r="JC129" s="53"/>
      <c r="JG129" s="154"/>
      <c r="JN129" s="16"/>
      <c r="JQ129" s="187"/>
      <c r="JR129" s="188"/>
      <c r="JS129" s="188"/>
      <c r="JT129" s="188"/>
      <c r="JU129" s="188"/>
      <c r="JV129" s="188"/>
      <c r="JW129" s="188"/>
      <c r="JX129" s="188"/>
      <c r="JY129" s="188"/>
      <c r="JZ129" s="188"/>
      <c r="KA129" s="188"/>
      <c r="KB129" s="188"/>
      <c r="KC129" s="188"/>
      <c r="KD129" s="188"/>
      <c r="KE129" s="188"/>
      <c r="KF129" s="188"/>
      <c r="KG129" s="188"/>
      <c r="KH129" s="188"/>
      <c r="KI129" s="188"/>
      <c r="KJ129" s="188"/>
      <c r="KK129" s="188"/>
      <c r="KL129" s="188"/>
      <c r="KM129" s="188"/>
      <c r="KN129" s="188"/>
      <c r="KO129" s="188"/>
      <c r="KP129" s="188"/>
      <c r="KQ129" s="188"/>
      <c r="KR129" s="188"/>
      <c r="KS129" s="188"/>
      <c r="KT129" s="188"/>
      <c r="KU129" s="188"/>
      <c r="KV129" s="188"/>
      <c r="KW129" s="188"/>
      <c r="KX129" s="188"/>
      <c r="KY129" s="188"/>
      <c r="KZ129" s="188"/>
      <c r="LA129" s="188"/>
      <c r="LB129" s="188"/>
      <c r="LC129" s="188"/>
      <c r="LD129" s="188"/>
      <c r="LE129" s="189"/>
      <c r="LF129" s="187"/>
      <c r="LG129" s="188"/>
      <c r="LH129" s="188"/>
      <c r="LI129" s="188"/>
      <c r="LJ129" s="189"/>
      <c r="LQ129" s="12"/>
      <c r="LR129" s="7"/>
      <c r="LS129" s="3"/>
      <c r="LT129" s="3"/>
      <c r="LU129" s="3"/>
      <c r="LV129" s="3"/>
      <c r="LW129" s="2"/>
      <c r="MK129" s="3"/>
      <c r="ML129" s="3"/>
      <c r="MM129" s="3"/>
      <c r="MN129" s="3"/>
      <c r="MO129" s="3"/>
      <c r="MP129" s="2"/>
    </row>
    <row r="130" spans="3:354" ht="5.0999999999999996" customHeight="1" x14ac:dyDescent="0.3">
      <c r="C130" s="11"/>
      <c r="D130" s="13"/>
      <c r="Q130" s="187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9"/>
      <c r="BF130" s="187"/>
      <c r="BG130" s="188"/>
      <c r="BH130" s="188"/>
      <c r="BI130" s="188"/>
      <c r="BJ130" s="189"/>
      <c r="DO130" s="215"/>
      <c r="DP130" s="215"/>
      <c r="DQ130" s="215"/>
      <c r="DR130" s="215"/>
      <c r="DS130" s="215"/>
      <c r="DT130" s="215"/>
      <c r="DU130" s="215"/>
      <c r="DV130" s="215"/>
      <c r="DW130" s="215"/>
      <c r="DX130" s="215"/>
      <c r="DY130" s="215"/>
      <c r="DZ130" s="215"/>
      <c r="EA130" s="215"/>
      <c r="EB130" s="215"/>
      <c r="EC130" s="215"/>
      <c r="ED130" s="215"/>
      <c r="EE130" s="215"/>
      <c r="EF130" s="215"/>
      <c r="EG130" s="215"/>
      <c r="EH130" s="215"/>
      <c r="EI130" s="215"/>
      <c r="EJ130" s="215"/>
      <c r="EK130" s="215"/>
      <c r="EL130" s="215"/>
      <c r="EM130" s="215"/>
      <c r="EN130" s="215"/>
      <c r="EO130" s="215"/>
      <c r="EP130" s="215"/>
      <c r="EQ130" s="215"/>
      <c r="ER130" s="215"/>
      <c r="ES130" s="215"/>
      <c r="ET130" s="215"/>
      <c r="EU130" s="215"/>
      <c r="EV130" s="215"/>
      <c r="EW130" s="215"/>
      <c r="EX130" s="215"/>
      <c r="EY130" s="215"/>
      <c r="EZ130" s="215"/>
      <c r="FA130" s="215"/>
      <c r="FB130" s="215"/>
      <c r="FC130" s="215"/>
      <c r="FD130" s="215"/>
      <c r="FE130" s="215"/>
      <c r="FF130" s="215"/>
      <c r="HI130" s="187"/>
      <c r="HJ130" s="188"/>
      <c r="HK130" s="188"/>
      <c r="HL130" s="188"/>
      <c r="HM130" s="188"/>
      <c r="HN130" s="188"/>
      <c r="HO130" s="188"/>
      <c r="HP130" s="188"/>
      <c r="HQ130" s="188"/>
      <c r="HR130" s="188"/>
      <c r="HS130" s="188"/>
      <c r="HT130" s="188"/>
      <c r="HU130" s="188"/>
      <c r="HV130" s="188"/>
      <c r="HW130" s="188"/>
      <c r="HX130" s="188"/>
      <c r="HY130" s="188"/>
      <c r="HZ130" s="188"/>
      <c r="IA130" s="188"/>
      <c r="IB130" s="188"/>
      <c r="IC130" s="188"/>
      <c r="ID130" s="188"/>
      <c r="IE130" s="188"/>
      <c r="IF130" s="188"/>
      <c r="IG130" s="188"/>
      <c r="IH130" s="188"/>
      <c r="II130" s="188"/>
      <c r="IJ130" s="188"/>
      <c r="IK130" s="188"/>
      <c r="IL130" s="188"/>
      <c r="IM130" s="188"/>
      <c r="IN130" s="188"/>
      <c r="IO130" s="188"/>
      <c r="IP130" s="188"/>
      <c r="IQ130" s="188"/>
      <c r="IR130" s="188"/>
      <c r="IS130" s="188"/>
      <c r="IT130" s="188"/>
      <c r="IU130" s="188"/>
      <c r="IV130" s="188"/>
      <c r="IW130" s="187"/>
      <c r="IX130" s="188"/>
      <c r="IY130" s="188"/>
      <c r="IZ130" s="188"/>
      <c r="JA130" s="188"/>
      <c r="JB130" s="189"/>
      <c r="JC130" s="19"/>
      <c r="JG130" s="154"/>
      <c r="JN130" s="16"/>
      <c r="JQ130" s="187"/>
      <c r="JR130" s="188"/>
      <c r="JS130" s="188"/>
      <c r="JT130" s="188"/>
      <c r="JU130" s="188"/>
      <c r="JV130" s="188"/>
      <c r="JW130" s="188"/>
      <c r="JX130" s="188"/>
      <c r="JY130" s="188"/>
      <c r="JZ130" s="188"/>
      <c r="KA130" s="188"/>
      <c r="KB130" s="188"/>
      <c r="KC130" s="188"/>
      <c r="KD130" s="188"/>
      <c r="KE130" s="188"/>
      <c r="KF130" s="188"/>
      <c r="KG130" s="188"/>
      <c r="KH130" s="188"/>
      <c r="KI130" s="188"/>
      <c r="KJ130" s="188"/>
      <c r="KK130" s="188"/>
      <c r="KL130" s="188"/>
      <c r="KM130" s="188"/>
      <c r="KN130" s="188"/>
      <c r="KO130" s="188"/>
      <c r="KP130" s="188"/>
      <c r="KQ130" s="188"/>
      <c r="KR130" s="188"/>
      <c r="KS130" s="188"/>
      <c r="KT130" s="188"/>
      <c r="KU130" s="188"/>
      <c r="KV130" s="188"/>
      <c r="KW130" s="188"/>
      <c r="KX130" s="188"/>
      <c r="KY130" s="188"/>
      <c r="KZ130" s="188"/>
      <c r="LA130" s="188"/>
      <c r="LB130" s="188"/>
      <c r="LC130" s="188"/>
      <c r="LD130" s="188"/>
      <c r="LE130" s="189"/>
      <c r="LF130" s="187"/>
      <c r="LG130" s="188"/>
      <c r="LH130" s="188"/>
      <c r="LI130" s="188"/>
      <c r="LJ130" s="189"/>
      <c r="LQ130" s="12"/>
      <c r="LR130" s="7"/>
      <c r="LS130" s="3"/>
      <c r="LT130" s="3"/>
      <c r="LU130" s="3"/>
      <c r="LV130" s="3"/>
      <c r="LW130" s="2"/>
      <c r="MK130" s="3"/>
      <c r="ML130" s="3"/>
      <c r="MM130" s="3"/>
      <c r="MN130" s="3"/>
      <c r="MO130" s="3"/>
      <c r="MP130" s="2"/>
    </row>
    <row r="131" spans="3:354" ht="5.0999999999999996" customHeight="1" x14ac:dyDescent="0.3">
      <c r="C131" s="11"/>
      <c r="D131" s="13"/>
      <c r="Q131" s="187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9"/>
      <c r="BF131" s="187"/>
      <c r="BG131" s="188"/>
      <c r="BH131" s="188"/>
      <c r="BI131" s="188"/>
      <c r="BJ131" s="189"/>
      <c r="DO131" s="215"/>
      <c r="DP131" s="215"/>
      <c r="DQ131" s="215"/>
      <c r="DR131" s="215"/>
      <c r="DS131" s="215"/>
      <c r="DT131" s="215"/>
      <c r="DU131" s="215"/>
      <c r="DV131" s="215"/>
      <c r="DW131" s="215"/>
      <c r="DX131" s="215"/>
      <c r="DY131" s="215"/>
      <c r="DZ131" s="215"/>
      <c r="EA131" s="215"/>
      <c r="EB131" s="215"/>
      <c r="EC131" s="215"/>
      <c r="ED131" s="215"/>
      <c r="EE131" s="215"/>
      <c r="EF131" s="215"/>
      <c r="EG131" s="215"/>
      <c r="EH131" s="215"/>
      <c r="EI131" s="215"/>
      <c r="EJ131" s="215"/>
      <c r="EK131" s="215"/>
      <c r="EL131" s="215"/>
      <c r="EM131" s="215"/>
      <c r="EN131" s="215"/>
      <c r="EO131" s="215"/>
      <c r="EP131" s="215"/>
      <c r="EQ131" s="215"/>
      <c r="ER131" s="215"/>
      <c r="ES131" s="215"/>
      <c r="ET131" s="215"/>
      <c r="EU131" s="215"/>
      <c r="EV131" s="215"/>
      <c r="EW131" s="215"/>
      <c r="EX131" s="215"/>
      <c r="EY131" s="215"/>
      <c r="EZ131" s="215"/>
      <c r="FA131" s="215"/>
      <c r="FB131" s="215"/>
      <c r="FC131" s="215"/>
      <c r="FD131" s="215"/>
      <c r="FE131" s="215"/>
      <c r="FF131" s="215"/>
      <c r="HI131" s="187"/>
      <c r="HJ131" s="188"/>
      <c r="HK131" s="188"/>
      <c r="HL131" s="188"/>
      <c r="HM131" s="188"/>
      <c r="HN131" s="188"/>
      <c r="HO131" s="188"/>
      <c r="HP131" s="188"/>
      <c r="HQ131" s="188"/>
      <c r="HR131" s="188"/>
      <c r="HS131" s="188"/>
      <c r="HT131" s="188"/>
      <c r="HU131" s="188"/>
      <c r="HV131" s="188"/>
      <c r="HW131" s="188"/>
      <c r="HX131" s="188"/>
      <c r="HY131" s="188"/>
      <c r="HZ131" s="188"/>
      <c r="IA131" s="188"/>
      <c r="IB131" s="188"/>
      <c r="IC131" s="188"/>
      <c r="ID131" s="188"/>
      <c r="IE131" s="188"/>
      <c r="IF131" s="188"/>
      <c r="IG131" s="188"/>
      <c r="IH131" s="188"/>
      <c r="II131" s="188"/>
      <c r="IJ131" s="188"/>
      <c r="IK131" s="188"/>
      <c r="IL131" s="188"/>
      <c r="IM131" s="188"/>
      <c r="IN131" s="188"/>
      <c r="IO131" s="188"/>
      <c r="IP131" s="188"/>
      <c r="IQ131" s="188"/>
      <c r="IR131" s="188"/>
      <c r="IS131" s="188"/>
      <c r="IT131" s="188"/>
      <c r="IU131" s="188"/>
      <c r="IV131" s="188"/>
      <c r="IW131" s="187"/>
      <c r="IX131" s="188"/>
      <c r="IY131" s="188"/>
      <c r="IZ131" s="188"/>
      <c r="JA131" s="188"/>
      <c r="JB131" s="189"/>
      <c r="JC131" s="19"/>
      <c r="JG131" s="154"/>
      <c r="JN131" s="16"/>
      <c r="JQ131" s="187"/>
      <c r="JR131" s="188"/>
      <c r="JS131" s="188"/>
      <c r="JT131" s="188"/>
      <c r="JU131" s="188"/>
      <c r="JV131" s="188"/>
      <c r="JW131" s="188"/>
      <c r="JX131" s="188"/>
      <c r="JY131" s="188"/>
      <c r="JZ131" s="188"/>
      <c r="KA131" s="188"/>
      <c r="KB131" s="188"/>
      <c r="KC131" s="188"/>
      <c r="KD131" s="188"/>
      <c r="KE131" s="188"/>
      <c r="KF131" s="188"/>
      <c r="KG131" s="188"/>
      <c r="KH131" s="188"/>
      <c r="KI131" s="188"/>
      <c r="KJ131" s="188"/>
      <c r="KK131" s="188"/>
      <c r="KL131" s="188"/>
      <c r="KM131" s="188"/>
      <c r="KN131" s="188"/>
      <c r="KO131" s="188"/>
      <c r="KP131" s="188"/>
      <c r="KQ131" s="188"/>
      <c r="KR131" s="188"/>
      <c r="KS131" s="188"/>
      <c r="KT131" s="188"/>
      <c r="KU131" s="188"/>
      <c r="KV131" s="188"/>
      <c r="KW131" s="188"/>
      <c r="KX131" s="188"/>
      <c r="KY131" s="188"/>
      <c r="KZ131" s="188"/>
      <c r="LA131" s="188"/>
      <c r="LB131" s="188"/>
      <c r="LC131" s="188"/>
      <c r="LD131" s="188"/>
      <c r="LE131" s="189"/>
      <c r="LF131" s="187"/>
      <c r="LG131" s="188"/>
      <c r="LH131" s="188"/>
      <c r="LI131" s="188"/>
      <c r="LJ131" s="189"/>
      <c r="LQ131" s="12"/>
      <c r="LR131" s="7"/>
      <c r="LS131" s="3"/>
      <c r="LT131" s="3"/>
      <c r="LU131" s="3"/>
      <c r="LV131" s="3"/>
      <c r="LW131" s="2"/>
      <c r="MK131" s="3"/>
      <c r="ML131" s="3"/>
      <c r="MM131" s="3"/>
      <c r="MN131" s="3"/>
      <c r="MO131" s="3"/>
      <c r="MP131" s="2"/>
    </row>
    <row r="132" spans="3:354" ht="5.0999999999999996" customHeight="1" thickBot="1" x14ac:dyDescent="0.35">
      <c r="C132" s="11"/>
      <c r="D132" s="13"/>
      <c r="Q132" s="187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9"/>
      <c r="BF132" s="187"/>
      <c r="BG132" s="188"/>
      <c r="BH132" s="188"/>
      <c r="BI132" s="188"/>
      <c r="BJ132" s="189"/>
      <c r="DO132" s="215"/>
      <c r="DP132" s="215"/>
      <c r="DQ132" s="215"/>
      <c r="DR132" s="215"/>
      <c r="DS132" s="215"/>
      <c r="DT132" s="215"/>
      <c r="DU132" s="215"/>
      <c r="DV132" s="215"/>
      <c r="DW132" s="215"/>
      <c r="DX132" s="215"/>
      <c r="DY132" s="215"/>
      <c r="DZ132" s="215"/>
      <c r="EA132" s="215"/>
      <c r="EB132" s="215"/>
      <c r="EC132" s="215"/>
      <c r="ED132" s="215"/>
      <c r="EE132" s="215"/>
      <c r="EF132" s="215"/>
      <c r="EG132" s="215"/>
      <c r="EH132" s="215"/>
      <c r="EI132" s="215"/>
      <c r="EJ132" s="215"/>
      <c r="EK132" s="215"/>
      <c r="EL132" s="215"/>
      <c r="EM132" s="215"/>
      <c r="EN132" s="215"/>
      <c r="EO132" s="215"/>
      <c r="EP132" s="215"/>
      <c r="EQ132" s="215"/>
      <c r="ER132" s="215"/>
      <c r="ES132" s="215"/>
      <c r="ET132" s="215"/>
      <c r="EU132" s="215"/>
      <c r="EV132" s="215"/>
      <c r="EW132" s="215"/>
      <c r="EX132" s="215"/>
      <c r="EY132" s="215"/>
      <c r="EZ132" s="215"/>
      <c r="FA132" s="215"/>
      <c r="FB132" s="215"/>
      <c r="FC132" s="215"/>
      <c r="FD132" s="215"/>
      <c r="FE132" s="215"/>
      <c r="FF132" s="215"/>
      <c r="HI132" s="187"/>
      <c r="HJ132" s="188"/>
      <c r="HK132" s="188"/>
      <c r="HL132" s="188"/>
      <c r="HM132" s="188"/>
      <c r="HN132" s="188"/>
      <c r="HO132" s="188"/>
      <c r="HP132" s="188"/>
      <c r="HQ132" s="188"/>
      <c r="HR132" s="188"/>
      <c r="HS132" s="188"/>
      <c r="HT132" s="188"/>
      <c r="HU132" s="188"/>
      <c r="HV132" s="188"/>
      <c r="HW132" s="188"/>
      <c r="HX132" s="188"/>
      <c r="HY132" s="188"/>
      <c r="HZ132" s="188"/>
      <c r="IA132" s="188"/>
      <c r="IB132" s="188"/>
      <c r="IC132" s="188"/>
      <c r="ID132" s="188"/>
      <c r="IE132" s="188"/>
      <c r="IF132" s="188"/>
      <c r="IG132" s="188"/>
      <c r="IH132" s="188"/>
      <c r="II132" s="188"/>
      <c r="IJ132" s="188"/>
      <c r="IK132" s="188"/>
      <c r="IL132" s="188"/>
      <c r="IM132" s="188"/>
      <c r="IN132" s="188"/>
      <c r="IO132" s="188"/>
      <c r="IP132" s="188"/>
      <c r="IQ132" s="188"/>
      <c r="IR132" s="188"/>
      <c r="IS132" s="188"/>
      <c r="IT132" s="188"/>
      <c r="IU132" s="188"/>
      <c r="IV132" s="188"/>
      <c r="IW132" s="187"/>
      <c r="IX132" s="188"/>
      <c r="IY132" s="188"/>
      <c r="IZ132" s="188"/>
      <c r="JA132" s="188"/>
      <c r="JB132" s="189"/>
      <c r="JC132" s="19"/>
      <c r="JG132" s="154"/>
      <c r="JN132" s="23"/>
      <c r="JO132" s="31"/>
      <c r="JP132" s="153"/>
      <c r="JQ132" s="187"/>
      <c r="JR132" s="188"/>
      <c r="JS132" s="188"/>
      <c r="JT132" s="188"/>
      <c r="JU132" s="188"/>
      <c r="JV132" s="188"/>
      <c r="JW132" s="188"/>
      <c r="JX132" s="188"/>
      <c r="JY132" s="188"/>
      <c r="JZ132" s="188"/>
      <c r="KA132" s="188"/>
      <c r="KB132" s="188"/>
      <c r="KC132" s="188"/>
      <c r="KD132" s="188"/>
      <c r="KE132" s="188"/>
      <c r="KF132" s="188"/>
      <c r="KG132" s="188"/>
      <c r="KH132" s="188"/>
      <c r="KI132" s="188"/>
      <c r="KJ132" s="188"/>
      <c r="KK132" s="188"/>
      <c r="KL132" s="188"/>
      <c r="KM132" s="188"/>
      <c r="KN132" s="188"/>
      <c r="KO132" s="188"/>
      <c r="KP132" s="188"/>
      <c r="KQ132" s="188"/>
      <c r="KR132" s="188"/>
      <c r="KS132" s="188"/>
      <c r="KT132" s="188"/>
      <c r="KU132" s="188"/>
      <c r="KV132" s="188"/>
      <c r="KW132" s="188"/>
      <c r="KX132" s="188"/>
      <c r="KY132" s="188"/>
      <c r="KZ132" s="188"/>
      <c r="LA132" s="188"/>
      <c r="LB132" s="188"/>
      <c r="LC132" s="188"/>
      <c r="LD132" s="188"/>
      <c r="LE132" s="189"/>
      <c r="LF132" s="187"/>
      <c r="LG132" s="188"/>
      <c r="LH132" s="188"/>
      <c r="LI132" s="188"/>
      <c r="LJ132" s="189"/>
      <c r="LQ132" s="12"/>
      <c r="LR132" s="7"/>
      <c r="LS132" s="3"/>
      <c r="LT132" s="3"/>
      <c r="LU132" s="3"/>
      <c r="LV132" s="3"/>
      <c r="LW132" s="2"/>
      <c r="MK132" s="3"/>
      <c r="ML132" s="3"/>
      <c r="MM132" s="3"/>
      <c r="MN132" s="3"/>
      <c r="MO132" s="3"/>
      <c r="MP132" s="2"/>
    </row>
    <row r="133" spans="3:354" ht="5.0999999999999996" customHeight="1" x14ac:dyDescent="0.3">
      <c r="C133" s="11"/>
      <c r="D133" s="13"/>
      <c r="Q133" s="187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9"/>
      <c r="BF133" s="187"/>
      <c r="BG133" s="188"/>
      <c r="BH133" s="188"/>
      <c r="BI133" s="188"/>
      <c r="BJ133" s="189"/>
      <c r="DO133" s="215"/>
      <c r="DP133" s="215"/>
      <c r="DQ133" s="215"/>
      <c r="DR133" s="215"/>
      <c r="DS133" s="215"/>
      <c r="DT133" s="215"/>
      <c r="DU133" s="215"/>
      <c r="DV133" s="215"/>
      <c r="DW133" s="215"/>
      <c r="DX133" s="215"/>
      <c r="DY133" s="215"/>
      <c r="DZ133" s="215"/>
      <c r="EA133" s="215"/>
      <c r="EB133" s="215"/>
      <c r="EC133" s="215"/>
      <c r="ED133" s="215"/>
      <c r="EE133" s="215"/>
      <c r="EF133" s="215"/>
      <c r="EG133" s="215"/>
      <c r="EH133" s="215"/>
      <c r="EI133" s="215"/>
      <c r="EJ133" s="215"/>
      <c r="EK133" s="215"/>
      <c r="EL133" s="215"/>
      <c r="EM133" s="215"/>
      <c r="EN133" s="215"/>
      <c r="EO133" s="215"/>
      <c r="EP133" s="215"/>
      <c r="EQ133" s="215"/>
      <c r="ER133" s="215"/>
      <c r="ES133" s="215"/>
      <c r="ET133" s="215"/>
      <c r="EU133" s="215"/>
      <c r="EV133" s="215"/>
      <c r="EW133" s="215"/>
      <c r="EX133" s="215"/>
      <c r="EY133" s="215"/>
      <c r="EZ133" s="215"/>
      <c r="FA133" s="215"/>
      <c r="FB133" s="215"/>
      <c r="FC133" s="215"/>
      <c r="FD133" s="215"/>
      <c r="FE133" s="215"/>
      <c r="FF133" s="215"/>
      <c r="HI133" s="187"/>
      <c r="HJ133" s="188"/>
      <c r="HK133" s="188"/>
      <c r="HL133" s="188"/>
      <c r="HM133" s="188"/>
      <c r="HN133" s="188"/>
      <c r="HO133" s="188"/>
      <c r="HP133" s="188"/>
      <c r="HQ133" s="188"/>
      <c r="HR133" s="188"/>
      <c r="HS133" s="188"/>
      <c r="HT133" s="188"/>
      <c r="HU133" s="188"/>
      <c r="HV133" s="188"/>
      <c r="HW133" s="188"/>
      <c r="HX133" s="188"/>
      <c r="HY133" s="188"/>
      <c r="HZ133" s="188"/>
      <c r="IA133" s="188"/>
      <c r="IB133" s="188"/>
      <c r="IC133" s="188"/>
      <c r="ID133" s="188"/>
      <c r="IE133" s="188"/>
      <c r="IF133" s="188"/>
      <c r="IG133" s="188"/>
      <c r="IH133" s="188"/>
      <c r="II133" s="188"/>
      <c r="IJ133" s="188"/>
      <c r="IK133" s="188"/>
      <c r="IL133" s="188"/>
      <c r="IM133" s="188"/>
      <c r="IN133" s="188"/>
      <c r="IO133" s="188"/>
      <c r="IP133" s="188"/>
      <c r="IQ133" s="188"/>
      <c r="IR133" s="188"/>
      <c r="IS133" s="188"/>
      <c r="IT133" s="188"/>
      <c r="IU133" s="188"/>
      <c r="IV133" s="188"/>
      <c r="IW133" s="187"/>
      <c r="IX133" s="188"/>
      <c r="IY133" s="188"/>
      <c r="IZ133" s="188"/>
      <c r="JA133" s="188"/>
      <c r="JB133" s="189"/>
      <c r="JC133" s="19"/>
      <c r="JG133" s="154"/>
      <c r="JN133" s="22"/>
      <c r="JO133" s="21"/>
      <c r="JP133" s="48"/>
      <c r="JQ133" s="187"/>
      <c r="JR133" s="188"/>
      <c r="JS133" s="188"/>
      <c r="JT133" s="188"/>
      <c r="JU133" s="188"/>
      <c r="JV133" s="188"/>
      <c r="JW133" s="188"/>
      <c r="JX133" s="188"/>
      <c r="JY133" s="188"/>
      <c r="JZ133" s="188"/>
      <c r="KA133" s="188"/>
      <c r="KB133" s="188"/>
      <c r="KC133" s="188"/>
      <c r="KD133" s="188"/>
      <c r="KE133" s="188"/>
      <c r="KF133" s="188"/>
      <c r="KG133" s="188"/>
      <c r="KH133" s="188"/>
      <c r="KI133" s="188"/>
      <c r="KJ133" s="188"/>
      <c r="KK133" s="188"/>
      <c r="KL133" s="188"/>
      <c r="KM133" s="188"/>
      <c r="KN133" s="188"/>
      <c r="KO133" s="188"/>
      <c r="KP133" s="188"/>
      <c r="KQ133" s="188"/>
      <c r="KR133" s="188"/>
      <c r="KS133" s="188"/>
      <c r="KT133" s="188"/>
      <c r="KU133" s="188"/>
      <c r="KV133" s="188"/>
      <c r="KW133" s="188"/>
      <c r="KX133" s="188"/>
      <c r="KY133" s="188"/>
      <c r="KZ133" s="188"/>
      <c r="LA133" s="188"/>
      <c r="LB133" s="188"/>
      <c r="LC133" s="188"/>
      <c r="LD133" s="188"/>
      <c r="LE133" s="189"/>
      <c r="LF133" s="187"/>
      <c r="LG133" s="188"/>
      <c r="LH133" s="188"/>
      <c r="LI133" s="188"/>
      <c r="LJ133" s="189"/>
      <c r="LQ133" s="12"/>
      <c r="LR133" s="7"/>
      <c r="LS133" s="3"/>
      <c r="LT133" s="3"/>
      <c r="LU133" s="3"/>
      <c r="LV133" s="3"/>
      <c r="LW133" s="2"/>
      <c r="MK133" s="3"/>
      <c r="ML133" s="3"/>
      <c r="MM133" s="3"/>
      <c r="MN133" s="3"/>
      <c r="MO133" s="3"/>
      <c r="MP133" s="2"/>
    </row>
    <row r="134" spans="3:354" ht="5.0999999999999996" customHeight="1" x14ac:dyDescent="0.3">
      <c r="C134" s="11"/>
      <c r="D134" s="13"/>
      <c r="Q134" s="187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9"/>
      <c r="BF134" s="187"/>
      <c r="BG134" s="188"/>
      <c r="BH134" s="188"/>
      <c r="BI134" s="188"/>
      <c r="BJ134" s="189"/>
      <c r="DO134" s="215"/>
      <c r="DP134" s="215"/>
      <c r="DQ134" s="215"/>
      <c r="DR134" s="215"/>
      <c r="DS134" s="215"/>
      <c r="DT134" s="215"/>
      <c r="DU134" s="215"/>
      <c r="DV134" s="215"/>
      <c r="DW134" s="215"/>
      <c r="DX134" s="215"/>
      <c r="DY134" s="215"/>
      <c r="DZ134" s="215"/>
      <c r="EA134" s="215"/>
      <c r="EB134" s="215"/>
      <c r="EC134" s="215"/>
      <c r="ED134" s="215"/>
      <c r="EE134" s="215"/>
      <c r="EF134" s="215"/>
      <c r="EG134" s="215"/>
      <c r="EH134" s="215"/>
      <c r="EI134" s="215"/>
      <c r="EJ134" s="215"/>
      <c r="EK134" s="215"/>
      <c r="EL134" s="215"/>
      <c r="EM134" s="215"/>
      <c r="EN134" s="215"/>
      <c r="EO134" s="215"/>
      <c r="EP134" s="215"/>
      <c r="EQ134" s="215"/>
      <c r="ER134" s="215"/>
      <c r="ES134" s="215"/>
      <c r="ET134" s="215"/>
      <c r="EU134" s="215"/>
      <c r="EV134" s="215"/>
      <c r="EW134" s="215"/>
      <c r="EX134" s="215"/>
      <c r="EY134" s="215"/>
      <c r="EZ134" s="215"/>
      <c r="FA134" s="215"/>
      <c r="FB134" s="215"/>
      <c r="FC134" s="215"/>
      <c r="FD134" s="215"/>
      <c r="FE134" s="215"/>
      <c r="FF134" s="215"/>
      <c r="HI134" s="187"/>
      <c r="HJ134" s="188"/>
      <c r="HK134" s="188"/>
      <c r="HL134" s="188"/>
      <c r="HM134" s="188"/>
      <c r="HN134" s="188"/>
      <c r="HO134" s="188"/>
      <c r="HP134" s="188"/>
      <c r="HQ134" s="188"/>
      <c r="HR134" s="188"/>
      <c r="HS134" s="188"/>
      <c r="HT134" s="188"/>
      <c r="HU134" s="188"/>
      <c r="HV134" s="188"/>
      <c r="HW134" s="188"/>
      <c r="HX134" s="188"/>
      <c r="HY134" s="188"/>
      <c r="HZ134" s="188"/>
      <c r="IA134" s="188"/>
      <c r="IB134" s="188"/>
      <c r="IC134" s="188"/>
      <c r="ID134" s="188"/>
      <c r="IE134" s="188"/>
      <c r="IF134" s="188"/>
      <c r="IG134" s="188"/>
      <c r="IH134" s="188"/>
      <c r="II134" s="188"/>
      <c r="IJ134" s="188"/>
      <c r="IK134" s="188"/>
      <c r="IL134" s="188"/>
      <c r="IM134" s="188"/>
      <c r="IN134" s="188"/>
      <c r="IO134" s="188"/>
      <c r="IP134" s="188"/>
      <c r="IQ134" s="188"/>
      <c r="IR134" s="188"/>
      <c r="IS134" s="188"/>
      <c r="IT134" s="188"/>
      <c r="IU134" s="188"/>
      <c r="IV134" s="188"/>
      <c r="IW134" s="187"/>
      <c r="IX134" s="188"/>
      <c r="IY134" s="188"/>
      <c r="IZ134" s="188"/>
      <c r="JA134" s="188"/>
      <c r="JB134" s="189"/>
      <c r="JC134" s="19"/>
      <c r="JG134" s="154"/>
      <c r="JN134" s="16"/>
      <c r="JQ134" s="187"/>
      <c r="JR134" s="188"/>
      <c r="JS134" s="188"/>
      <c r="JT134" s="188"/>
      <c r="JU134" s="188"/>
      <c r="JV134" s="188"/>
      <c r="JW134" s="188"/>
      <c r="JX134" s="188"/>
      <c r="JY134" s="188"/>
      <c r="JZ134" s="188"/>
      <c r="KA134" s="188"/>
      <c r="KB134" s="188"/>
      <c r="KC134" s="188"/>
      <c r="KD134" s="188"/>
      <c r="KE134" s="188"/>
      <c r="KF134" s="188"/>
      <c r="KG134" s="188"/>
      <c r="KH134" s="188"/>
      <c r="KI134" s="188"/>
      <c r="KJ134" s="188"/>
      <c r="KK134" s="188"/>
      <c r="KL134" s="188"/>
      <c r="KM134" s="188"/>
      <c r="KN134" s="188"/>
      <c r="KO134" s="188"/>
      <c r="KP134" s="188"/>
      <c r="KQ134" s="188"/>
      <c r="KR134" s="188"/>
      <c r="KS134" s="188"/>
      <c r="KT134" s="188"/>
      <c r="KU134" s="188"/>
      <c r="KV134" s="188"/>
      <c r="KW134" s="188"/>
      <c r="KX134" s="188"/>
      <c r="KY134" s="188"/>
      <c r="KZ134" s="188"/>
      <c r="LA134" s="188"/>
      <c r="LB134" s="188"/>
      <c r="LC134" s="188"/>
      <c r="LD134" s="188"/>
      <c r="LE134" s="189"/>
      <c r="LF134" s="187"/>
      <c r="LG134" s="188"/>
      <c r="LH134" s="188"/>
      <c r="LI134" s="188"/>
      <c r="LJ134" s="189"/>
      <c r="LQ134" s="12"/>
      <c r="LR134" s="7"/>
      <c r="LS134" s="3"/>
      <c r="LT134" s="3"/>
      <c r="LU134" s="3"/>
      <c r="LV134" s="3"/>
      <c r="LW134" s="2"/>
      <c r="MK134" s="3"/>
      <c r="ML134" s="3"/>
      <c r="MM134" s="3"/>
      <c r="MN134" s="3"/>
      <c r="MO134" s="3"/>
      <c r="MP134" s="2"/>
    </row>
    <row r="135" spans="3:354" ht="5.0999999999999996" customHeight="1" x14ac:dyDescent="0.3">
      <c r="C135" s="11"/>
      <c r="D135" s="13"/>
      <c r="Q135" s="187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9"/>
      <c r="BF135" s="187"/>
      <c r="BG135" s="188"/>
      <c r="BH135" s="188"/>
      <c r="BI135" s="188"/>
      <c r="BJ135" s="189"/>
      <c r="DO135" s="215"/>
      <c r="DP135" s="215"/>
      <c r="DQ135" s="215"/>
      <c r="DR135" s="215"/>
      <c r="DS135" s="215"/>
      <c r="DT135" s="215"/>
      <c r="DU135" s="215"/>
      <c r="DV135" s="215"/>
      <c r="DW135" s="215"/>
      <c r="DX135" s="215"/>
      <c r="DY135" s="215"/>
      <c r="DZ135" s="215"/>
      <c r="EA135" s="215"/>
      <c r="EB135" s="215"/>
      <c r="EC135" s="215"/>
      <c r="ED135" s="215"/>
      <c r="EE135" s="215"/>
      <c r="EF135" s="215"/>
      <c r="EG135" s="215"/>
      <c r="EH135" s="215"/>
      <c r="EI135" s="215"/>
      <c r="EJ135" s="215"/>
      <c r="EK135" s="215"/>
      <c r="EL135" s="215"/>
      <c r="EM135" s="215"/>
      <c r="EN135" s="215"/>
      <c r="EO135" s="215"/>
      <c r="EP135" s="215"/>
      <c r="EQ135" s="215"/>
      <c r="ER135" s="215"/>
      <c r="ES135" s="215"/>
      <c r="ET135" s="215"/>
      <c r="EU135" s="215"/>
      <c r="EV135" s="215"/>
      <c r="EW135" s="215"/>
      <c r="EX135" s="215"/>
      <c r="EY135" s="215"/>
      <c r="EZ135" s="215"/>
      <c r="FA135" s="215"/>
      <c r="FB135" s="215"/>
      <c r="FC135" s="215"/>
      <c r="FD135" s="215"/>
      <c r="FE135" s="215"/>
      <c r="FF135" s="215"/>
      <c r="HI135" s="187"/>
      <c r="HJ135" s="188"/>
      <c r="HK135" s="188"/>
      <c r="HL135" s="188"/>
      <c r="HM135" s="188"/>
      <c r="HN135" s="188"/>
      <c r="HO135" s="188"/>
      <c r="HP135" s="188"/>
      <c r="HQ135" s="188"/>
      <c r="HR135" s="188"/>
      <c r="HS135" s="188"/>
      <c r="HT135" s="188"/>
      <c r="HU135" s="188"/>
      <c r="HV135" s="188"/>
      <c r="HW135" s="188"/>
      <c r="HX135" s="188"/>
      <c r="HY135" s="188"/>
      <c r="HZ135" s="188"/>
      <c r="IA135" s="188"/>
      <c r="IB135" s="188"/>
      <c r="IC135" s="188"/>
      <c r="ID135" s="188"/>
      <c r="IE135" s="188"/>
      <c r="IF135" s="188"/>
      <c r="IG135" s="188"/>
      <c r="IH135" s="188"/>
      <c r="II135" s="188"/>
      <c r="IJ135" s="188"/>
      <c r="IK135" s="188"/>
      <c r="IL135" s="188"/>
      <c r="IM135" s="188"/>
      <c r="IN135" s="188"/>
      <c r="IO135" s="188"/>
      <c r="IP135" s="188"/>
      <c r="IQ135" s="188"/>
      <c r="IR135" s="188"/>
      <c r="IS135" s="188"/>
      <c r="IT135" s="188"/>
      <c r="IU135" s="188"/>
      <c r="IV135" s="188"/>
      <c r="IW135" s="187"/>
      <c r="IX135" s="188"/>
      <c r="IY135" s="188"/>
      <c r="IZ135" s="188"/>
      <c r="JA135" s="188"/>
      <c r="JB135" s="189"/>
      <c r="JC135" s="19"/>
      <c r="JG135" s="154"/>
      <c r="JN135" s="16"/>
      <c r="JQ135" s="187"/>
      <c r="JR135" s="188"/>
      <c r="JS135" s="188"/>
      <c r="JT135" s="188"/>
      <c r="JU135" s="188"/>
      <c r="JV135" s="188"/>
      <c r="JW135" s="188"/>
      <c r="JX135" s="188"/>
      <c r="JY135" s="188"/>
      <c r="JZ135" s="188"/>
      <c r="KA135" s="188"/>
      <c r="KB135" s="188"/>
      <c r="KC135" s="188"/>
      <c r="KD135" s="188"/>
      <c r="KE135" s="188"/>
      <c r="KF135" s="188"/>
      <c r="KG135" s="188"/>
      <c r="KH135" s="188"/>
      <c r="KI135" s="188"/>
      <c r="KJ135" s="188"/>
      <c r="KK135" s="188"/>
      <c r="KL135" s="188"/>
      <c r="KM135" s="188"/>
      <c r="KN135" s="188"/>
      <c r="KO135" s="188"/>
      <c r="KP135" s="188"/>
      <c r="KQ135" s="188"/>
      <c r="KR135" s="188"/>
      <c r="KS135" s="188"/>
      <c r="KT135" s="188"/>
      <c r="KU135" s="188"/>
      <c r="KV135" s="188"/>
      <c r="KW135" s="188"/>
      <c r="KX135" s="188"/>
      <c r="KY135" s="188"/>
      <c r="KZ135" s="188"/>
      <c r="LA135" s="188"/>
      <c r="LB135" s="188"/>
      <c r="LC135" s="188"/>
      <c r="LD135" s="188"/>
      <c r="LE135" s="189"/>
      <c r="LF135" s="187"/>
      <c r="LG135" s="188"/>
      <c r="LH135" s="188"/>
      <c r="LI135" s="188"/>
      <c r="LJ135" s="189"/>
      <c r="LQ135" s="12"/>
      <c r="LR135" s="7"/>
      <c r="LS135" s="3"/>
      <c r="LT135" s="3"/>
      <c r="LU135" s="3"/>
      <c r="LV135" s="3"/>
      <c r="LW135" s="2"/>
      <c r="MK135" s="3"/>
      <c r="ML135" s="3"/>
      <c r="MM135" s="3"/>
      <c r="MN135" s="3"/>
      <c r="MO135" s="3"/>
      <c r="MP135" s="2"/>
    </row>
    <row r="136" spans="3:354" ht="5.0999999999999996" customHeight="1" x14ac:dyDescent="0.3">
      <c r="C136" s="11"/>
      <c r="D136" s="13"/>
      <c r="Q136" s="187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9"/>
      <c r="BF136" s="187"/>
      <c r="BG136" s="188"/>
      <c r="BH136" s="188"/>
      <c r="BI136" s="188"/>
      <c r="BJ136" s="189"/>
      <c r="DO136" s="215"/>
      <c r="DP136" s="215"/>
      <c r="DQ136" s="215"/>
      <c r="DR136" s="215"/>
      <c r="DS136" s="215"/>
      <c r="DT136" s="215"/>
      <c r="DU136" s="215"/>
      <c r="DV136" s="215"/>
      <c r="DW136" s="215"/>
      <c r="DX136" s="215"/>
      <c r="DY136" s="215"/>
      <c r="DZ136" s="215"/>
      <c r="EA136" s="215"/>
      <c r="EB136" s="215"/>
      <c r="EC136" s="215"/>
      <c r="ED136" s="215"/>
      <c r="EE136" s="215"/>
      <c r="EF136" s="215"/>
      <c r="EG136" s="215"/>
      <c r="EH136" s="215"/>
      <c r="EI136" s="215"/>
      <c r="EJ136" s="215"/>
      <c r="EK136" s="215"/>
      <c r="EL136" s="215"/>
      <c r="EM136" s="215"/>
      <c r="EN136" s="215"/>
      <c r="EO136" s="215"/>
      <c r="EP136" s="215"/>
      <c r="EQ136" s="215"/>
      <c r="ER136" s="215"/>
      <c r="ES136" s="215"/>
      <c r="ET136" s="215"/>
      <c r="EU136" s="215"/>
      <c r="EV136" s="215"/>
      <c r="EW136" s="215"/>
      <c r="EX136" s="215"/>
      <c r="EY136" s="215"/>
      <c r="EZ136" s="215"/>
      <c r="FA136" s="215"/>
      <c r="FB136" s="215"/>
      <c r="FC136" s="215"/>
      <c r="FD136" s="215"/>
      <c r="FE136" s="215"/>
      <c r="FF136" s="215"/>
      <c r="HI136" s="190"/>
      <c r="HJ136" s="191"/>
      <c r="HK136" s="191"/>
      <c r="HL136" s="191"/>
      <c r="HM136" s="191"/>
      <c r="HN136" s="191"/>
      <c r="HO136" s="191"/>
      <c r="HP136" s="191"/>
      <c r="HQ136" s="191"/>
      <c r="HR136" s="191"/>
      <c r="HS136" s="191"/>
      <c r="HT136" s="191"/>
      <c r="HU136" s="191"/>
      <c r="HV136" s="191"/>
      <c r="HW136" s="191"/>
      <c r="HX136" s="191"/>
      <c r="HY136" s="191"/>
      <c r="HZ136" s="191"/>
      <c r="IA136" s="191"/>
      <c r="IB136" s="191"/>
      <c r="IC136" s="191"/>
      <c r="ID136" s="191"/>
      <c r="IE136" s="191"/>
      <c r="IF136" s="191"/>
      <c r="IG136" s="191"/>
      <c r="IH136" s="191"/>
      <c r="II136" s="191"/>
      <c r="IJ136" s="191"/>
      <c r="IK136" s="191"/>
      <c r="IL136" s="191"/>
      <c r="IM136" s="191"/>
      <c r="IN136" s="191"/>
      <c r="IO136" s="191"/>
      <c r="IP136" s="191"/>
      <c r="IQ136" s="191"/>
      <c r="IR136" s="191"/>
      <c r="IS136" s="191"/>
      <c r="IT136" s="191"/>
      <c r="IU136" s="191"/>
      <c r="IV136" s="191"/>
      <c r="IW136" s="190"/>
      <c r="IX136" s="191"/>
      <c r="IY136" s="191"/>
      <c r="IZ136" s="191"/>
      <c r="JA136" s="191"/>
      <c r="JB136" s="192"/>
      <c r="JC136" s="19"/>
      <c r="JG136" s="154"/>
      <c r="JN136" s="16"/>
      <c r="JQ136" s="187"/>
      <c r="JR136" s="188"/>
      <c r="JS136" s="188"/>
      <c r="JT136" s="188"/>
      <c r="JU136" s="188"/>
      <c r="JV136" s="188"/>
      <c r="JW136" s="188"/>
      <c r="JX136" s="188"/>
      <c r="JY136" s="188"/>
      <c r="JZ136" s="188"/>
      <c r="KA136" s="188"/>
      <c r="KB136" s="188"/>
      <c r="KC136" s="188"/>
      <c r="KD136" s="188"/>
      <c r="KE136" s="188"/>
      <c r="KF136" s="188"/>
      <c r="KG136" s="188"/>
      <c r="KH136" s="188"/>
      <c r="KI136" s="188"/>
      <c r="KJ136" s="188"/>
      <c r="KK136" s="188"/>
      <c r="KL136" s="188"/>
      <c r="KM136" s="188"/>
      <c r="KN136" s="188"/>
      <c r="KO136" s="188"/>
      <c r="KP136" s="188"/>
      <c r="KQ136" s="188"/>
      <c r="KR136" s="188"/>
      <c r="KS136" s="188"/>
      <c r="KT136" s="188"/>
      <c r="KU136" s="188"/>
      <c r="KV136" s="188"/>
      <c r="KW136" s="188"/>
      <c r="KX136" s="188"/>
      <c r="KY136" s="188"/>
      <c r="KZ136" s="188"/>
      <c r="LA136" s="188"/>
      <c r="LB136" s="188"/>
      <c r="LC136" s="188"/>
      <c r="LD136" s="188"/>
      <c r="LE136" s="189"/>
      <c r="LF136" s="187"/>
      <c r="LG136" s="188"/>
      <c r="LH136" s="188"/>
      <c r="LI136" s="188"/>
      <c r="LJ136" s="189"/>
      <c r="LQ136" s="12"/>
      <c r="LR136" s="7"/>
      <c r="LS136" s="3"/>
      <c r="LT136" s="3"/>
      <c r="LU136" s="3"/>
      <c r="LV136" s="3"/>
      <c r="LW136" s="2"/>
      <c r="MK136" s="3"/>
      <c r="ML136" s="3"/>
      <c r="MM136" s="3"/>
      <c r="MN136" s="3"/>
      <c r="MO136" s="3"/>
      <c r="MP136" s="2"/>
    </row>
    <row r="137" spans="3:354" ht="5.0999999999999996" customHeight="1" x14ac:dyDescent="0.3">
      <c r="C137" s="11"/>
      <c r="D137" s="13"/>
      <c r="Q137" s="187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9"/>
      <c r="BF137" s="187"/>
      <c r="BG137" s="188"/>
      <c r="BH137" s="188"/>
      <c r="BI137" s="188"/>
      <c r="BJ137" s="189"/>
      <c r="DO137" s="215"/>
      <c r="DP137" s="215"/>
      <c r="DQ137" s="215"/>
      <c r="DR137" s="215"/>
      <c r="DS137" s="215"/>
      <c r="DT137" s="215"/>
      <c r="DU137" s="215"/>
      <c r="DV137" s="215"/>
      <c r="DW137" s="215"/>
      <c r="DX137" s="215"/>
      <c r="DY137" s="215"/>
      <c r="DZ137" s="215"/>
      <c r="EA137" s="215"/>
      <c r="EB137" s="215"/>
      <c r="EC137" s="215"/>
      <c r="ED137" s="215"/>
      <c r="EE137" s="215"/>
      <c r="EF137" s="215"/>
      <c r="EG137" s="215"/>
      <c r="EH137" s="215"/>
      <c r="EI137" s="215"/>
      <c r="EJ137" s="215"/>
      <c r="EK137" s="215"/>
      <c r="EL137" s="215"/>
      <c r="EM137" s="215"/>
      <c r="EN137" s="215"/>
      <c r="EO137" s="215"/>
      <c r="EP137" s="215"/>
      <c r="EQ137" s="215"/>
      <c r="ER137" s="215"/>
      <c r="ES137" s="215"/>
      <c r="ET137" s="215"/>
      <c r="EU137" s="215"/>
      <c r="EV137" s="215"/>
      <c r="EW137" s="215"/>
      <c r="EX137" s="215"/>
      <c r="EY137" s="215"/>
      <c r="EZ137" s="215"/>
      <c r="FA137" s="215"/>
      <c r="FB137" s="215"/>
      <c r="FC137" s="215"/>
      <c r="FD137" s="215"/>
      <c r="FE137" s="215"/>
      <c r="FF137" s="215"/>
      <c r="JC137" s="19"/>
      <c r="JG137" s="154"/>
      <c r="JN137" s="16"/>
      <c r="JQ137" s="190"/>
      <c r="JR137" s="191"/>
      <c r="JS137" s="191"/>
      <c r="JT137" s="191"/>
      <c r="JU137" s="191"/>
      <c r="JV137" s="191"/>
      <c r="JW137" s="191"/>
      <c r="JX137" s="191"/>
      <c r="JY137" s="191"/>
      <c r="JZ137" s="191"/>
      <c r="KA137" s="191"/>
      <c r="KB137" s="191"/>
      <c r="KC137" s="191"/>
      <c r="KD137" s="191"/>
      <c r="KE137" s="191"/>
      <c r="KF137" s="191"/>
      <c r="KG137" s="191"/>
      <c r="KH137" s="191"/>
      <c r="KI137" s="191"/>
      <c r="KJ137" s="191"/>
      <c r="KK137" s="191"/>
      <c r="KL137" s="191"/>
      <c r="KM137" s="191"/>
      <c r="KN137" s="191"/>
      <c r="KO137" s="191"/>
      <c r="KP137" s="191"/>
      <c r="KQ137" s="191"/>
      <c r="KR137" s="191"/>
      <c r="KS137" s="191"/>
      <c r="KT137" s="191"/>
      <c r="KU137" s="191"/>
      <c r="KV137" s="191"/>
      <c r="KW137" s="191"/>
      <c r="KX137" s="191"/>
      <c r="KY137" s="191"/>
      <c r="KZ137" s="191"/>
      <c r="LA137" s="191"/>
      <c r="LB137" s="191"/>
      <c r="LC137" s="191"/>
      <c r="LD137" s="191"/>
      <c r="LE137" s="192"/>
      <c r="LF137" s="190"/>
      <c r="LG137" s="191"/>
      <c r="LH137" s="191"/>
      <c r="LI137" s="191"/>
      <c r="LJ137" s="192"/>
      <c r="LQ137" s="12"/>
      <c r="LR137" s="7"/>
      <c r="LS137" s="3"/>
      <c r="LT137" s="3"/>
      <c r="LU137" s="3"/>
      <c r="LV137" s="3"/>
      <c r="LW137" s="2"/>
      <c r="MK137" s="3"/>
      <c r="ML137" s="3"/>
      <c r="MM137" s="3"/>
      <c r="MN137" s="3"/>
      <c r="MO137" s="3"/>
      <c r="MP137" s="2"/>
    </row>
    <row r="138" spans="3:354" ht="5.0999999999999996" customHeight="1" x14ac:dyDescent="0.3">
      <c r="C138" s="11"/>
      <c r="D138" s="13"/>
      <c r="Q138" s="190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2"/>
      <c r="BF138" s="190"/>
      <c r="BG138" s="191"/>
      <c r="BH138" s="191"/>
      <c r="BI138" s="191"/>
      <c r="BJ138" s="192"/>
      <c r="DO138" s="215"/>
      <c r="DP138" s="215"/>
      <c r="DQ138" s="215"/>
      <c r="DR138" s="215"/>
      <c r="DS138" s="215"/>
      <c r="DT138" s="215"/>
      <c r="DU138" s="215"/>
      <c r="DV138" s="215"/>
      <c r="DW138" s="215"/>
      <c r="DX138" s="215"/>
      <c r="DY138" s="215"/>
      <c r="DZ138" s="215"/>
      <c r="EA138" s="215"/>
      <c r="EB138" s="215"/>
      <c r="EC138" s="215"/>
      <c r="ED138" s="215"/>
      <c r="EE138" s="215"/>
      <c r="EF138" s="215"/>
      <c r="EG138" s="215"/>
      <c r="EH138" s="215"/>
      <c r="EI138" s="215"/>
      <c r="EJ138" s="215"/>
      <c r="EK138" s="215"/>
      <c r="EL138" s="215"/>
      <c r="EM138" s="215"/>
      <c r="EN138" s="215"/>
      <c r="EO138" s="215"/>
      <c r="EP138" s="215"/>
      <c r="EQ138" s="215"/>
      <c r="ER138" s="215"/>
      <c r="ES138" s="215"/>
      <c r="ET138" s="215"/>
      <c r="EU138" s="215"/>
      <c r="EV138" s="215"/>
      <c r="EW138" s="215"/>
      <c r="EX138" s="215"/>
      <c r="EY138" s="215"/>
      <c r="EZ138" s="215"/>
      <c r="FA138" s="215"/>
      <c r="FB138" s="215"/>
      <c r="FC138" s="215"/>
      <c r="FD138" s="215"/>
      <c r="FE138" s="215"/>
      <c r="FF138" s="215"/>
      <c r="JC138" s="19"/>
      <c r="JG138" s="154"/>
      <c r="JN138" s="16"/>
      <c r="KL138" s="152"/>
      <c r="LQ138" s="12"/>
      <c r="LR138" s="7"/>
      <c r="LS138" s="3"/>
      <c r="LT138" s="3"/>
      <c r="LU138" s="3"/>
      <c r="LV138" s="3"/>
      <c r="LW138" s="2"/>
      <c r="MK138" s="3"/>
      <c r="ML138" s="3"/>
      <c r="MM138" s="3"/>
      <c r="MN138" s="3"/>
      <c r="MO138" s="3"/>
      <c r="MP138" s="2"/>
    </row>
    <row r="139" spans="3:354" ht="5.0999999999999996" customHeight="1" x14ac:dyDescent="0.3">
      <c r="C139" s="11"/>
      <c r="D139" s="13"/>
      <c r="AN139" s="16"/>
      <c r="EL139" s="17"/>
      <c r="HI139" s="195" t="s">
        <v>8</v>
      </c>
      <c r="HJ139" s="196"/>
      <c r="HK139" s="196"/>
      <c r="HL139" s="196"/>
      <c r="HM139" s="196"/>
      <c r="HN139" s="196"/>
      <c r="HO139" s="196"/>
      <c r="HP139" s="196"/>
      <c r="HQ139" s="196"/>
      <c r="HR139" s="196"/>
      <c r="HS139" s="196"/>
      <c r="HT139" s="196"/>
      <c r="HU139" s="196"/>
      <c r="HV139" s="196"/>
      <c r="HW139" s="196"/>
      <c r="HX139" s="196"/>
      <c r="HY139" s="196"/>
      <c r="HZ139" s="196"/>
      <c r="IA139" s="196"/>
      <c r="IB139" s="196"/>
      <c r="IC139" s="196"/>
      <c r="ID139" s="196"/>
      <c r="IE139" s="196"/>
      <c r="IF139" s="196"/>
      <c r="IG139" s="196"/>
      <c r="IH139" s="196"/>
      <c r="II139" s="196"/>
      <c r="IJ139" s="196"/>
      <c r="IK139" s="196"/>
      <c r="IL139" s="196"/>
      <c r="IM139" s="196"/>
      <c r="IN139" s="196"/>
      <c r="IO139" s="196"/>
      <c r="IP139" s="196"/>
      <c r="IQ139" s="196"/>
      <c r="IR139" s="196"/>
      <c r="IS139" s="196"/>
      <c r="IT139" s="196"/>
      <c r="IU139" s="196"/>
      <c r="IV139" s="197"/>
      <c r="IW139" s="204">
        <f>IW149</f>
        <v>66</v>
      </c>
      <c r="IX139" s="204"/>
      <c r="IY139" s="204"/>
      <c r="IZ139" s="204"/>
      <c r="JA139" s="204"/>
      <c r="JB139" s="204"/>
      <c r="JC139" s="19"/>
      <c r="JG139" s="154"/>
      <c r="JN139" s="16"/>
      <c r="JQ139" s="184" t="s">
        <v>47</v>
      </c>
      <c r="JR139" s="185"/>
      <c r="JS139" s="185"/>
      <c r="JT139" s="185"/>
      <c r="JU139" s="185"/>
      <c r="JV139" s="185"/>
      <c r="JW139" s="185"/>
      <c r="JX139" s="185"/>
      <c r="JY139" s="185"/>
      <c r="JZ139" s="185"/>
      <c r="KA139" s="185"/>
      <c r="KB139" s="185"/>
      <c r="KC139" s="185"/>
      <c r="KD139" s="185"/>
      <c r="KE139" s="185"/>
      <c r="KF139" s="185"/>
      <c r="KG139" s="185"/>
      <c r="KH139" s="185"/>
      <c r="KI139" s="185"/>
      <c r="KJ139" s="185"/>
      <c r="KK139" s="185"/>
      <c r="KL139" s="185"/>
      <c r="KM139" s="185"/>
      <c r="KN139" s="185"/>
      <c r="KO139" s="185"/>
      <c r="KP139" s="185"/>
      <c r="KQ139" s="185"/>
      <c r="KR139" s="185"/>
      <c r="KS139" s="185"/>
      <c r="KT139" s="185"/>
      <c r="KU139" s="185"/>
      <c r="KV139" s="185"/>
      <c r="KW139" s="185"/>
      <c r="KX139" s="185"/>
      <c r="KY139" s="185"/>
      <c r="KZ139" s="185"/>
      <c r="LA139" s="185"/>
      <c r="LB139" s="185"/>
      <c r="LC139" s="185"/>
      <c r="LD139" s="185"/>
      <c r="LE139" s="186"/>
      <c r="LF139" s="184">
        <v>1</v>
      </c>
      <c r="LG139" s="185"/>
      <c r="LH139" s="185"/>
      <c r="LI139" s="185"/>
      <c r="LJ139" s="186"/>
      <c r="LQ139" s="12"/>
      <c r="LR139" s="7"/>
      <c r="LS139" s="3"/>
      <c r="LT139" s="3"/>
      <c r="LU139" s="3"/>
      <c r="LV139" s="3"/>
      <c r="LW139" s="2"/>
      <c r="MK139" s="3"/>
      <c r="ML139" s="3"/>
      <c r="MM139" s="3"/>
      <c r="MN139" s="3"/>
      <c r="MO139" s="3"/>
      <c r="MP139" s="2"/>
    </row>
    <row r="140" spans="3:354" ht="5.0999999999999996" customHeight="1" x14ac:dyDescent="0.3">
      <c r="C140" s="11"/>
      <c r="D140" s="13"/>
      <c r="AN140" s="15"/>
      <c r="AO140" s="9"/>
      <c r="EL140" s="16"/>
      <c r="HI140" s="198"/>
      <c r="HJ140" s="199"/>
      <c r="HK140" s="199"/>
      <c r="HL140" s="199"/>
      <c r="HM140" s="199"/>
      <c r="HN140" s="199"/>
      <c r="HO140" s="199"/>
      <c r="HP140" s="199"/>
      <c r="HQ140" s="199"/>
      <c r="HR140" s="199"/>
      <c r="HS140" s="199"/>
      <c r="HT140" s="199"/>
      <c r="HU140" s="199"/>
      <c r="HV140" s="199"/>
      <c r="HW140" s="199"/>
      <c r="HX140" s="199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200"/>
      <c r="IW140" s="204"/>
      <c r="IX140" s="204"/>
      <c r="IY140" s="204"/>
      <c r="IZ140" s="204"/>
      <c r="JA140" s="204"/>
      <c r="JB140" s="204"/>
      <c r="JC140" s="19"/>
      <c r="JG140" s="154"/>
      <c r="JN140" s="16"/>
      <c r="JQ140" s="187"/>
      <c r="JR140" s="188"/>
      <c r="JS140" s="188"/>
      <c r="JT140" s="188"/>
      <c r="JU140" s="188"/>
      <c r="JV140" s="188"/>
      <c r="JW140" s="188"/>
      <c r="JX140" s="188"/>
      <c r="JY140" s="188"/>
      <c r="JZ140" s="188"/>
      <c r="KA140" s="188"/>
      <c r="KB140" s="188"/>
      <c r="KC140" s="188"/>
      <c r="KD140" s="188"/>
      <c r="KE140" s="188"/>
      <c r="KF140" s="188"/>
      <c r="KG140" s="188"/>
      <c r="KH140" s="188"/>
      <c r="KI140" s="188"/>
      <c r="KJ140" s="188"/>
      <c r="KK140" s="188"/>
      <c r="KL140" s="188"/>
      <c r="KM140" s="188"/>
      <c r="KN140" s="188"/>
      <c r="KO140" s="188"/>
      <c r="KP140" s="188"/>
      <c r="KQ140" s="188"/>
      <c r="KR140" s="188"/>
      <c r="KS140" s="188"/>
      <c r="KT140" s="188"/>
      <c r="KU140" s="188"/>
      <c r="KV140" s="188"/>
      <c r="KW140" s="188"/>
      <c r="KX140" s="188"/>
      <c r="KY140" s="188"/>
      <c r="KZ140" s="188"/>
      <c r="LA140" s="188"/>
      <c r="LB140" s="188"/>
      <c r="LC140" s="188"/>
      <c r="LD140" s="188"/>
      <c r="LE140" s="189"/>
      <c r="LF140" s="187"/>
      <c r="LG140" s="188"/>
      <c r="LH140" s="188"/>
      <c r="LI140" s="188"/>
      <c r="LJ140" s="189"/>
      <c r="LQ140" s="12"/>
      <c r="LR140" s="7"/>
      <c r="LS140" s="3"/>
      <c r="LT140" s="3"/>
      <c r="LU140" s="3"/>
      <c r="LV140" s="3"/>
      <c r="LW140" s="2"/>
      <c r="MK140" s="3"/>
      <c r="ML140" s="3"/>
      <c r="MM140" s="3"/>
      <c r="MN140" s="3"/>
      <c r="MO140" s="3"/>
      <c r="MP140" s="2"/>
    </row>
    <row r="141" spans="3:354" ht="5.0999999999999996" customHeight="1" x14ac:dyDescent="0.3">
      <c r="C141" s="11"/>
      <c r="D141" s="13"/>
      <c r="Q141" s="184" t="s">
        <v>46</v>
      </c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6"/>
      <c r="BF141" s="184">
        <v>2</v>
      </c>
      <c r="BG141" s="185"/>
      <c r="BH141" s="185"/>
      <c r="BI141" s="185"/>
      <c r="BJ141" s="186"/>
      <c r="EL141" s="16"/>
      <c r="HI141" s="198"/>
      <c r="HJ141" s="199"/>
      <c r="HK141" s="199"/>
      <c r="HL141" s="199"/>
      <c r="HM141" s="199"/>
      <c r="HN141" s="199"/>
      <c r="HO141" s="199"/>
      <c r="HP141" s="199"/>
      <c r="HQ141" s="199"/>
      <c r="HR141" s="199"/>
      <c r="HS141" s="199"/>
      <c r="HT141" s="199"/>
      <c r="HU141" s="199"/>
      <c r="HV141" s="199"/>
      <c r="HW141" s="199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200"/>
      <c r="IW141" s="204"/>
      <c r="IX141" s="204"/>
      <c r="IY141" s="204"/>
      <c r="IZ141" s="204"/>
      <c r="JA141" s="204"/>
      <c r="JB141" s="204"/>
      <c r="JC141" s="19"/>
      <c r="JG141" s="154"/>
      <c r="JN141" s="16"/>
      <c r="JQ141" s="187"/>
      <c r="JR141" s="188"/>
      <c r="JS141" s="188"/>
      <c r="JT141" s="188"/>
      <c r="JU141" s="188"/>
      <c r="JV141" s="188"/>
      <c r="JW141" s="188"/>
      <c r="JX141" s="188"/>
      <c r="JY141" s="188"/>
      <c r="JZ141" s="188"/>
      <c r="KA141" s="188"/>
      <c r="KB141" s="188"/>
      <c r="KC141" s="188"/>
      <c r="KD141" s="188"/>
      <c r="KE141" s="188"/>
      <c r="KF141" s="188"/>
      <c r="KG141" s="188"/>
      <c r="KH141" s="188"/>
      <c r="KI141" s="188"/>
      <c r="KJ141" s="188"/>
      <c r="KK141" s="188"/>
      <c r="KL141" s="188"/>
      <c r="KM141" s="188"/>
      <c r="KN141" s="188"/>
      <c r="KO141" s="188"/>
      <c r="KP141" s="188"/>
      <c r="KQ141" s="188"/>
      <c r="KR141" s="188"/>
      <c r="KS141" s="188"/>
      <c r="KT141" s="188"/>
      <c r="KU141" s="188"/>
      <c r="KV141" s="188"/>
      <c r="KW141" s="188"/>
      <c r="KX141" s="188"/>
      <c r="KY141" s="188"/>
      <c r="KZ141" s="188"/>
      <c r="LA141" s="188"/>
      <c r="LB141" s="188"/>
      <c r="LC141" s="188"/>
      <c r="LD141" s="188"/>
      <c r="LE141" s="189"/>
      <c r="LF141" s="187"/>
      <c r="LG141" s="188"/>
      <c r="LH141" s="188"/>
      <c r="LI141" s="188"/>
      <c r="LJ141" s="189"/>
      <c r="LQ141" s="12"/>
      <c r="LR141" s="7"/>
      <c r="LS141" s="3"/>
      <c r="LT141" s="3"/>
      <c r="LU141" s="3"/>
      <c r="LV141" s="3"/>
      <c r="LW141" s="2"/>
      <c r="MK141" s="3"/>
      <c r="ML141" s="3"/>
      <c r="MM141" s="3"/>
      <c r="MN141" s="3"/>
      <c r="MO141" s="3"/>
      <c r="MP141" s="2"/>
    </row>
    <row r="142" spans="3:354" ht="5.0999999999999996" customHeight="1" x14ac:dyDescent="0.3">
      <c r="C142" s="11"/>
      <c r="D142" s="13"/>
      <c r="Q142" s="187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9"/>
      <c r="BF142" s="187"/>
      <c r="BG142" s="188"/>
      <c r="BH142" s="188"/>
      <c r="BI142" s="188"/>
      <c r="BJ142" s="189"/>
      <c r="EL142" s="16"/>
      <c r="FJ142" s="49"/>
      <c r="FK142" s="49"/>
      <c r="FL142" s="49"/>
      <c r="HI142" s="198"/>
      <c r="HJ142" s="199"/>
      <c r="HK142" s="199"/>
      <c r="HL142" s="199"/>
      <c r="HM142" s="199"/>
      <c r="HN142" s="199"/>
      <c r="HO142" s="199"/>
      <c r="HP142" s="199"/>
      <c r="HQ142" s="199"/>
      <c r="HR142" s="199"/>
      <c r="HS142" s="199"/>
      <c r="HT142" s="199"/>
      <c r="HU142" s="199"/>
      <c r="HV142" s="199"/>
      <c r="HW142" s="199"/>
      <c r="HX142" s="199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200"/>
      <c r="IW142" s="204"/>
      <c r="IX142" s="204"/>
      <c r="IY142" s="204"/>
      <c r="IZ142" s="204"/>
      <c r="JA142" s="204"/>
      <c r="JB142" s="204"/>
      <c r="JC142" s="19"/>
      <c r="JG142" s="154"/>
      <c r="JN142" s="16"/>
      <c r="JQ142" s="187"/>
      <c r="JR142" s="188"/>
      <c r="JS142" s="188"/>
      <c r="JT142" s="188"/>
      <c r="JU142" s="188"/>
      <c r="JV142" s="188"/>
      <c r="JW142" s="188"/>
      <c r="JX142" s="188"/>
      <c r="JY142" s="188"/>
      <c r="JZ142" s="188"/>
      <c r="KA142" s="188"/>
      <c r="KB142" s="188"/>
      <c r="KC142" s="188"/>
      <c r="KD142" s="188"/>
      <c r="KE142" s="188"/>
      <c r="KF142" s="188"/>
      <c r="KG142" s="188"/>
      <c r="KH142" s="188"/>
      <c r="KI142" s="188"/>
      <c r="KJ142" s="188"/>
      <c r="KK142" s="188"/>
      <c r="KL142" s="188"/>
      <c r="KM142" s="188"/>
      <c r="KN142" s="188"/>
      <c r="KO142" s="188"/>
      <c r="KP142" s="188"/>
      <c r="KQ142" s="188"/>
      <c r="KR142" s="188"/>
      <c r="KS142" s="188"/>
      <c r="KT142" s="188"/>
      <c r="KU142" s="188"/>
      <c r="KV142" s="188"/>
      <c r="KW142" s="188"/>
      <c r="KX142" s="188"/>
      <c r="KY142" s="188"/>
      <c r="KZ142" s="188"/>
      <c r="LA142" s="188"/>
      <c r="LB142" s="188"/>
      <c r="LC142" s="188"/>
      <c r="LD142" s="188"/>
      <c r="LE142" s="189"/>
      <c r="LF142" s="187"/>
      <c r="LG142" s="188"/>
      <c r="LH142" s="188"/>
      <c r="LI142" s="188"/>
      <c r="LJ142" s="189"/>
      <c r="LQ142" s="12"/>
      <c r="LR142" s="7"/>
      <c r="LS142" s="3"/>
      <c r="LT142" s="3"/>
      <c r="LU142" s="3"/>
      <c r="LV142" s="3"/>
      <c r="LW142" s="2"/>
      <c r="MK142" s="3"/>
      <c r="ML142" s="3"/>
      <c r="MM142" s="3"/>
      <c r="MN142" s="3"/>
      <c r="MO142" s="3"/>
      <c r="MP142" s="2"/>
    </row>
    <row r="143" spans="3:354" ht="5.0999999999999996" customHeight="1" thickBot="1" x14ac:dyDescent="0.35">
      <c r="C143" s="11"/>
      <c r="D143" s="13"/>
      <c r="Q143" s="187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9"/>
      <c r="BF143" s="187"/>
      <c r="BG143" s="188"/>
      <c r="BH143" s="188"/>
      <c r="BI143" s="188"/>
      <c r="BJ143" s="189"/>
      <c r="EL143" s="16"/>
      <c r="FK143" s="49"/>
      <c r="FL143" s="49"/>
      <c r="FM143" s="49"/>
      <c r="HI143" s="198"/>
      <c r="HJ143" s="199"/>
      <c r="HK143" s="199"/>
      <c r="HL143" s="199"/>
      <c r="HM143" s="199"/>
      <c r="HN143" s="199"/>
      <c r="HO143" s="199"/>
      <c r="HP143" s="199"/>
      <c r="HQ143" s="199"/>
      <c r="HR143" s="199"/>
      <c r="HS143" s="199"/>
      <c r="HT143" s="199"/>
      <c r="HU143" s="199"/>
      <c r="HV143" s="199"/>
      <c r="HW143" s="199"/>
      <c r="HX143" s="199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200"/>
      <c r="IW143" s="204"/>
      <c r="IX143" s="204"/>
      <c r="IY143" s="204"/>
      <c r="IZ143" s="204"/>
      <c r="JA143" s="204"/>
      <c r="JB143" s="204"/>
      <c r="JC143" s="19"/>
      <c r="JG143" s="154"/>
      <c r="JN143" s="23"/>
      <c r="JO143" s="31"/>
      <c r="JP143" s="31"/>
      <c r="JQ143" s="187"/>
      <c r="JR143" s="188"/>
      <c r="JS143" s="188"/>
      <c r="JT143" s="188"/>
      <c r="JU143" s="188"/>
      <c r="JV143" s="188"/>
      <c r="JW143" s="188"/>
      <c r="JX143" s="188"/>
      <c r="JY143" s="188"/>
      <c r="JZ143" s="188"/>
      <c r="KA143" s="188"/>
      <c r="KB143" s="188"/>
      <c r="KC143" s="188"/>
      <c r="KD143" s="188"/>
      <c r="KE143" s="188"/>
      <c r="KF143" s="188"/>
      <c r="KG143" s="188"/>
      <c r="KH143" s="188"/>
      <c r="KI143" s="188"/>
      <c r="KJ143" s="188"/>
      <c r="KK143" s="188"/>
      <c r="KL143" s="188"/>
      <c r="KM143" s="188"/>
      <c r="KN143" s="188"/>
      <c r="KO143" s="188"/>
      <c r="KP143" s="188"/>
      <c r="KQ143" s="188"/>
      <c r="KR143" s="188"/>
      <c r="KS143" s="188"/>
      <c r="KT143" s="188"/>
      <c r="KU143" s="188"/>
      <c r="KV143" s="188"/>
      <c r="KW143" s="188"/>
      <c r="KX143" s="188"/>
      <c r="KY143" s="188"/>
      <c r="KZ143" s="188"/>
      <c r="LA143" s="188"/>
      <c r="LB143" s="188"/>
      <c r="LC143" s="188"/>
      <c r="LD143" s="188"/>
      <c r="LE143" s="189"/>
      <c r="LF143" s="187"/>
      <c r="LG143" s="188"/>
      <c r="LH143" s="188"/>
      <c r="LI143" s="188"/>
      <c r="LJ143" s="189"/>
      <c r="LQ143" s="12"/>
      <c r="LR143" s="7"/>
      <c r="LS143" s="3"/>
      <c r="LT143" s="3"/>
      <c r="LU143" s="3"/>
      <c r="LV143" s="3"/>
      <c r="LW143" s="2"/>
      <c r="MK143" s="3"/>
      <c r="ML143" s="3"/>
      <c r="MM143" s="3"/>
      <c r="MN143" s="3"/>
      <c r="MO143" s="3"/>
      <c r="MP143" s="2"/>
    </row>
    <row r="144" spans="3:354" ht="5.0999999999999996" customHeight="1" thickBot="1" x14ac:dyDescent="0.35">
      <c r="C144" s="11"/>
      <c r="D144" s="13"/>
      <c r="Q144" s="187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9"/>
      <c r="BF144" s="187"/>
      <c r="BG144" s="188"/>
      <c r="BH144" s="188"/>
      <c r="BI144" s="188"/>
      <c r="BJ144" s="189"/>
      <c r="EL144" s="23"/>
      <c r="FK144" s="49"/>
      <c r="FL144" s="49"/>
      <c r="FM144" s="49"/>
      <c r="HI144" s="198"/>
      <c r="HJ144" s="199"/>
      <c r="HK144" s="199"/>
      <c r="HL144" s="199"/>
      <c r="HM144" s="199"/>
      <c r="HN144" s="199"/>
      <c r="HO144" s="199"/>
      <c r="HP144" s="199"/>
      <c r="HQ144" s="199"/>
      <c r="HR144" s="199"/>
      <c r="HS144" s="199"/>
      <c r="HT144" s="199"/>
      <c r="HU144" s="199"/>
      <c r="HV144" s="199"/>
      <c r="HW144" s="199"/>
      <c r="HX144" s="199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200"/>
      <c r="IW144" s="204"/>
      <c r="IX144" s="204"/>
      <c r="IY144" s="204"/>
      <c r="IZ144" s="204"/>
      <c r="JA144" s="204"/>
      <c r="JB144" s="204"/>
      <c r="JC144" s="19"/>
      <c r="JG144" s="154"/>
      <c r="JN144" s="16"/>
      <c r="JQ144" s="187"/>
      <c r="JR144" s="188"/>
      <c r="JS144" s="188"/>
      <c r="JT144" s="188"/>
      <c r="JU144" s="188"/>
      <c r="JV144" s="188"/>
      <c r="JW144" s="188"/>
      <c r="JX144" s="188"/>
      <c r="JY144" s="188"/>
      <c r="JZ144" s="188"/>
      <c r="KA144" s="188"/>
      <c r="KB144" s="188"/>
      <c r="KC144" s="188"/>
      <c r="KD144" s="188"/>
      <c r="KE144" s="188"/>
      <c r="KF144" s="188"/>
      <c r="KG144" s="188"/>
      <c r="KH144" s="188"/>
      <c r="KI144" s="188"/>
      <c r="KJ144" s="188"/>
      <c r="KK144" s="188"/>
      <c r="KL144" s="188"/>
      <c r="KM144" s="188"/>
      <c r="KN144" s="188"/>
      <c r="KO144" s="188"/>
      <c r="KP144" s="188"/>
      <c r="KQ144" s="188"/>
      <c r="KR144" s="188"/>
      <c r="KS144" s="188"/>
      <c r="KT144" s="188"/>
      <c r="KU144" s="188"/>
      <c r="KV144" s="188"/>
      <c r="KW144" s="188"/>
      <c r="KX144" s="188"/>
      <c r="KY144" s="188"/>
      <c r="KZ144" s="188"/>
      <c r="LA144" s="188"/>
      <c r="LB144" s="188"/>
      <c r="LC144" s="188"/>
      <c r="LD144" s="188"/>
      <c r="LE144" s="189"/>
      <c r="LF144" s="187"/>
      <c r="LG144" s="188"/>
      <c r="LH144" s="188"/>
      <c r="LI144" s="188"/>
      <c r="LJ144" s="189"/>
      <c r="LQ144" s="12"/>
      <c r="LR144" s="7"/>
      <c r="LS144" s="3"/>
      <c r="LT144" s="3"/>
      <c r="LU144" s="3"/>
      <c r="LV144" s="3"/>
      <c r="LW144" s="2"/>
      <c r="MK144" s="3"/>
      <c r="ML144" s="3"/>
      <c r="MM144" s="3"/>
      <c r="MN144" s="3"/>
      <c r="MO144" s="3"/>
      <c r="MP144" s="2"/>
    </row>
    <row r="145" spans="3:354" ht="5.0999999999999996" customHeight="1" x14ac:dyDescent="0.3">
      <c r="C145" s="11"/>
      <c r="D145" s="13"/>
      <c r="Q145" s="187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9"/>
      <c r="BF145" s="187"/>
      <c r="BG145" s="188"/>
      <c r="BH145" s="188"/>
      <c r="BI145" s="188"/>
      <c r="BJ145" s="189"/>
      <c r="CL145" s="22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0"/>
      <c r="EL145" s="22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0"/>
      <c r="HI145" s="198"/>
      <c r="HJ145" s="199"/>
      <c r="HK145" s="199"/>
      <c r="HL145" s="199"/>
      <c r="HM145" s="199"/>
      <c r="HN145" s="199"/>
      <c r="HO145" s="199"/>
      <c r="HP145" s="199"/>
      <c r="HQ145" s="199"/>
      <c r="HR145" s="199"/>
      <c r="HS145" s="199"/>
      <c r="HT145" s="199"/>
      <c r="HU145" s="199"/>
      <c r="HV145" s="199"/>
      <c r="HW145" s="199"/>
      <c r="HX145" s="199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200"/>
      <c r="IW145" s="204"/>
      <c r="IX145" s="204"/>
      <c r="IY145" s="204"/>
      <c r="IZ145" s="204"/>
      <c r="JA145" s="204"/>
      <c r="JB145" s="204"/>
      <c r="JC145" s="19"/>
      <c r="JG145" s="154"/>
      <c r="JN145" s="16"/>
      <c r="JQ145" s="187"/>
      <c r="JR145" s="188"/>
      <c r="JS145" s="188"/>
      <c r="JT145" s="188"/>
      <c r="JU145" s="188"/>
      <c r="JV145" s="188"/>
      <c r="JW145" s="188"/>
      <c r="JX145" s="188"/>
      <c r="JY145" s="188"/>
      <c r="JZ145" s="188"/>
      <c r="KA145" s="188"/>
      <c r="KB145" s="188"/>
      <c r="KC145" s="188"/>
      <c r="KD145" s="188"/>
      <c r="KE145" s="188"/>
      <c r="KF145" s="188"/>
      <c r="KG145" s="188"/>
      <c r="KH145" s="188"/>
      <c r="KI145" s="188"/>
      <c r="KJ145" s="188"/>
      <c r="KK145" s="188"/>
      <c r="KL145" s="188"/>
      <c r="KM145" s="188"/>
      <c r="KN145" s="188"/>
      <c r="KO145" s="188"/>
      <c r="KP145" s="188"/>
      <c r="KQ145" s="188"/>
      <c r="KR145" s="188"/>
      <c r="KS145" s="188"/>
      <c r="KT145" s="188"/>
      <c r="KU145" s="188"/>
      <c r="KV145" s="188"/>
      <c r="KW145" s="188"/>
      <c r="KX145" s="188"/>
      <c r="KY145" s="188"/>
      <c r="KZ145" s="188"/>
      <c r="LA145" s="188"/>
      <c r="LB145" s="188"/>
      <c r="LC145" s="188"/>
      <c r="LD145" s="188"/>
      <c r="LE145" s="189"/>
      <c r="LF145" s="187"/>
      <c r="LG145" s="188"/>
      <c r="LH145" s="188"/>
      <c r="LI145" s="188"/>
      <c r="LJ145" s="189"/>
      <c r="LQ145" s="12"/>
      <c r="LR145" s="7"/>
      <c r="LS145" s="3"/>
      <c r="LT145" s="3"/>
      <c r="LU145" s="3"/>
      <c r="LV145" s="3"/>
      <c r="LW145" s="2"/>
      <c r="MK145" s="3"/>
      <c r="ML145" s="3"/>
      <c r="MM145" s="3"/>
      <c r="MN145" s="3"/>
      <c r="MO145" s="3"/>
      <c r="MP145" s="2"/>
    </row>
    <row r="146" spans="3:354" ht="5.0999999999999996" customHeight="1" x14ac:dyDescent="0.3">
      <c r="C146" s="11"/>
      <c r="D146" s="13"/>
      <c r="Q146" s="187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E146" s="189"/>
      <c r="BF146" s="187"/>
      <c r="BG146" s="188"/>
      <c r="BH146" s="188"/>
      <c r="BI146" s="188"/>
      <c r="BJ146" s="189"/>
      <c r="CL146" s="16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19"/>
      <c r="EL146" s="15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50"/>
      <c r="HI146" s="198"/>
      <c r="HJ146" s="199"/>
      <c r="HK146" s="199"/>
      <c r="HL146" s="199"/>
      <c r="HM146" s="199"/>
      <c r="HN146" s="199"/>
      <c r="HO146" s="199"/>
      <c r="HP146" s="199"/>
      <c r="HQ146" s="199"/>
      <c r="HR146" s="199"/>
      <c r="HS146" s="199"/>
      <c r="HT146" s="199"/>
      <c r="HU146" s="199"/>
      <c r="HV146" s="199"/>
      <c r="HW146" s="199"/>
      <c r="HX146" s="199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200"/>
      <c r="IW146" s="204"/>
      <c r="IX146" s="204"/>
      <c r="IY146" s="204"/>
      <c r="IZ146" s="204"/>
      <c r="JA146" s="204"/>
      <c r="JB146" s="204"/>
      <c r="JC146" s="19"/>
      <c r="JG146" s="154"/>
      <c r="JN146" s="16"/>
      <c r="JQ146" s="187"/>
      <c r="JR146" s="188"/>
      <c r="JS146" s="188"/>
      <c r="JT146" s="188"/>
      <c r="JU146" s="188"/>
      <c r="JV146" s="188"/>
      <c r="JW146" s="188"/>
      <c r="JX146" s="188"/>
      <c r="JY146" s="188"/>
      <c r="JZ146" s="188"/>
      <c r="KA146" s="188"/>
      <c r="KB146" s="188"/>
      <c r="KC146" s="188"/>
      <c r="KD146" s="188"/>
      <c r="KE146" s="188"/>
      <c r="KF146" s="188"/>
      <c r="KG146" s="188"/>
      <c r="KH146" s="188"/>
      <c r="KI146" s="188"/>
      <c r="KJ146" s="188"/>
      <c r="KK146" s="188"/>
      <c r="KL146" s="188"/>
      <c r="KM146" s="188"/>
      <c r="KN146" s="188"/>
      <c r="KO146" s="188"/>
      <c r="KP146" s="188"/>
      <c r="KQ146" s="188"/>
      <c r="KR146" s="188"/>
      <c r="KS146" s="188"/>
      <c r="KT146" s="188"/>
      <c r="KU146" s="188"/>
      <c r="KV146" s="188"/>
      <c r="KW146" s="188"/>
      <c r="KX146" s="188"/>
      <c r="KY146" s="188"/>
      <c r="KZ146" s="188"/>
      <c r="LA146" s="188"/>
      <c r="LB146" s="188"/>
      <c r="LC146" s="188"/>
      <c r="LD146" s="188"/>
      <c r="LE146" s="189"/>
      <c r="LF146" s="187"/>
      <c r="LG146" s="188"/>
      <c r="LH146" s="188"/>
      <c r="LI146" s="188"/>
      <c r="LJ146" s="189"/>
      <c r="LQ146" s="12"/>
      <c r="LR146" s="7"/>
      <c r="LS146" s="3"/>
      <c r="LT146" s="3"/>
      <c r="LU146" s="3"/>
      <c r="LV146" s="3"/>
      <c r="LW146" s="2"/>
      <c r="MK146" s="3"/>
      <c r="ML146" s="3"/>
      <c r="MM146" s="3"/>
      <c r="MN146" s="3"/>
      <c r="MO146" s="3"/>
      <c r="MP146" s="2"/>
    </row>
    <row r="147" spans="3:354" ht="5.0999999999999996" customHeight="1" x14ac:dyDescent="0.3">
      <c r="C147" s="11"/>
      <c r="D147" s="13"/>
      <c r="Q147" s="187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E147" s="189"/>
      <c r="BF147" s="187"/>
      <c r="BG147" s="188"/>
      <c r="BH147" s="188"/>
      <c r="BI147" s="188"/>
      <c r="BJ147" s="189"/>
      <c r="BQ147" s="216" t="s">
        <v>7</v>
      </c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8"/>
      <c r="DE147" s="216">
        <f>SUM(DE161,DE173)</f>
        <v>29</v>
      </c>
      <c r="DF147" s="217"/>
      <c r="DG147" s="217"/>
      <c r="DH147" s="217"/>
      <c r="DI147" s="218"/>
      <c r="DO147" s="216" t="s">
        <v>6</v>
      </c>
      <c r="DP147" s="217"/>
      <c r="DQ147" s="217"/>
      <c r="DR147" s="217"/>
      <c r="DS147" s="217"/>
      <c r="DT147" s="217"/>
      <c r="DU147" s="217"/>
      <c r="DV147" s="217"/>
      <c r="DW147" s="217"/>
      <c r="DX147" s="217"/>
      <c r="DY147" s="217"/>
      <c r="DZ147" s="217"/>
      <c r="EA147" s="217"/>
      <c r="EB147" s="217"/>
      <c r="EC147" s="217"/>
      <c r="ED147" s="217"/>
      <c r="EE147" s="217"/>
      <c r="EF147" s="217"/>
      <c r="EG147" s="217"/>
      <c r="EH147" s="217"/>
      <c r="EI147" s="217"/>
      <c r="EJ147" s="217"/>
      <c r="EK147" s="217"/>
      <c r="EL147" s="217"/>
      <c r="EM147" s="217"/>
      <c r="EN147" s="217"/>
      <c r="EO147" s="217"/>
      <c r="EP147" s="217"/>
      <c r="EQ147" s="217"/>
      <c r="ER147" s="217"/>
      <c r="ES147" s="217"/>
      <c r="ET147" s="217"/>
      <c r="EU147" s="217"/>
      <c r="EV147" s="217"/>
      <c r="EW147" s="217"/>
      <c r="EX147" s="217"/>
      <c r="EY147" s="217"/>
      <c r="EZ147" s="217"/>
      <c r="FA147" s="217"/>
      <c r="FB147" s="218"/>
      <c r="FC147" s="216">
        <f>SUM(FC161,FC171,FC181)</f>
        <v>12</v>
      </c>
      <c r="FD147" s="217"/>
      <c r="FE147" s="217"/>
      <c r="FF147" s="217"/>
      <c r="FG147" s="218"/>
      <c r="FL147" s="216" t="s">
        <v>5</v>
      </c>
      <c r="FM147" s="217"/>
      <c r="FN147" s="217"/>
      <c r="FO147" s="217"/>
      <c r="FP147" s="217"/>
      <c r="FQ147" s="217"/>
      <c r="FR147" s="217"/>
      <c r="FS147" s="217"/>
      <c r="FT147" s="217"/>
      <c r="FU147" s="217"/>
      <c r="FV147" s="217"/>
      <c r="FW147" s="217"/>
      <c r="FX147" s="217"/>
      <c r="FY147" s="217"/>
      <c r="FZ147" s="217"/>
      <c r="GA147" s="217"/>
      <c r="GB147" s="217"/>
      <c r="GC147" s="217"/>
      <c r="GD147" s="217"/>
      <c r="GE147" s="217"/>
      <c r="GF147" s="217"/>
      <c r="GG147" s="217"/>
      <c r="GH147" s="217"/>
      <c r="GI147" s="217"/>
      <c r="GJ147" s="217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8"/>
      <c r="GZ147" s="216">
        <f>SUM(GZ161:HD210)</f>
        <v>6</v>
      </c>
      <c r="HA147" s="217"/>
      <c r="HB147" s="217"/>
      <c r="HC147" s="217"/>
      <c r="HD147" s="218"/>
      <c r="HI147" s="198"/>
      <c r="HJ147" s="199"/>
      <c r="HK147" s="199"/>
      <c r="HL147" s="199"/>
      <c r="HM147" s="199"/>
      <c r="HN147" s="199"/>
      <c r="HO147" s="199"/>
      <c r="HP147" s="199"/>
      <c r="HQ147" s="199"/>
      <c r="HR147" s="199"/>
      <c r="HS147" s="199"/>
      <c r="HT147" s="199"/>
      <c r="HU147" s="199"/>
      <c r="HV147" s="199"/>
      <c r="HW147" s="199"/>
      <c r="HX147" s="199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200"/>
      <c r="IW147" s="204"/>
      <c r="IX147" s="204"/>
      <c r="IY147" s="204"/>
      <c r="IZ147" s="204"/>
      <c r="JA147" s="204"/>
      <c r="JB147" s="204"/>
      <c r="JC147" s="19"/>
      <c r="JG147" s="154"/>
      <c r="JN147" s="16"/>
      <c r="JQ147" s="187"/>
      <c r="JR147" s="188"/>
      <c r="JS147" s="188"/>
      <c r="JT147" s="188"/>
      <c r="JU147" s="188"/>
      <c r="JV147" s="188"/>
      <c r="JW147" s="188"/>
      <c r="JX147" s="188"/>
      <c r="JY147" s="188"/>
      <c r="JZ147" s="188"/>
      <c r="KA147" s="188"/>
      <c r="KB147" s="188"/>
      <c r="KC147" s="188"/>
      <c r="KD147" s="188"/>
      <c r="KE147" s="188"/>
      <c r="KF147" s="188"/>
      <c r="KG147" s="188"/>
      <c r="KH147" s="188"/>
      <c r="KI147" s="188"/>
      <c r="KJ147" s="188"/>
      <c r="KK147" s="188"/>
      <c r="KL147" s="188"/>
      <c r="KM147" s="188"/>
      <c r="KN147" s="188"/>
      <c r="KO147" s="188"/>
      <c r="KP147" s="188"/>
      <c r="KQ147" s="188"/>
      <c r="KR147" s="188"/>
      <c r="KS147" s="188"/>
      <c r="KT147" s="188"/>
      <c r="KU147" s="188"/>
      <c r="KV147" s="188"/>
      <c r="KW147" s="188"/>
      <c r="KX147" s="188"/>
      <c r="KY147" s="188"/>
      <c r="KZ147" s="188"/>
      <c r="LA147" s="188"/>
      <c r="LB147" s="188"/>
      <c r="LC147" s="188"/>
      <c r="LD147" s="188"/>
      <c r="LE147" s="189"/>
      <c r="LF147" s="187"/>
      <c r="LG147" s="188"/>
      <c r="LH147" s="188"/>
      <c r="LI147" s="188"/>
      <c r="LJ147" s="189"/>
      <c r="LQ147" s="12"/>
      <c r="LR147" s="7"/>
      <c r="LS147" s="3"/>
      <c r="LT147" s="3"/>
      <c r="LU147" s="3"/>
      <c r="LV147" s="3"/>
      <c r="LW147" s="2"/>
      <c r="MK147" s="3"/>
      <c r="ML147" s="3"/>
      <c r="MM147" s="3"/>
      <c r="MN147" s="3"/>
      <c r="MO147" s="3"/>
      <c r="MP147" s="2"/>
    </row>
    <row r="148" spans="3:354" ht="5.0999999999999996" customHeight="1" thickBot="1" x14ac:dyDescent="0.35">
      <c r="C148" s="11"/>
      <c r="D148" s="13"/>
      <c r="Q148" s="187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E148" s="189"/>
      <c r="BF148" s="187"/>
      <c r="BG148" s="188"/>
      <c r="BH148" s="188"/>
      <c r="BI148" s="188"/>
      <c r="BJ148" s="189"/>
      <c r="BQ148" s="219"/>
      <c r="BR148" s="220"/>
      <c r="BS148" s="220"/>
      <c r="BT148" s="220"/>
      <c r="BU148" s="220"/>
      <c r="BV148" s="220"/>
      <c r="BW148" s="220"/>
      <c r="BX148" s="220"/>
      <c r="BY148" s="220"/>
      <c r="BZ148" s="220"/>
      <c r="CA148" s="220"/>
      <c r="CB148" s="220"/>
      <c r="CC148" s="220"/>
      <c r="CD148" s="220"/>
      <c r="CE148" s="220"/>
      <c r="CF148" s="220"/>
      <c r="CG148" s="220"/>
      <c r="CH148" s="220"/>
      <c r="CI148" s="220"/>
      <c r="CJ148" s="220"/>
      <c r="CK148" s="220"/>
      <c r="CL148" s="220"/>
      <c r="CM148" s="220"/>
      <c r="CN148" s="220"/>
      <c r="CO148" s="220"/>
      <c r="CP148" s="220"/>
      <c r="CQ148" s="220"/>
      <c r="CR148" s="220"/>
      <c r="CS148" s="220"/>
      <c r="CT148" s="220"/>
      <c r="CU148" s="220"/>
      <c r="CV148" s="220"/>
      <c r="CW148" s="220"/>
      <c r="CX148" s="220"/>
      <c r="CY148" s="220"/>
      <c r="CZ148" s="220"/>
      <c r="DA148" s="220"/>
      <c r="DB148" s="220"/>
      <c r="DC148" s="220"/>
      <c r="DD148" s="221"/>
      <c r="DE148" s="219"/>
      <c r="DF148" s="220"/>
      <c r="DG148" s="220"/>
      <c r="DH148" s="220"/>
      <c r="DI148" s="221"/>
      <c r="DO148" s="219"/>
      <c r="DP148" s="220"/>
      <c r="DQ148" s="220"/>
      <c r="DR148" s="220"/>
      <c r="DS148" s="220"/>
      <c r="DT148" s="220"/>
      <c r="DU148" s="220"/>
      <c r="DV148" s="220"/>
      <c r="DW148" s="220"/>
      <c r="DX148" s="220"/>
      <c r="DY148" s="220"/>
      <c r="DZ148" s="220"/>
      <c r="EA148" s="220"/>
      <c r="EB148" s="220"/>
      <c r="EC148" s="220"/>
      <c r="ED148" s="220"/>
      <c r="EE148" s="220"/>
      <c r="EF148" s="220"/>
      <c r="EG148" s="220"/>
      <c r="EH148" s="220"/>
      <c r="EI148" s="220"/>
      <c r="EJ148" s="220"/>
      <c r="EK148" s="220"/>
      <c r="EL148" s="220"/>
      <c r="EM148" s="220"/>
      <c r="EN148" s="220"/>
      <c r="EO148" s="220"/>
      <c r="EP148" s="220"/>
      <c r="EQ148" s="220"/>
      <c r="ER148" s="220"/>
      <c r="ES148" s="220"/>
      <c r="ET148" s="220"/>
      <c r="EU148" s="220"/>
      <c r="EV148" s="220"/>
      <c r="EW148" s="220"/>
      <c r="EX148" s="220"/>
      <c r="EY148" s="220"/>
      <c r="EZ148" s="220"/>
      <c r="FA148" s="220"/>
      <c r="FB148" s="221"/>
      <c r="FC148" s="219"/>
      <c r="FD148" s="220"/>
      <c r="FE148" s="220"/>
      <c r="FF148" s="220"/>
      <c r="FG148" s="221"/>
      <c r="FL148" s="219"/>
      <c r="FM148" s="220"/>
      <c r="FN148" s="220"/>
      <c r="FO148" s="220"/>
      <c r="FP148" s="220"/>
      <c r="FQ148" s="220"/>
      <c r="FR148" s="220"/>
      <c r="FS148" s="220"/>
      <c r="FT148" s="220"/>
      <c r="FU148" s="220"/>
      <c r="FV148" s="220"/>
      <c r="FW148" s="220"/>
      <c r="FX148" s="220"/>
      <c r="FY148" s="220"/>
      <c r="FZ148" s="220"/>
      <c r="GA148" s="220"/>
      <c r="GB148" s="220"/>
      <c r="GC148" s="220"/>
      <c r="GD148" s="220"/>
      <c r="GE148" s="220"/>
      <c r="GF148" s="220"/>
      <c r="GG148" s="220"/>
      <c r="GH148" s="220"/>
      <c r="GI148" s="220"/>
      <c r="GJ148" s="220"/>
      <c r="GK148" s="220"/>
      <c r="GL148" s="220"/>
      <c r="GM148" s="220"/>
      <c r="GN148" s="220"/>
      <c r="GO148" s="220"/>
      <c r="GP148" s="220"/>
      <c r="GQ148" s="220"/>
      <c r="GR148" s="220"/>
      <c r="GS148" s="220"/>
      <c r="GT148" s="220"/>
      <c r="GU148" s="220"/>
      <c r="GV148" s="220"/>
      <c r="GW148" s="220"/>
      <c r="GX148" s="220"/>
      <c r="GY148" s="221"/>
      <c r="GZ148" s="219"/>
      <c r="HA148" s="220"/>
      <c r="HB148" s="220"/>
      <c r="HC148" s="220"/>
      <c r="HD148" s="221"/>
      <c r="HI148" s="201"/>
      <c r="HJ148" s="202"/>
      <c r="HK148" s="202"/>
      <c r="HL148" s="202"/>
      <c r="HM148" s="202"/>
      <c r="HN148" s="202"/>
      <c r="HO148" s="202"/>
      <c r="HP148" s="202"/>
      <c r="HQ148" s="202"/>
      <c r="HR148" s="202"/>
      <c r="HS148" s="202"/>
      <c r="HT148" s="202"/>
      <c r="HU148" s="202"/>
      <c r="HV148" s="202"/>
      <c r="HW148" s="202"/>
      <c r="HX148" s="202"/>
      <c r="HY148" s="202"/>
      <c r="HZ148" s="202"/>
      <c r="IA148" s="202"/>
      <c r="IB148" s="202"/>
      <c r="IC148" s="202"/>
      <c r="ID148" s="202"/>
      <c r="IE148" s="202"/>
      <c r="IF148" s="202"/>
      <c r="IG148" s="202"/>
      <c r="IH148" s="202"/>
      <c r="II148" s="202"/>
      <c r="IJ148" s="202"/>
      <c r="IK148" s="202"/>
      <c r="IL148" s="202"/>
      <c r="IM148" s="202"/>
      <c r="IN148" s="202"/>
      <c r="IO148" s="202"/>
      <c r="IP148" s="202"/>
      <c r="IQ148" s="202"/>
      <c r="IR148" s="202"/>
      <c r="IS148" s="202"/>
      <c r="IT148" s="202"/>
      <c r="IU148" s="202"/>
      <c r="IV148" s="203"/>
      <c r="IW148" s="204"/>
      <c r="IX148" s="204"/>
      <c r="IY148" s="204"/>
      <c r="IZ148" s="204"/>
      <c r="JA148" s="204"/>
      <c r="JB148" s="204"/>
      <c r="JC148" s="19"/>
      <c r="JG148" s="154"/>
      <c r="JN148" s="16"/>
      <c r="JQ148" s="190"/>
      <c r="JR148" s="191"/>
      <c r="JS148" s="191"/>
      <c r="JT148" s="191"/>
      <c r="JU148" s="191"/>
      <c r="JV148" s="191"/>
      <c r="JW148" s="191"/>
      <c r="JX148" s="191"/>
      <c r="JY148" s="191"/>
      <c r="JZ148" s="191"/>
      <c r="KA148" s="191"/>
      <c r="KB148" s="191"/>
      <c r="KC148" s="191"/>
      <c r="KD148" s="191"/>
      <c r="KE148" s="191"/>
      <c r="KF148" s="191"/>
      <c r="KG148" s="191"/>
      <c r="KH148" s="191"/>
      <c r="KI148" s="191"/>
      <c r="KJ148" s="191"/>
      <c r="KK148" s="191"/>
      <c r="KL148" s="191"/>
      <c r="KM148" s="191"/>
      <c r="KN148" s="191"/>
      <c r="KO148" s="191"/>
      <c r="KP148" s="191"/>
      <c r="KQ148" s="191"/>
      <c r="KR148" s="191"/>
      <c r="KS148" s="191"/>
      <c r="KT148" s="191"/>
      <c r="KU148" s="191"/>
      <c r="KV148" s="191"/>
      <c r="KW148" s="191"/>
      <c r="KX148" s="191"/>
      <c r="KY148" s="191"/>
      <c r="KZ148" s="191"/>
      <c r="LA148" s="191"/>
      <c r="LB148" s="191"/>
      <c r="LC148" s="191"/>
      <c r="LD148" s="191"/>
      <c r="LE148" s="192"/>
      <c r="LF148" s="190"/>
      <c r="LG148" s="191"/>
      <c r="LH148" s="191"/>
      <c r="LI148" s="191"/>
      <c r="LJ148" s="192"/>
      <c r="LQ148" s="12"/>
      <c r="LR148" s="7"/>
      <c r="LS148" s="3"/>
      <c r="LT148" s="3"/>
      <c r="LU148" s="3"/>
      <c r="LV148" s="3"/>
      <c r="LW148" s="2"/>
      <c r="MK148" s="3"/>
      <c r="ML148" s="3"/>
      <c r="MM148" s="3"/>
      <c r="MN148" s="3"/>
      <c r="MO148" s="3"/>
      <c r="MP148" s="2"/>
    </row>
    <row r="149" spans="3:354" ht="5.0999999999999996" customHeight="1" x14ac:dyDescent="0.3">
      <c r="C149" s="11"/>
      <c r="D149" s="13"/>
      <c r="Q149" s="187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E149" s="189"/>
      <c r="BF149" s="187"/>
      <c r="BG149" s="188"/>
      <c r="BH149" s="188"/>
      <c r="BI149" s="188"/>
      <c r="BJ149" s="189"/>
      <c r="BQ149" s="219"/>
      <c r="BR149" s="220"/>
      <c r="BS149" s="220"/>
      <c r="BT149" s="220"/>
      <c r="BU149" s="220"/>
      <c r="BV149" s="220"/>
      <c r="BW149" s="220"/>
      <c r="BX149" s="220"/>
      <c r="BY149" s="220"/>
      <c r="BZ149" s="220"/>
      <c r="CA149" s="220"/>
      <c r="CB149" s="220"/>
      <c r="CC149" s="220"/>
      <c r="CD149" s="220"/>
      <c r="CE149" s="220"/>
      <c r="CF149" s="220"/>
      <c r="CG149" s="220"/>
      <c r="CH149" s="220"/>
      <c r="CI149" s="220"/>
      <c r="CJ149" s="220"/>
      <c r="CK149" s="220"/>
      <c r="CL149" s="220"/>
      <c r="CM149" s="220"/>
      <c r="CN149" s="220"/>
      <c r="CO149" s="220"/>
      <c r="CP149" s="220"/>
      <c r="CQ149" s="220"/>
      <c r="CR149" s="220"/>
      <c r="CS149" s="220"/>
      <c r="CT149" s="220"/>
      <c r="CU149" s="220"/>
      <c r="CV149" s="220"/>
      <c r="CW149" s="220"/>
      <c r="CX149" s="220"/>
      <c r="CY149" s="220"/>
      <c r="CZ149" s="220"/>
      <c r="DA149" s="220"/>
      <c r="DB149" s="220"/>
      <c r="DC149" s="220"/>
      <c r="DD149" s="221"/>
      <c r="DE149" s="219"/>
      <c r="DF149" s="220"/>
      <c r="DG149" s="220"/>
      <c r="DH149" s="220"/>
      <c r="DI149" s="221"/>
      <c r="DO149" s="219"/>
      <c r="DP149" s="220"/>
      <c r="DQ149" s="220"/>
      <c r="DR149" s="220"/>
      <c r="DS149" s="220"/>
      <c r="DT149" s="220"/>
      <c r="DU149" s="220"/>
      <c r="DV149" s="220"/>
      <c r="DW149" s="220"/>
      <c r="DX149" s="220"/>
      <c r="DY149" s="220"/>
      <c r="DZ149" s="220"/>
      <c r="EA149" s="220"/>
      <c r="EB149" s="220"/>
      <c r="EC149" s="220"/>
      <c r="ED149" s="220"/>
      <c r="EE149" s="220"/>
      <c r="EF149" s="220"/>
      <c r="EG149" s="220"/>
      <c r="EH149" s="220"/>
      <c r="EI149" s="220"/>
      <c r="EJ149" s="220"/>
      <c r="EK149" s="220"/>
      <c r="EL149" s="220"/>
      <c r="EM149" s="220"/>
      <c r="EN149" s="220"/>
      <c r="EO149" s="220"/>
      <c r="EP149" s="220"/>
      <c r="EQ149" s="220"/>
      <c r="ER149" s="220"/>
      <c r="ES149" s="220"/>
      <c r="ET149" s="220"/>
      <c r="EU149" s="220"/>
      <c r="EV149" s="220"/>
      <c r="EW149" s="220"/>
      <c r="EX149" s="220"/>
      <c r="EY149" s="220"/>
      <c r="EZ149" s="220"/>
      <c r="FA149" s="220"/>
      <c r="FB149" s="221"/>
      <c r="FC149" s="219"/>
      <c r="FD149" s="220"/>
      <c r="FE149" s="220"/>
      <c r="FF149" s="220"/>
      <c r="FG149" s="221"/>
      <c r="FL149" s="219"/>
      <c r="FM149" s="220"/>
      <c r="FN149" s="220"/>
      <c r="FO149" s="220"/>
      <c r="FP149" s="220"/>
      <c r="FQ149" s="220"/>
      <c r="FR149" s="220"/>
      <c r="FS149" s="220"/>
      <c r="FT149" s="220"/>
      <c r="FU149" s="220"/>
      <c r="FV149" s="220"/>
      <c r="FW149" s="220"/>
      <c r="FX149" s="220"/>
      <c r="FY149" s="220"/>
      <c r="FZ149" s="220"/>
      <c r="GA149" s="220"/>
      <c r="GB149" s="220"/>
      <c r="GC149" s="220"/>
      <c r="GD149" s="220"/>
      <c r="GE149" s="220"/>
      <c r="GF149" s="220"/>
      <c r="GG149" s="220"/>
      <c r="GH149" s="220"/>
      <c r="GI149" s="220"/>
      <c r="GJ149" s="220"/>
      <c r="GK149" s="220"/>
      <c r="GL149" s="220"/>
      <c r="GM149" s="220"/>
      <c r="GN149" s="220"/>
      <c r="GO149" s="220"/>
      <c r="GP149" s="220"/>
      <c r="GQ149" s="220"/>
      <c r="GR149" s="220"/>
      <c r="GS149" s="220"/>
      <c r="GT149" s="220"/>
      <c r="GU149" s="220"/>
      <c r="GV149" s="220"/>
      <c r="GW149" s="220"/>
      <c r="GX149" s="220"/>
      <c r="GY149" s="221"/>
      <c r="GZ149" s="219"/>
      <c r="HA149" s="220"/>
      <c r="HB149" s="220"/>
      <c r="HC149" s="220"/>
      <c r="HD149" s="221"/>
      <c r="HI149" s="184" t="s">
        <v>4</v>
      </c>
      <c r="HJ149" s="185"/>
      <c r="HK149" s="185"/>
      <c r="HL149" s="185"/>
      <c r="HM149" s="185"/>
      <c r="HN149" s="185"/>
      <c r="HO149" s="185"/>
      <c r="HP149" s="185"/>
      <c r="HQ149" s="185"/>
      <c r="HR149" s="185"/>
      <c r="HS149" s="185"/>
      <c r="HT149" s="185"/>
      <c r="HU149" s="185"/>
      <c r="HV149" s="185"/>
      <c r="HW149" s="185"/>
      <c r="HX149" s="185"/>
      <c r="HY149" s="185"/>
      <c r="HZ149" s="185"/>
      <c r="IA149" s="185"/>
      <c r="IB149" s="185"/>
      <c r="IC149" s="185"/>
      <c r="ID149" s="185"/>
      <c r="IE149" s="185"/>
      <c r="IF149" s="185"/>
      <c r="IG149" s="185"/>
      <c r="IH149" s="185"/>
      <c r="II149" s="185"/>
      <c r="IJ149" s="185"/>
      <c r="IK149" s="185"/>
      <c r="IL149" s="185"/>
      <c r="IM149" s="185"/>
      <c r="IN149" s="185"/>
      <c r="IO149" s="185"/>
      <c r="IP149" s="185"/>
      <c r="IQ149" s="185"/>
      <c r="IR149" s="185"/>
      <c r="IS149" s="185"/>
      <c r="IT149" s="185"/>
      <c r="IU149" s="185"/>
      <c r="IV149" s="186"/>
      <c r="IW149" s="184">
        <v>66</v>
      </c>
      <c r="IX149" s="185"/>
      <c r="IY149" s="185"/>
      <c r="IZ149" s="185"/>
      <c r="JA149" s="185"/>
      <c r="JB149" s="186"/>
      <c r="JC149" s="52"/>
      <c r="JG149" s="154"/>
      <c r="JN149" s="16"/>
      <c r="KL149" s="152"/>
      <c r="LQ149" s="12"/>
      <c r="LR149" s="7"/>
      <c r="LS149" s="3"/>
      <c r="LT149" s="3"/>
      <c r="LU149" s="3"/>
      <c r="LV149" s="3"/>
      <c r="LW149" s="2"/>
      <c r="MK149" s="3"/>
      <c r="ML149" s="3"/>
      <c r="MM149" s="3"/>
      <c r="MN149" s="3"/>
      <c r="MO149" s="3"/>
      <c r="MP149" s="2"/>
    </row>
    <row r="150" spans="3:354" ht="5.0999999999999996" customHeight="1" x14ac:dyDescent="0.3">
      <c r="C150" s="11"/>
      <c r="D150" s="13"/>
      <c r="Q150" s="190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2"/>
      <c r="BF150" s="190"/>
      <c r="BG150" s="191"/>
      <c r="BH150" s="191"/>
      <c r="BI150" s="191"/>
      <c r="BJ150" s="192"/>
      <c r="BQ150" s="219"/>
      <c r="BR150" s="220"/>
      <c r="BS150" s="220"/>
      <c r="BT150" s="220"/>
      <c r="BU150" s="220"/>
      <c r="BV150" s="220"/>
      <c r="BW150" s="220"/>
      <c r="BX150" s="220"/>
      <c r="BY150" s="220"/>
      <c r="BZ150" s="220"/>
      <c r="CA150" s="220"/>
      <c r="CB150" s="220"/>
      <c r="CC150" s="220"/>
      <c r="CD150" s="220"/>
      <c r="CE150" s="220"/>
      <c r="CF150" s="220"/>
      <c r="CG150" s="220"/>
      <c r="CH150" s="220"/>
      <c r="CI150" s="220"/>
      <c r="CJ150" s="220"/>
      <c r="CK150" s="220"/>
      <c r="CL150" s="220"/>
      <c r="CM150" s="220"/>
      <c r="CN150" s="220"/>
      <c r="CO150" s="220"/>
      <c r="CP150" s="220"/>
      <c r="CQ150" s="220"/>
      <c r="CR150" s="220"/>
      <c r="CS150" s="220"/>
      <c r="CT150" s="220"/>
      <c r="CU150" s="220"/>
      <c r="CV150" s="220"/>
      <c r="CW150" s="220"/>
      <c r="CX150" s="220"/>
      <c r="CY150" s="220"/>
      <c r="CZ150" s="220"/>
      <c r="DA150" s="220"/>
      <c r="DB150" s="220"/>
      <c r="DC150" s="220"/>
      <c r="DD150" s="221"/>
      <c r="DE150" s="219"/>
      <c r="DF150" s="220"/>
      <c r="DG150" s="220"/>
      <c r="DH150" s="220"/>
      <c r="DI150" s="221"/>
      <c r="DO150" s="219"/>
      <c r="DP150" s="220"/>
      <c r="DQ150" s="220"/>
      <c r="DR150" s="220"/>
      <c r="DS150" s="220"/>
      <c r="DT150" s="220"/>
      <c r="DU150" s="220"/>
      <c r="DV150" s="220"/>
      <c r="DW150" s="220"/>
      <c r="DX150" s="220"/>
      <c r="DY150" s="220"/>
      <c r="DZ150" s="220"/>
      <c r="EA150" s="220"/>
      <c r="EB150" s="220"/>
      <c r="EC150" s="220"/>
      <c r="ED150" s="220"/>
      <c r="EE150" s="220"/>
      <c r="EF150" s="220"/>
      <c r="EG150" s="220"/>
      <c r="EH150" s="220"/>
      <c r="EI150" s="220"/>
      <c r="EJ150" s="220"/>
      <c r="EK150" s="220"/>
      <c r="EL150" s="220"/>
      <c r="EM150" s="220"/>
      <c r="EN150" s="220"/>
      <c r="EO150" s="220"/>
      <c r="EP150" s="220"/>
      <c r="EQ150" s="220"/>
      <c r="ER150" s="220"/>
      <c r="ES150" s="220"/>
      <c r="ET150" s="220"/>
      <c r="EU150" s="220"/>
      <c r="EV150" s="220"/>
      <c r="EW150" s="220"/>
      <c r="EX150" s="220"/>
      <c r="EY150" s="220"/>
      <c r="EZ150" s="220"/>
      <c r="FA150" s="220"/>
      <c r="FB150" s="221"/>
      <c r="FC150" s="219"/>
      <c r="FD150" s="220"/>
      <c r="FE150" s="220"/>
      <c r="FF150" s="220"/>
      <c r="FG150" s="221"/>
      <c r="FL150" s="219"/>
      <c r="FM150" s="220"/>
      <c r="FN150" s="220"/>
      <c r="FO150" s="220"/>
      <c r="FP150" s="220"/>
      <c r="FQ150" s="220"/>
      <c r="FR150" s="220"/>
      <c r="FS150" s="220"/>
      <c r="FT150" s="220"/>
      <c r="FU150" s="220"/>
      <c r="FV150" s="220"/>
      <c r="FW150" s="220"/>
      <c r="FX150" s="220"/>
      <c r="FY150" s="220"/>
      <c r="FZ150" s="220"/>
      <c r="GA150" s="220"/>
      <c r="GB150" s="220"/>
      <c r="GC150" s="220"/>
      <c r="GD150" s="220"/>
      <c r="GE150" s="220"/>
      <c r="GF150" s="220"/>
      <c r="GG150" s="220"/>
      <c r="GH150" s="220"/>
      <c r="GI150" s="220"/>
      <c r="GJ150" s="220"/>
      <c r="GK150" s="220"/>
      <c r="GL150" s="220"/>
      <c r="GM150" s="220"/>
      <c r="GN150" s="220"/>
      <c r="GO150" s="220"/>
      <c r="GP150" s="220"/>
      <c r="GQ150" s="220"/>
      <c r="GR150" s="220"/>
      <c r="GS150" s="220"/>
      <c r="GT150" s="220"/>
      <c r="GU150" s="220"/>
      <c r="GV150" s="220"/>
      <c r="GW150" s="220"/>
      <c r="GX150" s="220"/>
      <c r="GY150" s="221"/>
      <c r="GZ150" s="219"/>
      <c r="HA150" s="220"/>
      <c r="HB150" s="220"/>
      <c r="HC150" s="220"/>
      <c r="HD150" s="221"/>
      <c r="HI150" s="187"/>
      <c r="HJ150" s="188"/>
      <c r="HK150" s="188"/>
      <c r="HL150" s="188"/>
      <c r="HM150" s="188"/>
      <c r="HN150" s="188"/>
      <c r="HO150" s="188"/>
      <c r="HP150" s="188"/>
      <c r="HQ150" s="188"/>
      <c r="HR150" s="188"/>
      <c r="HS150" s="188"/>
      <c r="HT150" s="188"/>
      <c r="HU150" s="188"/>
      <c r="HV150" s="188"/>
      <c r="HW150" s="188"/>
      <c r="HX150" s="188"/>
      <c r="HY150" s="188"/>
      <c r="HZ150" s="188"/>
      <c r="IA150" s="188"/>
      <c r="IB150" s="188"/>
      <c r="IC150" s="188"/>
      <c r="ID150" s="188"/>
      <c r="IE150" s="188"/>
      <c r="IF150" s="188"/>
      <c r="IG150" s="188"/>
      <c r="IH150" s="188"/>
      <c r="II150" s="188"/>
      <c r="IJ150" s="188"/>
      <c r="IK150" s="188"/>
      <c r="IL150" s="188"/>
      <c r="IM150" s="188"/>
      <c r="IN150" s="188"/>
      <c r="IO150" s="188"/>
      <c r="IP150" s="188"/>
      <c r="IQ150" s="188"/>
      <c r="IR150" s="188"/>
      <c r="IS150" s="188"/>
      <c r="IT150" s="188"/>
      <c r="IU150" s="188"/>
      <c r="IV150" s="189"/>
      <c r="IW150" s="187"/>
      <c r="IX150" s="188"/>
      <c r="IY150" s="188"/>
      <c r="IZ150" s="188"/>
      <c r="JA150" s="188"/>
      <c r="JB150" s="189"/>
      <c r="JC150" s="19"/>
      <c r="JG150" s="154"/>
      <c r="JN150" s="16"/>
      <c r="JQ150" s="184" t="s">
        <v>46</v>
      </c>
      <c r="JR150" s="185"/>
      <c r="JS150" s="185"/>
      <c r="JT150" s="185"/>
      <c r="JU150" s="185"/>
      <c r="JV150" s="185"/>
      <c r="JW150" s="185"/>
      <c r="JX150" s="185"/>
      <c r="JY150" s="185"/>
      <c r="JZ150" s="185"/>
      <c r="KA150" s="185"/>
      <c r="KB150" s="185"/>
      <c r="KC150" s="185"/>
      <c r="KD150" s="185"/>
      <c r="KE150" s="185"/>
      <c r="KF150" s="185"/>
      <c r="KG150" s="185"/>
      <c r="KH150" s="185"/>
      <c r="KI150" s="185"/>
      <c r="KJ150" s="185"/>
      <c r="KK150" s="185"/>
      <c r="KL150" s="185"/>
      <c r="KM150" s="185"/>
      <c r="KN150" s="185"/>
      <c r="KO150" s="185"/>
      <c r="KP150" s="185"/>
      <c r="KQ150" s="185"/>
      <c r="KR150" s="185"/>
      <c r="KS150" s="185"/>
      <c r="KT150" s="185"/>
      <c r="KU150" s="185"/>
      <c r="KV150" s="185"/>
      <c r="KW150" s="185"/>
      <c r="KX150" s="185"/>
      <c r="KY150" s="185"/>
      <c r="KZ150" s="185"/>
      <c r="LA150" s="185"/>
      <c r="LB150" s="185"/>
      <c r="LC150" s="185"/>
      <c r="LD150" s="185"/>
      <c r="LE150" s="186"/>
      <c r="LF150" s="184">
        <v>2</v>
      </c>
      <c r="LG150" s="185"/>
      <c r="LH150" s="185"/>
      <c r="LI150" s="185"/>
      <c r="LJ150" s="186"/>
      <c r="LQ150" s="12"/>
      <c r="LR150" s="7"/>
      <c r="LS150" s="3"/>
      <c r="LT150" s="3"/>
      <c r="LU150" s="3"/>
      <c r="LV150" s="3"/>
      <c r="LW150" s="2"/>
      <c r="MK150" s="3"/>
      <c r="ML150" s="3"/>
      <c r="MM150" s="3"/>
      <c r="MN150" s="3"/>
      <c r="MO150" s="3"/>
      <c r="MP150" s="2"/>
    </row>
    <row r="151" spans="3:354" ht="5.0999999999999996" customHeight="1" x14ac:dyDescent="0.3">
      <c r="C151" s="11"/>
      <c r="D151" s="13"/>
      <c r="Q151" s="184" t="s">
        <v>45</v>
      </c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6"/>
      <c r="BF151" s="184">
        <v>5</v>
      </c>
      <c r="BG151" s="185"/>
      <c r="BH151" s="185"/>
      <c r="BI151" s="185"/>
      <c r="BJ151" s="186"/>
      <c r="BQ151" s="219"/>
      <c r="BR151" s="220"/>
      <c r="BS151" s="220"/>
      <c r="BT151" s="220"/>
      <c r="BU151" s="220"/>
      <c r="BV151" s="220"/>
      <c r="BW151" s="220"/>
      <c r="BX151" s="220"/>
      <c r="BY151" s="220"/>
      <c r="BZ151" s="220"/>
      <c r="CA151" s="220"/>
      <c r="CB151" s="220"/>
      <c r="CC151" s="220"/>
      <c r="CD151" s="220"/>
      <c r="CE151" s="220"/>
      <c r="CF151" s="220"/>
      <c r="CG151" s="220"/>
      <c r="CH151" s="220"/>
      <c r="CI151" s="220"/>
      <c r="CJ151" s="220"/>
      <c r="CK151" s="220"/>
      <c r="CL151" s="220"/>
      <c r="CM151" s="220"/>
      <c r="CN151" s="220"/>
      <c r="CO151" s="220"/>
      <c r="CP151" s="220"/>
      <c r="CQ151" s="220"/>
      <c r="CR151" s="220"/>
      <c r="CS151" s="220"/>
      <c r="CT151" s="220"/>
      <c r="CU151" s="220"/>
      <c r="CV151" s="220"/>
      <c r="CW151" s="220"/>
      <c r="CX151" s="220"/>
      <c r="CY151" s="220"/>
      <c r="CZ151" s="220"/>
      <c r="DA151" s="220"/>
      <c r="DB151" s="220"/>
      <c r="DC151" s="220"/>
      <c r="DD151" s="221"/>
      <c r="DE151" s="219"/>
      <c r="DF151" s="220"/>
      <c r="DG151" s="220"/>
      <c r="DH151" s="220"/>
      <c r="DI151" s="221"/>
      <c r="DO151" s="219"/>
      <c r="DP151" s="220"/>
      <c r="DQ151" s="220"/>
      <c r="DR151" s="220"/>
      <c r="DS151" s="220"/>
      <c r="DT151" s="220"/>
      <c r="DU151" s="220"/>
      <c r="DV151" s="220"/>
      <c r="DW151" s="220"/>
      <c r="DX151" s="220"/>
      <c r="DY151" s="220"/>
      <c r="DZ151" s="220"/>
      <c r="EA151" s="220"/>
      <c r="EB151" s="220"/>
      <c r="EC151" s="220"/>
      <c r="ED151" s="220"/>
      <c r="EE151" s="220"/>
      <c r="EF151" s="220"/>
      <c r="EG151" s="220"/>
      <c r="EH151" s="220"/>
      <c r="EI151" s="220"/>
      <c r="EJ151" s="220"/>
      <c r="EK151" s="220"/>
      <c r="EL151" s="220"/>
      <c r="EM151" s="220"/>
      <c r="EN151" s="220"/>
      <c r="EO151" s="220"/>
      <c r="EP151" s="220"/>
      <c r="EQ151" s="220"/>
      <c r="ER151" s="220"/>
      <c r="ES151" s="220"/>
      <c r="ET151" s="220"/>
      <c r="EU151" s="220"/>
      <c r="EV151" s="220"/>
      <c r="EW151" s="220"/>
      <c r="EX151" s="220"/>
      <c r="EY151" s="220"/>
      <c r="EZ151" s="220"/>
      <c r="FA151" s="220"/>
      <c r="FB151" s="221"/>
      <c r="FC151" s="219"/>
      <c r="FD151" s="220"/>
      <c r="FE151" s="220"/>
      <c r="FF151" s="220"/>
      <c r="FG151" s="221"/>
      <c r="FL151" s="219"/>
      <c r="FM151" s="220"/>
      <c r="FN151" s="220"/>
      <c r="FO151" s="220"/>
      <c r="FP151" s="220"/>
      <c r="FQ151" s="220"/>
      <c r="FR151" s="220"/>
      <c r="FS151" s="220"/>
      <c r="FT151" s="220"/>
      <c r="FU151" s="220"/>
      <c r="FV151" s="220"/>
      <c r="FW151" s="220"/>
      <c r="FX151" s="220"/>
      <c r="FY151" s="220"/>
      <c r="FZ151" s="220"/>
      <c r="GA151" s="220"/>
      <c r="GB151" s="220"/>
      <c r="GC151" s="220"/>
      <c r="GD151" s="220"/>
      <c r="GE151" s="220"/>
      <c r="GF151" s="220"/>
      <c r="GG151" s="220"/>
      <c r="GH151" s="220"/>
      <c r="GI151" s="220"/>
      <c r="GJ151" s="220"/>
      <c r="GK151" s="220"/>
      <c r="GL151" s="220"/>
      <c r="GM151" s="220"/>
      <c r="GN151" s="220"/>
      <c r="GO151" s="220"/>
      <c r="GP151" s="220"/>
      <c r="GQ151" s="220"/>
      <c r="GR151" s="220"/>
      <c r="GS151" s="220"/>
      <c r="GT151" s="220"/>
      <c r="GU151" s="220"/>
      <c r="GV151" s="220"/>
      <c r="GW151" s="220"/>
      <c r="GX151" s="220"/>
      <c r="GY151" s="221"/>
      <c r="GZ151" s="219"/>
      <c r="HA151" s="220"/>
      <c r="HB151" s="220"/>
      <c r="HC151" s="220"/>
      <c r="HD151" s="221"/>
      <c r="HI151" s="187"/>
      <c r="HJ151" s="188"/>
      <c r="HK151" s="188"/>
      <c r="HL151" s="188"/>
      <c r="HM151" s="188"/>
      <c r="HN151" s="188"/>
      <c r="HO151" s="188"/>
      <c r="HP151" s="188"/>
      <c r="HQ151" s="188"/>
      <c r="HR151" s="188"/>
      <c r="HS151" s="188"/>
      <c r="HT151" s="188"/>
      <c r="HU151" s="188"/>
      <c r="HV151" s="188"/>
      <c r="HW151" s="188"/>
      <c r="HX151" s="188"/>
      <c r="HY151" s="188"/>
      <c r="HZ151" s="188"/>
      <c r="IA151" s="188"/>
      <c r="IB151" s="188"/>
      <c r="IC151" s="188"/>
      <c r="ID151" s="188"/>
      <c r="IE151" s="188"/>
      <c r="IF151" s="188"/>
      <c r="IG151" s="188"/>
      <c r="IH151" s="188"/>
      <c r="II151" s="188"/>
      <c r="IJ151" s="188"/>
      <c r="IK151" s="188"/>
      <c r="IL151" s="188"/>
      <c r="IM151" s="188"/>
      <c r="IN151" s="188"/>
      <c r="IO151" s="188"/>
      <c r="IP151" s="188"/>
      <c r="IQ151" s="188"/>
      <c r="IR151" s="188"/>
      <c r="IS151" s="188"/>
      <c r="IT151" s="188"/>
      <c r="IU151" s="188"/>
      <c r="IV151" s="189"/>
      <c r="IW151" s="187"/>
      <c r="IX151" s="188"/>
      <c r="IY151" s="188"/>
      <c r="IZ151" s="188"/>
      <c r="JA151" s="188"/>
      <c r="JB151" s="189"/>
      <c r="JC151" s="19"/>
      <c r="JG151" s="154"/>
      <c r="JN151" s="16"/>
      <c r="JQ151" s="187"/>
      <c r="JR151" s="188"/>
      <c r="JS151" s="188"/>
      <c r="JT151" s="188"/>
      <c r="JU151" s="188"/>
      <c r="JV151" s="188"/>
      <c r="JW151" s="188"/>
      <c r="JX151" s="188"/>
      <c r="JY151" s="188"/>
      <c r="JZ151" s="188"/>
      <c r="KA151" s="188"/>
      <c r="KB151" s="188"/>
      <c r="KC151" s="188"/>
      <c r="KD151" s="188"/>
      <c r="KE151" s="188"/>
      <c r="KF151" s="188"/>
      <c r="KG151" s="188"/>
      <c r="KH151" s="188"/>
      <c r="KI151" s="188"/>
      <c r="KJ151" s="188"/>
      <c r="KK151" s="188"/>
      <c r="KL151" s="188"/>
      <c r="KM151" s="188"/>
      <c r="KN151" s="188"/>
      <c r="KO151" s="188"/>
      <c r="KP151" s="188"/>
      <c r="KQ151" s="188"/>
      <c r="KR151" s="188"/>
      <c r="KS151" s="188"/>
      <c r="KT151" s="188"/>
      <c r="KU151" s="188"/>
      <c r="KV151" s="188"/>
      <c r="KW151" s="188"/>
      <c r="KX151" s="188"/>
      <c r="KY151" s="188"/>
      <c r="KZ151" s="188"/>
      <c r="LA151" s="188"/>
      <c r="LB151" s="188"/>
      <c r="LC151" s="188"/>
      <c r="LD151" s="188"/>
      <c r="LE151" s="189"/>
      <c r="LF151" s="187"/>
      <c r="LG151" s="188"/>
      <c r="LH151" s="188"/>
      <c r="LI151" s="188"/>
      <c r="LJ151" s="189"/>
      <c r="LQ151" s="12"/>
      <c r="LR151" s="7"/>
      <c r="LS151" s="3"/>
      <c r="LT151" s="3"/>
      <c r="LU151" s="3"/>
      <c r="LV151" s="3"/>
      <c r="LW151" s="2"/>
      <c r="MK151" s="3"/>
      <c r="ML151" s="3"/>
      <c r="MM151" s="3"/>
      <c r="MN151" s="3"/>
      <c r="MO151" s="3"/>
      <c r="MP151" s="2"/>
    </row>
    <row r="152" spans="3:354" ht="5.0999999999999996" customHeight="1" x14ac:dyDescent="0.3">
      <c r="C152" s="11"/>
      <c r="D152" s="13"/>
      <c r="Q152" s="187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E152" s="189"/>
      <c r="BF152" s="187"/>
      <c r="BG152" s="188"/>
      <c r="BH152" s="188"/>
      <c r="BI152" s="188"/>
      <c r="BJ152" s="189"/>
      <c r="BQ152" s="219"/>
      <c r="BR152" s="220"/>
      <c r="BS152" s="220"/>
      <c r="BT152" s="220"/>
      <c r="BU152" s="220"/>
      <c r="BV152" s="220"/>
      <c r="BW152" s="220"/>
      <c r="BX152" s="220"/>
      <c r="BY152" s="220"/>
      <c r="BZ152" s="220"/>
      <c r="CA152" s="220"/>
      <c r="CB152" s="220"/>
      <c r="CC152" s="220"/>
      <c r="CD152" s="220"/>
      <c r="CE152" s="220"/>
      <c r="CF152" s="220"/>
      <c r="CG152" s="220"/>
      <c r="CH152" s="220"/>
      <c r="CI152" s="220"/>
      <c r="CJ152" s="220"/>
      <c r="CK152" s="220"/>
      <c r="CL152" s="220"/>
      <c r="CM152" s="220"/>
      <c r="CN152" s="220"/>
      <c r="CO152" s="220"/>
      <c r="CP152" s="220"/>
      <c r="CQ152" s="220"/>
      <c r="CR152" s="220"/>
      <c r="CS152" s="220"/>
      <c r="CT152" s="220"/>
      <c r="CU152" s="220"/>
      <c r="CV152" s="220"/>
      <c r="CW152" s="220"/>
      <c r="CX152" s="220"/>
      <c r="CY152" s="220"/>
      <c r="CZ152" s="220"/>
      <c r="DA152" s="220"/>
      <c r="DB152" s="220"/>
      <c r="DC152" s="220"/>
      <c r="DD152" s="221"/>
      <c r="DE152" s="219"/>
      <c r="DF152" s="220"/>
      <c r="DG152" s="220"/>
      <c r="DH152" s="220"/>
      <c r="DI152" s="221"/>
      <c r="DO152" s="219"/>
      <c r="DP152" s="220"/>
      <c r="DQ152" s="220"/>
      <c r="DR152" s="220"/>
      <c r="DS152" s="220"/>
      <c r="DT152" s="220"/>
      <c r="DU152" s="220"/>
      <c r="DV152" s="220"/>
      <c r="DW152" s="220"/>
      <c r="DX152" s="220"/>
      <c r="DY152" s="220"/>
      <c r="DZ152" s="220"/>
      <c r="EA152" s="220"/>
      <c r="EB152" s="220"/>
      <c r="EC152" s="220"/>
      <c r="ED152" s="220"/>
      <c r="EE152" s="220"/>
      <c r="EF152" s="220"/>
      <c r="EG152" s="220"/>
      <c r="EH152" s="220"/>
      <c r="EI152" s="220"/>
      <c r="EJ152" s="220"/>
      <c r="EK152" s="220"/>
      <c r="EL152" s="220"/>
      <c r="EM152" s="220"/>
      <c r="EN152" s="220"/>
      <c r="EO152" s="220"/>
      <c r="EP152" s="220"/>
      <c r="EQ152" s="220"/>
      <c r="ER152" s="220"/>
      <c r="ES152" s="220"/>
      <c r="ET152" s="220"/>
      <c r="EU152" s="220"/>
      <c r="EV152" s="220"/>
      <c r="EW152" s="220"/>
      <c r="EX152" s="220"/>
      <c r="EY152" s="220"/>
      <c r="EZ152" s="220"/>
      <c r="FA152" s="220"/>
      <c r="FB152" s="221"/>
      <c r="FC152" s="219"/>
      <c r="FD152" s="220"/>
      <c r="FE152" s="220"/>
      <c r="FF152" s="220"/>
      <c r="FG152" s="221"/>
      <c r="FL152" s="219"/>
      <c r="FM152" s="220"/>
      <c r="FN152" s="220"/>
      <c r="FO152" s="220"/>
      <c r="FP152" s="220"/>
      <c r="FQ152" s="220"/>
      <c r="FR152" s="220"/>
      <c r="FS152" s="220"/>
      <c r="FT152" s="220"/>
      <c r="FU152" s="220"/>
      <c r="FV152" s="220"/>
      <c r="FW152" s="220"/>
      <c r="FX152" s="220"/>
      <c r="FY152" s="220"/>
      <c r="FZ152" s="220"/>
      <c r="GA152" s="220"/>
      <c r="GB152" s="220"/>
      <c r="GC152" s="220"/>
      <c r="GD152" s="220"/>
      <c r="GE152" s="220"/>
      <c r="GF152" s="220"/>
      <c r="GG152" s="220"/>
      <c r="GH152" s="220"/>
      <c r="GI152" s="220"/>
      <c r="GJ152" s="220"/>
      <c r="GK152" s="220"/>
      <c r="GL152" s="220"/>
      <c r="GM152" s="220"/>
      <c r="GN152" s="220"/>
      <c r="GO152" s="220"/>
      <c r="GP152" s="220"/>
      <c r="GQ152" s="220"/>
      <c r="GR152" s="220"/>
      <c r="GS152" s="220"/>
      <c r="GT152" s="220"/>
      <c r="GU152" s="220"/>
      <c r="GV152" s="220"/>
      <c r="GW152" s="220"/>
      <c r="GX152" s="220"/>
      <c r="GY152" s="221"/>
      <c r="GZ152" s="219"/>
      <c r="HA152" s="220"/>
      <c r="HB152" s="220"/>
      <c r="HC152" s="220"/>
      <c r="HD152" s="221"/>
      <c r="HI152" s="187"/>
      <c r="HJ152" s="188"/>
      <c r="HK152" s="188"/>
      <c r="HL152" s="188"/>
      <c r="HM152" s="188"/>
      <c r="HN152" s="188"/>
      <c r="HO152" s="188"/>
      <c r="HP152" s="188"/>
      <c r="HQ152" s="188"/>
      <c r="HR152" s="188"/>
      <c r="HS152" s="188"/>
      <c r="HT152" s="188"/>
      <c r="HU152" s="188"/>
      <c r="HV152" s="188"/>
      <c r="HW152" s="188"/>
      <c r="HX152" s="188"/>
      <c r="HY152" s="188"/>
      <c r="HZ152" s="188"/>
      <c r="IA152" s="188"/>
      <c r="IB152" s="188"/>
      <c r="IC152" s="188"/>
      <c r="ID152" s="188"/>
      <c r="IE152" s="188"/>
      <c r="IF152" s="188"/>
      <c r="IG152" s="188"/>
      <c r="IH152" s="188"/>
      <c r="II152" s="188"/>
      <c r="IJ152" s="188"/>
      <c r="IK152" s="188"/>
      <c r="IL152" s="188"/>
      <c r="IM152" s="188"/>
      <c r="IN152" s="188"/>
      <c r="IO152" s="188"/>
      <c r="IP152" s="188"/>
      <c r="IQ152" s="188"/>
      <c r="IR152" s="188"/>
      <c r="IS152" s="188"/>
      <c r="IT152" s="188"/>
      <c r="IU152" s="188"/>
      <c r="IV152" s="189"/>
      <c r="IW152" s="187"/>
      <c r="IX152" s="188"/>
      <c r="IY152" s="188"/>
      <c r="IZ152" s="188"/>
      <c r="JA152" s="188"/>
      <c r="JB152" s="189"/>
      <c r="JC152" s="19"/>
      <c r="JG152" s="154"/>
      <c r="JN152" s="16"/>
      <c r="JQ152" s="187"/>
      <c r="JR152" s="188"/>
      <c r="JS152" s="188"/>
      <c r="JT152" s="188"/>
      <c r="JU152" s="188"/>
      <c r="JV152" s="188"/>
      <c r="JW152" s="188"/>
      <c r="JX152" s="188"/>
      <c r="JY152" s="188"/>
      <c r="JZ152" s="188"/>
      <c r="KA152" s="188"/>
      <c r="KB152" s="188"/>
      <c r="KC152" s="188"/>
      <c r="KD152" s="188"/>
      <c r="KE152" s="188"/>
      <c r="KF152" s="188"/>
      <c r="KG152" s="188"/>
      <c r="KH152" s="188"/>
      <c r="KI152" s="188"/>
      <c r="KJ152" s="188"/>
      <c r="KK152" s="188"/>
      <c r="KL152" s="188"/>
      <c r="KM152" s="188"/>
      <c r="KN152" s="188"/>
      <c r="KO152" s="188"/>
      <c r="KP152" s="188"/>
      <c r="KQ152" s="188"/>
      <c r="KR152" s="188"/>
      <c r="KS152" s="188"/>
      <c r="KT152" s="188"/>
      <c r="KU152" s="188"/>
      <c r="KV152" s="188"/>
      <c r="KW152" s="188"/>
      <c r="KX152" s="188"/>
      <c r="KY152" s="188"/>
      <c r="KZ152" s="188"/>
      <c r="LA152" s="188"/>
      <c r="LB152" s="188"/>
      <c r="LC152" s="188"/>
      <c r="LD152" s="188"/>
      <c r="LE152" s="189"/>
      <c r="LF152" s="187"/>
      <c r="LG152" s="188"/>
      <c r="LH152" s="188"/>
      <c r="LI152" s="188"/>
      <c r="LJ152" s="189"/>
      <c r="LQ152" s="12"/>
      <c r="LR152" s="7"/>
      <c r="LS152" s="3"/>
      <c r="LT152" s="3"/>
      <c r="LU152" s="3"/>
      <c r="LV152" s="3"/>
      <c r="LW152" s="2"/>
      <c r="MK152" s="3"/>
      <c r="ML152" s="3"/>
      <c r="MM152" s="3"/>
      <c r="MN152" s="3"/>
      <c r="MO152" s="3"/>
      <c r="MP152" s="2"/>
    </row>
    <row r="153" spans="3:354" ht="5.0999999999999996" customHeight="1" x14ac:dyDescent="0.3">
      <c r="C153" s="11"/>
      <c r="D153" s="13"/>
      <c r="Q153" s="187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E153" s="189"/>
      <c r="BF153" s="187"/>
      <c r="BG153" s="188"/>
      <c r="BH153" s="188"/>
      <c r="BI153" s="188"/>
      <c r="BJ153" s="189"/>
      <c r="BQ153" s="219"/>
      <c r="BR153" s="220"/>
      <c r="BS153" s="220"/>
      <c r="BT153" s="220"/>
      <c r="BU153" s="220"/>
      <c r="BV153" s="220"/>
      <c r="BW153" s="220"/>
      <c r="BX153" s="220"/>
      <c r="BY153" s="220"/>
      <c r="BZ153" s="220"/>
      <c r="CA153" s="220"/>
      <c r="CB153" s="220"/>
      <c r="CC153" s="220"/>
      <c r="CD153" s="220"/>
      <c r="CE153" s="220"/>
      <c r="CF153" s="220"/>
      <c r="CG153" s="220"/>
      <c r="CH153" s="220"/>
      <c r="CI153" s="220"/>
      <c r="CJ153" s="220"/>
      <c r="CK153" s="220"/>
      <c r="CL153" s="220"/>
      <c r="CM153" s="220"/>
      <c r="CN153" s="220"/>
      <c r="CO153" s="220"/>
      <c r="CP153" s="220"/>
      <c r="CQ153" s="220"/>
      <c r="CR153" s="220"/>
      <c r="CS153" s="220"/>
      <c r="CT153" s="220"/>
      <c r="CU153" s="220"/>
      <c r="CV153" s="220"/>
      <c r="CW153" s="220"/>
      <c r="CX153" s="220"/>
      <c r="CY153" s="220"/>
      <c r="CZ153" s="220"/>
      <c r="DA153" s="220"/>
      <c r="DB153" s="220"/>
      <c r="DC153" s="220"/>
      <c r="DD153" s="221"/>
      <c r="DE153" s="219"/>
      <c r="DF153" s="220"/>
      <c r="DG153" s="220"/>
      <c r="DH153" s="220"/>
      <c r="DI153" s="221"/>
      <c r="DO153" s="219"/>
      <c r="DP153" s="220"/>
      <c r="DQ153" s="220"/>
      <c r="DR153" s="220"/>
      <c r="DS153" s="220"/>
      <c r="DT153" s="220"/>
      <c r="DU153" s="220"/>
      <c r="DV153" s="220"/>
      <c r="DW153" s="220"/>
      <c r="DX153" s="220"/>
      <c r="DY153" s="220"/>
      <c r="DZ153" s="220"/>
      <c r="EA153" s="220"/>
      <c r="EB153" s="220"/>
      <c r="EC153" s="220"/>
      <c r="ED153" s="220"/>
      <c r="EE153" s="220"/>
      <c r="EF153" s="220"/>
      <c r="EG153" s="220"/>
      <c r="EH153" s="220"/>
      <c r="EI153" s="220"/>
      <c r="EJ153" s="220"/>
      <c r="EK153" s="220"/>
      <c r="EL153" s="220"/>
      <c r="EM153" s="220"/>
      <c r="EN153" s="220"/>
      <c r="EO153" s="220"/>
      <c r="EP153" s="220"/>
      <c r="EQ153" s="220"/>
      <c r="ER153" s="220"/>
      <c r="ES153" s="220"/>
      <c r="ET153" s="220"/>
      <c r="EU153" s="220"/>
      <c r="EV153" s="220"/>
      <c r="EW153" s="220"/>
      <c r="EX153" s="220"/>
      <c r="EY153" s="220"/>
      <c r="EZ153" s="220"/>
      <c r="FA153" s="220"/>
      <c r="FB153" s="221"/>
      <c r="FC153" s="219"/>
      <c r="FD153" s="220"/>
      <c r="FE153" s="220"/>
      <c r="FF153" s="220"/>
      <c r="FG153" s="221"/>
      <c r="FL153" s="219"/>
      <c r="FM153" s="220"/>
      <c r="FN153" s="220"/>
      <c r="FO153" s="220"/>
      <c r="FP153" s="220"/>
      <c r="FQ153" s="220"/>
      <c r="FR153" s="220"/>
      <c r="FS153" s="220"/>
      <c r="FT153" s="220"/>
      <c r="FU153" s="220"/>
      <c r="FV153" s="220"/>
      <c r="FW153" s="220"/>
      <c r="FX153" s="220"/>
      <c r="FY153" s="220"/>
      <c r="FZ153" s="220"/>
      <c r="GA153" s="220"/>
      <c r="GB153" s="220"/>
      <c r="GC153" s="220"/>
      <c r="GD153" s="220"/>
      <c r="GE153" s="220"/>
      <c r="GF153" s="220"/>
      <c r="GG153" s="220"/>
      <c r="GH153" s="220"/>
      <c r="GI153" s="220"/>
      <c r="GJ153" s="220"/>
      <c r="GK153" s="220"/>
      <c r="GL153" s="220"/>
      <c r="GM153" s="220"/>
      <c r="GN153" s="220"/>
      <c r="GO153" s="220"/>
      <c r="GP153" s="220"/>
      <c r="GQ153" s="220"/>
      <c r="GR153" s="220"/>
      <c r="GS153" s="220"/>
      <c r="GT153" s="220"/>
      <c r="GU153" s="220"/>
      <c r="GV153" s="220"/>
      <c r="GW153" s="220"/>
      <c r="GX153" s="220"/>
      <c r="GY153" s="221"/>
      <c r="GZ153" s="219"/>
      <c r="HA153" s="220"/>
      <c r="HB153" s="220"/>
      <c r="HC153" s="220"/>
      <c r="HD153" s="221"/>
      <c r="HI153" s="187"/>
      <c r="HJ153" s="188"/>
      <c r="HK153" s="188"/>
      <c r="HL153" s="188"/>
      <c r="HM153" s="188"/>
      <c r="HN153" s="188"/>
      <c r="HO153" s="188"/>
      <c r="HP153" s="188"/>
      <c r="HQ153" s="188"/>
      <c r="HR153" s="188"/>
      <c r="HS153" s="188"/>
      <c r="HT153" s="188"/>
      <c r="HU153" s="188"/>
      <c r="HV153" s="188"/>
      <c r="HW153" s="188"/>
      <c r="HX153" s="188"/>
      <c r="HY153" s="188"/>
      <c r="HZ153" s="188"/>
      <c r="IA153" s="188"/>
      <c r="IB153" s="188"/>
      <c r="IC153" s="188"/>
      <c r="ID153" s="188"/>
      <c r="IE153" s="188"/>
      <c r="IF153" s="188"/>
      <c r="IG153" s="188"/>
      <c r="IH153" s="188"/>
      <c r="II153" s="188"/>
      <c r="IJ153" s="188"/>
      <c r="IK153" s="188"/>
      <c r="IL153" s="188"/>
      <c r="IM153" s="188"/>
      <c r="IN153" s="188"/>
      <c r="IO153" s="188"/>
      <c r="IP153" s="188"/>
      <c r="IQ153" s="188"/>
      <c r="IR153" s="188"/>
      <c r="IS153" s="188"/>
      <c r="IT153" s="188"/>
      <c r="IU153" s="188"/>
      <c r="IV153" s="189"/>
      <c r="IW153" s="187"/>
      <c r="IX153" s="188"/>
      <c r="IY153" s="188"/>
      <c r="IZ153" s="188"/>
      <c r="JA153" s="188"/>
      <c r="JB153" s="189"/>
      <c r="JC153" s="19"/>
      <c r="JG153" s="154"/>
      <c r="JN153" s="16"/>
      <c r="JQ153" s="187"/>
      <c r="JR153" s="188"/>
      <c r="JS153" s="188"/>
      <c r="JT153" s="188"/>
      <c r="JU153" s="188"/>
      <c r="JV153" s="188"/>
      <c r="JW153" s="188"/>
      <c r="JX153" s="188"/>
      <c r="JY153" s="188"/>
      <c r="JZ153" s="188"/>
      <c r="KA153" s="188"/>
      <c r="KB153" s="188"/>
      <c r="KC153" s="188"/>
      <c r="KD153" s="188"/>
      <c r="KE153" s="188"/>
      <c r="KF153" s="188"/>
      <c r="KG153" s="188"/>
      <c r="KH153" s="188"/>
      <c r="KI153" s="188"/>
      <c r="KJ153" s="188"/>
      <c r="KK153" s="188"/>
      <c r="KL153" s="188"/>
      <c r="KM153" s="188"/>
      <c r="KN153" s="188"/>
      <c r="KO153" s="188"/>
      <c r="KP153" s="188"/>
      <c r="KQ153" s="188"/>
      <c r="KR153" s="188"/>
      <c r="KS153" s="188"/>
      <c r="KT153" s="188"/>
      <c r="KU153" s="188"/>
      <c r="KV153" s="188"/>
      <c r="KW153" s="188"/>
      <c r="KX153" s="188"/>
      <c r="KY153" s="188"/>
      <c r="KZ153" s="188"/>
      <c r="LA153" s="188"/>
      <c r="LB153" s="188"/>
      <c r="LC153" s="188"/>
      <c r="LD153" s="188"/>
      <c r="LE153" s="189"/>
      <c r="LF153" s="187"/>
      <c r="LG153" s="188"/>
      <c r="LH153" s="188"/>
      <c r="LI153" s="188"/>
      <c r="LJ153" s="189"/>
      <c r="LQ153" s="12"/>
      <c r="LR153" s="7"/>
      <c r="LS153" s="3"/>
      <c r="LT153" s="3"/>
      <c r="LU153" s="3"/>
      <c r="LV153" s="3"/>
      <c r="LW153" s="2"/>
      <c r="MK153" s="3"/>
      <c r="ML153" s="3"/>
      <c r="MM153" s="3"/>
      <c r="MN153" s="3"/>
      <c r="MO153" s="3"/>
      <c r="MP153" s="2"/>
    </row>
    <row r="154" spans="3:354" ht="5.0999999999999996" customHeight="1" x14ac:dyDescent="0.3">
      <c r="C154" s="11"/>
      <c r="D154" s="13"/>
      <c r="Q154" s="187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E154" s="189"/>
      <c r="BF154" s="187"/>
      <c r="BG154" s="188"/>
      <c r="BH154" s="188"/>
      <c r="BI154" s="188"/>
      <c r="BJ154" s="189"/>
      <c r="BQ154" s="219"/>
      <c r="BR154" s="220"/>
      <c r="BS154" s="220"/>
      <c r="BT154" s="220"/>
      <c r="BU154" s="220"/>
      <c r="BV154" s="220"/>
      <c r="BW154" s="220"/>
      <c r="BX154" s="220"/>
      <c r="BY154" s="220"/>
      <c r="BZ154" s="220"/>
      <c r="CA154" s="220"/>
      <c r="CB154" s="220"/>
      <c r="CC154" s="220"/>
      <c r="CD154" s="220"/>
      <c r="CE154" s="220"/>
      <c r="CF154" s="220"/>
      <c r="CG154" s="220"/>
      <c r="CH154" s="220"/>
      <c r="CI154" s="220"/>
      <c r="CJ154" s="220"/>
      <c r="CK154" s="220"/>
      <c r="CL154" s="220"/>
      <c r="CM154" s="220"/>
      <c r="CN154" s="220"/>
      <c r="CO154" s="220"/>
      <c r="CP154" s="220"/>
      <c r="CQ154" s="220"/>
      <c r="CR154" s="220"/>
      <c r="CS154" s="220"/>
      <c r="CT154" s="220"/>
      <c r="CU154" s="220"/>
      <c r="CV154" s="220"/>
      <c r="CW154" s="220"/>
      <c r="CX154" s="220"/>
      <c r="CY154" s="220"/>
      <c r="CZ154" s="220"/>
      <c r="DA154" s="220"/>
      <c r="DB154" s="220"/>
      <c r="DC154" s="220"/>
      <c r="DD154" s="221"/>
      <c r="DE154" s="219"/>
      <c r="DF154" s="220"/>
      <c r="DG154" s="220"/>
      <c r="DH154" s="220"/>
      <c r="DI154" s="221"/>
      <c r="DO154" s="219"/>
      <c r="DP154" s="220"/>
      <c r="DQ154" s="220"/>
      <c r="DR154" s="220"/>
      <c r="DS154" s="220"/>
      <c r="DT154" s="220"/>
      <c r="DU154" s="220"/>
      <c r="DV154" s="220"/>
      <c r="DW154" s="220"/>
      <c r="DX154" s="220"/>
      <c r="DY154" s="220"/>
      <c r="DZ154" s="220"/>
      <c r="EA154" s="220"/>
      <c r="EB154" s="220"/>
      <c r="EC154" s="220"/>
      <c r="ED154" s="220"/>
      <c r="EE154" s="220"/>
      <c r="EF154" s="220"/>
      <c r="EG154" s="220"/>
      <c r="EH154" s="220"/>
      <c r="EI154" s="220"/>
      <c r="EJ154" s="220"/>
      <c r="EK154" s="220"/>
      <c r="EL154" s="220"/>
      <c r="EM154" s="220"/>
      <c r="EN154" s="220"/>
      <c r="EO154" s="220"/>
      <c r="EP154" s="220"/>
      <c r="EQ154" s="220"/>
      <c r="ER154" s="220"/>
      <c r="ES154" s="220"/>
      <c r="ET154" s="220"/>
      <c r="EU154" s="220"/>
      <c r="EV154" s="220"/>
      <c r="EW154" s="220"/>
      <c r="EX154" s="220"/>
      <c r="EY154" s="220"/>
      <c r="EZ154" s="220"/>
      <c r="FA154" s="220"/>
      <c r="FB154" s="221"/>
      <c r="FC154" s="219"/>
      <c r="FD154" s="220"/>
      <c r="FE154" s="220"/>
      <c r="FF154" s="220"/>
      <c r="FG154" s="221"/>
      <c r="FL154" s="219"/>
      <c r="FM154" s="220"/>
      <c r="FN154" s="220"/>
      <c r="FO154" s="220"/>
      <c r="FP154" s="220"/>
      <c r="FQ154" s="220"/>
      <c r="FR154" s="220"/>
      <c r="FS154" s="220"/>
      <c r="FT154" s="220"/>
      <c r="FU154" s="220"/>
      <c r="FV154" s="220"/>
      <c r="FW154" s="220"/>
      <c r="FX154" s="220"/>
      <c r="FY154" s="220"/>
      <c r="FZ154" s="220"/>
      <c r="GA154" s="220"/>
      <c r="GB154" s="220"/>
      <c r="GC154" s="220"/>
      <c r="GD154" s="220"/>
      <c r="GE154" s="220"/>
      <c r="GF154" s="220"/>
      <c r="GG154" s="220"/>
      <c r="GH154" s="220"/>
      <c r="GI154" s="220"/>
      <c r="GJ154" s="220"/>
      <c r="GK154" s="220"/>
      <c r="GL154" s="220"/>
      <c r="GM154" s="220"/>
      <c r="GN154" s="220"/>
      <c r="GO154" s="220"/>
      <c r="GP154" s="220"/>
      <c r="GQ154" s="220"/>
      <c r="GR154" s="220"/>
      <c r="GS154" s="220"/>
      <c r="GT154" s="220"/>
      <c r="GU154" s="220"/>
      <c r="GV154" s="220"/>
      <c r="GW154" s="220"/>
      <c r="GX154" s="220"/>
      <c r="GY154" s="221"/>
      <c r="GZ154" s="219"/>
      <c r="HA154" s="220"/>
      <c r="HB154" s="220"/>
      <c r="HC154" s="220"/>
      <c r="HD154" s="221"/>
      <c r="HI154" s="187"/>
      <c r="HJ154" s="188"/>
      <c r="HK154" s="188"/>
      <c r="HL154" s="188"/>
      <c r="HM154" s="188"/>
      <c r="HN154" s="188"/>
      <c r="HO154" s="188"/>
      <c r="HP154" s="188"/>
      <c r="HQ154" s="188"/>
      <c r="HR154" s="188"/>
      <c r="HS154" s="188"/>
      <c r="HT154" s="188"/>
      <c r="HU154" s="188"/>
      <c r="HV154" s="188"/>
      <c r="HW154" s="188"/>
      <c r="HX154" s="188"/>
      <c r="HY154" s="188"/>
      <c r="HZ154" s="188"/>
      <c r="IA154" s="188"/>
      <c r="IB154" s="188"/>
      <c r="IC154" s="188"/>
      <c r="ID154" s="188"/>
      <c r="IE154" s="188"/>
      <c r="IF154" s="188"/>
      <c r="IG154" s="188"/>
      <c r="IH154" s="188"/>
      <c r="II154" s="188"/>
      <c r="IJ154" s="188"/>
      <c r="IK154" s="188"/>
      <c r="IL154" s="188"/>
      <c r="IM154" s="188"/>
      <c r="IN154" s="188"/>
      <c r="IO154" s="188"/>
      <c r="IP154" s="188"/>
      <c r="IQ154" s="188"/>
      <c r="IR154" s="188"/>
      <c r="IS154" s="188"/>
      <c r="IT154" s="188"/>
      <c r="IU154" s="188"/>
      <c r="IV154" s="189"/>
      <c r="IW154" s="187"/>
      <c r="IX154" s="188"/>
      <c r="IY154" s="188"/>
      <c r="IZ154" s="188"/>
      <c r="JA154" s="188"/>
      <c r="JB154" s="189"/>
      <c r="JC154" s="19"/>
      <c r="JG154" s="154"/>
      <c r="JN154" s="16"/>
      <c r="JQ154" s="187"/>
      <c r="JR154" s="188"/>
      <c r="JS154" s="188"/>
      <c r="JT154" s="188"/>
      <c r="JU154" s="188"/>
      <c r="JV154" s="188"/>
      <c r="JW154" s="188"/>
      <c r="JX154" s="188"/>
      <c r="JY154" s="188"/>
      <c r="JZ154" s="188"/>
      <c r="KA154" s="188"/>
      <c r="KB154" s="188"/>
      <c r="KC154" s="188"/>
      <c r="KD154" s="188"/>
      <c r="KE154" s="188"/>
      <c r="KF154" s="188"/>
      <c r="KG154" s="188"/>
      <c r="KH154" s="188"/>
      <c r="KI154" s="188"/>
      <c r="KJ154" s="188"/>
      <c r="KK154" s="188"/>
      <c r="KL154" s="188"/>
      <c r="KM154" s="188"/>
      <c r="KN154" s="188"/>
      <c r="KO154" s="188"/>
      <c r="KP154" s="188"/>
      <c r="KQ154" s="188"/>
      <c r="KR154" s="188"/>
      <c r="KS154" s="188"/>
      <c r="KT154" s="188"/>
      <c r="KU154" s="188"/>
      <c r="KV154" s="188"/>
      <c r="KW154" s="188"/>
      <c r="KX154" s="188"/>
      <c r="KY154" s="188"/>
      <c r="KZ154" s="188"/>
      <c r="LA154" s="188"/>
      <c r="LB154" s="188"/>
      <c r="LC154" s="188"/>
      <c r="LD154" s="188"/>
      <c r="LE154" s="189"/>
      <c r="LF154" s="187"/>
      <c r="LG154" s="188"/>
      <c r="LH154" s="188"/>
      <c r="LI154" s="188"/>
      <c r="LJ154" s="189"/>
      <c r="LQ154" s="12"/>
      <c r="LR154" s="7"/>
      <c r="LS154" s="3"/>
      <c r="LT154" s="3"/>
      <c r="LU154" s="3"/>
      <c r="LV154" s="3"/>
      <c r="LW154" s="2"/>
      <c r="MK154" s="3"/>
      <c r="ML154" s="3"/>
      <c r="MM154" s="3"/>
      <c r="MN154" s="3"/>
      <c r="MO154" s="3"/>
      <c r="MP154" s="2"/>
    </row>
    <row r="155" spans="3:354" ht="5.0999999999999996" customHeight="1" x14ac:dyDescent="0.3">
      <c r="C155" s="11"/>
      <c r="D155" s="13"/>
      <c r="Q155" s="187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9"/>
      <c r="BF155" s="187"/>
      <c r="BG155" s="188"/>
      <c r="BH155" s="188"/>
      <c r="BI155" s="188"/>
      <c r="BJ155" s="189"/>
      <c r="BQ155" s="219"/>
      <c r="BR155" s="220"/>
      <c r="BS155" s="220"/>
      <c r="BT155" s="220"/>
      <c r="BU155" s="220"/>
      <c r="BV155" s="220"/>
      <c r="BW155" s="220"/>
      <c r="BX155" s="220"/>
      <c r="BY155" s="220"/>
      <c r="BZ155" s="220"/>
      <c r="CA155" s="220"/>
      <c r="CB155" s="220"/>
      <c r="CC155" s="220"/>
      <c r="CD155" s="220"/>
      <c r="CE155" s="220"/>
      <c r="CF155" s="220"/>
      <c r="CG155" s="220"/>
      <c r="CH155" s="220"/>
      <c r="CI155" s="220"/>
      <c r="CJ155" s="220"/>
      <c r="CK155" s="220"/>
      <c r="CL155" s="220"/>
      <c r="CM155" s="220"/>
      <c r="CN155" s="220"/>
      <c r="CO155" s="220"/>
      <c r="CP155" s="220"/>
      <c r="CQ155" s="220"/>
      <c r="CR155" s="220"/>
      <c r="CS155" s="220"/>
      <c r="CT155" s="220"/>
      <c r="CU155" s="220"/>
      <c r="CV155" s="220"/>
      <c r="CW155" s="220"/>
      <c r="CX155" s="220"/>
      <c r="CY155" s="220"/>
      <c r="CZ155" s="220"/>
      <c r="DA155" s="220"/>
      <c r="DB155" s="220"/>
      <c r="DC155" s="220"/>
      <c r="DD155" s="221"/>
      <c r="DE155" s="219"/>
      <c r="DF155" s="220"/>
      <c r="DG155" s="220"/>
      <c r="DH155" s="220"/>
      <c r="DI155" s="221"/>
      <c r="DO155" s="219"/>
      <c r="DP155" s="220"/>
      <c r="DQ155" s="220"/>
      <c r="DR155" s="220"/>
      <c r="DS155" s="220"/>
      <c r="DT155" s="220"/>
      <c r="DU155" s="220"/>
      <c r="DV155" s="220"/>
      <c r="DW155" s="220"/>
      <c r="DX155" s="220"/>
      <c r="DY155" s="220"/>
      <c r="DZ155" s="220"/>
      <c r="EA155" s="220"/>
      <c r="EB155" s="220"/>
      <c r="EC155" s="220"/>
      <c r="ED155" s="220"/>
      <c r="EE155" s="220"/>
      <c r="EF155" s="220"/>
      <c r="EG155" s="220"/>
      <c r="EH155" s="220"/>
      <c r="EI155" s="220"/>
      <c r="EJ155" s="220"/>
      <c r="EK155" s="220"/>
      <c r="EL155" s="220"/>
      <c r="EM155" s="220"/>
      <c r="EN155" s="220"/>
      <c r="EO155" s="220"/>
      <c r="EP155" s="220"/>
      <c r="EQ155" s="220"/>
      <c r="ER155" s="220"/>
      <c r="ES155" s="220"/>
      <c r="ET155" s="220"/>
      <c r="EU155" s="220"/>
      <c r="EV155" s="220"/>
      <c r="EW155" s="220"/>
      <c r="EX155" s="220"/>
      <c r="EY155" s="220"/>
      <c r="EZ155" s="220"/>
      <c r="FA155" s="220"/>
      <c r="FB155" s="221"/>
      <c r="FC155" s="219"/>
      <c r="FD155" s="220"/>
      <c r="FE155" s="220"/>
      <c r="FF155" s="220"/>
      <c r="FG155" s="221"/>
      <c r="FL155" s="219"/>
      <c r="FM155" s="220"/>
      <c r="FN155" s="220"/>
      <c r="FO155" s="220"/>
      <c r="FP155" s="220"/>
      <c r="FQ155" s="220"/>
      <c r="FR155" s="220"/>
      <c r="FS155" s="220"/>
      <c r="FT155" s="220"/>
      <c r="FU155" s="220"/>
      <c r="FV155" s="220"/>
      <c r="FW155" s="220"/>
      <c r="FX155" s="220"/>
      <c r="FY155" s="220"/>
      <c r="FZ155" s="220"/>
      <c r="GA155" s="220"/>
      <c r="GB155" s="220"/>
      <c r="GC155" s="220"/>
      <c r="GD155" s="220"/>
      <c r="GE155" s="220"/>
      <c r="GF155" s="220"/>
      <c r="GG155" s="220"/>
      <c r="GH155" s="220"/>
      <c r="GI155" s="220"/>
      <c r="GJ155" s="220"/>
      <c r="GK155" s="220"/>
      <c r="GL155" s="220"/>
      <c r="GM155" s="220"/>
      <c r="GN155" s="220"/>
      <c r="GO155" s="220"/>
      <c r="GP155" s="220"/>
      <c r="GQ155" s="220"/>
      <c r="GR155" s="220"/>
      <c r="GS155" s="220"/>
      <c r="GT155" s="220"/>
      <c r="GU155" s="220"/>
      <c r="GV155" s="220"/>
      <c r="GW155" s="220"/>
      <c r="GX155" s="220"/>
      <c r="GY155" s="221"/>
      <c r="GZ155" s="219"/>
      <c r="HA155" s="220"/>
      <c r="HB155" s="220"/>
      <c r="HC155" s="220"/>
      <c r="HD155" s="221"/>
      <c r="HI155" s="187"/>
      <c r="HJ155" s="188"/>
      <c r="HK155" s="188"/>
      <c r="HL155" s="188"/>
      <c r="HM155" s="188"/>
      <c r="HN155" s="188"/>
      <c r="HO155" s="188"/>
      <c r="HP155" s="188"/>
      <c r="HQ155" s="188"/>
      <c r="HR155" s="188"/>
      <c r="HS155" s="188"/>
      <c r="HT155" s="188"/>
      <c r="HU155" s="188"/>
      <c r="HV155" s="188"/>
      <c r="HW155" s="188"/>
      <c r="HX155" s="188"/>
      <c r="HY155" s="188"/>
      <c r="HZ155" s="188"/>
      <c r="IA155" s="188"/>
      <c r="IB155" s="188"/>
      <c r="IC155" s="188"/>
      <c r="ID155" s="188"/>
      <c r="IE155" s="188"/>
      <c r="IF155" s="188"/>
      <c r="IG155" s="188"/>
      <c r="IH155" s="188"/>
      <c r="II155" s="188"/>
      <c r="IJ155" s="188"/>
      <c r="IK155" s="188"/>
      <c r="IL155" s="188"/>
      <c r="IM155" s="188"/>
      <c r="IN155" s="188"/>
      <c r="IO155" s="188"/>
      <c r="IP155" s="188"/>
      <c r="IQ155" s="188"/>
      <c r="IR155" s="188"/>
      <c r="IS155" s="188"/>
      <c r="IT155" s="188"/>
      <c r="IU155" s="188"/>
      <c r="IV155" s="189"/>
      <c r="IW155" s="187"/>
      <c r="IX155" s="188"/>
      <c r="IY155" s="188"/>
      <c r="IZ155" s="188"/>
      <c r="JA155" s="188"/>
      <c r="JB155" s="189"/>
      <c r="JC155" s="19"/>
      <c r="JG155" s="154"/>
      <c r="JN155" s="16"/>
      <c r="JQ155" s="187"/>
      <c r="JR155" s="188"/>
      <c r="JS155" s="188"/>
      <c r="JT155" s="188"/>
      <c r="JU155" s="188"/>
      <c r="JV155" s="188"/>
      <c r="JW155" s="188"/>
      <c r="JX155" s="188"/>
      <c r="JY155" s="188"/>
      <c r="JZ155" s="188"/>
      <c r="KA155" s="188"/>
      <c r="KB155" s="188"/>
      <c r="KC155" s="188"/>
      <c r="KD155" s="188"/>
      <c r="KE155" s="188"/>
      <c r="KF155" s="188"/>
      <c r="KG155" s="188"/>
      <c r="KH155" s="188"/>
      <c r="KI155" s="188"/>
      <c r="KJ155" s="188"/>
      <c r="KK155" s="188"/>
      <c r="KL155" s="188"/>
      <c r="KM155" s="188"/>
      <c r="KN155" s="188"/>
      <c r="KO155" s="188"/>
      <c r="KP155" s="188"/>
      <c r="KQ155" s="188"/>
      <c r="KR155" s="188"/>
      <c r="KS155" s="188"/>
      <c r="KT155" s="188"/>
      <c r="KU155" s="188"/>
      <c r="KV155" s="188"/>
      <c r="KW155" s="188"/>
      <c r="KX155" s="188"/>
      <c r="KY155" s="188"/>
      <c r="KZ155" s="188"/>
      <c r="LA155" s="188"/>
      <c r="LB155" s="188"/>
      <c r="LC155" s="188"/>
      <c r="LD155" s="188"/>
      <c r="LE155" s="189"/>
      <c r="LF155" s="187"/>
      <c r="LG155" s="188"/>
      <c r="LH155" s="188"/>
      <c r="LI155" s="188"/>
      <c r="LJ155" s="189"/>
      <c r="LQ155" s="12"/>
      <c r="LR155" s="7"/>
      <c r="LS155" s="3"/>
      <c r="LT155" s="3"/>
      <c r="LU155" s="3"/>
      <c r="LV155" s="3"/>
      <c r="LW155" s="2"/>
      <c r="MK155" s="3"/>
      <c r="ML155" s="3"/>
      <c r="MM155" s="3"/>
      <c r="MN155" s="3"/>
      <c r="MO155" s="3"/>
      <c r="MP155" s="2"/>
    </row>
    <row r="156" spans="3:354" ht="5.0999999999999996" customHeight="1" x14ac:dyDescent="0.3">
      <c r="C156" s="11"/>
      <c r="D156" s="13"/>
      <c r="Q156" s="187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E156" s="189"/>
      <c r="BF156" s="187"/>
      <c r="BG156" s="188"/>
      <c r="BH156" s="188"/>
      <c r="BI156" s="188"/>
      <c r="BJ156" s="189"/>
      <c r="BQ156" s="222"/>
      <c r="BR156" s="223"/>
      <c r="BS156" s="223"/>
      <c r="BT156" s="223"/>
      <c r="BU156" s="223"/>
      <c r="BV156" s="223"/>
      <c r="BW156" s="223"/>
      <c r="BX156" s="223"/>
      <c r="BY156" s="223"/>
      <c r="BZ156" s="223"/>
      <c r="CA156" s="223"/>
      <c r="CB156" s="223"/>
      <c r="CC156" s="223"/>
      <c r="CD156" s="223"/>
      <c r="CE156" s="223"/>
      <c r="CF156" s="223"/>
      <c r="CG156" s="223"/>
      <c r="CH156" s="223"/>
      <c r="CI156" s="223"/>
      <c r="CJ156" s="223"/>
      <c r="CK156" s="223"/>
      <c r="CL156" s="223"/>
      <c r="CM156" s="223"/>
      <c r="CN156" s="223"/>
      <c r="CO156" s="223"/>
      <c r="CP156" s="223"/>
      <c r="CQ156" s="223"/>
      <c r="CR156" s="223"/>
      <c r="CS156" s="223"/>
      <c r="CT156" s="223"/>
      <c r="CU156" s="223"/>
      <c r="CV156" s="223"/>
      <c r="CW156" s="223"/>
      <c r="CX156" s="223"/>
      <c r="CY156" s="223"/>
      <c r="CZ156" s="223"/>
      <c r="DA156" s="223"/>
      <c r="DB156" s="223"/>
      <c r="DC156" s="223"/>
      <c r="DD156" s="224"/>
      <c r="DE156" s="222"/>
      <c r="DF156" s="223"/>
      <c r="DG156" s="223"/>
      <c r="DH156" s="223"/>
      <c r="DI156" s="224"/>
      <c r="DO156" s="222"/>
      <c r="DP156" s="223"/>
      <c r="DQ156" s="223"/>
      <c r="DR156" s="223"/>
      <c r="DS156" s="223"/>
      <c r="DT156" s="223"/>
      <c r="DU156" s="223"/>
      <c r="DV156" s="223"/>
      <c r="DW156" s="223"/>
      <c r="DX156" s="223"/>
      <c r="DY156" s="223"/>
      <c r="DZ156" s="223"/>
      <c r="EA156" s="223"/>
      <c r="EB156" s="223"/>
      <c r="EC156" s="223"/>
      <c r="ED156" s="223"/>
      <c r="EE156" s="223"/>
      <c r="EF156" s="223"/>
      <c r="EG156" s="223"/>
      <c r="EH156" s="223"/>
      <c r="EI156" s="223"/>
      <c r="EJ156" s="223"/>
      <c r="EK156" s="223"/>
      <c r="EL156" s="223"/>
      <c r="EM156" s="223"/>
      <c r="EN156" s="223"/>
      <c r="EO156" s="223"/>
      <c r="EP156" s="223"/>
      <c r="EQ156" s="223"/>
      <c r="ER156" s="223"/>
      <c r="ES156" s="223"/>
      <c r="ET156" s="223"/>
      <c r="EU156" s="223"/>
      <c r="EV156" s="223"/>
      <c r="EW156" s="223"/>
      <c r="EX156" s="223"/>
      <c r="EY156" s="223"/>
      <c r="EZ156" s="223"/>
      <c r="FA156" s="223"/>
      <c r="FB156" s="224"/>
      <c r="FC156" s="222"/>
      <c r="FD156" s="223"/>
      <c r="FE156" s="223"/>
      <c r="FF156" s="223"/>
      <c r="FG156" s="224"/>
      <c r="FL156" s="222"/>
      <c r="FM156" s="223"/>
      <c r="FN156" s="223"/>
      <c r="FO156" s="223"/>
      <c r="FP156" s="223"/>
      <c r="FQ156" s="223"/>
      <c r="FR156" s="223"/>
      <c r="FS156" s="223"/>
      <c r="FT156" s="223"/>
      <c r="FU156" s="223"/>
      <c r="FV156" s="223"/>
      <c r="FW156" s="223"/>
      <c r="FX156" s="223"/>
      <c r="FY156" s="223"/>
      <c r="FZ156" s="223"/>
      <c r="GA156" s="223"/>
      <c r="GB156" s="223"/>
      <c r="GC156" s="223"/>
      <c r="GD156" s="223"/>
      <c r="GE156" s="223"/>
      <c r="GF156" s="223"/>
      <c r="GG156" s="223"/>
      <c r="GH156" s="223"/>
      <c r="GI156" s="223"/>
      <c r="GJ156" s="223"/>
      <c r="GK156" s="223"/>
      <c r="GL156" s="223"/>
      <c r="GM156" s="223"/>
      <c r="GN156" s="223"/>
      <c r="GO156" s="223"/>
      <c r="GP156" s="223"/>
      <c r="GQ156" s="223"/>
      <c r="GR156" s="223"/>
      <c r="GS156" s="223"/>
      <c r="GT156" s="223"/>
      <c r="GU156" s="223"/>
      <c r="GV156" s="223"/>
      <c r="GW156" s="223"/>
      <c r="GX156" s="223"/>
      <c r="GY156" s="224"/>
      <c r="GZ156" s="222"/>
      <c r="HA156" s="223"/>
      <c r="HB156" s="223"/>
      <c r="HC156" s="223"/>
      <c r="HD156" s="224"/>
      <c r="HI156" s="187"/>
      <c r="HJ156" s="188"/>
      <c r="HK156" s="188"/>
      <c r="HL156" s="188"/>
      <c r="HM156" s="188"/>
      <c r="HN156" s="188"/>
      <c r="HO156" s="188"/>
      <c r="HP156" s="188"/>
      <c r="HQ156" s="188"/>
      <c r="HR156" s="188"/>
      <c r="HS156" s="188"/>
      <c r="HT156" s="188"/>
      <c r="HU156" s="188"/>
      <c r="HV156" s="188"/>
      <c r="HW156" s="188"/>
      <c r="HX156" s="188"/>
      <c r="HY156" s="188"/>
      <c r="HZ156" s="188"/>
      <c r="IA156" s="188"/>
      <c r="IB156" s="188"/>
      <c r="IC156" s="188"/>
      <c r="ID156" s="188"/>
      <c r="IE156" s="188"/>
      <c r="IF156" s="188"/>
      <c r="IG156" s="188"/>
      <c r="IH156" s="188"/>
      <c r="II156" s="188"/>
      <c r="IJ156" s="188"/>
      <c r="IK156" s="188"/>
      <c r="IL156" s="188"/>
      <c r="IM156" s="188"/>
      <c r="IN156" s="188"/>
      <c r="IO156" s="188"/>
      <c r="IP156" s="188"/>
      <c r="IQ156" s="188"/>
      <c r="IR156" s="188"/>
      <c r="IS156" s="188"/>
      <c r="IT156" s="188"/>
      <c r="IU156" s="188"/>
      <c r="IV156" s="189"/>
      <c r="IW156" s="187"/>
      <c r="IX156" s="188"/>
      <c r="IY156" s="188"/>
      <c r="IZ156" s="188"/>
      <c r="JA156" s="188"/>
      <c r="JB156" s="189"/>
      <c r="JC156" s="19"/>
      <c r="JG156" s="154"/>
      <c r="JN156" s="16"/>
      <c r="JQ156" s="187"/>
      <c r="JR156" s="188"/>
      <c r="JS156" s="188"/>
      <c r="JT156" s="188"/>
      <c r="JU156" s="188"/>
      <c r="JV156" s="188"/>
      <c r="JW156" s="188"/>
      <c r="JX156" s="188"/>
      <c r="JY156" s="188"/>
      <c r="JZ156" s="188"/>
      <c r="KA156" s="188"/>
      <c r="KB156" s="188"/>
      <c r="KC156" s="188"/>
      <c r="KD156" s="188"/>
      <c r="KE156" s="188"/>
      <c r="KF156" s="188"/>
      <c r="KG156" s="188"/>
      <c r="KH156" s="188"/>
      <c r="KI156" s="188"/>
      <c r="KJ156" s="188"/>
      <c r="KK156" s="188"/>
      <c r="KL156" s="188"/>
      <c r="KM156" s="188"/>
      <c r="KN156" s="188"/>
      <c r="KO156" s="188"/>
      <c r="KP156" s="188"/>
      <c r="KQ156" s="188"/>
      <c r="KR156" s="188"/>
      <c r="KS156" s="188"/>
      <c r="KT156" s="188"/>
      <c r="KU156" s="188"/>
      <c r="KV156" s="188"/>
      <c r="KW156" s="188"/>
      <c r="KX156" s="188"/>
      <c r="KY156" s="188"/>
      <c r="KZ156" s="188"/>
      <c r="LA156" s="188"/>
      <c r="LB156" s="188"/>
      <c r="LC156" s="188"/>
      <c r="LD156" s="188"/>
      <c r="LE156" s="189"/>
      <c r="LF156" s="187"/>
      <c r="LG156" s="188"/>
      <c r="LH156" s="188"/>
      <c r="LI156" s="188"/>
      <c r="LJ156" s="189"/>
      <c r="LQ156" s="12"/>
      <c r="LR156" s="7"/>
      <c r="LS156" s="3"/>
      <c r="LT156" s="3"/>
      <c r="LU156" s="3"/>
      <c r="LV156" s="3"/>
      <c r="LW156" s="2"/>
      <c r="MK156" s="3"/>
      <c r="ML156" s="3"/>
      <c r="MM156" s="3"/>
      <c r="MN156" s="3"/>
      <c r="MO156" s="3"/>
      <c r="MP156" s="2"/>
    </row>
    <row r="157" spans="3:354" ht="5.0999999999999996" customHeight="1" x14ac:dyDescent="0.3">
      <c r="C157" s="11"/>
      <c r="D157" s="13"/>
      <c r="Q157" s="187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E157" s="189"/>
      <c r="BF157" s="187"/>
      <c r="BG157" s="188"/>
      <c r="BH157" s="188"/>
      <c r="BI157" s="188"/>
      <c r="BJ157" s="189"/>
      <c r="CN157" s="17"/>
      <c r="CO157" s="18"/>
      <c r="EL157" s="17"/>
      <c r="EM157" s="18"/>
      <c r="GI157" s="17"/>
      <c r="HI157" s="187"/>
      <c r="HJ157" s="188"/>
      <c r="HK157" s="188"/>
      <c r="HL157" s="188"/>
      <c r="HM157" s="188"/>
      <c r="HN157" s="188"/>
      <c r="HO157" s="188"/>
      <c r="HP157" s="188"/>
      <c r="HQ157" s="188"/>
      <c r="HR157" s="188"/>
      <c r="HS157" s="188"/>
      <c r="HT157" s="188"/>
      <c r="HU157" s="188"/>
      <c r="HV157" s="188"/>
      <c r="HW157" s="188"/>
      <c r="HX157" s="188"/>
      <c r="HY157" s="188"/>
      <c r="HZ157" s="188"/>
      <c r="IA157" s="188"/>
      <c r="IB157" s="188"/>
      <c r="IC157" s="188"/>
      <c r="ID157" s="188"/>
      <c r="IE157" s="188"/>
      <c r="IF157" s="188"/>
      <c r="IG157" s="188"/>
      <c r="IH157" s="188"/>
      <c r="II157" s="188"/>
      <c r="IJ157" s="188"/>
      <c r="IK157" s="188"/>
      <c r="IL157" s="188"/>
      <c r="IM157" s="188"/>
      <c r="IN157" s="188"/>
      <c r="IO157" s="188"/>
      <c r="IP157" s="188"/>
      <c r="IQ157" s="188"/>
      <c r="IR157" s="188"/>
      <c r="IS157" s="188"/>
      <c r="IT157" s="188"/>
      <c r="IU157" s="188"/>
      <c r="IV157" s="189"/>
      <c r="IW157" s="187"/>
      <c r="IX157" s="188"/>
      <c r="IY157" s="188"/>
      <c r="IZ157" s="188"/>
      <c r="JA157" s="188"/>
      <c r="JB157" s="189"/>
      <c r="JC157" s="19"/>
      <c r="JG157" s="154"/>
      <c r="JN157" s="16"/>
      <c r="JQ157" s="187"/>
      <c r="JR157" s="188"/>
      <c r="JS157" s="188"/>
      <c r="JT157" s="188"/>
      <c r="JU157" s="188"/>
      <c r="JV157" s="188"/>
      <c r="JW157" s="188"/>
      <c r="JX157" s="188"/>
      <c r="JY157" s="188"/>
      <c r="JZ157" s="188"/>
      <c r="KA157" s="188"/>
      <c r="KB157" s="188"/>
      <c r="KC157" s="188"/>
      <c r="KD157" s="188"/>
      <c r="KE157" s="188"/>
      <c r="KF157" s="188"/>
      <c r="KG157" s="188"/>
      <c r="KH157" s="188"/>
      <c r="KI157" s="188"/>
      <c r="KJ157" s="188"/>
      <c r="KK157" s="188"/>
      <c r="KL157" s="188"/>
      <c r="KM157" s="188"/>
      <c r="KN157" s="188"/>
      <c r="KO157" s="188"/>
      <c r="KP157" s="188"/>
      <c r="KQ157" s="188"/>
      <c r="KR157" s="188"/>
      <c r="KS157" s="188"/>
      <c r="KT157" s="188"/>
      <c r="KU157" s="188"/>
      <c r="KV157" s="188"/>
      <c r="KW157" s="188"/>
      <c r="KX157" s="188"/>
      <c r="KY157" s="188"/>
      <c r="KZ157" s="188"/>
      <c r="LA157" s="188"/>
      <c r="LB157" s="188"/>
      <c r="LC157" s="188"/>
      <c r="LD157" s="188"/>
      <c r="LE157" s="189"/>
      <c r="LF157" s="187"/>
      <c r="LG157" s="188"/>
      <c r="LH157" s="188"/>
      <c r="LI157" s="188"/>
      <c r="LJ157" s="189"/>
      <c r="LQ157" s="12"/>
      <c r="LR157" s="7"/>
      <c r="LS157" s="3"/>
      <c r="LT157" s="3"/>
      <c r="LU157" s="3"/>
      <c r="LV157" s="3"/>
      <c r="LW157" s="2"/>
      <c r="MK157" s="3"/>
      <c r="ML157" s="3"/>
      <c r="MM157" s="3"/>
      <c r="MN157" s="3"/>
      <c r="MO157" s="3"/>
      <c r="MP157" s="2"/>
    </row>
    <row r="158" spans="3:354" ht="5.0999999999999996" customHeight="1" x14ac:dyDescent="0.3">
      <c r="C158" s="11"/>
      <c r="D158" s="13"/>
      <c r="Q158" s="187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9"/>
      <c r="BF158" s="187"/>
      <c r="BG158" s="188"/>
      <c r="BH158" s="188"/>
      <c r="BI158" s="188"/>
      <c r="BJ158" s="189"/>
      <c r="CN158" s="16"/>
      <c r="EL158" s="16"/>
      <c r="GI158" s="16"/>
      <c r="HI158" s="190"/>
      <c r="HJ158" s="191"/>
      <c r="HK158" s="191"/>
      <c r="HL158" s="191"/>
      <c r="HM158" s="191"/>
      <c r="HN158" s="191"/>
      <c r="HO158" s="191"/>
      <c r="HP158" s="191"/>
      <c r="HQ158" s="191"/>
      <c r="HR158" s="191"/>
      <c r="HS158" s="191"/>
      <c r="HT158" s="191"/>
      <c r="HU158" s="191"/>
      <c r="HV158" s="191"/>
      <c r="HW158" s="191"/>
      <c r="HX158" s="191"/>
      <c r="HY158" s="191"/>
      <c r="HZ158" s="191"/>
      <c r="IA158" s="191"/>
      <c r="IB158" s="191"/>
      <c r="IC158" s="191"/>
      <c r="ID158" s="191"/>
      <c r="IE158" s="191"/>
      <c r="IF158" s="191"/>
      <c r="IG158" s="191"/>
      <c r="IH158" s="191"/>
      <c r="II158" s="191"/>
      <c r="IJ158" s="191"/>
      <c r="IK158" s="191"/>
      <c r="IL158" s="191"/>
      <c r="IM158" s="191"/>
      <c r="IN158" s="191"/>
      <c r="IO158" s="191"/>
      <c r="IP158" s="191"/>
      <c r="IQ158" s="191"/>
      <c r="IR158" s="191"/>
      <c r="IS158" s="191"/>
      <c r="IT158" s="191"/>
      <c r="IU158" s="191"/>
      <c r="IV158" s="192"/>
      <c r="IW158" s="190"/>
      <c r="IX158" s="191"/>
      <c r="IY158" s="191"/>
      <c r="IZ158" s="191"/>
      <c r="JA158" s="191"/>
      <c r="JB158" s="192"/>
      <c r="JC158" s="19"/>
      <c r="JG158" s="154"/>
      <c r="JN158" s="16"/>
      <c r="JQ158" s="187"/>
      <c r="JR158" s="188"/>
      <c r="JS158" s="188"/>
      <c r="JT158" s="188"/>
      <c r="JU158" s="188"/>
      <c r="JV158" s="188"/>
      <c r="JW158" s="188"/>
      <c r="JX158" s="188"/>
      <c r="JY158" s="188"/>
      <c r="JZ158" s="188"/>
      <c r="KA158" s="188"/>
      <c r="KB158" s="188"/>
      <c r="KC158" s="188"/>
      <c r="KD158" s="188"/>
      <c r="KE158" s="188"/>
      <c r="KF158" s="188"/>
      <c r="KG158" s="188"/>
      <c r="KH158" s="188"/>
      <c r="KI158" s="188"/>
      <c r="KJ158" s="188"/>
      <c r="KK158" s="188"/>
      <c r="KL158" s="188"/>
      <c r="KM158" s="188"/>
      <c r="KN158" s="188"/>
      <c r="KO158" s="188"/>
      <c r="KP158" s="188"/>
      <c r="KQ158" s="188"/>
      <c r="KR158" s="188"/>
      <c r="KS158" s="188"/>
      <c r="KT158" s="188"/>
      <c r="KU158" s="188"/>
      <c r="KV158" s="188"/>
      <c r="KW158" s="188"/>
      <c r="KX158" s="188"/>
      <c r="KY158" s="188"/>
      <c r="KZ158" s="188"/>
      <c r="LA158" s="188"/>
      <c r="LB158" s="188"/>
      <c r="LC158" s="188"/>
      <c r="LD158" s="188"/>
      <c r="LE158" s="189"/>
      <c r="LF158" s="187"/>
      <c r="LG158" s="188"/>
      <c r="LH158" s="188"/>
      <c r="LI158" s="188"/>
      <c r="LJ158" s="189"/>
      <c r="LQ158" s="12"/>
      <c r="LR158" s="7"/>
      <c r="LS158" s="3"/>
      <c r="LT158" s="3"/>
      <c r="LU158" s="3"/>
      <c r="LV158" s="3"/>
      <c r="LW158" s="2"/>
      <c r="MK158" s="3"/>
      <c r="ML158" s="3"/>
      <c r="MM158" s="3"/>
      <c r="MN158" s="3"/>
      <c r="MO158" s="3"/>
      <c r="MP158" s="2"/>
    </row>
    <row r="159" spans="3:354" ht="5.0999999999999996" customHeight="1" x14ac:dyDescent="0.3">
      <c r="C159" s="11"/>
      <c r="D159" s="13"/>
      <c r="Q159" s="187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9"/>
      <c r="BF159" s="187"/>
      <c r="BG159" s="188"/>
      <c r="BH159" s="188"/>
      <c r="BI159" s="188"/>
      <c r="BJ159" s="189"/>
      <c r="CN159" s="16"/>
      <c r="EL159" s="16"/>
      <c r="GI159" s="16"/>
      <c r="JC159" s="19"/>
      <c r="JG159" s="154"/>
      <c r="JN159" s="16"/>
      <c r="JQ159" s="190"/>
      <c r="JR159" s="191"/>
      <c r="JS159" s="191"/>
      <c r="JT159" s="191"/>
      <c r="JU159" s="191"/>
      <c r="JV159" s="191"/>
      <c r="JW159" s="191"/>
      <c r="JX159" s="191"/>
      <c r="JY159" s="191"/>
      <c r="JZ159" s="191"/>
      <c r="KA159" s="191"/>
      <c r="KB159" s="191"/>
      <c r="KC159" s="191"/>
      <c r="KD159" s="191"/>
      <c r="KE159" s="191"/>
      <c r="KF159" s="191"/>
      <c r="KG159" s="191"/>
      <c r="KH159" s="191"/>
      <c r="KI159" s="191"/>
      <c r="KJ159" s="191"/>
      <c r="KK159" s="191"/>
      <c r="KL159" s="191"/>
      <c r="KM159" s="191"/>
      <c r="KN159" s="191"/>
      <c r="KO159" s="191"/>
      <c r="KP159" s="191"/>
      <c r="KQ159" s="191"/>
      <c r="KR159" s="191"/>
      <c r="KS159" s="191"/>
      <c r="KT159" s="191"/>
      <c r="KU159" s="191"/>
      <c r="KV159" s="191"/>
      <c r="KW159" s="191"/>
      <c r="KX159" s="191"/>
      <c r="KY159" s="191"/>
      <c r="KZ159" s="191"/>
      <c r="LA159" s="191"/>
      <c r="LB159" s="191"/>
      <c r="LC159" s="191"/>
      <c r="LD159" s="191"/>
      <c r="LE159" s="192"/>
      <c r="LF159" s="190"/>
      <c r="LG159" s="191"/>
      <c r="LH159" s="191"/>
      <c r="LI159" s="191"/>
      <c r="LJ159" s="192"/>
      <c r="LQ159" s="12"/>
      <c r="LR159" s="7"/>
      <c r="LS159" s="3"/>
      <c r="LT159" s="3"/>
      <c r="LU159" s="3"/>
      <c r="LV159" s="3"/>
      <c r="LW159" s="2"/>
      <c r="MK159" s="3"/>
      <c r="ML159" s="3"/>
      <c r="MM159" s="3"/>
      <c r="MN159" s="3"/>
      <c r="MO159" s="3"/>
      <c r="MP159" s="2"/>
    </row>
    <row r="160" spans="3:354" ht="5.0999999999999996" customHeight="1" x14ac:dyDescent="0.3">
      <c r="C160" s="11"/>
      <c r="D160" s="13"/>
      <c r="Q160" s="190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2"/>
      <c r="BF160" s="190"/>
      <c r="BG160" s="191"/>
      <c r="BH160" s="191"/>
      <c r="BI160" s="191"/>
      <c r="BJ160" s="192"/>
      <c r="CN160" s="15"/>
      <c r="CO160" s="9"/>
      <c r="EL160" s="15"/>
      <c r="EM160" s="9"/>
      <c r="GI160" s="15"/>
      <c r="JC160" s="19"/>
      <c r="JG160" s="154"/>
      <c r="JN160" s="16"/>
      <c r="JQ160" s="184" t="s">
        <v>45</v>
      </c>
      <c r="JR160" s="185"/>
      <c r="JS160" s="185"/>
      <c r="JT160" s="185"/>
      <c r="JU160" s="185"/>
      <c r="JV160" s="185"/>
      <c r="JW160" s="185"/>
      <c r="JX160" s="185"/>
      <c r="JY160" s="185"/>
      <c r="JZ160" s="185"/>
      <c r="KA160" s="185"/>
      <c r="KB160" s="185"/>
      <c r="KC160" s="185"/>
      <c r="KD160" s="185"/>
      <c r="KE160" s="185"/>
      <c r="KF160" s="185"/>
      <c r="KG160" s="185"/>
      <c r="KH160" s="185"/>
      <c r="KI160" s="185"/>
      <c r="KJ160" s="185"/>
      <c r="KK160" s="185"/>
      <c r="KL160" s="185"/>
      <c r="KM160" s="185"/>
      <c r="KN160" s="185"/>
      <c r="KO160" s="185"/>
      <c r="KP160" s="185"/>
      <c r="KQ160" s="185"/>
      <c r="KR160" s="185"/>
      <c r="KS160" s="185"/>
      <c r="KT160" s="185"/>
      <c r="KU160" s="185"/>
      <c r="KV160" s="185"/>
      <c r="KW160" s="185"/>
      <c r="KX160" s="185"/>
      <c r="KY160" s="185"/>
      <c r="KZ160" s="185"/>
      <c r="LA160" s="185"/>
      <c r="LB160" s="185"/>
      <c r="LC160" s="185"/>
      <c r="LD160" s="185"/>
      <c r="LE160" s="186"/>
      <c r="LF160" s="184">
        <v>2</v>
      </c>
      <c r="LG160" s="185"/>
      <c r="LH160" s="185"/>
      <c r="LI160" s="185"/>
      <c r="LJ160" s="186"/>
      <c r="LQ160" s="12"/>
      <c r="LR160" s="7"/>
      <c r="LS160" s="3"/>
      <c r="LT160" s="3"/>
      <c r="LU160" s="3"/>
      <c r="LV160" s="3"/>
      <c r="LW160" s="2"/>
      <c r="MK160" s="3"/>
      <c r="ML160" s="3"/>
      <c r="MM160" s="3"/>
      <c r="MN160" s="3"/>
      <c r="MO160" s="3"/>
      <c r="MP160" s="2"/>
    </row>
    <row r="161" spans="3:354" ht="5.0999999999999996" customHeight="1" x14ac:dyDescent="0.3">
      <c r="C161" s="11"/>
      <c r="D161" s="13"/>
      <c r="Q161" s="184" t="s">
        <v>44</v>
      </c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6"/>
      <c r="BF161" s="184">
        <v>3</v>
      </c>
      <c r="BG161" s="185"/>
      <c r="BH161" s="185"/>
      <c r="BI161" s="185"/>
      <c r="BJ161" s="186"/>
      <c r="BQ161" s="184" t="s">
        <v>66</v>
      </c>
      <c r="BR161" s="185"/>
      <c r="BS161" s="185"/>
      <c r="BT161" s="185"/>
      <c r="BU161" s="185"/>
      <c r="BV161" s="185"/>
      <c r="BW161" s="185"/>
      <c r="BX161" s="185"/>
      <c r="BY161" s="185"/>
      <c r="BZ161" s="185"/>
      <c r="CA161" s="185"/>
      <c r="CB161" s="185"/>
      <c r="CC161" s="185"/>
      <c r="CD161" s="185"/>
      <c r="CE161" s="185"/>
      <c r="CF161" s="185"/>
      <c r="CG161" s="185"/>
      <c r="CH161" s="185"/>
      <c r="CI161" s="185"/>
      <c r="CJ161" s="185"/>
      <c r="CK161" s="185"/>
      <c r="CL161" s="185"/>
      <c r="CM161" s="185"/>
      <c r="CN161" s="185"/>
      <c r="CO161" s="185"/>
      <c r="CP161" s="185"/>
      <c r="CQ161" s="185"/>
      <c r="CR161" s="185"/>
      <c r="CS161" s="185"/>
      <c r="CT161" s="185"/>
      <c r="CU161" s="185"/>
      <c r="CV161" s="185"/>
      <c r="CW161" s="185"/>
      <c r="CX161" s="185"/>
      <c r="CY161" s="185"/>
      <c r="CZ161" s="185"/>
      <c r="DA161" s="185"/>
      <c r="DB161" s="185"/>
      <c r="DC161" s="185">
        <v>4</v>
      </c>
      <c r="DD161" s="186"/>
      <c r="DE161" s="184">
        <v>4</v>
      </c>
      <c r="DF161" s="185"/>
      <c r="DG161" s="185"/>
      <c r="DH161" s="185"/>
      <c r="DI161" s="186"/>
      <c r="DO161" s="184" t="s">
        <v>51</v>
      </c>
      <c r="DP161" s="185"/>
      <c r="DQ161" s="185"/>
      <c r="DR161" s="185"/>
      <c r="DS161" s="185"/>
      <c r="DT161" s="185"/>
      <c r="DU161" s="185"/>
      <c r="DV161" s="185"/>
      <c r="DW161" s="185"/>
      <c r="DX161" s="185"/>
      <c r="DY161" s="185"/>
      <c r="DZ161" s="185"/>
      <c r="EA161" s="185"/>
      <c r="EB161" s="185"/>
      <c r="EC161" s="185"/>
      <c r="ED161" s="185"/>
      <c r="EE161" s="185"/>
      <c r="EF161" s="185"/>
      <c r="EG161" s="185"/>
      <c r="EH161" s="185"/>
      <c r="EI161" s="185"/>
      <c r="EJ161" s="185"/>
      <c r="EK161" s="185"/>
      <c r="EL161" s="185"/>
      <c r="EM161" s="185"/>
      <c r="EN161" s="185"/>
      <c r="EO161" s="185"/>
      <c r="EP161" s="185"/>
      <c r="EQ161" s="185"/>
      <c r="ER161" s="185"/>
      <c r="ES161" s="185"/>
      <c r="ET161" s="185"/>
      <c r="EU161" s="185"/>
      <c r="EV161" s="185"/>
      <c r="EW161" s="185"/>
      <c r="EX161" s="185"/>
      <c r="EY161" s="185"/>
      <c r="EZ161" s="185"/>
      <c r="FA161" s="185">
        <v>1</v>
      </c>
      <c r="FB161" s="186"/>
      <c r="FC161" s="184">
        <v>2</v>
      </c>
      <c r="FD161" s="185"/>
      <c r="FE161" s="185"/>
      <c r="FF161" s="185"/>
      <c r="FG161" s="186"/>
      <c r="FL161" s="184" t="s">
        <v>67</v>
      </c>
      <c r="FM161" s="185"/>
      <c r="FN161" s="185"/>
      <c r="FO161" s="185"/>
      <c r="FP161" s="185"/>
      <c r="FQ161" s="185"/>
      <c r="FR161" s="185"/>
      <c r="FS161" s="185"/>
      <c r="FT161" s="185"/>
      <c r="FU161" s="185"/>
      <c r="FV161" s="185"/>
      <c r="FW161" s="185"/>
      <c r="FX161" s="185"/>
      <c r="FY161" s="185"/>
      <c r="FZ161" s="185"/>
      <c r="GA161" s="185"/>
      <c r="GB161" s="185"/>
      <c r="GC161" s="185"/>
      <c r="GD161" s="185"/>
      <c r="GE161" s="185"/>
      <c r="GF161" s="185"/>
      <c r="GG161" s="185"/>
      <c r="GH161" s="185"/>
      <c r="GI161" s="185"/>
      <c r="GJ161" s="185"/>
      <c r="GK161" s="185"/>
      <c r="GL161" s="185"/>
      <c r="GM161" s="185"/>
      <c r="GN161" s="185"/>
      <c r="GO161" s="185"/>
      <c r="GP161" s="185"/>
      <c r="GQ161" s="185"/>
      <c r="GR161" s="185"/>
      <c r="GS161" s="185"/>
      <c r="GT161" s="185"/>
      <c r="GU161" s="185"/>
      <c r="GV161" s="185"/>
      <c r="GW161" s="185"/>
      <c r="GX161" s="185"/>
      <c r="GY161" s="186"/>
      <c r="GZ161" s="184">
        <v>0</v>
      </c>
      <c r="HA161" s="185"/>
      <c r="HB161" s="185"/>
      <c r="HC161" s="185"/>
      <c r="HD161" s="186"/>
      <c r="HI161" s="195" t="s">
        <v>36</v>
      </c>
      <c r="HJ161" s="196"/>
      <c r="HK161" s="196"/>
      <c r="HL161" s="196"/>
      <c r="HM161" s="196"/>
      <c r="HN161" s="196"/>
      <c r="HO161" s="196"/>
      <c r="HP161" s="196"/>
      <c r="HQ161" s="196"/>
      <c r="HR161" s="196"/>
      <c r="HS161" s="196"/>
      <c r="HT161" s="196"/>
      <c r="HU161" s="196"/>
      <c r="HV161" s="196"/>
      <c r="HW161" s="196"/>
      <c r="HX161" s="196"/>
      <c r="HY161" s="196"/>
      <c r="HZ161" s="196"/>
      <c r="IA161" s="196"/>
      <c r="IB161" s="196"/>
      <c r="IC161" s="196"/>
      <c r="ID161" s="196"/>
      <c r="IE161" s="196"/>
      <c r="IF161" s="196"/>
      <c r="IG161" s="196"/>
      <c r="IH161" s="196"/>
      <c r="II161" s="196"/>
      <c r="IJ161" s="196"/>
      <c r="IK161" s="196"/>
      <c r="IL161" s="196"/>
      <c r="IM161" s="196"/>
      <c r="IN161" s="196"/>
      <c r="IO161" s="196"/>
      <c r="IP161" s="196"/>
      <c r="IQ161" s="196"/>
      <c r="IR161" s="196"/>
      <c r="IS161" s="196"/>
      <c r="IT161" s="196"/>
      <c r="IU161" s="196"/>
      <c r="IV161" s="196"/>
      <c r="IW161" s="204">
        <f>IW171</f>
        <v>2</v>
      </c>
      <c r="IX161" s="204"/>
      <c r="IY161" s="204"/>
      <c r="IZ161" s="204"/>
      <c r="JA161" s="204"/>
      <c r="JB161" s="204"/>
      <c r="JC161" s="19"/>
      <c r="JG161" s="154"/>
      <c r="JN161" s="16"/>
      <c r="JQ161" s="187"/>
      <c r="JR161" s="188"/>
      <c r="JS161" s="188"/>
      <c r="JT161" s="188"/>
      <c r="JU161" s="188"/>
      <c r="JV161" s="188"/>
      <c r="JW161" s="188"/>
      <c r="JX161" s="188"/>
      <c r="JY161" s="188"/>
      <c r="JZ161" s="188"/>
      <c r="KA161" s="188"/>
      <c r="KB161" s="188"/>
      <c r="KC161" s="188"/>
      <c r="KD161" s="188"/>
      <c r="KE161" s="188"/>
      <c r="KF161" s="188"/>
      <c r="KG161" s="188"/>
      <c r="KH161" s="188"/>
      <c r="KI161" s="188"/>
      <c r="KJ161" s="188"/>
      <c r="KK161" s="188"/>
      <c r="KL161" s="188"/>
      <c r="KM161" s="188"/>
      <c r="KN161" s="188"/>
      <c r="KO161" s="188"/>
      <c r="KP161" s="188"/>
      <c r="KQ161" s="188"/>
      <c r="KR161" s="188"/>
      <c r="KS161" s="188"/>
      <c r="KT161" s="188"/>
      <c r="KU161" s="188"/>
      <c r="KV161" s="188"/>
      <c r="KW161" s="188"/>
      <c r="KX161" s="188"/>
      <c r="KY161" s="188"/>
      <c r="KZ161" s="188"/>
      <c r="LA161" s="188"/>
      <c r="LB161" s="188"/>
      <c r="LC161" s="188"/>
      <c r="LD161" s="188"/>
      <c r="LE161" s="189"/>
      <c r="LF161" s="187"/>
      <c r="LG161" s="188"/>
      <c r="LH161" s="188"/>
      <c r="LI161" s="188"/>
      <c r="LJ161" s="189"/>
      <c r="LQ161" s="12"/>
      <c r="LR161" s="7"/>
      <c r="LS161" s="3"/>
      <c r="LT161" s="3"/>
      <c r="LU161" s="3"/>
      <c r="LV161" s="3"/>
      <c r="LW161" s="2"/>
      <c r="MK161" s="3"/>
      <c r="ML161" s="3"/>
      <c r="MM161" s="3"/>
      <c r="MN161" s="3"/>
      <c r="MO161" s="3"/>
      <c r="MP161" s="2"/>
    </row>
    <row r="162" spans="3:354" ht="5.0999999999999996" customHeight="1" x14ac:dyDescent="0.3">
      <c r="C162" s="11"/>
      <c r="D162" s="13"/>
      <c r="Q162" s="187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E162" s="189"/>
      <c r="BF162" s="187"/>
      <c r="BG162" s="188"/>
      <c r="BH162" s="188"/>
      <c r="BI162" s="188"/>
      <c r="BJ162" s="189"/>
      <c r="BQ162" s="187"/>
      <c r="BR162" s="188"/>
      <c r="BS162" s="188"/>
      <c r="BT162" s="188"/>
      <c r="BU162" s="188"/>
      <c r="BV162" s="188"/>
      <c r="BW162" s="188"/>
      <c r="BX162" s="188"/>
      <c r="BY162" s="188"/>
      <c r="BZ162" s="188"/>
      <c r="CA162" s="188"/>
      <c r="CB162" s="188"/>
      <c r="CC162" s="188"/>
      <c r="CD162" s="188"/>
      <c r="CE162" s="188"/>
      <c r="CF162" s="188"/>
      <c r="CG162" s="188"/>
      <c r="CH162" s="188"/>
      <c r="CI162" s="188"/>
      <c r="CJ162" s="188"/>
      <c r="CK162" s="188"/>
      <c r="CL162" s="188"/>
      <c r="CM162" s="188"/>
      <c r="CN162" s="188"/>
      <c r="CO162" s="188"/>
      <c r="CP162" s="188"/>
      <c r="CQ162" s="188"/>
      <c r="CR162" s="188"/>
      <c r="CS162" s="188"/>
      <c r="CT162" s="188"/>
      <c r="CU162" s="188"/>
      <c r="CV162" s="188"/>
      <c r="CW162" s="188"/>
      <c r="CX162" s="188"/>
      <c r="CY162" s="188"/>
      <c r="CZ162" s="188"/>
      <c r="DA162" s="188"/>
      <c r="DB162" s="188"/>
      <c r="DC162" s="188"/>
      <c r="DD162" s="189"/>
      <c r="DE162" s="187"/>
      <c r="DF162" s="188"/>
      <c r="DG162" s="188"/>
      <c r="DH162" s="188"/>
      <c r="DI162" s="189"/>
      <c r="DO162" s="187"/>
      <c r="DP162" s="188"/>
      <c r="DQ162" s="188"/>
      <c r="DR162" s="188"/>
      <c r="DS162" s="188"/>
      <c r="DT162" s="188"/>
      <c r="DU162" s="188"/>
      <c r="DV162" s="188"/>
      <c r="DW162" s="188"/>
      <c r="DX162" s="188"/>
      <c r="DY162" s="188"/>
      <c r="DZ162" s="188"/>
      <c r="EA162" s="188"/>
      <c r="EB162" s="188"/>
      <c r="EC162" s="188"/>
      <c r="ED162" s="188"/>
      <c r="EE162" s="188"/>
      <c r="EF162" s="188"/>
      <c r="EG162" s="188"/>
      <c r="EH162" s="188"/>
      <c r="EI162" s="188"/>
      <c r="EJ162" s="188"/>
      <c r="EK162" s="188"/>
      <c r="EL162" s="188"/>
      <c r="EM162" s="188"/>
      <c r="EN162" s="188"/>
      <c r="EO162" s="188"/>
      <c r="EP162" s="188"/>
      <c r="EQ162" s="188"/>
      <c r="ER162" s="188"/>
      <c r="ES162" s="188"/>
      <c r="ET162" s="188"/>
      <c r="EU162" s="188"/>
      <c r="EV162" s="188"/>
      <c r="EW162" s="188"/>
      <c r="EX162" s="188"/>
      <c r="EY162" s="188"/>
      <c r="EZ162" s="188"/>
      <c r="FA162" s="188"/>
      <c r="FB162" s="189"/>
      <c r="FC162" s="187"/>
      <c r="FD162" s="188"/>
      <c r="FE162" s="188"/>
      <c r="FF162" s="188"/>
      <c r="FG162" s="189"/>
      <c r="FL162" s="187"/>
      <c r="FM162" s="188"/>
      <c r="FN162" s="188"/>
      <c r="FO162" s="188"/>
      <c r="FP162" s="188"/>
      <c r="FQ162" s="188"/>
      <c r="FR162" s="188"/>
      <c r="FS162" s="188"/>
      <c r="FT162" s="188"/>
      <c r="FU162" s="188"/>
      <c r="FV162" s="188"/>
      <c r="FW162" s="188"/>
      <c r="FX162" s="188"/>
      <c r="FY162" s="188"/>
      <c r="FZ162" s="188"/>
      <c r="GA162" s="188"/>
      <c r="GB162" s="188"/>
      <c r="GC162" s="188"/>
      <c r="GD162" s="188"/>
      <c r="GE162" s="188"/>
      <c r="GF162" s="188"/>
      <c r="GG162" s="188"/>
      <c r="GH162" s="188"/>
      <c r="GI162" s="188"/>
      <c r="GJ162" s="188"/>
      <c r="GK162" s="188"/>
      <c r="GL162" s="188"/>
      <c r="GM162" s="188"/>
      <c r="GN162" s="188"/>
      <c r="GO162" s="188"/>
      <c r="GP162" s="188"/>
      <c r="GQ162" s="188"/>
      <c r="GR162" s="188"/>
      <c r="GS162" s="188"/>
      <c r="GT162" s="188"/>
      <c r="GU162" s="188"/>
      <c r="GV162" s="188"/>
      <c r="GW162" s="188"/>
      <c r="GX162" s="188"/>
      <c r="GY162" s="189"/>
      <c r="GZ162" s="187"/>
      <c r="HA162" s="188"/>
      <c r="HB162" s="188"/>
      <c r="HC162" s="188"/>
      <c r="HD162" s="189"/>
      <c r="HI162" s="198"/>
      <c r="HJ162" s="199"/>
      <c r="HK162" s="199"/>
      <c r="HL162" s="199"/>
      <c r="HM162" s="199"/>
      <c r="HN162" s="199"/>
      <c r="HO162" s="199"/>
      <c r="HP162" s="199"/>
      <c r="HQ162" s="199"/>
      <c r="HR162" s="199"/>
      <c r="HS162" s="199"/>
      <c r="HT162" s="199"/>
      <c r="HU162" s="199"/>
      <c r="HV162" s="199"/>
      <c r="HW162" s="199"/>
      <c r="HX162" s="199"/>
      <c r="HY162" s="199"/>
      <c r="HZ162" s="199"/>
      <c r="IA162" s="199"/>
      <c r="IB162" s="199"/>
      <c r="IC162" s="199"/>
      <c r="ID162" s="199"/>
      <c r="IE162" s="199"/>
      <c r="IF162" s="199"/>
      <c r="IG162" s="199"/>
      <c r="IH162" s="199"/>
      <c r="II162" s="199"/>
      <c r="IJ162" s="199"/>
      <c r="IK162" s="199"/>
      <c r="IL162" s="199"/>
      <c r="IM162" s="199"/>
      <c r="IN162" s="199"/>
      <c r="IO162" s="199"/>
      <c r="IP162" s="199"/>
      <c r="IQ162" s="199"/>
      <c r="IR162" s="199"/>
      <c r="IS162" s="199"/>
      <c r="IT162" s="199"/>
      <c r="IU162" s="199"/>
      <c r="IV162" s="199"/>
      <c r="IW162" s="204"/>
      <c r="IX162" s="204"/>
      <c r="IY162" s="204"/>
      <c r="IZ162" s="204"/>
      <c r="JA162" s="204"/>
      <c r="JB162" s="204"/>
      <c r="JC162" s="19"/>
      <c r="JG162" s="154"/>
      <c r="JN162" s="16"/>
      <c r="JQ162" s="187"/>
      <c r="JR162" s="188"/>
      <c r="JS162" s="188"/>
      <c r="JT162" s="188"/>
      <c r="JU162" s="188"/>
      <c r="JV162" s="188"/>
      <c r="JW162" s="188"/>
      <c r="JX162" s="188"/>
      <c r="JY162" s="188"/>
      <c r="JZ162" s="188"/>
      <c r="KA162" s="188"/>
      <c r="KB162" s="188"/>
      <c r="KC162" s="188"/>
      <c r="KD162" s="188"/>
      <c r="KE162" s="188"/>
      <c r="KF162" s="188"/>
      <c r="KG162" s="188"/>
      <c r="KH162" s="188"/>
      <c r="KI162" s="188"/>
      <c r="KJ162" s="188"/>
      <c r="KK162" s="188"/>
      <c r="KL162" s="188"/>
      <c r="KM162" s="188"/>
      <c r="KN162" s="188"/>
      <c r="KO162" s="188"/>
      <c r="KP162" s="188"/>
      <c r="KQ162" s="188"/>
      <c r="KR162" s="188"/>
      <c r="KS162" s="188"/>
      <c r="KT162" s="188"/>
      <c r="KU162" s="188"/>
      <c r="KV162" s="188"/>
      <c r="KW162" s="188"/>
      <c r="KX162" s="188"/>
      <c r="KY162" s="188"/>
      <c r="KZ162" s="188"/>
      <c r="LA162" s="188"/>
      <c r="LB162" s="188"/>
      <c r="LC162" s="188"/>
      <c r="LD162" s="188"/>
      <c r="LE162" s="189"/>
      <c r="LF162" s="187"/>
      <c r="LG162" s="188"/>
      <c r="LH162" s="188"/>
      <c r="LI162" s="188"/>
      <c r="LJ162" s="189"/>
      <c r="LQ162" s="12"/>
      <c r="LR162" s="7"/>
      <c r="LS162" s="3"/>
      <c r="LT162" s="3"/>
      <c r="LU162" s="3"/>
      <c r="LV162" s="3"/>
      <c r="LW162" s="2"/>
      <c r="MK162" s="3"/>
      <c r="ML162" s="3"/>
      <c r="MM162" s="3"/>
      <c r="MN162" s="3"/>
      <c r="MO162" s="3"/>
      <c r="MP162" s="2"/>
    </row>
    <row r="163" spans="3:354" ht="5.0999999999999996" customHeight="1" x14ac:dyDescent="0.3">
      <c r="C163" s="11"/>
      <c r="D163" s="13"/>
      <c r="Q163" s="187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  <c r="BD163" s="188"/>
      <c r="BE163" s="189"/>
      <c r="BF163" s="187"/>
      <c r="BG163" s="188"/>
      <c r="BH163" s="188"/>
      <c r="BI163" s="188"/>
      <c r="BJ163" s="189"/>
      <c r="BQ163" s="187"/>
      <c r="BR163" s="188"/>
      <c r="BS163" s="188"/>
      <c r="BT163" s="188"/>
      <c r="BU163" s="188"/>
      <c r="BV163" s="188"/>
      <c r="BW163" s="188"/>
      <c r="BX163" s="188"/>
      <c r="BY163" s="188"/>
      <c r="BZ163" s="188"/>
      <c r="CA163" s="188"/>
      <c r="CB163" s="188"/>
      <c r="CC163" s="188"/>
      <c r="CD163" s="188"/>
      <c r="CE163" s="188"/>
      <c r="CF163" s="188"/>
      <c r="CG163" s="188"/>
      <c r="CH163" s="188"/>
      <c r="CI163" s="188"/>
      <c r="CJ163" s="188"/>
      <c r="CK163" s="188"/>
      <c r="CL163" s="188"/>
      <c r="CM163" s="188"/>
      <c r="CN163" s="188"/>
      <c r="CO163" s="188"/>
      <c r="CP163" s="188"/>
      <c r="CQ163" s="188"/>
      <c r="CR163" s="188"/>
      <c r="CS163" s="188"/>
      <c r="CT163" s="188"/>
      <c r="CU163" s="188"/>
      <c r="CV163" s="188"/>
      <c r="CW163" s="188"/>
      <c r="CX163" s="188"/>
      <c r="CY163" s="188"/>
      <c r="CZ163" s="188"/>
      <c r="DA163" s="188"/>
      <c r="DB163" s="188"/>
      <c r="DC163" s="188"/>
      <c r="DD163" s="189"/>
      <c r="DE163" s="187"/>
      <c r="DF163" s="188"/>
      <c r="DG163" s="188"/>
      <c r="DH163" s="188"/>
      <c r="DI163" s="189"/>
      <c r="DO163" s="187"/>
      <c r="DP163" s="188"/>
      <c r="DQ163" s="188"/>
      <c r="DR163" s="188"/>
      <c r="DS163" s="188"/>
      <c r="DT163" s="188"/>
      <c r="DU163" s="188"/>
      <c r="DV163" s="188"/>
      <c r="DW163" s="188"/>
      <c r="DX163" s="188"/>
      <c r="DY163" s="188"/>
      <c r="DZ163" s="188"/>
      <c r="EA163" s="188"/>
      <c r="EB163" s="188"/>
      <c r="EC163" s="188"/>
      <c r="ED163" s="188"/>
      <c r="EE163" s="188"/>
      <c r="EF163" s="188"/>
      <c r="EG163" s="188"/>
      <c r="EH163" s="188"/>
      <c r="EI163" s="188"/>
      <c r="EJ163" s="188"/>
      <c r="EK163" s="188"/>
      <c r="EL163" s="188"/>
      <c r="EM163" s="188"/>
      <c r="EN163" s="188"/>
      <c r="EO163" s="188"/>
      <c r="EP163" s="188"/>
      <c r="EQ163" s="188"/>
      <c r="ER163" s="188"/>
      <c r="ES163" s="188"/>
      <c r="ET163" s="188"/>
      <c r="EU163" s="188"/>
      <c r="EV163" s="188"/>
      <c r="EW163" s="188"/>
      <c r="EX163" s="188"/>
      <c r="EY163" s="188"/>
      <c r="EZ163" s="188"/>
      <c r="FA163" s="188"/>
      <c r="FB163" s="189"/>
      <c r="FC163" s="187"/>
      <c r="FD163" s="188"/>
      <c r="FE163" s="188"/>
      <c r="FF163" s="188"/>
      <c r="FG163" s="189"/>
      <c r="FL163" s="187"/>
      <c r="FM163" s="188"/>
      <c r="FN163" s="188"/>
      <c r="FO163" s="188"/>
      <c r="FP163" s="188"/>
      <c r="FQ163" s="188"/>
      <c r="FR163" s="188"/>
      <c r="FS163" s="188"/>
      <c r="FT163" s="188"/>
      <c r="FU163" s="188"/>
      <c r="FV163" s="188"/>
      <c r="FW163" s="188"/>
      <c r="FX163" s="188"/>
      <c r="FY163" s="188"/>
      <c r="FZ163" s="188"/>
      <c r="GA163" s="188"/>
      <c r="GB163" s="188"/>
      <c r="GC163" s="188"/>
      <c r="GD163" s="188"/>
      <c r="GE163" s="188"/>
      <c r="GF163" s="188"/>
      <c r="GG163" s="188"/>
      <c r="GH163" s="188"/>
      <c r="GI163" s="188"/>
      <c r="GJ163" s="188"/>
      <c r="GK163" s="188"/>
      <c r="GL163" s="188"/>
      <c r="GM163" s="188"/>
      <c r="GN163" s="188"/>
      <c r="GO163" s="188"/>
      <c r="GP163" s="188"/>
      <c r="GQ163" s="188"/>
      <c r="GR163" s="188"/>
      <c r="GS163" s="188"/>
      <c r="GT163" s="188"/>
      <c r="GU163" s="188"/>
      <c r="GV163" s="188"/>
      <c r="GW163" s="188"/>
      <c r="GX163" s="188"/>
      <c r="GY163" s="189"/>
      <c r="GZ163" s="187"/>
      <c r="HA163" s="188"/>
      <c r="HB163" s="188"/>
      <c r="HC163" s="188"/>
      <c r="HD163" s="189"/>
      <c r="HI163" s="198"/>
      <c r="HJ163" s="199"/>
      <c r="HK163" s="199"/>
      <c r="HL163" s="199"/>
      <c r="HM163" s="199"/>
      <c r="HN163" s="199"/>
      <c r="HO163" s="199"/>
      <c r="HP163" s="199"/>
      <c r="HQ163" s="199"/>
      <c r="HR163" s="199"/>
      <c r="HS163" s="199"/>
      <c r="HT163" s="199"/>
      <c r="HU163" s="199"/>
      <c r="HV163" s="199"/>
      <c r="HW163" s="199"/>
      <c r="HX163" s="199"/>
      <c r="HY163" s="199"/>
      <c r="HZ163" s="199"/>
      <c r="IA163" s="199"/>
      <c r="IB163" s="199"/>
      <c r="IC163" s="199"/>
      <c r="ID163" s="199"/>
      <c r="IE163" s="199"/>
      <c r="IF163" s="199"/>
      <c r="IG163" s="199"/>
      <c r="IH163" s="199"/>
      <c r="II163" s="199"/>
      <c r="IJ163" s="199"/>
      <c r="IK163" s="199"/>
      <c r="IL163" s="199"/>
      <c r="IM163" s="199"/>
      <c r="IN163" s="199"/>
      <c r="IO163" s="199"/>
      <c r="IP163" s="199"/>
      <c r="IQ163" s="199"/>
      <c r="IR163" s="199"/>
      <c r="IS163" s="199"/>
      <c r="IT163" s="199"/>
      <c r="IU163" s="199"/>
      <c r="IV163" s="199"/>
      <c r="IW163" s="204"/>
      <c r="IX163" s="204"/>
      <c r="IY163" s="204"/>
      <c r="IZ163" s="204"/>
      <c r="JA163" s="204"/>
      <c r="JB163" s="204"/>
      <c r="JC163" s="19"/>
      <c r="JG163" s="154"/>
      <c r="JN163" s="16"/>
      <c r="JQ163" s="187"/>
      <c r="JR163" s="188"/>
      <c r="JS163" s="188"/>
      <c r="JT163" s="188"/>
      <c r="JU163" s="188"/>
      <c r="JV163" s="188"/>
      <c r="JW163" s="188"/>
      <c r="JX163" s="188"/>
      <c r="JY163" s="188"/>
      <c r="JZ163" s="188"/>
      <c r="KA163" s="188"/>
      <c r="KB163" s="188"/>
      <c r="KC163" s="188"/>
      <c r="KD163" s="188"/>
      <c r="KE163" s="188"/>
      <c r="KF163" s="188"/>
      <c r="KG163" s="188"/>
      <c r="KH163" s="188"/>
      <c r="KI163" s="188"/>
      <c r="KJ163" s="188"/>
      <c r="KK163" s="188"/>
      <c r="KL163" s="188"/>
      <c r="KM163" s="188"/>
      <c r="KN163" s="188"/>
      <c r="KO163" s="188"/>
      <c r="KP163" s="188"/>
      <c r="KQ163" s="188"/>
      <c r="KR163" s="188"/>
      <c r="KS163" s="188"/>
      <c r="KT163" s="188"/>
      <c r="KU163" s="188"/>
      <c r="KV163" s="188"/>
      <c r="KW163" s="188"/>
      <c r="KX163" s="188"/>
      <c r="KY163" s="188"/>
      <c r="KZ163" s="188"/>
      <c r="LA163" s="188"/>
      <c r="LB163" s="188"/>
      <c r="LC163" s="188"/>
      <c r="LD163" s="188"/>
      <c r="LE163" s="189"/>
      <c r="LF163" s="187"/>
      <c r="LG163" s="188"/>
      <c r="LH163" s="188"/>
      <c r="LI163" s="188"/>
      <c r="LJ163" s="189"/>
      <c r="LQ163" s="12"/>
      <c r="LR163" s="7"/>
      <c r="LS163" s="3"/>
      <c r="LT163" s="3"/>
      <c r="LU163" s="3"/>
      <c r="LV163" s="3"/>
      <c r="LW163" s="2"/>
      <c r="MK163" s="3"/>
      <c r="ML163" s="3"/>
      <c r="MM163" s="3"/>
      <c r="MN163" s="3"/>
      <c r="MO163" s="3"/>
      <c r="MP163" s="2"/>
    </row>
    <row r="164" spans="3:354" ht="5.0999999999999996" customHeight="1" x14ac:dyDescent="0.3">
      <c r="C164" s="11"/>
      <c r="D164" s="13"/>
      <c r="Q164" s="187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  <c r="BD164" s="188"/>
      <c r="BE164" s="189"/>
      <c r="BF164" s="187"/>
      <c r="BG164" s="188"/>
      <c r="BH164" s="188"/>
      <c r="BI164" s="188"/>
      <c r="BJ164" s="189"/>
      <c r="BQ164" s="187"/>
      <c r="BR164" s="188"/>
      <c r="BS164" s="188"/>
      <c r="BT164" s="188"/>
      <c r="BU164" s="188"/>
      <c r="BV164" s="188"/>
      <c r="BW164" s="188"/>
      <c r="BX164" s="188"/>
      <c r="BY164" s="188"/>
      <c r="BZ164" s="188"/>
      <c r="CA164" s="188"/>
      <c r="CB164" s="188"/>
      <c r="CC164" s="188"/>
      <c r="CD164" s="188"/>
      <c r="CE164" s="188"/>
      <c r="CF164" s="188"/>
      <c r="CG164" s="188"/>
      <c r="CH164" s="188"/>
      <c r="CI164" s="188"/>
      <c r="CJ164" s="188"/>
      <c r="CK164" s="188"/>
      <c r="CL164" s="188"/>
      <c r="CM164" s="188"/>
      <c r="CN164" s="188"/>
      <c r="CO164" s="188"/>
      <c r="CP164" s="188"/>
      <c r="CQ164" s="188"/>
      <c r="CR164" s="188"/>
      <c r="CS164" s="188"/>
      <c r="CT164" s="188"/>
      <c r="CU164" s="188"/>
      <c r="CV164" s="188"/>
      <c r="CW164" s="188"/>
      <c r="CX164" s="188"/>
      <c r="CY164" s="188"/>
      <c r="CZ164" s="188"/>
      <c r="DA164" s="188"/>
      <c r="DB164" s="188"/>
      <c r="DC164" s="188"/>
      <c r="DD164" s="189"/>
      <c r="DE164" s="187"/>
      <c r="DF164" s="188"/>
      <c r="DG164" s="188"/>
      <c r="DH164" s="188"/>
      <c r="DI164" s="189"/>
      <c r="DO164" s="187"/>
      <c r="DP164" s="188"/>
      <c r="DQ164" s="188"/>
      <c r="DR164" s="188"/>
      <c r="DS164" s="188"/>
      <c r="DT164" s="188"/>
      <c r="DU164" s="188"/>
      <c r="DV164" s="188"/>
      <c r="DW164" s="188"/>
      <c r="DX164" s="188"/>
      <c r="DY164" s="188"/>
      <c r="DZ164" s="188"/>
      <c r="EA164" s="188"/>
      <c r="EB164" s="188"/>
      <c r="EC164" s="188"/>
      <c r="ED164" s="188"/>
      <c r="EE164" s="188"/>
      <c r="EF164" s="188"/>
      <c r="EG164" s="188"/>
      <c r="EH164" s="188"/>
      <c r="EI164" s="188"/>
      <c r="EJ164" s="188"/>
      <c r="EK164" s="188"/>
      <c r="EL164" s="188"/>
      <c r="EM164" s="188"/>
      <c r="EN164" s="188"/>
      <c r="EO164" s="188"/>
      <c r="EP164" s="188"/>
      <c r="EQ164" s="188"/>
      <c r="ER164" s="188"/>
      <c r="ES164" s="188"/>
      <c r="ET164" s="188"/>
      <c r="EU164" s="188"/>
      <c r="EV164" s="188"/>
      <c r="EW164" s="188"/>
      <c r="EX164" s="188"/>
      <c r="EY164" s="188"/>
      <c r="EZ164" s="188"/>
      <c r="FA164" s="188"/>
      <c r="FB164" s="189"/>
      <c r="FC164" s="187"/>
      <c r="FD164" s="188"/>
      <c r="FE164" s="188"/>
      <c r="FF164" s="188"/>
      <c r="FG164" s="189"/>
      <c r="FL164" s="187"/>
      <c r="FM164" s="188"/>
      <c r="FN164" s="188"/>
      <c r="FO164" s="188"/>
      <c r="FP164" s="188"/>
      <c r="FQ164" s="188"/>
      <c r="FR164" s="188"/>
      <c r="FS164" s="188"/>
      <c r="FT164" s="188"/>
      <c r="FU164" s="188"/>
      <c r="FV164" s="188"/>
      <c r="FW164" s="188"/>
      <c r="FX164" s="188"/>
      <c r="FY164" s="188"/>
      <c r="FZ164" s="188"/>
      <c r="GA164" s="188"/>
      <c r="GB164" s="188"/>
      <c r="GC164" s="188"/>
      <c r="GD164" s="188"/>
      <c r="GE164" s="188"/>
      <c r="GF164" s="188"/>
      <c r="GG164" s="188"/>
      <c r="GH164" s="188"/>
      <c r="GI164" s="188"/>
      <c r="GJ164" s="188"/>
      <c r="GK164" s="188"/>
      <c r="GL164" s="188"/>
      <c r="GM164" s="188"/>
      <c r="GN164" s="188"/>
      <c r="GO164" s="188"/>
      <c r="GP164" s="188"/>
      <c r="GQ164" s="188"/>
      <c r="GR164" s="188"/>
      <c r="GS164" s="188"/>
      <c r="GT164" s="188"/>
      <c r="GU164" s="188"/>
      <c r="GV164" s="188"/>
      <c r="GW164" s="188"/>
      <c r="GX164" s="188"/>
      <c r="GY164" s="189"/>
      <c r="GZ164" s="187"/>
      <c r="HA164" s="188"/>
      <c r="HB164" s="188"/>
      <c r="HC164" s="188"/>
      <c r="HD164" s="189"/>
      <c r="HI164" s="198"/>
      <c r="HJ164" s="199"/>
      <c r="HK164" s="199"/>
      <c r="HL164" s="199"/>
      <c r="HM164" s="199"/>
      <c r="HN164" s="199"/>
      <c r="HO164" s="199"/>
      <c r="HP164" s="199"/>
      <c r="HQ164" s="199"/>
      <c r="HR164" s="199"/>
      <c r="HS164" s="199"/>
      <c r="HT164" s="199"/>
      <c r="HU164" s="199"/>
      <c r="HV164" s="199"/>
      <c r="HW164" s="199"/>
      <c r="HX164" s="199"/>
      <c r="HY164" s="199"/>
      <c r="HZ164" s="199"/>
      <c r="IA164" s="199"/>
      <c r="IB164" s="199"/>
      <c r="IC164" s="199"/>
      <c r="ID164" s="199"/>
      <c r="IE164" s="199"/>
      <c r="IF164" s="199"/>
      <c r="IG164" s="199"/>
      <c r="IH164" s="199"/>
      <c r="II164" s="199"/>
      <c r="IJ164" s="199"/>
      <c r="IK164" s="199"/>
      <c r="IL164" s="199"/>
      <c r="IM164" s="199"/>
      <c r="IN164" s="199"/>
      <c r="IO164" s="199"/>
      <c r="IP164" s="199"/>
      <c r="IQ164" s="199"/>
      <c r="IR164" s="199"/>
      <c r="IS164" s="199"/>
      <c r="IT164" s="199"/>
      <c r="IU164" s="199"/>
      <c r="IV164" s="199"/>
      <c r="IW164" s="204"/>
      <c r="IX164" s="204"/>
      <c r="IY164" s="204"/>
      <c r="IZ164" s="204"/>
      <c r="JA164" s="204"/>
      <c r="JB164" s="204"/>
      <c r="JC164" s="19"/>
      <c r="JG164" s="154"/>
      <c r="JN164" s="16"/>
      <c r="JQ164" s="187"/>
      <c r="JR164" s="188"/>
      <c r="JS164" s="188"/>
      <c r="JT164" s="188"/>
      <c r="JU164" s="188"/>
      <c r="JV164" s="188"/>
      <c r="JW164" s="188"/>
      <c r="JX164" s="188"/>
      <c r="JY164" s="188"/>
      <c r="JZ164" s="188"/>
      <c r="KA164" s="188"/>
      <c r="KB164" s="188"/>
      <c r="KC164" s="188"/>
      <c r="KD164" s="188"/>
      <c r="KE164" s="188"/>
      <c r="KF164" s="188"/>
      <c r="KG164" s="188"/>
      <c r="KH164" s="188"/>
      <c r="KI164" s="188"/>
      <c r="KJ164" s="188"/>
      <c r="KK164" s="188"/>
      <c r="KL164" s="188"/>
      <c r="KM164" s="188"/>
      <c r="KN164" s="188"/>
      <c r="KO164" s="188"/>
      <c r="KP164" s="188"/>
      <c r="KQ164" s="188"/>
      <c r="KR164" s="188"/>
      <c r="KS164" s="188"/>
      <c r="KT164" s="188"/>
      <c r="KU164" s="188"/>
      <c r="KV164" s="188"/>
      <c r="KW164" s="188"/>
      <c r="KX164" s="188"/>
      <c r="KY164" s="188"/>
      <c r="KZ164" s="188"/>
      <c r="LA164" s="188"/>
      <c r="LB164" s="188"/>
      <c r="LC164" s="188"/>
      <c r="LD164" s="188"/>
      <c r="LE164" s="189"/>
      <c r="LF164" s="187"/>
      <c r="LG164" s="188"/>
      <c r="LH164" s="188"/>
      <c r="LI164" s="188"/>
      <c r="LJ164" s="189"/>
      <c r="LQ164" s="12"/>
      <c r="LR164" s="7"/>
      <c r="LS164" s="3"/>
      <c r="LT164" s="3"/>
      <c r="LU164" s="3"/>
      <c r="LV164" s="3"/>
      <c r="LW164" s="2"/>
      <c r="MK164" s="3"/>
      <c r="ML164" s="3"/>
      <c r="MM164" s="3"/>
      <c r="MN164" s="3"/>
      <c r="MO164" s="3"/>
      <c r="MP164" s="2"/>
    </row>
    <row r="165" spans="3:354" ht="5.0999999999999996" customHeight="1" x14ac:dyDescent="0.3">
      <c r="C165" s="11"/>
      <c r="D165" s="13"/>
      <c r="Q165" s="187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  <c r="BD165" s="188"/>
      <c r="BE165" s="189"/>
      <c r="BF165" s="187"/>
      <c r="BG165" s="188"/>
      <c r="BH165" s="188"/>
      <c r="BI165" s="188"/>
      <c r="BJ165" s="189"/>
      <c r="BQ165" s="187"/>
      <c r="BR165" s="188"/>
      <c r="BS165" s="188"/>
      <c r="BT165" s="188"/>
      <c r="BU165" s="188"/>
      <c r="BV165" s="188"/>
      <c r="BW165" s="188"/>
      <c r="BX165" s="188"/>
      <c r="BY165" s="188"/>
      <c r="BZ165" s="188"/>
      <c r="CA165" s="188"/>
      <c r="CB165" s="188"/>
      <c r="CC165" s="188"/>
      <c r="CD165" s="188"/>
      <c r="CE165" s="188"/>
      <c r="CF165" s="188"/>
      <c r="CG165" s="188"/>
      <c r="CH165" s="188"/>
      <c r="CI165" s="188"/>
      <c r="CJ165" s="188"/>
      <c r="CK165" s="188"/>
      <c r="CL165" s="188"/>
      <c r="CM165" s="188"/>
      <c r="CN165" s="188"/>
      <c r="CO165" s="188"/>
      <c r="CP165" s="188"/>
      <c r="CQ165" s="188"/>
      <c r="CR165" s="188"/>
      <c r="CS165" s="188"/>
      <c r="CT165" s="188"/>
      <c r="CU165" s="188"/>
      <c r="CV165" s="188"/>
      <c r="CW165" s="188"/>
      <c r="CX165" s="188"/>
      <c r="CY165" s="188"/>
      <c r="CZ165" s="188"/>
      <c r="DA165" s="188"/>
      <c r="DB165" s="188"/>
      <c r="DC165" s="188"/>
      <c r="DD165" s="189"/>
      <c r="DE165" s="187"/>
      <c r="DF165" s="188"/>
      <c r="DG165" s="188"/>
      <c r="DH165" s="188"/>
      <c r="DI165" s="189"/>
      <c r="DO165" s="187"/>
      <c r="DP165" s="188"/>
      <c r="DQ165" s="188"/>
      <c r="DR165" s="188"/>
      <c r="DS165" s="188"/>
      <c r="DT165" s="188"/>
      <c r="DU165" s="188"/>
      <c r="DV165" s="188"/>
      <c r="DW165" s="188"/>
      <c r="DX165" s="188"/>
      <c r="DY165" s="188"/>
      <c r="DZ165" s="188"/>
      <c r="EA165" s="188"/>
      <c r="EB165" s="188"/>
      <c r="EC165" s="188"/>
      <c r="ED165" s="188"/>
      <c r="EE165" s="188"/>
      <c r="EF165" s="188"/>
      <c r="EG165" s="188"/>
      <c r="EH165" s="188"/>
      <c r="EI165" s="188"/>
      <c r="EJ165" s="188"/>
      <c r="EK165" s="188"/>
      <c r="EL165" s="188"/>
      <c r="EM165" s="188"/>
      <c r="EN165" s="188"/>
      <c r="EO165" s="188"/>
      <c r="EP165" s="188"/>
      <c r="EQ165" s="188"/>
      <c r="ER165" s="188"/>
      <c r="ES165" s="188"/>
      <c r="ET165" s="188"/>
      <c r="EU165" s="188"/>
      <c r="EV165" s="188"/>
      <c r="EW165" s="188"/>
      <c r="EX165" s="188"/>
      <c r="EY165" s="188"/>
      <c r="EZ165" s="188"/>
      <c r="FA165" s="188"/>
      <c r="FB165" s="189"/>
      <c r="FC165" s="187"/>
      <c r="FD165" s="188"/>
      <c r="FE165" s="188"/>
      <c r="FF165" s="188"/>
      <c r="FG165" s="189"/>
      <c r="FL165" s="187"/>
      <c r="FM165" s="188"/>
      <c r="FN165" s="188"/>
      <c r="FO165" s="188"/>
      <c r="FP165" s="188"/>
      <c r="FQ165" s="188"/>
      <c r="FR165" s="188"/>
      <c r="FS165" s="188"/>
      <c r="FT165" s="188"/>
      <c r="FU165" s="188"/>
      <c r="FV165" s="188"/>
      <c r="FW165" s="188"/>
      <c r="FX165" s="188"/>
      <c r="FY165" s="188"/>
      <c r="FZ165" s="188"/>
      <c r="GA165" s="188"/>
      <c r="GB165" s="188"/>
      <c r="GC165" s="188"/>
      <c r="GD165" s="188"/>
      <c r="GE165" s="188"/>
      <c r="GF165" s="188"/>
      <c r="GG165" s="188"/>
      <c r="GH165" s="188"/>
      <c r="GI165" s="188"/>
      <c r="GJ165" s="188"/>
      <c r="GK165" s="188"/>
      <c r="GL165" s="188"/>
      <c r="GM165" s="188"/>
      <c r="GN165" s="188"/>
      <c r="GO165" s="188"/>
      <c r="GP165" s="188"/>
      <c r="GQ165" s="188"/>
      <c r="GR165" s="188"/>
      <c r="GS165" s="188"/>
      <c r="GT165" s="188"/>
      <c r="GU165" s="188"/>
      <c r="GV165" s="188"/>
      <c r="GW165" s="188"/>
      <c r="GX165" s="188"/>
      <c r="GY165" s="189"/>
      <c r="GZ165" s="187"/>
      <c r="HA165" s="188"/>
      <c r="HB165" s="188"/>
      <c r="HC165" s="188"/>
      <c r="HD165" s="189"/>
      <c r="HI165" s="198"/>
      <c r="HJ165" s="199"/>
      <c r="HK165" s="199"/>
      <c r="HL165" s="199"/>
      <c r="HM165" s="199"/>
      <c r="HN165" s="199"/>
      <c r="HO165" s="199"/>
      <c r="HP165" s="199"/>
      <c r="HQ165" s="199"/>
      <c r="HR165" s="199"/>
      <c r="HS165" s="199"/>
      <c r="HT165" s="199"/>
      <c r="HU165" s="199"/>
      <c r="HV165" s="199"/>
      <c r="HW165" s="199"/>
      <c r="HX165" s="199"/>
      <c r="HY165" s="199"/>
      <c r="HZ165" s="199"/>
      <c r="IA165" s="199"/>
      <c r="IB165" s="199"/>
      <c r="IC165" s="199"/>
      <c r="ID165" s="199"/>
      <c r="IE165" s="199"/>
      <c r="IF165" s="199"/>
      <c r="IG165" s="199"/>
      <c r="IH165" s="199"/>
      <c r="II165" s="199"/>
      <c r="IJ165" s="199"/>
      <c r="IK165" s="199"/>
      <c r="IL165" s="199"/>
      <c r="IM165" s="199"/>
      <c r="IN165" s="199"/>
      <c r="IO165" s="199"/>
      <c r="IP165" s="199"/>
      <c r="IQ165" s="199"/>
      <c r="IR165" s="199"/>
      <c r="IS165" s="199"/>
      <c r="IT165" s="199"/>
      <c r="IU165" s="199"/>
      <c r="IV165" s="199"/>
      <c r="IW165" s="204"/>
      <c r="IX165" s="204"/>
      <c r="IY165" s="204"/>
      <c r="IZ165" s="204"/>
      <c r="JA165" s="204"/>
      <c r="JB165" s="204"/>
      <c r="JC165" s="19"/>
      <c r="JG165" s="154"/>
      <c r="JN165" s="16"/>
      <c r="JQ165" s="187"/>
      <c r="JR165" s="188"/>
      <c r="JS165" s="188"/>
      <c r="JT165" s="188"/>
      <c r="JU165" s="188"/>
      <c r="JV165" s="188"/>
      <c r="JW165" s="188"/>
      <c r="JX165" s="188"/>
      <c r="JY165" s="188"/>
      <c r="JZ165" s="188"/>
      <c r="KA165" s="188"/>
      <c r="KB165" s="188"/>
      <c r="KC165" s="188"/>
      <c r="KD165" s="188"/>
      <c r="KE165" s="188"/>
      <c r="KF165" s="188"/>
      <c r="KG165" s="188"/>
      <c r="KH165" s="188"/>
      <c r="KI165" s="188"/>
      <c r="KJ165" s="188"/>
      <c r="KK165" s="188"/>
      <c r="KL165" s="188"/>
      <c r="KM165" s="188"/>
      <c r="KN165" s="188"/>
      <c r="KO165" s="188"/>
      <c r="KP165" s="188"/>
      <c r="KQ165" s="188"/>
      <c r="KR165" s="188"/>
      <c r="KS165" s="188"/>
      <c r="KT165" s="188"/>
      <c r="KU165" s="188"/>
      <c r="KV165" s="188"/>
      <c r="KW165" s="188"/>
      <c r="KX165" s="188"/>
      <c r="KY165" s="188"/>
      <c r="KZ165" s="188"/>
      <c r="LA165" s="188"/>
      <c r="LB165" s="188"/>
      <c r="LC165" s="188"/>
      <c r="LD165" s="188"/>
      <c r="LE165" s="189"/>
      <c r="LF165" s="187"/>
      <c r="LG165" s="188"/>
      <c r="LH165" s="188"/>
      <c r="LI165" s="188"/>
      <c r="LJ165" s="189"/>
      <c r="LQ165" s="12"/>
      <c r="LR165" s="7"/>
      <c r="LS165" s="3"/>
      <c r="LT165" s="3"/>
      <c r="LU165" s="3"/>
      <c r="LV165" s="3"/>
      <c r="LW165" s="2"/>
      <c r="MK165" s="3"/>
      <c r="ML165" s="3"/>
      <c r="MM165" s="3"/>
      <c r="MN165" s="3"/>
      <c r="MO165" s="3"/>
      <c r="MP165" s="2"/>
    </row>
    <row r="166" spans="3:354" ht="5.0999999999999996" customHeight="1" x14ac:dyDescent="0.3">
      <c r="C166" s="11"/>
      <c r="D166" s="13"/>
      <c r="Q166" s="187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  <c r="BD166" s="188"/>
      <c r="BE166" s="189"/>
      <c r="BF166" s="187"/>
      <c r="BG166" s="188"/>
      <c r="BH166" s="188"/>
      <c r="BI166" s="188"/>
      <c r="BJ166" s="189"/>
      <c r="BQ166" s="187"/>
      <c r="BR166" s="188"/>
      <c r="BS166" s="188"/>
      <c r="BT166" s="188"/>
      <c r="BU166" s="188"/>
      <c r="BV166" s="188"/>
      <c r="BW166" s="188"/>
      <c r="BX166" s="188"/>
      <c r="BY166" s="188"/>
      <c r="BZ166" s="188"/>
      <c r="CA166" s="188"/>
      <c r="CB166" s="188"/>
      <c r="CC166" s="188"/>
      <c r="CD166" s="188"/>
      <c r="CE166" s="188"/>
      <c r="CF166" s="188"/>
      <c r="CG166" s="188"/>
      <c r="CH166" s="188"/>
      <c r="CI166" s="188"/>
      <c r="CJ166" s="188"/>
      <c r="CK166" s="188"/>
      <c r="CL166" s="188"/>
      <c r="CM166" s="188"/>
      <c r="CN166" s="188"/>
      <c r="CO166" s="188"/>
      <c r="CP166" s="188"/>
      <c r="CQ166" s="188"/>
      <c r="CR166" s="188"/>
      <c r="CS166" s="188"/>
      <c r="CT166" s="188"/>
      <c r="CU166" s="188"/>
      <c r="CV166" s="188"/>
      <c r="CW166" s="188"/>
      <c r="CX166" s="188"/>
      <c r="CY166" s="188"/>
      <c r="CZ166" s="188"/>
      <c r="DA166" s="188"/>
      <c r="DB166" s="188"/>
      <c r="DC166" s="188"/>
      <c r="DD166" s="189"/>
      <c r="DE166" s="187"/>
      <c r="DF166" s="188"/>
      <c r="DG166" s="188"/>
      <c r="DH166" s="188"/>
      <c r="DI166" s="189"/>
      <c r="DO166" s="187"/>
      <c r="DP166" s="188"/>
      <c r="DQ166" s="188"/>
      <c r="DR166" s="188"/>
      <c r="DS166" s="188"/>
      <c r="DT166" s="188"/>
      <c r="DU166" s="188"/>
      <c r="DV166" s="188"/>
      <c r="DW166" s="188"/>
      <c r="DX166" s="188"/>
      <c r="DY166" s="188"/>
      <c r="DZ166" s="188"/>
      <c r="EA166" s="188"/>
      <c r="EB166" s="188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R166" s="188"/>
      <c r="ES166" s="188"/>
      <c r="ET166" s="188"/>
      <c r="EU166" s="188"/>
      <c r="EV166" s="188"/>
      <c r="EW166" s="188"/>
      <c r="EX166" s="188"/>
      <c r="EY166" s="188"/>
      <c r="EZ166" s="188"/>
      <c r="FA166" s="188"/>
      <c r="FB166" s="189"/>
      <c r="FC166" s="187"/>
      <c r="FD166" s="188"/>
      <c r="FE166" s="188"/>
      <c r="FF166" s="188"/>
      <c r="FG166" s="189"/>
      <c r="FL166" s="187"/>
      <c r="FM166" s="188"/>
      <c r="FN166" s="188"/>
      <c r="FO166" s="188"/>
      <c r="FP166" s="188"/>
      <c r="FQ166" s="188"/>
      <c r="FR166" s="188"/>
      <c r="FS166" s="188"/>
      <c r="FT166" s="188"/>
      <c r="FU166" s="188"/>
      <c r="FV166" s="188"/>
      <c r="FW166" s="188"/>
      <c r="FX166" s="188"/>
      <c r="FY166" s="188"/>
      <c r="FZ166" s="188"/>
      <c r="GA166" s="188"/>
      <c r="GB166" s="188"/>
      <c r="GC166" s="188"/>
      <c r="GD166" s="188"/>
      <c r="GE166" s="188"/>
      <c r="GF166" s="188"/>
      <c r="GG166" s="188"/>
      <c r="GH166" s="188"/>
      <c r="GI166" s="188"/>
      <c r="GJ166" s="188"/>
      <c r="GK166" s="188"/>
      <c r="GL166" s="188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  <c r="GY166" s="189"/>
      <c r="GZ166" s="187"/>
      <c r="HA166" s="188"/>
      <c r="HB166" s="188"/>
      <c r="HC166" s="188"/>
      <c r="HD166" s="189"/>
      <c r="HI166" s="198"/>
      <c r="HJ166" s="199"/>
      <c r="HK166" s="199"/>
      <c r="HL166" s="199"/>
      <c r="HM166" s="199"/>
      <c r="HN166" s="199"/>
      <c r="HO166" s="199"/>
      <c r="HP166" s="199"/>
      <c r="HQ166" s="199"/>
      <c r="HR166" s="199"/>
      <c r="HS166" s="199"/>
      <c r="HT166" s="199"/>
      <c r="HU166" s="199"/>
      <c r="HV166" s="199"/>
      <c r="HW166" s="199"/>
      <c r="HX166" s="199"/>
      <c r="HY166" s="199"/>
      <c r="HZ166" s="199"/>
      <c r="IA166" s="199"/>
      <c r="IB166" s="199"/>
      <c r="IC166" s="199"/>
      <c r="ID166" s="199"/>
      <c r="IE166" s="199"/>
      <c r="IF166" s="199"/>
      <c r="IG166" s="199"/>
      <c r="IH166" s="199"/>
      <c r="II166" s="199"/>
      <c r="IJ166" s="199"/>
      <c r="IK166" s="199"/>
      <c r="IL166" s="199"/>
      <c r="IM166" s="199"/>
      <c r="IN166" s="199"/>
      <c r="IO166" s="199"/>
      <c r="IP166" s="199"/>
      <c r="IQ166" s="199"/>
      <c r="IR166" s="199"/>
      <c r="IS166" s="199"/>
      <c r="IT166" s="199"/>
      <c r="IU166" s="199"/>
      <c r="IV166" s="199"/>
      <c r="IW166" s="204"/>
      <c r="IX166" s="204"/>
      <c r="IY166" s="204"/>
      <c r="IZ166" s="204"/>
      <c r="JA166" s="204"/>
      <c r="JB166" s="204"/>
      <c r="JC166" s="19"/>
      <c r="JG166" s="154"/>
      <c r="JN166" s="16"/>
      <c r="JQ166" s="187"/>
      <c r="JR166" s="188"/>
      <c r="JS166" s="188"/>
      <c r="JT166" s="188"/>
      <c r="JU166" s="188"/>
      <c r="JV166" s="188"/>
      <c r="JW166" s="188"/>
      <c r="JX166" s="188"/>
      <c r="JY166" s="188"/>
      <c r="JZ166" s="188"/>
      <c r="KA166" s="188"/>
      <c r="KB166" s="188"/>
      <c r="KC166" s="188"/>
      <c r="KD166" s="188"/>
      <c r="KE166" s="188"/>
      <c r="KF166" s="188"/>
      <c r="KG166" s="188"/>
      <c r="KH166" s="188"/>
      <c r="KI166" s="188"/>
      <c r="KJ166" s="188"/>
      <c r="KK166" s="188"/>
      <c r="KL166" s="188"/>
      <c r="KM166" s="188"/>
      <c r="KN166" s="188"/>
      <c r="KO166" s="188"/>
      <c r="KP166" s="188"/>
      <c r="KQ166" s="188"/>
      <c r="KR166" s="188"/>
      <c r="KS166" s="188"/>
      <c r="KT166" s="188"/>
      <c r="KU166" s="188"/>
      <c r="KV166" s="188"/>
      <c r="KW166" s="188"/>
      <c r="KX166" s="188"/>
      <c r="KY166" s="188"/>
      <c r="KZ166" s="188"/>
      <c r="LA166" s="188"/>
      <c r="LB166" s="188"/>
      <c r="LC166" s="188"/>
      <c r="LD166" s="188"/>
      <c r="LE166" s="189"/>
      <c r="LF166" s="187"/>
      <c r="LG166" s="188"/>
      <c r="LH166" s="188"/>
      <c r="LI166" s="188"/>
      <c r="LJ166" s="189"/>
      <c r="LQ166" s="12"/>
      <c r="LR166" s="7"/>
      <c r="LS166" s="3"/>
      <c r="LT166" s="3"/>
      <c r="LU166" s="3"/>
      <c r="LV166" s="3"/>
      <c r="LW166" s="2"/>
      <c r="MK166" s="3"/>
      <c r="ML166" s="3"/>
      <c r="MM166" s="3"/>
      <c r="MN166" s="3"/>
      <c r="MO166" s="3"/>
      <c r="MP166" s="2"/>
    </row>
    <row r="167" spans="3:354" ht="5.0999999999999996" customHeight="1" x14ac:dyDescent="0.3">
      <c r="C167" s="11"/>
      <c r="D167" s="13"/>
      <c r="Q167" s="187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  <c r="BD167" s="188"/>
      <c r="BE167" s="189"/>
      <c r="BF167" s="187"/>
      <c r="BG167" s="188"/>
      <c r="BH167" s="188"/>
      <c r="BI167" s="188"/>
      <c r="BJ167" s="189"/>
      <c r="BQ167" s="187"/>
      <c r="BR167" s="188"/>
      <c r="BS167" s="188"/>
      <c r="BT167" s="188"/>
      <c r="BU167" s="188"/>
      <c r="BV167" s="188"/>
      <c r="BW167" s="188"/>
      <c r="BX167" s="188"/>
      <c r="BY167" s="188"/>
      <c r="BZ167" s="188"/>
      <c r="CA167" s="188"/>
      <c r="CB167" s="188"/>
      <c r="CC167" s="188"/>
      <c r="CD167" s="188"/>
      <c r="CE167" s="188"/>
      <c r="CF167" s="188"/>
      <c r="CG167" s="188"/>
      <c r="CH167" s="188"/>
      <c r="CI167" s="188"/>
      <c r="CJ167" s="188"/>
      <c r="CK167" s="188"/>
      <c r="CL167" s="188"/>
      <c r="CM167" s="188"/>
      <c r="CN167" s="188"/>
      <c r="CO167" s="188"/>
      <c r="CP167" s="188"/>
      <c r="CQ167" s="188"/>
      <c r="CR167" s="188"/>
      <c r="CS167" s="188"/>
      <c r="CT167" s="188"/>
      <c r="CU167" s="188"/>
      <c r="CV167" s="188"/>
      <c r="CW167" s="188"/>
      <c r="CX167" s="188"/>
      <c r="CY167" s="188"/>
      <c r="CZ167" s="188"/>
      <c r="DA167" s="188"/>
      <c r="DB167" s="188"/>
      <c r="DC167" s="188"/>
      <c r="DD167" s="189"/>
      <c r="DE167" s="187"/>
      <c r="DF167" s="188"/>
      <c r="DG167" s="188"/>
      <c r="DH167" s="188"/>
      <c r="DI167" s="189"/>
      <c r="DO167" s="187"/>
      <c r="DP167" s="188"/>
      <c r="DQ167" s="188"/>
      <c r="DR167" s="188"/>
      <c r="DS167" s="188"/>
      <c r="DT167" s="188"/>
      <c r="DU167" s="188"/>
      <c r="DV167" s="188"/>
      <c r="DW167" s="188"/>
      <c r="DX167" s="188"/>
      <c r="DY167" s="188"/>
      <c r="DZ167" s="188"/>
      <c r="EA167" s="188"/>
      <c r="EB167" s="188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R167" s="188"/>
      <c r="ES167" s="188"/>
      <c r="ET167" s="188"/>
      <c r="EU167" s="188"/>
      <c r="EV167" s="188"/>
      <c r="EW167" s="188"/>
      <c r="EX167" s="188"/>
      <c r="EY167" s="188"/>
      <c r="EZ167" s="188"/>
      <c r="FA167" s="188"/>
      <c r="FB167" s="189"/>
      <c r="FC167" s="187"/>
      <c r="FD167" s="188"/>
      <c r="FE167" s="188"/>
      <c r="FF167" s="188"/>
      <c r="FG167" s="189"/>
      <c r="FL167" s="187"/>
      <c r="FM167" s="188"/>
      <c r="FN167" s="188"/>
      <c r="FO167" s="188"/>
      <c r="FP167" s="188"/>
      <c r="FQ167" s="188"/>
      <c r="FR167" s="188"/>
      <c r="FS167" s="188"/>
      <c r="FT167" s="188"/>
      <c r="FU167" s="188"/>
      <c r="FV167" s="188"/>
      <c r="FW167" s="188"/>
      <c r="FX167" s="188"/>
      <c r="FY167" s="188"/>
      <c r="FZ167" s="188"/>
      <c r="GA167" s="188"/>
      <c r="GB167" s="188"/>
      <c r="GC167" s="188"/>
      <c r="GD167" s="188"/>
      <c r="GE167" s="188"/>
      <c r="GF167" s="188"/>
      <c r="GG167" s="188"/>
      <c r="GH167" s="188"/>
      <c r="GI167" s="188"/>
      <c r="GJ167" s="188"/>
      <c r="GK167" s="188"/>
      <c r="GL167" s="188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  <c r="GY167" s="189"/>
      <c r="GZ167" s="187"/>
      <c r="HA167" s="188"/>
      <c r="HB167" s="188"/>
      <c r="HC167" s="188"/>
      <c r="HD167" s="189"/>
      <c r="HI167" s="198"/>
      <c r="HJ167" s="199"/>
      <c r="HK167" s="199"/>
      <c r="HL167" s="199"/>
      <c r="HM167" s="199"/>
      <c r="HN167" s="199"/>
      <c r="HO167" s="199"/>
      <c r="HP167" s="199"/>
      <c r="HQ167" s="199"/>
      <c r="HR167" s="199"/>
      <c r="HS167" s="199"/>
      <c r="HT167" s="199"/>
      <c r="HU167" s="199"/>
      <c r="HV167" s="199"/>
      <c r="HW167" s="199"/>
      <c r="HX167" s="199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  <c r="IW167" s="204"/>
      <c r="IX167" s="204"/>
      <c r="IY167" s="204"/>
      <c r="IZ167" s="204"/>
      <c r="JA167" s="204"/>
      <c r="JB167" s="204"/>
      <c r="JC167" s="19"/>
      <c r="JG167" s="154"/>
      <c r="JN167" s="16"/>
      <c r="JQ167" s="187"/>
      <c r="JR167" s="188"/>
      <c r="JS167" s="188"/>
      <c r="JT167" s="188"/>
      <c r="JU167" s="188"/>
      <c r="JV167" s="188"/>
      <c r="JW167" s="188"/>
      <c r="JX167" s="188"/>
      <c r="JY167" s="188"/>
      <c r="JZ167" s="188"/>
      <c r="KA167" s="188"/>
      <c r="KB167" s="188"/>
      <c r="KC167" s="188"/>
      <c r="KD167" s="188"/>
      <c r="KE167" s="188"/>
      <c r="KF167" s="188"/>
      <c r="KG167" s="188"/>
      <c r="KH167" s="188"/>
      <c r="KI167" s="188"/>
      <c r="KJ167" s="188"/>
      <c r="KK167" s="188"/>
      <c r="KL167" s="188"/>
      <c r="KM167" s="188"/>
      <c r="KN167" s="188"/>
      <c r="KO167" s="188"/>
      <c r="KP167" s="188"/>
      <c r="KQ167" s="188"/>
      <c r="KR167" s="188"/>
      <c r="KS167" s="188"/>
      <c r="KT167" s="188"/>
      <c r="KU167" s="188"/>
      <c r="KV167" s="188"/>
      <c r="KW167" s="188"/>
      <c r="KX167" s="188"/>
      <c r="KY167" s="188"/>
      <c r="KZ167" s="188"/>
      <c r="LA167" s="188"/>
      <c r="LB167" s="188"/>
      <c r="LC167" s="188"/>
      <c r="LD167" s="188"/>
      <c r="LE167" s="189"/>
      <c r="LF167" s="187"/>
      <c r="LG167" s="188"/>
      <c r="LH167" s="188"/>
      <c r="LI167" s="188"/>
      <c r="LJ167" s="189"/>
      <c r="LQ167" s="12"/>
      <c r="LR167" s="7"/>
      <c r="LS167" s="3"/>
      <c r="LT167" s="3"/>
      <c r="LU167" s="3"/>
      <c r="LV167" s="3"/>
      <c r="LW167" s="2"/>
      <c r="MK167" s="3"/>
      <c r="ML167" s="3"/>
      <c r="MM167" s="3"/>
      <c r="MN167" s="3"/>
      <c r="MO167" s="3"/>
      <c r="MP167" s="2"/>
    </row>
    <row r="168" spans="3:354" ht="5.0999999999999996" customHeight="1" x14ac:dyDescent="0.3">
      <c r="C168" s="11"/>
      <c r="D168" s="13"/>
      <c r="Q168" s="187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  <c r="BD168" s="188"/>
      <c r="BE168" s="189"/>
      <c r="BF168" s="187"/>
      <c r="BG168" s="188"/>
      <c r="BH168" s="188"/>
      <c r="BI168" s="188"/>
      <c r="BJ168" s="189"/>
      <c r="BQ168" s="187"/>
      <c r="BR168" s="188"/>
      <c r="BS168" s="188"/>
      <c r="BT168" s="188"/>
      <c r="BU168" s="188"/>
      <c r="BV168" s="188"/>
      <c r="BW168" s="188"/>
      <c r="BX168" s="188"/>
      <c r="BY168" s="188"/>
      <c r="BZ168" s="188"/>
      <c r="CA168" s="188"/>
      <c r="CB168" s="188"/>
      <c r="CC168" s="188"/>
      <c r="CD168" s="188"/>
      <c r="CE168" s="188"/>
      <c r="CF168" s="188"/>
      <c r="CG168" s="188"/>
      <c r="CH168" s="188"/>
      <c r="CI168" s="188"/>
      <c r="CJ168" s="188"/>
      <c r="CK168" s="188"/>
      <c r="CL168" s="188"/>
      <c r="CM168" s="188"/>
      <c r="CN168" s="188"/>
      <c r="CO168" s="188"/>
      <c r="CP168" s="188"/>
      <c r="CQ168" s="188"/>
      <c r="CR168" s="188"/>
      <c r="CS168" s="188"/>
      <c r="CT168" s="188"/>
      <c r="CU168" s="188"/>
      <c r="CV168" s="188"/>
      <c r="CW168" s="188"/>
      <c r="CX168" s="188"/>
      <c r="CY168" s="188"/>
      <c r="CZ168" s="188"/>
      <c r="DA168" s="188"/>
      <c r="DB168" s="188"/>
      <c r="DC168" s="188"/>
      <c r="DD168" s="189"/>
      <c r="DE168" s="187"/>
      <c r="DF168" s="188"/>
      <c r="DG168" s="188"/>
      <c r="DH168" s="188"/>
      <c r="DI168" s="189"/>
      <c r="DO168" s="187"/>
      <c r="DP168" s="188"/>
      <c r="DQ168" s="188"/>
      <c r="DR168" s="188"/>
      <c r="DS168" s="188"/>
      <c r="DT168" s="188"/>
      <c r="DU168" s="188"/>
      <c r="DV168" s="188"/>
      <c r="DW168" s="188"/>
      <c r="DX168" s="188"/>
      <c r="DY168" s="188"/>
      <c r="DZ168" s="188"/>
      <c r="EA168" s="188"/>
      <c r="EB168" s="188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R168" s="188"/>
      <c r="ES168" s="188"/>
      <c r="ET168" s="188"/>
      <c r="EU168" s="188"/>
      <c r="EV168" s="188"/>
      <c r="EW168" s="188"/>
      <c r="EX168" s="188"/>
      <c r="EY168" s="188"/>
      <c r="EZ168" s="188"/>
      <c r="FA168" s="188"/>
      <c r="FB168" s="189"/>
      <c r="FC168" s="187"/>
      <c r="FD168" s="188"/>
      <c r="FE168" s="188"/>
      <c r="FF168" s="188"/>
      <c r="FG168" s="189"/>
      <c r="FL168" s="187"/>
      <c r="FM168" s="188"/>
      <c r="FN168" s="188"/>
      <c r="FO168" s="188"/>
      <c r="FP168" s="188"/>
      <c r="FQ168" s="188"/>
      <c r="FR168" s="188"/>
      <c r="FS168" s="188"/>
      <c r="FT168" s="188"/>
      <c r="FU168" s="188"/>
      <c r="FV168" s="188"/>
      <c r="FW168" s="188"/>
      <c r="FX168" s="188"/>
      <c r="FY168" s="188"/>
      <c r="FZ168" s="188"/>
      <c r="GA168" s="188"/>
      <c r="GB168" s="188"/>
      <c r="GC168" s="188"/>
      <c r="GD168" s="188"/>
      <c r="GE168" s="188"/>
      <c r="GF168" s="188"/>
      <c r="GG168" s="188"/>
      <c r="GH168" s="188"/>
      <c r="GI168" s="188"/>
      <c r="GJ168" s="188"/>
      <c r="GK168" s="188"/>
      <c r="GL168" s="188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  <c r="GY168" s="189"/>
      <c r="GZ168" s="187"/>
      <c r="HA168" s="188"/>
      <c r="HB168" s="188"/>
      <c r="HC168" s="188"/>
      <c r="HD168" s="189"/>
      <c r="HI168" s="198"/>
      <c r="HJ168" s="199"/>
      <c r="HK168" s="199"/>
      <c r="HL168" s="199"/>
      <c r="HM168" s="199"/>
      <c r="HN168" s="199"/>
      <c r="HO168" s="199"/>
      <c r="HP168" s="199"/>
      <c r="HQ168" s="199"/>
      <c r="HR168" s="199"/>
      <c r="HS168" s="199"/>
      <c r="HT168" s="199"/>
      <c r="HU168" s="199"/>
      <c r="HV168" s="199"/>
      <c r="HW168" s="199"/>
      <c r="HX168" s="199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  <c r="IW168" s="204"/>
      <c r="IX168" s="204"/>
      <c r="IY168" s="204"/>
      <c r="IZ168" s="204"/>
      <c r="JA168" s="204"/>
      <c r="JB168" s="204"/>
      <c r="JC168" s="19"/>
      <c r="JG168" s="154"/>
      <c r="JN168" s="16"/>
      <c r="JQ168" s="187"/>
      <c r="JR168" s="188"/>
      <c r="JS168" s="188"/>
      <c r="JT168" s="188"/>
      <c r="JU168" s="188"/>
      <c r="JV168" s="188"/>
      <c r="JW168" s="188"/>
      <c r="JX168" s="188"/>
      <c r="JY168" s="188"/>
      <c r="JZ168" s="188"/>
      <c r="KA168" s="188"/>
      <c r="KB168" s="188"/>
      <c r="KC168" s="188"/>
      <c r="KD168" s="188"/>
      <c r="KE168" s="188"/>
      <c r="KF168" s="188"/>
      <c r="KG168" s="188"/>
      <c r="KH168" s="188"/>
      <c r="KI168" s="188"/>
      <c r="KJ168" s="188"/>
      <c r="KK168" s="188"/>
      <c r="KL168" s="188"/>
      <c r="KM168" s="188"/>
      <c r="KN168" s="188"/>
      <c r="KO168" s="188"/>
      <c r="KP168" s="188"/>
      <c r="KQ168" s="188"/>
      <c r="KR168" s="188"/>
      <c r="KS168" s="188"/>
      <c r="KT168" s="188"/>
      <c r="KU168" s="188"/>
      <c r="KV168" s="188"/>
      <c r="KW168" s="188"/>
      <c r="KX168" s="188"/>
      <c r="KY168" s="188"/>
      <c r="KZ168" s="188"/>
      <c r="LA168" s="188"/>
      <c r="LB168" s="188"/>
      <c r="LC168" s="188"/>
      <c r="LD168" s="188"/>
      <c r="LE168" s="189"/>
      <c r="LF168" s="187"/>
      <c r="LG168" s="188"/>
      <c r="LH168" s="188"/>
      <c r="LI168" s="188"/>
      <c r="LJ168" s="189"/>
      <c r="LQ168" s="12"/>
      <c r="LR168" s="7"/>
      <c r="LS168" s="3"/>
      <c r="LT168" s="3"/>
      <c r="LU168" s="3"/>
      <c r="LV168" s="3"/>
      <c r="LW168" s="2"/>
      <c r="MK168" s="3"/>
      <c r="ML168" s="3"/>
      <c r="MM168" s="3"/>
      <c r="MN168" s="3"/>
      <c r="MO168" s="3"/>
      <c r="MP168" s="2"/>
    </row>
    <row r="169" spans="3:354" ht="5.0999999999999996" customHeight="1" x14ac:dyDescent="0.3">
      <c r="C169" s="11"/>
      <c r="D169" s="13"/>
      <c r="Q169" s="187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  <c r="BE169" s="189"/>
      <c r="BF169" s="187"/>
      <c r="BG169" s="188"/>
      <c r="BH169" s="188"/>
      <c r="BI169" s="188"/>
      <c r="BJ169" s="189"/>
      <c r="BQ169" s="187"/>
      <c r="BR169" s="188"/>
      <c r="BS169" s="188"/>
      <c r="BT169" s="188"/>
      <c r="BU169" s="188"/>
      <c r="BV169" s="188"/>
      <c r="BW169" s="188"/>
      <c r="BX169" s="188"/>
      <c r="BY169" s="188"/>
      <c r="BZ169" s="188"/>
      <c r="CA169" s="188"/>
      <c r="CB169" s="188"/>
      <c r="CC169" s="188"/>
      <c r="CD169" s="188"/>
      <c r="CE169" s="188"/>
      <c r="CF169" s="188"/>
      <c r="CG169" s="188"/>
      <c r="CH169" s="188"/>
      <c r="CI169" s="188"/>
      <c r="CJ169" s="188"/>
      <c r="CK169" s="188"/>
      <c r="CL169" s="188"/>
      <c r="CM169" s="188"/>
      <c r="CN169" s="188"/>
      <c r="CO169" s="188"/>
      <c r="CP169" s="188"/>
      <c r="CQ169" s="188"/>
      <c r="CR169" s="188"/>
      <c r="CS169" s="188"/>
      <c r="CT169" s="188"/>
      <c r="CU169" s="188"/>
      <c r="CV169" s="188"/>
      <c r="CW169" s="188"/>
      <c r="CX169" s="188"/>
      <c r="CY169" s="188"/>
      <c r="CZ169" s="188"/>
      <c r="DA169" s="188"/>
      <c r="DB169" s="188"/>
      <c r="DC169" s="188"/>
      <c r="DD169" s="189"/>
      <c r="DE169" s="187"/>
      <c r="DF169" s="188"/>
      <c r="DG169" s="188"/>
      <c r="DH169" s="188"/>
      <c r="DI169" s="189"/>
      <c r="DO169" s="187"/>
      <c r="DP169" s="188"/>
      <c r="DQ169" s="188"/>
      <c r="DR169" s="188"/>
      <c r="DS169" s="188"/>
      <c r="DT169" s="188"/>
      <c r="DU169" s="188"/>
      <c r="DV169" s="188"/>
      <c r="DW169" s="188"/>
      <c r="DX169" s="188"/>
      <c r="DY169" s="188"/>
      <c r="DZ169" s="188"/>
      <c r="EA169" s="188"/>
      <c r="EB169" s="188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R169" s="188"/>
      <c r="ES169" s="188"/>
      <c r="ET169" s="188"/>
      <c r="EU169" s="188"/>
      <c r="EV169" s="188"/>
      <c r="EW169" s="188"/>
      <c r="EX169" s="188"/>
      <c r="EY169" s="188"/>
      <c r="EZ169" s="188"/>
      <c r="FA169" s="188"/>
      <c r="FB169" s="189"/>
      <c r="FC169" s="187"/>
      <c r="FD169" s="188"/>
      <c r="FE169" s="188"/>
      <c r="FF169" s="188"/>
      <c r="FG169" s="189"/>
      <c r="FL169" s="187"/>
      <c r="FM169" s="188"/>
      <c r="FN169" s="188"/>
      <c r="FO169" s="188"/>
      <c r="FP169" s="188"/>
      <c r="FQ169" s="188"/>
      <c r="FR169" s="188"/>
      <c r="FS169" s="188"/>
      <c r="FT169" s="188"/>
      <c r="FU169" s="188"/>
      <c r="FV169" s="188"/>
      <c r="FW169" s="188"/>
      <c r="FX169" s="188"/>
      <c r="FY169" s="188"/>
      <c r="FZ169" s="188"/>
      <c r="GA169" s="188"/>
      <c r="GB169" s="188"/>
      <c r="GC169" s="188"/>
      <c r="GD169" s="188"/>
      <c r="GE169" s="188"/>
      <c r="GF169" s="188"/>
      <c r="GG169" s="188"/>
      <c r="GH169" s="188"/>
      <c r="GI169" s="188"/>
      <c r="GJ169" s="188"/>
      <c r="GK169" s="188"/>
      <c r="GL169" s="188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  <c r="GY169" s="189"/>
      <c r="GZ169" s="187"/>
      <c r="HA169" s="188"/>
      <c r="HB169" s="188"/>
      <c r="HC169" s="188"/>
      <c r="HD169" s="189"/>
      <c r="HI169" s="198"/>
      <c r="HJ169" s="199"/>
      <c r="HK169" s="199"/>
      <c r="HL169" s="199"/>
      <c r="HM169" s="199"/>
      <c r="HN169" s="199"/>
      <c r="HO169" s="199"/>
      <c r="HP169" s="199"/>
      <c r="HQ169" s="199"/>
      <c r="HR169" s="199"/>
      <c r="HS169" s="199"/>
      <c r="HT169" s="199"/>
      <c r="HU169" s="199"/>
      <c r="HV169" s="199"/>
      <c r="HW169" s="199"/>
      <c r="HX169" s="199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  <c r="IW169" s="204"/>
      <c r="IX169" s="204"/>
      <c r="IY169" s="204"/>
      <c r="IZ169" s="204"/>
      <c r="JA169" s="204"/>
      <c r="JB169" s="204"/>
      <c r="JC169" s="19"/>
      <c r="JG169" s="154"/>
      <c r="JN169" s="16"/>
      <c r="JQ169" s="190"/>
      <c r="JR169" s="191"/>
      <c r="JS169" s="191"/>
      <c r="JT169" s="191"/>
      <c r="JU169" s="191"/>
      <c r="JV169" s="191"/>
      <c r="JW169" s="191"/>
      <c r="JX169" s="191"/>
      <c r="JY169" s="191"/>
      <c r="JZ169" s="191"/>
      <c r="KA169" s="191"/>
      <c r="KB169" s="191"/>
      <c r="KC169" s="191"/>
      <c r="KD169" s="191"/>
      <c r="KE169" s="191"/>
      <c r="KF169" s="191"/>
      <c r="KG169" s="191"/>
      <c r="KH169" s="191"/>
      <c r="KI169" s="191"/>
      <c r="KJ169" s="191"/>
      <c r="KK169" s="191"/>
      <c r="KL169" s="191"/>
      <c r="KM169" s="191"/>
      <c r="KN169" s="191"/>
      <c r="KO169" s="191"/>
      <c r="KP169" s="191"/>
      <c r="KQ169" s="191"/>
      <c r="KR169" s="191"/>
      <c r="KS169" s="191"/>
      <c r="KT169" s="191"/>
      <c r="KU169" s="191"/>
      <c r="KV169" s="191"/>
      <c r="KW169" s="191"/>
      <c r="KX169" s="191"/>
      <c r="KY169" s="191"/>
      <c r="KZ169" s="191"/>
      <c r="LA169" s="191"/>
      <c r="LB169" s="191"/>
      <c r="LC169" s="191"/>
      <c r="LD169" s="191"/>
      <c r="LE169" s="192"/>
      <c r="LF169" s="190"/>
      <c r="LG169" s="191"/>
      <c r="LH169" s="191"/>
      <c r="LI169" s="191"/>
      <c r="LJ169" s="192"/>
      <c r="LQ169" s="12"/>
      <c r="LR169" s="7"/>
      <c r="LS169" s="3"/>
      <c r="LT169" s="3"/>
      <c r="LU169" s="3"/>
      <c r="LV169" s="3"/>
      <c r="LW169" s="2"/>
      <c r="MK169" s="3"/>
      <c r="ML169" s="3"/>
      <c r="MM169" s="3"/>
      <c r="MN169" s="3"/>
      <c r="MO169" s="3"/>
      <c r="MP169" s="2"/>
    </row>
    <row r="170" spans="3:354" ht="5.0999999999999996" customHeight="1" thickBot="1" x14ac:dyDescent="0.35">
      <c r="C170" s="11"/>
      <c r="D170" s="13"/>
      <c r="Q170" s="190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2"/>
      <c r="BF170" s="190"/>
      <c r="BG170" s="191"/>
      <c r="BH170" s="191"/>
      <c r="BI170" s="191"/>
      <c r="BJ170" s="192"/>
      <c r="BQ170" s="190"/>
      <c r="BR170" s="191"/>
      <c r="BS170" s="191"/>
      <c r="BT170" s="191"/>
      <c r="BU170" s="191"/>
      <c r="BV170" s="191"/>
      <c r="BW170" s="191"/>
      <c r="BX170" s="191"/>
      <c r="BY170" s="191"/>
      <c r="BZ170" s="191"/>
      <c r="CA170" s="191"/>
      <c r="CB170" s="191"/>
      <c r="CC170" s="191"/>
      <c r="CD170" s="191"/>
      <c r="CE170" s="191"/>
      <c r="CF170" s="191"/>
      <c r="CG170" s="191"/>
      <c r="CH170" s="191"/>
      <c r="CI170" s="191"/>
      <c r="CJ170" s="191"/>
      <c r="CK170" s="191"/>
      <c r="CL170" s="191"/>
      <c r="CM170" s="191"/>
      <c r="CN170" s="191"/>
      <c r="CO170" s="191"/>
      <c r="CP170" s="191"/>
      <c r="CQ170" s="191"/>
      <c r="CR170" s="191"/>
      <c r="CS170" s="191"/>
      <c r="CT170" s="191"/>
      <c r="CU170" s="191"/>
      <c r="CV170" s="191"/>
      <c r="CW170" s="191"/>
      <c r="CX170" s="191"/>
      <c r="CY170" s="191"/>
      <c r="CZ170" s="191"/>
      <c r="DA170" s="191"/>
      <c r="DB170" s="191"/>
      <c r="DC170" s="191"/>
      <c r="DD170" s="192"/>
      <c r="DE170" s="190"/>
      <c r="DF170" s="191"/>
      <c r="DG170" s="191"/>
      <c r="DH170" s="191"/>
      <c r="DI170" s="192"/>
      <c r="DO170" s="190"/>
      <c r="DP170" s="191"/>
      <c r="DQ170" s="191"/>
      <c r="DR170" s="191"/>
      <c r="DS170" s="191"/>
      <c r="DT170" s="191"/>
      <c r="DU170" s="191"/>
      <c r="DV170" s="191"/>
      <c r="DW170" s="191"/>
      <c r="DX170" s="191"/>
      <c r="DY170" s="191"/>
      <c r="DZ170" s="191"/>
      <c r="EA170" s="191"/>
      <c r="EB170" s="191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2"/>
      <c r="FC170" s="190"/>
      <c r="FD170" s="191"/>
      <c r="FE170" s="191"/>
      <c r="FF170" s="191"/>
      <c r="FG170" s="192"/>
      <c r="FL170" s="190"/>
      <c r="FM170" s="191"/>
      <c r="FN170" s="191"/>
      <c r="FO170" s="191"/>
      <c r="FP170" s="191"/>
      <c r="FQ170" s="191"/>
      <c r="FR170" s="191"/>
      <c r="FS170" s="191"/>
      <c r="FT170" s="191"/>
      <c r="FU170" s="191"/>
      <c r="FV170" s="191"/>
      <c r="FW170" s="191"/>
      <c r="FX170" s="191"/>
      <c r="FY170" s="191"/>
      <c r="FZ170" s="191"/>
      <c r="GA170" s="191"/>
      <c r="GB170" s="191"/>
      <c r="GC170" s="191"/>
      <c r="GD170" s="191"/>
      <c r="GE170" s="191"/>
      <c r="GF170" s="191"/>
      <c r="GG170" s="191"/>
      <c r="GH170" s="191"/>
      <c r="GI170" s="191"/>
      <c r="GJ170" s="191"/>
      <c r="GK170" s="191"/>
      <c r="GL170" s="191"/>
      <c r="GM170" s="191"/>
      <c r="GN170" s="191"/>
      <c r="GO170" s="191"/>
      <c r="GP170" s="191"/>
      <c r="GQ170" s="191"/>
      <c r="GR170" s="191"/>
      <c r="GS170" s="191"/>
      <c r="GT170" s="191"/>
      <c r="GU170" s="191"/>
      <c r="GV170" s="191"/>
      <c r="GW170" s="191"/>
      <c r="GX170" s="191"/>
      <c r="GY170" s="192"/>
      <c r="GZ170" s="190"/>
      <c r="HA170" s="191"/>
      <c r="HB170" s="191"/>
      <c r="HC170" s="191"/>
      <c r="HD170" s="192"/>
      <c r="HI170" s="201"/>
      <c r="HJ170" s="202"/>
      <c r="HK170" s="202"/>
      <c r="HL170" s="202"/>
      <c r="HM170" s="202"/>
      <c r="HN170" s="202"/>
      <c r="HO170" s="202"/>
      <c r="HP170" s="202"/>
      <c r="HQ170" s="202"/>
      <c r="HR170" s="202"/>
      <c r="HS170" s="202"/>
      <c r="HT170" s="202"/>
      <c r="HU170" s="202"/>
      <c r="HV170" s="202"/>
      <c r="HW170" s="202"/>
      <c r="HX170" s="202"/>
      <c r="HY170" s="202"/>
      <c r="HZ170" s="202"/>
      <c r="IA170" s="202"/>
      <c r="IB170" s="202"/>
      <c r="IC170" s="202"/>
      <c r="ID170" s="202"/>
      <c r="IE170" s="202"/>
      <c r="IF170" s="202"/>
      <c r="IG170" s="202"/>
      <c r="IH170" s="202"/>
      <c r="II170" s="202"/>
      <c r="IJ170" s="202"/>
      <c r="IK170" s="202"/>
      <c r="IL170" s="202"/>
      <c r="IM170" s="202"/>
      <c r="IN170" s="202"/>
      <c r="IO170" s="202"/>
      <c r="IP170" s="202"/>
      <c r="IQ170" s="202"/>
      <c r="IR170" s="202"/>
      <c r="IS170" s="202"/>
      <c r="IT170" s="202"/>
      <c r="IU170" s="202"/>
      <c r="IV170" s="202"/>
      <c r="IW170" s="204"/>
      <c r="IX170" s="204"/>
      <c r="IY170" s="204"/>
      <c r="IZ170" s="204"/>
      <c r="JA170" s="204"/>
      <c r="JB170" s="204"/>
      <c r="JC170" s="19"/>
      <c r="JG170" s="154"/>
      <c r="JN170" s="16"/>
      <c r="JQ170" s="184" t="s">
        <v>44</v>
      </c>
      <c r="JR170" s="185"/>
      <c r="JS170" s="185"/>
      <c r="JT170" s="185"/>
      <c r="JU170" s="185"/>
      <c r="JV170" s="185"/>
      <c r="JW170" s="185"/>
      <c r="JX170" s="185"/>
      <c r="JY170" s="185"/>
      <c r="JZ170" s="185"/>
      <c r="KA170" s="185"/>
      <c r="KB170" s="185"/>
      <c r="KC170" s="185"/>
      <c r="KD170" s="185"/>
      <c r="KE170" s="185"/>
      <c r="KF170" s="185"/>
      <c r="KG170" s="185"/>
      <c r="KH170" s="185"/>
      <c r="KI170" s="185"/>
      <c r="KJ170" s="185"/>
      <c r="KK170" s="185"/>
      <c r="KL170" s="185"/>
      <c r="KM170" s="185"/>
      <c r="KN170" s="185"/>
      <c r="KO170" s="185"/>
      <c r="KP170" s="185"/>
      <c r="KQ170" s="185"/>
      <c r="KR170" s="185"/>
      <c r="KS170" s="185"/>
      <c r="KT170" s="185"/>
      <c r="KU170" s="185"/>
      <c r="KV170" s="185"/>
      <c r="KW170" s="185"/>
      <c r="KX170" s="185"/>
      <c r="KY170" s="185"/>
      <c r="KZ170" s="185"/>
      <c r="LA170" s="185"/>
      <c r="LB170" s="185"/>
      <c r="LC170" s="185"/>
      <c r="LD170" s="185"/>
      <c r="LE170" s="186"/>
      <c r="LF170" s="184">
        <v>1</v>
      </c>
      <c r="LG170" s="185"/>
      <c r="LH170" s="185"/>
      <c r="LI170" s="185"/>
      <c r="LJ170" s="186"/>
      <c r="LQ170" s="12"/>
      <c r="LR170" s="7"/>
      <c r="LS170" s="3"/>
      <c r="LT170" s="3"/>
      <c r="LU170" s="3"/>
      <c r="LV170" s="3"/>
      <c r="LW170" s="2"/>
      <c r="MK170" s="3"/>
      <c r="ML170" s="3"/>
      <c r="MM170" s="3"/>
      <c r="MN170" s="3"/>
      <c r="MO170" s="3"/>
      <c r="MP170" s="2"/>
    </row>
    <row r="171" spans="3:354" ht="5.0999999999999996" customHeight="1" x14ac:dyDescent="0.3">
      <c r="C171" s="11"/>
      <c r="D171" s="13"/>
      <c r="Q171" s="184" t="s">
        <v>43</v>
      </c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6"/>
      <c r="BF171" s="184">
        <v>3</v>
      </c>
      <c r="BG171" s="185"/>
      <c r="BH171" s="185"/>
      <c r="BI171" s="185"/>
      <c r="BJ171" s="186"/>
      <c r="CM171" s="54"/>
      <c r="CN171" s="18"/>
      <c r="DO171" s="184" t="s">
        <v>52</v>
      </c>
      <c r="DP171" s="185"/>
      <c r="DQ171" s="185"/>
      <c r="DR171" s="185"/>
      <c r="DS171" s="185"/>
      <c r="DT171" s="185"/>
      <c r="DU171" s="185"/>
      <c r="DV171" s="185"/>
      <c r="DW171" s="185"/>
      <c r="DX171" s="185"/>
      <c r="DY171" s="185"/>
      <c r="DZ171" s="185"/>
      <c r="EA171" s="185"/>
      <c r="EB171" s="185"/>
      <c r="EC171" s="185"/>
      <c r="ED171" s="185"/>
      <c r="EE171" s="185"/>
      <c r="EF171" s="185"/>
      <c r="EG171" s="185"/>
      <c r="EH171" s="185"/>
      <c r="EI171" s="185"/>
      <c r="EJ171" s="185"/>
      <c r="EK171" s="185"/>
      <c r="EL171" s="185"/>
      <c r="EM171" s="185"/>
      <c r="EN171" s="185"/>
      <c r="EO171" s="185"/>
      <c r="EP171" s="185"/>
      <c r="EQ171" s="185"/>
      <c r="ER171" s="185"/>
      <c r="ES171" s="185"/>
      <c r="ET171" s="185"/>
      <c r="EU171" s="185"/>
      <c r="EV171" s="185"/>
      <c r="EW171" s="185"/>
      <c r="EX171" s="185"/>
      <c r="EY171" s="185"/>
      <c r="EZ171" s="185"/>
      <c r="FA171" s="185">
        <v>1</v>
      </c>
      <c r="FB171" s="186"/>
      <c r="FC171" s="184">
        <v>10</v>
      </c>
      <c r="FD171" s="185"/>
      <c r="FE171" s="185"/>
      <c r="FF171" s="185"/>
      <c r="FG171" s="186"/>
      <c r="FL171" s="184" t="s">
        <v>53</v>
      </c>
      <c r="FM171" s="185"/>
      <c r="FN171" s="185"/>
      <c r="FO171" s="185"/>
      <c r="FP171" s="185"/>
      <c r="FQ171" s="185"/>
      <c r="FR171" s="185"/>
      <c r="FS171" s="185"/>
      <c r="FT171" s="185"/>
      <c r="FU171" s="185"/>
      <c r="FV171" s="185"/>
      <c r="FW171" s="185"/>
      <c r="FX171" s="185"/>
      <c r="FY171" s="185"/>
      <c r="FZ171" s="185"/>
      <c r="GA171" s="185"/>
      <c r="GB171" s="185"/>
      <c r="GC171" s="185"/>
      <c r="GD171" s="185"/>
      <c r="GE171" s="185"/>
      <c r="GF171" s="185"/>
      <c r="GG171" s="185"/>
      <c r="GH171" s="185"/>
      <c r="GI171" s="185"/>
      <c r="GJ171" s="185"/>
      <c r="GK171" s="185"/>
      <c r="GL171" s="185"/>
      <c r="GM171" s="185"/>
      <c r="GN171" s="185"/>
      <c r="GO171" s="185"/>
      <c r="GP171" s="185"/>
      <c r="GQ171" s="185"/>
      <c r="GR171" s="185"/>
      <c r="GS171" s="185"/>
      <c r="GT171" s="185"/>
      <c r="GU171" s="185"/>
      <c r="GV171" s="185"/>
      <c r="GW171" s="185"/>
      <c r="GX171" s="185"/>
      <c r="GY171" s="186"/>
      <c r="GZ171" s="184">
        <v>2</v>
      </c>
      <c r="HA171" s="185"/>
      <c r="HB171" s="185"/>
      <c r="HC171" s="185"/>
      <c r="HD171" s="186"/>
      <c r="HI171" s="216" t="s">
        <v>37</v>
      </c>
      <c r="HJ171" s="217"/>
      <c r="HK171" s="217"/>
      <c r="HL171" s="217"/>
      <c r="HM171" s="217"/>
      <c r="HN171" s="217"/>
      <c r="HO171" s="217"/>
      <c r="HP171" s="217"/>
      <c r="HQ171" s="217"/>
      <c r="HR171" s="217"/>
      <c r="HS171" s="217"/>
      <c r="HT171" s="217"/>
      <c r="HU171" s="217"/>
      <c r="HV171" s="217"/>
      <c r="HW171" s="217"/>
      <c r="HX171" s="217"/>
      <c r="HY171" s="217"/>
      <c r="HZ171" s="217"/>
      <c r="IA171" s="217"/>
      <c r="IB171" s="217"/>
      <c r="IC171" s="217"/>
      <c r="ID171" s="217"/>
      <c r="IE171" s="217"/>
      <c r="IF171" s="217"/>
      <c r="IG171" s="217"/>
      <c r="IH171" s="217"/>
      <c r="II171" s="217"/>
      <c r="IJ171" s="217"/>
      <c r="IK171" s="217"/>
      <c r="IL171" s="217"/>
      <c r="IM171" s="217"/>
      <c r="IN171" s="217"/>
      <c r="IO171" s="217"/>
      <c r="IP171" s="217"/>
      <c r="IQ171" s="217"/>
      <c r="IR171" s="217"/>
      <c r="IS171" s="217"/>
      <c r="IT171" s="217"/>
      <c r="IU171" s="217"/>
      <c r="IV171" s="217"/>
      <c r="IW171" s="187">
        <v>2</v>
      </c>
      <c r="IX171" s="188"/>
      <c r="IY171" s="188"/>
      <c r="IZ171" s="188"/>
      <c r="JA171" s="188"/>
      <c r="JB171" s="189"/>
      <c r="JC171" s="52"/>
      <c r="JG171" s="154"/>
      <c r="JN171" s="16"/>
      <c r="JQ171" s="187"/>
      <c r="JR171" s="188"/>
      <c r="JS171" s="188"/>
      <c r="JT171" s="188"/>
      <c r="JU171" s="188"/>
      <c r="JV171" s="188"/>
      <c r="JW171" s="188"/>
      <c r="JX171" s="188"/>
      <c r="JY171" s="188"/>
      <c r="JZ171" s="188"/>
      <c r="KA171" s="188"/>
      <c r="KB171" s="188"/>
      <c r="KC171" s="188"/>
      <c r="KD171" s="188"/>
      <c r="KE171" s="188"/>
      <c r="KF171" s="188"/>
      <c r="KG171" s="188"/>
      <c r="KH171" s="188"/>
      <c r="KI171" s="188"/>
      <c r="KJ171" s="188"/>
      <c r="KK171" s="188"/>
      <c r="KL171" s="188"/>
      <c r="KM171" s="188"/>
      <c r="KN171" s="188"/>
      <c r="KO171" s="188"/>
      <c r="KP171" s="188"/>
      <c r="KQ171" s="188"/>
      <c r="KR171" s="188"/>
      <c r="KS171" s="188"/>
      <c r="KT171" s="188"/>
      <c r="KU171" s="188"/>
      <c r="KV171" s="188"/>
      <c r="KW171" s="188"/>
      <c r="KX171" s="188"/>
      <c r="KY171" s="188"/>
      <c r="KZ171" s="188"/>
      <c r="LA171" s="188"/>
      <c r="LB171" s="188"/>
      <c r="LC171" s="188"/>
      <c r="LD171" s="188"/>
      <c r="LE171" s="189"/>
      <c r="LF171" s="187"/>
      <c r="LG171" s="188"/>
      <c r="LH171" s="188"/>
      <c r="LI171" s="188"/>
      <c r="LJ171" s="189"/>
      <c r="LQ171" s="12"/>
      <c r="LR171" s="7"/>
      <c r="LS171" s="3"/>
      <c r="LT171" s="3"/>
      <c r="LU171" s="3"/>
      <c r="LV171" s="3"/>
      <c r="LW171" s="2"/>
      <c r="MK171" s="3"/>
      <c r="ML171" s="3"/>
      <c r="MM171" s="3"/>
      <c r="MN171" s="3"/>
      <c r="MO171" s="3"/>
      <c r="MP171" s="2"/>
    </row>
    <row r="172" spans="3:354" ht="5.0999999999999996" customHeight="1" x14ac:dyDescent="0.3">
      <c r="C172" s="11"/>
      <c r="D172" s="13"/>
      <c r="Q172" s="187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9"/>
      <c r="BF172" s="187"/>
      <c r="BG172" s="188"/>
      <c r="BH172" s="188"/>
      <c r="BI172" s="188"/>
      <c r="BJ172" s="189"/>
      <c r="CM172" s="19"/>
      <c r="DO172" s="187"/>
      <c r="DP172" s="188"/>
      <c r="DQ172" s="188"/>
      <c r="DR172" s="188"/>
      <c r="DS172" s="188"/>
      <c r="DT172" s="188"/>
      <c r="DU172" s="188"/>
      <c r="DV172" s="188"/>
      <c r="DW172" s="188"/>
      <c r="DX172" s="188"/>
      <c r="DY172" s="188"/>
      <c r="DZ172" s="188"/>
      <c r="EA172" s="188"/>
      <c r="EB172" s="188"/>
      <c r="EC172" s="188"/>
      <c r="ED172" s="188"/>
      <c r="EE172" s="188"/>
      <c r="EF172" s="188"/>
      <c r="EG172" s="188"/>
      <c r="EH172" s="188"/>
      <c r="EI172" s="188"/>
      <c r="EJ172" s="188"/>
      <c r="EK172" s="188"/>
      <c r="EL172" s="188"/>
      <c r="EM172" s="188"/>
      <c r="EN172" s="188"/>
      <c r="EO172" s="188"/>
      <c r="EP172" s="188"/>
      <c r="EQ172" s="188"/>
      <c r="ER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9"/>
      <c r="FC172" s="187"/>
      <c r="FD172" s="188"/>
      <c r="FE172" s="188"/>
      <c r="FF172" s="188"/>
      <c r="FG172" s="189"/>
      <c r="FL172" s="187"/>
      <c r="FM172" s="188"/>
      <c r="FN172" s="188"/>
      <c r="FO172" s="188"/>
      <c r="FP172" s="188"/>
      <c r="FQ172" s="188"/>
      <c r="FR172" s="188"/>
      <c r="FS172" s="188"/>
      <c r="FT172" s="188"/>
      <c r="FU172" s="188"/>
      <c r="FV172" s="188"/>
      <c r="FW172" s="188"/>
      <c r="FX172" s="188"/>
      <c r="FY172" s="188"/>
      <c r="FZ172" s="188"/>
      <c r="GA172" s="188"/>
      <c r="GB172" s="188"/>
      <c r="GC172" s="188"/>
      <c r="GD172" s="188"/>
      <c r="GE172" s="188"/>
      <c r="GF172" s="188"/>
      <c r="GG172" s="188"/>
      <c r="GH172" s="188"/>
      <c r="GI172" s="188"/>
      <c r="GJ172" s="188"/>
      <c r="GK172" s="188"/>
      <c r="GL172" s="188"/>
      <c r="GM172" s="188"/>
      <c r="GN172" s="188"/>
      <c r="GO172" s="188"/>
      <c r="GP172" s="188"/>
      <c r="GQ172" s="188"/>
      <c r="GR172" s="188"/>
      <c r="GS172" s="188"/>
      <c r="GT172" s="188"/>
      <c r="GU172" s="188"/>
      <c r="GV172" s="188"/>
      <c r="GW172" s="188"/>
      <c r="GX172" s="188"/>
      <c r="GY172" s="189"/>
      <c r="GZ172" s="187"/>
      <c r="HA172" s="188"/>
      <c r="HB172" s="188"/>
      <c r="HC172" s="188"/>
      <c r="HD172" s="189"/>
      <c r="HI172" s="219"/>
      <c r="HJ172" s="220"/>
      <c r="HK172" s="220"/>
      <c r="HL172" s="220"/>
      <c r="HM172" s="220"/>
      <c r="HN172" s="220"/>
      <c r="HO172" s="220"/>
      <c r="HP172" s="220"/>
      <c r="HQ172" s="220"/>
      <c r="HR172" s="220"/>
      <c r="HS172" s="220"/>
      <c r="HT172" s="220"/>
      <c r="HU172" s="220"/>
      <c r="HV172" s="220"/>
      <c r="HW172" s="220"/>
      <c r="HX172" s="220"/>
      <c r="HY172" s="220"/>
      <c r="HZ172" s="220"/>
      <c r="IA172" s="220"/>
      <c r="IB172" s="220"/>
      <c r="IC172" s="220"/>
      <c r="ID172" s="220"/>
      <c r="IE172" s="220"/>
      <c r="IF172" s="220"/>
      <c r="IG172" s="220"/>
      <c r="IH172" s="220"/>
      <c r="II172" s="220"/>
      <c r="IJ172" s="220"/>
      <c r="IK172" s="220"/>
      <c r="IL172" s="220"/>
      <c r="IM172" s="220"/>
      <c r="IN172" s="220"/>
      <c r="IO172" s="220"/>
      <c r="IP172" s="220"/>
      <c r="IQ172" s="220"/>
      <c r="IR172" s="220"/>
      <c r="IS172" s="220"/>
      <c r="IT172" s="220"/>
      <c r="IU172" s="220"/>
      <c r="IV172" s="220"/>
      <c r="IW172" s="187"/>
      <c r="IX172" s="188"/>
      <c r="IY172" s="188"/>
      <c r="IZ172" s="188"/>
      <c r="JA172" s="188"/>
      <c r="JB172" s="189"/>
      <c r="JC172" s="53"/>
      <c r="JG172" s="154"/>
      <c r="JN172" s="16"/>
      <c r="JQ172" s="187"/>
      <c r="JR172" s="188"/>
      <c r="JS172" s="188"/>
      <c r="JT172" s="188"/>
      <c r="JU172" s="188"/>
      <c r="JV172" s="188"/>
      <c r="JW172" s="188"/>
      <c r="JX172" s="188"/>
      <c r="JY172" s="188"/>
      <c r="JZ172" s="188"/>
      <c r="KA172" s="188"/>
      <c r="KB172" s="188"/>
      <c r="KC172" s="188"/>
      <c r="KD172" s="188"/>
      <c r="KE172" s="188"/>
      <c r="KF172" s="188"/>
      <c r="KG172" s="188"/>
      <c r="KH172" s="188"/>
      <c r="KI172" s="188"/>
      <c r="KJ172" s="188"/>
      <c r="KK172" s="188"/>
      <c r="KL172" s="188"/>
      <c r="KM172" s="188"/>
      <c r="KN172" s="188"/>
      <c r="KO172" s="188"/>
      <c r="KP172" s="188"/>
      <c r="KQ172" s="188"/>
      <c r="KR172" s="188"/>
      <c r="KS172" s="188"/>
      <c r="KT172" s="188"/>
      <c r="KU172" s="188"/>
      <c r="KV172" s="188"/>
      <c r="KW172" s="188"/>
      <c r="KX172" s="188"/>
      <c r="KY172" s="188"/>
      <c r="KZ172" s="188"/>
      <c r="LA172" s="188"/>
      <c r="LB172" s="188"/>
      <c r="LC172" s="188"/>
      <c r="LD172" s="188"/>
      <c r="LE172" s="189"/>
      <c r="LF172" s="187"/>
      <c r="LG172" s="188"/>
      <c r="LH172" s="188"/>
      <c r="LI172" s="188"/>
      <c r="LJ172" s="189"/>
      <c r="LQ172" s="12"/>
      <c r="LR172" s="7"/>
      <c r="LS172" s="3"/>
      <c r="LT172" s="3"/>
      <c r="LU172" s="3"/>
      <c r="LV172" s="3"/>
      <c r="LW172" s="2"/>
      <c r="MK172" s="3"/>
      <c r="ML172" s="3"/>
      <c r="MM172" s="3"/>
      <c r="MN172" s="3"/>
      <c r="MO172" s="3"/>
      <c r="MP172" s="2"/>
    </row>
    <row r="173" spans="3:354" ht="5.0999999999999996" customHeight="1" x14ac:dyDescent="0.3">
      <c r="C173" s="11"/>
      <c r="D173" s="13"/>
      <c r="Q173" s="187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  <c r="BD173" s="188"/>
      <c r="BE173" s="189"/>
      <c r="BF173" s="187"/>
      <c r="BG173" s="188"/>
      <c r="BH173" s="188"/>
      <c r="BI173" s="188"/>
      <c r="BJ173" s="189"/>
      <c r="BQ173" s="184" t="s">
        <v>49</v>
      </c>
      <c r="BR173" s="185"/>
      <c r="BS173" s="185"/>
      <c r="BT173" s="185"/>
      <c r="BU173" s="185"/>
      <c r="BV173" s="185"/>
      <c r="BW173" s="185"/>
      <c r="BX173" s="185"/>
      <c r="BY173" s="185"/>
      <c r="BZ173" s="185"/>
      <c r="CA173" s="185"/>
      <c r="CB173" s="185"/>
      <c r="CC173" s="185"/>
      <c r="CD173" s="185"/>
      <c r="CE173" s="185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5"/>
      <c r="CP173" s="185"/>
      <c r="CQ173" s="185"/>
      <c r="CR173" s="185"/>
      <c r="CS173" s="185"/>
      <c r="CT173" s="185"/>
      <c r="CU173" s="185"/>
      <c r="CV173" s="185"/>
      <c r="CW173" s="185"/>
      <c r="CX173" s="185"/>
      <c r="CY173" s="185"/>
      <c r="CZ173" s="185"/>
      <c r="DA173" s="185"/>
      <c r="DB173" s="185"/>
      <c r="DC173" s="185">
        <v>1</v>
      </c>
      <c r="DD173" s="186"/>
      <c r="DE173" s="184">
        <v>25</v>
      </c>
      <c r="DF173" s="185"/>
      <c r="DG173" s="185"/>
      <c r="DH173" s="185"/>
      <c r="DI173" s="186"/>
      <c r="DO173" s="187"/>
      <c r="DP173" s="188"/>
      <c r="DQ173" s="188"/>
      <c r="DR173" s="188"/>
      <c r="DS173" s="188"/>
      <c r="DT173" s="188"/>
      <c r="DU173" s="188"/>
      <c r="DV173" s="188"/>
      <c r="DW173" s="188"/>
      <c r="DX173" s="188"/>
      <c r="DY173" s="188"/>
      <c r="DZ173" s="188"/>
      <c r="EA173" s="188"/>
      <c r="EB173" s="188"/>
      <c r="EC173" s="188"/>
      <c r="ED173" s="188"/>
      <c r="EE173" s="188"/>
      <c r="EF173" s="188"/>
      <c r="EG173" s="188"/>
      <c r="EH173" s="188"/>
      <c r="EI173" s="188"/>
      <c r="EJ173" s="188"/>
      <c r="EK173" s="188"/>
      <c r="EL173" s="188"/>
      <c r="EM173" s="188"/>
      <c r="EN173" s="188"/>
      <c r="EO173" s="188"/>
      <c r="EP173" s="188"/>
      <c r="EQ173" s="188"/>
      <c r="ER173" s="188"/>
      <c r="ES173" s="188"/>
      <c r="ET173" s="188"/>
      <c r="EU173" s="188"/>
      <c r="EV173" s="188"/>
      <c r="EW173" s="188"/>
      <c r="EX173" s="188"/>
      <c r="EY173" s="188"/>
      <c r="EZ173" s="188"/>
      <c r="FA173" s="188"/>
      <c r="FB173" s="189"/>
      <c r="FC173" s="187"/>
      <c r="FD173" s="188"/>
      <c r="FE173" s="188"/>
      <c r="FF173" s="188"/>
      <c r="FG173" s="189"/>
      <c r="FL173" s="187"/>
      <c r="FM173" s="188"/>
      <c r="FN173" s="188"/>
      <c r="FO173" s="188"/>
      <c r="FP173" s="188"/>
      <c r="FQ173" s="188"/>
      <c r="FR173" s="188"/>
      <c r="FS173" s="188"/>
      <c r="FT173" s="188"/>
      <c r="FU173" s="188"/>
      <c r="FV173" s="188"/>
      <c r="FW173" s="188"/>
      <c r="FX173" s="188"/>
      <c r="FY173" s="188"/>
      <c r="FZ173" s="188"/>
      <c r="GA173" s="188"/>
      <c r="GB173" s="188"/>
      <c r="GC173" s="188"/>
      <c r="GD173" s="188"/>
      <c r="GE173" s="188"/>
      <c r="GF173" s="188"/>
      <c r="GG173" s="188"/>
      <c r="GH173" s="188"/>
      <c r="GI173" s="188"/>
      <c r="GJ173" s="188"/>
      <c r="GK173" s="188"/>
      <c r="GL173" s="188"/>
      <c r="GM173" s="188"/>
      <c r="GN173" s="188"/>
      <c r="GO173" s="188"/>
      <c r="GP173" s="188"/>
      <c r="GQ173" s="188"/>
      <c r="GR173" s="188"/>
      <c r="GS173" s="188"/>
      <c r="GT173" s="188"/>
      <c r="GU173" s="188"/>
      <c r="GV173" s="188"/>
      <c r="GW173" s="188"/>
      <c r="GX173" s="188"/>
      <c r="GY173" s="189"/>
      <c r="GZ173" s="187"/>
      <c r="HA173" s="188"/>
      <c r="HB173" s="188"/>
      <c r="HC173" s="188"/>
      <c r="HD173" s="189"/>
      <c r="HI173" s="219"/>
      <c r="HJ173" s="220"/>
      <c r="HK173" s="220"/>
      <c r="HL173" s="220"/>
      <c r="HM173" s="220"/>
      <c r="HN173" s="220"/>
      <c r="HO173" s="220"/>
      <c r="HP173" s="220"/>
      <c r="HQ173" s="220"/>
      <c r="HR173" s="220"/>
      <c r="HS173" s="220"/>
      <c r="HT173" s="220"/>
      <c r="HU173" s="220"/>
      <c r="HV173" s="220"/>
      <c r="HW173" s="220"/>
      <c r="HX173" s="220"/>
      <c r="HY173" s="220"/>
      <c r="HZ173" s="220"/>
      <c r="IA173" s="220"/>
      <c r="IB173" s="220"/>
      <c r="IC173" s="220"/>
      <c r="ID173" s="220"/>
      <c r="IE173" s="220"/>
      <c r="IF173" s="220"/>
      <c r="IG173" s="220"/>
      <c r="IH173" s="220"/>
      <c r="II173" s="220"/>
      <c r="IJ173" s="220"/>
      <c r="IK173" s="220"/>
      <c r="IL173" s="220"/>
      <c r="IM173" s="220"/>
      <c r="IN173" s="220"/>
      <c r="IO173" s="220"/>
      <c r="IP173" s="220"/>
      <c r="IQ173" s="220"/>
      <c r="IR173" s="220"/>
      <c r="IS173" s="220"/>
      <c r="IT173" s="220"/>
      <c r="IU173" s="220"/>
      <c r="IV173" s="220"/>
      <c r="IW173" s="187"/>
      <c r="IX173" s="188"/>
      <c r="IY173" s="188"/>
      <c r="IZ173" s="188"/>
      <c r="JA173" s="188"/>
      <c r="JB173" s="189"/>
      <c r="JC173" s="53"/>
      <c r="JG173" s="154"/>
      <c r="JJ173" s="14"/>
      <c r="JN173" s="16"/>
      <c r="JQ173" s="187"/>
      <c r="JR173" s="188"/>
      <c r="JS173" s="188"/>
      <c r="JT173" s="188"/>
      <c r="JU173" s="188"/>
      <c r="JV173" s="188"/>
      <c r="JW173" s="188"/>
      <c r="JX173" s="188"/>
      <c r="JY173" s="188"/>
      <c r="JZ173" s="188"/>
      <c r="KA173" s="188"/>
      <c r="KB173" s="188"/>
      <c r="KC173" s="188"/>
      <c r="KD173" s="188"/>
      <c r="KE173" s="188"/>
      <c r="KF173" s="188"/>
      <c r="KG173" s="188"/>
      <c r="KH173" s="188"/>
      <c r="KI173" s="188"/>
      <c r="KJ173" s="188"/>
      <c r="KK173" s="188"/>
      <c r="KL173" s="188"/>
      <c r="KM173" s="188"/>
      <c r="KN173" s="188"/>
      <c r="KO173" s="188"/>
      <c r="KP173" s="188"/>
      <c r="KQ173" s="188"/>
      <c r="KR173" s="188"/>
      <c r="KS173" s="188"/>
      <c r="KT173" s="188"/>
      <c r="KU173" s="188"/>
      <c r="KV173" s="188"/>
      <c r="KW173" s="188"/>
      <c r="KX173" s="188"/>
      <c r="KY173" s="188"/>
      <c r="KZ173" s="188"/>
      <c r="LA173" s="188"/>
      <c r="LB173" s="188"/>
      <c r="LC173" s="188"/>
      <c r="LD173" s="188"/>
      <c r="LE173" s="189"/>
      <c r="LF173" s="187"/>
      <c r="LG173" s="188"/>
      <c r="LH173" s="188"/>
      <c r="LI173" s="188"/>
      <c r="LJ173" s="189"/>
      <c r="LQ173" s="12"/>
      <c r="LR173" s="7"/>
      <c r="LS173" s="3"/>
      <c r="LT173" s="3"/>
      <c r="LU173" s="3"/>
      <c r="LV173" s="3"/>
      <c r="LW173" s="2"/>
      <c r="MK173" s="3"/>
      <c r="ML173" s="3"/>
      <c r="MM173" s="3"/>
      <c r="MN173" s="3"/>
      <c r="MO173" s="3"/>
      <c r="MP173" s="2"/>
    </row>
    <row r="174" spans="3:354" ht="5.0999999999999996" customHeight="1" x14ac:dyDescent="0.3">
      <c r="C174" s="11"/>
      <c r="D174" s="13"/>
      <c r="Q174" s="187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  <c r="BD174" s="188"/>
      <c r="BE174" s="189"/>
      <c r="BF174" s="187"/>
      <c r="BG174" s="188"/>
      <c r="BH174" s="188"/>
      <c r="BI174" s="188"/>
      <c r="BJ174" s="189"/>
      <c r="BQ174" s="187"/>
      <c r="BR174" s="188"/>
      <c r="BS174" s="188"/>
      <c r="BT174" s="188"/>
      <c r="BU174" s="188"/>
      <c r="BV174" s="188"/>
      <c r="BW174" s="188"/>
      <c r="BX174" s="188"/>
      <c r="BY174" s="188"/>
      <c r="BZ174" s="188"/>
      <c r="CA174" s="188"/>
      <c r="CB174" s="188"/>
      <c r="CC174" s="188"/>
      <c r="CD174" s="188"/>
      <c r="CE174" s="188"/>
      <c r="CF174" s="188"/>
      <c r="CG174" s="188"/>
      <c r="CH174" s="188"/>
      <c r="CI174" s="188"/>
      <c r="CJ174" s="188"/>
      <c r="CK174" s="188"/>
      <c r="CL174" s="188"/>
      <c r="CM174" s="188"/>
      <c r="CN174" s="188"/>
      <c r="CO174" s="188"/>
      <c r="CP174" s="188"/>
      <c r="CQ174" s="188"/>
      <c r="CR174" s="188"/>
      <c r="CS174" s="188"/>
      <c r="CT174" s="188"/>
      <c r="CU174" s="188"/>
      <c r="CV174" s="188"/>
      <c r="CW174" s="188"/>
      <c r="CX174" s="188"/>
      <c r="CY174" s="188"/>
      <c r="CZ174" s="188"/>
      <c r="DA174" s="188"/>
      <c r="DB174" s="188"/>
      <c r="DC174" s="188"/>
      <c r="DD174" s="189"/>
      <c r="DE174" s="187"/>
      <c r="DF174" s="188"/>
      <c r="DG174" s="188"/>
      <c r="DH174" s="188"/>
      <c r="DI174" s="189"/>
      <c r="DO174" s="187"/>
      <c r="DP174" s="188"/>
      <c r="DQ174" s="188"/>
      <c r="DR174" s="188"/>
      <c r="DS174" s="188"/>
      <c r="DT174" s="188"/>
      <c r="DU174" s="188"/>
      <c r="DV174" s="188"/>
      <c r="DW174" s="188"/>
      <c r="DX174" s="188"/>
      <c r="DY174" s="188"/>
      <c r="DZ174" s="188"/>
      <c r="EA174" s="188"/>
      <c r="EB174" s="188"/>
      <c r="EC174" s="188"/>
      <c r="ED174" s="188"/>
      <c r="EE174" s="188"/>
      <c r="EF174" s="188"/>
      <c r="EG174" s="188"/>
      <c r="EH174" s="188"/>
      <c r="EI174" s="188"/>
      <c r="EJ174" s="188"/>
      <c r="EK174" s="188"/>
      <c r="EL174" s="188"/>
      <c r="EM174" s="188"/>
      <c r="EN174" s="188"/>
      <c r="EO174" s="188"/>
      <c r="EP174" s="188"/>
      <c r="EQ174" s="188"/>
      <c r="ER174" s="188"/>
      <c r="ES174" s="188"/>
      <c r="ET174" s="188"/>
      <c r="EU174" s="188"/>
      <c r="EV174" s="188"/>
      <c r="EW174" s="188"/>
      <c r="EX174" s="188"/>
      <c r="EY174" s="188"/>
      <c r="EZ174" s="188"/>
      <c r="FA174" s="188"/>
      <c r="FB174" s="189"/>
      <c r="FC174" s="187"/>
      <c r="FD174" s="188"/>
      <c r="FE174" s="188"/>
      <c r="FF174" s="188"/>
      <c r="FG174" s="189"/>
      <c r="FL174" s="187"/>
      <c r="FM174" s="188"/>
      <c r="FN174" s="188"/>
      <c r="FO174" s="188"/>
      <c r="FP174" s="188"/>
      <c r="FQ174" s="188"/>
      <c r="FR174" s="188"/>
      <c r="FS174" s="188"/>
      <c r="FT174" s="188"/>
      <c r="FU174" s="188"/>
      <c r="FV174" s="188"/>
      <c r="FW174" s="188"/>
      <c r="FX174" s="188"/>
      <c r="FY174" s="188"/>
      <c r="FZ174" s="188"/>
      <c r="GA174" s="188"/>
      <c r="GB174" s="188"/>
      <c r="GC174" s="188"/>
      <c r="GD174" s="188"/>
      <c r="GE174" s="188"/>
      <c r="GF174" s="188"/>
      <c r="GG174" s="188"/>
      <c r="GH174" s="188"/>
      <c r="GI174" s="188"/>
      <c r="GJ174" s="188"/>
      <c r="GK174" s="188"/>
      <c r="GL174" s="188"/>
      <c r="GM174" s="188"/>
      <c r="GN174" s="188"/>
      <c r="GO174" s="188"/>
      <c r="GP174" s="188"/>
      <c r="GQ174" s="188"/>
      <c r="GR174" s="188"/>
      <c r="GS174" s="188"/>
      <c r="GT174" s="188"/>
      <c r="GU174" s="188"/>
      <c r="GV174" s="188"/>
      <c r="GW174" s="188"/>
      <c r="GX174" s="188"/>
      <c r="GY174" s="189"/>
      <c r="GZ174" s="187"/>
      <c r="HA174" s="188"/>
      <c r="HB174" s="188"/>
      <c r="HC174" s="188"/>
      <c r="HD174" s="189"/>
      <c r="HI174" s="219"/>
      <c r="HJ174" s="220"/>
      <c r="HK174" s="220"/>
      <c r="HL174" s="220"/>
      <c r="HM174" s="220"/>
      <c r="HN174" s="220"/>
      <c r="HO174" s="220"/>
      <c r="HP174" s="220"/>
      <c r="HQ174" s="220"/>
      <c r="HR174" s="220"/>
      <c r="HS174" s="220"/>
      <c r="HT174" s="220"/>
      <c r="HU174" s="220"/>
      <c r="HV174" s="220"/>
      <c r="HW174" s="220"/>
      <c r="HX174" s="220"/>
      <c r="HY174" s="220"/>
      <c r="HZ174" s="220"/>
      <c r="IA174" s="220"/>
      <c r="IB174" s="220"/>
      <c r="IC174" s="220"/>
      <c r="ID174" s="220"/>
      <c r="IE174" s="220"/>
      <c r="IF174" s="220"/>
      <c r="IG174" s="220"/>
      <c r="IH174" s="220"/>
      <c r="II174" s="220"/>
      <c r="IJ174" s="220"/>
      <c r="IK174" s="220"/>
      <c r="IL174" s="220"/>
      <c r="IM174" s="220"/>
      <c r="IN174" s="220"/>
      <c r="IO174" s="220"/>
      <c r="IP174" s="220"/>
      <c r="IQ174" s="220"/>
      <c r="IR174" s="220"/>
      <c r="IS174" s="220"/>
      <c r="IT174" s="220"/>
      <c r="IU174" s="220"/>
      <c r="IV174" s="220"/>
      <c r="IW174" s="187"/>
      <c r="IX174" s="188"/>
      <c r="IY174" s="188"/>
      <c r="IZ174" s="188"/>
      <c r="JA174" s="188"/>
      <c r="JB174" s="189"/>
      <c r="JC174" s="19"/>
      <c r="JG174" s="154"/>
      <c r="JJ174" s="14"/>
      <c r="JN174" s="16"/>
      <c r="JQ174" s="187"/>
      <c r="JR174" s="188"/>
      <c r="JS174" s="188"/>
      <c r="JT174" s="188"/>
      <c r="JU174" s="188"/>
      <c r="JV174" s="188"/>
      <c r="JW174" s="188"/>
      <c r="JX174" s="188"/>
      <c r="JY174" s="188"/>
      <c r="JZ174" s="188"/>
      <c r="KA174" s="188"/>
      <c r="KB174" s="188"/>
      <c r="KC174" s="188"/>
      <c r="KD174" s="188"/>
      <c r="KE174" s="188"/>
      <c r="KF174" s="188"/>
      <c r="KG174" s="188"/>
      <c r="KH174" s="188"/>
      <c r="KI174" s="188"/>
      <c r="KJ174" s="188"/>
      <c r="KK174" s="188"/>
      <c r="KL174" s="188"/>
      <c r="KM174" s="188"/>
      <c r="KN174" s="188"/>
      <c r="KO174" s="188"/>
      <c r="KP174" s="188"/>
      <c r="KQ174" s="188"/>
      <c r="KR174" s="188"/>
      <c r="KS174" s="188"/>
      <c r="KT174" s="188"/>
      <c r="KU174" s="188"/>
      <c r="KV174" s="188"/>
      <c r="KW174" s="188"/>
      <c r="KX174" s="188"/>
      <c r="KY174" s="188"/>
      <c r="KZ174" s="188"/>
      <c r="LA174" s="188"/>
      <c r="LB174" s="188"/>
      <c r="LC174" s="188"/>
      <c r="LD174" s="188"/>
      <c r="LE174" s="189"/>
      <c r="LF174" s="187"/>
      <c r="LG174" s="188"/>
      <c r="LH174" s="188"/>
      <c r="LI174" s="188"/>
      <c r="LJ174" s="189"/>
      <c r="LQ174" s="12"/>
      <c r="LR174" s="7"/>
      <c r="LS174" s="3"/>
      <c r="LT174" s="3"/>
      <c r="LU174" s="3"/>
      <c r="LV174" s="3"/>
      <c r="LW174" s="2"/>
      <c r="MK174" s="3"/>
      <c r="ML174" s="3"/>
      <c r="MM174" s="3"/>
      <c r="MN174" s="3"/>
      <c r="MO174" s="3"/>
      <c r="MP174" s="2"/>
    </row>
    <row r="175" spans="3:354" ht="5.0999999999999996" customHeight="1" x14ac:dyDescent="0.3">
      <c r="C175" s="11"/>
      <c r="D175" s="13"/>
      <c r="Q175" s="187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9"/>
      <c r="BF175" s="187"/>
      <c r="BG175" s="188"/>
      <c r="BH175" s="188"/>
      <c r="BI175" s="188"/>
      <c r="BJ175" s="189"/>
      <c r="BQ175" s="187"/>
      <c r="BR175" s="188"/>
      <c r="BS175" s="188"/>
      <c r="BT175" s="188"/>
      <c r="BU175" s="188"/>
      <c r="BV175" s="188"/>
      <c r="BW175" s="188"/>
      <c r="BX175" s="188"/>
      <c r="BY175" s="188"/>
      <c r="BZ175" s="188"/>
      <c r="CA175" s="188"/>
      <c r="CB175" s="188"/>
      <c r="CC175" s="188"/>
      <c r="CD175" s="188"/>
      <c r="CE175" s="188"/>
      <c r="CF175" s="188"/>
      <c r="CG175" s="188"/>
      <c r="CH175" s="188"/>
      <c r="CI175" s="188"/>
      <c r="CJ175" s="188"/>
      <c r="CK175" s="188"/>
      <c r="CL175" s="188"/>
      <c r="CM175" s="188"/>
      <c r="CN175" s="188"/>
      <c r="CO175" s="188"/>
      <c r="CP175" s="188"/>
      <c r="CQ175" s="188"/>
      <c r="CR175" s="188"/>
      <c r="CS175" s="188"/>
      <c r="CT175" s="188"/>
      <c r="CU175" s="188"/>
      <c r="CV175" s="188"/>
      <c r="CW175" s="188"/>
      <c r="CX175" s="188"/>
      <c r="CY175" s="188"/>
      <c r="CZ175" s="188"/>
      <c r="DA175" s="188"/>
      <c r="DB175" s="188"/>
      <c r="DC175" s="188"/>
      <c r="DD175" s="189"/>
      <c r="DE175" s="187"/>
      <c r="DF175" s="188"/>
      <c r="DG175" s="188"/>
      <c r="DH175" s="188"/>
      <c r="DI175" s="189"/>
      <c r="DO175" s="187"/>
      <c r="DP175" s="188"/>
      <c r="DQ175" s="188"/>
      <c r="DR175" s="188"/>
      <c r="DS175" s="188"/>
      <c r="DT175" s="188"/>
      <c r="DU175" s="188"/>
      <c r="DV175" s="188"/>
      <c r="DW175" s="188"/>
      <c r="DX175" s="188"/>
      <c r="DY175" s="188"/>
      <c r="DZ175" s="188"/>
      <c r="EA175" s="188"/>
      <c r="EB175" s="188"/>
      <c r="EC175" s="188"/>
      <c r="ED175" s="188"/>
      <c r="EE175" s="188"/>
      <c r="EF175" s="188"/>
      <c r="EG175" s="188"/>
      <c r="EH175" s="188"/>
      <c r="EI175" s="188"/>
      <c r="EJ175" s="188"/>
      <c r="EK175" s="188"/>
      <c r="EL175" s="188"/>
      <c r="EM175" s="188"/>
      <c r="EN175" s="188"/>
      <c r="EO175" s="188"/>
      <c r="EP175" s="188"/>
      <c r="EQ175" s="188"/>
      <c r="ER175" s="188"/>
      <c r="ES175" s="188"/>
      <c r="ET175" s="188"/>
      <c r="EU175" s="188"/>
      <c r="EV175" s="188"/>
      <c r="EW175" s="188"/>
      <c r="EX175" s="188"/>
      <c r="EY175" s="188"/>
      <c r="EZ175" s="188"/>
      <c r="FA175" s="188"/>
      <c r="FB175" s="189"/>
      <c r="FC175" s="187"/>
      <c r="FD175" s="188"/>
      <c r="FE175" s="188"/>
      <c r="FF175" s="188"/>
      <c r="FG175" s="189"/>
      <c r="FL175" s="187"/>
      <c r="FM175" s="188"/>
      <c r="FN175" s="188"/>
      <c r="FO175" s="188"/>
      <c r="FP175" s="188"/>
      <c r="FQ175" s="188"/>
      <c r="FR175" s="188"/>
      <c r="FS175" s="188"/>
      <c r="FT175" s="188"/>
      <c r="FU175" s="188"/>
      <c r="FV175" s="188"/>
      <c r="FW175" s="188"/>
      <c r="FX175" s="188"/>
      <c r="FY175" s="188"/>
      <c r="FZ175" s="188"/>
      <c r="GA175" s="188"/>
      <c r="GB175" s="188"/>
      <c r="GC175" s="188"/>
      <c r="GD175" s="188"/>
      <c r="GE175" s="188"/>
      <c r="GF175" s="188"/>
      <c r="GG175" s="188"/>
      <c r="GH175" s="188"/>
      <c r="GI175" s="188"/>
      <c r="GJ175" s="188"/>
      <c r="GK175" s="188"/>
      <c r="GL175" s="188"/>
      <c r="GM175" s="188"/>
      <c r="GN175" s="188"/>
      <c r="GO175" s="188"/>
      <c r="GP175" s="188"/>
      <c r="GQ175" s="188"/>
      <c r="GR175" s="188"/>
      <c r="GS175" s="188"/>
      <c r="GT175" s="188"/>
      <c r="GU175" s="188"/>
      <c r="GV175" s="188"/>
      <c r="GW175" s="188"/>
      <c r="GX175" s="188"/>
      <c r="GY175" s="189"/>
      <c r="GZ175" s="187"/>
      <c r="HA175" s="188"/>
      <c r="HB175" s="188"/>
      <c r="HC175" s="188"/>
      <c r="HD175" s="189"/>
      <c r="HI175" s="219"/>
      <c r="HJ175" s="220"/>
      <c r="HK175" s="220"/>
      <c r="HL175" s="220"/>
      <c r="HM175" s="220"/>
      <c r="HN175" s="220"/>
      <c r="HO175" s="220"/>
      <c r="HP175" s="220"/>
      <c r="HQ175" s="220"/>
      <c r="HR175" s="220"/>
      <c r="HS175" s="220"/>
      <c r="HT175" s="220"/>
      <c r="HU175" s="220"/>
      <c r="HV175" s="220"/>
      <c r="HW175" s="220"/>
      <c r="HX175" s="220"/>
      <c r="HY175" s="220"/>
      <c r="HZ175" s="220"/>
      <c r="IA175" s="220"/>
      <c r="IB175" s="220"/>
      <c r="IC175" s="220"/>
      <c r="ID175" s="220"/>
      <c r="IE175" s="220"/>
      <c r="IF175" s="220"/>
      <c r="IG175" s="220"/>
      <c r="IH175" s="220"/>
      <c r="II175" s="220"/>
      <c r="IJ175" s="220"/>
      <c r="IK175" s="220"/>
      <c r="IL175" s="220"/>
      <c r="IM175" s="220"/>
      <c r="IN175" s="220"/>
      <c r="IO175" s="220"/>
      <c r="IP175" s="220"/>
      <c r="IQ175" s="220"/>
      <c r="IR175" s="220"/>
      <c r="IS175" s="220"/>
      <c r="IT175" s="220"/>
      <c r="IU175" s="220"/>
      <c r="IV175" s="220"/>
      <c r="IW175" s="187"/>
      <c r="IX175" s="188"/>
      <c r="IY175" s="188"/>
      <c r="IZ175" s="188"/>
      <c r="JA175" s="188"/>
      <c r="JB175" s="189"/>
      <c r="JC175" s="19"/>
      <c r="JG175" s="154"/>
      <c r="JJ175" s="14"/>
      <c r="JN175" s="16"/>
      <c r="JQ175" s="187"/>
      <c r="JR175" s="188"/>
      <c r="JS175" s="188"/>
      <c r="JT175" s="188"/>
      <c r="JU175" s="188"/>
      <c r="JV175" s="188"/>
      <c r="JW175" s="188"/>
      <c r="JX175" s="188"/>
      <c r="JY175" s="188"/>
      <c r="JZ175" s="188"/>
      <c r="KA175" s="188"/>
      <c r="KB175" s="188"/>
      <c r="KC175" s="188"/>
      <c r="KD175" s="188"/>
      <c r="KE175" s="188"/>
      <c r="KF175" s="188"/>
      <c r="KG175" s="188"/>
      <c r="KH175" s="188"/>
      <c r="KI175" s="188"/>
      <c r="KJ175" s="188"/>
      <c r="KK175" s="188"/>
      <c r="KL175" s="188"/>
      <c r="KM175" s="188"/>
      <c r="KN175" s="188"/>
      <c r="KO175" s="188"/>
      <c r="KP175" s="188"/>
      <c r="KQ175" s="188"/>
      <c r="KR175" s="188"/>
      <c r="KS175" s="188"/>
      <c r="KT175" s="188"/>
      <c r="KU175" s="188"/>
      <c r="KV175" s="188"/>
      <c r="KW175" s="188"/>
      <c r="KX175" s="188"/>
      <c r="KY175" s="188"/>
      <c r="KZ175" s="188"/>
      <c r="LA175" s="188"/>
      <c r="LB175" s="188"/>
      <c r="LC175" s="188"/>
      <c r="LD175" s="188"/>
      <c r="LE175" s="189"/>
      <c r="LF175" s="187"/>
      <c r="LG175" s="188"/>
      <c r="LH175" s="188"/>
      <c r="LI175" s="188"/>
      <c r="LJ175" s="189"/>
      <c r="LQ175" s="12"/>
      <c r="LR175" s="7"/>
      <c r="LS175" s="3"/>
      <c r="LT175" s="3"/>
      <c r="LU175" s="3"/>
      <c r="LV175" s="3"/>
      <c r="LW175" s="2"/>
      <c r="MK175" s="3"/>
      <c r="ML175" s="3"/>
      <c r="MM175" s="3"/>
      <c r="MN175" s="3"/>
      <c r="MO175" s="3"/>
      <c r="MP175" s="2"/>
    </row>
    <row r="176" spans="3:354" ht="5.0999999999999996" customHeight="1" x14ac:dyDescent="0.3">
      <c r="C176" s="11"/>
      <c r="D176" s="13"/>
      <c r="Q176" s="187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9"/>
      <c r="BF176" s="187"/>
      <c r="BG176" s="188"/>
      <c r="BH176" s="188"/>
      <c r="BI176" s="188"/>
      <c r="BJ176" s="189"/>
      <c r="BQ176" s="187"/>
      <c r="BR176" s="188"/>
      <c r="BS176" s="188"/>
      <c r="BT176" s="188"/>
      <c r="BU176" s="188"/>
      <c r="BV176" s="188"/>
      <c r="BW176" s="188"/>
      <c r="BX176" s="188"/>
      <c r="BY176" s="188"/>
      <c r="BZ176" s="188"/>
      <c r="CA176" s="188"/>
      <c r="CB176" s="188"/>
      <c r="CC176" s="188"/>
      <c r="CD176" s="188"/>
      <c r="CE176" s="188"/>
      <c r="CF176" s="188"/>
      <c r="CG176" s="188"/>
      <c r="CH176" s="188"/>
      <c r="CI176" s="188"/>
      <c r="CJ176" s="188"/>
      <c r="CK176" s="188"/>
      <c r="CL176" s="188"/>
      <c r="CM176" s="188"/>
      <c r="CN176" s="188"/>
      <c r="CO176" s="188"/>
      <c r="CP176" s="188"/>
      <c r="CQ176" s="188"/>
      <c r="CR176" s="188"/>
      <c r="CS176" s="188"/>
      <c r="CT176" s="188"/>
      <c r="CU176" s="188"/>
      <c r="CV176" s="188"/>
      <c r="CW176" s="188"/>
      <c r="CX176" s="188"/>
      <c r="CY176" s="188"/>
      <c r="CZ176" s="188"/>
      <c r="DA176" s="188"/>
      <c r="DB176" s="188"/>
      <c r="DC176" s="188"/>
      <c r="DD176" s="189"/>
      <c r="DE176" s="187"/>
      <c r="DF176" s="188"/>
      <c r="DG176" s="188"/>
      <c r="DH176" s="188"/>
      <c r="DI176" s="189"/>
      <c r="DO176" s="187"/>
      <c r="DP176" s="188"/>
      <c r="DQ176" s="188"/>
      <c r="DR176" s="188"/>
      <c r="DS176" s="188"/>
      <c r="DT176" s="188"/>
      <c r="DU176" s="188"/>
      <c r="DV176" s="188"/>
      <c r="DW176" s="188"/>
      <c r="DX176" s="188"/>
      <c r="DY176" s="188"/>
      <c r="DZ176" s="188"/>
      <c r="EA176" s="188"/>
      <c r="EB176" s="188"/>
      <c r="EC176" s="188"/>
      <c r="ED176" s="188"/>
      <c r="EE176" s="188"/>
      <c r="EF176" s="188"/>
      <c r="EG176" s="188"/>
      <c r="EH176" s="188"/>
      <c r="EI176" s="188"/>
      <c r="EJ176" s="188"/>
      <c r="EK176" s="188"/>
      <c r="EL176" s="188"/>
      <c r="EM176" s="188"/>
      <c r="EN176" s="188"/>
      <c r="EO176" s="188"/>
      <c r="EP176" s="188"/>
      <c r="EQ176" s="188"/>
      <c r="ER176" s="188"/>
      <c r="ES176" s="188"/>
      <c r="ET176" s="188"/>
      <c r="EU176" s="188"/>
      <c r="EV176" s="188"/>
      <c r="EW176" s="188"/>
      <c r="EX176" s="188"/>
      <c r="EY176" s="188"/>
      <c r="EZ176" s="188"/>
      <c r="FA176" s="188"/>
      <c r="FB176" s="189"/>
      <c r="FC176" s="187"/>
      <c r="FD176" s="188"/>
      <c r="FE176" s="188"/>
      <c r="FF176" s="188"/>
      <c r="FG176" s="189"/>
      <c r="FL176" s="187"/>
      <c r="FM176" s="188"/>
      <c r="FN176" s="188"/>
      <c r="FO176" s="188"/>
      <c r="FP176" s="188"/>
      <c r="FQ176" s="188"/>
      <c r="FR176" s="188"/>
      <c r="FS176" s="188"/>
      <c r="FT176" s="188"/>
      <c r="FU176" s="188"/>
      <c r="FV176" s="188"/>
      <c r="FW176" s="188"/>
      <c r="FX176" s="188"/>
      <c r="FY176" s="188"/>
      <c r="FZ176" s="188"/>
      <c r="GA176" s="188"/>
      <c r="GB176" s="188"/>
      <c r="GC176" s="188"/>
      <c r="GD176" s="188"/>
      <c r="GE176" s="188"/>
      <c r="GF176" s="188"/>
      <c r="GG176" s="188"/>
      <c r="GH176" s="188"/>
      <c r="GI176" s="188"/>
      <c r="GJ176" s="188"/>
      <c r="GK176" s="188"/>
      <c r="GL176" s="188"/>
      <c r="GM176" s="188"/>
      <c r="GN176" s="188"/>
      <c r="GO176" s="188"/>
      <c r="GP176" s="188"/>
      <c r="GQ176" s="188"/>
      <c r="GR176" s="188"/>
      <c r="GS176" s="188"/>
      <c r="GT176" s="188"/>
      <c r="GU176" s="188"/>
      <c r="GV176" s="188"/>
      <c r="GW176" s="188"/>
      <c r="GX176" s="188"/>
      <c r="GY176" s="189"/>
      <c r="GZ176" s="187"/>
      <c r="HA176" s="188"/>
      <c r="HB176" s="188"/>
      <c r="HC176" s="188"/>
      <c r="HD176" s="189"/>
      <c r="HI176" s="219"/>
      <c r="HJ176" s="220"/>
      <c r="HK176" s="220"/>
      <c r="HL176" s="220"/>
      <c r="HM176" s="220"/>
      <c r="HN176" s="220"/>
      <c r="HO176" s="220"/>
      <c r="HP176" s="220"/>
      <c r="HQ176" s="220"/>
      <c r="HR176" s="220"/>
      <c r="HS176" s="220"/>
      <c r="HT176" s="220"/>
      <c r="HU176" s="220"/>
      <c r="HV176" s="220"/>
      <c r="HW176" s="220"/>
      <c r="HX176" s="220"/>
      <c r="HY176" s="220"/>
      <c r="HZ176" s="220"/>
      <c r="IA176" s="220"/>
      <c r="IB176" s="220"/>
      <c r="IC176" s="220"/>
      <c r="ID176" s="220"/>
      <c r="IE176" s="220"/>
      <c r="IF176" s="220"/>
      <c r="IG176" s="220"/>
      <c r="IH176" s="220"/>
      <c r="II176" s="220"/>
      <c r="IJ176" s="220"/>
      <c r="IK176" s="220"/>
      <c r="IL176" s="220"/>
      <c r="IM176" s="220"/>
      <c r="IN176" s="220"/>
      <c r="IO176" s="220"/>
      <c r="IP176" s="220"/>
      <c r="IQ176" s="220"/>
      <c r="IR176" s="220"/>
      <c r="IS176" s="220"/>
      <c r="IT176" s="220"/>
      <c r="IU176" s="220"/>
      <c r="IV176" s="220"/>
      <c r="IW176" s="187"/>
      <c r="IX176" s="188"/>
      <c r="IY176" s="188"/>
      <c r="IZ176" s="188"/>
      <c r="JA176" s="188"/>
      <c r="JB176" s="189"/>
      <c r="JC176" s="19"/>
      <c r="JG176" s="154"/>
      <c r="JJ176" s="14"/>
      <c r="JN176" s="16"/>
      <c r="JQ176" s="187"/>
      <c r="JR176" s="188"/>
      <c r="JS176" s="188"/>
      <c r="JT176" s="188"/>
      <c r="JU176" s="188"/>
      <c r="JV176" s="188"/>
      <c r="JW176" s="188"/>
      <c r="JX176" s="188"/>
      <c r="JY176" s="188"/>
      <c r="JZ176" s="188"/>
      <c r="KA176" s="188"/>
      <c r="KB176" s="188"/>
      <c r="KC176" s="188"/>
      <c r="KD176" s="188"/>
      <c r="KE176" s="188"/>
      <c r="KF176" s="188"/>
      <c r="KG176" s="188"/>
      <c r="KH176" s="188"/>
      <c r="KI176" s="188"/>
      <c r="KJ176" s="188"/>
      <c r="KK176" s="188"/>
      <c r="KL176" s="188"/>
      <c r="KM176" s="188"/>
      <c r="KN176" s="188"/>
      <c r="KO176" s="188"/>
      <c r="KP176" s="188"/>
      <c r="KQ176" s="188"/>
      <c r="KR176" s="188"/>
      <c r="KS176" s="188"/>
      <c r="KT176" s="188"/>
      <c r="KU176" s="188"/>
      <c r="KV176" s="188"/>
      <c r="KW176" s="188"/>
      <c r="KX176" s="188"/>
      <c r="KY176" s="188"/>
      <c r="KZ176" s="188"/>
      <c r="LA176" s="188"/>
      <c r="LB176" s="188"/>
      <c r="LC176" s="188"/>
      <c r="LD176" s="188"/>
      <c r="LE176" s="189"/>
      <c r="LF176" s="187"/>
      <c r="LG176" s="188"/>
      <c r="LH176" s="188"/>
      <c r="LI176" s="188"/>
      <c r="LJ176" s="189"/>
      <c r="LQ176" s="12"/>
      <c r="LR176" s="7"/>
      <c r="LS176" s="3"/>
      <c r="LT176" s="3"/>
      <c r="LU176" s="3"/>
      <c r="LV176" s="3"/>
      <c r="LW176" s="2"/>
      <c r="MK176" s="3"/>
      <c r="ML176" s="3"/>
      <c r="MM176" s="3"/>
      <c r="MN176" s="3"/>
      <c r="MO176" s="3"/>
      <c r="MP176" s="2"/>
    </row>
    <row r="177" spans="3:354" ht="5.0999999999999996" customHeight="1" x14ac:dyDescent="0.3">
      <c r="C177" s="11"/>
      <c r="D177" s="13"/>
      <c r="Q177" s="187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  <c r="BE177" s="189"/>
      <c r="BF177" s="187"/>
      <c r="BG177" s="188"/>
      <c r="BH177" s="188"/>
      <c r="BI177" s="188"/>
      <c r="BJ177" s="189"/>
      <c r="BQ177" s="187"/>
      <c r="BR177" s="188"/>
      <c r="BS177" s="188"/>
      <c r="BT177" s="188"/>
      <c r="BU177" s="188"/>
      <c r="BV177" s="188"/>
      <c r="BW177" s="188"/>
      <c r="BX177" s="188"/>
      <c r="BY177" s="188"/>
      <c r="BZ177" s="188"/>
      <c r="CA177" s="188"/>
      <c r="CB177" s="188"/>
      <c r="CC177" s="188"/>
      <c r="CD177" s="188"/>
      <c r="CE177" s="188"/>
      <c r="CF177" s="188"/>
      <c r="CG177" s="188"/>
      <c r="CH177" s="188"/>
      <c r="CI177" s="188"/>
      <c r="CJ177" s="188"/>
      <c r="CK177" s="188"/>
      <c r="CL177" s="188"/>
      <c r="CM177" s="188"/>
      <c r="CN177" s="188"/>
      <c r="CO177" s="188"/>
      <c r="CP177" s="188"/>
      <c r="CQ177" s="188"/>
      <c r="CR177" s="188"/>
      <c r="CS177" s="188"/>
      <c r="CT177" s="188"/>
      <c r="CU177" s="188"/>
      <c r="CV177" s="188"/>
      <c r="CW177" s="188"/>
      <c r="CX177" s="188"/>
      <c r="CY177" s="188"/>
      <c r="CZ177" s="188"/>
      <c r="DA177" s="188"/>
      <c r="DB177" s="188"/>
      <c r="DC177" s="188"/>
      <c r="DD177" s="189"/>
      <c r="DE177" s="187"/>
      <c r="DF177" s="188"/>
      <c r="DG177" s="188"/>
      <c r="DH177" s="188"/>
      <c r="DI177" s="189"/>
      <c r="DO177" s="187"/>
      <c r="DP177" s="188"/>
      <c r="DQ177" s="188"/>
      <c r="DR177" s="188"/>
      <c r="DS177" s="188"/>
      <c r="DT177" s="188"/>
      <c r="DU177" s="188"/>
      <c r="DV177" s="188"/>
      <c r="DW177" s="188"/>
      <c r="DX177" s="188"/>
      <c r="DY177" s="188"/>
      <c r="DZ177" s="188"/>
      <c r="EA177" s="188"/>
      <c r="EB177" s="188"/>
      <c r="EC177" s="188"/>
      <c r="ED177" s="188"/>
      <c r="EE177" s="188"/>
      <c r="EF177" s="188"/>
      <c r="EG177" s="188"/>
      <c r="EH177" s="188"/>
      <c r="EI177" s="188"/>
      <c r="EJ177" s="188"/>
      <c r="EK177" s="188"/>
      <c r="EL177" s="188"/>
      <c r="EM177" s="188"/>
      <c r="EN177" s="188"/>
      <c r="EO177" s="188"/>
      <c r="EP177" s="188"/>
      <c r="EQ177" s="188"/>
      <c r="ER177" s="188"/>
      <c r="ES177" s="188"/>
      <c r="ET177" s="188"/>
      <c r="EU177" s="188"/>
      <c r="EV177" s="188"/>
      <c r="EW177" s="188"/>
      <c r="EX177" s="188"/>
      <c r="EY177" s="188"/>
      <c r="EZ177" s="188"/>
      <c r="FA177" s="188"/>
      <c r="FB177" s="189"/>
      <c r="FC177" s="187"/>
      <c r="FD177" s="188"/>
      <c r="FE177" s="188"/>
      <c r="FF177" s="188"/>
      <c r="FG177" s="189"/>
      <c r="FL177" s="187"/>
      <c r="FM177" s="188"/>
      <c r="FN177" s="188"/>
      <c r="FO177" s="188"/>
      <c r="FP177" s="188"/>
      <c r="FQ177" s="188"/>
      <c r="FR177" s="188"/>
      <c r="FS177" s="188"/>
      <c r="FT177" s="188"/>
      <c r="FU177" s="188"/>
      <c r="FV177" s="188"/>
      <c r="FW177" s="188"/>
      <c r="FX177" s="188"/>
      <c r="FY177" s="188"/>
      <c r="FZ177" s="188"/>
      <c r="GA177" s="188"/>
      <c r="GB177" s="188"/>
      <c r="GC177" s="188"/>
      <c r="GD177" s="188"/>
      <c r="GE177" s="188"/>
      <c r="GF177" s="188"/>
      <c r="GG177" s="188"/>
      <c r="GH177" s="188"/>
      <c r="GI177" s="188"/>
      <c r="GJ177" s="188"/>
      <c r="GK177" s="188"/>
      <c r="GL177" s="188"/>
      <c r="GM177" s="188"/>
      <c r="GN177" s="188"/>
      <c r="GO177" s="188"/>
      <c r="GP177" s="188"/>
      <c r="GQ177" s="188"/>
      <c r="GR177" s="188"/>
      <c r="GS177" s="188"/>
      <c r="GT177" s="188"/>
      <c r="GU177" s="188"/>
      <c r="GV177" s="188"/>
      <c r="GW177" s="188"/>
      <c r="GX177" s="188"/>
      <c r="GY177" s="189"/>
      <c r="GZ177" s="187"/>
      <c r="HA177" s="188"/>
      <c r="HB177" s="188"/>
      <c r="HC177" s="188"/>
      <c r="HD177" s="189"/>
      <c r="HI177" s="219"/>
      <c r="HJ177" s="220"/>
      <c r="HK177" s="220"/>
      <c r="HL177" s="220"/>
      <c r="HM177" s="220"/>
      <c r="HN177" s="220"/>
      <c r="HO177" s="220"/>
      <c r="HP177" s="220"/>
      <c r="HQ177" s="220"/>
      <c r="HR177" s="220"/>
      <c r="HS177" s="220"/>
      <c r="HT177" s="220"/>
      <c r="HU177" s="220"/>
      <c r="HV177" s="220"/>
      <c r="HW177" s="220"/>
      <c r="HX177" s="220"/>
      <c r="HY177" s="220"/>
      <c r="HZ177" s="220"/>
      <c r="IA177" s="220"/>
      <c r="IB177" s="220"/>
      <c r="IC177" s="220"/>
      <c r="ID177" s="220"/>
      <c r="IE177" s="220"/>
      <c r="IF177" s="220"/>
      <c r="IG177" s="220"/>
      <c r="IH177" s="220"/>
      <c r="II177" s="220"/>
      <c r="IJ177" s="220"/>
      <c r="IK177" s="220"/>
      <c r="IL177" s="220"/>
      <c r="IM177" s="220"/>
      <c r="IN177" s="220"/>
      <c r="IO177" s="220"/>
      <c r="IP177" s="220"/>
      <c r="IQ177" s="220"/>
      <c r="IR177" s="220"/>
      <c r="IS177" s="220"/>
      <c r="IT177" s="220"/>
      <c r="IU177" s="220"/>
      <c r="IV177" s="220"/>
      <c r="IW177" s="187"/>
      <c r="IX177" s="188"/>
      <c r="IY177" s="188"/>
      <c r="IZ177" s="188"/>
      <c r="JA177" s="188"/>
      <c r="JB177" s="189"/>
      <c r="JC177" s="19"/>
      <c r="JG177" s="154"/>
      <c r="JJ177" s="14"/>
      <c r="JN177" s="16"/>
      <c r="JQ177" s="187"/>
      <c r="JR177" s="188"/>
      <c r="JS177" s="188"/>
      <c r="JT177" s="188"/>
      <c r="JU177" s="188"/>
      <c r="JV177" s="188"/>
      <c r="JW177" s="188"/>
      <c r="JX177" s="188"/>
      <c r="JY177" s="188"/>
      <c r="JZ177" s="188"/>
      <c r="KA177" s="188"/>
      <c r="KB177" s="188"/>
      <c r="KC177" s="188"/>
      <c r="KD177" s="188"/>
      <c r="KE177" s="188"/>
      <c r="KF177" s="188"/>
      <c r="KG177" s="188"/>
      <c r="KH177" s="188"/>
      <c r="KI177" s="188"/>
      <c r="KJ177" s="188"/>
      <c r="KK177" s="188"/>
      <c r="KL177" s="188"/>
      <c r="KM177" s="188"/>
      <c r="KN177" s="188"/>
      <c r="KO177" s="188"/>
      <c r="KP177" s="188"/>
      <c r="KQ177" s="188"/>
      <c r="KR177" s="188"/>
      <c r="KS177" s="188"/>
      <c r="KT177" s="188"/>
      <c r="KU177" s="188"/>
      <c r="KV177" s="188"/>
      <c r="KW177" s="188"/>
      <c r="KX177" s="188"/>
      <c r="KY177" s="188"/>
      <c r="KZ177" s="188"/>
      <c r="LA177" s="188"/>
      <c r="LB177" s="188"/>
      <c r="LC177" s="188"/>
      <c r="LD177" s="188"/>
      <c r="LE177" s="189"/>
      <c r="LF177" s="187"/>
      <c r="LG177" s="188"/>
      <c r="LH177" s="188"/>
      <c r="LI177" s="188"/>
      <c r="LJ177" s="189"/>
      <c r="LQ177" s="12"/>
      <c r="LR177" s="7"/>
    </row>
    <row r="178" spans="3:354" ht="5.0999999999999996" customHeight="1" x14ac:dyDescent="0.3">
      <c r="C178" s="11"/>
      <c r="D178" s="13"/>
      <c r="Q178" s="187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  <c r="BD178" s="188"/>
      <c r="BE178" s="189"/>
      <c r="BF178" s="187"/>
      <c r="BG178" s="188"/>
      <c r="BH178" s="188"/>
      <c r="BI178" s="188"/>
      <c r="BJ178" s="189"/>
      <c r="BQ178" s="187"/>
      <c r="BR178" s="188"/>
      <c r="BS178" s="188"/>
      <c r="BT178" s="188"/>
      <c r="BU178" s="188"/>
      <c r="BV178" s="188"/>
      <c r="BW178" s="188"/>
      <c r="BX178" s="188"/>
      <c r="BY178" s="188"/>
      <c r="BZ178" s="188"/>
      <c r="CA178" s="188"/>
      <c r="CB178" s="188"/>
      <c r="CC178" s="188"/>
      <c r="CD178" s="188"/>
      <c r="CE178" s="188"/>
      <c r="CF178" s="188"/>
      <c r="CG178" s="188"/>
      <c r="CH178" s="188"/>
      <c r="CI178" s="188"/>
      <c r="CJ178" s="188"/>
      <c r="CK178" s="188"/>
      <c r="CL178" s="188"/>
      <c r="CM178" s="188"/>
      <c r="CN178" s="188"/>
      <c r="CO178" s="188"/>
      <c r="CP178" s="188"/>
      <c r="CQ178" s="188"/>
      <c r="CR178" s="188"/>
      <c r="CS178" s="188"/>
      <c r="CT178" s="188"/>
      <c r="CU178" s="188"/>
      <c r="CV178" s="188"/>
      <c r="CW178" s="188"/>
      <c r="CX178" s="188"/>
      <c r="CY178" s="188"/>
      <c r="CZ178" s="188"/>
      <c r="DA178" s="188"/>
      <c r="DB178" s="188"/>
      <c r="DC178" s="188"/>
      <c r="DD178" s="189"/>
      <c r="DE178" s="187"/>
      <c r="DF178" s="188"/>
      <c r="DG178" s="188"/>
      <c r="DH178" s="188"/>
      <c r="DI178" s="189"/>
      <c r="DO178" s="187"/>
      <c r="DP178" s="188"/>
      <c r="DQ178" s="188"/>
      <c r="DR178" s="188"/>
      <c r="DS178" s="188"/>
      <c r="DT178" s="188"/>
      <c r="DU178" s="188"/>
      <c r="DV178" s="188"/>
      <c r="DW178" s="188"/>
      <c r="DX178" s="188"/>
      <c r="DY178" s="188"/>
      <c r="DZ178" s="188"/>
      <c r="EA178" s="188"/>
      <c r="EB178" s="188"/>
      <c r="EC178" s="188"/>
      <c r="ED178" s="188"/>
      <c r="EE178" s="188"/>
      <c r="EF178" s="188"/>
      <c r="EG178" s="188"/>
      <c r="EH178" s="188"/>
      <c r="EI178" s="188"/>
      <c r="EJ178" s="188"/>
      <c r="EK178" s="188"/>
      <c r="EL178" s="188"/>
      <c r="EM178" s="188"/>
      <c r="EN178" s="188"/>
      <c r="EO178" s="188"/>
      <c r="EP178" s="188"/>
      <c r="EQ178" s="188"/>
      <c r="ER178" s="188"/>
      <c r="ES178" s="188"/>
      <c r="ET178" s="188"/>
      <c r="EU178" s="188"/>
      <c r="EV178" s="188"/>
      <c r="EW178" s="188"/>
      <c r="EX178" s="188"/>
      <c r="EY178" s="188"/>
      <c r="EZ178" s="188"/>
      <c r="FA178" s="188"/>
      <c r="FB178" s="189"/>
      <c r="FC178" s="187"/>
      <c r="FD178" s="188"/>
      <c r="FE178" s="188"/>
      <c r="FF178" s="188"/>
      <c r="FG178" s="189"/>
      <c r="FL178" s="187"/>
      <c r="FM178" s="188"/>
      <c r="FN178" s="188"/>
      <c r="FO178" s="188"/>
      <c r="FP178" s="188"/>
      <c r="FQ178" s="188"/>
      <c r="FR178" s="188"/>
      <c r="FS178" s="188"/>
      <c r="FT178" s="188"/>
      <c r="FU178" s="188"/>
      <c r="FV178" s="188"/>
      <c r="FW178" s="188"/>
      <c r="FX178" s="188"/>
      <c r="FY178" s="188"/>
      <c r="FZ178" s="188"/>
      <c r="GA178" s="188"/>
      <c r="GB178" s="188"/>
      <c r="GC178" s="188"/>
      <c r="GD178" s="188"/>
      <c r="GE178" s="188"/>
      <c r="GF178" s="188"/>
      <c r="GG178" s="188"/>
      <c r="GH178" s="188"/>
      <c r="GI178" s="188"/>
      <c r="GJ178" s="188"/>
      <c r="GK178" s="188"/>
      <c r="GL178" s="188"/>
      <c r="GM178" s="188"/>
      <c r="GN178" s="188"/>
      <c r="GO178" s="188"/>
      <c r="GP178" s="188"/>
      <c r="GQ178" s="188"/>
      <c r="GR178" s="188"/>
      <c r="GS178" s="188"/>
      <c r="GT178" s="188"/>
      <c r="GU178" s="188"/>
      <c r="GV178" s="188"/>
      <c r="GW178" s="188"/>
      <c r="GX178" s="188"/>
      <c r="GY178" s="189"/>
      <c r="GZ178" s="187"/>
      <c r="HA178" s="188"/>
      <c r="HB178" s="188"/>
      <c r="HC178" s="188"/>
      <c r="HD178" s="189"/>
      <c r="HI178" s="219"/>
      <c r="HJ178" s="220"/>
      <c r="HK178" s="220"/>
      <c r="HL178" s="220"/>
      <c r="HM178" s="220"/>
      <c r="HN178" s="220"/>
      <c r="HO178" s="220"/>
      <c r="HP178" s="220"/>
      <c r="HQ178" s="220"/>
      <c r="HR178" s="220"/>
      <c r="HS178" s="220"/>
      <c r="HT178" s="220"/>
      <c r="HU178" s="220"/>
      <c r="HV178" s="220"/>
      <c r="HW178" s="220"/>
      <c r="HX178" s="220"/>
      <c r="HY178" s="220"/>
      <c r="HZ178" s="220"/>
      <c r="IA178" s="220"/>
      <c r="IB178" s="220"/>
      <c r="IC178" s="220"/>
      <c r="ID178" s="220"/>
      <c r="IE178" s="220"/>
      <c r="IF178" s="220"/>
      <c r="IG178" s="220"/>
      <c r="IH178" s="220"/>
      <c r="II178" s="220"/>
      <c r="IJ178" s="220"/>
      <c r="IK178" s="220"/>
      <c r="IL178" s="220"/>
      <c r="IM178" s="220"/>
      <c r="IN178" s="220"/>
      <c r="IO178" s="220"/>
      <c r="IP178" s="220"/>
      <c r="IQ178" s="220"/>
      <c r="IR178" s="220"/>
      <c r="IS178" s="220"/>
      <c r="IT178" s="220"/>
      <c r="IU178" s="220"/>
      <c r="IV178" s="220"/>
      <c r="IW178" s="187"/>
      <c r="IX178" s="188"/>
      <c r="IY178" s="188"/>
      <c r="IZ178" s="188"/>
      <c r="JA178" s="188"/>
      <c r="JB178" s="189"/>
      <c r="JC178" s="19"/>
      <c r="JG178" s="154"/>
      <c r="JJ178" s="14"/>
      <c r="JN178" s="16"/>
      <c r="JQ178" s="187"/>
      <c r="JR178" s="188"/>
      <c r="JS178" s="188"/>
      <c r="JT178" s="188"/>
      <c r="JU178" s="188"/>
      <c r="JV178" s="188"/>
      <c r="JW178" s="188"/>
      <c r="JX178" s="188"/>
      <c r="JY178" s="188"/>
      <c r="JZ178" s="188"/>
      <c r="KA178" s="188"/>
      <c r="KB178" s="188"/>
      <c r="KC178" s="188"/>
      <c r="KD178" s="188"/>
      <c r="KE178" s="188"/>
      <c r="KF178" s="188"/>
      <c r="KG178" s="188"/>
      <c r="KH178" s="188"/>
      <c r="KI178" s="188"/>
      <c r="KJ178" s="188"/>
      <c r="KK178" s="188"/>
      <c r="KL178" s="188"/>
      <c r="KM178" s="188"/>
      <c r="KN178" s="188"/>
      <c r="KO178" s="188"/>
      <c r="KP178" s="188"/>
      <c r="KQ178" s="188"/>
      <c r="KR178" s="188"/>
      <c r="KS178" s="188"/>
      <c r="KT178" s="188"/>
      <c r="KU178" s="188"/>
      <c r="KV178" s="188"/>
      <c r="KW178" s="188"/>
      <c r="KX178" s="188"/>
      <c r="KY178" s="188"/>
      <c r="KZ178" s="188"/>
      <c r="LA178" s="188"/>
      <c r="LB178" s="188"/>
      <c r="LC178" s="188"/>
      <c r="LD178" s="188"/>
      <c r="LE178" s="189"/>
      <c r="LF178" s="187"/>
      <c r="LG178" s="188"/>
      <c r="LH178" s="188"/>
      <c r="LI178" s="188"/>
      <c r="LJ178" s="189"/>
      <c r="LQ178" s="12"/>
      <c r="LR178" s="7"/>
    </row>
    <row r="179" spans="3:354" ht="5.0999999999999996" customHeight="1" x14ac:dyDescent="0.3">
      <c r="C179" s="11"/>
      <c r="D179" s="13"/>
      <c r="Q179" s="187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  <c r="BD179" s="188"/>
      <c r="BE179" s="189"/>
      <c r="BF179" s="187"/>
      <c r="BG179" s="188"/>
      <c r="BH179" s="188"/>
      <c r="BI179" s="188"/>
      <c r="BJ179" s="189"/>
      <c r="BQ179" s="187"/>
      <c r="BR179" s="188"/>
      <c r="BS179" s="188"/>
      <c r="BT179" s="188"/>
      <c r="BU179" s="188"/>
      <c r="BV179" s="188"/>
      <c r="BW179" s="188"/>
      <c r="BX179" s="188"/>
      <c r="BY179" s="188"/>
      <c r="BZ179" s="188"/>
      <c r="CA179" s="188"/>
      <c r="CB179" s="188"/>
      <c r="CC179" s="188"/>
      <c r="CD179" s="188"/>
      <c r="CE179" s="188"/>
      <c r="CF179" s="188"/>
      <c r="CG179" s="188"/>
      <c r="CH179" s="188"/>
      <c r="CI179" s="188"/>
      <c r="CJ179" s="188"/>
      <c r="CK179" s="188"/>
      <c r="CL179" s="188"/>
      <c r="CM179" s="188"/>
      <c r="CN179" s="188"/>
      <c r="CO179" s="188"/>
      <c r="CP179" s="188"/>
      <c r="CQ179" s="188"/>
      <c r="CR179" s="188"/>
      <c r="CS179" s="188"/>
      <c r="CT179" s="188"/>
      <c r="CU179" s="188"/>
      <c r="CV179" s="188"/>
      <c r="CW179" s="188"/>
      <c r="CX179" s="188"/>
      <c r="CY179" s="188"/>
      <c r="CZ179" s="188"/>
      <c r="DA179" s="188"/>
      <c r="DB179" s="188"/>
      <c r="DC179" s="188"/>
      <c r="DD179" s="189"/>
      <c r="DE179" s="187"/>
      <c r="DF179" s="188"/>
      <c r="DG179" s="188"/>
      <c r="DH179" s="188"/>
      <c r="DI179" s="189"/>
      <c r="DO179" s="187"/>
      <c r="DP179" s="188"/>
      <c r="DQ179" s="188"/>
      <c r="DR179" s="188"/>
      <c r="DS179" s="188"/>
      <c r="DT179" s="188"/>
      <c r="DU179" s="188"/>
      <c r="DV179" s="188"/>
      <c r="DW179" s="188"/>
      <c r="DX179" s="188"/>
      <c r="DY179" s="188"/>
      <c r="DZ179" s="188"/>
      <c r="EA179" s="188"/>
      <c r="EB179" s="188"/>
      <c r="EC179" s="188"/>
      <c r="ED179" s="188"/>
      <c r="EE179" s="188"/>
      <c r="EF179" s="188"/>
      <c r="EG179" s="188"/>
      <c r="EH179" s="188"/>
      <c r="EI179" s="188"/>
      <c r="EJ179" s="188"/>
      <c r="EK179" s="188"/>
      <c r="EL179" s="188"/>
      <c r="EM179" s="188"/>
      <c r="EN179" s="188"/>
      <c r="EO179" s="188"/>
      <c r="EP179" s="188"/>
      <c r="EQ179" s="188"/>
      <c r="ER179" s="188"/>
      <c r="ES179" s="188"/>
      <c r="ET179" s="188"/>
      <c r="EU179" s="188"/>
      <c r="EV179" s="188"/>
      <c r="EW179" s="188"/>
      <c r="EX179" s="188"/>
      <c r="EY179" s="188"/>
      <c r="EZ179" s="188"/>
      <c r="FA179" s="188"/>
      <c r="FB179" s="189"/>
      <c r="FC179" s="187"/>
      <c r="FD179" s="188"/>
      <c r="FE179" s="188"/>
      <c r="FF179" s="188"/>
      <c r="FG179" s="189"/>
      <c r="FL179" s="187"/>
      <c r="FM179" s="188"/>
      <c r="FN179" s="188"/>
      <c r="FO179" s="188"/>
      <c r="FP179" s="188"/>
      <c r="FQ179" s="188"/>
      <c r="FR179" s="188"/>
      <c r="FS179" s="188"/>
      <c r="FT179" s="188"/>
      <c r="FU179" s="188"/>
      <c r="FV179" s="188"/>
      <c r="FW179" s="188"/>
      <c r="FX179" s="188"/>
      <c r="FY179" s="188"/>
      <c r="FZ179" s="188"/>
      <c r="GA179" s="188"/>
      <c r="GB179" s="188"/>
      <c r="GC179" s="188"/>
      <c r="GD179" s="188"/>
      <c r="GE179" s="188"/>
      <c r="GF179" s="188"/>
      <c r="GG179" s="188"/>
      <c r="GH179" s="188"/>
      <c r="GI179" s="188"/>
      <c r="GJ179" s="188"/>
      <c r="GK179" s="188"/>
      <c r="GL179" s="188"/>
      <c r="GM179" s="188"/>
      <c r="GN179" s="188"/>
      <c r="GO179" s="188"/>
      <c r="GP179" s="188"/>
      <c r="GQ179" s="188"/>
      <c r="GR179" s="188"/>
      <c r="GS179" s="188"/>
      <c r="GT179" s="188"/>
      <c r="GU179" s="188"/>
      <c r="GV179" s="188"/>
      <c r="GW179" s="188"/>
      <c r="GX179" s="188"/>
      <c r="GY179" s="189"/>
      <c r="GZ179" s="187"/>
      <c r="HA179" s="188"/>
      <c r="HB179" s="188"/>
      <c r="HC179" s="188"/>
      <c r="HD179" s="189"/>
      <c r="HI179" s="219"/>
      <c r="HJ179" s="220"/>
      <c r="HK179" s="220"/>
      <c r="HL179" s="220"/>
      <c r="HM179" s="220"/>
      <c r="HN179" s="220"/>
      <c r="HO179" s="220"/>
      <c r="HP179" s="220"/>
      <c r="HQ179" s="220"/>
      <c r="HR179" s="220"/>
      <c r="HS179" s="220"/>
      <c r="HT179" s="220"/>
      <c r="HU179" s="220"/>
      <c r="HV179" s="220"/>
      <c r="HW179" s="220"/>
      <c r="HX179" s="220"/>
      <c r="HY179" s="220"/>
      <c r="HZ179" s="220"/>
      <c r="IA179" s="220"/>
      <c r="IB179" s="220"/>
      <c r="IC179" s="220"/>
      <c r="ID179" s="220"/>
      <c r="IE179" s="220"/>
      <c r="IF179" s="220"/>
      <c r="IG179" s="220"/>
      <c r="IH179" s="220"/>
      <c r="II179" s="220"/>
      <c r="IJ179" s="220"/>
      <c r="IK179" s="220"/>
      <c r="IL179" s="220"/>
      <c r="IM179" s="220"/>
      <c r="IN179" s="220"/>
      <c r="IO179" s="220"/>
      <c r="IP179" s="220"/>
      <c r="IQ179" s="220"/>
      <c r="IR179" s="220"/>
      <c r="IS179" s="220"/>
      <c r="IT179" s="220"/>
      <c r="IU179" s="220"/>
      <c r="IV179" s="220"/>
      <c r="IW179" s="187"/>
      <c r="IX179" s="188"/>
      <c r="IY179" s="188"/>
      <c r="IZ179" s="188"/>
      <c r="JA179" s="188"/>
      <c r="JB179" s="189"/>
      <c r="JC179" s="19"/>
      <c r="JG179" s="154"/>
      <c r="JJ179" s="14"/>
      <c r="JN179" s="16"/>
      <c r="JQ179" s="190"/>
      <c r="JR179" s="191"/>
      <c r="JS179" s="191"/>
      <c r="JT179" s="191"/>
      <c r="JU179" s="191"/>
      <c r="JV179" s="191"/>
      <c r="JW179" s="191"/>
      <c r="JX179" s="191"/>
      <c r="JY179" s="191"/>
      <c r="JZ179" s="191"/>
      <c r="KA179" s="191"/>
      <c r="KB179" s="191"/>
      <c r="KC179" s="191"/>
      <c r="KD179" s="191"/>
      <c r="KE179" s="191"/>
      <c r="KF179" s="191"/>
      <c r="KG179" s="191"/>
      <c r="KH179" s="191"/>
      <c r="KI179" s="191"/>
      <c r="KJ179" s="191"/>
      <c r="KK179" s="191"/>
      <c r="KL179" s="191"/>
      <c r="KM179" s="191"/>
      <c r="KN179" s="191"/>
      <c r="KO179" s="191"/>
      <c r="KP179" s="191"/>
      <c r="KQ179" s="191"/>
      <c r="KR179" s="191"/>
      <c r="KS179" s="191"/>
      <c r="KT179" s="191"/>
      <c r="KU179" s="191"/>
      <c r="KV179" s="191"/>
      <c r="KW179" s="191"/>
      <c r="KX179" s="191"/>
      <c r="KY179" s="191"/>
      <c r="KZ179" s="191"/>
      <c r="LA179" s="191"/>
      <c r="LB179" s="191"/>
      <c r="LC179" s="191"/>
      <c r="LD179" s="191"/>
      <c r="LE179" s="192"/>
      <c r="LF179" s="190"/>
      <c r="LG179" s="191"/>
      <c r="LH179" s="191"/>
      <c r="LI179" s="191"/>
      <c r="LJ179" s="192"/>
      <c r="LQ179" s="12"/>
      <c r="LR179" s="7"/>
    </row>
    <row r="180" spans="3:354" ht="5.0999999999999996" customHeight="1" x14ac:dyDescent="0.3">
      <c r="C180" s="11"/>
      <c r="D180" s="13"/>
      <c r="Q180" s="190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2"/>
      <c r="BF180" s="190"/>
      <c r="BG180" s="191"/>
      <c r="BH180" s="191"/>
      <c r="BI180" s="191"/>
      <c r="BJ180" s="192"/>
      <c r="BQ180" s="187"/>
      <c r="BR180" s="188"/>
      <c r="BS180" s="188"/>
      <c r="BT180" s="188"/>
      <c r="BU180" s="188"/>
      <c r="BV180" s="188"/>
      <c r="BW180" s="188"/>
      <c r="BX180" s="188"/>
      <c r="BY180" s="188"/>
      <c r="BZ180" s="188"/>
      <c r="CA180" s="188"/>
      <c r="CB180" s="188"/>
      <c r="CC180" s="188"/>
      <c r="CD180" s="188"/>
      <c r="CE180" s="188"/>
      <c r="CF180" s="188"/>
      <c r="CG180" s="188"/>
      <c r="CH180" s="188"/>
      <c r="CI180" s="188"/>
      <c r="CJ180" s="188"/>
      <c r="CK180" s="188"/>
      <c r="CL180" s="188"/>
      <c r="CM180" s="188"/>
      <c r="CN180" s="188"/>
      <c r="CO180" s="188"/>
      <c r="CP180" s="188"/>
      <c r="CQ180" s="188"/>
      <c r="CR180" s="188"/>
      <c r="CS180" s="188"/>
      <c r="CT180" s="188"/>
      <c r="CU180" s="188"/>
      <c r="CV180" s="188"/>
      <c r="CW180" s="188"/>
      <c r="CX180" s="188"/>
      <c r="CY180" s="188"/>
      <c r="CZ180" s="188"/>
      <c r="DA180" s="188"/>
      <c r="DB180" s="188"/>
      <c r="DC180" s="188"/>
      <c r="DD180" s="189"/>
      <c r="DE180" s="187"/>
      <c r="DF180" s="188"/>
      <c r="DG180" s="188"/>
      <c r="DH180" s="188"/>
      <c r="DI180" s="189"/>
      <c r="DO180" s="190"/>
      <c r="DP180" s="191"/>
      <c r="DQ180" s="191"/>
      <c r="DR180" s="191"/>
      <c r="DS180" s="191"/>
      <c r="DT180" s="191"/>
      <c r="DU180" s="191"/>
      <c r="DV180" s="191"/>
      <c r="DW180" s="191"/>
      <c r="DX180" s="191"/>
      <c r="DY180" s="191"/>
      <c r="DZ180" s="191"/>
      <c r="EA180" s="191"/>
      <c r="EB180" s="191"/>
      <c r="EC180" s="191"/>
      <c r="ED180" s="191"/>
      <c r="EE180" s="191"/>
      <c r="EF180" s="191"/>
      <c r="EG180" s="191"/>
      <c r="EH180" s="191"/>
      <c r="EI180" s="191"/>
      <c r="EJ180" s="191"/>
      <c r="EK180" s="191"/>
      <c r="EL180" s="191"/>
      <c r="EM180" s="191"/>
      <c r="EN180" s="191"/>
      <c r="EO180" s="191"/>
      <c r="EP180" s="191"/>
      <c r="EQ180" s="191"/>
      <c r="ER180" s="191"/>
      <c r="ES180" s="191"/>
      <c r="ET180" s="191"/>
      <c r="EU180" s="191"/>
      <c r="EV180" s="191"/>
      <c r="EW180" s="191"/>
      <c r="EX180" s="191"/>
      <c r="EY180" s="191"/>
      <c r="EZ180" s="191"/>
      <c r="FA180" s="191"/>
      <c r="FB180" s="192"/>
      <c r="FC180" s="190"/>
      <c r="FD180" s="191"/>
      <c r="FE180" s="191"/>
      <c r="FF180" s="191"/>
      <c r="FG180" s="192"/>
      <c r="FL180" s="190"/>
      <c r="FM180" s="191"/>
      <c r="FN180" s="191"/>
      <c r="FO180" s="191"/>
      <c r="FP180" s="191"/>
      <c r="FQ180" s="191"/>
      <c r="FR180" s="191"/>
      <c r="FS180" s="191"/>
      <c r="FT180" s="191"/>
      <c r="FU180" s="191"/>
      <c r="FV180" s="191"/>
      <c r="FW180" s="191"/>
      <c r="FX180" s="191"/>
      <c r="FY180" s="191"/>
      <c r="FZ180" s="191"/>
      <c r="GA180" s="191"/>
      <c r="GB180" s="191"/>
      <c r="GC180" s="191"/>
      <c r="GD180" s="191"/>
      <c r="GE180" s="191"/>
      <c r="GF180" s="191"/>
      <c r="GG180" s="191"/>
      <c r="GH180" s="191"/>
      <c r="GI180" s="191"/>
      <c r="GJ180" s="191"/>
      <c r="GK180" s="191"/>
      <c r="GL180" s="191"/>
      <c r="GM180" s="191"/>
      <c r="GN180" s="191"/>
      <c r="GO180" s="191"/>
      <c r="GP180" s="191"/>
      <c r="GQ180" s="191"/>
      <c r="GR180" s="191"/>
      <c r="GS180" s="191"/>
      <c r="GT180" s="191"/>
      <c r="GU180" s="191"/>
      <c r="GV180" s="191"/>
      <c r="GW180" s="191"/>
      <c r="GX180" s="191"/>
      <c r="GY180" s="192"/>
      <c r="GZ180" s="190"/>
      <c r="HA180" s="191"/>
      <c r="HB180" s="191"/>
      <c r="HC180" s="191"/>
      <c r="HD180" s="192"/>
      <c r="HI180" s="222"/>
      <c r="HJ180" s="223"/>
      <c r="HK180" s="223"/>
      <c r="HL180" s="223"/>
      <c r="HM180" s="223"/>
      <c r="HN180" s="223"/>
      <c r="HO180" s="223"/>
      <c r="HP180" s="223"/>
      <c r="HQ180" s="223"/>
      <c r="HR180" s="223"/>
      <c r="HS180" s="223"/>
      <c r="HT180" s="223"/>
      <c r="HU180" s="223"/>
      <c r="HV180" s="223"/>
      <c r="HW180" s="223"/>
      <c r="HX180" s="223"/>
      <c r="HY180" s="223"/>
      <c r="HZ180" s="223"/>
      <c r="IA180" s="223"/>
      <c r="IB180" s="223"/>
      <c r="IC180" s="223"/>
      <c r="ID180" s="223"/>
      <c r="IE180" s="223"/>
      <c r="IF180" s="223"/>
      <c r="IG180" s="223"/>
      <c r="IH180" s="223"/>
      <c r="II180" s="223"/>
      <c r="IJ180" s="223"/>
      <c r="IK180" s="223"/>
      <c r="IL180" s="223"/>
      <c r="IM180" s="223"/>
      <c r="IN180" s="223"/>
      <c r="IO180" s="223"/>
      <c r="IP180" s="223"/>
      <c r="IQ180" s="223"/>
      <c r="IR180" s="223"/>
      <c r="IS180" s="223"/>
      <c r="IT180" s="223"/>
      <c r="IU180" s="223"/>
      <c r="IV180" s="223"/>
      <c r="IW180" s="190"/>
      <c r="IX180" s="191"/>
      <c r="IY180" s="191"/>
      <c r="IZ180" s="191"/>
      <c r="JA180" s="191"/>
      <c r="JB180" s="192"/>
      <c r="JC180" s="19"/>
      <c r="JG180" s="154"/>
      <c r="JJ180" s="14"/>
      <c r="JN180" s="16"/>
      <c r="JQ180" s="184" t="s">
        <v>43</v>
      </c>
      <c r="JR180" s="185"/>
      <c r="JS180" s="185"/>
      <c r="JT180" s="185"/>
      <c r="JU180" s="185"/>
      <c r="JV180" s="185"/>
      <c r="JW180" s="185"/>
      <c r="JX180" s="185"/>
      <c r="JY180" s="185"/>
      <c r="JZ180" s="185"/>
      <c r="KA180" s="185"/>
      <c r="KB180" s="185"/>
      <c r="KC180" s="185"/>
      <c r="KD180" s="185"/>
      <c r="KE180" s="185"/>
      <c r="KF180" s="185"/>
      <c r="KG180" s="185"/>
      <c r="KH180" s="185"/>
      <c r="KI180" s="185"/>
      <c r="KJ180" s="185"/>
      <c r="KK180" s="185"/>
      <c r="KL180" s="185"/>
      <c r="KM180" s="185"/>
      <c r="KN180" s="185"/>
      <c r="KO180" s="185"/>
      <c r="KP180" s="185"/>
      <c r="KQ180" s="185"/>
      <c r="KR180" s="185"/>
      <c r="KS180" s="185"/>
      <c r="KT180" s="185"/>
      <c r="KU180" s="185"/>
      <c r="KV180" s="185"/>
      <c r="KW180" s="185"/>
      <c r="KX180" s="185"/>
      <c r="KY180" s="185"/>
      <c r="KZ180" s="185"/>
      <c r="LA180" s="185"/>
      <c r="LB180" s="185"/>
      <c r="LC180" s="185"/>
      <c r="LD180" s="185"/>
      <c r="LE180" s="186"/>
      <c r="LF180" s="184">
        <v>1</v>
      </c>
      <c r="LG180" s="185"/>
      <c r="LH180" s="185"/>
      <c r="LI180" s="185"/>
      <c r="LJ180" s="186"/>
      <c r="LQ180" s="12"/>
      <c r="LR180" s="7"/>
    </row>
    <row r="181" spans="3:354" ht="5.0999999999999996" customHeight="1" x14ac:dyDescent="0.3">
      <c r="C181" s="11"/>
      <c r="D181" s="13"/>
      <c r="Q181" s="184" t="s">
        <v>42</v>
      </c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6"/>
      <c r="BF181" s="184">
        <v>2</v>
      </c>
      <c r="BG181" s="185"/>
      <c r="BH181" s="185"/>
      <c r="BI181" s="185"/>
      <c r="BJ181" s="186"/>
      <c r="BQ181" s="187"/>
      <c r="BR181" s="188"/>
      <c r="BS181" s="188"/>
      <c r="BT181" s="188"/>
      <c r="BU181" s="188"/>
      <c r="BV181" s="188"/>
      <c r="BW181" s="188"/>
      <c r="BX181" s="188"/>
      <c r="BY181" s="188"/>
      <c r="BZ181" s="188"/>
      <c r="CA181" s="188"/>
      <c r="CB181" s="188"/>
      <c r="CC181" s="188"/>
      <c r="CD181" s="188"/>
      <c r="CE181" s="188"/>
      <c r="CF181" s="188"/>
      <c r="CG181" s="188"/>
      <c r="CH181" s="188"/>
      <c r="CI181" s="188"/>
      <c r="CJ181" s="188"/>
      <c r="CK181" s="188"/>
      <c r="CL181" s="188"/>
      <c r="CM181" s="188"/>
      <c r="CN181" s="188"/>
      <c r="CO181" s="188"/>
      <c r="CP181" s="188"/>
      <c r="CQ181" s="188"/>
      <c r="CR181" s="188"/>
      <c r="CS181" s="188"/>
      <c r="CT181" s="188"/>
      <c r="CU181" s="188"/>
      <c r="CV181" s="188"/>
      <c r="CW181" s="188"/>
      <c r="CX181" s="188"/>
      <c r="CY181" s="188"/>
      <c r="CZ181" s="188"/>
      <c r="DA181" s="188"/>
      <c r="DB181" s="188"/>
      <c r="DC181" s="188"/>
      <c r="DD181" s="189"/>
      <c r="DE181" s="187"/>
      <c r="DF181" s="188"/>
      <c r="DG181" s="188"/>
      <c r="DH181" s="188"/>
      <c r="DI181" s="189"/>
      <c r="FL181" s="184" t="s">
        <v>68</v>
      </c>
      <c r="FM181" s="185"/>
      <c r="FN181" s="185"/>
      <c r="FO181" s="185"/>
      <c r="FP181" s="185"/>
      <c r="FQ181" s="185"/>
      <c r="FR181" s="185"/>
      <c r="FS181" s="185"/>
      <c r="FT181" s="185"/>
      <c r="FU181" s="185"/>
      <c r="FV181" s="185"/>
      <c r="FW181" s="185"/>
      <c r="FX181" s="185"/>
      <c r="FY181" s="185"/>
      <c r="FZ181" s="185"/>
      <c r="GA181" s="185"/>
      <c r="GB181" s="185"/>
      <c r="GC181" s="185"/>
      <c r="GD181" s="185"/>
      <c r="GE181" s="185"/>
      <c r="GF181" s="185"/>
      <c r="GG181" s="185"/>
      <c r="GH181" s="185"/>
      <c r="GI181" s="185"/>
      <c r="GJ181" s="185"/>
      <c r="GK181" s="185"/>
      <c r="GL181" s="185"/>
      <c r="GM181" s="185"/>
      <c r="GN181" s="185"/>
      <c r="GO181" s="185"/>
      <c r="GP181" s="185"/>
      <c r="GQ181" s="185"/>
      <c r="GR181" s="185"/>
      <c r="GS181" s="185"/>
      <c r="GT181" s="185"/>
      <c r="GU181" s="185"/>
      <c r="GV181" s="185"/>
      <c r="GW181" s="185"/>
      <c r="GX181" s="185"/>
      <c r="GY181" s="186"/>
      <c r="GZ181" s="184">
        <v>1</v>
      </c>
      <c r="HA181" s="185"/>
      <c r="HB181" s="185"/>
      <c r="HC181" s="185"/>
      <c r="HD181" s="186"/>
      <c r="JC181" s="19"/>
      <c r="JG181" s="154"/>
      <c r="JN181" s="16"/>
      <c r="JQ181" s="187"/>
      <c r="JR181" s="188"/>
      <c r="JS181" s="188"/>
      <c r="JT181" s="188"/>
      <c r="JU181" s="188"/>
      <c r="JV181" s="188"/>
      <c r="JW181" s="188"/>
      <c r="JX181" s="188"/>
      <c r="JY181" s="188"/>
      <c r="JZ181" s="188"/>
      <c r="KA181" s="188"/>
      <c r="KB181" s="188"/>
      <c r="KC181" s="188"/>
      <c r="KD181" s="188"/>
      <c r="KE181" s="188"/>
      <c r="KF181" s="188"/>
      <c r="KG181" s="188"/>
      <c r="KH181" s="188"/>
      <c r="KI181" s="188"/>
      <c r="KJ181" s="188"/>
      <c r="KK181" s="188"/>
      <c r="KL181" s="188"/>
      <c r="KM181" s="188"/>
      <c r="KN181" s="188"/>
      <c r="KO181" s="188"/>
      <c r="KP181" s="188"/>
      <c r="KQ181" s="188"/>
      <c r="KR181" s="188"/>
      <c r="KS181" s="188"/>
      <c r="KT181" s="188"/>
      <c r="KU181" s="188"/>
      <c r="KV181" s="188"/>
      <c r="KW181" s="188"/>
      <c r="KX181" s="188"/>
      <c r="KY181" s="188"/>
      <c r="KZ181" s="188"/>
      <c r="LA181" s="188"/>
      <c r="LB181" s="188"/>
      <c r="LC181" s="188"/>
      <c r="LD181" s="188"/>
      <c r="LE181" s="189"/>
      <c r="LF181" s="187"/>
      <c r="LG181" s="188"/>
      <c r="LH181" s="188"/>
      <c r="LI181" s="188"/>
      <c r="LJ181" s="189"/>
      <c r="LQ181" s="12"/>
      <c r="LR181" s="7"/>
    </row>
    <row r="182" spans="3:354" ht="5.0999999999999996" customHeight="1" x14ac:dyDescent="0.3">
      <c r="C182" s="11"/>
      <c r="D182" s="13"/>
      <c r="Q182" s="187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  <c r="BD182" s="188"/>
      <c r="BE182" s="189"/>
      <c r="BF182" s="187"/>
      <c r="BG182" s="188"/>
      <c r="BH182" s="188"/>
      <c r="BI182" s="188"/>
      <c r="BJ182" s="189"/>
      <c r="BQ182" s="190"/>
      <c r="BR182" s="191"/>
      <c r="BS182" s="191"/>
      <c r="BT182" s="191"/>
      <c r="BU182" s="191"/>
      <c r="BV182" s="191"/>
      <c r="BW182" s="191"/>
      <c r="BX182" s="191"/>
      <c r="BY182" s="191"/>
      <c r="BZ182" s="191"/>
      <c r="CA182" s="191"/>
      <c r="CB182" s="191"/>
      <c r="CC182" s="191"/>
      <c r="CD182" s="191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  <c r="CT182" s="191"/>
      <c r="CU182" s="191"/>
      <c r="CV182" s="191"/>
      <c r="CW182" s="191"/>
      <c r="CX182" s="191"/>
      <c r="CY182" s="191"/>
      <c r="CZ182" s="191"/>
      <c r="DA182" s="191"/>
      <c r="DB182" s="191"/>
      <c r="DC182" s="191"/>
      <c r="DD182" s="192"/>
      <c r="DE182" s="190"/>
      <c r="DF182" s="191"/>
      <c r="DG182" s="191"/>
      <c r="DH182" s="191"/>
      <c r="DI182" s="192"/>
      <c r="FL182" s="187"/>
      <c r="FM182" s="188"/>
      <c r="FN182" s="188"/>
      <c r="FO182" s="188"/>
      <c r="FP182" s="188"/>
      <c r="FQ182" s="188"/>
      <c r="FR182" s="188"/>
      <c r="FS182" s="188"/>
      <c r="FT182" s="188"/>
      <c r="FU182" s="188"/>
      <c r="FV182" s="188"/>
      <c r="FW182" s="188"/>
      <c r="FX182" s="188"/>
      <c r="FY182" s="188"/>
      <c r="FZ182" s="188"/>
      <c r="GA182" s="188"/>
      <c r="GB182" s="188"/>
      <c r="GC182" s="188"/>
      <c r="GD182" s="188"/>
      <c r="GE182" s="188"/>
      <c r="GF182" s="188"/>
      <c r="GG182" s="188"/>
      <c r="GH182" s="188"/>
      <c r="GI182" s="188"/>
      <c r="GJ182" s="188"/>
      <c r="GK182" s="188"/>
      <c r="GL182" s="188"/>
      <c r="GM182" s="188"/>
      <c r="GN182" s="188"/>
      <c r="GO182" s="188"/>
      <c r="GP182" s="188"/>
      <c r="GQ182" s="188"/>
      <c r="GR182" s="188"/>
      <c r="GS182" s="188"/>
      <c r="GT182" s="188"/>
      <c r="GU182" s="188"/>
      <c r="GV182" s="188"/>
      <c r="GW182" s="188"/>
      <c r="GX182" s="188"/>
      <c r="GY182" s="189"/>
      <c r="GZ182" s="187"/>
      <c r="HA182" s="188"/>
      <c r="HB182" s="188"/>
      <c r="HC182" s="188"/>
      <c r="HD182" s="189"/>
      <c r="JC182" s="19"/>
      <c r="JG182" s="154"/>
      <c r="JN182" s="16"/>
      <c r="JQ182" s="187"/>
      <c r="JR182" s="188"/>
      <c r="JS182" s="188"/>
      <c r="JT182" s="188"/>
      <c r="JU182" s="188"/>
      <c r="JV182" s="188"/>
      <c r="JW182" s="188"/>
      <c r="JX182" s="188"/>
      <c r="JY182" s="188"/>
      <c r="JZ182" s="188"/>
      <c r="KA182" s="188"/>
      <c r="KB182" s="188"/>
      <c r="KC182" s="188"/>
      <c r="KD182" s="188"/>
      <c r="KE182" s="188"/>
      <c r="KF182" s="188"/>
      <c r="KG182" s="188"/>
      <c r="KH182" s="188"/>
      <c r="KI182" s="188"/>
      <c r="KJ182" s="188"/>
      <c r="KK182" s="188"/>
      <c r="KL182" s="188"/>
      <c r="KM182" s="188"/>
      <c r="KN182" s="188"/>
      <c r="KO182" s="188"/>
      <c r="KP182" s="188"/>
      <c r="KQ182" s="188"/>
      <c r="KR182" s="188"/>
      <c r="KS182" s="188"/>
      <c r="KT182" s="188"/>
      <c r="KU182" s="188"/>
      <c r="KV182" s="188"/>
      <c r="KW182" s="188"/>
      <c r="KX182" s="188"/>
      <c r="KY182" s="188"/>
      <c r="KZ182" s="188"/>
      <c r="LA182" s="188"/>
      <c r="LB182" s="188"/>
      <c r="LC182" s="188"/>
      <c r="LD182" s="188"/>
      <c r="LE182" s="189"/>
      <c r="LF182" s="187"/>
      <c r="LG182" s="188"/>
      <c r="LH182" s="188"/>
      <c r="LI182" s="188"/>
      <c r="LJ182" s="189"/>
      <c r="LQ182" s="12"/>
      <c r="LR182" s="7"/>
    </row>
    <row r="183" spans="3:354" ht="5.0999999999999996" customHeight="1" x14ac:dyDescent="0.3">
      <c r="C183" s="11"/>
      <c r="D183" s="13"/>
      <c r="Q183" s="187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  <c r="BE183" s="189"/>
      <c r="BF183" s="187"/>
      <c r="BG183" s="188"/>
      <c r="BH183" s="188"/>
      <c r="BI183" s="188"/>
      <c r="BJ183" s="189"/>
      <c r="FL183" s="187"/>
      <c r="FM183" s="188"/>
      <c r="FN183" s="188"/>
      <c r="FO183" s="188"/>
      <c r="FP183" s="188"/>
      <c r="FQ183" s="188"/>
      <c r="FR183" s="188"/>
      <c r="FS183" s="188"/>
      <c r="FT183" s="188"/>
      <c r="FU183" s="188"/>
      <c r="FV183" s="188"/>
      <c r="FW183" s="188"/>
      <c r="FX183" s="188"/>
      <c r="FY183" s="188"/>
      <c r="FZ183" s="188"/>
      <c r="GA183" s="188"/>
      <c r="GB183" s="188"/>
      <c r="GC183" s="188"/>
      <c r="GD183" s="188"/>
      <c r="GE183" s="188"/>
      <c r="GF183" s="188"/>
      <c r="GG183" s="188"/>
      <c r="GH183" s="188"/>
      <c r="GI183" s="188"/>
      <c r="GJ183" s="188"/>
      <c r="GK183" s="188"/>
      <c r="GL183" s="188"/>
      <c r="GM183" s="188"/>
      <c r="GN183" s="188"/>
      <c r="GO183" s="188"/>
      <c r="GP183" s="188"/>
      <c r="GQ183" s="188"/>
      <c r="GR183" s="188"/>
      <c r="GS183" s="188"/>
      <c r="GT183" s="188"/>
      <c r="GU183" s="188"/>
      <c r="GV183" s="188"/>
      <c r="GW183" s="188"/>
      <c r="GX183" s="188"/>
      <c r="GY183" s="189"/>
      <c r="GZ183" s="187"/>
      <c r="HA183" s="188"/>
      <c r="HB183" s="188"/>
      <c r="HC183" s="188"/>
      <c r="HD183" s="189"/>
      <c r="HI183" s="195" t="s">
        <v>38</v>
      </c>
      <c r="HJ183" s="196"/>
      <c r="HK183" s="196"/>
      <c r="HL183" s="196"/>
      <c r="HM183" s="196"/>
      <c r="HN183" s="196"/>
      <c r="HO183" s="196"/>
      <c r="HP183" s="196"/>
      <c r="HQ183" s="196"/>
      <c r="HR183" s="196"/>
      <c r="HS183" s="196"/>
      <c r="HT183" s="196"/>
      <c r="HU183" s="196"/>
      <c r="HV183" s="196"/>
      <c r="HW183" s="196"/>
      <c r="HX183" s="196"/>
      <c r="HY183" s="196"/>
      <c r="HZ183" s="196"/>
      <c r="IA183" s="196"/>
      <c r="IB183" s="196"/>
      <c r="IC183" s="196"/>
      <c r="ID183" s="196"/>
      <c r="IE183" s="196"/>
      <c r="IF183" s="196"/>
      <c r="IG183" s="196"/>
      <c r="IH183" s="196"/>
      <c r="II183" s="196"/>
      <c r="IJ183" s="196"/>
      <c r="IK183" s="196"/>
      <c r="IL183" s="196"/>
      <c r="IM183" s="196"/>
      <c r="IN183" s="196"/>
      <c r="IO183" s="196"/>
      <c r="IP183" s="196"/>
      <c r="IQ183" s="196"/>
      <c r="IR183" s="196"/>
      <c r="IS183" s="196"/>
      <c r="IT183" s="196"/>
      <c r="IU183" s="196"/>
      <c r="IV183" s="197"/>
      <c r="IW183" s="204">
        <v>1</v>
      </c>
      <c r="IX183" s="204"/>
      <c r="IY183" s="204"/>
      <c r="IZ183" s="204"/>
      <c r="JA183" s="204"/>
      <c r="JB183" s="204"/>
      <c r="JC183" s="19"/>
      <c r="JG183" s="154"/>
      <c r="JN183" s="16"/>
      <c r="JQ183" s="187"/>
      <c r="JR183" s="188"/>
      <c r="JS183" s="188"/>
      <c r="JT183" s="188"/>
      <c r="JU183" s="188"/>
      <c r="JV183" s="188"/>
      <c r="JW183" s="188"/>
      <c r="JX183" s="188"/>
      <c r="JY183" s="188"/>
      <c r="JZ183" s="188"/>
      <c r="KA183" s="188"/>
      <c r="KB183" s="188"/>
      <c r="KC183" s="188"/>
      <c r="KD183" s="188"/>
      <c r="KE183" s="188"/>
      <c r="KF183" s="188"/>
      <c r="KG183" s="188"/>
      <c r="KH183" s="188"/>
      <c r="KI183" s="188"/>
      <c r="KJ183" s="188"/>
      <c r="KK183" s="188"/>
      <c r="KL183" s="188"/>
      <c r="KM183" s="188"/>
      <c r="KN183" s="188"/>
      <c r="KO183" s="188"/>
      <c r="KP183" s="188"/>
      <c r="KQ183" s="188"/>
      <c r="KR183" s="188"/>
      <c r="KS183" s="188"/>
      <c r="KT183" s="188"/>
      <c r="KU183" s="188"/>
      <c r="KV183" s="188"/>
      <c r="KW183" s="188"/>
      <c r="KX183" s="188"/>
      <c r="KY183" s="188"/>
      <c r="KZ183" s="188"/>
      <c r="LA183" s="188"/>
      <c r="LB183" s="188"/>
      <c r="LC183" s="188"/>
      <c r="LD183" s="188"/>
      <c r="LE183" s="189"/>
      <c r="LF183" s="187"/>
      <c r="LG183" s="188"/>
      <c r="LH183" s="188"/>
      <c r="LI183" s="188"/>
      <c r="LJ183" s="189"/>
      <c r="LQ183" s="12"/>
      <c r="LR183" s="7"/>
    </row>
    <row r="184" spans="3:354" ht="5.0999999999999996" customHeight="1" x14ac:dyDescent="0.3">
      <c r="C184" s="11"/>
      <c r="D184" s="13"/>
      <c r="Q184" s="187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  <c r="BD184" s="188"/>
      <c r="BE184" s="189"/>
      <c r="BF184" s="187"/>
      <c r="BG184" s="188"/>
      <c r="BH184" s="188"/>
      <c r="BI184" s="188"/>
      <c r="BJ184" s="189"/>
      <c r="FL184" s="187"/>
      <c r="FM184" s="188"/>
      <c r="FN184" s="188"/>
      <c r="FO184" s="188"/>
      <c r="FP184" s="188"/>
      <c r="FQ184" s="188"/>
      <c r="FR184" s="188"/>
      <c r="FS184" s="188"/>
      <c r="FT184" s="188"/>
      <c r="FU184" s="188"/>
      <c r="FV184" s="188"/>
      <c r="FW184" s="188"/>
      <c r="FX184" s="188"/>
      <c r="FY184" s="188"/>
      <c r="FZ184" s="188"/>
      <c r="GA184" s="188"/>
      <c r="GB184" s="188"/>
      <c r="GC184" s="188"/>
      <c r="GD184" s="188"/>
      <c r="GE184" s="188"/>
      <c r="GF184" s="188"/>
      <c r="GG184" s="188"/>
      <c r="GH184" s="188"/>
      <c r="GI184" s="188"/>
      <c r="GJ184" s="188"/>
      <c r="GK184" s="188"/>
      <c r="GL184" s="188"/>
      <c r="GM184" s="188"/>
      <c r="GN184" s="188"/>
      <c r="GO184" s="188"/>
      <c r="GP184" s="188"/>
      <c r="GQ184" s="188"/>
      <c r="GR184" s="188"/>
      <c r="GS184" s="188"/>
      <c r="GT184" s="188"/>
      <c r="GU184" s="188"/>
      <c r="GV184" s="188"/>
      <c r="GW184" s="188"/>
      <c r="GX184" s="188"/>
      <c r="GY184" s="189"/>
      <c r="GZ184" s="187"/>
      <c r="HA184" s="188"/>
      <c r="HB184" s="188"/>
      <c r="HC184" s="188"/>
      <c r="HD184" s="189"/>
      <c r="HI184" s="198"/>
      <c r="HJ184" s="199"/>
      <c r="HK184" s="199"/>
      <c r="HL184" s="199"/>
      <c r="HM184" s="199"/>
      <c r="HN184" s="199"/>
      <c r="HO184" s="199"/>
      <c r="HP184" s="199"/>
      <c r="HQ184" s="199"/>
      <c r="HR184" s="199"/>
      <c r="HS184" s="199"/>
      <c r="HT184" s="199"/>
      <c r="HU184" s="199"/>
      <c r="HV184" s="199"/>
      <c r="HW184" s="199"/>
      <c r="HX184" s="199"/>
      <c r="HY184" s="199"/>
      <c r="HZ184" s="199"/>
      <c r="IA184" s="199"/>
      <c r="IB184" s="199"/>
      <c r="IC184" s="199"/>
      <c r="ID184" s="199"/>
      <c r="IE184" s="199"/>
      <c r="IF184" s="199"/>
      <c r="IG184" s="199"/>
      <c r="IH184" s="199"/>
      <c r="II184" s="199"/>
      <c r="IJ184" s="199"/>
      <c r="IK184" s="199"/>
      <c r="IL184" s="199"/>
      <c r="IM184" s="199"/>
      <c r="IN184" s="199"/>
      <c r="IO184" s="199"/>
      <c r="IP184" s="199"/>
      <c r="IQ184" s="199"/>
      <c r="IR184" s="199"/>
      <c r="IS184" s="199"/>
      <c r="IT184" s="199"/>
      <c r="IU184" s="199"/>
      <c r="IV184" s="200"/>
      <c r="IW184" s="204"/>
      <c r="IX184" s="204"/>
      <c r="IY184" s="204"/>
      <c r="IZ184" s="204"/>
      <c r="JA184" s="204"/>
      <c r="JB184" s="204"/>
      <c r="JC184" s="19"/>
      <c r="JG184" s="154"/>
      <c r="JN184" s="16"/>
      <c r="JQ184" s="187"/>
      <c r="JR184" s="188"/>
      <c r="JS184" s="188"/>
      <c r="JT184" s="188"/>
      <c r="JU184" s="188"/>
      <c r="JV184" s="188"/>
      <c r="JW184" s="188"/>
      <c r="JX184" s="188"/>
      <c r="JY184" s="188"/>
      <c r="JZ184" s="188"/>
      <c r="KA184" s="188"/>
      <c r="KB184" s="188"/>
      <c r="KC184" s="188"/>
      <c r="KD184" s="188"/>
      <c r="KE184" s="188"/>
      <c r="KF184" s="188"/>
      <c r="KG184" s="188"/>
      <c r="KH184" s="188"/>
      <c r="KI184" s="188"/>
      <c r="KJ184" s="188"/>
      <c r="KK184" s="188"/>
      <c r="KL184" s="188"/>
      <c r="KM184" s="188"/>
      <c r="KN184" s="188"/>
      <c r="KO184" s="188"/>
      <c r="KP184" s="188"/>
      <c r="KQ184" s="188"/>
      <c r="KR184" s="188"/>
      <c r="KS184" s="188"/>
      <c r="KT184" s="188"/>
      <c r="KU184" s="188"/>
      <c r="KV184" s="188"/>
      <c r="KW184" s="188"/>
      <c r="KX184" s="188"/>
      <c r="KY184" s="188"/>
      <c r="KZ184" s="188"/>
      <c r="LA184" s="188"/>
      <c r="LB184" s="188"/>
      <c r="LC184" s="188"/>
      <c r="LD184" s="188"/>
      <c r="LE184" s="189"/>
      <c r="LF184" s="187"/>
      <c r="LG184" s="188"/>
      <c r="LH184" s="188"/>
      <c r="LI184" s="188"/>
      <c r="LJ184" s="189"/>
      <c r="LQ184" s="12"/>
      <c r="LR184" s="7"/>
    </row>
    <row r="185" spans="3:354" ht="5.0999999999999996" customHeight="1" x14ac:dyDescent="0.3">
      <c r="C185" s="11"/>
      <c r="D185" s="13"/>
      <c r="Q185" s="187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  <c r="BD185" s="188"/>
      <c r="BE185" s="189"/>
      <c r="BF185" s="187"/>
      <c r="BG185" s="188"/>
      <c r="BH185" s="188"/>
      <c r="BI185" s="188"/>
      <c r="BJ185" s="189"/>
      <c r="FL185" s="187"/>
      <c r="FM185" s="188"/>
      <c r="FN185" s="188"/>
      <c r="FO185" s="188"/>
      <c r="FP185" s="188"/>
      <c r="FQ185" s="188"/>
      <c r="FR185" s="188"/>
      <c r="FS185" s="188"/>
      <c r="FT185" s="188"/>
      <c r="FU185" s="188"/>
      <c r="FV185" s="188"/>
      <c r="FW185" s="188"/>
      <c r="FX185" s="188"/>
      <c r="FY185" s="188"/>
      <c r="FZ185" s="188"/>
      <c r="GA185" s="188"/>
      <c r="GB185" s="188"/>
      <c r="GC185" s="188"/>
      <c r="GD185" s="188"/>
      <c r="GE185" s="188"/>
      <c r="GF185" s="188"/>
      <c r="GG185" s="188"/>
      <c r="GH185" s="188"/>
      <c r="GI185" s="188"/>
      <c r="GJ185" s="188"/>
      <c r="GK185" s="188"/>
      <c r="GL185" s="188"/>
      <c r="GM185" s="188"/>
      <c r="GN185" s="188"/>
      <c r="GO185" s="188"/>
      <c r="GP185" s="188"/>
      <c r="GQ185" s="188"/>
      <c r="GR185" s="188"/>
      <c r="GS185" s="188"/>
      <c r="GT185" s="188"/>
      <c r="GU185" s="188"/>
      <c r="GV185" s="188"/>
      <c r="GW185" s="188"/>
      <c r="GX185" s="188"/>
      <c r="GY185" s="189"/>
      <c r="GZ185" s="187"/>
      <c r="HA185" s="188"/>
      <c r="HB185" s="188"/>
      <c r="HC185" s="188"/>
      <c r="HD185" s="189"/>
      <c r="HI185" s="198"/>
      <c r="HJ185" s="199"/>
      <c r="HK185" s="199"/>
      <c r="HL185" s="199"/>
      <c r="HM185" s="199"/>
      <c r="HN185" s="199"/>
      <c r="HO185" s="199"/>
      <c r="HP185" s="199"/>
      <c r="HQ185" s="199"/>
      <c r="HR185" s="199"/>
      <c r="HS185" s="199"/>
      <c r="HT185" s="199"/>
      <c r="HU185" s="199"/>
      <c r="HV185" s="199"/>
      <c r="HW185" s="199"/>
      <c r="HX185" s="199"/>
      <c r="HY185" s="199"/>
      <c r="HZ185" s="199"/>
      <c r="IA185" s="199"/>
      <c r="IB185" s="199"/>
      <c r="IC185" s="199"/>
      <c r="ID185" s="199"/>
      <c r="IE185" s="199"/>
      <c r="IF185" s="199"/>
      <c r="IG185" s="199"/>
      <c r="IH185" s="199"/>
      <c r="II185" s="199"/>
      <c r="IJ185" s="199"/>
      <c r="IK185" s="199"/>
      <c r="IL185" s="199"/>
      <c r="IM185" s="199"/>
      <c r="IN185" s="199"/>
      <c r="IO185" s="199"/>
      <c r="IP185" s="199"/>
      <c r="IQ185" s="199"/>
      <c r="IR185" s="199"/>
      <c r="IS185" s="199"/>
      <c r="IT185" s="199"/>
      <c r="IU185" s="199"/>
      <c r="IV185" s="200"/>
      <c r="IW185" s="204"/>
      <c r="IX185" s="204"/>
      <c r="IY185" s="204"/>
      <c r="IZ185" s="204"/>
      <c r="JA185" s="204"/>
      <c r="JB185" s="204"/>
      <c r="JC185" s="19"/>
      <c r="JG185" s="154"/>
      <c r="JN185" s="16"/>
      <c r="JQ185" s="187"/>
      <c r="JR185" s="188"/>
      <c r="JS185" s="188"/>
      <c r="JT185" s="188"/>
      <c r="JU185" s="188"/>
      <c r="JV185" s="188"/>
      <c r="JW185" s="188"/>
      <c r="JX185" s="188"/>
      <c r="JY185" s="188"/>
      <c r="JZ185" s="188"/>
      <c r="KA185" s="188"/>
      <c r="KB185" s="188"/>
      <c r="KC185" s="188"/>
      <c r="KD185" s="188"/>
      <c r="KE185" s="188"/>
      <c r="KF185" s="188"/>
      <c r="KG185" s="188"/>
      <c r="KH185" s="188"/>
      <c r="KI185" s="188"/>
      <c r="KJ185" s="188"/>
      <c r="KK185" s="188"/>
      <c r="KL185" s="188"/>
      <c r="KM185" s="188"/>
      <c r="KN185" s="188"/>
      <c r="KO185" s="188"/>
      <c r="KP185" s="188"/>
      <c r="KQ185" s="188"/>
      <c r="KR185" s="188"/>
      <c r="KS185" s="188"/>
      <c r="KT185" s="188"/>
      <c r="KU185" s="188"/>
      <c r="KV185" s="188"/>
      <c r="KW185" s="188"/>
      <c r="KX185" s="188"/>
      <c r="KY185" s="188"/>
      <c r="KZ185" s="188"/>
      <c r="LA185" s="188"/>
      <c r="LB185" s="188"/>
      <c r="LC185" s="188"/>
      <c r="LD185" s="188"/>
      <c r="LE185" s="189"/>
      <c r="LF185" s="187"/>
      <c r="LG185" s="188"/>
      <c r="LH185" s="188"/>
      <c r="LI185" s="188"/>
      <c r="LJ185" s="189"/>
      <c r="LQ185" s="12"/>
      <c r="LR185" s="7"/>
      <c r="LS185" s="3"/>
      <c r="LT185" s="3"/>
      <c r="LU185" s="3"/>
      <c r="LV185" s="3"/>
      <c r="LW185" s="2"/>
      <c r="MK185" s="3"/>
      <c r="ML185" s="3"/>
      <c r="MM185" s="3"/>
      <c r="MN185" s="3"/>
      <c r="MO185" s="3"/>
      <c r="MP185" s="2"/>
    </row>
    <row r="186" spans="3:354" ht="5.0999999999999996" customHeight="1" x14ac:dyDescent="0.3">
      <c r="C186" s="11"/>
      <c r="D186" s="13"/>
      <c r="Q186" s="187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  <c r="BD186" s="188"/>
      <c r="BE186" s="189"/>
      <c r="BF186" s="187"/>
      <c r="BG186" s="188"/>
      <c r="BH186" s="188"/>
      <c r="BI186" s="188"/>
      <c r="BJ186" s="189"/>
      <c r="FL186" s="187"/>
      <c r="FM186" s="188"/>
      <c r="FN186" s="188"/>
      <c r="FO186" s="188"/>
      <c r="FP186" s="188"/>
      <c r="FQ186" s="188"/>
      <c r="FR186" s="188"/>
      <c r="FS186" s="188"/>
      <c r="FT186" s="188"/>
      <c r="FU186" s="188"/>
      <c r="FV186" s="188"/>
      <c r="FW186" s="188"/>
      <c r="FX186" s="188"/>
      <c r="FY186" s="188"/>
      <c r="FZ186" s="188"/>
      <c r="GA186" s="188"/>
      <c r="GB186" s="188"/>
      <c r="GC186" s="188"/>
      <c r="GD186" s="188"/>
      <c r="GE186" s="188"/>
      <c r="GF186" s="188"/>
      <c r="GG186" s="188"/>
      <c r="GH186" s="188"/>
      <c r="GI186" s="188"/>
      <c r="GJ186" s="188"/>
      <c r="GK186" s="188"/>
      <c r="GL186" s="188"/>
      <c r="GM186" s="188"/>
      <c r="GN186" s="188"/>
      <c r="GO186" s="188"/>
      <c r="GP186" s="188"/>
      <c r="GQ186" s="188"/>
      <c r="GR186" s="188"/>
      <c r="GS186" s="188"/>
      <c r="GT186" s="188"/>
      <c r="GU186" s="188"/>
      <c r="GV186" s="188"/>
      <c r="GW186" s="188"/>
      <c r="GX186" s="188"/>
      <c r="GY186" s="189"/>
      <c r="GZ186" s="187"/>
      <c r="HA186" s="188"/>
      <c r="HB186" s="188"/>
      <c r="HC186" s="188"/>
      <c r="HD186" s="189"/>
      <c r="HI186" s="198"/>
      <c r="HJ186" s="199"/>
      <c r="HK186" s="199"/>
      <c r="HL186" s="199"/>
      <c r="HM186" s="199"/>
      <c r="HN186" s="199"/>
      <c r="HO186" s="199"/>
      <c r="HP186" s="199"/>
      <c r="HQ186" s="199"/>
      <c r="HR186" s="199"/>
      <c r="HS186" s="199"/>
      <c r="HT186" s="199"/>
      <c r="HU186" s="199"/>
      <c r="HV186" s="199"/>
      <c r="HW186" s="199"/>
      <c r="HX186" s="199"/>
      <c r="HY186" s="199"/>
      <c r="HZ186" s="199"/>
      <c r="IA186" s="199"/>
      <c r="IB186" s="199"/>
      <c r="IC186" s="199"/>
      <c r="ID186" s="199"/>
      <c r="IE186" s="199"/>
      <c r="IF186" s="199"/>
      <c r="IG186" s="199"/>
      <c r="IH186" s="199"/>
      <c r="II186" s="199"/>
      <c r="IJ186" s="199"/>
      <c r="IK186" s="199"/>
      <c r="IL186" s="199"/>
      <c r="IM186" s="199"/>
      <c r="IN186" s="199"/>
      <c r="IO186" s="199"/>
      <c r="IP186" s="199"/>
      <c r="IQ186" s="199"/>
      <c r="IR186" s="199"/>
      <c r="IS186" s="199"/>
      <c r="IT186" s="199"/>
      <c r="IU186" s="199"/>
      <c r="IV186" s="200"/>
      <c r="IW186" s="204"/>
      <c r="IX186" s="204"/>
      <c r="IY186" s="204"/>
      <c r="IZ186" s="204"/>
      <c r="JA186" s="204"/>
      <c r="JB186" s="204"/>
      <c r="JC186" s="19"/>
      <c r="JG186" s="154"/>
      <c r="JN186" s="16"/>
      <c r="JQ186" s="187"/>
      <c r="JR186" s="188"/>
      <c r="JS186" s="188"/>
      <c r="JT186" s="188"/>
      <c r="JU186" s="188"/>
      <c r="JV186" s="188"/>
      <c r="JW186" s="188"/>
      <c r="JX186" s="188"/>
      <c r="JY186" s="188"/>
      <c r="JZ186" s="188"/>
      <c r="KA186" s="188"/>
      <c r="KB186" s="188"/>
      <c r="KC186" s="188"/>
      <c r="KD186" s="188"/>
      <c r="KE186" s="188"/>
      <c r="KF186" s="188"/>
      <c r="KG186" s="188"/>
      <c r="KH186" s="188"/>
      <c r="KI186" s="188"/>
      <c r="KJ186" s="188"/>
      <c r="KK186" s="188"/>
      <c r="KL186" s="188"/>
      <c r="KM186" s="188"/>
      <c r="KN186" s="188"/>
      <c r="KO186" s="188"/>
      <c r="KP186" s="188"/>
      <c r="KQ186" s="188"/>
      <c r="KR186" s="188"/>
      <c r="KS186" s="188"/>
      <c r="KT186" s="188"/>
      <c r="KU186" s="188"/>
      <c r="KV186" s="188"/>
      <c r="KW186" s="188"/>
      <c r="KX186" s="188"/>
      <c r="KY186" s="188"/>
      <c r="KZ186" s="188"/>
      <c r="LA186" s="188"/>
      <c r="LB186" s="188"/>
      <c r="LC186" s="188"/>
      <c r="LD186" s="188"/>
      <c r="LE186" s="189"/>
      <c r="LF186" s="187"/>
      <c r="LG186" s="188"/>
      <c r="LH186" s="188"/>
      <c r="LI186" s="188"/>
      <c r="LJ186" s="189"/>
      <c r="LQ186" s="12"/>
      <c r="LR186" s="7"/>
      <c r="LS186" s="3"/>
      <c r="LT186" s="3"/>
      <c r="LU186" s="3"/>
      <c r="LV186" s="3"/>
      <c r="LW186" s="2"/>
      <c r="MK186" s="3"/>
      <c r="ML186" s="3"/>
      <c r="MM186" s="3"/>
      <c r="MN186" s="3"/>
      <c r="MO186" s="3"/>
      <c r="MP186" s="2"/>
    </row>
    <row r="187" spans="3:354" ht="3.75" customHeight="1" x14ac:dyDescent="0.3">
      <c r="C187" s="11"/>
      <c r="D187" s="13"/>
      <c r="Q187" s="187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  <c r="BD187" s="188"/>
      <c r="BE187" s="189"/>
      <c r="BF187" s="187"/>
      <c r="BG187" s="188"/>
      <c r="BH187" s="188"/>
      <c r="BI187" s="188"/>
      <c r="BJ187" s="189"/>
      <c r="FL187" s="187"/>
      <c r="FM187" s="188"/>
      <c r="FN187" s="188"/>
      <c r="FO187" s="188"/>
      <c r="FP187" s="188"/>
      <c r="FQ187" s="188"/>
      <c r="FR187" s="188"/>
      <c r="FS187" s="188"/>
      <c r="FT187" s="188"/>
      <c r="FU187" s="188"/>
      <c r="FV187" s="188"/>
      <c r="FW187" s="188"/>
      <c r="FX187" s="188"/>
      <c r="FY187" s="188"/>
      <c r="FZ187" s="188"/>
      <c r="GA187" s="188"/>
      <c r="GB187" s="188"/>
      <c r="GC187" s="188"/>
      <c r="GD187" s="188"/>
      <c r="GE187" s="188"/>
      <c r="GF187" s="188"/>
      <c r="GG187" s="188"/>
      <c r="GH187" s="188"/>
      <c r="GI187" s="188"/>
      <c r="GJ187" s="188"/>
      <c r="GK187" s="188"/>
      <c r="GL187" s="188"/>
      <c r="GM187" s="188"/>
      <c r="GN187" s="188"/>
      <c r="GO187" s="188"/>
      <c r="GP187" s="188"/>
      <c r="GQ187" s="188"/>
      <c r="GR187" s="188"/>
      <c r="GS187" s="188"/>
      <c r="GT187" s="188"/>
      <c r="GU187" s="188"/>
      <c r="GV187" s="188"/>
      <c r="GW187" s="188"/>
      <c r="GX187" s="188"/>
      <c r="GY187" s="189"/>
      <c r="GZ187" s="187"/>
      <c r="HA187" s="188"/>
      <c r="HB187" s="188"/>
      <c r="HC187" s="188"/>
      <c r="HD187" s="189"/>
      <c r="HI187" s="198"/>
      <c r="HJ187" s="199"/>
      <c r="HK187" s="199"/>
      <c r="HL187" s="199"/>
      <c r="HM187" s="199"/>
      <c r="HN187" s="199"/>
      <c r="HO187" s="199"/>
      <c r="HP187" s="199"/>
      <c r="HQ187" s="199"/>
      <c r="HR187" s="199"/>
      <c r="HS187" s="199"/>
      <c r="HT187" s="199"/>
      <c r="HU187" s="199"/>
      <c r="HV187" s="199"/>
      <c r="HW187" s="199"/>
      <c r="HX187" s="199"/>
      <c r="HY187" s="199"/>
      <c r="HZ187" s="199"/>
      <c r="IA187" s="199"/>
      <c r="IB187" s="199"/>
      <c r="IC187" s="199"/>
      <c r="ID187" s="199"/>
      <c r="IE187" s="199"/>
      <c r="IF187" s="199"/>
      <c r="IG187" s="199"/>
      <c r="IH187" s="199"/>
      <c r="II187" s="199"/>
      <c r="IJ187" s="199"/>
      <c r="IK187" s="199"/>
      <c r="IL187" s="199"/>
      <c r="IM187" s="199"/>
      <c r="IN187" s="199"/>
      <c r="IO187" s="199"/>
      <c r="IP187" s="199"/>
      <c r="IQ187" s="199"/>
      <c r="IR187" s="199"/>
      <c r="IS187" s="199"/>
      <c r="IT187" s="199"/>
      <c r="IU187" s="199"/>
      <c r="IV187" s="200"/>
      <c r="IW187" s="204"/>
      <c r="IX187" s="204"/>
      <c r="IY187" s="204"/>
      <c r="IZ187" s="204"/>
      <c r="JA187" s="204"/>
      <c r="JB187" s="204"/>
      <c r="JC187" s="19"/>
      <c r="JG187" s="154"/>
      <c r="JN187" s="16"/>
      <c r="JQ187" s="187"/>
      <c r="JR187" s="188"/>
      <c r="JS187" s="188"/>
      <c r="JT187" s="188"/>
      <c r="JU187" s="188"/>
      <c r="JV187" s="188"/>
      <c r="JW187" s="188"/>
      <c r="JX187" s="188"/>
      <c r="JY187" s="188"/>
      <c r="JZ187" s="188"/>
      <c r="KA187" s="188"/>
      <c r="KB187" s="188"/>
      <c r="KC187" s="188"/>
      <c r="KD187" s="188"/>
      <c r="KE187" s="188"/>
      <c r="KF187" s="188"/>
      <c r="KG187" s="188"/>
      <c r="KH187" s="188"/>
      <c r="KI187" s="188"/>
      <c r="KJ187" s="188"/>
      <c r="KK187" s="188"/>
      <c r="KL187" s="188"/>
      <c r="KM187" s="188"/>
      <c r="KN187" s="188"/>
      <c r="KO187" s="188"/>
      <c r="KP187" s="188"/>
      <c r="KQ187" s="188"/>
      <c r="KR187" s="188"/>
      <c r="KS187" s="188"/>
      <c r="KT187" s="188"/>
      <c r="KU187" s="188"/>
      <c r="KV187" s="188"/>
      <c r="KW187" s="188"/>
      <c r="KX187" s="188"/>
      <c r="KY187" s="188"/>
      <c r="KZ187" s="188"/>
      <c r="LA187" s="188"/>
      <c r="LB187" s="188"/>
      <c r="LC187" s="188"/>
      <c r="LD187" s="188"/>
      <c r="LE187" s="189"/>
      <c r="LF187" s="187"/>
      <c r="LG187" s="188"/>
      <c r="LH187" s="188"/>
      <c r="LI187" s="188"/>
      <c r="LJ187" s="189"/>
      <c r="LQ187" s="12"/>
      <c r="LR187" s="7"/>
      <c r="LS187" s="3"/>
      <c r="LT187" s="3"/>
      <c r="LU187" s="3"/>
      <c r="LV187" s="3"/>
      <c r="LW187" s="2"/>
      <c r="MK187" s="3"/>
      <c r="ML187" s="3"/>
      <c r="MM187" s="3"/>
      <c r="MN187" s="3"/>
      <c r="MO187" s="3"/>
      <c r="MP187" s="2"/>
    </row>
    <row r="188" spans="3:354" ht="5.0999999999999996" customHeight="1" x14ac:dyDescent="0.3">
      <c r="C188" s="11"/>
      <c r="D188" s="13"/>
      <c r="Q188" s="187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  <c r="BD188" s="188"/>
      <c r="BE188" s="189"/>
      <c r="BF188" s="187"/>
      <c r="BG188" s="188"/>
      <c r="BH188" s="188"/>
      <c r="BI188" s="188"/>
      <c r="BJ188" s="189"/>
      <c r="FL188" s="187"/>
      <c r="FM188" s="188"/>
      <c r="FN188" s="188"/>
      <c r="FO188" s="188"/>
      <c r="FP188" s="188"/>
      <c r="FQ188" s="188"/>
      <c r="FR188" s="188"/>
      <c r="FS188" s="188"/>
      <c r="FT188" s="188"/>
      <c r="FU188" s="188"/>
      <c r="FV188" s="188"/>
      <c r="FW188" s="188"/>
      <c r="FX188" s="188"/>
      <c r="FY188" s="188"/>
      <c r="FZ188" s="188"/>
      <c r="GA188" s="188"/>
      <c r="GB188" s="188"/>
      <c r="GC188" s="188"/>
      <c r="GD188" s="188"/>
      <c r="GE188" s="188"/>
      <c r="GF188" s="188"/>
      <c r="GG188" s="188"/>
      <c r="GH188" s="188"/>
      <c r="GI188" s="188"/>
      <c r="GJ188" s="188"/>
      <c r="GK188" s="188"/>
      <c r="GL188" s="188"/>
      <c r="GM188" s="188"/>
      <c r="GN188" s="188"/>
      <c r="GO188" s="188"/>
      <c r="GP188" s="188"/>
      <c r="GQ188" s="188"/>
      <c r="GR188" s="188"/>
      <c r="GS188" s="188"/>
      <c r="GT188" s="188"/>
      <c r="GU188" s="188"/>
      <c r="GV188" s="188"/>
      <c r="GW188" s="188"/>
      <c r="GX188" s="188"/>
      <c r="GY188" s="189"/>
      <c r="GZ188" s="187"/>
      <c r="HA188" s="188"/>
      <c r="HB188" s="188"/>
      <c r="HC188" s="188"/>
      <c r="HD188" s="189"/>
      <c r="HI188" s="198"/>
      <c r="HJ188" s="199"/>
      <c r="HK188" s="199"/>
      <c r="HL188" s="199"/>
      <c r="HM188" s="199"/>
      <c r="HN188" s="199"/>
      <c r="HO188" s="199"/>
      <c r="HP188" s="199"/>
      <c r="HQ188" s="199"/>
      <c r="HR188" s="199"/>
      <c r="HS188" s="199"/>
      <c r="HT188" s="199"/>
      <c r="HU188" s="199"/>
      <c r="HV188" s="199"/>
      <c r="HW188" s="199"/>
      <c r="HX188" s="199"/>
      <c r="HY188" s="199"/>
      <c r="HZ188" s="199"/>
      <c r="IA188" s="199"/>
      <c r="IB188" s="199"/>
      <c r="IC188" s="199"/>
      <c r="ID188" s="199"/>
      <c r="IE188" s="199"/>
      <c r="IF188" s="199"/>
      <c r="IG188" s="199"/>
      <c r="IH188" s="199"/>
      <c r="II188" s="199"/>
      <c r="IJ188" s="199"/>
      <c r="IK188" s="199"/>
      <c r="IL188" s="199"/>
      <c r="IM188" s="199"/>
      <c r="IN188" s="199"/>
      <c r="IO188" s="199"/>
      <c r="IP188" s="199"/>
      <c r="IQ188" s="199"/>
      <c r="IR188" s="199"/>
      <c r="IS188" s="199"/>
      <c r="IT188" s="199"/>
      <c r="IU188" s="199"/>
      <c r="IV188" s="200"/>
      <c r="IW188" s="204"/>
      <c r="IX188" s="204"/>
      <c r="IY188" s="204"/>
      <c r="IZ188" s="204"/>
      <c r="JA188" s="204"/>
      <c r="JB188" s="204"/>
      <c r="JC188" s="19"/>
      <c r="JG188" s="154"/>
      <c r="JN188" s="16"/>
      <c r="JQ188" s="187"/>
      <c r="JR188" s="188"/>
      <c r="JS188" s="188"/>
      <c r="JT188" s="188"/>
      <c r="JU188" s="188"/>
      <c r="JV188" s="188"/>
      <c r="JW188" s="188"/>
      <c r="JX188" s="188"/>
      <c r="JY188" s="188"/>
      <c r="JZ188" s="188"/>
      <c r="KA188" s="188"/>
      <c r="KB188" s="188"/>
      <c r="KC188" s="188"/>
      <c r="KD188" s="188"/>
      <c r="KE188" s="188"/>
      <c r="KF188" s="188"/>
      <c r="KG188" s="188"/>
      <c r="KH188" s="188"/>
      <c r="KI188" s="188"/>
      <c r="KJ188" s="188"/>
      <c r="KK188" s="188"/>
      <c r="KL188" s="188"/>
      <c r="KM188" s="188"/>
      <c r="KN188" s="188"/>
      <c r="KO188" s="188"/>
      <c r="KP188" s="188"/>
      <c r="KQ188" s="188"/>
      <c r="KR188" s="188"/>
      <c r="KS188" s="188"/>
      <c r="KT188" s="188"/>
      <c r="KU188" s="188"/>
      <c r="KV188" s="188"/>
      <c r="KW188" s="188"/>
      <c r="KX188" s="188"/>
      <c r="KY188" s="188"/>
      <c r="KZ188" s="188"/>
      <c r="LA188" s="188"/>
      <c r="LB188" s="188"/>
      <c r="LC188" s="188"/>
      <c r="LD188" s="188"/>
      <c r="LE188" s="189"/>
      <c r="LF188" s="187"/>
      <c r="LG188" s="188"/>
      <c r="LH188" s="188"/>
      <c r="LI188" s="188"/>
      <c r="LJ188" s="189"/>
      <c r="LQ188" s="12"/>
      <c r="LR188" s="7"/>
      <c r="LS188" s="3"/>
      <c r="LT188" s="3"/>
      <c r="LU188" s="3"/>
      <c r="LV188" s="3"/>
      <c r="LW188" s="2"/>
      <c r="MK188" s="3"/>
      <c r="ML188" s="3"/>
      <c r="MM188" s="3"/>
      <c r="MN188" s="3"/>
      <c r="MO188" s="3"/>
      <c r="MP188" s="2"/>
    </row>
    <row r="189" spans="3:354" ht="5.0999999999999996" customHeight="1" x14ac:dyDescent="0.3">
      <c r="C189" s="11"/>
      <c r="D189" s="13"/>
      <c r="Q189" s="187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  <c r="BE189" s="189"/>
      <c r="BF189" s="187"/>
      <c r="BG189" s="188"/>
      <c r="BH189" s="188"/>
      <c r="BI189" s="188"/>
      <c r="BJ189" s="189"/>
      <c r="FL189" s="187"/>
      <c r="FM189" s="188"/>
      <c r="FN189" s="188"/>
      <c r="FO189" s="188"/>
      <c r="FP189" s="188"/>
      <c r="FQ189" s="188"/>
      <c r="FR189" s="188"/>
      <c r="FS189" s="188"/>
      <c r="FT189" s="188"/>
      <c r="FU189" s="188"/>
      <c r="FV189" s="188"/>
      <c r="FW189" s="188"/>
      <c r="FX189" s="188"/>
      <c r="FY189" s="188"/>
      <c r="FZ189" s="188"/>
      <c r="GA189" s="188"/>
      <c r="GB189" s="188"/>
      <c r="GC189" s="188"/>
      <c r="GD189" s="188"/>
      <c r="GE189" s="188"/>
      <c r="GF189" s="188"/>
      <c r="GG189" s="188"/>
      <c r="GH189" s="188"/>
      <c r="GI189" s="188"/>
      <c r="GJ189" s="188"/>
      <c r="GK189" s="188"/>
      <c r="GL189" s="188"/>
      <c r="GM189" s="188"/>
      <c r="GN189" s="188"/>
      <c r="GO189" s="188"/>
      <c r="GP189" s="188"/>
      <c r="GQ189" s="188"/>
      <c r="GR189" s="188"/>
      <c r="GS189" s="188"/>
      <c r="GT189" s="188"/>
      <c r="GU189" s="188"/>
      <c r="GV189" s="188"/>
      <c r="GW189" s="188"/>
      <c r="GX189" s="188"/>
      <c r="GY189" s="189"/>
      <c r="GZ189" s="187"/>
      <c r="HA189" s="188"/>
      <c r="HB189" s="188"/>
      <c r="HC189" s="188"/>
      <c r="HD189" s="189"/>
      <c r="HI189" s="198"/>
      <c r="HJ189" s="199"/>
      <c r="HK189" s="199"/>
      <c r="HL189" s="199"/>
      <c r="HM189" s="199"/>
      <c r="HN189" s="199"/>
      <c r="HO189" s="199"/>
      <c r="HP189" s="199"/>
      <c r="HQ189" s="199"/>
      <c r="HR189" s="199"/>
      <c r="HS189" s="199"/>
      <c r="HT189" s="199"/>
      <c r="HU189" s="199"/>
      <c r="HV189" s="199"/>
      <c r="HW189" s="199"/>
      <c r="HX189" s="199"/>
      <c r="HY189" s="199"/>
      <c r="HZ189" s="199"/>
      <c r="IA189" s="199"/>
      <c r="IB189" s="199"/>
      <c r="IC189" s="199"/>
      <c r="ID189" s="199"/>
      <c r="IE189" s="199"/>
      <c r="IF189" s="199"/>
      <c r="IG189" s="199"/>
      <c r="IH189" s="199"/>
      <c r="II189" s="199"/>
      <c r="IJ189" s="199"/>
      <c r="IK189" s="199"/>
      <c r="IL189" s="199"/>
      <c r="IM189" s="199"/>
      <c r="IN189" s="199"/>
      <c r="IO189" s="199"/>
      <c r="IP189" s="199"/>
      <c r="IQ189" s="199"/>
      <c r="IR189" s="199"/>
      <c r="IS189" s="199"/>
      <c r="IT189" s="199"/>
      <c r="IU189" s="199"/>
      <c r="IV189" s="200"/>
      <c r="IW189" s="204"/>
      <c r="IX189" s="204"/>
      <c r="IY189" s="204"/>
      <c r="IZ189" s="204"/>
      <c r="JA189" s="204"/>
      <c r="JB189" s="204"/>
      <c r="JC189" s="19"/>
      <c r="JG189" s="154"/>
      <c r="JN189" s="16"/>
      <c r="JQ189" s="190"/>
      <c r="JR189" s="191"/>
      <c r="JS189" s="191"/>
      <c r="JT189" s="191"/>
      <c r="JU189" s="191"/>
      <c r="JV189" s="191"/>
      <c r="JW189" s="191"/>
      <c r="JX189" s="191"/>
      <c r="JY189" s="191"/>
      <c r="JZ189" s="191"/>
      <c r="KA189" s="191"/>
      <c r="KB189" s="191"/>
      <c r="KC189" s="191"/>
      <c r="KD189" s="191"/>
      <c r="KE189" s="191"/>
      <c r="KF189" s="191"/>
      <c r="KG189" s="191"/>
      <c r="KH189" s="191"/>
      <c r="KI189" s="191"/>
      <c r="KJ189" s="191"/>
      <c r="KK189" s="191"/>
      <c r="KL189" s="191"/>
      <c r="KM189" s="191"/>
      <c r="KN189" s="191"/>
      <c r="KO189" s="191"/>
      <c r="KP189" s="191"/>
      <c r="KQ189" s="191"/>
      <c r="KR189" s="191"/>
      <c r="KS189" s="191"/>
      <c r="KT189" s="191"/>
      <c r="KU189" s="191"/>
      <c r="KV189" s="191"/>
      <c r="KW189" s="191"/>
      <c r="KX189" s="191"/>
      <c r="KY189" s="191"/>
      <c r="KZ189" s="191"/>
      <c r="LA189" s="191"/>
      <c r="LB189" s="191"/>
      <c r="LC189" s="191"/>
      <c r="LD189" s="191"/>
      <c r="LE189" s="192"/>
      <c r="LF189" s="190"/>
      <c r="LG189" s="191"/>
      <c r="LH189" s="191"/>
      <c r="LI189" s="191"/>
      <c r="LJ189" s="192"/>
      <c r="LQ189" s="12"/>
      <c r="LR189" s="7"/>
      <c r="LS189" s="3"/>
      <c r="LT189" s="3"/>
      <c r="LU189" s="3"/>
      <c r="LV189" s="3"/>
      <c r="LW189" s="2"/>
      <c r="MK189" s="3"/>
      <c r="ML189" s="3"/>
      <c r="MM189" s="3"/>
      <c r="MN189" s="3"/>
      <c r="MO189" s="3"/>
      <c r="MP189" s="2"/>
    </row>
    <row r="190" spans="3:354" ht="5.0999999999999996" customHeight="1" x14ac:dyDescent="0.3">
      <c r="C190" s="11"/>
      <c r="D190" s="13"/>
      <c r="Q190" s="190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2"/>
      <c r="BF190" s="190"/>
      <c r="BG190" s="191"/>
      <c r="BH190" s="191"/>
      <c r="BI190" s="191"/>
      <c r="BJ190" s="192"/>
      <c r="FL190" s="190"/>
      <c r="FM190" s="191"/>
      <c r="FN190" s="191"/>
      <c r="FO190" s="191"/>
      <c r="FP190" s="191"/>
      <c r="FQ190" s="191"/>
      <c r="FR190" s="191"/>
      <c r="FS190" s="191"/>
      <c r="FT190" s="191"/>
      <c r="FU190" s="191"/>
      <c r="FV190" s="191"/>
      <c r="FW190" s="191"/>
      <c r="FX190" s="191"/>
      <c r="FY190" s="191"/>
      <c r="FZ190" s="191"/>
      <c r="GA190" s="191"/>
      <c r="GB190" s="191"/>
      <c r="GC190" s="191"/>
      <c r="GD190" s="191"/>
      <c r="GE190" s="191"/>
      <c r="GF190" s="191"/>
      <c r="GG190" s="191"/>
      <c r="GH190" s="191"/>
      <c r="GI190" s="191"/>
      <c r="GJ190" s="191"/>
      <c r="GK190" s="191"/>
      <c r="GL190" s="191"/>
      <c r="GM190" s="191"/>
      <c r="GN190" s="191"/>
      <c r="GO190" s="191"/>
      <c r="GP190" s="191"/>
      <c r="GQ190" s="191"/>
      <c r="GR190" s="191"/>
      <c r="GS190" s="191"/>
      <c r="GT190" s="191"/>
      <c r="GU190" s="191"/>
      <c r="GV190" s="191"/>
      <c r="GW190" s="191"/>
      <c r="GX190" s="191"/>
      <c r="GY190" s="192"/>
      <c r="GZ190" s="190"/>
      <c r="HA190" s="191"/>
      <c r="HB190" s="191"/>
      <c r="HC190" s="191"/>
      <c r="HD190" s="192"/>
      <c r="HI190" s="198"/>
      <c r="HJ190" s="199"/>
      <c r="HK190" s="199"/>
      <c r="HL190" s="199"/>
      <c r="HM190" s="199"/>
      <c r="HN190" s="199"/>
      <c r="HO190" s="199"/>
      <c r="HP190" s="199"/>
      <c r="HQ190" s="199"/>
      <c r="HR190" s="199"/>
      <c r="HS190" s="199"/>
      <c r="HT190" s="199"/>
      <c r="HU190" s="199"/>
      <c r="HV190" s="199"/>
      <c r="HW190" s="199"/>
      <c r="HX190" s="199"/>
      <c r="HY190" s="199"/>
      <c r="HZ190" s="199"/>
      <c r="IA190" s="199"/>
      <c r="IB190" s="199"/>
      <c r="IC190" s="199"/>
      <c r="ID190" s="199"/>
      <c r="IE190" s="199"/>
      <c r="IF190" s="199"/>
      <c r="IG190" s="199"/>
      <c r="IH190" s="199"/>
      <c r="II190" s="199"/>
      <c r="IJ190" s="199"/>
      <c r="IK190" s="199"/>
      <c r="IL190" s="199"/>
      <c r="IM190" s="199"/>
      <c r="IN190" s="199"/>
      <c r="IO190" s="199"/>
      <c r="IP190" s="199"/>
      <c r="IQ190" s="199"/>
      <c r="IR190" s="199"/>
      <c r="IS190" s="199"/>
      <c r="IT190" s="199"/>
      <c r="IU190" s="199"/>
      <c r="IV190" s="200"/>
      <c r="IW190" s="204"/>
      <c r="IX190" s="204"/>
      <c r="IY190" s="204"/>
      <c r="IZ190" s="204"/>
      <c r="JA190" s="204"/>
      <c r="JB190" s="204"/>
      <c r="JC190" s="19"/>
      <c r="JG190" s="154"/>
      <c r="JN190" s="16"/>
      <c r="JQ190" s="184" t="s">
        <v>42</v>
      </c>
      <c r="JR190" s="185"/>
      <c r="JS190" s="185"/>
      <c r="JT190" s="185"/>
      <c r="JU190" s="185"/>
      <c r="JV190" s="185"/>
      <c r="JW190" s="185"/>
      <c r="JX190" s="185"/>
      <c r="JY190" s="185"/>
      <c r="JZ190" s="185"/>
      <c r="KA190" s="185"/>
      <c r="KB190" s="185"/>
      <c r="KC190" s="185"/>
      <c r="KD190" s="185"/>
      <c r="KE190" s="185"/>
      <c r="KF190" s="185"/>
      <c r="KG190" s="185"/>
      <c r="KH190" s="185"/>
      <c r="KI190" s="185"/>
      <c r="KJ190" s="185"/>
      <c r="KK190" s="185"/>
      <c r="KL190" s="185"/>
      <c r="KM190" s="185"/>
      <c r="KN190" s="185"/>
      <c r="KO190" s="185"/>
      <c r="KP190" s="185"/>
      <c r="KQ190" s="185"/>
      <c r="KR190" s="185"/>
      <c r="KS190" s="185"/>
      <c r="KT190" s="185"/>
      <c r="KU190" s="185"/>
      <c r="KV190" s="185"/>
      <c r="KW190" s="185"/>
      <c r="KX190" s="185"/>
      <c r="KY190" s="185"/>
      <c r="KZ190" s="185"/>
      <c r="LA190" s="185"/>
      <c r="LB190" s="185"/>
      <c r="LC190" s="185"/>
      <c r="LD190" s="185"/>
      <c r="LE190" s="186"/>
      <c r="LF190" s="184">
        <v>1</v>
      </c>
      <c r="LG190" s="185"/>
      <c r="LH190" s="185"/>
      <c r="LI190" s="185"/>
      <c r="LJ190" s="186"/>
      <c r="LQ190" s="12"/>
      <c r="LR190" s="7"/>
    </row>
    <row r="191" spans="3:354" ht="5.0999999999999996" customHeight="1" x14ac:dyDescent="0.3">
      <c r="C191" s="11"/>
      <c r="D191" s="13"/>
      <c r="Q191" s="184" t="s">
        <v>63</v>
      </c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6"/>
      <c r="BF191" s="184">
        <v>3</v>
      </c>
      <c r="BG191" s="185"/>
      <c r="BH191" s="185"/>
      <c r="BI191" s="185"/>
      <c r="BJ191" s="186"/>
      <c r="FL191" s="184" t="s">
        <v>69</v>
      </c>
      <c r="FM191" s="185"/>
      <c r="FN191" s="185"/>
      <c r="FO191" s="185"/>
      <c r="FP191" s="185"/>
      <c r="FQ191" s="185"/>
      <c r="FR191" s="185"/>
      <c r="FS191" s="185"/>
      <c r="FT191" s="185"/>
      <c r="FU191" s="185"/>
      <c r="FV191" s="185"/>
      <c r="FW191" s="185"/>
      <c r="FX191" s="185"/>
      <c r="FY191" s="185"/>
      <c r="FZ191" s="185"/>
      <c r="GA191" s="185"/>
      <c r="GB191" s="185"/>
      <c r="GC191" s="185"/>
      <c r="GD191" s="185"/>
      <c r="GE191" s="185"/>
      <c r="GF191" s="185"/>
      <c r="GG191" s="185"/>
      <c r="GH191" s="185"/>
      <c r="GI191" s="185"/>
      <c r="GJ191" s="185"/>
      <c r="GK191" s="185"/>
      <c r="GL191" s="185"/>
      <c r="GM191" s="185"/>
      <c r="GN191" s="185"/>
      <c r="GO191" s="185"/>
      <c r="GP191" s="185"/>
      <c r="GQ191" s="185"/>
      <c r="GR191" s="185"/>
      <c r="GS191" s="185"/>
      <c r="GT191" s="185"/>
      <c r="GU191" s="185"/>
      <c r="GV191" s="185"/>
      <c r="GW191" s="185"/>
      <c r="GX191" s="185"/>
      <c r="GY191" s="186"/>
      <c r="GZ191" s="184">
        <v>1</v>
      </c>
      <c r="HA191" s="185"/>
      <c r="HB191" s="185"/>
      <c r="HC191" s="185"/>
      <c r="HD191" s="186"/>
      <c r="HI191" s="198"/>
      <c r="HJ191" s="199"/>
      <c r="HK191" s="199"/>
      <c r="HL191" s="199"/>
      <c r="HM191" s="199"/>
      <c r="HN191" s="199"/>
      <c r="HO191" s="199"/>
      <c r="HP191" s="199"/>
      <c r="HQ191" s="199"/>
      <c r="HR191" s="199"/>
      <c r="HS191" s="199"/>
      <c r="HT191" s="199"/>
      <c r="HU191" s="199"/>
      <c r="HV191" s="199"/>
      <c r="HW191" s="199"/>
      <c r="HX191" s="199"/>
      <c r="HY191" s="199"/>
      <c r="HZ191" s="199"/>
      <c r="IA191" s="199"/>
      <c r="IB191" s="199"/>
      <c r="IC191" s="199"/>
      <c r="ID191" s="199"/>
      <c r="IE191" s="199"/>
      <c r="IF191" s="199"/>
      <c r="IG191" s="199"/>
      <c r="IH191" s="199"/>
      <c r="II191" s="199"/>
      <c r="IJ191" s="199"/>
      <c r="IK191" s="199"/>
      <c r="IL191" s="199"/>
      <c r="IM191" s="199"/>
      <c r="IN191" s="199"/>
      <c r="IO191" s="199"/>
      <c r="IP191" s="199"/>
      <c r="IQ191" s="199"/>
      <c r="IR191" s="199"/>
      <c r="IS191" s="199"/>
      <c r="IT191" s="199"/>
      <c r="IU191" s="199"/>
      <c r="IV191" s="200"/>
      <c r="IW191" s="204"/>
      <c r="IX191" s="204"/>
      <c r="IY191" s="204"/>
      <c r="IZ191" s="204"/>
      <c r="JA191" s="204"/>
      <c r="JB191" s="204"/>
      <c r="JC191" s="19"/>
      <c r="JG191" s="154"/>
      <c r="JN191" s="16"/>
      <c r="JQ191" s="187"/>
      <c r="JR191" s="188"/>
      <c r="JS191" s="188"/>
      <c r="JT191" s="188"/>
      <c r="JU191" s="188"/>
      <c r="JV191" s="188"/>
      <c r="JW191" s="188"/>
      <c r="JX191" s="188"/>
      <c r="JY191" s="188"/>
      <c r="JZ191" s="188"/>
      <c r="KA191" s="188"/>
      <c r="KB191" s="188"/>
      <c r="KC191" s="188"/>
      <c r="KD191" s="188"/>
      <c r="KE191" s="188"/>
      <c r="KF191" s="188"/>
      <c r="KG191" s="188"/>
      <c r="KH191" s="188"/>
      <c r="KI191" s="188"/>
      <c r="KJ191" s="188"/>
      <c r="KK191" s="188"/>
      <c r="KL191" s="188"/>
      <c r="KM191" s="188"/>
      <c r="KN191" s="188"/>
      <c r="KO191" s="188"/>
      <c r="KP191" s="188"/>
      <c r="KQ191" s="188"/>
      <c r="KR191" s="188"/>
      <c r="KS191" s="188"/>
      <c r="KT191" s="188"/>
      <c r="KU191" s="188"/>
      <c r="KV191" s="188"/>
      <c r="KW191" s="188"/>
      <c r="KX191" s="188"/>
      <c r="KY191" s="188"/>
      <c r="KZ191" s="188"/>
      <c r="LA191" s="188"/>
      <c r="LB191" s="188"/>
      <c r="LC191" s="188"/>
      <c r="LD191" s="188"/>
      <c r="LE191" s="189"/>
      <c r="LF191" s="187"/>
      <c r="LG191" s="188"/>
      <c r="LH191" s="188"/>
      <c r="LI191" s="188"/>
      <c r="LJ191" s="189"/>
      <c r="LQ191" s="12"/>
      <c r="LR191" s="7"/>
    </row>
    <row r="192" spans="3:354" ht="5.0999999999999996" customHeight="1" thickBot="1" x14ac:dyDescent="0.35">
      <c r="C192" s="11"/>
      <c r="D192" s="13"/>
      <c r="Q192" s="187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  <c r="BD192" s="188"/>
      <c r="BE192" s="189"/>
      <c r="BF192" s="187"/>
      <c r="BG192" s="188"/>
      <c r="BH192" s="188"/>
      <c r="BI192" s="188"/>
      <c r="BJ192" s="189"/>
      <c r="FL192" s="187"/>
      <c r="FM192" s="188"/>
      <c r="FN192" s="188"/>
      <c r="FO192" s="188"/>
      <c r="FP192" s="188"/>
      <c r="FQ192" s="188"/>
      <c r="FR192" s="188"/>
      <c r="FS192" s="188"/>
      <c r="FT192" s="188"/>
      <c r="FU192" s="188"/>
      <c r="FV192" s="188"/>
      <c r="FW192" s="188"/>
      <c r="FX192" s="188"/>
      <c r="FY192" s="188"/>
      <c r="FZ192" s="188"/>
      <c r="GA192" s="188"/>
      <c r="GB192" s="188"/>
      <c r="GC192" s="188"/>
      <c r="GD192" s="188"/>
      <c r="GE192" s="188"/>
      <c r="GF192" s="188"/>
      <c r="GG192" s="188"/>
      <c r="GH192" s="188"/>
      <c r="GI192" s="188"/>
      <c r="GJ192" s="188"/>
      <c r="GK192" s="188"/>
      <c r="GL192" s="188"/>
      <c r="GM192" s="188"/>
      <c r="GN192" s="188"/>
      <c r="GO192" s="188"/>
      <c r="GP192" s="188"/>
      <c r="GQ192" s="188"/>
      <c r="GR192" s="188"/>
      <c r="GS192" s="188"/>
      <c r="GT192" s="188"/>
      <c r="GU192" s="188"/>
      <c r="GV192" s="188"/>
      <c r="GW192" s="188"/>
      <c r="GX192" s="188"/>
      <c r="GY192" s="189"/>
      <c r="GZ192" s="187"/>
      <c r="HA192" s="188"/>
      <c r="HB192" s="188"/>
      <c r="HC192" s="188"/>
      <c r="HD192" s="189"/>
      <c r="HI192" s="201"/>
      <c r="HJ192" s="202"/>
      <c r="HK192" s="202"/>
      <c r="HL192" s="202"/>
      <c r="HM192" s="202"/>
      <c r="HN192" s="202"/>
      <c r="HO192" s="202"/>
      <c r="HP192" s="202"/>
      <c r="HQ192" s="202"/>
      <c r="HR192" s="202"/>
      <c r="HS192" s="202"/>
      <c r="HT192" s="202"/>
      <c r="HU192" s="202"/>
      <c r="HV192" s="202"/>
      <c r="HW192" s="202"/>
      <c r="HX192" s="202"/>
      <c r="HY192" s="202"/>
      <c r="HZ192" s="202"/>
      <c r="IA192" s="202"/>
      <c r="IB192" s="202"/>
      <c r="IC192" s="202"/>
      <c r="ID192" s="202"/>
      <c r="IE192" s="202"/>
      <c r="IF192" s="202"/>
      <c r="IG192" s="202"/>
      <c r="IH192" s="202"/>
      <c r="II192" s="202"/>
      <c r="IJ192" s="202"/>
      <c r="IK192" s="202"/>
      <c r="IL192" s="202"/>
      <c r="IM192" s="202"/>
      <c r="IN192" s="202"/>
      <c r="IO192" s="202"/>
      <c r="IP192" s="202"/>
      <c r="IQ192" s="202"/>
      <c r="IR192" s="202"/>
      <c r="IS192" s="202"/>
      <c r="IT192" s="202"/>
      <c r="IU192" s="202"/>
      <c r="IV192" s="203"/>
      <c r="IW192" s="204"/>
      <c r="IX192" s="204"/>
      <c r="IY192" s="204"/>
      <c r="IZ192" s="204"/>
      <c r="JA192" s="204"/>
      <c r="JB192" s="204"/>
      <c r="JC192" s="19"/>
      <c r="JG192" s="154"/>
      <c r="JN192" s="16"/>
      <c r="JQ192" s="187"/>
      <c r="JR192" s="188"/>
      <c r="JS192" s="188"/>
      <c r="JT192" s="188"/>
      <c r="JU192" s="188"/>
      <c r="JV192" s="188"/>
      <c r="JW192" s="188"/>
      <c r="JX192" s="188"/>
      <c r="JY192" s="188"/>
      <c r="JZ192" s="188"/>
      <c r="KA192" s="188"/>
      <c r="KB192" s="188"/>
      <c r="KC192" s="188"/>
      <c r="KD192" s="188"/>
      <c r="KE192" s="188"/>
      <c r="KF192" s="188"/>
      <c r="KG192" s="188"/>
      <c r="KH192" s="188"/>
      <c r="KI192" s="188"/>
      <c r="KJ192" s="188"/>
      <c r="KK192" s="188"/>
      <c r="KL192" s="188"/>
      <c r="KM192" s="188"/>
      <c r="KN192" s="188"/>
      <c r="KO192" s="188"/>
      <c r="KP192" s="188"/>
      <c r="KQ192" s="188"/>
      <c r="KR192" s="188"/>
      <c r="KS192" s="188"/>
      <c r="KT192" s="188"/>
      <c r="KU192" s="188"/>
      <c r="KV192" s="188"/>
      <c r="KW192" s="188"/>
      <c r="KX192" s="188"/>
      <c r="KY192" s="188"/>
      <c r="KZ192" s="188"/>
      <c r="LA192" s="188"/>
      <c r="LB192" s="188"/>
      <c r="LC192" s="188"/>
      <c r="LD192" s="188"/>
      <c r="LE192" s="189"/>
      <c r="LF192" s="187"/>
      <c r="LG192" s="188"/>
      <c r="LH192" s="188"/>
      <c r="LI192" s="188"/>
      <c r="LJ192" s="189"/>
      <c r="LQ192" s="12"/>
      <c r="LR192" s="7"/>
      <c r="LS192" s="3"/>
      <c r="LT192" s="3"/>
      <c r="LU192" s="3"/>
      <c r="LV192" s="3"/>
      <c r="LW192" s="2"/>
      <c r="MK192" s="3"/>
      <c r="ML192" s="3"/>
      <c r="MM192" s="3"/>
      <c r="MN192" s="3"/>
      <c r="MO192" s="3"/>
      <c r="MP192" s="2"/>
    </row>
    <row r="193" spans="3:354" ht="5.0999999999999996" customHeight="1" x14ac:dyDescent="0.3">
      <c r="C193" s="11"/>
      <c r="D193" s="13"/>
      <c r="Q193" s="187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  <c r="BE193" s="189"/>
      <c r="BF193" s="187"/>
      <c r="BG193" s="188"/>
      <c r="BH193" s="188"/>
      <c r="BI193" s="188"/>
      <c r="BJ193" s="189"/>
      <c r="FL193" s="187"/>
      <c r="FM193" s="188"/>
      <c r="FN193" s="188"/>
      <c r="FO193" s="188"/>
      <c r="FP193" s="188"/>
      <c r="FQ193" s="188"/>
      <c r="FR193" s="188"/>
      <c r="FS193" s="188"/>
      <c r="FT193" s="188"/>
      <c r="FU193" s="188"/>
      <c r="FV193" s="188"/>
      <c r="FW193" s="188"/>
      <c r="FX193" s="188"/>
      <c r="FY193" s="188"/>
      <c r="FZ193" s="188"/>
      <c r="GA193" s="188"/>
      <c r="GB193" s="188"/>
      <c r="GC193" s="188"/>
      <c r="GD193" s="188"/>
      <c r="GE193" s="188"/>
      <c r="GF193" s="188"/>
      <c r="GG193" s="188"/>
      <c r="GH193" s="188"/>
      <c r="GI193" s="188"/>
      <c r="GJ193" s="188"/>
      <c r="GK193" s="188"/>
      <c r="GL193" s="188"/>
      <c r="GM193" s="188"/>
      <c r="GN193" s="188"/>
      <c r="GO193" s="188"/>
      <c r="GP193" s="188"/>
      <c r="GQ193" s="188"/>
      <c r="GR193" s="188"/>
      <c r="GS193" s="188"/>
      <c r="GT193" s="188"/>
      <c r="GU193" s="188"/>
      <c r="GV193" s="188"/>
      <c r="GW193" s="188"/>
      <c r="GX193" s="188"/>
      <c r="GY193" s="189"/>
      <c r="GZ193" s="187"/>
      <c r="HA193" s="188"/>
      <c r="HB193" s="188"/>
      <c r="HC193" s="188"/>
      <c r="HD193" s="189"/>
      <c r="HI193" s="216" t="s">
        <v>39</v>
      </c>
      <c r="HJ193" s="217"/>
      <c r="HK193" s="217"/>
      <c r="HL193" s="217"/>
      <c r="HM193" s="217"/>
      <c r="HN193" s="217"/>
      <c r="HO193" s="217"/>
      <c r="HP193" s="217"/>
      <c r="HQ193" s="217"/>
      <c r="HR193" s="217"/>
      <c r="HS193" s="217"/>
      <c r="HT193" s="217"/>
      <c r="HU193" s="217"/>
      <c r="HV193" s="217"/>
      <c r="HW193" s="217"/>
      <c r="HX193" s="217"/>
      <c r="HY193" s="217"/>
      <c r="HZ193" s="217"/>
      <c r="IA193" s="217"/>
      <c r="IB193" s="217"/>
      <c r="IC193" s="217"/>
      <c r="ID193" s="217"/>
      <c r="IE193" s="217"/>
      <c r="IF193" s="217"/>
      <c r="IG193" s="217"/>
      <c r="IH193" s="217"/>
      <c r="II193" s="217"/>
      <c r="IJ193" s="217"/>
      <c r="IK193" s="217"/>
      <c r="IL193" s="217"/>
      <c r="IM193" s="217"/>
      <c r="IN193" s="217"/>
      <c r="IO193" s="217"/>
      <c r="IP193" s="217"/>
      <c r="IQ193" s="217"/>
      <c r="IR193" s="217"/>
      <c r="IS193" s="217"/>
      <c r="IT193" s="217"/>
      <c r="IU193" s="217"/>
      <c r="IV193" s="218"/>
      <c r="IW193" s="184">
        <v>1</v>
      </c>
      <c r="IX193" s="185"/>
      <c r="IY193" s="185"/>
      <c r="IZ193" s="185"/>
      <c r="JA193" s="185"/>
      <c r="JB193" s="186"/>
      <c r="JC193" s="51"/>
      <c r="JG193" s="154"/>
      <c r="JN193" s="16"/>
      <c r="JQ193" s="187"/>
      <c r="JR193" s="188"/>
      <c r="JS193" s="188"/>
      <c r="JT193" s="188"/>
      <c r="JU193" s="188"/>
      <c r="JV193" s="188"/>
      <c r="JW193" s="188"/>
      <c r="JX193" s="188"/>
      <c r="JY193" s="188"/>
      <c r="JZ193" s="188"/>
      <c r="KA193" s="188"/>
      <c r="KB193" s="188"/>
      <c r="KC193" s="188"/>
      <c r="KD193" s="188"/>
      <c r="KE193" s="188"/>
      <c r="KF193" s="188"/>
      <c r="KG193" s="188"/>
      <c r="KH193" s="188"/>
      <c r="KI193" s="188"/>
      <c r="KJ193" s="188"/>
      <c r="KK193" s="188"/>
      <c r="KL193" s="188"/>
      <c r="KM193" s="188"/>
      <c r="KN193" s="188"/>
      <c r="KO193" s="188"/>
      <c r="KP193" s="188"/>
      <c r="KQ193" s="188"/>
      <c r="KR193" s="188"/>
      <c r="KS193" s="188"/>
      <c r="KT193" s="188"/>
      <c r="KU193" s="188"/>
      <c r="KV193" s="188"/>
      <c r="KW193" s="188"/>
      <c r="KX193" s="188"/>
      <c r="KY193" s="188"/>
      <c r="KZ193" s="188"/>
      <c r="LA193" s="188"/>
      <c r="LB193" s="188"/>
      <c r="LC193" s="188"/>
      <c r="LD193" s="188"/>
      <c r="LE193" s="189"/>
      <c r="LF193" s="187"/>
      <c r="LG193" s="188"/>
      <c r="LH193" s="188"/>
      <c r="LI193" s="188"/>
      <c r="LJ193" s="189"/>
      <c r="LQ193" s="12"/>
      <c r="LR193" s="7"/>
      <c r="LS193" s="3"/>
      <c r="LT193" s="3"/>
      <c r="LU193" s="3"/>
      <c r="LV193" s="3"/>
      <c r="LW193" s="2"/>
      <c r="MK193" s="3"/>
      <c r="ML193" s="3"/>
      <c r="MM193" s="3"/>
      <c r="MN193" s="3"/>
      <c r="MO193" s="3"/>
      <c r="MP193" s="2"/>
    </row>
    <row r="194" spans="3:354" ht="5.0999999999999996" customHeight="1" x14ac:dyDescent="0.3">
      <c r="C194" s="11"/>
      <c r="D194" s="13"/>
      <c r="Q194" s="187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  <c r="BD194" s="188"/>
      <c r="BE194" s="189"/>
      <c r="BF194" s="187"/>
      <c r="BG194" s="188"/>
      <c r="BH194" s="188"/>
      <c r="BI194" s="188"/>
      <c r="BJ194" s="189"/>
      <c r="FL194" s="187"/>
      <c r="FM194" s="188"/>
      <c r="FN194" s="188"/>
      <c r="FO194" s="188"/>
      <c r="FP194" s="188"/>
      <c r="FQ194" s="188"/>
      <c r="FR194" s="188"/>
      <c r="FS194" s="188"/>
      <c r="FT194" s="188"/>
      <c r="FU194" s="188"/>
      <c r="FV194" s="188"/>
      <c r="FW194" s="188"/>
      <c r="FX194" s="188"/>
      <c r="FY194" s="188"/>
      <c r="FZ194" s="188"/>
      <c r="GA194" s="188"/>
      <c r="GB194" s="188"/>
      <c r="GC194" s="188"/>
      <c r="GD194" s="188"/>
      <c r="GE194" s="188"/>
      <c r="GF194" s="188"/>
      <c r="GG194" s="188"/>
      <c r="GH194" s="188"/>
      <c r="GI194" s="188"/>
      <c r="GJ194" s="188"/>
      <c r="GK194" s="188"/>
      <c r="GL194" s="188"/>
      <c r="GM194" s="188"/>
      <c r="GN194" s="188"/>
      <c r="GO194" s="188"/>
      <c r="GP194" s="188"/>
      <c r="GQ194" s="188"/>
      <c r="GR194" s="188"/>
      <c r="GS194" s="188"/>
      <c r="GT194" s="188"/>
      <c r="GU194" s="188"/>
      <c r="GV194" s="188"/>
      <c r="GW194" s="188"/>
      <c r="GX194" s="188"/>
      <c r="GY194" s="189"/>
      <c r="GZ194" s="187"/>
      <c r="HA194" s="188"/>
      <c r="HB194" s="188"/>
      <c r="HC194" s="188"/>
      <c r="HD194" s="189"/>
      <c r="HI194" s="219"/>
      <c r="HJ194" s="220"/>
      <c r="HK194" s="220"/>
      <c r="HL194" s="220"/>
      <c r="HM194" s="220"/>
      <c r="HN194" s="220"/>
      <c r="HO194" s="220"/>
      <c r="HP194" s="220"/>
      <c r="HQ194" s="220"/>
      <c r="HR194" s="220"/>
      <c r="HS194" s="220"/>
      <c r="HT194" s="220"/>
      <c r="HU194" s="220"/>
      <c r="HV194" s="220"/>
      <c r="HW194" s="220"/>
      <c r="HX194" s="220"/>
      <c r="HY194" s="220"/>
      <c r="HZ194" s="220"/>
      <c r="IA194" s="220"/>
      <c r="IB194" s="220"/>
      <c r="IC194" s="220"/>
      <c r="ID194" s="220"/>
      <c r="IE194" s="220"/>
      <c r="IF194" s="220"/>
      <c r="IG194" s="220"/>
      <c r="IH194" s="220"/>
      <c r="II194" s="220"/>
      <c r="IJ194" s="220"/>
      <c r="IK194" s="220"/>
      <c r="IL194" s="220"/>
      <c r="IM194" s="220"/>
      <c r="IN194" s="220"/>
      <c r="IO194" s="220"/>
      <c r="IP194" s="220"/>
      <c r="IQ194" s="220"/>
      <c r="IR194" s="220"/>
      <c r="IS194" s="220"/>
      <c r="IT194" s="220"/>
      <c r="IU194" s="220"/>
      <c r="IV194" s="221"/>
      <c r="IW194" s="187"/>
      <c r="IX194" s="188"/>
      <c r="IY194" s="188"/>
      <c r="IZ194" s="188"/>
      <c r="JA194" s="188"/>
      <c r="JB194" s="189"/>
      <c r="JG194" s="154"/>
      <c r="JN194" s="16"/>
      <c r="JQ194" s="187"/>
      <c r="JR194" s="188"/>
      <c r="JS194" s="188"/>
      <c r="JT194" s="188"/>
      <c r="JU194" s="188"/>
      <c r="JV194" s="188"/>
      <c r="JW194" s="188"/>
      <c r="JX194" s="188"/>
      <c r="JY194" s="188"/>
      <c r="JZ194" s="188"/>
      <c r="KA194" s="188"/>
      <c r="KB194" s="188"/>
      <c r="KC194" s="188"/>
      <c r="KD194" s="188"/>
      <c r="KE194" s="188"/>
      <c r="KF194" s="188"/>
      <c r="KG194" s="188"/>
      <c r="KH194" s="188"/>
      <c r="KI194" s="188"/>
      <c r="KJ194" s="188"/>
      <c r="KK194" s="188"/>
      <c r="KL194" s="188"/>
      <c r="KM194" s="188"/>
      <c r="KN194" s="188"/>
      <c r="KO194" s="188"/>
      <c r="KP194" s="188"/>
      <c r="KQ194" s="188"/>
      <c r="KR194" s="188"/>
      <c r="KS194" s="188"/>
      <c r="KT194" s="188"/>
      <c r="KU194" s="188"/>
      <c r="KV194" s="188"/>
      <c r="KW194" s="188"/>
      <c r="KX194" s="188"/>
      <c r="KY194" s="188"/>
      <c r="KZ194" s="188"/>
      <c r="LA194" s="188"/>
      <c r="LB194" s="188"/>
      <c r="LC194" s="188"/>
      <c r="LD194" s="188"/>
      <c r="LE194" s="189"/>
      <c r="LF194" s="187"/>
      <c r="LG194" s="188"/>
      <c r="LH194" s="188"/>
      <c r="LI194" s="188"/>
      <c r="LJ194" s="189"/>
      <c r="LQ194" s="12"/>
      <c r="LR194" s="7"/>
      <c r="LS194" s="3"/>
      <c r="LT194" s="3"/>
      <c r="LU194" s="3"/>
      <c r="LV194" s="3"/>
      <c r="LW194" s="2"/>
      <c r="MK194" s="3"/>
      <c r="ML194" s="3"/>
      <c r="MM194" s="3"/>
      <c r="MN194" s="3"/>
      <c r="MO194" s="3"/>
      <c r="MP194" s="2"/>
    </row>
    <row r="195" spans="3:354" ht="5.0999999999999996" customHeight="1" x14ac:dyDescent="0.3">
      <c r="C195" s="11"/>
      <c r="D195" s="13"/>
      <c r="Q195" s="187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9"/>
      <c r="BF195" s="187"/>
      <c r="BG195" s="188"/>
      <c r="BH195" s="188"/>
      <c r="BI195" s="188"/>
      <c r="BJ195" s="189"/>
      <c r="FL195" s="187"/>
      <c r="FM195" s="188"/>
      <c r="FN195" s="188"/>
      <c r="FO195" s="188"/>
      <c r="FP195" s="188"/>
      <c r="FQ195" s="188"/>
      <c r="FR195" s="188"/>
      <c r="FS195" s="188"/>
      <c r="FT195" s="188"/>
      <c r="FU195" s="188"/>
      <c r="FV195" s="188"/>
      <c r="FW195" s="188"/>
      <c r="FX195" s="188"/>
      <c r="FY195" s="188"/>
      <c r="FZ195" s="188"/>
      <c r="GA195" s="188"/>
      <c r="GB195" s="188"/>
      <c r="GC195" s="188"/>
      <c r="GD195" s="188"/>
      <c r="GE195" s="188"/>
      <c r="GF195" s="188"/>
      <c r="GG195" s="188"/>
      <c r="GH195" s="188"/>
      <c r="GI195" s="188"/>
      <c r="GJ195" s="188"/>
      <c r="GK195" s="188"/>
      <c r="GL195" s="188"/>
      <c r="GM195" s="188"/>
      <c r="GN195" s="188"/>
      <c r="GO195" s="188"/>
      <c r="GP195" s="188"/>
      <c r="GQ195" s="188"/>
      <c r="GR195" s="188"/>
      <c r="GS195" s="188"/>
      <c r="GT195" s="188"/>
      <c r="GU195" s="188"/>
      <c r="GV195" s="188"/>
      <c r="GW195" s="188"/>
      <c r="GX195" s="188"/>
      <c r="GY195" s="189"/>
      <c r="GZ195" s="187"/>
      <c r="HA195" s="188"/>
      <c r="HB195" s="188"/>
      <c r="HC195" s="188"/>
      <c r="HD195" s="189"/>
      <c r="HI195" s="219"/>
      <c r="HJ195" s="220"/>
      <c r="HK195" s="220"/>
      <c r="HL195" s="220"/>
      <c r="HM195" s="220"/>
      <c r="HN195" s="220"/>
      <c r="HO195" s="220"/>
      <c r="HP195" s="220"/>
      <c r="HQ195" s="220"/>
      <c r="HR195" s="220"/>
      <c r="HS195" s="220"/>
      <c r="HT195" s="220"/>
      <c r="HU195" s="220"/>
      <c r="HV195" s="220"/>
      <c r="HW195" s="220"/>
      <c r="HX195" s="220"/>
      <c r="HY195" s="220"/>
      <c r="HZ195" s="220"/>
      <c r="IA195" s="220"/>
      <c r="IB195" s="220"/>
      <c r="IC195" s="220"/>
      <c r="ID195" s="220"/>
      <c r="IE195" s="220"/>
      <c r="IF195" s="220"/>
      <c r="IG195" s="220"/>
      <c r="IH195" s="220"/>
      <c r="II195" s="220"/>
      <c r="IJ195" s="220"/>
      <c r="IK195" s="220"/>
      <c r="IL195" s="220"/>
      <c r="IM195" s="220"/>
      <c r="IN195" s="220"/>
      <c r="IO195" s="220"/>
      <c r="IP195" s="220"/>
      <c r="IQ195" s="220"/>
      <c r="IR195" s="220"/>
      <c r="IS195" s="220"/>
      <c r="IT195" s="220"/>
      <c r="IU195" s="220"/>
      <c r="IV195" s="221"/>
      <c r="IW195" s="187"/>
      <c r="IX195" s="188"/>
      <c r="IY195" s="188"/>
      <c r="IZ195" s="188"/>
      <c r="JA195" s="188"/>
      <c r="JB195" s="189"/>
      <c r="JG195" s="154"/>
      <c r="JN195" s="16"/>
      <c r="JQ195" s="187"/>
      <c r="JR195" s="188"/>
      <c r="JS195" s="188"/>
      <c r="JT195" s="188"/>
      <c r="JU195" s="188"/>
      <c r="JV195" s="188"/>
      <c r="JW195" s="188"/>
      <c r="JX195" s="188"/>
      <c r="JY195" s="188"/>
      <c r="JZ195" s="188"/>
      <c r="KA195" s="188"/>
      <c r="KB195" s="188"/>
      <c r="KC195" s="188"/>
      <c r="KD195" s="188"/>
      <c r="KE195" s="188"/>
      <c r="KF195" s="188"/>
      <c r="KG195" s="188"/>
      <c r="KH195" s="188"/>
      <c r="KI195" s="188"/>
      <c r="KJ195" s="188"/>
      <c r="KK195" s="188"/>
      <c r="KL195" s="188"/>
      <c r="KM195" s="188"/>
      <c r="KN195" s="188"/>
      <c r="KO195" s="188"/>
      <c r="KP195" s="188"/>
      <c r="KQ195" s="188"/>
      <c r="KR195" s="188"/>
      <c r="KS195" s="188"/>
      <c r="KT195" s="188"/>
      <c r="KU195" s="188"/>
      <c r="KV195" s="188"/>
      <c r="KW195" s="188"/>
      <c r="KX195" s="188"/>
      <c r="KY195" s="188"/>
      <c r="KZ195" s="188"/>
      <c r="LA195" s="188"/>
      <c r="LB195" s="188"/>
      <c r="LC195" s="188"/>
      <c r="LD195" s="188"/>
      <c r="LE195" s="189"/>
      <c r="LF195" s="187"/>
      <c r="LG195" s="188"/>
      <c r="LH195" s="188"/>
      <c r="LI195" s="188"/>
      <c r="LJ195" s="189"/>
      <c r="LQ195" s="12"/>
      <c r="LR195" s="7"/>
      <c r="LS195" s="3"/>
      <c r="LT195" s="3"/>
      <c r="LU195" s="3"/>
      <c r="LV195" s="3"/>
      <c r="LW195" s="2"/>
      <c r="MK195" s="3"/>
      <c r="ML195" s="3"/>
      <c r="MM195" s="3"/>
      <c r="MN195" s="3"/>
      <c r="MO195" s="3"/>
      <c r="MP195" s="2"/>
    </row>
    <row r="196" spans="3:354" ht="5.0999999999999996" customHeight="1" x14ac:dyDescent="0.3">
      <c r="C196" s="11"/>
      <c r="D196" s="13"/>
      <c r="Q196" s="187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  <c r="BD196" s="188"/>
      <c r="BE196" s="189"/>
      <c r="BF196" s="187"/>
      <c r="BG196" s="188"/>
      <c r="BH196" s="188"/>
      <c r="BI196" s="188"/>
      <c r="BJ196" s="189"/>
      <c r="FL196" s="187"/>
      <c r="FM196" s="188"/>
      <c r="FN196" s="188"/>
      <c r="FO196" s="188"/>
      <c r="FP196" s="188"/>
      <c r="FQ196" s="188"/>
      <c r="FR196" s="188"/>
      <c r="FS196" s="188"/>
      <c r="FT196" s="188"/>
      <c r="FU196" s="188"/>
      <c r="FV196" s="188"/>
      <c r="FW196" s="188"/>
      <c r="FX196" s="188"/>
      <c r="FY196" s="188"/>
      <c r="FZ196" s="188"/>
      <c r="GA196" s="188"/>
      <c r="GB196" s="188"/>
      <c r="GC196" s="188"/>
      <c r="GD196" s="188"/>
      <c r="GE196" s="188"/>
      <c r="GF196" s="188"/>
      <c r="GG196" s="188"/>
      <c r="GH196" s="188"/>
      <c r="GI196" s="188"/>
      <c r="GJ196" s="188"/>
      <c r="GK196" s="188"/>
      <c r="GL196" s="188"/>
      <c r="GM196" s="188"/>
      <c r="GN196" s="188"/>
      <c r="GO196" s="188"/>
      <c r="GP196" s="188"/>
      <c r="GQ196" s="188"/>
      <c r="GR196" s="188"/>
      <c r="GS196" s="188"/>
      <c r="GT196" s="188"/>
      <c r="GU196" s="188"/>
      <c r="GV196" s="188"/>
      <c r="GW196" s="188"/>
      <c r="GX196" s="188"/>
      <c r="GY196" s="189"/>
      <c r="GZ196" s="187"/>
      <c r="HA196" s="188"/>
      <c r="HB196" s="188"/>
      <c r="HC196" s="188"/>
      <c r="HD196" s="189"/>
      <c r="HI196" s="219"/>
      <c r="HJ196" s="220"/>
      <c r="HK196" s="220"/>
      <c r="HL196" s="220"/>
      <c r="HM196" s="220"/>
      <c r="HN196" s="220"/>
      <c r="HO196" s="220"/>
      <c r="HP196" s="220"/>
      <c r="HQ196" s="220"/>
      <c r="HR196" s="220"/>
      <c r="HS196" s="220"/>
      <c r="HT196" s="220"/>
      <c r="HU196" s="220"/>
      <c r="HV196" s="220"/>
      <c r="HW196" s="220"/>
      <c r="HX196" s="220"/>
      <c r="HY196" s="220"/>
      <c r="HZ196" s="220"/>
      <c r="IA196" s="220"/>
      <c r="IB196" s="220"/>
      <c r="IC196" s="220"/>
      <c r="ID196" s="220"/>
      <c r="IE196" s="220"/>
      <c r="IF196" s="220"/>
      <c r="IG196" s="220"/>
      <c r="IH196" s="220"/>
      <c r="II196" s="220"/>
      <c r="IJ196" s="220"/>
      <c r="IK196" s="220"/>
      <c r="IL196" s="220"/>
      <c r="IM196" s="220"/>
      <c r="IN196" s="220"/>
      <c r="IO196" s="220"/>
      <c r="IP196" s="220"/>
      <c r="IQ196" s="220"/>
      <c r="IR196" s="220"/>
      <c r="IS196" s="220"/>
      <c r="IT196" s="220"/>
      <c r="IU196" s="220"/>
      <c r="IV196" s="221"/>
      <c r="IW196" s="187"/>
      <c r="IX196" s="188"/>
      <c r="IY196" s="188"/>
      <c r="IZ196" s="188"/>
      <c r="JA196" s="188"/>
      <c r="JB196" s="189"/>
      <c r="JG196" s="154"/>
      <c r="JN196" s="16"/>
      <c r="JQ196" s="187"/>
      <c r="JR196" s="188"/>
      <c r="JS196" s="188"/>
      <c r="JT196" s="188"/>
      <c r="JU196" s="188"/>
      <c r="JV196" s="188"/>
      <c r="JW196" s="188"/>
      <c r="JX196" s="188"/>
      <c r="JY196" s="188"/>
      <c r="JZ196" s="188"/>
      <c r="KA196" s="188"/>
      <c r="KB196" s="188"/>
      <c r="KC196" s="188"/>
      <c r="KD196" s="188"/>
      <c r="KE196" s="188"/>
      <c r="KF196" s="188"/>
      <c r="KG196" s="188"/>
      <c r="KH196" s="188"/>
      <c r="KI196" s="188"/>
      <c r="KJ196" s="188"/>
      <c r="KK196" s="188"/>
      <c r="KL196" s="188"/>
      <c r="KM196" s="188"/>
      <c r="KN196" s="188"/>
      <c r="KO196" s="188"/>
      <c r="KP196" s="188"/>
      <c r="KQ196" s="188"/>
      <c r="KR196" s="188"/>
      <c r="KS196" s="188"/>
      <c r="KT196" s="188"/>
      <c r="KU196" s="188"/>
      <c r="KV196" s="188"/>
      <c r="KW196" s="188"/>
      <c r="KX196" s="188"/>
      <c r="KY196" s="188"/>
      <c r="KZ196" s="188"/>
      <c r="LA196" s="188"/>
      <c r="LB196" s="188"/>
      <c r="LC196" s="188"/>
      <c r="LD196" s="188"/>
      <c r="LE196" s="189"/>
      <c r="LF196" s="187"/>
      <c r="LG196" s="188"/>
      <c r="LH196" s="188"/>
      <c r="LI196" s="188"/>
      <c r="LJ196" s="189"/>
      <c r="LQ196" s="12"/>
      <c r="LR196" s="7"/>
      <c r="LS196" s="3"/>
      <c r="LT196" s="3"/>
      <c r="LU196" s="3"/>
      <c r="LV196" s="3"/>
      <c r="LW196" s="2"/>
      <c r="MK196" s="3"/>
      <c r="ML196" s="3"/>
      <c r="MM196" s="3"/>
      <c r="MN196" s="3"/>
      <c r="MO196" s="3"/>
      <c r="MP196" s="2"/>
    </row>
    <row r="197" spans="3:354" ht="5.0999999999999996" customHeight="1" x14ac:dyDescent="0.3">
      <c r="C197" s="11"/>
      <c r="D197" s="13"/>
      <c r="Q197" s="187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  <c r="BD197" s="188"/>
      <c r="BE197" s="189"/>
      <c r="BF197" s="187"/>
      <c r="BG197" s="188"/>
      <c r="BH197" s="188"/>
      <c r="BI197" s="188"/>
      <c r="BJ197" s="189"/>
      <c r="FL197" s="187"/>
      <c r="FM197" s="188"/>
      <c r="FN197" s="188"/>
      <c r="FO197" s="188"/>
      <c r="FP197" s="188"/>
      <c r="FQ197" s="188"/>
      <c r="FR197" s="188"/>
      <c r="FS197" s="188"/>
      <c r="FT197" s="188"/>
      <c r="FU197" s="188"/>
      <c r="FV197" s="188"/>
      <c r="FW197" s="188"/>
      <c r="FX197" s="188"/>
      <c r="FY197" s="188"/>
      <c r="FZ197" s="188"/>
      <c r="GA197" s="188"/>
      <c r="GB197" s="188"/>
      <c r="GC197" s="188"/>
      <c r="GD197" s="188"/>
      <c r="GE197" s="188"/>
      <c r="GF197" s="188"/>
      <c r="GG197" s="188"/>
      <c r="GH197" s="188"/>
      <c r="GI197" s="188"/>
      <c r="GJ197" s="188"/>
      <c r="GK197" s="188"/>
      <c r="GL197" s="188"/>
      <c r="GM197" s="188"/>
      <c r="GN197" s="188"/>
      <c r="GO197" s="188"/>
      <c r="GP197" s="188"/>
      <c r="GQ197" s="188"/>
      <c r="GR197" s="188"/>
      <c r="GS197" s="188"/>
      <c r="GT197" s="188"/>
      <c r="GU197" s="188"/>
      <c r="GV197" s="188"/>
      <c r="GW197" s="188"/>
      <c r="GX197" s="188"/>
      <c r="GY197" s="189"/>
      <c r="GZ197" s="187"/>
      <c r="HA197" s="188"/>
      <c r="HB197" s="188"/>
      <c r="HC197" s="188"/>
      <c r="HD197" s="189"/>
      <c r="HI197" s="219"/>
      <c r="HJ197" s="220"/>
      <c r="HK197" s="220"/>
      <c r="HL197" s="220"/>
      <c r="HM197" s="220"/>
      <c r="HN197" s="220"/>
      <c r="HO197" s="220"/>
      <c r="HP197" s="220"/>
      <c r="HQ197" s="220"/>
      <c r="HR197" s="220"/>
      <c r="HS197" s="220"/>
      <c r="HT197" s="220"/>
      <c r="HU197" s="220"/>
      <c r="HV197" s="220"/>
      <c r="HW197" s="220"/>
      <c r="HX197" s="220"/>
      <c r="HY197" s="220"/>
      <c r="HZ197" s="220"/>
      <c r="IA197" s="220"/>
      <c r="IB197" s="220"/>
      <c r="IC197" s="220"/>
      <c r="ID197" s="220"/>
      <c r="IE197" s="220"/>
      <c r="IF197" s="220"/>
      <c r="IG197" s="220"/>
      <c r="IH197" s="220"/>
      <c r="II197" s="220"/>
      <c r="IJ197" s="220"/>
      <c r="IK197" s="220"/>
      <c r="IL197" s="220"/>
      <c r="IM197" s="220"/>
      <c r="IN197" s="220"/>
      <c r="IO197" s="220"/>
      <c r="IP197" s="220"/>
      <c r="IQ197" s="220"/>
      <c r="IR197" s="220"/>
      <c r="IS197" s="220"/>
      <c r="IT197" s="220"/>
      <c r="IU197" s="220"/>
      <c r="IV197" s="221"/>
      <c r="IW197" s="187"/>
      <c r="IX197" s="188"/>
      <c r="IY197" s="188"/>
      <c r="IZ197" s="188"/>
      <c r="JA197" s="188"/>
      <c r="JB197" s="189"/>
      <c r="JG197" s="154"/>
      <c r="JN197" s="16"/>
      <c r="JQ197" s="187"/>
      <c r="JR197" s="188"/>
      <c r="JS197" s="188"/>
      <c r="JT197" s="188"/>
      <c r="JU197" s="188"/>
      <c r="JV197" s="188"/>
      <c r="JW197" s="188"/>
      <c r="JX197" s="188"/>
      <c r="JY197" s="188"/>
      <c r="JZ197" s="188"/>
      <c r="KA197" s="188"/>
      <c r="KB197" s="188"/>
      <c r="KC197" s="188"/>
      <c r="KD197" s="188"/>
      <c r="KE197" s="188"/>
      <c r="KF197" s="188"/>
      <c r="KG197" s="188"/>
      <c r="KH197" s="188"/>
      <c r="KI197" s="188"/>
      <c r="KJ197" s="188"/>
      <c r="KK197" s="188"/>
      <c r="KL197" s="188"/>
      <c r="KM197" s="188"/>
      <c r="KN197" s="188"/>
      <c r="KO197" s="188"/>
      <c r="KP197" s="188"/>
      <c r="KQ197" s="188"/>
      <c r="KR197" s="188"/>
      <c r="KS197" s="188"/>
      <c r="KT197" s="188"/>
      <c r="KU197" s="188"/>
      <c r="KV197" s="188"/>
      <c r="KW197" s="188"/>
      <c r="KX197" s="188"/>
      <c r="KY197" s="188"/>
      <c r="KZ197" s="188"/>
      <c r="LA197" s="188"/>
      <c r="LB197" s="188"/>
      <c r="LC197" s="188"/>
      <c r="LD197" s="188"/>
      <c r="LE197" s="189"/>
      <c r="LF197" s="187"/>
      <c r="LG197" s="188"/>
      <c r="LH197" s="188"/>
      <c r="LI197" s="188"/>
      <c r="LJ197" s="189"/>
      <c r="LQ197" s="12"/>
      <c r="LR197" s="7"/>
      <c r="LS197" s="3"/>
      <c r="LT197" s="3"/>
      <c r="LU197" s="3"/>
      <c r="LV197" s="3"/>
      <c r="LW197" s="2"/>
      <c r="MK197" s="3"/>
      <c r="ML197" s="3"/>
      <c r="MM197" s="3"/>
      <c r="MN197" s="3"/>
      <c r="MO197" s="3"/>
      <c r="MP197" s="2"/>
    </row>
    <row r="198" spans="3:354" ht="5.0999999999999996" customHeight="1" x14ac:dyDescent="0.3">
      <c r="C198" s="11"/>
      <c r="D198" s="13"/>
      <c r="Q198" s="187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9"/>
      <c r="BF198" s="187"/>
      <c r="BG198" s="188"/>
      <c r="BH198" s="188"/>
      <c r="BI198" s="188"/>
      <c r="BJ198" s="189"/>
      <c r="FL198" s="187"/>
      <c r="FM198" s="188"/>
      <c r="FN198" s="188"/>
      <c r="FO198" s="188"/>
      <c r="FP198" s="188"/>
      <c r="FQ198" s="188"/>
      <c r="FR198" s="188"/>
      <c r="FS198" s="188"/>
      <c r="FT198" s="188"/>
      <c r="FU198" s="188"/>
      <c r="FV198" s="188"/>
      <c r="FW198" s="188"/>
      <c r="FX198" s="188"/>
      <c r="FY198" s="188"/>
      <c r="FZ198" s="188"/>
      <c r="GA198" s="188"/>
      <c r="GB198" s="188"/>
      <c r="GC198" s="188"/>
      <c r="GD198" s="188"/>
      <c r="GE198" s="188"/>
      <c r="GF198" s="188"/>
      <c r="GG198" s="188"/>
      <c r="GH198" s="188"/>
      <c r="GI198" s="188"/>
      <c r="GJ198" s="188"/>
      <c r="GK198" s="188"/>
      <c r="GL198" s="188"/>
      <c r="GM198" s="188"/>
      <c r="GN198" s="188"/>
      <c r="GO198" s="188"/>
      <c r="GP198" s="188"/>
      <c r="GQ198" s="188"/>
      <c r="GR198" s="188"/>
      <c r="GS198" s="188"/>
      <c r="GT198" s="188"/>
      <c r="GU198" s="188"/>
      <c r="GV198" s="188"/>
      <c r="GW198" s="188"/>
      <c r="GX198" s="188"/>
      <c r="GY198" s="189"/>
      <c r="GZ198" s="187"/>
      <c r="HA198" s="188"/>
      <c r="HB198" s="188"/>
      <c r="HC198" s="188"/>
      <c r="HD198" s="189"/>
      <c r="HI198" s="219"/>
      <c r="HJ198" s="220"/>
      <c r="HK198" s="220"/>
      <c r="HL198" s="220"/>
      <c r="HM198" s="220"/>
      <c r="HN198" s="220"/>
      <c r="HO198" s="220"/>
      <c r="HP198" s="220"/>
      <c r="HQ198" s="220"/>
      <c r="HR198" s="220"/>
      <c r="HS198" s="220"/>
      <c r="HT198" s="220"/>
      <c r="HU198" s="220"/>
      <c r="HV198" s="220"/>
      <c r="HW198" s="220"/>
      <c r="HX198" s="220"/>
      <c r="HY198" s="220"/>
      <c r="HZ198" s="220"/>
      <c r="IA198" s="220"/>
      <c r="IB198" s="220"/>
      <c r="IC198" s="220"/>
      <c r="ID198" s="220"/>
      <c r="IE198" s="220"/>
      <c r="IF198" s="220"/>
      <c r="IG198" s="220"/>
      <c r="IH198" s="220"/>
      <c r="II198" s="220"/>
      <c r="IJ198" s="220"/>
      <c r="IK198" s="220"/>
      <c r="IL198" s="220"/>
      <c r="IM198" s="220"/>
      <c r="IN198" s="220"/>
      <c r="IO198" s="220"/>
      <c r="IP198" s="220"/>
      <c r="IQ198" s="220"/>
      <c r="IR198" s="220"/>
      <c r="IS198" s="220"/>
      <c r="IT198" s="220"/>
      <c r="IU198" s="220"/>
      <c r="IV198" s="221"/>
      <c r="IW198" s="187"/>
      <c r="IX198" s="188"/>
      <c r="IY198" s="188"/>
      <c r="IZ198" s="188"/>
      <c r="JA198" s="188"/>
      <c r="JB198" s="189"/>
      <c r="JG198" s="154"/>
      <c r="JN198" s="16"/>
      <c r="JQ198" s="187"/>
      <c r="JR198" s="188"/>
      <c r="JS198" s="188"/>
      <c r="JT198" s="188"/>
      <c r="JU198" s="188"/>
      <c r="JV198" s="188"/>
      <c r="JW198" s="188"/>
      <c r="JX198" s="188"/>
      <c r="JY198" s="188"/>
      <c r="JZ198" s="188"/>
      <c r="KA198" s="188"/>
      <c r="KB198" s="188"/>
      <c r="KC198" s="188"/>
      <c r="KD198" s="188"/>
      <c r="KE198" s="188"/>
      <c r="KF198" s="188"/>
      <c r="KG198" s="188"/>
      <c r="KH198" s="188"/>
      <c r="KI198" s="188"/>
      <c r="KJ198" s="188"/>
      <c r="KK198" s="188"/>
      <c r="KL198" s="188"/>
      <c r="KM198" s="188"/>
      <c r="KN198" s="188"/>
      <c r="KO198" s="188"/>
      <c r="KP198" s="188"/>
      <c r="KQ198" s="188"/>
      <c r="KR198" s="188"/>
      <c r="KS198" s="188"/>
      <c r="KT198" s="188"/>
      <c r="KU198" s="188"/>
      <c r="KV198" s="188"/>
      <c r="KW198" s="188"/>
      <c r="KX198" s="188"/>
      <c r="KY198" s="188"/>
      <c r="KZ198" s="188"/>
      <c r="LA198" s="188"/>
      <c r="LB198" s="188"/>
      <c r="LC198" s="188"/>
      <c r="LD198" s="188"/>
      <c r="LE198" s="189"/>
      <c r="LF198" s="187"/>
      <c r="LG198" s="188"/>
      <c r="LH198" s="188"/>
      <c r="LI198" s="188"/>
      <c r="LJ198" s="189"/>
      <c r="LQ198" s="12"/>
      <c r="LR198" s="7"/>
      <c r="LS198" s="3"/>
      <c r="LT198" s="3"/>
      <c r="LU198" s="3"/>
      <c r="LV198" s="3"/>
      <c r="LW198" s="2"/>
      <c r="MK198" s="3"/>
      <c r="ML198" s="3"/>
      <c r="MM198" s="3"/>
      <c r="MN198" s="3"/>
      <c r="MO198" s="3"/>
      <c r="MP198" s="2"/>
    </row>
    <row r="199" spans="3:354" ht="5.0999999999999996" customHeight="1" x14ac:dyDescent="0.3">
      <c r="C199" s="11"/>
      <c r="D199" s="13"/>
      <c r="Q199" s="187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9"/>
      <c r="BF199" s="187"/>
      <c r="BG199" s="188"/>
      <c r="BH199" s="188"/>
      <c r="BI199" s="188"/>
      <c r="BJ199" s="189"/>
      <c r="FL199" s="187"/>
      <c r="FM199" s="188"/>
      <c r="FN199" s="188"/>
      <c r="FO199" s="188"/>
      <c r="FP199" s="188"/>
      <c r="FQ199" s="188"/>
      <c r="FR199" s="188"/>
      <c r="FS199" s="188"/>
      <c r="FT199" s="188"/>
      <c r="FU199" s="188"/>
      <c r="FV199" s="188"/>
      <c r="FW199" s="188"/>
      <c r="FX199" s="188"/>
      <c r="FY199" s="188"/>
      <c r="FZ199" s="188"/>
      <c r="GA199" s="188"/>
      <c r="GB199" s="188"/>
      <c r="GC199" s="188"/>
      <c r="GD199" s="188"/>
      <c r="GE199" s="188"/>
      <c r="GF199" s="188"/>
      <c r="GG199" s="188"/>
      <c r="GH199" s="188"/>
      <c r="GI199" s="188"/>
      <c r="GJ199" s="188"/>
      <c r="GK199" s="188"/>
      <c r="GL199" s="188"/>
      <c r="GM199" s="188"/>
      <c r="GN199" s="188"/>
      <c r="GO199" s="188"/>
      <c r="GP199" s="188"/>
      <c r="GQ199" s="188"/>
      <c r="GR199" s="188"/>
      <c r="GS199" s="188"/>
      <c r="GT199" s="188"/>
      <c r="GU199" s="188"/>
      <c r="GV199" s="188"/>
      <c r="GW199" s="188"/>
      <c r="GX199" s="188"/>
      <c r="GY199" s="189"/>
      <c r="GZ199" s="187"/>
      <c r="HA199" s="188"/>
      <c r="HB199" s="188"/>
      <c r="HC199" s="188"/>
      <c r="HD199" s="189"/>
      <c r="HI199" s="219"/>
      <c r="HJ199" s="220"/>
      <c r="HK199" s="220"/>
      <c r="HL199" s="220"/>
      <c r="HM199" s="220"/>
      <c r="HN199" s="220"/>
      <c r="HO199" s="220"/>
      <c r="HP199" s="220"/>
      <c r="HQ199" s="220"/>
      <c r="HR199" s="220"/>
      <c r="HS199" s="220"/>
      <c r="HT199" s="220"/>
      <c r="HU199" s="220"/>
      <c r="HV199" s="220"/>
      <c r="HW199" s="220"/>
      <c r="HX199" s="220"/>
      <c r="HY199" s="220"/>
      <c r="HZ199" s="220"/>
      <c r="IA199" s="220"/>
      <c r="IB199" s="220"/>
      <c r="IC199" s="220"/>
      <c r="ID199" s="220"/>
      <c r="IE199" s="220"/>
      <c r="IF199" s="220"/>
      <c r="IG199" s="220"/>
      <c r="IH199" s="220"/>
      <c r="II199" s="220"/>
      <c r="IJ199" s="220"/>
      <c r="IK199" s="220"/>
      <c r="IL199" s="220"/>
      <c r="IM199" s="220"/>
      <c r="IN199" s="220"/>
      <c r="IO199" s="220"/>
      <c r="IP199" s="220"/>
      <c r="IQ199" s="220"/>
      <c r="IR199" s="220"/>
      <c r="IS199" s="220"/>
      <c r="IT199" s="220"/>
      <c r="IU199" s="220"/>
      <c r="IV199" s="221"/>
      <c r="IW199" s="187"/>
      <c r="IX199" s="188"/>
      <c r="IY199" s="188"/>
      <c r="IZ199" s="188"/>
      <c r="JA199" s="188"/>
      <c r="JB199" s="189"/>
      <c r="JG199" s="154"/>
      <c r="JN199" s="16"/>
      <c r="JQ199" s="190"/>
      <c r="JR199" s="191"/>
      <c r="JS199" s="191"/>
      <c r="JT199" s="191"/>
      <c r="JU199" s="191"/>
      <c r="JV199" s="191"/>
      <c r="JW199" s="191"/>
      <c r="JX199" s="191"/>
      <c r="JY199" s="191"/>
      <c r="JZ199" s="191"/>
      <c r="KA199" s="191"/>
      <c r="KB199" s="191"/>
      <c r="KC199" s="191"/>
      <c r="KD199" s="191"/>
      <c r="KE199" s="191"/>
      <c r="KF199" s="191"/>
      <c r="KG199" s="191"/>
      <c r="KH199" s="191"/>
      <c r="KI199" s="191"/>
      <c r="KJ199" s="191"/>
      <c r="KK199" s="191"/>
      <c r="KL199" s="191"/>
      <c r="KM199" s="191"/>
      <c r="KN199" s="191"/>
      <c r="KO199" s="191"/>
      <c r="KP199" s="191"/>
      <c r="KQ199" s="191"/>
      <c r="KR199" s="191"/>
      <c r="KS199" s="191"/>
      <c r="KT199" s="191"/>
      <c r="KU199" s="191"/>
      <c r="KV199" s="191"/>
      <c r="KW199" s="191"/>
      <c r="KX199" s="191"/>
      <c r="KY199" s="191"/>
      <c r="KZ199" s="191"/>
      <c r="LA199" s="191"/>
      <c r="LB199" s="191"/>
      <c r="LC199" s="191"/>
      <c r="LD199" s="191"/>
      <c r="LE199" s="192"/>
      <c r="LF199" s="190"/>
      <c r="LG199" s="191"/>
      <c r="LH199" s="191"/>
      <c r="LI199" s="191"/>
      <c r="LJ199" s="192"/>
      <c r="LQ199" s="12"/>
      <c r="LR199" s="7"/>
      <c r="LS199" s="3"/>
      <c r="LT199" s="3"/>
      <c r="LU199" s="3"/>
      <c r="LV199" s="3"/>
      <c r="LW199" s="2"/>
      <c r="MK199" s="3"/>
      <c r="ML199" s="3"/>
      <c r="MM199" s="3"/>
      <c r="MN199" s="3"/>
      <c r="MO199" s="3"/>
      <c r="MP199" s="2"/>
    </row>
    <row r="200" spans="3:354" ht="5.0999999999999996" customHeight="1" x14ac:dyDescent="0.3">
      <c r="C200" s="11"/>
      <c r="D200" s="13"/>
      <c r="Q200" s="190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2"/>
      <c r="BF200" s="190"/>
      <c r="BG200" s="191"/>
      <c r="BH200" s="191"/>
      <c r="BI200" s="191"/>
      <c r="BJ200" s="192"/>
      <c r="FL200" s="190"/>
      <c r="FM200" s="191"/>
      <c r="FN200" s="191"/>
      <c r="FO200" s="191"/>
      <c r="FP200" s="191"/>
      <c r="FQ200" s="191"/>
      <c r="FR200" s="191"/>
      <c r="FS200" s="191"/>
      <c r="FT200" s="191"/>
      <c r="FU200" s="191"/>
      <c r="FV200" s="191"/>
      <c r="FW200" s="191"/>
      <c r="FX200" s="191"/>
      <c r="FY200" s="191"/>
      <c r="FZ200" s="191"/>
      <c r="GA200" s="191"/>
      <c r="GB200" s="191"/>
      <c r="GC200" s="191"/>
      <c r="GD200" s="191"/>
      <c r="GE200" s="191"/>
      <c r="GF200" s="191"/>
      <c r="GG200" s="191"/>
      <c r="GH200" s="191"/>
      <c r="GI200" s="191"/>
      <c r="GJ200" s="191"/>
      <c r="GK200" s="191"/>
      <c r="GL200" s="191"/>
      <c r="GM200" s="191"/>
      <c r="GN200" s="191"/>
      <c r="GO200" s="191"/>
      <c r="GP200" s="191"/>
      <c r="GQ200" s="191"/>
      <c r="GR200" s="191"/>
      <c r="GS200" s="191"/>
      <c r="GT200" s="191"/>
      <c r="GU200" s="191"/>
      <c r="GV200" s="191"/>
      <c r="GW200" s="191"/>
      <c r="GX200" s="191"/>
      <c r="GY200" s="192"/>
      <c r="GZ200" s="190"/>
      <c r="HA200" s="191"/>
      <c r="HB200" s="191"/>
      <c r="HC200" s="191"/>
      <c r="HD200" s="192"/>
      <c r="HI200" s="219"/>
      <c r="HJ200" s="220"/>
      <c r="HK200" s="220"/>
      <c r="HL200" s="220"/>
      <c r="HM200" s="220"/>
      <c r="HN200" s="220"/>
      <c r="HO200" s="220"/>
      <c r="HP200" s="220"/>
      <c r="HQ200" s="220"/>
      <c r="HR200" s="220"/>
      <c r="HS200" s="220"/>
      <c r="HT200" s="220"/>
      <c r="HU200" s="220"/>
      <c r="HV200" s="220"/>
      <c r="HW200" s="220"/>
      <c r="HX200" s="220"/>
      <c r="HY200" s="220"/>
      <c r="HZ200" s="220"/>
      <c r="IA200" s="220"/>
      <c r="IB200" s="220"/>
      <c r="IC200" s="220"/>
      <c r="ID200" s="220"/>
      <c r="IE200" s="220"/>
      <c r="IF200" s="220"/>
      <c r="IG200" s="220"/>
      <c r="IH200" s="220"/>
      <c r="II200" s="220"/>
      <c r="IJ200" s="220"/>
      <c r="IK200" s="220"/>
      <c r="IL200" s="220"/>
      <c r="IM200" s="220"/>
      <c r="IN200" s="220"/>
      <c r="IO200" s="220"/>
      <c r="IP200" s="220"/>
      <c r="IQ200" s="220"/>
      <c r="IR200" s="220"/>
      <c r="IS200" s="220"/>
      <c r="IT200" s="220"/>
      <c r="IU200" s="220"/>
      <c r="IV200" s="221"/>
      <c r="IW200" s="187"/>
      <c r="IX200" s="188"/>
      <c r="IY200" s="188"/>
      <c r="IZ200" s="188"/>
      <c r="JA200" s="188"/>
      <c r="JB200" s="189"/>
      <c r="JG200" s="154"/>
      <c r="JN200" s="16"/>
      <c r="JQ200" s="184" t="s">
        <v>63</v>
      </c>
      <c r="JR200" s="185"/>
      <c r="JS200" s="185"/>
      <c r="JT200" s="185"/>
      <c r="JU200" s="185"/>
      <c r="JV200" s="185"/>
      <c r="JW200" s="185"/>
      <c r="JX200" s="185"/>
      <c r="JY200" s="185"/>
      <c r="JZ200" s="185"/>
      <c r="KA200" s="185"/>
      <c r="KB200" s="185"/>
      <c r="KC200" s="185"/>
      <c r="KD200" s="185"/>
      <c r="KE200" s="185"/>
      <c r="KF200" s="185"/>
      <c r="KG200" s="185"/>
      <c r="KH200" s="185"/>
      <c r="KI200" s="185"/>
      <c r="KJ200" s="185"/>
      <c r="KK200" s="185"/>
      <c r="KL200" s="185"/>
      <c r="KM200" s="185"/>
      <c r="KN200" s="185"/>
      <c r="KO200" s="185"/>
      <c r="KP200" s="185"/>
      <c r="KQ200" s="185"/>
      <c r="KR200" s="185"/>
      <c r="KS200" s="185"/>
      <c r="KT200" s="185"/>
      <c r="KU200" s="185"/>
      <c r="KV200" s="185"/>
      <c r="KW200" s="185"/>
      <c r="KX200" s="185"/>
      <c r="KY200" s="185"/>
      <c r="KZ200" s="185"/>
      <c r="LA200" s="185"/>
      <c r="LB200" s="185"/>
      <c r="LC200" s="185"/>
      <c r="LD200" s="185"/>
      <c r="LE200" s="186"/>
      <c r="LF200" s="184">
        <v>1</v>
      </c>
      <c r="LG200" s="185"/>
      <c r="LH200" s="185"/>
      <c r="LI200" s="185"/>
      <c r="LJ200" s="186"/>
      <c r="LQ200" s="12"/>
      <c r="LR200" s="7"/>
      <c r="LS200" s="3"/>
      <c r="LT200" s="3"/>
      <c r="LU200" s="3"/>
      <c r="LV200" s="3"/>
      <c r="LW200" s="2"/>
      <c r="MK200" s="3"/>
      <c r="ML200" s="3"/>
      <c r="MM200" s="3"/>
      <c r="MN200" s="3"/>
      <c r="MO200" s="3"/>
      <c r="MP200" s="2"/>
    </row>
    <row r="201" spans="3:354" ht="5.0999999999999996" customHeight="1" x14ac:dyDescent="0.3">
      <c r="C201" s="11"/>
      <c r="D201" s="13"/>
      <c r="Q201" s="184" t="s">
        <v>64</v>
      </c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6"/>
      <c r="BF201" s="184">
        <v>2</v>
      </c>
      <c r="BG201" s="185"/>
      <c r="BH201" s="185"/>
      <c r="BI201" s="185"/>
      <c r="BJ201" s="186"/>
      <c r="FL201" s="184" t="s">
        <v>3</v>
      </c>
      <c r="FM201" s="185"/>
      <c r="FN201" s="185"/>
      <c r="FO201" s="185"/>
      <c r="FP201" s="185"/>
      <c r="FQ201" s="185"/>
      <c r="FR201" s="185"/>
      <c r="FS201" s="185"/>
      <c r="FT201" s="185"/>
      <c r="FU201" s="185"/>
      <c r="FV201" s="185"/>
      <c r="FW201" s="185"/>
      <c r="FX201" s="185"/>
      <c r="FY201" s="185"/>
      <c r="FZ201" s="185"/>
      <c r="GA201" s="185"/>
      <c r="GB201" s="185"/>
      <c r="GC201" s="185"/>
      <c r="GD201" s="185"/>
      <c r="GE201" s="185"/>
      <c r="GF201" s="185"/>
      <c r="GG201" s="185"/>
      <c r="GH201" s="185"/>
      <c r="GI201" s="185"/>
      <c r="GJ201" s="185"/>
      <c r="GK201" s="185"/>
      <c r="GL201" s="185"/>
      <c r="GM201" s="185"/>
      <c r="GN201" s="185"/>
      <c r="GO201" s="185"/>
      <c r="GP201" s="185"/>
      <c r="GQ201" s="185"/>
      <c r="GR201" s="185"/>
      <c r="GS201" s="185"/>
      <c r="GT201" s="185"/>
      <c r="GU201" s="185"/>
      <c r="GV201" s="185"/>
      <c r="GW201" s="185"/>
      <c r="GX201" s="185"/>
      <c r="GY201" s="186"/>
      <c r="GZ201" s="184">
        <v>2</v>
      </c>
      <c r="HA201" s="185"/>
      <c r="HB201" s="185"/>
      <c r="HC201" s="185"/>
      <c r="HD201" s="186"/>
      <c r="HI201" s="219"/>
      <c r="HJ201" s="220"/>
      <c r="HK201" s="220"/>
      <c r="HL201" s="220"/>
      <c r="HM201" s="220"/>
      <c r="HN201" s="220"/>
      <c r="HO201" s="220"/>
      <c r="HP201" s="220"/>
      <c r="HQ201" s="220"/>
      <c r="HR201" s="220"/>
      <c r="HS201" s="220"/>
      <c r="HT201" s="220"/>
      <c r="HU201" s="220"/>
      <c r="HV201" s="220"/>
      <c r="HW201" s="220"/>
      <c r="HX201" s="220"/>
      <c r="HY201" s="220"/>
      <c r="HZ201" s="220"/>
      <c r="IA201" s="220"/>
      <c r="IB201" s="220"/>
      <c r="IC201" s="220"/>
      <c r="ID201" s="220"/>
      <c r="IE201" s="220"/>
      <c r="IF201" s="220"/>
      <c r="IG201" s="220"/>
      <c r="IH201" s="220"/>
      <c r="II201" s="220"/>
      <c r="IJ201" s="220"/>
      <c r="IK201" s="220"/>
      <c r="IL201" s="220"/>
      <c r="IM201" s="220"/>
      <c r="IN201" s="220"/>
      <c r="IO201" s="220"/>
      <c r="IP201" s="220"/>
      <c r="IQ201" s="220"/>
      <c r="IR201" s="220"/>
      <c r="IS201" s="220"/>
      <c r="IT201" s="220"/>
      <c r="IU201" s="220"/>
      <c r="IV201" s="221"/>
      <c r="IW201" s="187"/>
      <c r="IX201" s="188"/>
      <c r="IY201" s="188"/>
      <c r="IZ201" s="188"/>
      <c r="JA201" s="188"/>
      <c r="JB201" s="189"/>
      <c r="JG201" s="154"/>
      <c r="JN201" s="16"/>
      <c r="JQ201" s="187"/>
      <c r="JR201" s="188"/>
      <c r="JS201" s="188"/>
      <c r="JT201" s="188"/>
      <c r="JU201" s="188"/>
      <c r="JV201" s="188"/>
      <c r="JW201" s="188"/>
      <c r="JX201" s="188"/>
      <c r="JY201" s="188"/>
      <c r="JZ201" s="188"/>
      <c r="KA201" s="188"/>
      <c r="KB201" s="188"/>
      <c r="KC201" s="188"/>
      <c r="KD201" s="188"/>
      <c r="KE201" s="188"/>
      <c r="KF201" s="188"/>
      <c r="KG201" s="188"/>
      <c r="KH201" s="188"/>
      <c r="KI201" s="188"/>
      <c r="KJ201" s="188"/>
      <c r="KK201" s="188"/>
      <c r="KL201" s="188"/>
      <c r="KM201" s="188"/>
      <c r="KN201" s="188"/>
      <c r="KO201" s="188"/>
      <c r="KP201" s="188"/>
      <c r="KQ201" s="188"/>
      <c r="KR201" s="188"/>
      <c r="KS201" s="188"/>
      <c r="KT201" s="188"/>
      <c r="KU201" s="188"/>
      <c r="KV201" s="188"/>
      <c r="KW201" s="188"/>
      <c r="KX201" s="188"/>
      <c r="KY201" s="188"/>
      <c r="KZ201" s="188"/>
      <c r="LA201" s="188"/>
      <c r="LB201" s="188"/>
      <c r="LC201" s="188"/>
      <c r="LD201" s="188"/>
      <c r="LE201" s="189"/>
      <c r="LF201" s="187"/>
      <c r="LG201" s="188"/>
      <c r="LH201" s="188"/>
      <c r="LI201" s="188"/>
      <c r="LJ201" s="189"/>
      <c r="LQ201" s="12"/>
      <c r="LR201" s="7"/>
      <c r="LS201" s="3"/>
      <c r="LT201" s="3"/>
      <c r="LU201" s="3"/>
      <c r="LV201" s="3"/>
      <c r="LW201" s="2"/>
      <c r="MK201" s="3"/>
      <c r="ML201" s="3"/>
      <c r="MM201" s="3"/>
      <c r="MN201" s="3"/>
      <c r="MO201" s="3"/>
      <c r="MP201" s="2"/>
    </row>
    <row r="202" spans="3:354" ht="5.0999999999999996" customHeight="1" x14ac:dyDescent="0.3">
      <c r="C202" s="11"/>
      <c r="D202" s="13"/>
      <c r="Q202" s="187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9"/>
      <c r="BF202" s="187"/>
      <c r="BG202" s="188"/>
      <c r="BH202" s="188"/>
      <c r="BI202" s="188"/>
      <c r="BJ202" s="189"/>
      <c r="FL202" s="187"/>
      <c r="FM202" s="188"/>
      <c r="FN202" s="188"/>
      <c r="FO202" s="188"/>
      <c r="FP202" s="188"/>
      <c r="FQ202" s="188"/>
      <c r="FR202" s="188"/>
      <c r="FS202" s="188"/>
      <c r="FT202" s="188"/>
      <c r="FU202" s="188"/>
      <c r="FV202" s="188"/>
      <c r="FW202" s="188"/>
      <c r="FX202" s="188"/>
      <c r="FY202" s="188"/>
      <c r="FZ202" s="188"/>
      <c r="GA202" s="188"/>
      <c r="GB202" s="188"/>
      <c r="GC202" s="188"/>
      <c r="GD202" s="188"/>
      <c r="GE202" s="188"/>
      <c r="GF202" s="188"/>
      <c r="GG202" s="188"/>
      <c r="GH202" s="188"/>
      <c r="GI202" s="188"/>
      <c r="GJ202" s="188"/>
      <c r="GK202" s="188"/>
      <c r="GL202" s="188"/>
      <c r="GM202" s="188"/>
      <c r="GN202" s="188"/>
      <c r="GO202" s="188"/>
      <c r="GP202" s="188"/>
      <c r="GQ202" s="188"/>
      <c r="GR202" s="188"/>
      <c r="GS202" s="188"/>
      <c r="GT202" s="188"/>
      <c r="GU202" s="188"/>
      <c r="GV202" s="188"/>
      <c r="GW202" s="188"/>
      <c r="GX202" s="188"/>
      <c r="GY202" s="189"/>
      <c r="GZ202" s="187"/>
      <c r="HA202" s="188"/>
      <c r="HB202" s="188"/>
      <c r="HC202" s="188"/>
      <c r="HD202" s="189"/>
      <c r="HI202" s="222"/>
      <c r="HJ202" s="223"/>
      <c r="HK202" s="223"/>
      <c r="HL202" s="223"/>
      <c r="HM202" s="223"/>
      <c r="HN202" s="223"/>
      <c r="HO202" s="223"/>
      <c r="HP202" s="223"/>
      <c r="HQ202" s="223"/>
      <c r="HR202" s="223"/>
      <c r="HS202" s="223"/>
      <c r="HT202" s="223"/>
      <c r="HU202" s="223"/>
      <c r="HV202" s="223"/>
      <c r="HW202" s="223"/>
      <c r="HX202" s="223"/>
      <c r="HY202" s="223"/>
      <c r="HZ202" s="223"/>
      <c r="IA202" s="223"/>
      <c r="IB202" s="223"/>
      <c r="IC202" s="223"/>
      <c r="ID202" s="223"/>
      <c r="IE202" s="223"/>
      <c r="IF202" s="223"/>
      <c r="IG202" s="223"/>
      <c r="IH202" s="223"/>
      <c r="II202" s="223"/>
      <c r="IJ202" s="223"/>
      <c r="IK202" s="223"/>
      <c r="IL202" s="223"/>
      <c r="IM202" s="223"/>
      <c r="IN202" s="223"/>
      <c r="IO202" s="223"/>
      <c r="IP202" s="223"/>
      <c r="IQ202" s="223"/>
      <c r="IR202" s="223"/>
      <c r="IS202" s="223"/>
      <c r="IT202" s="223"/>
      <c r="IU202" s="223"/>
      <c r="IV202" s="224"/>
      <c r="IW202" s="190"/>
      <c r="IX202" s="191"/>
      <c r="IY202" s="191"/>
      <c r="IZ202" s="191"/>
      <c r="JA202" s="191"/>
      <c r="JB202" s="192"/>
      <c r="JG202" s="154"/>
      <c r="JN202" s="16"/>
      <c r="JQ202" s="187"/>
      <c r="JR202" s="188"/>
      <c r="JS202" s="188"/>
      <c r="JT202" s="188"/>
      <c r="JU202" s="188"/>
      <c r="JV202" s="188"/>
      <c r="JW202" s="188"/>
      <c r="JX202" s="188"/>
      <c r="JY202" s="188"/>
      <c r="JZ202" s="188"/>
      <c r="KA202" s="188"/>
      <c r="KB202" s="188"/>
      <c r="KC202" s="188"/>
      <c r="KD202" s="188"/>
      <c r="KE202" s="188"/>
      <c r="KF202" s="188"/>
      <c r="KG202" s="188"/>
      <c r="KH202" s="188"/>
      <c r="KI202" s="188"/>
      <c r="KJ202" s="188"/>
      <c r="KK202" s="188"/>
      <c r="KL202" s="188"/>
      <c r="KM202" s="188"/>
      <c r="KN202" s="188"/>
      <c r="KO202" s="188"/>
      <c r="KP202" s="188"/>
      <c r="KQ202" s="188"/>
      <c r="KR202" s="188"/>
      <c r="KS202" s="188"/>
      <c r="KT202" s="188"/>
      <c r="KU202" s="188"/>
      <c r="KV202" s="188"/>
      <c r="KW202" s="188"/>
      <c r="KX202" s="188"/>
      <c r="KY202" s="188"/>
      <c r="KZ202" s="188"/>
      <c r="LA202" s="188"/>
      <c r="LB202" s="188"/>
      <c r="LC202" s="188"/>
      <c r="LD202" s="188"/>
      <c r="LE202" s="189"/>
      <c r="LF202" s="187"/>
      <c r="LG202" s="188"/>
      <c r="LH202" s="188"/>
      <c r="LI202" s="188"/>
      <c r="LJ202" s="189"/>
      <c r="LQ202" s="12"/>
      <c r="LR202" s="7"/>
      <c r="LS202" s="3"/>
      <c r="LT202" s="3"/>
      <c r="LU202" s="3"/>
      <c r="LV202" s="3"/>
      <c r="LW202" s="2"/>
      <c r="MK202" s="3"/>
      <c r="ML202" s="3"/>
      <c r="MM202" s="3"/>
      <c r="MN202" s="3"/>
      <c r="MO202" s="3"/>
      <c r="MP202" s="2"/>
    </row>
    <row r="203" spans="3:354" ht="5.0999999999999996" customHeight="1" x14ac:dyDescent="0.3">
      <c r="C203" s="11"/>
      <c r="D203" s="13"/>
      <c r="Q203" s="187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  <c r="BD203" s="188"/>
      <c r="BE203" s="189"/>
      <c r="BF203" s="187"/>
      <c r="BG203" s="188"/>
      <c r="BH203" s="188"/>
      <c r="BI203" s="188"/>
      <c r="BJ203" s="189"/>
      <c r="FL203" s="187"/>
      <c r="FM203" s="188"/>
      <c r="FN203" s="188"/>
      <c r="FO203" s="188"/>
      <c r="FP203" s="188"/>
      <c r="FQ203" s="188"/>
      <c r="FR203" s="188"/>
      <c r="FS203" s="188"/>
      <c r="FT203" s="188"/>
      <c r="FU203" s="188"/>
      <c r="FV203" s="188"/>
      <c r="FW203" s="188"/>
      <c r="FX203" s="188"/>
      <c r="FY203" s="188"/>
      <c r="FZ203" s="188"/>
      <c r="GA203" s="188"/>
      <c r="GB203" s="188"/>
      <c r="GC203" s="188"/>
      <c r="GD203" s="188"/>
      <c r="GE203" s="188"/>
      <c r="GF203" s="188"/>
      <c r="GG203" s="188"/>
      <c r="GH203" s="188"/>
      <c r="GI203" s="188"/>
      <c r="GJ203" s="188"/>
      <c r="GK203" s="188"/>
      <c r="GL203" s="188"/>
      <c r="GM203" s="188"/>
      <c r="GN203" s="188"/>
      <c r="GO203" s="188"/>
      <c r="GP203" s="188"/>
      <c r="GQ203" s="188"/>
      <c r="GR203" s="188"/>
      <c r="GS203" s="188"/>
      <c r="GT203" s="188"/>
      <c r="GU203" s="188"/>
      <c r="GV203" s="188"/>
      <c r="GW203" s="188"/>
      <c r="GX203" s="188"/>
      <c r="GY203" s="189"/>
      <c r="GZ203" s="187"/>
      <c r="HA203" s="188"/>
      <c r="HB203" s="188"/>
      <c r="HC203" s="188"/>
      <c r="HD203" s="189"/>
      <c r="JG203" s="154"/>
      <c r="JN203" s="16"/>
      <c r="JQ203" s="187"/>
      <c r="JR203" s="188"/>
      <c r="JS203" s="188"/>
      <c r="JT203" s="188"/>
      <c r="JU203" s="188"/>
      <c r="JV203" s="188"/>
      <c r="JW203" s="188"/>
      <c r="JX203" s="188"/>
      <c r="JY203" s="188"/>
      <c r="JZ203" s="188"/>
      <c r="KA203" s="188"/>
      <c r="KB203" s="188"/>
      <c r="KC203" s="188"/>
      <c r="KD203" s="188"/>
      <c r="KE203" s="188"/>
      <c r="KF203" s="188"/>
      <c r="KG203" s="188"/>
      <c r="KH203" s="188"/>
      <c r="KI203" s="188"/>
      <c r="KJ203" s="188"/>
      <c r="KK203" s="188"/>
      <c r="KL203" s="188"/>
      <c r="KM203" s="188"/>
      <c r="KN203" s="188"/>
      <c r="KO203" s="188"/>
      <c r="KP203" s="188"/>
      <c r="KQ203" s="188"/>
      <c r="KR203" s="188"/>
      <c r="KS203" s="188"/>
      <c r="KT203" s="188"/>
      <c r="KU203" s="188"/>
      <c r="KV203" s="188"/>
      <c r="KW203" s="188"/>
      <c r="KX203" s="188"/>
      <c r="KY203" s="188"/>
      <c r="KZ203" s="188"/>
      <c r="LA203" s="188"/>
      <c r="LB203" s="188"/>
      <c r="LC203" s="188"/>
      <c r="LD203" s="188"/>
      <c r="LE203" s="189"/>
      <c r="LF203" s="187"/>
      <c r="LG203" s="188"/>
      <c r="LH203" s="188"/>
      <c r="LI203" s="188"/>
      <c r="LJ203" s="189"/>
      <c r="LQ203" s="12"/>
      <c r="LR203" s="7"/>
      <c r="LS203" s="3"/>
      <c r="LT203" s="3"/>
      <c r="LU203" s="3"/>
      <c r="LV203" s="3"/>
      <c r="LW203" s="2"/>
      <c r="MK203" s="3"/>
      <c r="ML203" s="3"/>
      <c r="MM203" s="3"/>
      <c r="MN203" s="3"/>
      <c r="MO203" s="3"/>
      <c r="MP203" s="2"/>
    </row>
    <row r="204" spans="3:354" ht="5.0999999999999996" customHeight="1" x14ac:dyDescent="0.3">
      <c r="C204" s="11"/>
      <c r="D204" s="13"/>
      <c r="Q204" s="187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  <c r="BD204" s="188"/>
      <c r="BE204" s="189"/>
      <c r="BF204" s="187"/>
      <c r="BG204" s="188"/>
      <c r="BH204" s="188"/>
      <c r="BI204" s="188"/>
      <c r="BJ204" s="189"/>
      <c r="FL204" s="187"/>
      <c r="FM204" s="188"/>
      <c r="FN204" s="188"/>
      <c r="FO204" s="188"/>
      <c r="FP204" s="188"/>
      <c r="FQ204" s="188"/>
      <c r="FR204" s="188"/>
      <c r="FS204" s="188"/>
      <c r="FT204" s="188"/>
      <c r="FU204" s="188"/>
      <c r="FV204" s="188"/>
      <c r="FW204" s="188"/>
      <c r="FX204" s="188"/>
      <c r="FY204" s="188"/>
      <c r="FZ204" s="188"/>
      <c r="GA204" s="188"/>
      <c r="GB204" s="188"/>
      <c r="GC204" s="188"/>
      <c r="GD204" s="188"/>
      <c r="GE204" s="188"/>
      <c r="GF204" s="188"/>
      <c r="GG204" s="188"/>
      <c r="GH204" s="188"/>
      <c r="GI204" s="188"/>
      <c r="GJ204" s="188"/>
      <c r="GK204" s="188"/>
      <c r="GL204" s="188"/>
      <c r="GM204" s="188"/>
      <c r="GN204" s="188"/>
      <c r="GO204" s="188"/>
      <c r="GP204" s="188"/>
      <c r="GQ204" s="188"/>
      <c r="GR204" s="188"/>
      <c r="GS204" s="188"/>
      <c r="GT204" s="188"/>
      <c r="GU204" s="188"/>
      <c r="GV204" s="188"/>
      <c r="GW204" s="188"/>
      <c r="GX204" s="188"/>
      <c r="GY204" s="189"/>
      <c r="GZ204" s="187"/>
      <c r="HA204" s="188"/>
      <c r="HB204" s="188"/>
      <c r="HC204" s="188"/>
      <c r="HD204" s="189"/>
      <c r="JG204" s="154"/>
      <c r="JN204" s="16"/>
      <c r="JQ204" s="187"/>
      <c r="JR204" s="188"/>
      <c r="JS204" s="188"/>
      <c r="JT204" s="188"/>
      <c r="JU204" s="188"/>
      <c r="JV204" s="188"/>
      <c r="JW204" s="188"/>
      <c r="JX204" s="188"/>
      <c r="JY204" s="188"/>
      <c r="JZ204" s="188"/>
      <c r="KA204" s="188"/>
      <c r="KB204" s="188"/>
      <c r="KC204" s="188"/>
      <c r="KD204" s="188"/>
      <c r="KE204" s="188"/>
      <c r="KF204" s="188"/>
      <c r="KG204" s="188"/>
      <c r="KH204" s="188"/>
      <c r="KI204" s="188"/>
      <c r="KJ204" s="188"/>
      <c r="KK204" s="188"/>
      <c r="KL204" s="188"/>
      <c r="KM204" s="188"/>
      <c r="KN204" s="188"/>
      <c r="KO204" s="188"/>
      <c r="KP204" s="188"/>
      <c r="KQ204" s="188"/>
      <c r="KR204" s="188"/>
      <c r="KS204" s="188"/>
      <c r="KT204" s="188"/>
      <c r="KU204" s="188"/>
      <c r="KV204" s="188"/>
      <c r="KW204" s="188"/>
      <c r="KX204" s="188"/>
      <c r="KY204" s="188"/>
      <c r="KZ204" s="188"/>
      <c r="LA204" s="188"/>
      <c r="LB204" s="188"/>
      <c r="LC204" s="188"/>
      <c r="LD204" s="188"/>
      <c r="LE204" s="189"/>
      <c r="LF204" s="187"/>
      <c r="LG204" s="188"/>
      <c r="LH204" s="188"/>
      <c r="LI204" s="188"/>
      <c r="LJ204" s="189"/>
      <c r="LQ204" s="12"/>
      <c r="LR204" s="7"/>
      <c r="LS204" s="3"/>
      <c r="LT204" s="3"/>
      <c r="LU204" s="3"/>
      <c r="LV204" s="3"/>
      <c r="LW204" s="2"/>
      <c r="MK204" s="3"/>
      <c r="ML204" s="3"/>
      <c r="MM204" s="3"/>
      <c r="MN204" s="3"/>
      <c r="MO204" s="3"/>
      <c r="MP204" s="2"/>
    </row>
    <row r="205" spans="3:354" ht="5.0999999999999996" customHeight="1" x14ac:dyDescent="0.3">
      <c r="C205" s="11"/>
      <c r="D205" s="13"/>
      <c r="Q205" s="187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  <c r="BE205" s="189"/>
      <c r="BF205" s="187"/>
      <c r="BG205" s="188"/>
      <c r="BH205" s="188"/>
      <c r="BI205" s="188"/>
      <c r="BJ205" s="189"/>
      <c r="FL205" s="187"/>
      <c r="FM205" s="188"/>
      <c r="FN205" s="188"/>
      <c r="FO205" s="188"/>
      <c r="FP205" s="188"/>
      <c r="FQ205" s="188"/>
      <c r="FR205" s="188"/>
      <c r="FS205" s="188"/>
      <c r="FT205" s="188"/>
      <c r="FU205" s="188"/>
      <c r="FV205" s="188"/>
      <c r="FW205" s="188"/>
      <c r="FX205" s="188"/>
      <c r="FY205" s="188"/>
      <c r="FZ205" s="188"/>
      <c r="GA205" s="188"/>
      <c r="GB205" s="188"/>
      <c r="GC205" s="188"/>
      <c r="GD205" s="188"/>
      <c r="GE205" s="188"/>
      <c r="GF205" s="188"/>
      <c r="GG205" s="188"/>
      <c r="GH205" s="188"/>
      <c r="GI205" s="188"/>
      <c r="GJ205" s="188"/>
      <c r="GK205" s="188"/>
      <c r="GL205" s="188"/>
      <c r="GM205" s="188"/>
      <c r="GN205" s="188"/>
      <c r="GO205" s="188"/>
      <c r="GP205" s="188"/>
      <c r="GQ205" s="188"/>
      <c r="GR205" s="188"/>
      <c r="GS205" s="188"/>
      <c r="GT205" s="188"/>
      <c r="GU205" s="188"/>
      <c r="GV205" s="188"/>
      <c r="GW205" s="188"/>
      <c r="GX205" s="188"/>
      <c r="GY205" s="189"/>
      <c r="GZ205" s="187"/>
      <c r="HA205" s="188"/>
      <c r="HB205" s="188"/>
      <c r="HC205" s="188"/>
      <c r="HD205" s="189"/>
      <c r="JG205" s="154"/>
      <c r="JN205" s="16"/>
      <c r="JQ205" s="187"/>
      <c r="JR205" s="188"/>
      <c r="JS205" s="188"/>
      <c r="JT205" s="188"/>
      <c r="JU205" s="188"/>
      <c r="JV205" s="188"/>
      <c r="JW205" s="188"/>
      <c r="JX205" s="188"/>
      <c r="JY205" s="188"/>
      <c r="JZ205" s="188"/>
      <c r="KA205" s="188"/>
      <c r="KB205" s="188"/>
      <c r="KC205" s="188"/>
      <c r="KD205" s="188"/>
      <c r="KE205" s="188"/>
      <c r="KF205" s="188"/>
      <c r="KG205" s="188"/>
      <c r="KH205" s="188"/>
      <c r="KI205" s="188"/>
      <c r="KJ205" s="188"/>
      <c r="KK205" s="188"/>
      <c r="KL205" s="188"/>
      <c r="KM205" s="188"/>
      <c r="KN205" s="188"/>
      <c r="KO205" s="188"/>
      <c r="KP205" s="188"/>
      <c r="KQ205" s="188"/>
      <c r="KR205" s="188"/>
      <c r="KS205" s="188"/>
      <c r="KT205" s="188"/>
      <c r="KU205" s="188"/>
      <c r="KV205" s="188"/>
      <c r="KW205" s="188"/>
      <c r="KX205" s="188"/>
      <c r="KY205" s="188"/>
      <c r="KZ205" s="188"/>
      <c r="LA205" s="188"/>
      <c r="LB205" s="188"/>
      <c r="LC205" s="188"/>
      <c r="LD205" s="188"/>
      <c r="LE205" s="189"/>
      <c r="LF205" s="187"/>
      <c r="LG205" s="188"/>
      <c r="LH205" s="188"/>
      <c r="LI205" s="188"/>
      <c r="LJ205" s="189"/>
      <c r="LQ205" s="12"/>
      <c r="LR205" s="7"/>
      <c r="LS205" s="3"/>
      <c r="LT205" s="3"/>
      <c r="LU205" s="3"/>
      <c r="LV205" s="3"/>
      <c r="LW205" s="2"/>
      <c r="MK205" s="3"/>
      <c r="ML205" s="3"/>
      <c r="MM205" s="3"/>
      <c r="MN205" s="3"/>
      <c r="MO205" s="3"/>
      <c r="MP205" s="2"/>
    </row>
    <row r="206" spans="3:354" ht="5.0999999999999996" customHeight="1" x14ac:dyDescent="0.3">
      <c r="C206" s="11"/>
      <c r="D206" s="13"/>
      <c r="Q206" s="187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  <c r="BD206" s="188"/>
      <c r="BE206" s="189"/>
      <c r="BF206" s="187"/>
      <c r="BG206" s="188"/>
      <c r="BH206" s="188"/>
      <c r="BI206" s="188"/>
      <c r="BJ206" s="189"/>
      <c r="FL206" s="187"/>
      <c r="FM206" s="188"/>
      <c r="FN206" s="188"/>
      <c r="FO206" s="188"/>
      <c r="FP206" s="188"/>
      <c r="FQ206" s="188"/>
      <c r="FR206" s="188"/>
      <c r="FS206" s="188"/>
      <c r="FT206" s="188"/>
      <c r="FU206" s="188"/>
      <c r="FV206" s="188"/>
      <c r="FW206" s="188"/>
      <c r="FX206" s="188"/>
      <c r="FY206" s="188"/>
      <c r="FZ206" s="188"/>
      <c r="GA206" s="188"/>
      <c r="GB206" s="188"/>
      <c r="GC206" s="188"/>
      <c r="GD206" s="188"/>
      <c r="GE206" s="188"/>
      <c r="GF206" s="188"/>
      <c r="GG206" s="188"/>
      <c r="GH206" s="188"/>
      <c r="GI206" s="188"/>
      <c r="GJ206" s="188"/>
      <c r="GK206" s="188"/>
      <c r="GL206" s="188"/>
      <c r="GM206" s="188"/>
      <c r="GN206" s="188"/>
      <c r="GO206" s="188"/>
      <c r="GP206" s="188"/>
      <c r="GQ206" s="188"/>
      <c r="GR206" s="188"/>
      <c r="GS206" s="188"/>
      <c r="GT206" s="188"/>
      <c r="GU206" s="188"/>
      <c r="GV206" s="188"/>
      <c r="GW206" s="188"/>
      <c r="GX206" s="188"/>
      <c r="GY206" s="189"/>
      <c r="GZ206" s="187"/>
      <c r="HA206" s="188"/>
      <c r="HB206" s="188"/>
      <c r="HC206" s="188"/>
      <c r="HD206" s="189"/>
      <c r="JG206" s="154"/>
      <c r="JN206" s="16"/>
      <c r="JQ206" s="187"/>
      <c r="JR206" s="188"/>
      <c r="JS206" s="188"/>
      <c r="JT206" s="188"/>
      <c r="JU206" s="188"/>
      <c r="JV206" s="188"/>
      <c r="JW206" s="188"/>
      <c r="JX206" s="188"/>
      <c r="JY206" s="188"/>
      <c r="JZ206" s="188"/>
      <c r="KA206" s="188"/>
      <c r="KB206" s="188"/>
      <c r="KC206" s="188"/>
      <c r="KD206" s="188"/>
      <c r="KE206" s="188"/>
      <c r="KF206" s="188"/>
      <c r="KG206" s="188"/>
      <c r="KH206" s="188"/>
      <c r="KI206" s="188"/>
      <c r="KJ206" s="188"/>
      <c r="KK206" s="188"/>
      <c r="KL206" s="188"/>
      <c r="KM206" s="188"/>
      <c r="KN206" s="188"/>
      <c r="KO206" s="188"/>
      <c r="KP206" s="188"/>
      <c r="KQ206" s="188"/>
      <c r="KR206" s="188"/>
      <c r="KS206" s="188"/>
      <c r="KT206" s="188"/>
      <c r="KU206" s="188"/>
      <c r="KV206" s="188"/>
      <c r="KW206" s="188"/>
      <c r="KX206" s="188"/>
      <c r="KY206" s="188"/>
      <c r="KZ206" s="188"/>
      <c r="LA206" s="188"/>
      <c r="LB206" s="188"/>
      <c r="LC206" s="188"/>
      <c r="LD206" s="188"/>
      <c r="LE206" s="189"/>
      <c r="LF206" s="187"/>
      <c r="LG206" s="188"/>
      <c r="LH206" s="188"/>
      <c r="LI206" s="188"/>
      <c r="LJ206" s="189"/>
      <c r="LQ206" s="12"/>
      <c r="LR206" s="7"/>
      <c r="LS206" s="3"/>
      <c r="LT206" s="3"/>
      <c r="LU206" s="3"/>
      <c r="LV206" s="3"/>
      <c r="LW206" s="2"/>
      <c r="MK206" s="3"/>
      <c r="ML206" s="3"/>
      <c r="MM206" s="3"/>
      <c r="MN206" s="3"/>
      <c r="MO206" s="3"/>
      <c r="MP206" s="2"/>
    </row>
    <row r="207" spans="3:354" ht="5.0999999999999996" customHeight="1" x14ac:dyDescent="0.3">
      <c r="C207" s="11"/>
      <c r="D207" s="13"/>
      <c r="Q207" s="187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E207" s="189"/>
      <c r="BF207" s="187"/>
      <c r="BG207" s="188"/>
      <c r="BH207" s="188"/>
      <c r="BI207" s="188"/>
      <c r="BJ207" s="189"/>
      <c r="FL207" s="187"/>
      <c r="FM207" s="188"/>
      <c r="FN207" s="188"/>
      <c r="FO207" s="188"/>
      <c r="FP207" s="188"/>
      <c r="FQ207" s="188"/>
      <c r="FR207" s="188"/>
      <c r="FS207" s="188"/>
      <c r="FT207" s="188"/>
      <c r="FU207" s="188"/>
      <c r="FV207" s="188"/>
      <c r="FW207" s="188"/>
      <c r="FX207" s="188"/>
      <c r="FY207" s="188"/>
      <c r="FZ207" s="188"/>
      <c r="GA207" s="188"/>
      <c r="GB207" s="188"/>
      <c r="GC207" s="188"/>
      <c r="GD207" s="188"/>
      <c r="GE207" s="188"/>
      <c r="GF207" s="188"/>
      <c r="GG207" s="188"/>
      <c r="GH207" s="188"/>
      <c r="GI207" s="188"/>
      <c r="GJ207" s="188"/>
      <c r="GK207" s="188"/>
      <c r="GL207" s="188"/>
      <c r="GM207" s="188"/>
      <c r="GN207" s="188"/>
      <c r="GO207" s="188"/>
      <c r="GP207" s="188"/>
      <c r="GQ207" s="188"/>
      <c r="GR207" s="188"/>
      <c r="GS207" s="188"/>
      <c r="GT207" s="188"/>
      <c r="GU207" s="188"/>
      <c r="GV207" s="188"/>
      <c r="GW207" s="188"/>
      <c r="GX207" s="188"/>
      <c r="GY207" s="189"/>
      <c r="GZ207" s="187"/>
      <c r="HA207" s="188"/>
      <c r="HB207" s="188"/>
      <c r="HC207" s="188"/>
      <c r="HD207" s="189"/>
      <c r="JG207" s="154"/>
      <c r="JN207" s="16"/>
      <c r="JQ207" s="187"/>
      <c r="JR207" s="188"/>
      <c r="JS207" s="188"/>
      <c r="JT207" s="188"/>
      <c r="JU207" s="188"/>
      <c r="JV207" s="188"/>
      <c r="JW207" s="188"/>
      <c r="JX207" s="188"/>
      <c r="JY207" s="188"/>
      <c r="JZ207" s="188"/>
      <c r="KA207" s="188"/>
      <c r="KB207" s="188"/>
      <c r="KC207" s="188"/>
      <c r="KD207" s="188"/>
      <c r="KE207" s="188"/>
      <c r="KF207" s="188"/>
      <c r="KG207" s="188"/>
      <c r="KH207" s="188"/>
      <c r="KI207" s="188"/>
      <c r="KJ207" s="188"/>
      <c r="KK207" s="188"/>
      <c r="KL207" s="188"/>
      <c r="KM207" s="188"/>
      <c r="KN207" s="188"/>
      <c r="KO207" s="188"/>
      <c r="KP207" s="188"/>
      <c r="KQ207" s="188"/>
      <c r="KR207" s="188"/>
      <c r="KS207" s="188"/>
      <c r="KT207" s="188"/>
      <c r="KU207" s="188"/>
      <c r="KV207" s="188"/>
      <c r="KW207" s="188"/>
      <c r="KX207" s="188"/>
      <c r="KY207" s="188"/>
      <c r="KZ207" s="188"/>
      <c r="LA207" s="188"/>
      <c r="LB207" s="188"/>
      <c r="LC207" s="188"/>
      <c r="LD207" s="188"/>
      <c r="LE207" s="189"/>
      <c r="LF207" s="187"/>
      <c r="LG207" s="188"/>
      <c r="LH207" s="188"/>
      <c r="LI207" s="188"/>
      <c r="LJ207" s="189"/>
      <c r="LQ207" s="12"/>
      <c r="LR207" s="7"/>
      <c r="LS207" s="3"/>
      <c r="LT207" s="3"/>
      <c r="LU207" s="3"/>
      <c r="LV207" s="3"/>
      <c r="LW207" s="2"/>
      <c r="MK207" s="3"/>
      <c r="ML207" s="3"/>
      <c r="MM207" s="3"/>
      <c r="MN207" s="3"/>
      <c r="MO207" s="3"/>
      <c r="MP207" s="2"/>
    </row>
    <row r="208" spans="3:354" ht="5.0999999999999996" customHeight="1" x14ac:dyDescent="0.3">
      <c r="C208" s="11"/>
      <c r="D208" s="13"/>
      <c r="Q208" s="187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E208" s="189"/>
      <c r="BF208" s="187"/>
      <c r="BG208" s="188"/>
      <c r="BH208" s="188"/>
      <c r="BI208" s="188"/>
      <c r="BJ208" s="189"/>
      <c r="FL208" s="187"/>
      <c r="FM208" s="188"/>
      <c r="FN208" s="188"/>
      <c r="FO208" s="188"/>
      <c r="FP208" s="188"/>
      <c r="FQ208" s="188"/>
      <c r="FR208" s="188"/>
      <c r="FS208" s="188"/>
      <c r="FT208" s="188"/>
      <c r="FU208" s="188"/>
      <c r="FV208" s="188"/>
      <c r="FW208" s="188"/>
      <c r="FX208" s="188"/>
      <c r="FY208" s="188"/>
      <c r="FZ208" s="188"/>
      <c r="GA208" s="188"/>
      <c r="GB208" s="188"/>
      <c r="GC208" s="188"/>
      <c r="GD208" s="188"/>
      <c r="GE208" s="188"/>
      <c r="GF208" s="188"/>
      <c r="GG208" s="188"/>
      <c r="GH208" s="188"/>
      <c r="GI208" s="188"/>
      <c r="GJ208" s="188"/>
      <c r="GK208" s="188"/>
      <c r="GL208" s="188"/>
      <c r="GM208" s="188"/>
      <c r="GN208" s="188"/>
      <c r="GO208" s="188"/>
      <c r="GP208" s="188"/>
      <c r="GQ208" s="188"/>
      <c r="GR208" s="188"/>
      <c r="GS208" s="188"/>
      <c r="GT208" s="188"/>
      <c r="GU208" s="188"/>
      <c r="GV208" s="188"/>
      <c r="GW208" s="188"/>
      <c r="GX208" s="188"/>
      <c r="GY208" s="189"/>
      <c r="GZ208" s="187"/>
      <c r="HA208" s="188"/>
      <c r="HB208" s="188"/>
      <c r="HC208" s="188"/>
      <c r="HD208" s="189"/>
      <c r="JG208" s="154"/>
      <c r="JN208" s="16"/>
      <c r="JQ208" s="187"/>
      <c r="JR208" s="188"/>
      <c r="JS208" s="188"/>
      <c r="JT208" s="188"/>
      <c r="JU208" s="188"/>
      <c r="JV208" s="188"/>
      <c r="JW208" s="188"/>
      <c r="JX208" s="188"/>
      <c r="JY208" s="188"/>
      <c r="JZ208" s="188"/>
      <c r="KA208" s="188"/>
      <c r="KB208" s="188"/>
      <c r="KC208" s="188"/>
      <c r="KD208" s="188"/>
      <c r="KE208" s="188"/>
      <c r="KF208" s="188"/>
      <c r="KG208" s="188"/>
      <c r="KH208" s="188"/>
      <c r="KI208" s="188"/>
      <c r="KJ208" s="188"/>
      <c r="KK208" s="188"/>
      <c r="KL208" s="188"/>
      <c r="KM208" s="188"/>
      <c r="KN208" s="188"/>
      <c r="KO208" s="188"/>
      <c r="KP208" s="188"/>
      <c r="KQ208" s="188"/>
      <c r="KR208" s="188"/>
      <c r="KS208" s="188"/>
      <c r="KT208" s="188"/>
      <c r="KU208" s="188"/>
      <c r="KV208" s="188"/>
      <c r="KW208" s="188"/>
      <c r="KX208" s="188"/>
      <c r="KY208" s="188"/>
      <c r="KZ208" s="188"/>
      <c r="LA208" s="188"/>
      <c r="LB208" s="188"/>
      <c r="LC208" s="188"/>
      <c r="LD208" s="188"/>
      <c r="LE208" s="189"/>
      <c r="LF208" s="187"/>
      <c r="LG208" s="188"/>
      <c r="LH208" s="188"/>
      <c r="LI208" s="188"/>
      <c r="LJ208" s="189"/>
      <c r="LQ208" s="12"/>
      <c r="LR208" s="7"/>
    </row>
    <row r="209" spans="3:330" ht="5.0999999999999996" customHeight="1" x14ac:dyDescent="0.3">
      <c r="C209" s="11"/>
      <c r="D209" s="13"/>
      <c r="Q209" s="187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9"/>
      <c r="BF209" s="187"/>
      <c r="BG209" s="188"/>
      <c r="BH209" s="188"/>
      <c r="BI209" s="188"/>
      <c r="BJ209" s="189"/>
      <c r="FL209" s="187"/>
      <c r="FM209" s="188"/>
      <c r="FN209" s="188"/>
      <c r="FO209" s="188"/>
      <c r="FP209" s="188"/>
      <c r="FQ209" s="188"/>
      <c r="FR209" s="188"/>
      <c r="FS209" s="188"/>
      <c r="FT209" s="188"/>
      <c r="FU209" s="188"/>
      <c r="FV209" s="188"/>
      <c r="FW209" s="188"/>
      <c r="FX209" s="188"/>
      <c r="FY209" s="188"/>
      <c r="FZ209" s="188"/>
      <c r="GA209" s="188"/>
      <c r="GB209" s="188"/>
      <c r="GC209" s="188"/>
      <c r="GD209" s="188"/>
      <c r="GE209" s="188"/>
      <c r="GF209" s="188"/>
      <c r="GG209" s="188"/>
      <c r="GH209" s="188"/>
      <c r="GI209" s="188"/>
      <c r="GJ209" s="188"/>
      <c r="GK209" s="188"/>
      <c r="GL209" s="188"/>
      <c r="GM209" s="188"/>
      <c r="GN209" s="188"/>
      <c r="GO209" s="188"/>
      <c r="GP209" s="188"/>
      <c r="GQ209" s="188"/>
      <c r="GR209" s="188"/>
      <c r="GS209" s="188"/>
      <c r="GT209" s="188"/>
      <c r="GU209" s="188"/>
      <c r="GV209" s="188"/>
      <c r="GW209" s="188"/>
      <c r="GX209" s="188"/>
      <c r="GY209" s="189"/>
      <c r="GZ209" s="187"/>
      <c r="HA209" s="188"/>
      <c r="HB209" s="188"/>
      <c r="HC209" s="188"/>
      <c r="HD209" s="189"/>
      <c r="JG209" s="154"/>
      <c r="JN209" s="16"/>
      <c r="JQ209" s="190"/>
      <c r="JR209" s="191"/>
      <c r="JS209" s="191"/>
      <c r="JT209" s="191"/>
      <c r="JU209" s="191"/>
      <c r="JV209" s="191"/>
      <c r="JW209" s="191"/>
      <c r="JX209" s="191"/>
      <c r="JY209" s="191"/>
      <c r="JZ209" s="191"/>
      <c r="KA209" s="191"/>
      <c r="KB209" s="191"/>
      <c r="KC209" s="191"/>
      <c r="KD209" s="191"/>
      <c r="KE209" s="191"/>
      <c r="KF209" s="191"/>
      <c r="KG209" s="191"/>
      <c r="KH209" s="191"/>
      <c r="KI209" s="191"/>
      <c r="KJ209" s="191"/>
      <c r="KK209" s="191"/>
      <c r="KL209" s="191"/>
      <c r="KM209" s="191"/>
      <c r="KN209" s="191"/>
      <c r="KO209" s="191"/>
      <c r="KP209" s="191"/>
      <c r="KQ209" s="191"/>
      <c r="KR209" s="191"/>
      <c r="KS209" s="191"/>
      <c r="KT209" s="191"/>
      <c r="KU209" s="191"/>
      <c r="KV209" s="191"/>
      <c r="KW209" s="191"/>
      <c r="KX209" s="191"/>
      <c r="KY209" s="191"/>
      <c r="KZ209" s="191"/>
      <c r="LA209" s="191"/>
      <c r="LB209" s="191"/>
      <c r="LC209" s="191"/>
      <c r="LD209" s="191"/>
      <c r="LE209" s="192"/>
      <c r="LF209" s="190"/>
      <c r="LG209" s="191"/>
      <c r="LH209" s="191"/>
      <c r="LI209" s="191"/>
      <c r="LJ209" s="192"/>
      <c r="LQ209" s="12"/>
      <c r="LR209" s="7"/>
    </row>
    <row r="210" spans="3:330" ht="5.0999999999999996" customHeight="1" x14ac:dyDescent="0.3">
      <c r="C210" s="11"/>
      <c r="D210" s="13"/>
      <c r="Q210" s="190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2"/>
      <c r="BF210" s="190"/>
      <c r="BG210" s="191"/>
      <c r="BH210" s="191"/>
      <c r="BI210" s="191"/>
      <c r="BJ210" s="192"/>
      <c r="FL210" s="190"/>
      <c r="FM210" s="191"/>
      <c r="FN210" s="191"/>
      <c r="FO210" s="191"/>
      <c r="FP210" s="191"/>
      <c r="FQ210" s="191"/>
      <c r="FR210" s="191"/>
      <c r="FS210" s="191"/>
      <c r="FT210" s="191"/>
      <c r="FU210" s="191"/>
      <c r="FV210" s="191"/>
      <c r="FW210" s="191"/>
      <c r="FX210" s="191"/>
      <c r="FY210" s="191"/>
      <c r="FZ210" s="191"/>
      <c r="GA210" s="191"/>
      <c r="GB210" s="191"/>
      <c r="GC210" s="191"/>
      <c r="GD210" s="191"/>
      <c r="GE210" s="191"/>
      <c r="GF210" s="191"/>
      <c r="GG210" s="191"/>
      <c r="GH210" s="191"/>
      <c r="GI210" s="191"/>
      <c r="GJ210" s="191"/>
      <c r="GK210" s="191"/>
      <c r="GL210" s="191"/>
      <c r="GM210" s="191"/>
      <c r="GN210" s="191"/>
      <c r="GO210" s="191"/>
      <c r="GP210" s="191"/>
      <c r="GQ210" s="191"/>
      <c r="GR210" s="191"/>
      <c r="GS210" s="191"/>
      <c r="GT210" s="191"/>
      <c r="GU210" s="191"/>
      <c r="GV210" s="191"/>
      <c r="GW210" s="191"/>
      <c r="GX210" s="191"/>
      <c r="GY210" s="192"/>
      <c r="GZ210" s="190"/>
      <c r="HA210" s="191"/>
      <c r="HB210" s="191"/>
      <c r="HC210" s="191"/>
      <c r="HD210" s="192"/>
      <c r="JG210" s="154"/>
      <c r="JN210" s="16"/>
      <c r="JQ210" s="184" t="s">
        <v>41</v>
      </c>
      <c r="JR210" s="185"/>
      <c r="JS210" s="185"/>
      <c r="JT210" s="185"/>
      <c r="JU210" s="185"/>
      <c r="JV210" s="185"/>
      <c r="JW210" s="185"/>
      <c r="JX210" s="185"/>
      <c r="JY210" s="185"/>
      <c r="JZ210" s="185"/>
      <c r="KA210" s="185"/>
      <c r="KB210" s="185"/>
      <c r="KC210" s="185"/>
      <c r="KD210" s="185"/>
      <c r="KE210" s="185"/>
      <c r="KF210" s="185"/>
      <c r="KG210" s="185"/>
      <c r="KH210" s="185"/>
      <c r="KI210" s="185"/>
      <c r="KJ210" s="185"/>
      <c r="KK210" s="185"/>
      <c r="KL210" s="185"/>
      <c r="KM210" s="185"/>
      <c r="KN210" s="185"/>
      <c r="KO210" s="185"/>
      <c r="KP210" s="185"/>
      <c r="KQ210" s="185"/>
      <c r="KR210" s="185"/>
      <c r="KS210" s="185"/>
      <c r="KT210" s="185"/>
      <c r="KU210" s="185"/>
      <c r="KV210" s="185"/>
      <c r="KW210" s="185"/>
      <c r="KX210" s="185"/>
      <c r="KY210" s="185"/>
      <c r="KZ210" s="185"/>
      <c r="LA210" s="185"/>
      <c r="LB210" s="185"/>
      <c r="LC210" s="185"/>
      <c r="LD210" s="185"/>
      <c r="LE210" s="186"/>
      <c r="LF210" s="184">
        <v>2</v>
      </c>
      <c r="LG210" s="185"/>
      <c r="LH210" s="185"/>
      <c r="LI210" s="185"/>
      <c r="LJ210" s="186"/>
      <c r="LQ210" s="12"/>
      <c r="LR210" s="7"/>
    </row>
    <row r="211" spans="3:330" ht="5.0999999999999996" customHeight="1" x14ac:dyDescent="0.3">
      <c r="C211" s="11"/>
      <c r="D211" s="13"/>
      <c r="Q211" s="184" t="s">
        <v>65</v>
      </c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6">
        <v>10</v>
      </c>
      <c r="BF211" s="184">
        <v>3</v>
      </c>
      <c r="BG211" s="185"/>
      <c r="BH211" s="185"/>
      <c r="BI211" s="185"/>
      <c r="BJ211" s="186"/>
      <c r="JG211" s="154"/>
      <c r="JN211" s="16"/>
      <c r="JQ211" s="187"/>
      <c r="JR211" s="188"/>
      <c r="JS211" s="188"/>
      <c r="JT211" s="188"/>
      <c r="JU211" s="188"/>
      <c r="JV211" s="188"/>
      <c r="JW211" s="188"/>
      <c r="JX211" s="188"/>
      <c r="JY211" s="188"/>
      <c r="JZ211" s="188"/>
      <c r="KA211" s="188"/>
      <c r="KB211" s="188"/>
      <c r="KC211" s="188"/>
      <c r="KD211" s="188"/>
      <c r="KE211" s="188"/>
      <c r="KF211" s="188"/>
      <c r="KG211" s="188"/>
      <c r="KH211" s="188"/>
      <c r="KI211" s="188"/>
      <c r="KJ211" s="188"/>
      <c r="KK211" s="188"/>
      <c r="KL211" s="188"/>
      <c r="KM211" s="188"/>
      <c r="KN211" s="188"/>
      <c r="KO211" s="188"/>
      <c r="KP211" s="188"/>
      <c r="KQ211" s="188"/>
      <c r="KR211" s="188"/>
      <c r="KS211" s="188"/>
      <c r="KT211" s="188"/>
      <c r="KU211" s="188"/>
      <c r="KV211" s="188"/>
      <c r="KW211" s="188"/>
      <c r="KX211" s="188"/>
      <c r="KY211" s="188"/>
      <c r="KZ211" s="188"/>
      <c r="LA211" s="188"/>
      <c r="LB211" s="188"/>
      <c r="LC211" s="188"/>
      <c r="LD211" s="188"/>
      <c r="LE211" s="189"/>
      <c r="LF211" s="187"/>
      <c r="LG211" s="188"/>
      <c r="LH211" s="188"/>
      <c r="LI211" s="188"/>
      <c r="LJ211" s="189"/>
      <c r="LQ211" s="12"/>
      <c r="LR211" s="7"/>
    </row>
    <row r="212" spans="3:330" ht="5.0999999999999996" customHeight="1" x14ac:dyDescent="0.3">
      <c r="C212" s="11"/>
      <c r="D212" s="13"/>
      <c r="Q212" s="187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  <c r="BD212" s="188"/>
      <c r="BE212" s="189"/>
      <c r="BF212" s="187"/>
      <c r="BG212" s="188"/>
      <c r="BH212" s="188"/>
      <c r="BI212" s="188"/>
      <c r="BJ212" s="189"/>
      <c r="JG212" s="154"/>
      <c r="JN212" s="16"/>
      <c r="JQ212" s="187"/>
      <c r="JR212" s="188"/>
      <c r="JS212" s="188"/>
      <c r="JT212" s="188"/>
      <c r="JU212" s="188"/>
      <c r="JV212" s="188"/>
      <c r="JW212" s="188"/>
      <c r="JX212" s="188"/>
      <c r="JY212" s="188"/>
      <c r="JZ212" s="188"/>
      <c r="KA212" s="188"/>
      <c r="KB212" s="188"/>
      <c r="KC212" s="188"/>
      <c r="KD212" s="188"/>
      <c r="KE212" s="188"/>
      <c r="KF212" s="188"/>
      <c r="KG212" s="188"/>
      <c r="KH212" s="188"/>
      <c r="KI212" s="188"/>
      <c r="KJ212" s="188"/>
      <c r="KK212" s="188"/>
      <c r="KL212" s="188"/>
      <c r="KM212" s="188"/>
      <c r="KN212" s="188"/>
      <c r="KO212" s="188"/>
      <c r="KP212" s="188"/>
      <c r="KQ212" s="188"/>
      <c r="KR212" s="188"/>
      <c r="KS212" s="188"/>
      <c r="KT212" s="188"/>
      <c r="KU212" s="188"/>
      <c r="KV212" s="188"/>
      <c r="KW212" s="188"/>
      <c r="KX212" s="188"/>
      <c r="KY212" s="188"/>
      <c r="KZ212" s="188"/>
      <c r="LA212" s="188"/>
      <c r="LB212" s="188"/>
      <c r="LC212" s="188"/>
      <c r="LD212" s="188"/>
      <c r="LE212" s="189"/>
      <c r="LF212" s="187"/>
      <c r="LG212" s="188"/>
      <c r="LH212" s="188"/>
      <c r="LI212" s="188"/>
      <c r="LJ212" s="189"/>
      <c r="LQ212" s="12"/>
      <c r="LR212" s="7"/>
    </row>
    <row r="213" spans="3:330" ht="5.0999999999999996" customHeight="1" x14ac:dyDescent="0.3">
      <c r="C213" s="11"/>
      <c r="D213" s="13"/>
      <c r="Q213" s="187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  <c r="BE213" s="189"/>
      <c r="BF213" s="187"/>
      <c r="BG213" s="188"/>
      <c r="BH213" s="188"/>
      <c r="BI213" s="188"/>
      <c r="BJ213" s="189"/>
      <c r="JG213" s="154"/>
      <c r="JN213" s="16"/>
      <c r="JQ213" s="187"/>
      <c r="JR213" s="188"/>
      <c r="JS213" s="188"/>
      <c r="JT213" s="188"/>
      <c r="JU213" s="188"/>
      <c r="JV213" s="188"/>
      <c r="JW213" s="188"/>
      <c r="JX213" s="188"/>
      <c r="JY213" s="188"/>
      <c r="JZ213" s="188"/>
      <c r="KA213" s="188"/>
      <c r="KB213" s="188"/>
      <c r="KC213" s="188"/>
      <c r="KD213" s="188"/>
      <c r="KE213" s="188"/>
      <c r="KF213" s="188"/>
      <c r="KG213" s="188"/>
      <c r="KH213" s="188"/>
      <c r="KI213" s="188"/>
      <c r="KJ213" s="188"/>
      <c r="KK213" s="188"/>
      <c r="KL213" s="188"/>
      <c r="KM213" s="188"/>
      <c r="KN213" s="188"/>
      <c r="KO213" s="188"/>
      <c r="KP213" s="188"/>
      <c r="KQ213" s="188"/>
      <c r="KR213" s="188"/>
      <c r="KS213" s="188"/>
      <c r="KT213" s="188"/>
      <c r="KU213" s="188"/>
      <c r="KV213" s="188"/>
      <c r="KW213" s="188"/>
      <c r="KX213" s="188"/>
      <c r="KY213" s="188"/>
      <c r="KZ213" s="188"/>
      <c r="LA213" s="188"/>
      <c r="LB213" s="188"/>
      <c r="LC213" s="188"/>
      <c r="LD213" s="188"/>
      <c r="LE213" s="189"/>
      <c r="LF213" s="187"/>
      <c r="LG213" s="188"/>
      <c r="LH213" s="188"/>
      <c r="LI213" s="188"/>
      <c r="LJ213" s="189"/>
      <c r="LQ213" s="12"/>
      <c r="LR213" s="7"/>
    </row>
    <row r="214" spans="3:330" ht="5.0999999999999996" customHeight="1" x14ac:dyDescent="0.3">
      <c r="C214" s="11"/>
      <c r="D214" s="13"/>
      <c r="Q214" s="187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  <c r="BD214" s="188"/>
      <c r="BE214" s="189"/>
      <c r="BF214" s="187"/>
      <c r="BG214" s="188"/>
      <c r="BH214" s="188"/>
      <c r="BI214" s="188"/>
      <c r="BJ214" s="189"/>
      <c r="JG214" s="154"/>
      <c r="JN214" s="16"/>
      <c r="JQ214" s="187"/>
      <c r="JR214" s="188"/>
      <c r="JS214" s="188"/>
      <c r="JT214" s="188"/>
      <c r="JU214" s="188"/>
      <c r="JV214" s="188"/>
      <c r="JW214" s="188"/>
      <c r="JX214" s="188"/>
      <c r="JY214" s="188"/>
      <c r="JZ214" s="188"/>
      <c r="KA214" s="188"/>
      <c r="KB214" s="188"/>
      <c r="KC214" s="188"/>
      <c r="KD214" s="188"/>
      <c r="KE214" s="188"/>
      <c r="KF214" s="188"/>
      <c r="KG214" s="188"/>
      <c r="KH214" s="188"/>
      <c r="KI214" s="188"/>
      <c r="KJ214" s="188"/>
      <c r="KK214" s="188"/>
      <c r="KL214" s="188"/>
      <c r="KM214" s="188"/>
      <c r="KN214" s="188"/>
      <c r="KO214" s="188"/>
      <c r="KP214" s="188"/>
      <c r="KQ214" s="188"/>
      <c r="KR214" s="188"/>
      <c r="KS214" s="188"/>
      <c r="KT214" s="188"/>
      <c r="KU214" s="188"/>
      <c r="KV214" s="188"/>
      <c r="KW214" s="188"/>
      <c r="KX214" s="188"/>
      <c r="KY214" s="188"/>
      <c r="KZ214" s="188"/>
      <c r="LA214" s="188"/>
      <c r="LB214" s="188"/>
      <c r="LC214" s="188"/>
      <c r="LD214" s="188"/>
      <c r="LE214" s="189"/>
      <c r="LF214" s="187"/>
      <c r="LG214" s="188"/>
      <c r="LH214" s="188"/>
      <c r="LI214" s="188"/>
      <c r="LJ214" s="189"/>
      <c r="LQ214" s="12"/>
      <c r="LR214" s="7"/>
    </row>
    <row r="215" spans="3:330" ht="5.0999999999999996" customHeight="1" x14ac:dyDescent="0.3">
      <c r="C215" s="11"/>
      <c r="D215" s="13"/>
      <c r="Q215" s="187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  <c r="BD215" s="188"/>
      <c r="BE215" s="189"/>
      <c r="BF215" s="187"/>
      <c r="BG215" s="188"/>
      <c r="BH215" s="188"/>
      <c r="BI215" s="188"/>
      <c r="BJ215" s="189"/>
      <c r="JG215" s="154"/>
      <c r="JN215" s="16"/>
      <c r="JQ215" s="187"/>
      <c r="JR215" s="188"/>
      <c r="JS215" s="188"/>
      <c r="JT215" s="188"/>
      <c r="JU215" s="188"/>
      <c r="JV215" s="188"/>
      <c r="JW215" s="188"/>
      <c r="JX215" s="188"/>
      <c r="JY215" s="188"/>
      <c r="JZ215" s="188"/>
      <c r="KA215" s="188"/>
      <c r="KB215" s="188"/>
      <c r="KC215" s="188"/>
      <c r="KD215" s="188"/>
      <c r="KE215" s="188"/>
      <c r="KF215" s="188"/>
      <c r="KG215" s="188"/>
      <c r="KH215" s="188"/>
      <c r="KI215" s="188"/>
      <c r="KJ215" s="188"/>
      <c r="KK215" s="188"/>
      <c r="KL215" s="188"/>
      <c r="KM215" s="188"/>
      <c r="KN215" s="188"/>
      <c r="KO215" s="188"/>
      <c r="KP215" s="188"/>
      <c r="KQ215" s="188"/>
      <c r="KR215" s="188"/>
      <c r="KS215" s="188"/>
      <c r="KT215" s="188"/>
      <c r="KU215" s="188"/>
      <c r="KV215" s="188"/>
      <c r="KW215" s="188"/>
      <c r="KX215" s="188"/>
      <c r="KY215" s="188"/>
      <c r="KZ215" s="188"/>
      <c r="LA215" s="188"/>
      <c r="LB215" s="188"/>
      <c r="LC215" s="188"/>
      <c r="LD215" s="188"/>
      <c r="LE215" s="189"/>
      <c r="LF215" s="187"/>
      <c r="LG215" s="188"/>
      <c r="LH215" s="188"/>
      <c r="LI215" s="188"/>
      <c r="LJ215" s="189"/>
      <c r="LQ215" s="12"/>
      <c r="LR215" s="7"/>
    </row>
    <row r="216" spans="3:330" ht="5.0999999999999996" customHeight="1" x14ac:dyDescent="0.3">
      <c r="C216" s="11"/>
      <c r="D216" s="13"/>
      <c r="Q216" s="187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  <c r="BD216" s="188"/>
      <c r="BE216" s="189"/>
      <c r="BF216" s="187"/>
      <c r="BG216" s="188"/>
      <c r="BH216" s="188"/>
      <c r="BI216" s="188"/>
      <c r="BJ216" s="189"/>
      <c r="JG216" s="154"/>
      <c r="JN216" s="16"/>
      <c r="JQ216" s="187"/>
      <c r="JR216" s="188"/>
      <c r="JS216" s="188"/>
      <c r="JT216" s="188"/>
      <c r="JU216" s="188"/>
      <c r="JV216" s="188"/>
      <c r="JW216" s="188"/>
      <c r="JX216" s="188"/>
      <c r="JY216" s="188"/>
      <c r="JZ216" s="188"/>
      <c r="KA216" s="188"/>
      <c r="KB216" s="188"/>
      <c r="KC216" s="188"/>
      <c r="KD216" s="188"/>
      <c r="KE216" s="188"/>
      <c r="KF216" s="188"/>
      <c r="KG216" s="188"/>
      <c r="KH216" s="188"/>
      <c r="KI216" s="188"/>
      <c r="KJ216" s="188"/>
      <c r="KK216" s="188"/>
      <c r="KL216" s="188"/>
      <c r="KM216" s="188"/>
      <c r="KN216" s="188"/>
      <c r="KO216" s="188"/>
      <c r="KP216" s="188"/>
      <c r="KQ216" s="188"/>
      <c r="KR216" s="188"/>
      <c r="KS216" s="188"/>
      <c r="KT216" s="188"/>
      <c r="KU216" s="188"/>
      <c r="KV216" s="188"/>
      <c r="KW216" s="188"/>
      <c r="KX216" s="188"/>
      <c r="KY216" s="188"/>
      <c r="KZ216" s="188"/>
      <c r="LA216" s="188"/>
      <c r="LB216" s="188"/>
      <c r="LC216" s="188"/>
      <c r="LD216" s="188"/>
      <c r="LE216" s="189"/>
      <c r="LF216" s="187"/>
      <c r="LG216" s="188"/>
      <c r="LH216" s="188"/>
      <c r="LI216" s="188"/>
      <c r="LJ216" s="189"/>
      <c r="LQ216" s="12"/>
      <c r="LR216" s="7"/>
    </row>
    <row r="217" spans="3:330" ht="5.0999999999999996" customHeight="1" x14ac:dyDescent="0.3">
      <c r="C217" s="11"/>
      <c r="D217" s="13"/>
      <c r="Q217" s="187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  <c r="BD217" s="188"/>
      <c r="BE217" s="189"/>
      <c r="BF217" s="187"/>
      <c r="BG217" s="188"/>
      <c r="BH217" s="188"/>
      <c r="BI217" s="188"/>
      <c r="BJ217" s="189"/>
      <c r="JG217" s="154"/>
      <c r="JN217" s="16"/>
      <c r="JQ217" s="187"/>
      <c r="JR217" s="188"/>
      <c r="JS217" s="188"/>
      <c r="JT217" s="188"/>
      <c r="JU217" s="188"/>
      <c r="JV217" s="188"/>
      <c r="JW217" s="188"/>
      <c r="JX217" s="188"/>
      <c r="JY217" s="188"/>
      <c r="JZ217" s="188"/>
      <c r="KA217" s="188"/>
      <c r="KB217" s="188"/>
      <c r="KC217" s="188"/>
      <c r="KD217" s="188"/>
      <c r="KE217" s="188"/>
      <c r="KF217" s="188"/>
      <c r="KG217" s="188"/>
      <c r="KH217" s="188"/>
      <c r="KI217" s="188"/>
      <c r="KJ217" s="188"/>
      <c r="KK217" s="188"/>
      <c r="KL217" s="188"/>
      <c r="KM217" s="188"/>
      <c r="KN217" s="188"/>
      <c r="KO217" s="188"/>
      <c r="KP217" s="188"/>
      <c r="KQ217" s="188"/>
      <c r="KR217" s="188"/>
      <c r="KS217" s="188"/>
      <c r="KT217" s="188"/>
      <c r="KU217" s="188"/>
      <c r="KV217" s="188"/>
      <c r="KW217" s="188"/>
      <c r="KX217" s="188"/>
      <c r="KY217" s="188"/>
      <c r="KZ217" s="188"/>
      <c r="LA217" s="188"/>
      <c r="LB217" s="188"/>
      <c r="LC217" s="188"/>
      <c r="LD217" s="188"/>
      <c r="LE217" s="189"/>
      <c r="LF217" s="187"/>
      <c r="LG217" s="188"/>
      <c r="LH217" s="188"/>
      <c r="LI217" s="188"/>
      <c r="LJ217" s="189"/>
      <c r="LQ217" s="12"/>
      <c r="LR217" s="7"/>
    </row>
    <row r="218" spans="3:330" ht="5.0999999999999996" customHeight="1" x14ac:dyDescent="0.3">
      <c r="C218" s="11"/>
      <c r="D218" s="13"/>
      <c r="Q218" s="187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  <c r="BD218" s="188"/>
      <c r="BE218" s="189"/>
      <c r="BF218" s="187"/>
      <c r="BG218" s="188"/>
      <c r="BH218" s="188"/>
      <c r="BI218" s="188"/>
      <c r="BJ218" s="189"/>
      <c r="JG218" s="154"/>
      <c r="JN218" s="16"/>
      <c r="JQ218" s="187"/>
      <c r="JR218" s="188"/>
      <c r="JS218" s="188"/>
      <c r="JT218" s="188"/>
      <c r="JU218" s="188"/>
      <c r="JV218" s="188"/>
      <c r="JW218" s="188"/>
      <c r="JX218" s="188"/>
      <c r="JY218" s="188"/>
      <c r="JZ218" s="188"/>
      <c r="KA218" s="188"/>
      <c r="KB218" s="188"/>
      <c r="KC218" s="188"/>
      <c r="KD218" s="188"/>
      <c r="KE218" s="188"/>
      <c r="KF218" s="188"/>
      <c r="KG218" s="188"/>
      <c r="KH218" s="188"/>
      <c r="KI218" s="188"/>
      <c r="KJ218" s="188"/>
      <c r="KK218" s="188"/>
      <c r="KL218" s="188"/>
      <c r="KM218" s="188"/>
      <c r="KN218" s="188"/>
      <c r="KO218" s="188"/>
      <c r="KP218" s="188"/>
      <c r="KQ218" s="188"/>
      <c r="KR218" s="188"/>
      <c r="KS218" s="188"/>
      <c r="KT218" s="188"/>
      <c r="KU218" s="188"/>
      <c r="KV218" s="188"/>
      <c r="KW218" s="188"/>
      <c r="KX218" s="188"/>
      <c r="KY218" s="188"/>
      <c r="KZ218" s="188"/>
      <c r="LA218" s="188"/>
      <c r="LB218" s="188"/>
      <c r="LC218" s="188"/>
      <c r="LD218" s="188"/>
      <c r="LE218" s="189"/>
      <c r="LF218" s="187"/>
      <c r="LG218" s="188"/>
      <c r="LH218" s="188"/>
      <c r="LI218" s="188"/>
      <c r="LJ218" s="189"/>
      <c r="LQ218" s="12"/>
      <c r="LR218" s="7"/>
    </row>
    <row r="219" spans="3:330" ht="5.0999999999999996" customHeight="1" x14ac:dyDescent="0.3">
      <c r="C219" s="11"/>
      <c r="D219" s="13"/>
      <c r="Q219" s="187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  <c r="BD219" s="188"/>
      <c r="BE219" s="189"/>
      <c r="BF219" s="187"/>
      <c r="BG219" s="188"/>
      <c r="BH219" s="188"/>
      <c r="BI219" s="188"/>
      <c r="BJ219" s="189"/>
      <c r="JG219" s="154"/>
      <c r="JN219" s="16"/>
      <c r="JQ219" s="190"/>
      <c r="JR219" s="191"/>
      <c r="JS219" s="191"/>
      <c r="JT219" s="191"/>
      <c r="JU219" s="191"/>
      <c r="JV219" s="191"/>
      <c r="JW219" s="191"/>
      <c r="JX219" s="191"/>
      <c r="JY219" s="191"/>
      <c r="JZ219" s="191"/>
      <c r="KA219" s="191"/>
      <c r="KB219" s="191"/>
      <c r="KC219" s="191"/>
      <c r="KD219" s="191"/>
      <c r="KE219" s="191"/>
      <c r="KF219" s="191"/>
      <c r="KG219" s="191"/>
      <c r="KH219" s="191"/>
      <c r="KI219" s="191"/>
      <c r="KJ219" s="191"/>
      <c r="KK219" s="191"/>
      <c r="KL219" s="191"/>
      <c r="KM219" s="191"/>
      <c r="KN219" s="191"/>
      <c r="KO219" s="191"/>
      <c r="KP219" s="191"/>
      <c r="KQ219" s="191"/>
      <c r="KR219" s="191"/>
      <c r="KS219" s="191"/>
      <c r="KT219" s="191"/>
      <c r="KU219" s="191"/>
      <c r="KV219" s="191"/>
      <c r="KW219" s="191"/>
      <c r="KX219" s="191"/>
      <c r="KY219" s="191"/>
      <c r="KZ219" s="191"/>
      <c r="LA219" s="191"/>
      <c r="LB219" s="191"/>
      <c r="LC219" s="191"/>
      <c r="LD219" s="191"/>
      <c r="LE219" s="192"/>
      <c r="LF219" s="190"/>
      <c r="LG219" s="191"/>
      <c r="LH219" s="191"/>
      <c r="LI219" s="191"/>
      <c r="LJ219" s="192"/>
      <c r="LQ219" s="12"/>
      <c r="LR219" s="7"/>
    </row>
    <row r="220" spans="3:330" ht="5.0999999999999996" customHeight="1" x14ac:dyDescent="0.3">
      <c r="C220" s="11"/>
      <c r="D220" s="13"/>
      <c r="Q220" s="190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2"/>
      <c r="BF220" s="190"/>
      <c r="BG220" s="191"/>
      <c r="BH220" s="191"/>
      <c r="BI220" s="191"/>
      <c r="BJ220" s="192"/>
      <c r="JG220" s="154"/>
      <c r="JN220" s="16"/>
      <c r="JQ220" s="184" t="s">
        <v>156</v>
      </c>
      <c r="JR220" s="185"/>
      <c r="JS220" s="185"/>
      <c r="JT220" s="185"/>
      <c r="JU220" s="185"/>
      <c r="JV220" s="185"/>
      <c r="JW220" s="185"/>
      <c r="JX220" s="185"/>
      <c r="JY220" s="185"/>
      <c r="JZ220" s="185"/>
      <c r="KA220" s="185"/>
      <c r="KB220" s="185"/>
      <c r="KC220" s="185"/>
      <c r="KD220" s="185"/>
      <c r="KE220" s="185"/>
      <c r="KF220" s="185"/>
      <c r="KG220" s="185"/>
      <c r="KH220" s="185"/>
      <c r="KI220" s="185"/>
      <c r="KJ220" s="185"/>
      <c r="KK220" s="185"/>
      <c r="KL220" s="185"/>
      <c r="KM220" s="185"/>
      <c r="KN220" s="185"/>
      <c r="KO220" s="185"/>
      <c r="KP220" s="185"/>
      <c r="KQ220" s="185"/>
      <c r="KR220" s="185"/>
      <c r="KS220" s="185"/>
      <c r="KT220" s="185"/>
      <c r="KU220" s="185"/>
      <c r="KV220" s="185"/>
      <c r="KW220" s="185"/>
      <c r="KX220" s="185"/>
      <c r="KY220" s="185"/>
      <c r="KZ220" s="185"/>
      <c r="LA220" s="185"/>
      <c r="LB220" s="185"/>
      <c r="LC220" s="185"/>
      <c r="LD220" s="185"/>
      <c r="LE220" s="186"/>
      <c r="LF220" s="184">
        <v>3</v>
      </c>
      <c r="LG220" s="185"/>
      <c r="LH220" s="185"/>
      <c r="LI220" s="185"/>
      <c r="LJ220" s="186"/>
      <c r="LQ220" s="12"/>
      <c r="LR220" s="7"/>
    </row>
    <row r="221" spans="3:330" ht="5.0999999999999996" customHeight="1" x14ac:dyDescent="0.3">
      <c r="C221" s="11"/>
      <c r="D221" s="13"/>
      <c r="Q221" s="195" t="s">
        <v>27</v>
      </c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7">
        <v>10</v>
      </c>
      <c r="BF221" s="216"/>
      <c r="BG221" s="217"/>
      <c r="BH221" s="217"/>
      <c r="BI221" s="217"/>
      <c r="BJ221" s="218"/>
      <c r="JG221" s="154"/>
      <c r="JN221" s="16"/>
      <c r="JQ221" s="187"/>
      <c r="JR221" s="188"/>
      <c r="JS221" s="188"/>
      <c r="JT221" s="188"/>
      <c r="JU221" s="188"/>
      <c r="JV221" s="188"/>
      <c r="JW221" s="188"/>
      <c r="JX221" s="188"/>
      <c r="JY221" s="188"/>
      <c r="JZ221" s="188"/>
      <c r="KA221" s="188"/>
      <c r="KB221" s="188"/>
      <c r="KC221" s="188"/>
      <c r="KD221" s="188"/>
      <c r="KE221" s="188"/>
      <c r="KF221" s="188"/>
      <c r="KG221" s="188"/>
      <c r="KH221" s="188"/>
      <c r="KI221" s="188"/>
      <c r="KJ221" s="188"/>
      <c r="KK221" s="188"/>
      <c r="KL221" s="188"/>
      <c r="KM221" s="188"/>
      <c r="KN221" s="188"/>
      <c r="KO221" s="188"/>
      <c r="KP221" s="188"/>
      <c r="KQ221" s="188"/>
      <c r="KR221" s="188"/>
      <c r="KS221" s="188"/>
      <c r="KT221" s="188"/>
      <c r="KU221" s="188"/>
      <c r="KV221" s="188"/>
      <c r="KW221" s="188"/>
      <c r="KX221" s="188"/>
      <c r="KY221" s="188"/>
      <c r="KZ221" s="188"/>
      <c r="LA221" s="188"/>
      <c r="LB221" s="188"/>
      <c r="LC221" s="188"/>
      <c r="LD221" s="188"/>
      <c r="LE221" s="189"/>
      <c r="LF221" s="187"/>
      <c r="LG221" s="188"/>
      <c r="LH221" s="188"/>
      <c r="LI221" s="188"/>
      <c r="LJ221" s="189"/>
      <c r="LQ221" s="12"/>
      <c r="LR221" s="7"/>
    </row>
    <row r="222" spans="3:330" ht="5.0999999999999996" customHeight="1" x14ac:dyDescent="0.3">
      <c r="C222" s="11"/>
      <c r="D222" s="13"/>
      <c r="Q222" s="198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199"/>
      <c r="AM222" s="199"/>
      <c r="AN222" s="199"/>
      <c r="AO222" s="199"/>
      <c r="AP222" s="199"/>
      <c r="AQ222" s="199"/>
      <c r="AR222" s="199"/>
      <c r="AS222" s="199"/>
      <c r="AT222" s="199"/>
      <c r="AU222" s="199"/>
      <c r="AV222" s="199"/>
      <c r="AW222" s="199"/>
      <c r="AX222" s="199"/>
      <c r="AY222" s="199"/>
      <c r="AZ222" s="199"/>
      <c r="BA222" s="199"/>
      <c r="BB222" s="199"/>
      <c r="BC222" s="199"/>
      <c r="BD222" s="199"/>
      <c r="BE222" s="200"/>
      <c r="BF222" s="219"/>
      <c r="BG222" s="220"/>
      <c r="BH222" s="220"/>
      <c r="BI222" s="220"/>
      <c r="BJ222" s="221"/>
      <c r="JG222" s="154"/>
      <c r="JN222" s="16"/>
      <c r="JQ222" s="187"/>
      <c r="JR222" s="188"/>
      <c r="JS222" s="188"/>
      <c r="JT222" s="188"/>
      <c r="JU222" s="188"/>
      <c r="JV222" s="188"/>
      <c r="JW222" s="188"/>
      <c r="JX222" s="188"/>
      <c r="JY222" s="188"/>
      <c r="JZ222" s="188"/>
      <c r="KA222" s="188"/>
      <c r="KB222" s="188"/>
      <c r="KC222" s="188"/>
      <c r="KD222" s="188"/>
      <c r="KE222" s="188"/>
      <c r="KF222" s="188"/>
      <c r="KG222" s="188"/>
      <c r="KH222" s="188"/>
      <c r="KI222" s="188"/>
      <c r="KJ222" s="188"/>
      <c r="KK222" s="188"/>
      <c r="KL222" s="188"/>
      <c r="KM222" s="188"/>
      <c r="KN222" s="188"/>
      <c r="KO222" s="188"/>
      <c r="KP222" s="188"/>
      <c r="KQ222" s="188"/>
      <c r="KR222" s="188"/>
      <c r="KS222" s="188"/>
      <c r="KT222" s="188"/>
      <c r="KU222" s="188"/>
      <c r="KV222" s="188"/>
      <c r="KW222" s="188"/>
      <c r="KX222" s="188"/>
      <c r="KY222" s="188"/>
      <c r="KZ222" s="188"/>
      <c r="LA222" s="188"/>
      <c r="LB222" s="188"/>
      <c r="LC222" s="188"/>
      <c r="LD222" s="188"/>
      <c r="LE222" s="189"/>
      <c r="LF222" s="187"/>
      <c r="LG222" s="188"/>
      <c r="LH222" s="188"/>
      <c r="LI222" s="188"/>
      <c r="LJ222" s="189"/>
      <c r="LQ222" s="12"/>
      <c r="LR222" s="7"/>
    </row>
    <row r="223" spans="3:330" ht="5.0999999999999996" customHeight="1" x14ac:dyDescent="0.3">
      <c r="C223" s="11"/>
      <c r="D223" s="13"/>
      <c r="Q223" s="198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199"/>
      <c r="AM223" s="199"/>
      <c r="AN223" s="199"/>
      <c r="AO223" s="199"/>
      <c r="AP223" s="199"/>
      <c r="AQ223" s="199"/>
      <c r="AR223" s="199"/>
      <c r="AS223" s="199"/>
      <c r="AT223" s="199"/>
      <c r="AU223" s="199"/>
      <c r="AV223" s="199"/>
      <c r="AW223" s="199"/>
      <c r="AX223" s="199"/>
      <c r="AY223" s="199"/>
      <c r="AZ223" s="199"/>
      <c r="BA223" s="199"/>
      <c r="BB223" s="199"/>
      <c r="BC223" s="199"/>
      <c r="BD223" s="199"/>
      <c r="BE223" s="200"/>
      <c r="BF223" s="219"/>
      <c r="BG223" s="220"/>
      <c r="BH223" s="220"/>
      <c r="BI223" s="220"/>
      <c r="BJ223" s="221"/>
      <c r="JG223" s="154"/>
      <c r="JN223" s="16"/>
      <c r="JQ223" s="187"/>
      <c r="JR223" s="188"/>
      <c r="JS223" s="188"/>
      <c r="JT223" s="188"/>
      <c r="JU223" s="188"/>
      <c r="JV223" s="188"/>
      <c r="JW223" s="188"/>
      <c r="JX223" s="188"/>
      <c r="JY223" s="188"/>
      <c r="JZ223" s="188"/>
      <c r="KA223" s="188"/>
      <c r="KB223" s="188"/>
      <c r="KC223" s="188"/>
      <c r="KD223" s="188"/>
      <c r="KE223" s="188"/>
      <c r="KF223" s="188"/>
      <c r="KG223" s="188"/>
      <c r="KH223" s="188"/>
      <c r="KI223" s="188"/>
      <c r="KJ223" s="188"/>
      <c r="KK223" s="188"/>
      <c r="KL223" s="188"/>
      <c r="KM223" s="188"/>
      <c r="KN223" s="188"/>
      <c r="KO223" s="188"/>
      <c r="KP223" s="188"/>
      <c r="KQ223" s="188"/>
      <c r="KR223" s="188"/>
      <c r="KS223" s="188"/>
      <c r="KT223" s="188"/>
      <c r="KU223" s="188"/>
      <c r="KV223" s="188"/>
      <c r="KW223" s="188"/>
      <c r="KX223" s="188"/>
      <c r="KY223" s="188"/>
      <c r="KZ223" s="188"/>
      <c r="LA223" s="188"/>
      <c r="LB223" s="188"/>
      <c r="LC223" s="188"/>
      <c r="LD223" s="188"/>
      <c r="LE223" s="189"/>
      <c r="LF223" s="187"/>
      <c r="LG223" s="188"/>
      <c r="LH223" s="188"/>
      <c r="LI223" s="188"/>
      <c r="LJ223" s="189"/>
      <c r="LQ223" s="12"/>
      <c r="LR223" s="7"/>
    </row>
    <row r="224" spans="3:330" ht="5.0999999999999996" customHeight="1" x14ac:dyDescent="0.3">
      <c r="C224" s="11"/>
      <c r="D224" s="13"/>
      <c r="Q224" s="198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199"/>
      <c r="AM224" s="199"/>
      <c r="AN224" s="199"/>
      <c r="AO224" s="199"/>
      <c r="AP224" s="199"/>
      <c r="AQ224" s="199"/>
      <c r="AR224" s="199"/>
      <c r="AS224" s="199"/>
      <c r="AT224" s="199"/>
      <c r="AU224" s="199"/>
      <c r="AV224" s="199"/>
      <c r="AW224" s="199"/>
      <c r="AX224" s="199"/>
      <c r="AY224" s="199"/>
      <c r="AZ224" s="199"/>
      <c r="BA224" s="199"/>
      <c r="BB224" s="199"/>
      <c r="BC224" s="199"/>
      <c r="BD224" s="199"/>
      <c r="BE224" s="200"/>
      <c r="BF224" s="219"/>
      <c r="BG224" s="220"/>
      <c r="BH224" s="220"/>
      <c r="BI224" s="220"/>
      <c r="BJ224" s="221"/>
      <c r="JG224" s="154"/>
      <c r="JN224" s="16"/>
      <c r="JQ224" s="187"/>
      <c r="JR224" s="188"/>
      <c r="JS224" s="188"/>
      <c r="JT224" s="188"/>
      <c r="JU224" s="188"/>
      <c r="JV224" s="188"/>
      <c r="JW224" s="188"/>
      <c r="JX224" s="188"/>
      <c r="JY224" s="188"/>
      <c r="JZ224" s="188"/>
      <c r="KA224" s="188"/>
      <c r="KB224" s="188"/>
      <c r="KC224" s="188"/>
      <c r="KD224" s="188"/>
      <c r="KE224" s="188"/>
      <c r="KF224" s="188"/>
      <c r="KG224" s="188"/>
      <c r="KH224" s="188"/>
      <c r="KI224" s="188"/>
      <c r="KJ224" s="188"/>
      <c r="KK224" s="188"/>
      <c r="KL224" s="188"/>
      <c r="KM224" s="188"/>
      <c r="KN224" s="188"/>
      <c r="KO224" s="188"/>
      <c r="KP224" s="188"/>
      <c r="KQ224" s="188"/>
      <c r="KR224" s="188"/>
      <c r="KS224" s="188"/>
      <c r="KT224" s="188"/>
      <c r="KU224" s="188"/>
      <c r="KV224" s="188"/>
      <c r="KW224" s="188"/>
      <c r="KX224" s="188"/>
      <c r="KY224" s="188"/>
      <c r="KZ224" s="188"/>
      <c r="LA224" s="188"/>
      <c r="LB224" s="188"/>
      <c r="LC224" s="188"/>
      <c r="LD224" s="188"/>
      <c r="LE224" s="189"/>
      <c r="LF224" s="187"/>
      <c r="LG224" s="188"/>
      <c r="LH224" s="188"/>
      <c r="LI224" s="188"/>
      <c r="LJ224" s="189"/>
      <c r="LQ224" s="12"/>
      <c r="LR224" s="7"/>
    </row>
    <row r="225" spans="3:330" ht="5.0999999999999996" customHeight="1" x14ac:dyDescent="0.3">
      <c r="C225" s="11"/>
      <c r="D225" s="13"/>
      <c r="Q225" s="198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199"/>
      <c r="AM225" s="199"/>
      <c r="AN225" s="199"/>
      <c r="AO225" s="199"/>
      <c r="AP225" s="199"/>
      <c r="AQ225" s="199"/>
      <c r="AR225" s="199"/>
      <c r="AS225" s="199"/>
      <c r="AT225" s="199"/>
      <c r="AU225" s="199"/>
      <c r="AV225" s="199"/>
      <c r="AW225" s="199"/>
      <c r="AX225" s="199"/>
      <c r="AY225" s="199"/>
      <c r="AZ225" s="199"/>
      <c r="BA225" s="199"/>
      <c r="BB225" s="199"/>
      <c r="BC225" s="199"/>
      <c r="BD225" s="199"/>
      <c r="BE225" s="200"/>
      <c r="BF225" s="219"/>
      <c r="BG225" s="220"/>
      <c r="BH225" s="220"/>
      <c r="BI225" s="220"/>
      <c r="BJ225" s="221"/>
      <c r="JG225" s="154"/>
      <c r="JN225" s="16"/>
      <c r="JQ225" s="187"/>
      <c r="JR225" s="188"/>
      <c r="JS225" s="188"/>
      <c r="JT225" s="188"/>
      <c r="JU225" s="188"/>
      <c r="JV225" s="188"/>
      <c r="JW225" s="188"/>
      <c r="JX225" s="188"/>
      <c r="JY225" s="188"/>
      <c r="JZ225" s="188"/>
      <c r="KA225" s="188"/>
      <c r="KB225" s="188"/>
      <c r="KC225" s="188"/>
      <c r="KD225" s="188"/>
      <c r="KE225" s="188"/>
      <c r="KF225" s="188"/>
      <c r="KG225" s="188"/>
      <c r="KH225" s="188"/>
      <c r="KI225" s="188"/>
      <c r="KJ225" s="188"/>
      <c r="KK225" s="188"/>
      <c r="KL225" s="188"/>
      <c r="KM225" s="188"/>
      <c r="KN225" s="188"/>
      <c r="KO225" s="188"/>
      <c r="KP225" s="188"/>
      <c r="KQ225" s="188"/>
      <c r="KR225" s="188"/>
      <c r="KS225" s="188"/>
      <c r="KT225" s="188"/>
      <c r="KU225" s="188"/>
      <c r="KV225" s="188"/>
      <c r="KW225" s="188"/>
      <c r="KX225" s="188"/>
      <c r="KY225" s="188"/>
      <c r="KZ225" s="188"/>
      <c r="LA225" s="188"/>
      <c r="LB225" s="188"/>
      <c r="LC225" s="188"/>
      <c r="LD225" s="188"/>
      <c r="LE225" s="189"/>
      <c r="LF225" s="187"/>
      <c r="LG225" s="188"/>
      <c r="LH225" s="188"/>
      <c r="LI225" s="188"/>
      <c r="LJ225" s="189"/>
      <c r="LQ225" s="12"/>
      <c r="LR225" s="7"/>
    </row>
    <row r="226" spans="3:330" ht="5.0999999999999996" customHeight="1" x14ac:dyDescent="0.3">
      <c r="C226" s="11"/>
      <c r="D226" s="13"/>
      <c r="Q226" s="198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199"/>
      <c r="AU226" s="199"/>
      <c r="AV226" s="199"/>
      <c r="AW226" s="199"/>
      <c r="AX226" s="199"/>
      <c r="AY226" s="199"/>
      <c r="AZ226" s="199"/>
      <c r="BA226" s="199"/>
      <c r="BB226" s="199"/>
      <c r="BC226" s="199"/>
      <c r="BD226" s="199"/>
      <c r="BE226" s="200"/>
      <c r="BF226" s="219"/>
      <c r="BG226" s="220"/>
      <c r="BH226" s="220"/>
      <c r="BI226" s="220"/>
      <c r="BJ226" s="221"/>
      <c r="JG226" s="154"/>
      <c r="JN226" s="16"/>
      <c r="JQ226" s="187"/>
      <c r="JR226" s="188"/>
      <c r="JS226" s="188"/>
      <c r="JT226" s="188"/>
      <c r="JU226" s="188"/>
      <c r="JV226" s="188"/>
      <c r="JW226" s="188"/>
      <c r="JX226" s="188"/>
      <c r="JY226" s="188"/>
      <c r="JZ226" s="188"/>
      <c r="KA226" s="188"/>
      <c r="KB226" s="188"/>
      <c r="KC226" s="188"/>
      <c r="KD226" s="188"/>
      <c r="KE226" s="188"/>
      <c r="KF226" s="188"/>
      <c r="KG226" s="188"/>
      <c r="KH226" s="188"/>
      <c r="KI226" s="188"/>
      <c r="KJ226" s="188"/>
      <c r="KK226" s="188"/>
      <c r="KL226" s="188"/>
      <c r="KM226" s="188"/>
      <c r="KN226" s="188"/>
      <c r="KO226" s="188"/>
      <c r="KP226" s="188"/>
      <c r="KQ226" s="188"/>
      <c r="KR226" s="188"/>
      <c r="KS226" s="188"/>
      <c r="KT226" s="188"/>
      <c r="KU226" s="188"/>
      <c r="KV226" s="188"/>
      <c r="KW226" s="188"/>
      <c r="KX226" s="188"/>
      <c r="KY226" s="188"/>
      <c r="KZ226" s="188"/>
      <c r="LA226" s="188"/>
      <c r="LB226" s="188"/>
      <c r="LC226" s="188"/>
      <c r="LD226" s="188"/>
      <c r="LE226" s="189"/>
      <c r="LF226" s="187"/>
      <c r="LG226" s="188"/>
      <c r="LH226" s="188"/>
      <c r="LI226" s="188"/>
      <c r="LJ226" s="189"/>
      <c r="LQ226" s="12"/>
      <c r="LR226" s="7"/>
    </row>
    <row r="227" spans="3:330" ht="5.0999999999999996" customHeight="1" x14ac:dyDescent="0.3">
      <c r="C227" s="11"/>
      <c r="D227" s="13"/>
      <c r="Q227" s="198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  <c r="AS227" s="199"/>
      <c r="AT227" s="199"/>
      <c r="AU227" s="199"/>
      <c r="AV227" s="199"/>
      <c r="AW227" s="199"/>
      <c r="AX227" s="199"/>
      <c r="AY227" s="199"/>
      <c r="AZ227" s="199"/>
      <c r="BA227" s="199"/>
      <c r="BB227" s="199"/>
      <c r="BC227" s="199"/>
      <c r="BD227" s="199"/>
      <c r="BE227" s="200"/>
      <c r="BF227" s="219"/>
      <c r="BG227" s="220"/>
      <c r="BH227" s="220"/>
      <c r="BI227" s="220"/>
      <c r="BJ227" s="221"/>
      <c r="JG227" s="154"/>
      <c r="JN227" s="16"/>
      <c r="JQ227" s="187"/>
      <c r="JR227" s="188"/>
      <c r="JS227" s="188"/>
      <c r="JT227" s="188"/>
      <c r="JU227" s="188"/>
      <c r="JV227" s="188"/>
      <c r="JW227" s="188"/>
      <c r="JX227" s="188"/>
      <c r="JY227" s="188"/>
      <c r="JZ227" s="188"/>
      <c r="KA227" s="188"/>
      <c r="KB227" s="188"/>
      <c r="KC227" s="188"/>
      <c r="KD227" s="188"/>
      <c r="KE227" s="188"/>
      <c r="KF227" s="188"/>
      <c r="KG227" s="188"/>
      <c r="KH227" s="188"/>
      <c r="KI227" s="188"/>
      <c r="KJ227" s="188"/>
      <c r="KK227" s="188"/>
      <c r="KL227" s="188"/>
      <c r="KM227" s="188"/>
      <c r="KN227" s="188"/>
      <c r="KO227" s="188"/>
      <c r="KP227" s="188"/>
      <c r="KQ227" s="188"/>
      <c r="KR227" s="188"/>
      <c r="KS227" s="188"/>
      <c r="KT227" s="188"/>
      <c r="KU227" s="188"/>
      <c r="KV227" s="188"/>
      <c r="KW227" s="188"/>
      <c r="KX227" s="188"/>
      <c r="KY227" s="188"/>
      <c r="KZ227" s="188"/>
      <c r="LA227" s="188"/>
      <c r="LB227" s="188"/>
      <c r="LC227" s="188"/>
      <c r="LD227" s="188"/>
      <c r="LE227" s="189"/>
      <c r="LF227" s="187"/>
      <c r="LG227" s="188"/>
      <c r="LH227" s="188"/>
      <c r="LI227" s="188"/>
      <c r="LJ227" s="189"/>
      <c r="LQ227" s="12"/>
      <c r="LR227" s="7"/>
    </row>
    <row r="228" spans="3:330" ht="5.0999999999999996" customHeight="1" x14ac:dyDescent="0.3">
      <c r="C228" s="11"/>
      <c r="D228" s="13"/>
      <c r="Q228" s="198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199"/>
      <c r="AM228" s="199"/>
      <c r="AN228" s="199"/>
      <c r="AO228" s="199"/>
      <c r="AP228" s="199"/>
      <c r="AQ228" s="199"/>
      <c r="AR228" s="199"/>
      <c r="AS228" s="199"/>
      <c r="AT228" s="199"/>
      <c r="AU228" s="199"/>
      <c r="AV228" s="199"/>
      <c r="AW228" s="199"/>
      <c r="AX228" s="199"/>
      <c r="AY228" s="199"/>
      <c r="AZ228" s="199"/>
      <c r="BA228" s="199"/>
      <c r="BB228" s="199"/>
      <c r="BC228" s="199"/>
      <c r="BD228" s="199"/>
      <c r="BE228" s="200"/>
      <c r="BF228" s="219"/>
      <c r="BG228" s="220"/>
      <c r="BH228" s="220"/>
      <c r="BI228" s="220"/>
      <c r="BJ228" s="221"/>
      <c r="JG228" s="154"/>
      <c r="JN228" s="16"/>
      <c r="JQ228" s="187"/>
      <c r="JR228" s="188"/>
      <c r="JS228" s="188"/>
      <c r="JT228" s="188"/>
      <c r="JU228" s="188"/>
      <c r="JV228" s="188"/>
      <c r="JW228" s="188"/>
      <c r="JX228" s="188"/>
      <c r="JY228" s="188"/>
      <c r="JZ228" s="188"/>
      <c r="KA228" s="188"/>
      <c r="KB228" s="188"/>
      <c r="KC228" s="188"/>
      <c r="KD228" s="188"/>
      <c r="KE228" s="188"/>
      <c r="KF228" s="188"/>
      <c r="KG228" s="188"/>
      <c r="KH228" s="188"/>
      <c r="KI228" s="188"/>
      <c r="KJ228" s="188"/>
      <c r="KK228" s="188"/>
      <c r="KL228" s="188"/>
      <c r="KM228" s="188"/>
      <c r="KN228" s="188"/>
      <c r="KO228" s="188"/>
      <c r="KP228" s="188"/>
      <c r="KQ228" s="188"/>
      <c r="KR228" s="188"/>
      <c r="KS228" s="188"/>
      <c r="KT228" s="188"/>
      <c r="KU228" s="188"/>
      <c r="KV228" s="188"/>
      <c r="KW228" s="188"/>
      <c r="KX228" s="188"/>
      <c r="KY228" s="188"/>
      <c r="KZ228" s="188"/>
      <c r="LA228" s="188"/>
      <c r="LB228" s="188"/>
      <c r="LC228" s="188"/>
      <c r="LD228" s="188"/>
      <c r="LE228" s="189"/>
      <c r="LF228" s="187"/>
      <c r="LG228" s="188"/>
      <c r="LH228" s="188"/>
      <c r="LI228" s="188"/>
      <c r="LJ228" s="189"/>
      <c r="LQ228" s="12"/>
      <c r="LR228" s="7"/>
    </row>
    <row r="229" spans="3:330" ht="5.0999999999999996" customHeight="1" x14ac:dyDescent="0.3">
      <c r="C229" s="11"/>
      <c r="D229" s="13"/>
      <c r="Q229" s="198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199"/>
      <c r="AM229" s="199"/>
      <c r="AN229" s="199"/>
      <c r="AO229" s="199"/>
      <c r="AP229" s="199"/>
      <c r="AQ229" s="199"/>
      <c r="AR229" s="199"/>
      <c r="AS229" s="199"/>
      <c r="AT229" s="199"/>
      <c r="AU229" s="199"/>
      <c r="AV229" s="199"/>
      <c r="AW229" s="199"/>
      <c r="AX229" s="199"/>
      <c r="AY229" s="199"/>
      <c r="AZ229" s="199"/>
      <c r="BA229" s="199"/>
      <c r="BB229" s="199"/>
      <c r="BC229" s="199"/>
      <c r="BD229" s="199"/>
      <c r="BE229" s="200"/>
      <c r="BF229" s="219"/>
      <c r="BG229" s="220"/>
      <c r="BH229" s="220"/>
      <c r="BI229" s="220"/>
      <c r="BJ229" s="221"/>
      <c r="JG229" s="154"/>
      <c r="JN229" s="16"/>
      <c r="JQ229" s="190"/>
      <c r="JR229" s="191"/>
      <c r="JS229" s="191"/>
      <c r="JT229" s="191"/>
      <c r="JU229" s="191"/>
      <c r="JV229" s="191"/>
      <c r="JW229" s="191"/>
      <c r="JX229" s="191"/>
      <c r="JY229" s="191"/>
      <c r="JZ229" s="191"/>
      <c r="KA229" s="191"/>
      <c r="KB229" s="191"/>
      <c r="KC229" s="191"/>
      <c r="KD229" s="191"/>
      <c r="KE229" s="191"/>
      <c r="KF229" s="191"/>
      <c r="KG229" s="191"/>
      <c r="KH229" s="191"/>
      <c r="KI229" s="191"/>
      <c r="KJ229" s="191"/>
      <c r="KK229" s="191"/>
      <c r="KL229" s="191"/>
      <c r="KM229" s="191"/>
      <c r="KN229" s="191"/>
      <c r="KO229" s="191"/>
      <c r="KP229" s="191"/>
      <c r="KQ229" s="191"/>
      <c r="KR229" s="191"/>
      <c r="KS229" s="191"/>
      <c r="KT229" s="191"/>
      <c r="KU229" s="191"/>
      <c r="KV229" s="191"/>
      <c r="KW229" s="191"/>
      <c r="KX229" s="191"/>
      <c r="KY229" s="191"/>
      <c r="KZ229" s="191"/>
      <c r="LA229" s="191"/>
      <c r="LB229" s="191"/>
      <c r="LC229" s="191"/>
      <c r="LD229" s="191"/>
      <c r="LE229" s="192"/>
      <c r="LF229" s="190"/>
      <c r="LG229" s="191"/>
      <c r="LH229" s="191"/>
      <c r="LI229" s="191"/>
      <c r="LJ229" s="192"/>
      <c r="LQ229" s="12"/>
      <c r="LR229" s="7"/>
    </row>
    <row r="230" spans="3:330" ht="5.0999999999999996" customHeight="1" x14ac:dyDescent="0.3">
      <c r="C230" s="11"/>
      <c r="D230" s="13"/>
      <c r="Q230" s="201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3"/>
      <c r="BF230" s="222"/>
      <c r="BG230" s="223"/>
      <c r="BH230" s="223"/>
      <c r="BI230" s="223"/>
      <c r="BJ230" s="224"/>
      <c r="JG230" s="154"/>
      <c r="JN230" s="16"/>
      <c r="LQ230" s="12"/>
      <c r="LR230" s="7"/>
    </row>
    <row r="231" spans="3:330" ht="5.0999999999999996" customHeight="1" x14ac:dyDescent="0.3">
      <c r="C231" s="11"/>
      <c r="D231" s="13"/>
      <c r="Q231" s="195" t="s">
        <v>28</v>
      </c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  <c r="AY231" s="196"/>
      <c r="AZ231" s="196"/>
      <c r="BA231" s="196"/>
      <c r="BB231" s="196"/>
      <c r="BC231" s="196"/>
      <c r="BD231" s="196"/>
      <c r="BE231" s="197">
        <v>10</v>
      </c>
      <c r="BF231" s="216"/>
      <c r="BG231" s="217"/>
      <c r="BH231" s="217"/>
      <c r="BI231" s="217"/>
      <c r="BJ231" s="218"/>
      <c r="JG231" s="154"/>
      <c r="JN231" s="16"/>
      <c r="JQ231" s="184" t="s">
        <v>157</v>
      </c>
      <c r="JR231" s="185"/>
      <c r="JS231" s="185"/>
      <c r="JT231" s="185"/>
      <c r="JU231" s="185"/>
      <c r="JV231" s="185"/>
      <c r="JW231" s="185"/>
      <c r="JX231" s="185"/>
      <c r="JY231" s="185"/>
      <c r="JZ231" s="185"/>
      <c r="KA231" s="185"/>
      <c r="KB231" s="185"/>
      <c r="KC231" s="185"/>
      <c r="KD231" s="185"/>
      <c r="KE231" s="185"/>
      <c r="KF231" s="185"/>
      <c r="KG231" s="185"/>
      <c r="KH231" s="185"/>
      <c r="KI231" s="185"/>
      <c r="KJ231" s="185"/>
      <c r="KK231" s="185"/>
      <c r="KL231" s="185"/>
      <c r="KM231" s="185"/>
      <c r="KN231" s="185"/>
      <c r="KO231" s="185"/>
      <c r="KP231" s="185"/>
      <c r="KQ231" s="185"/>
      <c r="KR231" s="185"/>
      <c r="KS231" s="185"/>
      <c r="KT231" s="185"/>
      <c r="KU231" s="185"/>
      <c r="KV231" s="185"/>
      <c r="KW231" s="185"/>
      <c r="KX231" s="185"/>
      <c r="KY231" s="185"/>
      <c r="KZ231" s="185"/>
      <c r="LA231" s="185"/>
      <c r="LB231" s="185"/>
      <c r="LC231" s="185"/>
      <c r="LD231" s="185"/>
      <c r="LE231" s="186"/>
      <c r="LF231" s="184">
        <v>1</v>
      </c>
      <c r="LG231" s="185"/>
      <c r="LH231" s="185"/>
      <c r="LI231" s="185"/>
      <c r="LJ231" s="186"/>
      <c r="LQ231" s="12"/>
      <c r="LR231" s="7"/>
    </row>
    <row r="232" spans="3:330" ht="5.0999999999999996" customHeight="1" x14ac:dyDescent="0.3">
      <c r="C232" s="11"/>
      <c r="D232" s="13"/>
      <c r="Q232" s="198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  <c r="AS232" s="199"/>
      <c r="AT232" s="199"/>
      <c r="AU232" s="199"/>
      <c r="AV232" s="199"/>
      <c r="AW232" s="199"/>
      <c r="AX232" s="199"/>
      <c r="AY232" s="199"/>
      <c r="AZ232" s="199"/>
      <c r="BA232" s="199"/>
      <c r="BB232" s="199"/>
      <c r="BC232" s="199"/>
      <c r="BD232" s="199"/>
      <c r="BE232" s="200"/>
      <c r="BF232" s="219"/>
      <c r="BG232" s="220"/>
      <c r="BH232" s="220"/>
      <c r="BI232" s="220"/>
      <c r="BJ232" s="221"/>
      <c r="JG232" s="154"/>
      <c r="JN232" s="16"/>
      <c r="JQ232" s="187"/>
      <c r="JR232" s="188"/>
      <c r="JS232" s="188"/>
      <c r="JT232" s="188"/>
      <c r="JU232" s="188"/>
      <c r="JV232" s="188"/>
      <c r="JW232" s="188"/>
      <c r="JX232" s="188"/>
      <c r="JY232" s="188"/>
      <c r="JZ232" s="188"/>
      <c r="KA232" s="188"/>
      <c r="KB232" s="188"/>
      <c r="KC232" s="188"/>
      <c r="KD232" s="188"/>
      <c r="KE232" s="188"/>
      <c r="KF232" s="188"/>
      <c r="KG232" s="188"/>
      <c r="KH232" s="188"/>
      <c r="KI232" s="188"/>
      <c r="KJ232" s="188"/>
      <c r="KK232" s="188"/>
      <c r="KL232" s="188"/>
      <c r="KM232" s="188"/>
      <c r="KN232" s="188"/>
      <c r="KO232" s="188"/>
      <c r="KP232" s="188"/>
      <c r="KQ232" s="188"/>
      <c r="KR232" s="188"/>
      <c r="KS232" s="188"/>
      <c r="KT232" s="188"/>
      <c r="KU232" s="188"/>
      <c r="KV232" s="188"/>
      <c r="KW232" s="188"/>
      <c r="KX232" s="188"/>
      <c r="KY232" s="188"/>
      <c r="KZ232" s="188"/>
      <c r="LA232" s="188"/>
      <c r="LB232" s="188"/>
      <c r="LC232" s="188"/>
      <c r="LD232" s="188"/>
      <c r="LE232" s="189"/>
      <c r="LF232" s="187"/>
      <c r="LG232" s="188"/>
      <c r="LH232" s="188"/>
      <c r="LI232" s="188"/>
      <c r="LJ232" s="189"/>
      <c r="LQ232" s="12"/>
      <c r="LR232" s="7"/>
    </row>
    <row r="233" spans="3:330" ht="5.0999999999999996" customHeight="1" x14ac:dyDescent="0.3">
      <c r="C233" s="11"/>
      <c r="D233" s="13"/>
      <c r="Q233" s="198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  <c r="AD233" s="199"/>
      <c r="AE233" s="199"/>
      <c r="AF233" s="199"/>
      <c r="AG233" s="199"/>
      <c r="AH233" s="199"/>
      <c r="AI233" s="199"/>
      <c r="AJ233" s="199"/>
      <c r="AK233" s="199"/>
      <c r="AL233" s="199"/>
      <c r="AM233" s="199"/>
      <c r="AN233" s="199"/>
      <c r="AO233" s="199"/>
      <c r="AP233" s="199"/>
      <c r="AQ233" s="199"/>
      <c r="AR233" s="199"/>
      <c r="AS233" s="199"/>
      <c r="AT233" s="199"/>
      <c r="AU233" s="199"/>
      <c r="AV233" s="199"/>
      <c r="AW233" s="199"/>
      <c r="AX233" s="199"/>
      <c r="AY233" s="199"/>
      <c r="AZ233" s="199"/>
      <c r="BA233" s="199"/>
      <c r="BB233" s="199"/>
      <c r="BC233" s="199"/>
      <c r="BD233" s="199"/>
      <c r="BE233" s="200"/>
      <c r="BF233" s="219"/>
      <c r="BG233" s="220"/>
      <c r="BH233" s="220"/>
      <c r="BI233" s="220"/>
      <c r="BJ233" s="221"/>
      <c r="JG233" s="154"/>
      <c r="JN233" s="16"/>
      <c r="JQ233" s="187"/>
      <c r="JR233" s="188"/>
      <c r="JS233" s="188"/>
      <c r="JT233" s="188"/>
      <c r="JU233" s="188"/>
      <c r="JV233" s="188"/>
      <c r="JW233" s="188"/>
      <c r="JX233" s="188"/>
      <c r="JY233" s="188"/>
      <c r="JZ233" s="188"/>
      <c r="KA233" s="188"/>
      <c r="KB233" s="188"/>
      <c r="KC233" s="188"/>
      <c r="KD233" s="188"/>
      <c r="KE233" s="188"/>
      <c r="KF233" s="188"/>
      <c r="KG233" s="188"/>
      <c r="KH233" s="188"/>
      <c r="KI233" s="188"/>
      <c r="KJ233" s="188"/>
      <c r="KK233" s="188"/>
      <c r="KL233" s="188"/>
      <c r="KM233" s="188"/>
      <c r="KN233" s="188"/>
      <c r="KO233" s="188"/>
      <c r="KP233" s="188"/>
      <c r="KQ233" s="188"/>
      <c r="KR233" s="188"/>
      <c r="KS233" s="188"/>
      <c r="KT233" s="188"/>
      <c r="KU233" s="188"/>
      <c r="KV233" s="188"/>
      <c r="KW233" s="188"/>
      <c r="KX233" s="188"/>
      <c r="KY233" s="188"/>
      <c r="KZ233" s="188"/>
      <c r="LA233" s="188"/>
      <c r="LB233" s="188"/>
      <c r="LC233" s="188"/>
      <c r="LD233" s="188"/>
      <c r="LE233" s="189"/>
      <c r="LF233" s="187"/>
      <c r="LG233" s="188"/>
      <c r="LH233" s="188"/>
      <c r="LI233" s="188"/>
      <c r="LJ233" s="189"/>
      <c r="LQ233" s="12"/>
      <c r="LR233" s="7"/>
    </row>
    <row r="234" spans="3:330" ht="5.0999999999999996" customHeight="1" thickBot="1" x14ac:dyDescent="0.35">
      <c r="C234" s="11"/>
      <c r="D234" s="13"/>
      <c r="Q234" s="198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  <c r="AD234" s="199"/>
      <c r="AE234" s="199"/>
      <c r="AF234" s="199"/>
      <c r="AG234" s="199"/>
      <c r="AH234" s="199"/>
      <c r="AI234" s="199"/>
      <c r="AJ234" s="199"/>
      <c r="AK234" s="199"/>
      <c r="AL234" s="199"/>
      <c r="AM234" s="199"/>
      <c r="AN234" s="199"/>
      <c r="AO234" s="199"/>
      <c r="AP234" s="199"/>
      <c r="AQ234" s="199"/>
      <c r="AR234" s="199"/>
      <c r="AS234" s="199"/>
      <c r="AT234" s="199"/>
      <c r="AU234" s="199"/>
      <c r="AV234" s="199"/>
      <c r="AW234" s="199"/>
      <c r="AX234" s="199"/>
      <c r="AY234" s="199"/>
      <c r="AZ234" s="199"/>
      <c r="BA234" s="199"/>
      <c r="BB234" s="199"/>
      <c r="BC234" s="199"/>
      <c r="BD234" s="199"/>
      <c r="BE234" s="200"/>
      <c r="BF234" s="219"/>
      <c r="BG234" s="220"/>
      <c r="BH234" s="220"/>
      <c r="BI234" s="220"/>
      <c r="BJ234" s="221"/>
      <c r="JG234" s="154"/>
      <c r="JN234" s="23"/>
      <c r="JO234" s="31"/>
      <c r="JP234" s="31"/>
      <c r="JQ234" s="187"/>
      <c r="JR234" s="188"/>
      <c r="JS234" s="188"/>
      <c r="JT234" s="188"/>
      <c r="JU234" s="188"/>
      <c r="JV234" s="188"/>
      <c r="JW234" s="188"/>
      <c r="JX234" s="188"/>
      <c r="JY234" s="188"/>
      <c r="JZ234" s="188"/>
      <c r="KA234" s="188"/>
      <c r="KB234" s="188"/>
      <c r="KC234" s="188"/>
      <c r="KD234" s="188"/>
      <c r="KE234" s="188"/>
      <c r="KF234" s="188"/>
      <c r="KG234" s="188"/>
      <c r="KH234" s="188"/>
      <c r="KI234" s="188"/>
      <c r="KJ234" s="188"/>
      <c r="KK234" s="188"/>
      <c r="KL234" s="188"/>
      <c r="KM234" s="188"/>
      <c r="KN234" s="188"/>
      <c r="KO234" s="188"/>
      <c r="KP234" s="188"/>
      <c r="KQ234" s="188"/>
      <c r="KR234" s="188"/>
      <c r="KS234" s="188"/>
      <c r="KT234" s="188"/>
      <c r="KU234" s="188"/>
      <c r="KV234" s="188"/>
      <c r="KW234" s="188"/>
      <c r="KX234" s="188"/>
      <c r="KY234" s="188"/>
      <c r="KZ234" s="188"/>
      <c r="LA234" s="188"/>
      <c r="LB234" s="188"/>
      <c r="LC234" s="188"/>
      <c r="LD234" s="188"/>
      <c r="LE234" s="189"/>
      <c r="LF234" s="187"/>
      <c r="LG234" s="188"/>
      <c r="LH234" s="188"/>
      <c r="LI234" s="188"/>
      <c r="LJ234" s="189"/>
      <c r="LQ234" s="12"/>
      <c r="LR234" s="7"/>
    </row>
    <row r="235" spans="3:330" ht="5.0999999999999996" customHeight="1" x14ac:dyDescent="0.3">
      <c r="C235" s="11"/>
      <c r="D235" s="13"/>
      <c r="Q235" s="198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  <c r="AS235" s="199"/>
      <c r="AT235" s="199"/>
      <c r="AU235" s="199"/>
      <c r="AV235" s="199"/>
      <c r="AW235" s="199"/>
      <c r="AX235" s="199"/>
      <c r="AY235" s="199"/>
      <c r="AZ235" s="199"/>
      <c r="BA235" s="199"/>
      <c r="BB235" s="199"/>
      <c r="BC235" s="199"/>
      <c r="BD235" s="199"/>
      <c r="BE235" s="200"/>
      <c r="BF235" s="219"/>
      <c r="BG235" s="220"/>
      <c r="BH235" s="220"/>
      <c r="BI235" s="220"/>
      <c r="BJ235" s="221"/>
      <c r="JG235" s="154"/>
      <c r="JN235" s="16"/>
      <c r="JQ235" s="187"/>
      <c r="JR235" s="188"/>
      <c r="JS235" s="188"/>
      <c r="JT235" s="188"/>
      <c r="JU235" s="188"/>
      <c r="JV235" s="188"/>
      <c r="JW235" s="188"/>
      <c r="JX235" s="188"/>
      <c r="JY235" s="188"/>
      <c r="JZ235" s="188"/>
      <c r="KA235" s="188"/>
      <c r="KB235" s="188"/>
      <c r="KC235" s="188"/>
      <c r="KD235" s="188"/>
      <c r="KE235" s="188"/>
      <c r="KF235" s="188"/>
      <c r="KG235" s="188"/>
      <c r="KH235" s="188"/>
      <c r="KI235" s="188"/>
      <c r="KJ235" s="188"/>
      <c r="KK235" s="188"/>
      <c r="KL235" s="188"/>
      <c r="KM235" s="188"/>
      <c r="KN235" s="188"/>
      <c r="KO235" s="188"/>
      <c r="KP235" s="188"/>
      <c r="KQ235" s="188"/>
      <c r="KR235" s="188"/>
      <c r="KS235" s="188"/>
      <c r="KT235" s="188"/>
      <c r="KU235" s="188"/>
      <c r="KV235" s="188"/>
      <c r="KW235" s="188"/>
      <c r="KX235" s="188"/>
      <c r="KY235" s="188"/>
      <c r="KZ235" s="188"/>
      <c r="LA235" s="188"/>
      <c r="LB235" s="188"/>
      <c r="LC235" s="188"/>
      <c r="LD235" s="188"/>
      <c r="LE235" s="189"/>
      <c r="LF235" s="187"/>
      <c r="LG235" s="188"/>
      <c r="LH235" s="188"/>
      <c r="LI235" s="188"/>
      <c r="LJ235" s="189"/>
      <c r="LQ235" s="12"/>
      <c r="LR235" s="7"/>
    </row>
    <row r="236" spans="3:330" ht="5.0999999999999996" customHeight="1" x14ac:dyDescent="0.3">
      <c r="C236" s="11"/>
      <c r="D236" s="13"/>
      <c r="Q236" s="198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199"/>
      <c r="AM236" s="199"/>
      <c r="AN236" s="199"/>
      <c r="AO236" s="199"/>
      <c r="AP236" s="199"/>
      <c r="AQ236" s="199"/>
      <c r="AR236" s="199"/>
      <c r="AS236" s="199"/>
      <c r="AT236" s="199"/>
      <c r="AU236" s="199"/>
      <c r="AV236" s="199"/>
      <c r="AW236" s="199"/>
      <c r="AX236" s="199"/>
      <c r="AY236" s="199"/>
      <c r="AZ236" s="199"/>
      <c r="BA236" s="199"/>
      <c r="BB236" s="199"/>
      <c r="BC236" s="199"/>
      <c r="BD236" s="199"/>
      <c r="BE236" s="200"/>
      <c r="BF236" s="219"/>
      <c r="BG236" s="220"/>
      <c r="BH236" s="220"/>
      <c r="BI236" s="220"/>
      <c r="BJ236" s="221"/>
      <c r="JG236" s="154"/>
      <c r="JN236" s="16"/>
      <c r="JQ236" s="187"/>
      <c r="JR236" s="188"/>
      <c r="JS236" s="188"/>
      <c r="JT236" s="188"/>
      <c r="JU236" s="188"/>
      <c r="JV236" s="188"/>
      <c r="JW236" s="188"/>
      <c r="JX236" s="188"/>
      <c r="JY236" s="188"/>
      <c r="JZ236" s="188"/>
      <c r="KA236" s="188"/>
      <c r="KB236" s="188"/>
      <c r="KC236" s="188"/>
      <c r="KD236" s="188"/>
      <c r="KE236" s="188"/>
      <c r="KF236" s="188"/>
      <c r="KG236" s="188"/>
      <c r="KH236" s="188"/>
      <c r="KI236" s="188"/>
      <c r="KJ236" s="188"/>
      <c r="KK236" s="188"/>
      <c r="KL236" s="188"/>
      <c r="KM236" s="188"/>
      <c r="KN236" s="188"/>
      <c r="KO236" s="188"/>
      <c r="KP236" s="188"/>
      <c r="KQ236" s="188"/>
      <c r="KR236" s="188"/>
      <c r="KS236" s="188"/>
      <c r="KT236" s="188"/>
      <c r="KU236" s="188"/>
      <c r="KV236" s="188"/>
      <c r="KW236" s="188"/>
      <c r="KX236" s="188"/>
      <c r="KY236" s="188"/>
      <c r="KZ236" s="188"/>
      <c r="LA236" s="188"/>
      <c r="LB236" s="188"/>
      <c r="LC236" s="188"/>
      <c r="LD236" s="188"/>
      <c r="LE236" s="189"/>
      <c r="LF236" s="187"/>
      <c r="LG236" s="188"/>
      <c r="LH236" s="188"/>
      <c r="LI236" s="188"/>
      <c r="LJ236" s="189"/>
      <c r="LQ236" s="12"/>
      <c r="LR236" s="7"/>
    </row>
    <row r="237" spans="3:330" ht="5.0999999999999996" customHeight="1" x14ac:dyDescent="0.3">
      <c r="C237" s="11"/>
      <c r="D237" s="13"/>
      <c r="Q237" s="198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  <c r="AD237" s="199"/>
      <c r="AE237" s="199"/>
      <c r="AF237" s="199"/>
      <c r="AG237" s="199"/>
      <c r="AH237" s="199"/>
      <c r="AI237" s="199"/>
      <c r="AJ237" s="199"/>
      <c r="AK237" s="199"/>
      <c r="AL237" s="199"/>
      <c r="AM237" s="199"/>
      <c r="AN237" s="199"/>
      <c r="AO237" s="199"/>
      <c r="AP237" s="199"/>
      <c r="AQ237" s="199"/>
      <c r="AR237" s="199"/>
      <c r="AS237" s="199"/>
      <c r="AT237" s="199"/>
      <c r="AU237" s="199"/>
      <c r="AV237" s="199"/>
      <c r="AW237" s="199"/>
      <c r="AX237" s="199"/>
      <c r="AY237" s="199"/>
      <c r="AZ237" s="199"/>
      <c r="BA237" s="199"/>
      <c r="BB237" s="199"/>
      <c r="BC237" s="199"/>
      <c r="BD237" s="199"/>
      <c r="BE237" s="200"/>
      <c r="BF237" s="219"/>
      <c r="BG237" s="220"/>
      <c r="BH237" s="220"/>
      <c r="BI237" s="220"/>
      <c r="BJ237" s="221"/>
      <c r="JG237" s="154"/>
      <c r="JN237" s="16"/>
      <c r="JQ237" s="187"/>
      <c r="JR237" s="188"/>
      <c r="JS237" s="188"/>
      <c r="JT237" s="188"/>
      <c r="JU237" s="188"/>
      <c r="JV237" s="188"/>
      <c r="JW237" s="188"/>
      <c r="JX237" s="188"/>
      <c r="JY237" s="188"/>
      <c r="JZ237" s="188"/>
      <c r="KA237" s="188"/>
      <c r="KB237" s="188"/>
      <c r="KC237" s="188"/>
      <c r="KD237" s="188"/>
      <c r="KE237" s="188"/>
      <c r="KF237" s="188"/>
      <c r="KG237" s="188"/>
      <c r="KH237" s="188"/>
      <c r="KI237" s="188"/>
      <c r="KJ237" s="188"/>
      <c r="KK237" s="188"/>
      <c r="KL237" s="188"/>
      <c r="KM237" s="188"/>
      <c r="KN237" s="188"/>
      <c r="KO237" s="188"/>
      <c r="KP237" s="188"/>
      <c r="KQ237" s="188"/>
      <c r="KR237" s="188"/>
      <c r="KS237" s="188"/>
      <c r="KT237" s="188"/>
      <c r="KU237" s="188"/>
      <c r="KV237" s="188"/>
      <c r="KW237" s="188"/>
      <c r="KX237" s="188"/>
      <c r="KY237" s="188"/>
      <c r="KZ237" s="188"/>
      <c r="LA237" s="188"/>
      <c r="LB237" s="188"/>
      <c r="LC237" s="188"/>
      <c r="LD237" s="188"/>
      <c r="LE237" s="189"/>
      <c r="LF237" s="187"/>
      <c r="LG237" s="188"/>
      <c r="LH237" s="188"/>
      <c r="LI237" s="188"/>
      <c r="LJ237" s="189"/>
      <c r="LQ237" s="12"/>
      <c r="LR237" s="7"/>
    </row>
    <row r="238" spans="3:330" ht="5.0999999999999996" customHeight="1" x14ac:dyDescent="0.3">
      <c r="C238" s="11"/>
      <c r="D238" s="13"/>
      <c r="Q238" s="198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  <c r="AD238" s="199"/>
      <c r="AE238" s="199"/>
      <c r="AF238" s="199"/>
      <c r="AG238" s="199"/>
      <c r="AH238" s="199"/>
      <c r="AI238" s="199"/>
      <c r="AJ238" s="199"/>
      <c r="AK238" s="199"/>
      <c r="AL238" s="199"/>
      <c r="AM238" s="199"/>
      <c r="AN238" s="199"/>
      <c r="AO238" s="199"/>
      <c r="AP238" s="199"/>
      <c r="AQ238" s="199"/>
      <c r="AR238" s="199"/>
      <c r="AS238" s="199"/>
      <c r="AT238" s="199"/>
      <c r="AU238" s="199"/>
      <c r="AV238" s="199"/>
      <c r="AW238" s="199"/>
      <c r="AX238" s="199"/>
      <c r="AY238" s="199"/>
      <c r="AZ238" s="199"/>
      <c r="BA238" s="199"/>
      <c r="BB238" s="199"/>
      <c r="BC238" s="199"/>
      <c r="BD238" s="199"/>
      <c r="BE238" s="200"/>
      <c r="BF238" s="219"/>
      <c r="BG238" s="220"/>
      <c r="BH238" s="220"/>
      <c r="BI238" s="220"/>
      <c r="BJ238" s="221"/>
      <c r="JG238" s="154"/>
      <c r="JN238" s="16"/>
      <c r="JQ238" s="187"/>
      <c r="JR238" s="188"/>
      <c r="JS238" s="188"/>
      <c r="JT238" s="188"/>
      <c r="JU238" s="188"/>
      <c r="JV238" s="188"/>
      <c r="JW238" s="188"/>
      <c r="JX238" s="188"/>
      <c r="JY238" s="188"/>
      <c r="JZ238" s="188"/>
      <c r="KA238" s="188"/>
      <c r="KB238" s="188"/>
      <c r="KC238" s="188"/>
      <c r="KD238" s="188"/>
      <c r="KE238" s="188"/>
      <c r="KF238" s="188"/>
      <c r="KG238" s="188"/>
      <c r="KH238" s="188"/>
      <c r="KI238" s="188"/>
      <c r="KJ238" s="188"/>
      <c r="KK238" s="188"/>
      <c r="KL238" s="188"/>
      <c r="KM238" s="188"/>
      <c r="KN238" s="188"/>
      <c r="KO238" s="188"/>
      <c r="KP238" s="188"/>
      <c r="KQ238" s="188"/>
      <c r="KR238" s="188"/>
      <c r="KS238" s="188"/>
      <c r="KT238" s="188"/>
      <c r="KU238" s="188"/>
      <c r="KV238" s="188"/>
      <c r="KW238" s="188"/>
      <c r="KX238" s="188"/>
      <c r="KY238" s="188"/>
      <c r="KZ238" s="188"/>
      <c r="LA238" s="188"/>
      <c r="LB238" s="188"/>
      <c r="LC238" s="188"/>
      <c r="LD238" s="188"/>
      <c r="LE238" s="189"/>
      <c r="LF238" s="187"/>
      <c r="LG238" s="188"/>
      <c r="LH238" s="188"/>
      <c r="LI238" s="188"/>
      <c r="LJ238" s="189"/>
      <c r="LQ238" s="12"/>
      <c r="LR238" s="7"/>
    </row>
    <row r="239" spans="3:330" ht="5.0999999999999996" customHeight="1" x14ac:dyDescent="0.3">
      <c r="C239" s="11"/>
      <c r="D239" s="13"/>
      <c r="Q239" s="198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  <c r="AS239" s="199"/>
      <c r="AT239" s="199"/>
      <c r="AU239" s="199"/>
      <c r="AV239" s="199"/>
      <c r="AW239" s="199"/>
      <c r="AX239" s="199"/>
      <c r="AY239" s="199"/>
      <c r="AZ239" s="199"/>
      <c r="BA239" s="199"/>
      <c r="BB239" s="199"/>
      <c r="BC239" s="199"/>
      <c r="BD239" s="199"/>
      <c r="BE239" s="200"/>
      <c r="BF239" s="219"/>
      <c r="BG239" s="220"/>
      <c r="BH239" s="220"/>
      <c r="BI239" s="220"/>
      <c r="BJ239" s="221"/>
      <c r="JG239" s="154"/>
      <c r="JN239" s="16"/>
      <c r="JQ239" s="187"/>
      <c r="JR239" s="188"/>
      <c r="JS239" s="188"/>
      <c r="JT239" s="188"/>
      <c r="JU239" s="188"/>
      <c r="JV239" s="188"/>
      <c r="JW239" s="188"/>
      <c r="JX239" s="188"/>
      <c r="JY239" s="188"/>
      <c r="JZ239" s="188"/>
      <c r="KA239" s="188"/>
      <c r="KB239" s="188"/>
      <c r="KC239" s="188"/>
      <c r="KD239" s="188"/>
      <c r="KE239" s="188"/>
      <c r="KF239" s="188"/>
      <c r="KG239" s="188"/>
      <c r="KH239" s="188"/>
      <c r="KI239" s="188"/>
      <c r="KJ239" s="188"/>
      <c r="KK239" s="188"/>
      <c r="KL239" s="188"/>
      <c r="KM239" s="188"/>
      <c r="KN239" s="188"/>
      <c r="KO239" s="188"/>
      <c r="KP239" s="188"/>
      <c r="KQ239" s="188"/>
      <c r="KR239" s="188"/>
      <c r="KS239" s="188"/>
      <c r="KT239" s="188"/>
      <c r="KU239" s="188"/>
      <c r="KV239" s="188"/>
      <c r="KW239" s="188"/>
      <c r="KX239" s="188"/>
      <c r="KY239" s="188"/>
      <c r="KZ239" s="188"/>
      <c r="LA239" s="188"/>
      <c r="LB239" s="188"/>
      <c r="LC239" s="188"/>
      <c r="LD239" s="188"/>
      <c r="LE239" s="189"/>
      <c r="LF239" s="187"/>
      <c r="LG239" s="188"/>
      <c r="LH239" s="188"/>
      <c r="LI239" s="188"/>
      <c r="LJ239" s="189"/>
      <c r="LQ239" s="12"/>
      <c r="LR239" s="7"/>
    </row>
    <row r="240" spans="3:330" ht="5.0999999999999996" customHeight="1" x14ac:dyDescent="0.3">
      <c r="C240" s="11"/>
      <c r="D240" s="13"/>
      <c r="Q240" s="201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  <c r="AV240" s="202"/>
      <c r="AW240" s="202"/>
      <c r="AX240" s="202"/>
      <c r="AY240" s="202"/>
      <c r="AZ240" s="202"/>
      <c r="BA240" s="202"/>
      <c r="BB240" s="202"/>
      <c r="BC240" s="202"/>
      <c r="BD240" s="202"/>
      <c r="BE240" s="203"/>
      <c r="BF240" s="222"/>
      <c r="BG240" s="223"/>
      <c r="BH240" s="223"/>
      <c r="BI240" s="223"/>
      <c r="BJ240" s="224"/>
      <c r="JG240" s="154"/>
      <c r="JN240" s="16"/>
      <c r="JQ240" s="190"/>
      <c r="JR240" s="191"/>
      <c r="JS240" s="191"/>
      <c r="JT240" s="191"/>
      <c r="JU240" s="191"/>
      <c r="JV240" s="191"/>
      <c r="JW240" s="191"/>
      <c r="JX240" s="191"/>
      <c r="JY240" s="191"/>
      <c r="JZ240" s="191"/>
      <c r="KA240" s="191"/>
      <c r="KB240" s="191"/>
      <c r="KC240" s="191"/>
      <c r="KD240" s="191"/>
      <c r="KE240" s="191"/>
      <c r="KF240" s="191"/>
      <c r="KG240" s="191"/>
      <c r="KH240" s="191"/>
      <c r="KI240" s="191"/>
      <c r="KJ240" s="191"/>
      <c r="KK240" s="191"/>
      <c r="KL240" s="191"/>
      <c r="KM240" s="191"/>
      <c r="KN240" s="191"/>
      <c r="KO240" s="191"/>
      <c r="KP240" s="191"/>
      <c r="KQ240" s="191"/>
      <c r="KR240" s="191"/>
      <c r="KS240" s="191"/>
      <c r="KT240" s="191"/>
      <c r="KU240" s="191"/>
      <c r="KV240" s="191"/>
      <c r="KW240" s="191"/>
      <c r="KX240" s="191"/>
      <c r="KY240" s="191"/>
      <c r="KZ240" s="191"/>
      <c r="LA240" s="191"/>
      <c r="LB240" s="191"/>
      <c r="LC240" s="191"/>
      <c r="LD240" s="191"/>
      <c r="LE240" s="192"/>
      <c r="LF240" s="190"/>
      <c r="LG240" s="191"/>
      <c r="LH240" s="191"/>
      <c r="LI240" s="191"/>
      <c r="LJ240" s="192"/>
      <c r="LQ240" s="12"/>
      <c r="LR240" s="7"/>
    </row>
    <row r="241" spans="3:330" ht="5.0999999999999996" customHeight="1" x14ac:dyDescent="0.3">
      <c r="C241" s="11"/>
      <c r="D241" s="13"/>
      <c r="JG241" s="154"/>
      <c r="JN241" s="16"/>
      <c r="KL241" s="152"/>
      <c r="LQ241" s="12"/>
      <c r="LR241" s="7"/>
    </row>
    <row r="242" spans="3:330" ht="5.0999999999999996" customHeight="1" x14ac:dyDescent="0.3">
      <c r="C242" s="11"/>
      <c r="D242" s="13"/>
      <c r="JG242" s="154"/>
      <c r="JN242" s="16"/>
      <c r="JQ242" s="184" t="s">
        <v>64</v>
      </c>
      <c r="JR242" s="185"/>
      <c r="JS242" s="185"/>
      <c r="JT242" s="185"/>
      <c r="JU242" s="185"/>
      <c r="JV242" s="185"/>
      <c r="JW242" s="185"/>
      <c r="JX242" s="185"/>
      <c r="JY242" s="185"/>
      <c r="JZ242" s="185"/>
      <c r="KA242" s="185"/>
      <c r="KB242" s="185"/>
      <c r="KC242" s="185"/>
      <c r="KD242" s="185"/>
      <c r="KE242" s="185"/>
      <c r="KF242" s="185"/>
      <c r="KG242" s="185"/>
      <c r="KH242" s="185"/>
      <c r="KI242" s="185"/>
      <c r="KJ242" s="185"/>
      <c r="KK242" s="185"/>
      <c r="KL242" s="185"/>
      <c r="KM242" s="185"/>
      <c r="KN242" s="185"/>
      <c r="KO242" s="185"/>
      <c r="KP242" s="185"/>
      <c r="KQ242" s="185"/>
      <c r="KR242" s="185"/>
      <c r="KS242" s="185"/>
      <c r="KT242" s="185"/>
      <c r="KU242" s="185"/>
      <c r="KV242" s="185"/>
      <c r="KW242" s="185"/>
      <c r="KX242" s="185"/>
      <c r="KY242" s="185"/>
      <c r="KZ242" s="185"/>
      <c r="LA242" s="185"/>
      <c r="LB242" s="185"/>
      <c r="LC242" s="185"/>
      <c r="LD242" s="185"/>
      <c r="LE242" s="186"/>
      <c r="LF242" s="184">
        <v>0</v>
      </c>
      <c r="LG242" s="185"/>
      <c r="LH242" s="185"/>
      <c r="LI242" s="185"/>
      <c r="LJ242" s="186"/>
      <c r="LQ242" s="12"/>
      <c r="LR242" s="7"/>
    </row>
    <row r="243" spans="3:330" ht="5.0999999999999996" customHeight="1" x14ac:dyDescent="0.3">
      <c r="C243" s="11"/>
      <c r="D243" s="13"/>
      <c r="JG243" s="154"/>
      <c r="JN243" s="16"/>
      <c r="JQ243" s="187"/>
      <c r="JR243" s="188"/>
      <c r="JS243" s="188"/>
      <c r="JT243" s="188"/>
      <c r="JU243" s="188"/>
      <c r="JV243" s="188"/>
      <c r="JW243" s="188"/>
      <c r="JX243" s="188"/>
      <c r="JY243" s="188"/>
      <c r="JZ243" s="188"/>
      <c r="KA243" s="188"/>
      <c r="KB243" s="188"/>
      <c r="KC243" s="188"/>
      <c r="KD243" s="188"/>
      <c r="KE243" s="188"/>
      <c r="KF243" s="188"/>
      <c r="KG243" s="188"/>
      <c r="KH243" s="188"/>
      <c r="KI243" s="188"/>
      <c r="KJ243" s="188"/>
      <c r="KK243" s="188"/>
      <c r="KL243" s="188"/>
      <c r="KM243" s="188"/>
      <c r="KN243" s="188"/>
      <c r="KO243" s="188"/>
      <c r="KP243" s="188"/>
      <c r="KQ243" s="188"/>
      <c r="KR243" s="188"/>
      <c r="KS243" s="188"/>
      <c r="KT243" s="188"/>
      <c r="KU243" s="188"/>
      <c r="KV243" s="188"/>
      <c r="KW243" s="188"/>
      <c r="KX243" s="188"/>
      <c r="KY243" s="188"/>
      <c r="KZ243" s="188"/>
      <c r="LA243" s="188"/>
      <c r="LB243" s="188"/>
      <c r="LC243" s="188"/>
      <c r="LD243" s="188"/>
      <c r="LE243" s="189"/>
      <c r="LF243" s="187"/>
      <c r="LG243" s="188"/>
      <c r="LH243" s="188"/>
      <c r="LI243" s="188"/>
      <c r="LJ243" s="189"/>
      <c r="LQ243" s="12"/>
      <c r="LR243" s="7"/>
    </row>
    <row r="244" spans="3:330" ht="5.0999999999999996" customHeight="1" thickBot="1" x14ac:dyDescent="0.35">
      <c r="C244" s="11"/>
      <c r="D244" s="13"/>
      <c r="JG244" s="154"/>
      <c r="JN244" s="16"/>
      <c r="JQ244" s="187"/>
      <c r="JR244" s="188"/>
      <c r="JS244" s="188"/>
      <c r="JT244" s="188"/>
      <c r="JU244" s="188"/>
      <c r="JV244" s="188"/>
      <c r="JW244" s="188"/>
      <c r="JX244" s="188"/>
      <c r="JY244" s="188"/>
      <c r="JZ244" s="188"/>
      <c r="KA244" s="188"/>
      <c r="KB244" s="188"/>
      <c r="KC244" s="188"/>
      <c r="KD244" s="188"/>
      <c r="KE244" s="188"/>
      <c r="KF244" s="188"/>
      <c r="KG244" s="188"/>
      <c r="KH244" s="188"/>
      <c r="KI244" s="188"/>
      <c r="KJ244" s="188"/>
      <c r="KK244" s="188"/>
      <c r="KL244" s="188"/>
      <c r="KM244" s="188"/>
      <c r="KN244" s="188"/>
      <c r="KO244" s="188"/>
      <c r="KP244" s="188"/>
      <c r="KQ244" s="188"/>
      <c r="KR244" s="188"/>
      <c r="KS244" s="188"/>
      <c r="KT244" s="188"/>
      <c r="KU244" s="188"/>
      <c r="KV244" s="188"/>
      <c r="KW244" s="188"/>
      <c r="KX244" s="188"/>
      <c r="KY244" s="188"/>
      <c r="KZ244" s="188"/>
      <c r="LA244" s="188"/>
      <c r="LB244" s="188"/>
      <c r="LC244" s="188"/>
      <c r="LD244" s="188"/>
      <c r="LE244" s="189"/>
      <c r="LF244" s="187"/>
      <c r="LG244" s="188"/>
      <c r="LH244" s="188"/>
      <c r="LI244" s="188"/>
      <c r="LJ244" s="189"/>
      <c r="LQ244" s="12"/>
      <c r="LR244" s="7"/>
    </row>
    <row r="245" spans="3:330" ht="4.5" customHeight="1" x14ac:dyDescent="0.3">
      <c r="C245" s="11"/>
      <c r="D245" s="13"/>
      <c r="GA245" s="329" t="s">
        <v>154</v>
      </c>
      <c r="GB245" s="330"/>
      <c r="GC245" s="330"/>
      <c r="GD245" s="330"/>
      <c r="GE245" s="330"/>
      <c r="GF245" s="330"/>
      <c r="GG245" s="330"/>
      <c r="GH245" s="330"/>
      <c r="GI245" s="330"/>
      <c r="GJ245" s="330"/>
      <c r="GK245" s="330"/>
      <c r="GL245" s="330"/>
      <c r="GM245" s="330"/>
      <c r="GN245" s="330"/>
      <c r="GO245" s="330"/>
      <c r="GP245" s="330"/>
      <c r="GQ245" s="330"/>
      <c r="GR245" s="330"/>
      <c r="GS245" s="330"/>
      <c r="GT245" s="330"/>
      <c r="GU245" s="330"/>
      <c r="GV245" s="330"/>
      <c r="GW245" s="330"/>
      <c r="GX245" s="330"/>
      <c r="GY245" s="330"/>
      <c r="GZ245" s="330"/>
      <c r="HA245" s="330"/>
      <c r="HB245" s="330"/>
      <c r="HC245" s="330"/>
      <c r="HD245" s="330"/>
      <c r="HE245" s="330"/>
      <c r="HF245" s="330"/>
      <c r="HG245" s="330"/>
      <c r="HH245" s="330"/>
      <c r="HI245" s="330"/>
      <c r="HJ245" s="330"/>
      <c r="HK245" s="330"/>
      <c r="HL245" s="330"/>
      <c r="HM245" s="330"/>
      <c r="HN245" s="330"/>
      <c r="HO245" s="330"/>
      <c r="HP245" s="330"/>
      <c r="HQ245" s="330"/>
      <c r="HR245" s="330"/>
      <c r="HS245" s="330"/>
      <c r="HT245" s="330"/>
      <c r="HU245" s="330"/>
      <c r="HV245" s="330"/>
      <c r="HW245" s="330"/>
      <c r="HX245" s="331"/>
      <c r="HY245" s="285">
        <f>LF117</f>
        <v>31</v>
      </c>
      <c r="HZ245" s="285"/>
      <c r="IA245" s="285"/>
      <c r="IB245" s="285"/>
      <c r="IC245" s="285"/>
      <c r="ID245" s="285"/>
      <c r="IE245" s="285"/>
      <c r="IF245" s="285"/>
      <c r="IG245" s="285"/>
      <c r="IH245" s="285"/>
      <c r="II245" s="285"/>
      <c r="IJ245" s="286"/>
      <c r="JG245" s="154"/>
      <c r="JN245" s="16"/>
      <c r="JQ245" s="187"/>
      <c r="JR245" s="188"/>
      <c r="JS245" s="188"/>
      <c r="JT245" s="188"/>
      <c r="JU245" s="188"/>
      <c r="JV245" s="188"/>
      <c r="JW245" s="188"/>
      <c r="JX245" s="188"/>
      <c r="JY245" s="188"/>
      <c r="JZ245" s="188"/>
      <c r="KA245" s="188"/>
      <c r="KB245" s="188"/>
      <c r="KC245" s="188"/>
      <c r="KD245" s="188"/>
      <c r="KE245" s="188"/>
      <c r="KF245" s="188"/>
      <c r="KG245" s="188"/>
      <c r="KH245" s="188"/>
      <c r="KI245" s="188"/>
      <c r="KJ245" s="188"/>
      <c r="KK245" s="188"/>
      <c r="KL245" s="188"/>
      <c r="KM245" s="188"/>
      <c r="KN245" s="188"/>
      <c r="KO245" s="188"/>
      <c r="KP245" s="188"/>
      <c r="KQ245" s="188"/>
      <c r="KR245" s="188"/>
      <c r="KS245" s="188"/>
      <c r="KT245" s="188"/>
      <c r="KU245" s="188"/>
      <c r="KV245" s="188"/>
      <c r="KW245" s="188"/>
      <c r="KX245" s="188"/>
      <c r="KY245" s="188"/>
      <c r="KZ245" s="188"/>
      <c r="LA245" s="188"/>
      <c r="LB245" s="188"/>
      <c r="LC245" s="188"/>
      <c r="LD245" s="188"/>
      <c r="LE245" s="189"/>
      <c r="LF245" s="187"/>
      <c r="LG245" s="188"/>
      <c r="LH245" s="188"/>
      <c r="LI245" s="188"/>
      <c r="LJ245" s="189"/>
      <c r="LQ245" s="12"/>
      <c r="LR245" s="7"/>
    </row>
    <row r="246" spans="3:330" ht="5.0999999999999996" customHeight="1" x14ac:dyDescent="0.3">
      <c r="C246" s="11"/>
      <c r="D246" s="13"/>
      <c r="GA246" s="332"/>
      <c r="GB246" s="333"/>
      <c r="GC246" s="333"/>
      <c r="GD246" s="333"/>
      <c r="GE246" s="333"/>
      <c r="GF246" s="333"/>
      <c r="GG246" s="333"/>
      <c r="GH246" s="333"/>
      <c r="GI246" s="333"/>
      <c r="GJ246" s="333"/>
      <c r="GK246" s="333"/>
      <c r="GL246" s="333"/>
      <c r="GM246" s="333"/>
      <c r="GN246" s="333"/>
      <c r="GO246" s="333"/>
      <c r="GP246" s="333"/>
      <c r="GQ246" s="333"/>
      <c r="GR246" s="333"/>
      <c r="GS246" s="333"/>
      <c r="GT246" s="333"/>
      <c r="GU246" s="333"/>
      <c r="GV246" s="333"/>
      <c r="GW246" s="333"/>
      <c r="GX246" s="333"/>
      <c r="GY246" s="333"/>
      <c r="GZ246" s="333"/>
      <c r="HA246" s="333"/>
      <c r="HB246" s="333"/>
      <c r="HC246" s="333"/>
      <c r="HD246" s="333"/>
      <c r="HE246" s="333"/>
      <c r="HF246" s="333"/>
      <c r="HG246" s="333"/>
      <c r="HH246" s="333"/>
      <c r="HI246" s="333"/>
      <c r="HJ246" s="333"/>
      <c r="HK246" s="333"/>
      <c r="HL246" s="333"/>
      <c r="HM246" s="333"/>
      <c r="HN246" s="333"/>
      <c r="HO246" s="333"/>
      <c r="HP246" s="333"/>
      <c r="HQ246" s="333"/>
      <c r="HR246" s="333"/>
      <c r="HS246" s="333"/>
      <c r="HT246" s="333"/>
      <c r="HU246" s="333"/>
      <c r="HV246" s="333"/>
      <c r="HW246" s="333"/>
      <c r="HX246" s="334"/>
      <c r="HY246" s="288"/>
      <c r="HZ246" s="288"/>
      <c r="IA246" s="288"/>
      <c r="IB246" s="288"/>
      <c r="IC246" s="288"/>
      <c r="ID246" s="288"/>
      <c r="IE246" s="288"/>
      <c r="IF246" s="288"/>
      <c r="IG246" s="288"/>
      <c r="IH246" s="288"/>
      <c r="II246" s="288"/>
      <c r="IJ246" s="289"/>
      <c r="JH246" s="155"/>
      <c r="JN246" s="16"/>
      <c r="JQ246" s="187"/>
      <c r="JR246" s="188"/>
      <c r="JS246" s="188"/>
      <c r="JT246" s="188"/>
      <c r="JU246" s="188"/>
      <c r="JV246" s="188"/>
      <c r="JW246" s="188"/>
      <c r="JX246" s="188"/>
      <c r="JY246" s="188"/>
      <c r="JZ246" s="188"/>
      <c r="KA246" s="188"/>
      <c r="KB246" s="188"/>
      <c r="KC246" s="188"/>
      <c r="KD246" s="188"/>
      <c r="KE246" s="188"/>
      <c r="KF246" s="188"/>
      <c r="KG246" s="188"/>
      <c r="KH246" s="188"/>
      <c r="KI246" s="188"/>
      <c r="KJ246" s="188"/>
      <c r="KK246" s="188"/>
      <c r="KL246" s="188"/>
      <c r="KM246" s="188"/>
      <c r="KN246" s="188"/>
      <c r="KO246" s="188"/>
      <c r="KP246" s="188"/>
      <c r="KQ246" s="188"/>
      <c r="KR246" s="188"/>
      <c r="KS246" s="188"/>
      <c r="KT246" s="188"/>
      <c r="KU246" s="188"/>
      <c r="KV246" s="188"/>
      <c r="KW246" s="188"/>
      <c r="KX246" s="188"/>
      <c r="KY246" s="188"/>
      <c r="KZ246" s="188"/>
      <c r="LA246" s="188"/>
      <c r="LB246" s="188"/>
      <c r="LC246" s="188"/>
      <c r="LD246" s="188"/>
      <c r="LE246" s="189"/>
      <c r="LF246" s="187"/>
      <c r="LG246" s="188"/>
      <c r="LH246" s="188"/>
      <c r="LI246" s="188"/>
      <c r="LJ246" s="189"/>
      <c r="LQ246" s="12"/>
      <c r="LR246" s="7"/>
    </row>
    <row r="247" spans="3:330" ht="5.0999999999999996" customHeight="1" x14ac:dyDescent="0.3">
      <c r="C247" s="11"/>
      <c r="D247" s="13"/>
      <c r="GA247" s="332"/>
      <c r="GB247" s="333"/>
      <c r="GC247" s="333"/>
      <c r="GD247" s="333"/>
      <c r="GE247" s="333"/>
      <c r="GF247" s="333"/>
      <c r="GG247" s="333"/>
      <c r="GH247" s="333"/>
      <c r="GI247" s="333"/>
      <c r="GJ247" s="333"/>
      <c r="GK247" s="333"/>
      <c r="GL247" s="333"/>
      <c r="GM247" s="333"/>
      <c r="GN247" s="333"/>
      <c r="GO247" s="333"/>
      <c r="GP247" s="333"/>
      <c r="GQ247" s="333"/>
      <c r="GR247" s="333"/>
      <c r="GS247" s="333"/>
      <c r="GT247" s="333"/>
      <c r="GU247" s="333"/>
      <c r="GV247" s="333"/>
      <c r="GW247" s="333"/>
      <c r="GX247" s="333"/>
      <c r="GY247" s="333"/>
      <c r="GZ247" s="333"/>
      <c r="HA247" s="333"/>
      <c r="HB247" s="333"/>
      <c r="HC247" s="333"/>
      <c r="HD247" s="333"/>
      <c r="HE247" s="333"/>
      <c r="HF247" s="333"/>
      <c r="HG247" s="333"/>
      <c r="HH247" s="333"/>
      <c r="HI247" s="333"/>
      <c r="HJ247" s="333"/>
      <c r="HK247" s="333"/>
      <c r="HL247" s="333"/>
      <c r="HM247" s="333"/>
      <c r="HN247" s="333"/>
      <c r="HO247" s="333"/>
      <c r="HP247" s="333"/>
      <c r="HQ247" s="333"/>
      <c r="HR247" s="333"/>
      <c r="HS247" s="333"/>
      <c r="HT247" s="333"/>
      <c r="HU247" s="333"/>
      <c r="HV247" s="333"/>
      <c r="HW247" s="333"/>
      <c r="HX247" s="334"/>
      <c r="HY247" s="288"/>
      <c r="HZ247" s="288"/>
      <c r="IA247" s="288"/>
      <c r="IB247" s="288"/>
      <c r="IC247" s="288"/>
      <c r="ID247" s="288"/>
      <c r="IE247" s="288"/>
      <c r="IF247" s="288"/>
      <c r="IG247" s="288"/>
      <c r="IH247" s="288"/>
      <c r="II247" s="288"/>
      <c r="IJ247" s="289"/>
      <c r="JH247" s="155"/>
      <c r="JN247" s="16"/>
      <c r="JQ247" s="187"/>
      <c r="JR247" s="188"/>
      <c r="JS247" s="188"/>
      <c r="JT247" s="188"/>
      <c r="JU247" s="188"/>
      <c r="JV247" s="188"/>
      <c r="JW247" s="188"/>
      <c r="JX247" s="188"/>
      <c r="JY247" s="188"/>
      <c r="JZ247" s="188"/>
      <c r="KA247" s="188"/>
      <c r="KB247" s="188"/>
      <c r="KC247" s="188"/>
      <c r="KD247" s="188"/>
      <c r="KE247" s="188"/>
      <c r="KF247" s="188"/>
      <c r="KG247" s="188"/>
      <c r="KH247" s="188"/>
      <c r="KI247" s="188"/>
      <c r="KJ247" s="188"/>
      <c r="KK247" s="188"/>
      <c r="KL247" s="188"/>
      <c r="KM247" s="188"/>
      <c r="KN247" s="188"/>
      <c r="KO247" s="188"/>
      <c r="KP247" s="188"/>
      <c r="KQ247" s="188"/>
      <c r="KR247" s="188"/>
      <c r="KS247" s="188"/>
      <c r="KT247" s="188"/>
      <c r="KU247" s="188"/>
      <c r="KV247" s="188"/>
      <c r="KW247" s="188"/>
      <c r="KX247" s="188"/>
      <c r="KY247" s="188"/>
      <c r="KZ247" s="188"/>
      <c r="LA247" s="188"/>
      <c r="LB247" s="188"/>
      <c r="LC247" s="188"/>
      <c r="LD247" s="188"/>
      <c r="LE247" s="189"/>
      <c r="LF247" s="187"/>
      <c r="LG247" s="188"/>
      <c r="LH247" s="188"/>
      <c r="LI247" s="188"/>
      <c r="LJ247" s="189"/>
      <c r="LQ247" s="12"/>
      <c r="LR247" s="7"/>
    </row>
    <row r="248" spans="3:330" ht="5.0999999999999996" customHeight="1" x14ac:dyDescent="0.3">
      <c r="C248" s="11"/>
      <c r="D248" s="13"/>
      <c r="GA248" s="332"/>
      <c r="GB248" s="333"/>
      <c r="GC248" s="333"/>
      <c r="GD248" s="333"/>
      <c r="GE248" s="333"/>
      <c r="GF248" s="333"/>
      <c r="GG248" s="333"/>
      <c r="GH248" s="333"/>
      <c r="GI248" s="333"/>
      <c r="GJ248" s="333"/>
      <c r="GK248" s="333"/>
      <c r="GL248" s="333"/>
      <c r="GM248" s="333"/>
      <c r="GN248" s="333"/>
      <c r="GO248" s="333"/>
      <c r="GP248" s="333"/>
      <c r="GQ248" s="333"/>
      <c r="GR248" s="333"/>
      <c r="GS248" s="333"/>
      <c r="GT248" s="333"/>
      <c r="GU248" s="333"/>
      <c r="GV248" s="333"/>
      <c r="GW248" s="333"/>
      <c r="GX248" s="333"/>
      <c r="GY248" s="333"/>
      <c r="GZ248" s="333"/>
      <c r="HA248" s="333"/>
      <c r="HB248" s="333"/>
      <c r="HC248" s="333"/>
      <c r="HD248" s="333"/>
      <c r="HE248" s="333"/>
      <c r="HF248" s="333"/>
      <c r="HG248" s="333"/>
      <c r="HH248" s="333"/>
      <c r="HI248" s="333"/>
      <c r="HJ248" s="333"/>
      <c r="HK248" s="333"/>
      <c r="HL248" s="333"/>
      <c r="HM248" s="333"/>
      <c r="HN248" s="333"/>
      <c r="HO248" s="333"/>
      <c r="HP248" s="333"/>
      <c r="HQ248" s="333"/>
      <c r="HR248" s="333"/>
      <c r="HS248" s="333"/>
      <c r="HT248" s="333"/>
      <c r="HU248" s="333"/>
      <c r="HV248" s="333"/>
      <c r="HW248" s="333"/>
      <c r="HX248" s="334"/>
      <c r="HY248" s="288"/>
      <c r="HZ248" s="288"/>
      <c r="IA248" s="288"/>
      <c r="IB248" s="288"/>
      <c r="IC248" s="288"/>
      <c r="ID248" s="288"/>
      <c r="IE248" s="288"/>
      <c r="IF248" s="288"/>
      <c r="IG248" s="288"/>
      <c r="IH248" s="288"/>
      <c r="II248" s="288"/>
      <c r="IJ248" s="289"/>
      <c r="JH248" s="155"/>
      <c r="JN248" s="16"/>
      <c r="JQ248" s="187"/>
      <c r="JR248" s="188"/>
      <c r="JS248" s="188"/>
      <c r="JT248" s="188"/>
      <c r="JU248" s="188"/>
      <c r="JV248" s="188"/>
      <c r="JW248" s="188"/>
      <c r="JX248" s="188"/>
      <c r="JY248" s="188"/>
      <c r="JZ248" s="188"/>
      <c r="KA248" s="188"/>
      <c r="KB248" s="188"/>
      <c r="KC248" s="188"/>
      <c r="KD248" s="188"/>
      <c r="KE248" s="188"/>
      <c r="KF248" s="188"/>
      <c r="KG248" s="188"/>
      <c r="KH248" s="188"/>
      <c r="KI248" s="188"/>
      <c r="KJ248" s="188"/>
      <c r="KK248" s="188"/>
      <c r="KL248" s="188"/>
      <c r="KM248" s="188"/>
      <c r="KN248" s="188"/>
      <c r="KO248" s="188"/>
      <c r="KP248" s="188"/>
      <c r="KQ248" s="188"/>
      <c r="KR248" s="188"/>
      <c r="KS248" s="188"/>
      <c r="KT248" s="188"/>
      <c r="KU248" s="188"/>
      <c r="KV248" s="188"/>
      <c r="KW248" s="188"/>
      <c r="KX248" s="188"/>
      <c r="KY248" s="188"/>
      <c r="KZ248" s="188"/>
      <c r="LA248" s="188"/>
      <c r="LB248" s="188"/>
      <c r="LC248" s="188"/>
      <c r="LD248" s="188"/>
      <c r="LE248" s="189"/>
      <c r="LF248" s="187"/>
      <c r="LG248" s="188"/>
      <c r="LH248" s="188"/>
      <c r="LI248" s="188"/>
      <c r="LJ248" s="189"/>
      <c r="LQ248" s="12"/>
      <c r="LR248" s="7"/>
    </row>
    <row r="249" spans="3:330" ht="5.0999999999999996" customHeight="1" x14ac:dyDescent="0.3">
      <c r="C249" s="11"/>
      <c r="D249" s="13"/>
      <c r="GA249" s="332"/>
      <c r="GB249" s="333"/>
      <c r="GC249" s="333"/>
      <c r="GD249" s="333"/>
      <c r="GE249" s="333"/>
      <c r="GF249" s="333"/>
      <c r="GG249" s="333"/>
      <c r="GH249" s="333"/>
      <c r="GI249" s="333"/>
      <c r="GJ249" s="333"/>
      <c r="GK249" s="333"/>
      <c r="GL249" s="333"/>
      <c r="GM249" s="333"/>
      <c r="GN249" s="333"/>
      <c r="GO249" s="333"/>
      <c r="GP249" s="333"/>
      <c r="GQ249" s="333"/>
      <c r="GR249" s="333"/>
      <c r="GS249" s="333"/>
      <c r="GT249" s="333"/>
      <c r="GU249" s="333"/>
      <c r="GV249" s="333"/>
      <c r="GW249" s="333"/>
      <c r="GX249" s="333"/>
      <c r="GY249" s="333"/>
      <c r="GZ249" s="333"/>
      <c r="HA249" s="333"/>
      <c r="HB249" s="333"/>
      <c r="HC249" s="333"/>
      <c r="HD249" s="333"/>
      <c r="HE249" s="333"/>
      <c r="HF249" s="333"/>
      <c r="HG249" s="333"/>
      <c r="HH249" s="333"/>
      <c r="HI249" s="333"/>
      <c r="HJ249" s="333"/>
      <c r="HK249" s="333"/>
      <c r="HL249" s="333"/>
      <c r="HM249" s="333"/>
      <c r="HN249" s="333"/>
      <c r="HO249" s="333"/>
      <c r="HP249" s="333"/>
      <c r="HQ249" s="333"/>
      <c r="HR249" s="333"/>
      <c r="HS249" s="333"/>
      <c r="HT249" s="333"/>
      <c r="HU249" s="333"/>
      <c r="HV249" s="333"/>
      <c r="HW249" s="333"/>
      <c r="HX249" s="334"/>
      <c r="HY249" s="288"/>
      <c r="HZ249" s="288"/>
      <c r="IA249" s="288"/>
      <c r="IB249" s="288"/>
      <c r="IC249" s="288"/>
      <c r="ID249" s="288"/>
      <c r="IE249" s="288"/>
      <c r="IF249" s="288"/>
      <c r="IG249" s="288"/>
      <c r="IH249" s="288"/>
      <c r="II249" s="288"/>
      <c r="IJ249" s="289"/>
      <c r="JH249" s="155"/>
      <c r="JN249" s="16"/>
      <c r="JQ249" s="187"/>
      <c r="JR249" s="188"/>
      <c r="JS249" s="188"/>
      <c r="JT249" s="188"/>
      <c r="JU249" s="188"/>
      <c r="JV249" s="188"/>
      <c r="JW249" s="188"/>
      <c r="JX249" s="188"/>
      <c r="JY249" s="188"/>
      <c r="JZ249" s="188"/>
      <c r="KA249" s="188"/>
      <c r="KB249" s="188"/>
      <c r="KC249" s="188"/>
      <c r="KD249" s="188"/>
      <c r="KE249" s="188"/>
      <c r="KF249" s="188"/>
      <c r="KG249" s="188"/>
      <c r="KH249" s="188"/>
      <c r="KI249" s="188"/>
      <c r="KJ249" s="188"/>
      <c r="KK249" s="188"/>
      <c r="KL249" s="188"/>
      <c r="KM249" s="188"/>
      <c r="KN249" s="188"/>
      <c r="KO249" s="188"/>
      <c r="KP249" s="188"/>
      <c r="KQ249" s="188"/>
      <c r="KR249" s="188"/>
      <c r="KS249" s="188"/>
      <c r="KT249" s="188"/>
      <c r="KU249" s="188"/>
      <c r="KV249" s="188"/>
      <c r="KW249" s="188"/>
      <c r="KX249" s="188"/>
      <c r="KY249" s="188"/>
      <c r="KZ249" s="188"/>
      <c r="LA249" s="188"/>
      <c r="LB249" s="188"/>
      <c r="LC249" s="188"/>
      <c r="LD249" s="188"/>
      <c r="LE249" s="189"/>
      <c r="LF249" s="187"/>
      <c r="LG249" s="188"/>
      <c r="LH249" s="188"/>
      <c r="LI249" s="188"/>
      <c r="LJ249" s="189"/>
      <c r="LQ249" s="12"/>
      <c r="LR249" s="7"/>
    </row>
    <row r="250" spans="3:330" ht="5.0999999999999996" customHeight="1" x14ac:dyDescent="0.3">
      <c r="C250" s="11"/>
      <c r="D250" s="13"/>
      <c r="GA250" s="332"/>
      <c r="GB250" s="333"/>
      <c r="GC250" s="333"/>
      <c r="GD250" s="333"/>
      <c r="GE250" s="333"/>
      <c r="GF250" s="333"/>
      <c r="GG250" s="333"/>
      <c r="GH250" s="333"/>
      <c r="GI250" s="333"/>
      <c r="GJ250" s="333"/>
      <c r="GK250" s="333"/>
      <c r="GL250" s="333"/>
      <c r="GM250" s="333"/>
      <c r="GN250" s="333"/>
      <c r="GO250" s="333"/>
      <c r="GP250" s="333"/>
      <c r="GQ250" s="333"/>
      <c r="GR250" s="333"/>
      <c r="GS250" s="333"/>
      <c r="GT250" s="333"/>
      <c r="GU250" s="333"/>
      <c r="GV250" s="333"/>
      <c r="GW250" s="333"/>
      <c r="GX250" s="333"/>
      <c r="GY250" s="333"/>
      <c r="GZ250" s="333"/>
      <c r="HA250" s="333"/>
      <c r="HB250" s="333"/>
      <c r="HC250" s="333"/>
      <c r="HD250" s="333"/>
      <c r="HE250" s="333"/>
      <c r="HF250" s="333"/>
      <c r="HG250" s="333"/>
      <c r="HH250" s="333"/>
      <c r="HI250" s="333"/>
      <c r="HJ250" s="333"/>
      <c r="HK250" s="333"/>
      <c r="HL250" s="333"/>
      <c r="HM250" s="333"/>
      <c r="HN250" s="333"/>
      <c r="HO250" s="333"/>
      <c r="HP250" s="333"/>
      <c r="HQ250" s="333"/>
      <c r="HR250" s="333"/>
      <c r="HS250" s="333"/>
      <c r="HT250" s="333"/>
      <c r="HU250" s="333"/>
      <c r="HV250" s="333"/>
      <c r="HW250" s="333"/>
      <c r="HX250" s="334"/>
      <c r="HY250" s="288"/>
      <c r="HZ250" s="288"/>
      <c r="IA250" s="288"/>
      <c r="IB250" s="288"/>
      <c r="IC250" s="288"/>
      <c r="ID250" s="288"/>
      <c r="IE250" s="288"/>
      <c r="IF250" s="288"/>
      <c r="IG250" s="288"/>
      <c r="IH250" s="288"/>
      <c r="II250" s="288"/>
      <c r="IJ250" s="289"/>
      <c r="JH250" s="155"/>
      <c r="JN250" s="16"/>
      <c r="JQ250" s="187"/>
      <c r="JR250" s="188"/>
      <c r="JS250" s="188"/>
      <c r="JT250" s="188"/>
      <c r="JU250" s="188"/>
      <c r="JV250" s="188"/>
      <c r="JW250" s="188"/>
      <c r="JX250" s="188"/>
      <c r="JY250" s="188"/>
      <c r="JZ250" s="188"/>
      <c r="KA250" s="188"/>
      <c r="KB250" s="188"/>
      <c r="KC250" s="188"/>
      <c r="KD250" s="188"/>
      <c r="KE250" s="188"/>
      <c r="KF250" s="188"/>
      <c r="KG250" s="188"/>
      <c r="KH250" s="188"/>
      <c r="KI250" s="188"/>
      <c r="KJ250" s="188"/>
      <c r="KK250" s="188"/>
      <c r="KL250" s="188"/>
      <c r="KM250" s="188"/>
      <c r="KN250" s="188"/>
      <c r="KO250" s="188"/>
      <c r="KP250" s="188"/>
      <c r="KQ250" s="188"/>
      <c r="KR250" s="188"/>
      <c r="KS250" s="188"/>
      <c r="KT250" s="188"/>
      <c r="KU250" s="188"/>
      <c r="KV250" s="188"/>
      <c r="KW250" s="188"/>
      <c r="KX250" s="188"/>
      <c r="KY250" s="188"/>
      <c r="KZ250" s="188"/>
      <c r="LA250" s="188"/>
      <c r="LB250" s="188"/>
      <c r="LC250" s="188"/>
      <c r="LD250" s="188"/>
      <c r="LE250" s="189"/>
      <c r="LF250" s="187"/>
      <c r="LG250" s="188"/>
      <c r="LH250" s="188"/>
      <c r="LI250" s="188"/>
      <c r="LJ250" s="189"/>
      <c r="LQ250" s="12"/>
      <c r="LR250" s="7"/>
    </row>
    <row r="251" spans="3:330" ht="5.0999999999999996" customHeight="1" thickBot="1" x14ac:dyDescent="0.35">
      <c r="C251" s="11"/>
      <c r="D251" s="13"/>
      <c r="GA251" s="335"/>
      <c r="GB251" s="336"/>
      <c r="GC251" s="336"/>
      <c r="GD251" s="336"/>
      <c r="GE251" s="336"/>
      <c r="GF251" s="336"/>
      <c r="GG251" s="336"/>
      <c r="GH251" s="336"/>
      <c r="GI251" s="336"/>
      <c r="GJ251" s="336"/>
      <c r="GK251" s="336"/>
      <c r="GL251" s="336"/>
      <c r="GM251" s="336"/>
      <c r="GN251" s="336"/>
      <c r="GO251" s="336"/>
      <c r="GP251" s="336"/>
      <c r="GQ251" s="336"/>
      <c r="GR251" s="336"/>
      <c r="GS251" s="336"/>
      <c r="GT251" s="336"/>
      <c r="GU251" s="336"/>
      <c r="GV251" s="336"/>
      <c r="GW251" s="336"/>
      <c r="GX251" s="336"/>
      <c r="GY251" s="336"/>
      <c r="GZ251" s="336"/>
      <c r="HA251" s="336"/>
      <c r="HB251" s="336"/>
      <c r="HC251" s="336"/>
      <c r="HD251" s="336"/>
      <c r="HE251" s="336"/>
      <c r="HF251" s="336"/>
      <c r="HG251" s="336"/>
      <c r="HH251" s="336"/>
      <c r="HI251" s="336"/>
      <c r="HJ251" s="336"/>
      <c r="HK251" s="336"/>
      <c r="HL251" s="336"/>
      <c r="HM251" s="336"/>
      <c r="HN251" s="336"/>
      <c r="HO251" s="336"/>
      <c r="HP251" s="336"/>
      <c r="HQ251" s="336"/>
      <c r="HR251" s="336"/>
      <c r="HS251" s="336"/>
      <c r="HT251" s="336"/>
      <c r="HU251" s="336"/>
      <c r="HV251" s="336"/>
      <c r="HW251" s="336"/>
      <c r="HX251" s="337"/>
      <c r="HY251" s="291"/>
      <c r="HZ251" s="291"/>
      <c r="IA251" s="291"/>
      <c r="IB251" s="291"/>
      <c r="IC251" s="291"/>
      <c r="ID251" s="291"/>
      <c r="IE251" s="291"/>
      <c r="IF251" s="291"/>
      <c r="IG251" s="291"/>
      <c r="IH251" s="291"/>
      <c r="II251" s="291"/>
      <c r="IJ251" s="292"/>
      <c r="JH251" s="155"/>
      <c r="JN251" s="16"/>
      <c r="JQ251" s="190"/>
      <c r="JR251" s="191"/>
      <c r="JS251" s="191"/>
      <c r="JT251" s="191"/>
      <c r="JU251" s="191"/>
      <c r="JV251" s="191"/>
      <c r="JW251" s="191"/>
      <c r="JX251" s="191"/>
      <c r="JY251" s="191"/>
      <c r="JZ251" s="191"/>
      <c r="KA251" s="191"/>
      <c r="KB251" s="191"/>
      <c r="KC251" s="191"/>
      <c r="KD251" s="191"/>
      <c r="KE251" s="191"/>
      <c r="KF251" s="191"/>
      <c r="KG251" s="191"/>
      <c r="KH251" s="191"/>
      <c r="KI251" s="191"/>
      <c r="KJ251" s="191"/>
      <c r="KK251" s="191"/>
      <c r="KL251" s="191"/>
      <c r="KM251" s="191"/>
      <c r="KN251" s="191"/>
      <c r="KO251" s="191"/>
      <c r="KP251" s="191"/>
      <c r="KQ251" s="191"/>
      <c r="KR251" s="191"/>
      <c r="KS251" s="191"/>
      <c r="KT251" s="191"/>
      <c r="KU251" s="191"/>
      <c r="KV251" s="191"/>
      <c r="KW251" s="191"/>
      <c r="KX251" s="191"/>
      <c r="KY251" s="191"/>
      <c r="KZ251" s="191"/>
      <c r="LA251" s="191"/>
      <c r="LB251" s="191"/>
      <c r="LC251" s="191"/>
      <c r="LD251" s="191"/>
      <c r="LE251" s="192"/>
      <c r="LF251" s="190"/>
      <c r="LG251" s="191"/>
      <c r="LH251" s="191"/>
      <c r="LI251" s="191"/>
      <c r="LJ251" s="192"/>
      <c r="LQ251" s="12"/>
      <c r="LR251" s="7"/>
    </row>
    <row r="252" spans="3:330" ht="5.0999999999999996" customHeight="1" x14ac:dyDescent="0.3">
      <c r="C252" s="11"/>
      <c r="D252" s="13"/>
      <c r="GA252" s="329" t="s">
        <v>153</v>
      </c>
      <c r="GB252" s="330"/>
      <c r="GC252" s="330"/>
      <c r="GD252" s="330"/>
      <c r="GE252" s="330"/>
      <c r="GF252" s="330"/>
      <c r="GG252" s="330"/>
      <c r="GH252" s="330"/>
      <c r="GI252" s="330"/>
      <c r="GJ252" s="330"/>
      <c r="GK252" s="330"/>
      <c r="GL252" s="330"/>
      <c r="GM252" s="330"/>
      <c r="GN252" s="330"/>
      <c r="GO252" s="330"/>
      <c r="GP252" s="330"/>
      <c r="GQ252" s="330"/>
      <c r="GR252" s="330"/>
      <c r="GS252" s="330"/>
      <c r="GT252" s="330"/>
      <c r="GU252" s="330"/>
      <c r="GV252" s="330"/>
      <c r="GW252" s="330"/>
      <c r="GX252" s="330"/>
      <c r="GY252" s="330"/>
      <c r="GZ252" s="330"/>
      <c r="HA252" s="330"/>
      <c r="HB252" s="330"/>
      <c r="HC252" s="330"/>
      <c r="HD252" s="330"/>
      <c r="HE252" s="330"/>
      <c r="HF252" s="330"/>
      <c r="HG252" s="330"/>
      <c r="HH252" s="330"/>
      <c r="HI252" s="330"/>
      <c r="HJ252" s="330"/>
      <c r="HK252" s="330"/>
      <c r="HL252" s="330"/>
      <c r="HM252" s="330"/>
      <c r="HN252" s="330"/>
      <c r="HO252" s="330"/>
      <c r="HP252" s="330"/>
      <c r="HQ252" s="330"/>
      <c r="HR252" s="330"/>
      <c r="HS252" s="330"/>
      <c r="HT252" s="330"/>
      <c r="HU252" s="330"/>
      <c r="HV252" s="330"/>
      <c r="HW252" s="330"/>
      <c r="HX252" s="331"/>
      <c r="HY252" s="285">
        <f>SUM(FG18,FG36,BF52,DG85,DG97,GZ82,GZ92,GZ102,IR37,FB117,BF117,IW161,IW183)</f>
        <v>91</v>
      </c>
      <c r="HZ252" s="285"/>
      <c r="IA252" s="285"/>
      <c r="IB252" s="285"/>
      <c r="IC252" s="285"/>
      <c r="ID252" s="285"/>
      <c r="IE252" s="285"/>
      <c r="IF252" s="285"/>
      <c r="IG252" s="285"/>
      <c r="IH252" s="285"/>
      <c r="II252" s="285"/>
      <c r="IJ252" s="286"/>
      <c r="JH252" s="155"/>
      <c r="JN252" s="16"/>
      <c r="JQ252" s="184" t="s">
        <v>51</v>
      </c>
      <c r="JR252" s="185"/>
      <c r="JS252" s="185"/>
      <c r="JT252" s="185"/>
      <c r="JU252" s="185"/>
      <c r="JV252" s="185"/>
      <c r="JW252" s="185"/>
      <c r="JX252" s="185"/>
      <c r="JY252" s="185"/>
      <c r="JZ252" s="185"/>
      <c r="KA252" s="185"/>
      <c r="KB252" s="185"/>
      <c r="KC252" s="185"/>
      <c r="KD252" s="185"/>
      <c r="KE252" s="185"/>
      <c r="KF252" s="185"/>
      <c r="KG252" s="185"/>
      <c r="KH252" s="185"/>
      <c r="KI252" s="185"/>
      <c r="KJ252" s="185"/>
      <c r="KK252" s="185"/>
      <c r="KL252" s="185"/>
      <c r="KM252" s="185"/>
      <c r="KN252" s="185"/>
      <c r="KO252" s="185"/>
      <c r="KP252" s="185"/>
      <c r="KQ252" s="185"/>
      <c r="KR252" s="185"/>
      <c r="KS252" s="185"/>
      <c r="KT252" s="185"/>
      <c r="KU252" s="185"/>
      <c r="KV252" s="185"/>
      <c r="KW252" s="185"/>
      <c r="KX252" s="185"/>
      <c r="KY252" s="185"/>
      <c r="KZ252" s="185"/>
      <c r="LA252" s="185"/>
      <c r="LB252" s="185"/>
      <c r="LC252" s="185"/>
      <c r="LD252" s="185"/>
      <c r="LE252" s="186"/>
      <c r="LF252" s="184">
        <v>5</v>
      </c>
      <c r="LG252" s="185"/>
      <c r="LH252" s="185"/>
      <c r="LI252" s="185"/>
      <c r="LJ252" s="186"/>
      <c r="LQ252" s="12"/>
      <c r="LR252" s="7"/>
    </row>
    <row r="253" spans="3:330" ht="5.0999999999999996" customHeight="1" x14ac:dyDescent="0.3">
      <c r="C253" s="11"/>
      <c r="D253" s="13"/>
      <c r="GA253" s="332"/>
      <c r="GB253" s="333"/>
      <c r="GC253" s="333"/>
      <c r="GD253" s="333"/>
      <c r="GE253" s="333"/>
      <c r="GF253" s="333"/>
      <c r="GG253" s="333"/>
      <c r="GH253" s="333"/>
      <c r="GI253" s="333"/>
      <c r="GJ253" s="333"/>
      <c r="GK253" s="333"/>
      <c r="GL253" s="333"/>
      <c r="GM253" s="333"/>
      <c r="GN253" s="333"/>
      <c r="GO253" s="333"/>
      <c r="GP253" s="333"/>
      <c r="GQ253" s="333"/>
      <c r="GR253" s="333"/>
      <c r="GS253" s="333"/>
      <c r="GT253" s="333"/>
      <c r="GU253" s="333"/>
      <c r="GV253" s="333"/>
      <c r="GW253" s="333"/>
      <c r="GX253" s="333"/>
      <c r="GY253" s="333"/>
      <c r="GZ253" s="333"/>
      <c r="HA253" s="333"/>
      <c r="HB253" s="333"/>
      <c r="HC253" s="333"/>
      <c r="HD253" s="333"/>
      <c r="HE253" s="333"/>
      <c r="HF253" s="333"/>
      <c r="HG253" s="333"/>
      <c r="HH253" s="333"/>
      <c r="HI253" s="333"/>
      <c r="HJ253" s="333"/>
      <c r="HK253" s="333"/>
      <c r="HL253" s="333"/>
      <c r="HM253" s="333"/>
      <c r="HN253" s="333"/>
      <c r="HO253" s="333"/>
      <c r="HP253" s="333"/>
      <c r="HQ253" s="333"/>
      <c r="HR253" s="333"/>
      <c r="HS253" s="333"/>
      <c r="HT253" s="333"/>
      <c r="HU253" s="333"/>
      <c r="HV253" s="333"/>
      <c r="HW253" s="333"/>
      <c r="HX253" s="334"/>
      <c r="HY253" s="288"/>
      <c r="HZ253" s="288"/>
      <c r="IA253" s="288"/>
      <c r="IB253" s="288"/>
      <c r="IC253" s="288"/>
      <c r="ID253" s="288"/>
      <c r="IE253" s="288"/>
      <c r="IF253" s="288"/>
      <c r="IG253" s="288"/>
      <c r="IH253" s="288"/>
      <c r="II253" s="288"/>
      <c r="IJ253" s="289"/>
      <c r="JH253" s="155"/>
      <c r="JN253" s="16"/>
      <c r="JQ253" s="187"/>
      <c r="JR253" s="188"/>
      <c r="JS253" s="188"/>
      <c r="JT253" s="188"/>
      <c r="JU253" s="188"/>
      <c r="JV253" s="188"/>
      <c r="JW253" s="188"/>
      <c r="JX253" s="188"/>
      <c r="JY253" s="188"/>
      <c r="JZ253" s="188"/>
      <c r="KA253" s="188"/>
      <c r="KB253" s="188"/>
      <c r="KC253" s="188"/>
      <c r="KD253" s="188"/>
      <c r="KE253" s="188"/>
      <c r="KF253" s="188"/>
      <c r="KG253" s="188"/>
      <c r="KH253" s="188"/>
      <c r="KI253" s="188"/>
      <c r="KJ253" s="188"/>
      <c r="KK253" s="188"/>
      <c r="KL253" s="188"/>
      <c r="KM253" s="188"/>
      <c r="KN253" s="188"/>
      <c r="KO253" s="188"/>
      <c r="KP253" s="188"/>
      <c r="KQ253" s="188"/>
      <c r="KR253" s="188"/>
      <c r="KS253" s="188"/>
      <c r="KT253" s="188"/>
      <c r="KU253" s="188"/>
      <c r="KV253" s="188"/>
      <c r="KW253" s="188"/>
      <c r="KX253" s="188"/>
      <c r="KY253" s="188"/>
      <c r="KZ253" s="188"/>
      <c r="LA253" s="188"/>
      <c r="LB253" s="188"/>
      <c r="LC253" s="188"/>
      <c r="LD253" s="188"/>
      <c r="LE253" s="189"/>
      <c r="LF253" s="187"/>
      <c r="LG253" s="188"/>
      <c r="LH253" s="188"/>
      <c r="LI253" s="188"/>
      <c r="LJ253" s="189"/>
      <c r="LQ253" s="12"/>
      <c r="LR253" s="7"/>
    </row>
    <row r="254" spans="3:330" ht="5.0999999999999996" customHeight="1" x14ac:dyDescent="0.3">
      <c r="C254" s="11"/>
      <c r="D254" s="13"/>
      <c r="GA254" s="332"/>
      <c r="GB254" s="333"/>
      <c r="GC254" s="333"/>
      <c r="GD254" s="333"/>
      <c r="GE254" s="333"/>
      <c r="GF254" s="333"/>
      <c r="GG254" s="333"/>
      <c r="GH254" s="333"/>
      <c r="GI254" s="333"/>
      <c r="GJ254" s="333"/>
      <c r="GK254" s="333"/>
      <c r="GL254" s="333"/>
      <c r="GM254" s="333"/>
      <c r="GN254" s="333"/>
      <c r="GO254" s="333"/>
      <c r="GP254" s="333"/>
      <c r="GQ254" s="333"/>
      <c r="GR254" s="333"/>
      <c r="GS254" s="333"/>
      <c r="GT254" s="333"/>
      <c r="GU254" s="333"/>
      <c r="GV254" s="333"/>
      <c r="GW254" s="333"/>
      <c r="GX254" s="333"/>
      <c r="GY254" s="333"/>
      <c r="GZ254" s="333"/>
      <c r="HA254" s="333"/>
      <c r="HB254" s="333"/>
      <c r="HC254" s="333"/>
      <c r="HD254" s="333"/>
      <c r="HE254" s="333"/>
      <c r="HF254" s="333"/>
      <c r="HG254" s="333"/>
      <c r="HH254" s="333"/>
      <c r="HI254" s="333"/>
      <c r="HJ254" s="333"/>
      <c r="HK254" s="333"/>
      <c r="HL254" s="333"/>
      <c r="HM254" s="333"/>
      <c r="HN254" s="333"/>
      <c r="HO254" s="333"/>
      <c r="HP254" s="333"/>
      <c r="HQ254" s="333"/>
      <c r="HR254" s="333"/>
      <c r="HS254" s="333"/>
      <c r="HT254" s="333"/>
      <c r="HU254" s="333"/>
      <c r="HV254" s="333"/>
      <c r="HW254" s="333"/>
      <c r="HX254" s="334"/>
      <c r="HY254" s="288"/>
      <c r="HZ254" s="288"/>
      <c r="IA254" s="288"/>
      <c r="IB254" s="288"/>
      <c r="IC254" s="288"/>
      <c r="ID254" s="288"/>
      <c r="IE254" s="288"/>
      <c r="IF254" s="288"/>
      <c r="IG254" s="288"/>
      <c r="IH254" s="288"/>
      <c r="II254" s="288"/>
      <c r="IJ254" s="289"/>
      <c r="JH254" s="155"/>
      <c r="JN254" s="16"/>
      <c r="JQ254" s="187"/>
      <c r="JR254" s="188"/>
      <c r="JS254" s="188"/>
      <c r="JT254" s="188"/>
      <c r="JU254" s="188"/>
      <c r="JV254" s="188"/>
      <c r="JW254" s="188"/>
      <c r="JX254" s="188"/>
      <c r="JY254" s="188"/>
      <c r="JZ254" s="188"/>
      <c r="KA254" s="188"/>
      <c r="KB254" s="188"/>
      <c r="KC254" s="188"/>
      <c r="KD254" s="188"/>
      <c r="KE254" s="188"/>
      <c r="KF254" s="188"/>
      <c r="KG254" s="188"/>
      <c r="KH254" s="188"/>
      <c r="KI254" s="188"/>
      <c r="KJ254" s="188"/>
      <c r="KK254" s="188"/>
      <c r="KL254" s="188"/>
      <c r="KM254" s="188"/>
      <c r="KN254" s="188"/>
      <c r="KO254" s="188"/>
      <c r="KP254" s="188"/>
      <c r="KQ254" s="188"/>
      <c r="KR254" s="188"/>
      <c r="KS254" s="188"/>
      <c r="KT254" s="188"/>
      <c r="KU254" s="188"/>
      <c r="KV254" s="188"/>
      <c r="KW254" s="188"/>
      <c r="KX254" s="188"/>
      <c r="KY254" s="188"/>
      <c r="KZ254" s="188"/>
      <c r="LA254" s="188"/>
      <c r="LB254" s="188"/>
      <c r="LC254" s="188"/>
      <c r="LD254" s="188"/>
      <c r="LE254" s="189"/>
      <c r="LF254" s="187"/>
      <c r="LG254" s="188"/>
      <c r="LH254" s="188"/>
      <c r="LI254" s="188"/>
      <c r="LJ254" s="189"/>
      <c r="LQ254" s="12"/>
      <c r="LR254" s="7"/>
    </row>
    <row r="255" spans="3:330" ht="5.0999999999999996" customHeight="1" x14ac:dyDescent="0.3">
      <c r="C255" s="11"/>
      <c r="D255" s="13"/>
      <c r="GA255" s="332"/>
      <c r="GB255" s="333"/>
      <c r="GC255" s="333"/>
      <c r="GD255" s="333"/>
      <c r="GE255" s="333"/>
      <c r="GF255" s="333"/>
      <c r="GG255" s="333"/>
      <c r="GH255" s="333"/>
      <c r="GI255" s="333"/>
      <c r="GJ255" s="333"/>
      <c r="GK255" s="333"/>
      <c r="GL255" s="333"/>
      <c r="GM255" s="333"/>
      <c r="GN255" s="333"/>
      <c r="GO255" s="333"/>
      <c r="GP255" s="333"/>
      <c r="GQ255" s="333"/>
      <c r="GR255" s="333"/>
      <c r="GS255" s="333"/>
      <c r="GT255" s="333"/>
      <c r="GU255" s="333"/>
      <c r="GV255" s="333"/>
      <c r="GW255" s="333"/>
      <c r="GX255" s="333"/>
      <c r="GY255" s="333"/>
      <c r="GZ255" s="333"/>
      <c r="HA255" s="333"/>
      <c r="HB255" s="333"/>
      <c r="HC255" s="333"/>
      <c r="HD255" s="333"/>
      <c r="HE255" s="333"/>
      <c r="HF255" s="333"/>
      <c r="HG255" s="333"/>
      <c r="HH255" s="333"/>
      <c r="HI255" s="333"/>
      <c r="HJ255" s="333"/>
      <c r="HK255" s="333"/>
      <c r="HL255" s="333"/>
      <c r="HM255" s="333"/>
      <c r="HN255" s="333"/>
      <c r="HO255" s="333"/>
      <c r="HP255" s="333"/>
      <c r="HQ255" s="333"/>
      <c r="HR255" s="333"/>
      <c r="HS255" s="333"/>
      <c r="HT255" s="333"/>
      <c r="HU255" s="333"/>
      <c r="HV255" s="333"/>
      <c r="HW255" s="333"/>
      <c r="HX255" s="334"/>
      <c r="HY255" s="288"/>
      <c r="HZ255" s="288"/>
      <c r="IA255" s="288"/>
      <c r="IB255" s="288"/>
      <c r="IC255" s="288"/>
      <c r="ID255" s="288"/>
      <c r="IE255" s="288"/>
      <c r="IF255" s="288"/>
      <c r="IG255" s="288"/>
      <c r="IH255" s="288"/>
      <c r="II255" s="288"/>
      <c r="IJ255" s="289"/>
      <c r="JH255" s="155"/>
      <c r="JN255" s="16"/>
      <c r="JQ255" s="187"/>
      <c r="JR255" s="188"/>
      <c r="JS255" s="188"/>
      <c r="JT255" s="188"/>
      <c r="JU255" s="188"/>
      <c r="JV255" s="188"/>
      <c r="JW255" s="188"/>
      <c r="JX255" s="188"/>
      <c r="JY255" s="188"/>
      <c r="JZ255" s="188"/>
      <c r="KA255" s="188"/>
      <c r="KB255" s="188"/>
      <c r="KC255" s="188"/>
      <c r="KD255" s="188"/>
      <c r="KE255" s="188"/>
      <c r="KF255" s="188"/>
      <c r="KG255" s="188"/>
      <c r="KH255" s="188"/>
      <c r="KI255" s="188"/>
      <c r="KJ255" s="188"/>
      <c r="KK255" s="188"/>
      <c r="KL255" s="188"/>
      <c r="KM255" s="188"/>
      <c r="KN255" s="188"/>
      <c r="KO255" s="188"/>
      <c r="KP255" s="188"/>
      <c r="KQ255" s="188"/>
      <c r="KR255" s="188"/>
      <c r="KS255" s="188"/>
      <c r="KT255" s="188"/>
      <c r="KU255" s="188"/>
      <c r="KV255" s="188"/>
      <c r="KW255" s="188"/>
      <c r="KX255" s="188"/>
      <c r="KY255" s="188"/>
      <c r="KZ255" s="188"/>
      <c r="LA255" s="188"/>
      <c r="LB255" s="188"/>
      <c r="LC255" s="188"/>
      <c r="LD255" s="188"/>
      <c r="LE255" s="189"/>
      <c r="LF255" s="187"/>
      <c r="LG255" s="188"/>
      <c r="LH255" s="188"/>
      <c r="LI255" s="188"/>
      <c r="LJ255" s="189"/>
      <c r="LQ255" s="12"/>
      <c r="LR255" s="7"/>
    </row>
    <row r="256" spans="3:330" ht="5.0999999999999996" customHeight="1" x14ac:dyDescent="0.3">
      <c r="C256" s="11"/>
      <c r="D256" s="13"/>
      <c r="GA256" s="332"/>
      <c r="GB256" s="333"/>
      <c r="GC256" s="333"/>
      <c r="GD256" s="333"/>
      <c r="GE256" s="333"/>
      <c r="GF256" s="333"/>
      <c r="GG256" s="333"/>
      <c r="GH256" s="333"/>
      <c r="GI256" s="333"/>
      <c r="GJ256" s="333"/>
      <c r="GK256" s="333"/>
      <c r="GL256" s="333"/>
      <c r="GM256" s="333"/>
      <c r="GN256" s="333"/>
      <c r="GO256" s="333"/>
      <c r="GP256" s="333"/>
      <c r="GQ256" s="333"/>
      <c r="GR256" s="333"/>
      <c r="GS256" s="333"/>
      <c r="GT256" s="333"/>
      <c r="GU256" s="333"/>
      <c r="GV256" s="333"/>
      <c r="GW256" s="333"/>
      <c r="GX256" s="333"/>
      <c r="GY256" s="333"/>
      <c r="GZ256" s="333"/>
      <c r="HA256" s="333"/>
      <c r="HB256" s="333"/>
      <c r="HC256" s="333"/>
      <c r="HD256" s="333"/>
      <c r="HE256" s="333"/>
      <c r="HF256" s="333"/>
      <c r="HG256" s="333"/>
      <c r="HH256" s="333"/>
      <c r="HI256" s="333"/>
      <c r="HJ256" s="333"/>
      <c r="HK256" s="333"/>
      <c r="HL256" s="333"/>
      <c r="HM256" s="333"/>
      <c r="HN256" s="333"/>
      <c r="HO256" s="333"/>
      <c r="HP256" s="333"/>
      <c r="HQ256" s="333"/>
      <c r="HR256" s="333"/>
      <c r="HS256" s="333"/>
      <c r="HT256" s="333"/>
      <c r="HU256" s="333"/>
      <c r="HV256" s="333"/>
      <c r="HW256" s="333"/>
      <c r="HX256" s="334"/>
      <c r="HY256" s="288"/>
      <c r="HZ256" s="288"/>
      <c r="IA256" s="288"/>
      <c r="IB256" s="288"/>
      <c r="IC256" s="288"/>
      <c r="ID256" s="288"/>
      <c r="IE256" s="288"/>
      <c r="IF256" s="288"/>
      <c r="IG256" s="288"/>
      <c r="IH256" s="288"/>
      <c r="II256" s="288"/>
      <c r="IJ256" s="289"/>
      <c r="JH256" s="155"/>
      <c r="JN256" s="16"/>
      <c r="JQ256" s="187"/>
      <c r="JR256" s="188"/>
      <c r="JS256" s="188"/>
      <c r="JT256" s="188"/>
      <c r="JU256" s="188"/>
      <c r="JV256" s="188"/>
      <c r="JW256" s="188"/>
      <c r="JX256" s="188"/>
      <c r="JY256" s="188"/>
      <c r="JZ256" s="188"/>
      <c r="KA256" s="188"/>
      <c r="KB256" s="188"/>
      <c r="KC256" s="188"/>
      <c r="KD256" s="188"/>
      <c r="KE256" s="188"/>
      <c r="KF256" s="188"/>
      <c r="KG256" s="188"/>
      <c r="KH256" s="188"/>
      <c r="KI256" s="188"/>
      <c r="KJ256" s="188"/>
      <c r="KK256" s="188"/>
      <c r="KL256" s="188"/>
      <c r="KM256" s="188"/>
      <c r="KN256" s="188"/>
      <c r="KO256" s="188"/>
      <c r="KP256" s="188"/>
      <c r="KQ256" s="188"/>
      <c r="KR256" s="188"/>
      <c r="KS256" s="188"/>
      <c r="KT256" s="188"/>
      <c r="KU256" s="188"/>
      <c r="KV256" s="188"/>
      <c r="KW256" s="188"/>
      <c r="KX256" s="188"/>
      <c r="KY256" s="188"/>
      <c r="KZ256" s="188"/>
      <c r="LA256" s="188"/>
      <c r="LB256" s="188"/>
      <c r="LC256" s="188"/>
      <c r="LD256" s="188"/>
      <c r="LE256" s="189"/>
      <c r="LF256" s="187"/>
      <c r="LG256" s="188"/>
      <c r="LH256" s="188"/>
      <c r="LI256" s="188"/>
      <c r="LJ256" s="189"/>
      <c r="LQ256" s="12"/>
      <c r="LR256" s="7"/>
    </row>
    <row r="257" spans="3:330" ht="5.0999999999999996" customHeight="1" x14ac:dyDescent="0.3">
      <c r="C257" s="11"/>
      <c r="D257" s="13"/>
      <c r="GA257" s="332"/>
      <c r="GB257" s="333"/>
      <c r="GC257" s="333"/>
      <c r="GD257" s="333"/>
      <c r="GE257" s="333"/>
      <c r="GF257" s="333"/>
      <c r="GG257" s="333"/>
      <c r="GH257" s="333"/>
      <c r="GI257" s="333"/>
      <c r="GJ257" s="333"/>
      <c r="GK257" s="333"/>
      <c r="GL257" s="333"/>
      <c r="GM257" s="333"/>
      <c r="GN257" s="333"/>
      <c r="GO257" s="333"/>
      <c r="GP257" s="333"/>
      <c r="GQ257" s="333"/>
      <c r="GR257" s="333"/>
      <c r="GS257" s="333"/>
      <c r="GT257" s="333"/>
      <c r="GU257" s="333"/>
      <c r="GV257" s="333"/>
      <c r="GW257" s="333"/>
      <c r="GX257" s="333"/>
      <c r="GY257" s="333"/>
      <c r="GZ257" s="333"/>
      <c r="HA257" s="333"/>
      <c r="HB257" s="333"/>
      <c r="HC257" s="333"/>
      <c r="HD257" s="333"/>
      <c r="HE257" s="333"/>
      <c r="HF257" s="333"/>
      <c r="HG257" s="333"/>
      <c r="HH257" s="333"/>
      <c r="HI257" s="333"/>
      <c r="HJ257" s="333"/>
      <c r="HK257" s="333"/>
      <c r="HL257" s="333"/>
      <c r="HM257" s="333"/>
      <c r="HN257" s="333"/>
      <c r="HO257" s="333"/>
      <c r="HP257" s="333"/>
      <c r="HQ257" s="333"/>
      <c r="HR257" s="333"/>
      <c r="HS257" s="333"/>
      <c r="HT257" s="333"/>
      <c r="HU257" s="333"/>
      <c r="HV257" s="333"/>
      <c r="HW257" s="333"/>
      <c r="HX257" s="334"/>
      <c r="HY257" s="288"/>
      <c r="HZ257" s="288"/>
      <c r="IA257" s="288"/>
      <c r="IB257" s="288"/>
      <c r="IC257" s="288"/>
      <c r="ID257" s="288"/>
      <c r="IE257" s="288"/>
      <c r="IF257" s="288"/>
      <c r="IG257" s="288"/>
      <c r="IH257" s="288"/>
      <c r="II257" s="288"/>
      <c r="IJ257" s="289"/>
      <c r="JH257" s="155"/>
      <c r="JN257" s="16"/>
      <c r="JQ257" s="187"/>
      <c r="JR257" s="188"/>
      <c r="JS257" s="188"/>
      <c r="JT257" s="188"/>
      <c r="JU257" s="188"/>
      <c r="JV257" s="188"/>
      <c r="JW257" s="188"/>
      <c r="JX257" s="188"/>
      <c r="JY257" s="188"/>
      <c r="JZ257" s="188"/>
      <c r="KA257" s="188"/>
      <c r="KB257" s="188"/>
      <c r="KC257" s="188"/>
      <c r="KD257" s="188"/>
      <c r="KE257" s="188"/>
      <c r="KF257" s="188"/>
      <c r="KG257" s="188"/>
      <c r="KH257" s="188"/>
      <c r="KI257" s="188"/>
      <c r="KJ257" s="188"/>
      <c r="KK257" s="188"/>
      <c r="KL257" s="188"/>
      <c r="KM257" s="188"/>
      <c r="KN257" s="188"/>
      <c r="KO257" s="188"/>
      <c r="KP257" s="188"/>
      <c r="KQ257" s="188"/>
      <c r="KR257" s="188"/>
      <c r="KS257" s="188"/>
      <c r="KT257" s="188"/>
      <c r="KU257" s="188"/>
      <c r="KV257" s="188"/>
      <c r="KW257" s="188"/>
      <c r="KX257" s="188"/>
      <c r="KY257" s="188"/>
      <c r="KZ257" s="188"/>
      <c r="LA257" s="188"/>
      <c r="LB257" s="188"/>
      <c r="LC257" s="188"/>
      <c r="LD257" s="188"/>
      <c r="LE257" s="189"/>
      <c r="LF257" s="187"/>
      <c r="LG257" s="188"/>
      <c r="LH257" s="188"/>
      <c r="LI257" s="188"/>
      <c r="LJ257" s="189"/>
      <c r="LQ257" s="12"/>
      <c r="LR257" s="7"/>
    </row>
    <row r="258" spans="3:330" ht="5.0999999999999996" customHeight="1" thickBot="1" x14ac:dyDescent="0.35">
      <c r="C258" s="11"/>
      <c r="D258" s="13"/>
      <c r="GA258" s="335"/>
      <c r="GB258" s="336"/>
      <c r="GC258" s="336"/>
      <c r="GD258" s="336"/>
      <c r="GE258" s="336"/>
      <c r="GF258" s="336"/>
      <c r="GG258" s="336"/>
      <c r="GH258" s="336"/>
      <c r="GI258" s="336"/>
      <c r="GJ258" s="336"/>
      <c r="GK258" s="336"/>
      <c r="GL258" s="336"/>
      <c r="GM258" s="336"/>
      <c r="GN258" s="336"/>
      <c r="GO258" s="336"/>
      <c r="GP258" s="336"/>
      <c r="GQ258" s="336"/>
      <c r="GR258" s="336"/>
      <c r="GS258" s="336"/>
      <c r="GT258" s="336"/>
      <c r="GU258" s="336"/>
      <c r="GV258" s="336"/>
      <c r="GW258" s="336"/>
      <c r="GX258" s="336"/>
      <c r="GY258" s="336"/>
      <c r="GZ258" s="336"/>
      <c r="HA258" s="336"/>
      <c r="HB258" s="336"/>
      <c r="HC258" s="336"/>
      <c r="HD258" s="336"/>
      <c r="HE258" s="336"/>
      <c r="HF258" s="336"/>
      <c r="HG258" s="336"/>
      <c r="HH258" s="336"/>
      <c r="HI258" s="336"/>
      <c r="HJ258" s="336"/>
      <c r="HK258" s="336"/>
      <c r="HL258" s="336"/>
      <c r="HM258" s="336"/>
      <c r="HN258" s="336"/>
      <c r="HO258" s="336"/>
      <c r="HP258" s="336"/>
      <c r="HQ258" s="336"/>
      <c r="HR258" s="336"/>
      <c r="HS258" s="336"/>
      <c r="HT258" s="336"/>
      <c r="HU258" s="336"/>
      <c r="HV258" s="336"/>
      <c r="HW258" s="336"/>
      <c r="HX258" s="337"/>
      <c r="HY258" s="291"/>
      <c r="HZ258" s="291"/>
      <c r="IA258" s="291"/>
      <c r="IB258" s="291"/>
      <c r="IC258" s="291"/>
      <c r="ID258" s="291"/>
      <c r="IE258" s="291"/>
      <c r="IF258" s="291"/>
      <c r="IG258" s="291"/>
      <c r="IH258" s="291"/>
      <c r="II258" s="291"/>
      <c r="IJ258" s="292"/>
      <c r="JH258" s="155"/>
      <c r="JN258" s="16"/>
      <c r="JQ258" s="187"/>
      <c r="JR258" s="188"/>
      <c r="JS258" s="188"/>
      <c r="JT258" s="188"/>
      <c r="JU258" s="188"/>
      <c r="JV258" s="188"/>
      <c r="JW258" s="188"/>
      <c r="JX258" s="188"/>
      <c r="JY258" s="188"/>
      <c r="JZ258" s="188"/>
      <c r="KA258" s="188"/>
      <c r="KB258" s="188"/>
      <c r="KC258" s="188"/>
      <c r="KD258" s="188"/>
      <c r="KE258" s="188"/>
      <c r="KF258" s="188"/>
      <c r="KG258" s="188"/>
      <c r="KH258" s="188"/>
      <c r="KI258" s="188"/>
      <c r="KJ258" s="188"/>
      <c r="KK258" s="188"/>
      <c r="KL258" s="188"/>
      <c r="KM258" s="188"/>
      <c r="KN258" s="188"/>
      <c r="KO258" s="188"/>
      <c r="KP258" s="188"/>
      <c r="KQ258" s="188"/>
      <c r="KR258" s="188"/>
      <c r="KS258" s="188"/>
      <c r="KT258" s="188"/>
      <c r="KU258" s="188"/>
      <c r="KV258" s="188"/>
      <c r="KW258" s="188"/>
      <c r="KX258" s="188"/>
      <c r="KY258" s="188"/>
      <c r="KZ258" s="188"/>
      <c r="LA258" s="188"/>
      <c r="LB258" s="188"/>
      <c r="LC258" s="188"/>
      <c r="LD258" s="188"/>
      <c r="LE258" s="189"/>
      <c r="LF258" s="187"/>
      <c r="LG258" s="188"/>
      <c r="LH258" s="188"/>
      <c r="LI258" s="188"/>
      <c r="LJ258" s="189"/>
      <c r="LQ258" s="12"/>
      <c r="LR258" s="7"/>
    </row>
    <row r="259" spans="3:330" ht="5.0999999999999996" customHeight="1" x14ac:dyDescent="0.3">
      <c r="C259" s="11"/>
      <c r="D259" s="13"/>
      <c r="GA259" s="329" t="s">
        <v>2</v>
      </c>
      <c r="GB259" s="330"/>
      <c r="GC259" s="330"/>
      <c r="GD259" s="330"/>
      <c r="GE259" s="330"/>
      <c r="GF259" s="330"/>
      <c r="GG259" s="330"/>
      <c r="GH259" s="330"/>
      <c r="GI259" s="330"/>
      <c r="GJ259" s="330"/>
      <c r="GK259" s="330"/>
      <c r="GL259" s="330"/>
      <c r="GM259" s="330"/>
      <c r="GN259" s="330"/>
      <c r="GO259" s="330"/>
      <c r="GP259" s="330"/>
      <c r="GQ259" s="330"/>
      <c r="GR259" s="330"/>
      <c r="GS259" s="330"/>
      <c r="GT259" s="330"/>
      <c r="GU259" s="330"/>
      <c r="GV259" s="330"/>
      <c r="GW259" s="330"/>
      <c r="GX259" s="330"/>
      <c r="GY259" s="330"/>
      <c r="GZ259" s="330"/>
      <c r="HA259" s="330"/>
      <c r="HB259" s="330"/>
      <c r="HC259" s="330"/>
      <c r="HD259" s="330"/>
      <c r="HE259" s="330"/>
      <c r="HF259" s="330"/>
      <c r="HG259" s="330"/>
      <c r="HH259" s="330"/>
      <c r="HI259" s="330"/>
      <c r="HJ259" s="330"/>
      <c r="HK259" s="330"/>
      <c r="HL259" s="330"/>
      <c r="HM259" s="330"/>
      <c r="HN259" s="330"/>
      <c r="HO259" s="330"/>
      <c r="HP259" s="330"/>
      <c r="HQ259" s="330"/>
      <c r="HR259" s="330"/>
      <c r="HS259" s="330"/>
      <c r="HT259" s="330"/>
      <c r="HU259" s="330"/>
      <c r="HV259" s="330"/>
      <c r="HW259" s="330"/>
      <c r="HX259" s="331"/>
      <c r="HY259" s="284">
        <f>IW117</f>
        <v>19</v>
      </c>
      <c r="HZ259" s="285"/>
      <c r="IA259" s="285"/>
      <c r="IB259" s="285"/>
      <c r="IC259" s="285"/>
      <c r="ID259" s="285">
        <f>IW117</f>
        <v>19</v>
      </c>
      <c r="IE259" s="285"/>
      <c r="IF259" s="285"/>
      <c r="IG259" s="285"/>
      <c r="IH259" s="285"/>
      <c r="II259" s="285"/>
      <c r="IJ259" s="286"/>
      <c r="JH259" s="155"/>
      <c r="JN259" s="16"/>
      <c r="JQ259" s="187"/>
      <c r="JR259" s="188"/>
      <c r="JS259" s="188"/>
      <c r="JT259" s="188"/>
      <c r="JU259" s="188"/>
      <c r="JV259" s="188"/>
      <c r="JW259" s="188"/>
      <c r="JX259" s="188"/>
      <c r="JY259" s="188"/>
      <c r="JZ259" s="188"/>
      <c r="KA259" s="188"/>
      <c r="KB259" s="188"/>
      <c r="KC259" s="188"/>
      <c r="KD259" s="188"/>
      <c r="KE259" s="188"/>
      <c r="KF259" s="188"/>
      <c r="KG259" s="188"/>
      <c r="KH259" s="188"/>
      <c r="KI259" s="188"/>
      <c r="KJ259" s="188"/>
      <c r="KK259" s="188"/>
      <c r="KL259" s="188"/>
      <c r="KM259" s="188"/>
      <c r="KN259" s="188"/>
      <c r="KO259" s="188"/>
      <c r="KP259" s="188"/>
      <c r="KQ259" s="188"/>
      <c r="KR259" s="188"/>
      <c r="KS259" s="188"/>
      <c r="KT259" s="188"/>
      <c r="KU259" s="188"/>
      <c r="KV259" s="188"/>
      <c r="KW259" s="188"/>
      <c r="KX259" s="188"/>
      <c r="KY259" s="188"/>
      <c r="KZ259" s="188"/>
      <c r="LA259" s="188"/>
      <c r="LB259" s="188"/>
      <c r="LC259" s="188"/>
      <c r="LD259" s="188"/>
      <c r="LE259" s="189"/>
      <c r="LF259" s="187"/>
      <c r="LG259" s="188"/>
      <c r="LH259" s="188"/>
      <c r="LI259" s="188"/>
      <c r="LJ259" s="189"/>
      <c r="LQ259" s="12"/>
      <c r="LR259" s="7"/>
    </row>
    <row r="260" spans="3:330" ht="5.0999999999999996" customHeight="1" x14ac:dyDescent="0.3">
      <c r="C260" s="11"/>
      <c r="D260" s="13"/>
      <c r="GA260" s="332"/>
      <c r="GB260" s="333"/>
      <c r="GC260" s="333"/>
      <c r="GD260" s="333"/>
      <c r="GE260" s="333"/>
      <c r="GF260" s="333"/>
      <c r="GG260" s="333"/>
      <c r="GH260" s="333"/>
      <c r="GI260" s="333"/>
      <c r="GJ260" s="333"/>
      <c r="GK260" s="333"/>
      <c r="GL260" s="333"/>
      <c r="GM260" s="333"/>
      <c r="GN260" s="333"/>
      <c r="GO260" s="333"/>
      <c r="GP260" s="333"/>
      <c r="GQ260" s="333"/>
      <c r="GR260" s="333"/>
      <c r="GS260" s="333"/>
      <c r="GT260" s="333"/>
      <c r="GU260" s="333"/>
      <c r="GV260" s="333"/>
      <c r="GW260" s="333"/>
      <c r="GX260" s="333"/>
      <c r="GY260" s="333"/>
      <c r="GZ260" s="333"/>
      <c r="HA260" s="333"/>
      <c r="HB260" s="333"/>
      <c r="HC260" s="333"/>
      <c r="HD260" s="333"/>
      <c r="HE260" s="333"/>
      <c r="HF260" s="333"/>
      <c r="HG260" s="333"/>
      <c r="HH260" s="333"/>
      <c r="HI260" s="333"/>
      <c r="HJ260" s="333"/>
      <c r="HK260" s="333"/>
      <c r="HL260" s="333"/>
      <c r="HM260" s="333"/>
      <c r="HN260" s="333"/>
      <c r="HO260" s="333"/>
      <c r="HP260" s="333"/>
      <c r="HQ260" s="333"/>
      <c r="HR260" s="333"/>
      <c r="HS260" s="333"/>
      <c r="HT260" s="333"/>
      <c r="HU260" s="333"/>
      <c r="HV260" s="333"/>
      <c r="HW260" s="333"/>
      <c r="HX260" s="334"/>
      <c r="HY260" s="287"/>
      <c r="HZ260" s="288"/>
      <c r="IA260" s="288"/>
      <c r="IB260" s="288"/>
      <c r="IC260" s="288"/>
      <c r="ID260" s="288"/>
      <c r="IE260" s="288"/>
      <c r="IF260" s="288"/>
      <c r="IG260" s="288"/>
      <c r="IH260" s="288"/>
      <c r="II260" s="288"/>
      <c r="IJ260" s="289"/>
      <c r="JH260" s="155"/>
      <c r="JN260" s="16"/>
      <c r="JQ260" s="187"/>
      <c r="JR260" s="188"/>
      <c r="JS260" s="188"/>
      <c r="JT260" s="188"/>
      <c r="JU260" s="188"/>
      <c r="JV260" s="188"/>
      <c r="JW260" s="188"/>
      <c r="JX260" s="188"/>
      <c r="JY260" s="188"/>
      <c r="JZ260" s="188"/>
      <c r="KA260" s="188"/>
      <c r="KB260" s="188"/>
      <c r="KC260" s="188"/>
      <c r="KD260" s="188"/>
      <c r="KE260" s="188"/>
      <c r="KF260" s="188"/>
      <c r="KG260" s="188"/>
      <c r="KH260" s="188"/>
      <c r="KI260" s="188"/>
      <c r="KJ260" s="188"/>
      <c r="KK260" s="188"/>
      <c r="KL260" s="188"/>
      <c r="KM260" s="188"/>
      <c r="KN260" s="188"/>
      <c r="KO260" s="188"/>
      <c r="KP260" s="188"/>
      <c r="KQ260" s="188"/>
      <c r="KR260" s="188"/>
      <c r="KS260" s="188"/>
      <c r="KT260" s="188"/>
      <c r="KU260" s="188"/>
      <c r="KV260" s="188"/>
      <c r="KW260" s="188"/>
      <c r="KX260" s="188"/>
      <c r="KY260" s="188"/>
      <c r="KZ260" s="188"/>
      <c r="LA260" s="188"/>
      <c r="LB260" s="188"/>
      <c r="LC260" s="188"/>
      <c r="LD260" s="188"/>
      <c r="LE260" s="189"/>
      <c r="LF260" s="187"/>
      <c r="LG260" s="188"/>
      <c r="LH260" s="188"/>
      <c r="LI260" s="188"/>
      <c r="LJ260" s="189"/>
      <c r="LQ260" s="12"/>
      <c r="LR260" s="7"/>
    </row>
    <row r="261" spans="3:330" ht="5.0999999999999996" customHeight="1" x14ac:dyDescent="0.3">
      <c r="C261" s="11"/>
      <c r="D261" s="13"/>
      <c r="GA261" s="332"/>
      <c r="GB261" s="333"/>
      <c r="GC261" s="333"/>
      <c r="GD261" s="333"/>
      <c r="GE261" s="333"/>
      <c r="GF261" s="333"/>
      <c r="GG261" s="333"/>
      <c r="GH261" s="333"/>
      <c r="GI261" s="333"/>
      <c r="GJ261" s="333"/>
      <c r="GK261" s="333"/>
      <c r="GL261" s="333"/>
      <c r="GM261" s="333"/>
      <c r="GN261" s="333"/>
      <c r="GO261" s="333"/>
      <c r="GP261" s="333"/>
      <c r="GQ261" s="333"/>
      <c r="GR261" s="333"/>
      <c r="GS261" s="333"/>
      <c r="GT261" s="333"/>
      <c r="GU261" s="333"/>
      <c r="GV261" s="333"/>
      <c r="GW261" s="333"/>
      <c r="GX261" s="333"/>
      <c r="GY261" s="333"/>
      <c r="GZ261" s="333"/>
      <c r="HA261" s="333"/>
      <c r="HB261" s="333"/>
      <c r="HC261" s="333"/>
      <c r="HD261" s="333"/>
      <c r="HE261" s="333"/>
      <c r="HF261" s="333"/>
      <c r="HG261" s="333"/>
      <c r="HH261" s="333"/>
      <c r="HI261" s="333"/>
      <c r="HJ261" s="333"/>
      <c r="HK261" s="333"/>
      <c r="HL261" s="333"/>
      <c r="HM261" s="333"/>
      <c r="HN261" s="333"/>
      <c r="HO261" s="333"/>
      <c r="HP261" s="333"/>
      <c r="HQ261" s="333"/>
      <c r="HR261" s="333"/>
      <c r="HS261" s="333"/>
      <c r="HT261" s="333"/>
      <c r="HU261" s="333"/>
      <c r="HV261" s="333"/>
      <c r="HW261" s="333"/>
      <c r="HX261" s="334"/>
      <c r="HY261" s="287"/>
      <c r="HZ261" s="288"/>
      <c r="IA261" s="288"/>
      <c r="IB261" s="288"/>
      <c r="IC261" s="288"/>
      <c r="ID261" s="288"/>
      <c r="IE261" s="288"/>
      <c r="IF261" s="288"/>
      <c r="IG261" s="288"/>
      <c r="IH261" s="288"/>
      <c r="II261" s="288"/>
      <c r="IJ261" s="289"/>
      <c r="JH261" s="155"/>
      <c r="JN261" s="16"/>
      <c r="JQ261" s="190"/>
      <c r="JR261" s="191"/>
      <c r="JS261" s="191"/>
      <c r="JT261" s="191"/>
      <c r="JU261" s="191"/>
      <c r="JV261" s="191"/>
      <c r="JW261" s="191"/>
      <c r="JX261" s="191"/>
      <c r="JY261" s="191"/>
      <c r="JZ261" s="191"/>
      <c r="KA261" s="191"/>
      <c r="KB261" s="191"/>
      <c r="KC261" s="191"/>
      <c r="KD261" s="191"/>
      <c r="KE261" s="191"/>
      <c r="KF261" s="191"/>
      <c r="KG261" s="191"/>
      <c r="KH261" s="191"/>
      <c r="KI261" s="191"/>
      <c r="KJ261" s="191"/>
      <c r="KK261" s="191"/>
      <c r="KL261" s="191"/>
      <c r="KM261" s="191"/>
      <c r="KN261" s="191"/>
      <c r="KO261" s="191"/>
      <c r="KP261" s="191"/>
      <c r="KQ261" s="191"/>
      <c r="KR261" s="191"/>
      <c r="KS261" s="191"/>
      <c r="KT261" s="191"/>
      <c r="KU261" s="191"/>
      <c r="KV261" s="191"/>
      <c r="KW261" s="191"/>
      <c r="KX261" s="191"/>
      <c r="KY261" s="191"/>
      <c r="KZ261" s="191"/>
      <c r="LA261" s="191"/>
      <c r="LB261" s="191"/>
      <c r="LC261" s="191"/>
      <c r="LD261" s="191"/>
      <c r="LE261" s="192"/>
      <c r="LF261" s="190"/>
      <c r="LG261" s="191"/>
      <c r="LH261" s="191"/>
      <c r="LI261" s="191"/>
      <c r="LJ261" s="192"/>
      <c r="LQ261" s="12"/>
      <c r="LR261" s="7"/>
    </row>
    <row r="262" spans="3:330" ht="5.0999999999999996" customHeight="1" x14ac:dyDescent="0.3">
      <c r="C262" s="11"/>
      <c r="D262" s="13"/>
      <c r="GA262" s="332"/>
      <c r="GB262" s="333"/>
      <c r="GC262" s="333"/>
      <c r="GD262" s="333"/>
      <c r="GE262" s="333"/>
      <c r="GF262" s="333"/>
      <c r="GG262" s="333"/>
      <c r="GH262" s="333"/>
      <c r="GI262" s="333"/>
      <c r="GJ262" s="333"/>
      <c r="GK262" s="333"/>
      <c r="GL262" s="333"/>
      <c r="GM262" s="333"/>
      <c r="GN262" s="333"/>
      <c r="GO262" s="333"/>
      <c r="GP262" s="333"/>
      <c r="GQ262" s="333"/>
      <c r="GR262" s="333"/>
      <c r="GS262" s="333"/>
      <c r="GT262" s="333"/>
      <c r="GU262" s="333"/>
      <c r="GV262" s="333"/>
      <c r="GW262" s="333"/>
      <c r="GX262" s="333"/>
      <c r="GY262" s="333"/>
      <c r="GZ262" s="333"/>
      <c r="HA262" s="333"/>
      <c r="HB262" s="333"/>
      <c r="HC262" s="333"/>
      <c r="HD262" s="333"/>
      <c r="HE262" s="333"/>
      <c r="HF262" s="333"/>
      <c r="HG262" s="333"/>
      <c r="HH262" s="333"/>
      <c r="HI262" s="333"/>
      <c r="HJ262" s="333"/>
      <c r="HK262" s="333"/>
      <c r="HL262" s="333"/>
      <c r="HM262" s="333"/>
      <c r="HN262" s="333"/>
      <c r="HO262" s="333"/>
      <c r="HP262" s="333"/>
      <c r="HQ262" s="333"/>
      <c r="HR262" s="333"/>
      <c r="HS262" s="333"/>
      <c r="HT262" s="333"/>
      <c r="HU262" s="333"/>
      <c r="HV262" s="333"/>
      <c r="HW262" s="333"/>
      <c r="HX262" s="334"/>
      <c r="HY262" s="287"/>
      <c r="HZ262" s="288"/>
      <c r="IA262" s="288"/>
      <c r="IB262" s="288"/>
      <c r="IC262" s="288"/>
      <c r="ID262" s="288"/>
      <c r="IE262" s="288"/>
      <c r="IF262" s="288"/>
      <c r="IG262" s="288"/>
      <c r="IH262" s="288"/>
      <c r="II262" s="288"/>
      <c r="IJ262" s="289"/>
      <c r="JH262" s="155"/>
      <c r="JN262" s="16"/>
      <c r="JQ262" s="184" t="s">
        <v>152</v>
      </c>
      <c r="JR262" s="185"/>
      <c r="JS262" s="185"/>
      <c r="JT262" s="185"/>
      <c r="JU262" s="185"/>
      <c r="JV262" s="185"/>
      <c r="JW262" s="185"/>
      <c r="JX262" s="185"/>
      <c r="JY262" s="185"/>
      <c r="JZ262" s="185"/>
      <c r="KA262" s="185"/>
      <c r="KB262" s="185"/>
      <c r="KC262" s="185"/>
      <c r="KD262" s="185"/>
      <c r="KE262" s="185"/>
      <c r="KF262" s="185"/>
      <c r="KG262" s="185"/>
      <c r="KH262" s="185"/>
      <c r="KI262" s="185"/>
      <c r="KJ262" s="185"/>
      <c r="KK262" s="185"/>
      <c r="KL262" s="185"/>
      <c r="KM262" s="185"/>
      <c r="KN262" s="185"/>
      <c r="KO262" s="185"/>
      <c r="KP262" s="185"/>
      <c r="KQ262" s="185"/>
      <c r="KR262" s="185"/>
      <c r="KS262" s="185"/>
      <c r="KT262" s="185"/>
      <c r="KU262" s="185"/>
      <c r="KV262" s="185"/>
      <c r="KW262" s="185"/>
      <c r="KX262" s="185"/>
      <c r="KY262" s="185"/>
      <c r="KZ262" s="185"/>
      <c r="LA262" s="185"/>
      <c r="LB262" s="185"/>
      <c r="LC262" s="185"/>
      <c r="LD262" s="185"/>
      <c r="LE262" s="186"/>
      <c r="LF262" s="184">
        <v>8</v>
      </c>
      <c r="LG262" s="185"/>
      <c r="LH262" s="185"/>
      <c r="LI262" s="185"/>
      <c r="LJ262" s="186"/>
      <c r="LQ262" s="12"/>
      <c r="LR262" s="7"/>
    </row>
    <row r="263" spans="3:330" ht="5.0999999999999996" customHeight="1" x14ac:dyDescent="0.3">
      <c r="C263" s="11"/>
      <c r="D263" s="13"/>
      <c r="GA263" s="332"/>
      <c r="GB263" s="333"/>
      <c r="GC263" s="333"/>
      <c r="GD263" s="333"/>
      <c r="GE263" s="333"/>
      <c r="GF263" s="333"/>
      <c r="GG263" s="333"/>
      <c r="GH263" s="333"/>
      <c r="GI263" s="333"/>
      <c r="GJ263" s="333"/>
      <c r="GK263" s="333"/>
      <c r="GL263" s="333"/>
      <c r="GM263" s="333"/>
      <c r="GN263" s="333"/>
      <c r="GO263" s="333"/>
      <c r="GP263" s="333"/>
      <c r="GQ263" s="333"/>
      <c r="GR263" s="333"/>
      <c r="GS263" s="333"/>
      <c r="GT263" s="333"/>
      <c r="GU263" s="333"/>
      <c r="GV263" s="333"/>
      <c r="GW263" s="333"/>
      <c r="GX263" s="333"/>
      <c r="GY263" s="333"/>
      <c r="GZ263" s="333"/>
      <c r="HA263" s="333"/>
      <c r="HB263" s="333"/>
      <c r="HC263" s="333"/>
      <c r="HD263" s="333"/>
      <c r="HE263" s="333"/>
      <c r="HF263" s="333"/>
      <c r="HG263" s="333"/>
      <c r="HH263" s="333"/>
      <c r="HI263" s="333"/>
      <c r="HJ263" s="333"/>
      <c r="HK263" s="333"/>
      <c r="HL263" s="333"/>
      <c r="HM263" s="333"/>
      <c r="HN263" s="333"/>
      <c r="HO263" s="333"/>
      <c r="HP263" s="333"/>
      <c r="HQ263" s="333"/>
      <c r="HR263" s="333"/>
      <c r="HS263" s="333"/>
      <c r="HT263" s="333"/>
      <c r="HU263" s="333"/>
      <c r="HV263" s="333"/>
      <c r="HW263" s="333"/>
      <c r="HX263" s="334"/>
      <c r="HY263" s="287"/>
      <c r="HZ263" s="288"/>
      <c r="IA263" s="288"/>
      <c r="IB263" s="288"/>
      <c r="IC263" s="288"/>
      <c r="ID263" s="288"/>
      <c r="IE263" s="288"/>
      <c r="IF263" s="288"/>
      <c r="IG263" s="288"/>
      <c r="IH263" s="288"/>
      <c r="II263" s="288"/>
      <c r="IJ263" s="289"/>
      <c r="JH263" s="155"/>
      <c r="JN263" s="16"/>
      <c r="JQ263" s="187"/>
      <c r="JR263" s="188"/>
      <c r="JS263" s="188"/>
      <c r="JT263" s="188"/>
      <c r="JU263" s="188"/>
      <c r="JV263" s="188"/>
      <c r="JW263" s="188"/>
      <c r="JX263" s="188"/>
      <c r="JY263" s="188"/>
      <c r="JZ263" s="188"/>
      <c r="KA263" s="188"/>
      <c r="KB263" s="188"/>
      <c r="KC263" s="188"/>
      <c r="KD263" s="188"/>
      <c r="KE263" s="188"/>
      <c r="KF263" s="188"/>
      <c r="KG263" s="188"/>
      <c r="KH263" s="188"/>
      <c r="KI263" s="188"/>
      <c r="KJ263" s="188"/>
      <c r="KK263" s="188"/>
      <c r="KL263" s="188"/>
      <c r="KM263" s="188"/>
      <c r="KN263" s="188"/>
      <c r="KO263" s="188"/>
      <c r="KP263" s="188"/>
      <c r="KQ263" s="188"/>
      <c r="KR263" s="188"/>
      <c r="KS263" s="188"/>
      <c r="KT263" s="188"/>
      <c r="KU263" s="188"/>
      <c r="KV263" s="188"/>
      <c r="KW263" s="188"/>
      <c r="KX263" s="188"/>
      <c r="KY263" s="188"/>
      <c r="KZ263" s="188"/>
      <c r="LA263" s="188"/>
      <c r="LB263" s="188"/>
      <c r="LC263" s="188"/>
      <c r="LD263" s="188"/>
      <c r="LE263" s="189"/>
      <c r="LF263" s="187"/>
      <c r="LG263" s="188"/>
      <c r="LH263" s="188"/>
      <c r="LI263" s="188"/>
      <c r="LJ263" s="189"/>
      <c r="LQ263" s="12"/>
      <c r="LR263" s="7"/>
    </row>
    <row r="264" spans="3:330" ht="5.0999999999999996" customHeight="1" x14ac:dyDescent="0.3">
      <c r="C264" s="11"/>
      <c r="D264" s="13"/>
      <c r="GA264" s="332"/>
      <c r="GB264" s="333"/>
      <c r="GC264" s="333"/>
      <c r="GD264" s="333"/>
      <c r="GE264" s="333"/>
      <c r="GF264" s="333"/>
      <c r="GG264" s="333"/>
      <c r="GH264" s="333"/>
      <c r="GI264" s="333"/>
      <c r="GJ264" s="333"/>
      <c r="GK264" s="333"/>
      <c r="GL264" s="333"/>
      <c r="GM264" s="333"/>
      <c r="GN264" s="333"/>
      <c r="GO264" s="333"/>
      <c r="GP264" s="333"/>
      <c r="GQ264" s="333"/>
      <c r="GR264" s="333"/>
      <c r="GS264" s="333"/>
      <c r="GT264" s="333"/>
      <c r="GU264" s="333"/>
      <c r="GV264" s="333"/>
      <c r="GW264" s="333"/>
      <c r="GX264" s="333"/>
      <c r="GY264" s="333"/>
      <c r="GZ264" s="333"/>
      <c r="HA264" s="333"/>
      <c r="HB264" s="333"/>
      <c r="HC264" s="333"/>
      <c r="HD264" s="333"/>
      <c r="HE264" s="333"/>
      <c r="HF264" s="333"/>
      <c r="HG264" s="333"/>
      <c r="HH264" s="333"/>
      <c r="HI264" s="333"/>
      <c r="HJ264" s="333"/>
      <c r="HK264" s="333"/>
      <c r="HL264" s="333"/>
      <c r="HM264" s="333"/>
      <c r="HN264" s="333"/>
      <c r="HO264" s="333"/>
      <c r="HP264" s="333"/>
      <c r="HQ264" s="333"/>
      <c r="HR264" s="333"/>
      <c r="HS264" s="333"/>
      <c r="HT264" s="333"/>
      <c r="HU264" s="333"/>
      <c r="HV264" s="333"/>
      <c r="HW264" s="333"/>
      <c r="HX264" s="334"/>
      <c r="HY264" s="287"/>
      <c r="HZ264" s="288"/>
      <c r="IA264" s="288"/>
      <c r="IB264" s="288"/>
      <c r="IC264" s="288"/>
      <c r="ID264" s="288"/>
      <c r="IE264" s="288"/>
      <c r="IF264" s="288"/>
      <c r="IG264" s="288"/>
      <c r="IH264" s="288"/>
      <c r="II264" s="288"/>
      <c r="IJ264" s="289"/>
      <c r="JH264" s="155"/>
      <c r="JN264" s="16"/>
      <c r="JQ264" s="187"/>
      <c r="JR264" s="188"/>
      <c r="JS264" s="188"/>
      <c r="JT264" s="188"/>
      <c r="JU264" s="188"/>
      <c r="JV264" s="188"/>
      <c r="JW264" s="188"/>
      <c r="JX264" s="188"/>
      <c r="JY264" s="188"/>
      <c r="JZ264" s="188"/>
      <c r="KA264" s="188"/>
      <c r="KB264" s="188"/>
      <c r="KC264" s="188"/>
      <c r="KD264" s="188"/>
      <c r="KE264" s="188"/>
      <c r="KF264" s="188"/>
      <c r="KG264" s="188"/>
      <c r="KH264" s="188"/>
      <c r="KI264" s="188"/>
      <c r="KJ264" s="188"/>
      <c r="KK264" s="188"/>
      <c r="KL264" s="188"/>
      <c r="KM264" s="188"/>
      <c r="KN264" s="188"/>
      <c r="KO264" s="188"/>
      <c r="KP264" s="188"/>
      <c r="KQ264" s="188"/>
      <c r="KR264" s="188"/>
      <c r="KS264" s="188"/>
      <c r="KT264" s="188"/>
      <c r="KU264" s="188"/>
      <c r="KV264" s="188"/>
      <c r="KW264" s="188"/>
      <c r="KX264" s="188"/>
      <c r="KY264" s="188"/>
      <c r="KZ264" s="188"/>
      <c r="LA264" s="188"/>
      <c r="LB264" s="188"/>
      <c r="LC264" s="188"/>
      <c r="LD264" s="188"/>
      <c r="LE264" s="189"/>
      <c r="LF264" s="187"/>
      <c r="LG264" s="188"/>
      <c r="LH264" s="188"/>
      <c r="LI264" s="188"/>
      <c r="LJ264" s="189"/>
      <c r="LQ264" s="12"/>
      <c r="LR264" s="7"/>
    </row>
    <row r="265" spans="3:330" ht="5.0999999999999996" customHeight="1" thickBot="1" x14ac:dyDescent="0.35">
      <c r="C265" s="11"/>
      <c r="D265" s="13"/>
      <c r="GA265" s="335"/>
      <c r="GB265" s="336"/>
      <c r="GC265" s="336"/>
      <c r="GD265" s="336"/>
      <c r="GE265" s="336"/>
      <c r="GF265" s="336"/>
      <c r="GG265" s="336"/>
      <c r="GH265" s="336"/>
      <c r="GI265" s="336"/>
      <c r="GJ265" s="336"/>
      <c r="GK265" s="336"/>
      <c r="GL265" s="336"/>
      <c r="GM265" s="336"/>
      <c r="GN265" s="336"/>
      <c r="GO265" s="336"/>
      <c r="GP265" s="336"/>
      <c r="GQ265" s="336"/>
      <c r="GR265" s="336"/>
      <c r="GS265" s="336"/>
      <c r="GT265" s="336"/>
      <c r="GU265" s="336"/>
      <c r="GV265" s="336"/>
      <c r="GW265" s="336"/>
      <c r="GX265" s="336"/>
      <c r="GY265" s="336"/>
      <c r="GZ265" s="336"/>
      <c r="HA265" s="336"/>
      <c r="HB265" s="336"/>
      <c r="HC265" s="336"/>
      <c r="HD265" s="336"/>
      <c r="HE265" s="336"/>
      <c r="HF265" s="336"/>
      <c r="HG265" s="336"/>
      <c r="HH265" s="336"/>
      <c r="HI265" s="336"/>
      <c r="HJ265" s="336"/>
      <c r="HK265" s="336"/>
      <c r="HL265" s="336"/>
      <c r="HM265" s="336"/>
      <c r="HN265" s="336"/>
      <c r="HO265" s="336"/>
      <c r="HP265" s="336"/>
      <c r="HQ265" s="336"/>
      <c r="HR265" s="336"/>
      <c r="HS265" s="336"/>
      <c r="HT265" s="336"/>
      <c r="HU265" s="336"/>
      <c r="HV265" s="336"/>
      <c r="HW265" s="336"/>
      <c r="HX265" s="337"/>
      <c r="HY265" s="290"/>
      <c r="HZ265" s="291"/>
      <c r="IA265" s="291"/>
      <c r="IB265" s="291"/>
      <c r="IC265" s="291"/>
      <c r="ID265" s="291"/>
      <c r="IE265" s="291"/>
      <c r="IF265" s="291"/>
      <c r="IG265" s="291"/>
      <c r="IH265" s="291"/>
      <c r="II265" s="291"/>
      <c r="IJ265" s="292"/>
      <c r="JH265" s="155"/>
      <c r="JN265" s="16"/>
      <c r="JQ265" s="187"/>
      <c r="JR265" s="188"/>
      <c r="JS265" s="188"/>
      <c r="JT265" s="188"/>
      <c r="JU265" s="188"/>
      <c r="JV265" s="188"/>
      <c r="JW265" s="188"/>
      <c r="JX265" s="188"/>
      <c r="JY265" s="188"/>
      <c r="JZ265" s="188"/>
      <c r="KA265" s="188"/>
      <c r="KB265" s="188"/>
      <c r="KC265" s="188"/>
      <c r="KD265" s="188"/>
      <c r="KE265" s="188"/>
      <c r="KF265" s="188"/>
      <c r="KG265" s="188"/>
      <c r="KH265" s="188"/>
      <c r="KI265" s="188"/>
      <c r="KJ265" s="188"/>
      <c r="KK265" s="188"/>
      <c r="KL265" s="188"/>
      <c r="KM265" s="188"/>
      <c r="KN265" s="188"/>
      <c r="KO265" s="188"/>
      <c r="KP265" s="188"/>
      <c r="KQ265" s="188"/>
      <c r="KR265" s="188"/>
      <c r="KS265" s="188"/>
      <c r="KT265" s="188"/>
      <c r="KU265" s="188"/>
      <c r="KV265" s="188"/>
      <c r="KW265" s="188"/>
      <c r="KX265" s="188"/>
      <c r="KY265" s="188"/>
      <c r="KZ265" s="188"/>
      <c r="LA265" s="188"/>
      <c r="LB265" s="188"/>
      <c r="LC265" s="188"/>
      <c r="LD265" s="188"/>
      <c r="LE265" s="189"/>
      <c r="LF265" s="187"/>
      <c r="LG265" s="188"/>
      <c r="LH265" s="188"/>
      <c r="LI265" s="188"/>
      <c r="LJ265" s="189"/>
      <c r="LQ265" s="12"/>
      <c r="LR265" s="7"/>
    </row>
    <row r="266" spans="3:330" ht="5.0999999999999996" customHeight="1" x14ac:dyDescent="0.3">
      <c r="C266" s="11"/>
      <c r="D266" s="13"/>
      <c r="GA266" s="329" t="s">
        <v>1</v>
      </c>
      <c r="GB266" s="330"/>
      <c r="GC266" s="330"/>
      <c r="GD266" s="330"/>
      <c r="GE266" s="330"/>
      <c r="GF266" s="330"/>
      <c r="GG266" s="330"/>
      <c r="GH266" s="330"/>
      <c r="GI266" s="330"/>
      <c r="GJ266" s="330"/>
      <c r="GK266" s="330"/>
      <c r="GL266" s="330"/>
      <c r="GM266" s="330"/>
      <c r="GN266" s="330"/>
      <c r="GO266" s="330"/>
      <c r="GP266" s="330"/>
      <c r="GQ266" s="330"/>
      <c r="GR266" s="330"/>
      <c r="GS266" s="330"/>
      <c r="GT266" s="330"/>
      <c r="GU266" s="330"/>
      <c r="GV266" s="330"/>
      <c r="GW266" s="330"/>
      <c r="GX266" s="330"/>
      <c r="GY266" s="330"/>
      <c r="GZ266" s="330"/>
      <c r="HA266" s="330"/>
      <c r="HB266" s="330"/>
      <c r="HC266" s="330"/>
      <c r="HD266" s="330"/>
      <c r="HE266" s="330"/>
      <c r="HF266" s="330"/>
      <c r="HG266" s="330"/>
      <c r="HH266" s="330"/>
      <c r="HI266" s="330"/>
      <c r="HJ266" s="330"/>
      <c r="HK266" s="330"/>
      <c r="HL266" s="330"/>
      <c r="HM266" s="330"/>
      <c r="HN266" s="330"/>
      <c r="HO266" s="330"/>
      <c r="HP266" s="330"/>
      <c r="HQ266" s="330"/>
      <c r="HR266" s="330"/>
      <c r="HS266" s="330"/>
      <c r="HT266" s="330"/>
      <c r="HU266" s="330"/>
      <c r="HV266" s="330"/>
      <c r="HW266" s="330"/>
      <c r="HX266" s="331"/>
      <c r="HY266" s="284">
        <f>IW139</f>
        <v>66</v>
      </c>
      <c r="HZ266" s="285"/>
      <c r="IA266" s="285"/>
      <c r="IB266" s="285"/>
      <c r="IC266" s="285"/>
      <c r="ID266" s="285">
        <f>IW139</f>
        <v>66</v>
      </c>
      <c r="IE266" s="285"/>
      <c r="IF266" s="285"/>
      <c r="IG266" s="285"/>
      <c r="IH266" s="285"/>
      <c r="II266" s="285"/>
      <c r="IJ266" s="286"/>
      <c r="JH266" s="155"/>
      <c r="JN266" s="16"/>
      <c r="JQ266" s="187"/>
      <c r="JR266" s="188"/>
      <c r="JS266" s="188"/>
      <c r="JT266" s="188"/>
      <c r="JU266" s="188"/>
      <c r="JV266" s="188"/>
      <c r="JW266" s="188"/>
      <c r="JX266" s="188"/>
      <c r="JY266" s="188"/>
      <c r="JZ266" s="188"/>
      <c r="KA266" s="188"/>
      <c r="KB266" s="188"/>
      <c r="KC266" s="188"/>
      <c r="KD266" s="188"/>
      <c r="KE266" s="188"/>
      <c r="KF266" s="188"/>
      <c r="KG266" s="188"/>
      <c r="KH266" s="188"/>
      <c r="KI266" s="188"/>
      <c r="KJ266" s="188"/>
      <c r="KK266" s="188"/>
      <c r="KL266" s="188"/>
      <c r="KM266" s="188"/>
      <c r="KN266" s="188"/>
      <c r="KO266" s="188"/>
      <c r="KP266" s="188"/>
      <c r="KQ266" s="188"/>
      <c r="KR266" s="188"/>
      <c r="KS266" s="188"/>
      <c r="KT266" s="188"/>
      <c r="KU266" s="188"/>
      <c r="KV266" s="188"/>
      <c r="KW266" s="188"/>
      <c r="KX266" s="188"/>
      <c r="KY266" s="188"/>
      <c r="KZ266" s="188"/>
      <c r="LA266" s="188"/>
      <c r="LB266" s="188"/>
      <c r="LC266" s="188"/>
      <c r="LD266" s="188"/>
      <c r="LE266" s="189"/>
      <c r="LF266" s="187"/>
      <c r="LG266" s="188"/>
      <c r="LH266" s="188"/>
      <c r="LI266" s="188"/>
      <c r="LJ266" s="189"/>
      <c r="LQ266" s="12"/>
      <c r="LR266" s="7"/>
    </row>
    <row r="267" spans="3:330" ht="5.0999999999999996" customHeight="1" x14ac:dyDescent="0.3">
      <c r="C267" s="11"/>
      <c r="D267" s="13"/>
      <c r="GA267" s="332"/>
      <c r="GB267" s="333"/>
      <c r="GC267" s="333"/>
      <c r="GD267" s="333"/>
      <c r="GE267" s="333"/>
      <c r="GF267" s="333"/>
      <c r="GG267" s="333"/>
      <c r="GH267" s="333"/>
      <c r="GI267" s="333"/>
      <c r="GJ267" s="333"/>
      <c r="GK267" s="333"/>
      <c r="GL267" s="333"/>
      <c r="GM267" s="333"/>
      <c r="GN267" s="333"/>
      <c r="GO267" s="333"/>
      <c r="GP267" s="333"/>
      <c r="GQ267" s="333"/>
      <c r="GR267" s="333"/>
      <c r="GS267" s="333"/>
      <c r="GT267" s="333"/>
      <c r="GU267" s="333"/>
      <c r="GV267" s="333"/>
      <c r="GW267" s="333"/>
      <c r="GX267" s="333"/>
      <c r="GY267" s="333"/>
      <c r="GZ267" s="333"/>
      <c r="HA267" s="333"/>
      <c r="HB267" s="333"/>
      <c r="HC267" s="333"/>
      <c r="HD267" s="333"/>
      <c r="HE267" s="333"/>
      <c r="HF267" s="333"/>
      <c r="HG267" s="333"/>
      <c r="HH267" s="333"/>
      <c r="HI267" s="333"/>
      <c r="HJ267" s="333"/>
      <c r="HK267" s="333"/>
      <c r="HL267" s="333"/>
      <c r="HM267" s="333"/>
      <c r="HN267" s="333"/>
      <c r="HO267" s="333"/>
      <c r="HP267" s="333"/>
      <c r="HQ267" s="333"/>
      <c r="HR267" s="333"/>
      <c r="HS267" s="333"/>
      <c r="HT267" s="333"/>
      <c r="HU267" s="333"/>
      <c r="HV267" s="333"/>
      <c r="HW267" s="333"/>
      <c r="HX267" s="334"/>
      <c r="HY267" s="287"/>
      <c r="HZ267" s="288"/>
      <c r="IA267" s="288"/>
      <c r="IB267" s="288"/>
      <c r="IC267" s="288"/>
      <c r="ID267" s="288"/>
      <c r="IE267" s="288"/>
      <c r="IF267" s="288"/>
      <c r="IG267" s="288"/>
      <c r="IH267" s="288"/>
      <c r="II267" s="288"/>
      <c r="IJ267" s="289"/>
      <c r="JH267" s="155"/>
      <c r="JN267" s="16"/>
      <c r="JQ267" s="187"/>
      <c r="JR267" s="188"/>
      <c r="JS267" s="188"/>
      <c r="JT267" s="188"/>
      <c r="JU267" s="188"/>
      <c r="JV267" s="188"/>
      <c r="JW267" s="188"/>
      <c r="JX267" s="188"/>
      <c r="JY267" s="188"/>
      <c r="JZ267" s="188"/>
      <c r="KA267" s="188"/>
      <c r="KB267" s="188"/>
      <c r="KC267" s="188"/>
      <c r="KD267" s="188"/>
      <c r="KE267" s="188"/>
      <c r="KF267" s="188"/>
      <c r="KG267" s="188"/>
      <c r="KH267" s="188"/>
      <c r="KI267" s="188"/>
      <c r="KJ267" s="188"/>
      <c r="KK267" s="188"/>
      <c r="KL267" s="188"/>
      <c r="KM267" s="188"/>
      <c r="KN267" s="188"/>
      <c r="KO267" s="188"/>
      <c r="KP267" s="188"/>
      <c r="KQ267" s="188"/>
      <c r="KR267" s="188"/>
      <c r="KS267" s="188"/>
      <c r="KT267" s="188"/>
      <c r="KU267" s="188"/>
      <c r="KV267" s="188"/>
      <c r="KW267" s="188"/>
      <c r="KX267" s="188"/>
      <c r="KY267" s="188"/>
      <c r="KZ267" s="188"/>
      <c r="LA267" s="188"/>
      <c r="LB267" s="188"/>
      <c r="LC267" s="188"/>
      <c r="LD267" s="188"/>
      <c r="LE267" s="189"/>
      <c r="LF267" s="187"/>
      <c r="LG267" s="188"/>
      <c r="LH267" s="188"/>
      <c r="LI267" s="188"/>
      <c r="LJ267" s="189"/>
      <c r="LQ267" s="12"/>
      <c r="LR267" s="7"/>
    </row>
    <row r="268" spans="3:330" ht="5.0999999999999996" customHeight="1" x14ac:dyDescent="0.3">
      <c r="C268" s="11"/>
      <c r="D268" s="13"/>
      <c r="GA268" s="332"/>
      <c r="GB268" s="333"/>
      <c r="GC268" s="333"/>
      <c r="GD268" s="333"/>
      <c r="GE268" s="333"/>
      <c r="GF268" s="333"/>
      <c r="GG268" s="333"/>
      <c r="GH268" s="333"/>
      <c r="GI268" s="333"/>
      <c r="GJ268" s="333"/>
      <c r="GK268" s="333"/>
      <c r="GL268" s="333"/>
      <c r="GM268" s="333"/>
      <c r="GN268" s="333"/>
      <c r="GO268" s="333"/>
      <c r="GP268" s="333"/>
      <c r="GQ268" s="333"/>
      <c r="GR268" s="333"/>
      <c r="GS268" s="333"/>
      <c r="GT268" s="333"/>
      <c r="GU268" s="333"/>
      <c r="GV268" s="333"/>
      <c r="GW268" s="333"/>
      <c r="GX268" s="333"/>
      <c r="GY268" s="333"/>
      <c r="GZ268" s="333"/>
      <c r="HA268" s="333"/>
      <c r="HB268" s="333"/>
      <c r="HC268" s="333"/>
      <c r="HD268" s="333"/>
      <c r="HE268" s="333"/>
      <c r="HF268" s="333"/>
      <c r="HG268" s="333"/>
      <c r="HH268" s="333"/>
      <c r="HI268" s="333"/>
      <c r="HJ268" s="333"/>
      <c r="HK268" s="333"/>
      <c r="HL268" s="333"/>
      <c r="HM268" s="333"/>
      <c r="HN268" s="333"/>
      <c r="HO268" s="333"/>
      <c r="HP268" s="333"/>
      <c r="HQ268" s="333"/>
      <c r="HR268" s="333"/>
      <c r="HS268" s="333"/>
      <c r="HT268" s="333"/>
      <c r="HU268" s="333"/>
      <c r="HV268" s="333"/>
      <c r="HW268" s="333"/>
      <c r="HX268" s="334"/>
      <c r="HY268" s="287"/>
      <c r="HZ268" s="288"/>
      <c r="IA268" s="288"/>
      <c r="IB268" s="288"/>
      <c r="IC268" s="288"/>
      <c r="ID268" s="288"/>
      <c r="IE268" s="288"/>
      <c r="IF268" s="288"/>
      <c r="IG268" s="288"/>
      <c r="IH268" s="288"/>
      <c r="II268" s="288"/>
      <c r="IJ268" s="289"/>
      <c r="JH268" s="155"/>
      <c r="JN268" s="16"/>
      <c r="JQ268" s="187"/>
      <c r="JR268" s="188"/>
      <c r="JS268" s="188"/>
      <c r="JT268" s="188"/>
      <c r="JU268" s="188"/>
      <c r="JV268" s="188"/>
      <c r="JW268" s="188"/>
      <c r="JX268" s="188"/>
      <c r="JY268" s="188"/>
      <c r="JZ268" s="188"/>
      <c r="KA268" s="188"/>
      <c r="KB268" s="188"/>
      <c r="KC268" s="188"/>
      <c r="KD268" s="188"/>
      <c r="KE268" s="188"/>
      <c r="KF268" s="188"/>
      <c r="KG268" s="188"/>
      <c r="KH268" s="188"/>
      <c r="KI268" s="188"/>
      <c r="KJ268" s="188"/>
      <c r="KK268" s="188"/>
      <c r="KL268" s="188"/>
      <c r="KM268" s="188"/>
      <c r="KN268" s="188"/>
      <c r="KO268" s="188"/>
      <c r="KP268" s="188"/>
      <c r="KQ268" s="188"/>
      <c r="KR268" s="188"/>
      <c r="KS268" s="188"/>
      <c r="KT268" s="188"/>
      <c r="KU268" s="188"/>
      <c r="KV268" s="188"/>
      <c r="KW268" s="188"/>
      <c r="KX268" s="188"/>
      <c r="KY268" s="188"/>
      <c r="KZ268" s="188"/>
      <c r="LA268" s="188"/>
      <c r="LB268" s="188"/>
      <c r="LC268" s="188"/>
      <c r="LD268" s="188"/>
      <c r="LE268" s="189"/>
      <c r="LF268" s="187"/>
      <c r="LG268" s="188"/>
      <c r="LH268" s="188"/>
      <c r="LI268" s="188"/>
      <c r="LJ268" s="189"/>
      <c r="LQ268" s="12"/>
      <c r="LR268" s="7"/>
    </row>
    <row r="269" spans="3:330" ht="5.0999999999999996" customHeight="1" x14ac:dyDescent="0.3">
      <c r="C269" s="11"/>
      <c r="D269" s="13"/>
      <c r="GA269" s="332"/>
      <c r="GB269" s="333"/>
      <c r="GC269" s="333"/>
      <c r="GD269" s="333"/>
      <c r="GE269" s="333"/>
      <c r="GF269" s="333"/>
      <c r="GG269" s="333"/>
      <c r="GH269" s="333"/>
      <c r="GI269" s="333"/>
      <c r="GJ269" s="333"/>
      <c r="GK269" s="333"/>
      <c r="GL269" s="333"/>
      <c r="GM269" s="333"/>
      <c r="GN269" s="333"/>
      <c r="GO269" s="333"/>
      <c r="GP269" s="333"/>
      <c r="GQ269" s="333"/>
      <c r="GR269" s="333"/>
      <c r="GS269" s="333"/>
      <c r="GT269" s="333"/>
      <c r="GU269" s="333"/>
      <c r="GV269" s="333"/>
      <c r="GW269" s="333"/>
      <c r="GX269" s="333"/>
      <c r="GY269" s="333"/>
      <c r="GZ269" s="333"/>
      <c r="HA269" s="333"/>
      <c r="HB269" s="333"/>
      <c r="HC269" s="333"/>
      <c r="HD269" s="333"/>
      <c r="HE269" s="333"/>
      <c r="HF269" s="333"/>
      <c r="HG269" s="333"/>
      <c r="HH269" s="333"/>
      <c r="HI269" s="333"/>
      <c r="HJ269" s="333"/>
      <c r="HK269" s="333"/>
      <c r="HL269" s="333"/>
      <c r="HM269" s="333"/>
      <c r="HN269" s="333"/>
      <c r="HO269" s="333"/>
      <c r="HP269" s="333"/>
      <c r="HQ269" s="333"/>
      <c r="HR269" s="333"/>
      <c r="HS269" s="333"/>
      <c r="HT269" s="333"/>
      <c r="HU269" s="333"/>
      <c r="HV269" s="333"/>
      <c r="HW269" s="333"/>
      <c r="HX269" s="334"/>
      <c r="HY269" s="287"/>
      <c r="HZ269" s="288"/>
      <c r="IA269" s="288"/>
      <c r="IB269" s="288"/>
      <c r="IC269" s="288"/>
      <c r="ID269" s="288"/>
      <c r="IE269" s="288"/>
      <c r="IF269" s="288"/>
      <c r="IG269" s="288"/>
      <c r="IH269" s="288"/>
      <c r="II269" s="288"/>
      <c r="IJ269" s="289"/>
      <c r="JH269" s="155"/>
      <c r="JN269" s="16"/>
      <c r="JQ269" s="187"/>
      <c r="JR269" s="188"/>
      <c r="JS269" s="188"/>
      <c r="JT269" s="188"/>
      <c r="JU269" s="188"/>
      <c r="JV269" s="188"/>
      <c r="JW269" s="188"/>
      <c r="JX269" s="188"/>
      <c r="JY269" s="188"/>
      <c r="JZ269" s="188"/>
      <c r="KA269" s="188"/>
      <c r="KB269" s="188"/>
      <c r="KC269" s="188"/>
      <c r="KD269" s="188"/>
      <c r="KE269" s="188"/>
      <c r="KF269" s="188"/>
      <c r="KG269" s="188"/>
      <c r="KH269" s="188"/>
      <c r="KI269" s="188"/>
      <c r="KJ269" s="188"/>
      <c r="KK269" s="188"/>
      <c r="KL269" s="188"/>
      <c r="KM269" s="188"/>
      <c r="KN269" s="188"/>
      <c r="KO269" s="188"/>
      <c r="KP269" s="188"/>
      <c r="KQ269" s="188"/>
      <c r="KR269" s="188"/>
      <c r="KS269" s="188"/>
      <c r="KT269" s="188"/>
      <c r="KU269" s="188"/>
      <c r="KV269" s="188"/>
      <c r="KW269" s="188"/>
      <c r="KX269" s="188"/>
      <c r="KY269" s="188"/>
      <c r="KZ269" s="188"/>
      <c r="LA269" s="188"/>
      <c r="LB269" s="188"/>
      <c r="LC269" s="188"/>
      <c r="LD269" s="188"/>
      <c r="LE269" s="189"/>
      <c r="LF269" s="187"/>
      <c r="LG269" s="188"/>
      <c r="LH269" s="188"/>
      <c r="LI269" s="188"/>
      <c r="LJ269" s="189"/>
      <c r="LQ269" s="12"/>
      <c r="LR269" s="7"/>
    </row>
    <row r="270" spans="3:330" ht="5.0999999999999996" customHeight="1" x14ac:dyDescent="0.3">
      <c r="C270" s="11"/>
      <c r="D270" s="13"/>
      <c r="GA270" s="332"/>
      <c r="GB270" s="333"/>
      <c r="GC270" s="333"/>
      <c r="GD270" s="333"/>
      <c r="GE270" s="333"/>
      <c r="GF270" s="333"/>
      <c r="GG270" s="333"/>
      <c r="GH270" s="333"/>
      <c r="GI270" s="333"/>
      <c r="GJ270" s="333"/>
      <c r="GK270" s="333"/>
      <c r="GL270" s="333"/>
      <c r="GM270" s="333"/>
      <c r="GN270" s="333"/>
      <c r="GO270" s="333"/>
      <c r="GP270" s="333"/>
      <c r="GQ270" s="333"/>
      <c r="GR270" s="333"/>
      <c r="GS270" s="333"/>
      <c r="GT270" s="333"/>
      <c r="GU270" s="333"/>
      <c r="GV270" s="333"/>
      <c r="GW270" s="333"/>
      <c r="GX270" s="333"/>
      <c r="GY270" s="333"/>
      <c r="GZ270" s="333"/>
      <c r="HA270" s="333"/>
      <c r="HB270" s="333"/>
      <c r="HC270" s="333"/>
      <c r="HD270" s="333"/>
      <c r="HE270" s="333"/>
      <c r="HF270" s="333"/>
      <c r="HG270" s="333"/>
      <c r="HH270" s="333"/>
      <c r="HI270" s="333"/>
      <c r="HJ270" s="333"/>
      <c r="HK270" s="333"/>
      <c r="HL270" s="333"/>
      <c r="HM270" s="333"/>
      <c r="HN270" s="333"/>
      <c r="HO270" s="333"/>
      <c r="HP270" s="333"/>
      <c r="HQ270" s="333"/>
      <c r="HR270" s="333"/>
      <c r="HS270" s="333"/>
      <c r="HT270" s="333"/>
      <c r="HU270" s="333"/>
      <c r="HV270" s="333"/>
      <c r="HW270" s="333"/>
      <c r="HX270" s="334"/>
      <c r="HY270" s="287"/>
      <c r="HZ270" s="288"/>
      <c r="IA270" s="288"/>
      <c r="IB270" s="288"/>
      <c r="IC270" s="288"/>
      <c r="ID270" s="288"/>
      <c r="IE270" s="288"/>
      <c r="IF270" s="288"/>
      <c r="IG270" s="288"/>
      <c r="IH270" s="288"/>
      <c r="II270" s="288"/>
      <c r="IJ270" s="289"/>
      <c r="JH270" s="155"/>
      <c r="JN270" s="16"/>
      <c r="JQ270" s="187"/>
      <c r="JR270" s="188"/>
      <c r="JS270" s="188"/>
      <c r="JT270" s="188"/>
      <c r="JU270" s="188"/>
      <c r="JV270" s="188"/>
      <c r="JW270" s="188"/>
      <c r="JX270" s="188"/>
      <c r="JY270" s="188"/>
      <c r="JZ270" s="188"/>
      <c r="KA270" s="188"/>
      <c r="KB270" s="188"/>
      <c r="KC270" s="188"/>
      <c r="KD270" s="188"/>
      <c r="KE270" s="188"/>
      <c r="KF270" s="188"/>
      <c r="KG270" s="188"/>
      <c r="KH270" s="188"/>
      <c r="KI270" s="188"/>
      <c r="KJ270" s="188"/>
      <c r="KK270" s="188"/>
      <c r="KL270" s="188"/>
      <c r="KM270" s="188"/>
      <c r="KN270" s="188"/>
      <c r="KO270" s="188"/>
      <c r="KP270" s="188"/>
      <c r="KQ270" s="188"/>
      <c r="KR270" s="188"/>
      <c r="KS270" s="188"/>
      <c r="KT270" s="188"/>
      <c r="KU270" s="188"/>
      <c r="KV270" s="188"/>
      <c r="KW270" s="188"/>
      <c r="KX270" s="188"/>
      <c r="KY270" s="188"/>
      <c r="KZ270" s="188"/>
      <c r="LA270" s="188"/>
      <c r="LB270" s="188"/>
      <c r="LC270" s="188"/>
      <c r="LD270" s="188"/>
      <c r="LE270" s="189"/>
      <c r="LF270" s="187"/>
      <c r="LG270" s="188"/>
      <c r="LH270" s="188"/>
      <c r="LI270" s="188"/>
      <c r="LJ270" s="189"/>
      <c r="LQ270" s="12"/>
      <c r="LR270" s="7"/>
    </row>
    <row r="271" spans="3:330" ht="5.0999999999999996" customHeight="1" x14ac:dyDescent="0.3">
      <c r="C271" s="11"/>
      <c r="D271" s="13"/>
      <c r="GA271" s="332"/>
      <c r="GB271" s="333"/>
      <c r="GC271" s="333"/>
      <c r="GD271" s="333"/>
      <c r="GE271" s="333"/>
      <c r="GF271" s="333"/>
      <c r="GG271" s="333"/>
      <c r="GH271" s="333"/>
      <c r="GI271" s="333"/>
      <c r="GJ271" s="333"/>
      <c r="GK271" s="333"/>
      <c r="GL271" s="333"/>
      <c r="GM271" s="333"/>
      <c r="GN271" s="333"/>
      <c r="GO271" s="333"/>
      <c r="GP271" s="333"/>
      <c r="GQ271" s="333"/>
      <c r="GR271" s="333"/>
      <c r="GS271" s="333"/>
      <c r="GT271" s="333"/>
      <c r="GU271" s="333"/>
      <c r="GV271" s="333"/>
      <c r="GW271" s="333"/>
      <c r="GX271" s="333"/>
      <c r="GY271" s="333"/>
      <c r="GZ271" s="333"/>
      <c r="HA271" s="333"/>
      <c r="HB271" s="333"/>
      <c r="HC271" s="333"/>
      <c r="HD271" s="333"/>
      <c r="HE271" s="333"/>
      <c r="HF271" s="333"/>
      <c r="HG271" s="333"/>
      <c r="HH271" s="333"/>
      <c r="HI271" s="333"/>
      <c r="HJ271" s="333"/>
      <c r="HK271" s="333"/>
      <c r="HL271" s="333"/>
      <c r="HM271" s="333"/>
      <c r="HN271" s="333"/>
      <c r="HO271" s="333"/>
      <c r="HP271" s="333"/>
      <c r="HQ271" s="333"/>
      <c r="HR271" s="333"/>
      <c r="HS271" s="333"/>
      <c r="HT271" s="333"/>
      <c r="HU271" s="333"/>
      <c r="HV271" s="333"/>
      <c r="HW271" s="333"/>
      <c r="HX271" s="334"/>
      <c r="HY271" s="287"/>
      <c r="HZ271" s="288"/>
      <c r="IA271" s="288"/>
      <c r="IB271" s="288"/>
      <c r="IC271" s="288"/>
      <c r="ID271" s="288"/>
      <c r="IE271" s="288"/>
      <c r="IF271" s="288"/>
      <c r="IG271" s="288"/>
      <c r="IH271" s="288"/>
      <c r="II271" s="288"/>
      <c r="IJ271" s="289"/>
      <c r="JH271" s="155"/>
      <c r="JN271" s="16"/>
      <c r="JQ271" s="190"/>
      <c r="JR271" s="191"/>
      <c r="JS271" s="191"/>
      <c r="JT271" s="191"/>
      <c r="JU271" s="191"/>
      <c r="JV271" s="191"/>
      <c r="JW271" s="191"/>
      <c r="JX271" s="191"/>
      <c r="JY271" s="191"/>
      <c r="JZ271" s="191"/>
      <c r="KA271" s="191"/>
      <c r="KB271" s="191"/>
      <c r="KC271" s="191"/>
      <c r="KD271" s="191"/>
      <c r="KE271" s="191"/>
      <c r="KF271" s="191"/>
      <c r="KG271" s="191"/>
      <c r="KH271" s="191"/>
      <c r="KI271" s="191"/>
      <c r="KJ271" s="191"/>
      <c r="KK271" s="191"/>
      <c r="KL271" s="191"/>
      <c r="KM271" s="191"/>
      <c r="KN271" s="191"/>
      <c r="KO271" s="191"/>
      <c r="KP271" s="191"/>
      <c r="KQ271" s="191"/>
      <c r="KR271" s="191"/>
      <c r="KS271" s="191"/>
      <c r="KT271" s="191"/>
      <c r="KU271" s="191"/>
      <c r="KV271" s="191"/>
      <c r="KW271" s="191"/>
      <c r="KX271" s="191"/>
      <c r="KY271" s="191"/>
      <c r="KZ271" s="191"/>
      <c r="LA271" s="191"/>
      <c r="LB271" s="191"/>
      <c r="LC271" s="191"/>
      <c r="LD271" s="191"/>
      <c r="LE271" s="192"/>
      <c r="LF271" s="190"/>
      <c r="LG271" s="191"/>
      <c r="LH271" s="191"/>
      <c r="LI271" s="191"/>
      <c r="LJ271" s="192"/>
      <c r="LQ271" s="12"/>
      <c r="LR271" s="7"/>
    </row>
    <row r="272" spans="3:330" ht="5.0999999999999996" customHeight="1" thickBot="1" x14ac:dyDescent="0.35">
      <c r="C272" s="11"/>
      <c r="D272" s="13"/>
      <c r="GA272" s="335"/>
      <c r="GB272" s="336"/>
      <c r="GC272" s="336"/>
      <c r="GD272" s="336"/>
      <c r="GE272" s="336"/>
      <c r="GF272" s="336"/>
      <c r="GG272" s="336"/>
      <c r="GH272" s="336"/>
      <c r="GI272" s="336"/>
      <c r="GJ272" s="336"/>
      <c r="GK272" s="336"/>
      <c r="GL272" s="336"/>
      <c r="GM272" s="336"/>
      <c r="GN272" s="336"/>
      <c r="GO272" s="336"/>
      <c r="GP272" s="336"/>
      <c r="GQ272" s="336"/>
      <c r="GR272" s="336"/>
      <c r="GS272" s="336"/>
      <c r="GT272" s="336"/>
      <c r="GU272" s="336"/>
      <c r="GV272" s="336"/>
      <c r="GW272" s="336"/>
      <c r="GX272" s="336"/>
      <c r="GY272" s="336"/>
      <c r="GZ272" s="336"/>
      <c r="HA272" s="336"/>
      <c r="HB272" s="336"/>
      <c r="HC272" s="336"/>
      <c r="HD272" s="336"/>
      <c r="HE272" s="336"/>
      <c r="HF272" s="336"/>
      <c r="HG272" s="336"/>
      <c r="HH272" s="336"/>
      <c r="HI272" s="336"/>
      <c r="HJ272" s="336"/>
      <c r="HK272" s="336"/>
      <c r="HL272" s="336"/>
      <c r="HM272" s="336"/>
      <c r="HN272" s="336"/>
      <c r="HO272" s="336"/>
      <c r="HP272" s="336"/>
      <c r="HQ272" s="336"/>
      <c r="HR272" s="336"/>
      <c r="HS272" s="336"/>
      <c r="HT272" s="336"/>
      <c r="HU272" s="336"/>
      <c r="HV272" s="336"/>
      <c r="HW272" s="336"/>
      <c r="HX272" s="337"/>
      <c r="HY272" s="290"/>
      <c r="HZ272" s="291"/>
      <c r="IA272" s="291"/>
      <c r="IB272" s="291"/>
      <c r="IC272" s="291"/>
      <c r="ID272" s="291"/>
      <c r="IE272" s="291"/>
      <c r="IF272" s="291"/>
      <c r="IG272" s="291"/>
      <c r="IH272" s="291"/>
      <c r="II272" s="291"/>
      <c r="IJ272" s="292"/>
      <c r="JH272" s="155"/>
      <c r="JN272" s="16"/>
      <c r="LQ272" s="12"/>
      <c r="LR272" s="7"/>
    </row>
    <row r="273" spans="3:330" ht="5.0999999999999996" customHeight="1" x14ac:dyDescent="0.3">
      <c r="C273" s="11"/>
      <c r="D273" s="13"/>
      <c r="GA273" s="329" t="s">
        <v>0</v>
      </c>
      <c r="GB273" s="330"/>
      <c r="GC273" s="330"/>
      <c r="GD273" s="330"/>
      <c r="GE273" s="330"/>
      <c r="GF273" s="330"/>
      <c r="GG273" s="330"/>
      <c r="GH273" s="330"/>
      <c r="GI273" s="330"/>
      <c r="GJ273" s="330"/>
      <c r="GK273" s="330"/>
      <c r="GL273" s="330"/>
      <c r="GM273" s="330"/>
      <c r="GN273" s="330"/>
      <c r="GO273" s="330"/>
      <c r="GP273" s="330"/>
      <c r="GQ273" s="330"/>
      <c r="GR273" s="330"/>
      <c r="GS273" s="330"/>
      <c r="GT273" s="330"/>
      <c r="GU273" s="330"/>
      <c r="GV273" s="330"/>
      <c r="GW273" s="330"/>
      <c r="GX273" s="330"/>
      <c r="GY273" s="330"/>
      <c r="GZ273" s="330"/>
      <c r="HA273" s="330"/>
      <c r="HB273" s="330"/>
      <c r="HC273" s="330"/>
      <c r="HD273" s="330"/>
      <c r="HE273" s="330"/>
      <c r="HF273" s="330"/>
      <c r="HG273" s="330"/>
      <c r="HH273" s="330"/>
      <c r="HI273" s="330"/>
      <c r="HJ273" s="330"/>
      <c r="HK273" s="330"/>
      <c r="HL273" s="330"/>
      <c r="HM273" s="330"/>
      <c r="HN273" s="330"/>
      <c r="HO273" s="330"/>
      <c r="HP273" s="330"/>
      <c r="HQ273" s="330"/>
      <c r="HR273" s="330"/>
      <c r="HS273" s="330"/>
      <c r="HT273" s="330"/>
      <c r="HU273" s="330"/>
      <c r="HV273" s="330"/>
      <c r="HW273" s="330"/>
      <c r="HX273" s="331"/>
      <c r="HY273" s="284">
        <f>SUM(HY252,HY259,HY266,HY245)</f>
        <v>207</v>
      </c>
      <c r="HZ273" s="285"/>
      <c r="IA273" s="285"/>
      <c r="IB273" s="285"/>
      <c r="IC273" s="285"/>
      <c r="ID273" s="285">
        <f>SUM(HY252,ID259,ID266)</f>
        <v>176</v>
      </c>
      <c r="IE273" s="285"/>
      <c r="IF273" s="285"/>
      <c r="IG273" s="285"/>
      <c r="IH273" s="285"/>
      <c r="II273" s="285"/>
      <c r="IJ273" s="286"/>
      <c r="JH273" s="155"/>
      <c r="JN273" s="16"/>
      <c r="JQ273" s="184" t="s">
        <v>158</v>
      </c>
      <c r="JR273" s="185"/>
      <c r="JS273" s="185"/>
      <c r="JT273" s="185"/>
      <c r="JU273" s="185"/>
      <c r="JV273" s="185"/>
      <c r="JW273" s="185"/>
      <c r="JX273" s="185"/>
      <c r="JY273" s="185"/>
      <c r="JZ273" s="185"/>
      <c r="KA273" s="185"/>
      <c r="KB273" s="185"/>
      <c r="KC273" s="185"/>
      <c r="KD273" s="185"/>
      <c r="KE273" s="185"/>
      <c r="KF273" s="185"/>
      <c r="KG273" s="185"/>
      <c r="KH273" s="185"/>
      <c r="KI273" s="185"/>
      <c r="KJ273" s="185"/>
      <c r="KK273" s="185"/>
      <c r="KL273" s="185"/>
      <c r="KM273" s="185"/>
      <c r="KN273" s="185"/>
      <c r="KO273" s="185"/>
      <c r="KP273" s="185"/>
      <c r="KQ273" s="185"/>
      <c r="KR273" s="185"/>
      <c r="KS273" s="185"/>
      <c r="KT273" s="185"/>
      <c r="KU273" s="185"/>
      <c r="KV273" s="185"/>
      <c r="KW273" s="185"/>
      <c r="KX273" s="185"/>
      <c r="KY273" s="185"/>
      <c r="KZ273" s="185"/>
      <c r="LA273" s="185"/>
      <c r="LB273" s="185"/>
      <c r="LC273" s="185"/>
      <c r="LD273" s="185"/>
      <c r="LE273" s="186"/>
      <c r="LF273" s="184">
        <v>1</v>
      </c>
      <c r="LG273" s="185"/>
      <c r="LH273" s="185"/>
      <c r="LI273" s="185"/>
      <c r="LJ273" s="186"/>
      <c r="LQ273" s="12"/>
      <c r="LR273" s="7"/>
    </row>
    <row r="274" spans="3:330" ht="5.0999999999999996" customHeight="1" x14ac:dyDescent="0.3">
      <c r="C274" s="11"/>
      <c r="D274" s="13"/>
      <c r="GA274" s="332"/>
      <c r="GB274" s="333"/>
      <c r="GC274" s="333"/>
      <c r="GD274" s="333"/>
      <c r="GE274" s="333"/>
      <c r="GF274" s="333"/>
      <c r="GG274" s="333"/>
      <c r="GH274" s="333"/>
      <c r="GI274" s="333"/>
      <c r="GJ274" s="333"/>
      <c r="GK274" s="333"/>
      <c r="GL274" s="333"/>
      <c r="GM274" s="333"/>
      <c r="GN274" s="333"/>
      <c r="GO274" s="333"/>
      <c r="GP274" s="333"/>
      <c r="GQ274" s="333"/>
      <c r="GR274" s="333"/>
      <c r="GS274" s="333"/>
      <c r="GT274" s="333"/>
      <c r="GU274" s="333"/>
      <c r="GV274" s="333"/>
      <c r="GW274" s="333"/>
      <c r="GX274" s="333"/>
      <c r="GY274" s="333"/>
      <c r="GZ274" s="333"/>
      <c r="HA274" s="333"/>
      <c r="HB274" s="333"/>
      <c r="HC274" s="333"/>
      <c r="HD274" s="333"/>
      <c r="HE274" s="333"/>
      <c r="HF274" s="333"/>
      <c r="HG274" s="333"/>
      <c r="HH274" s="333"/>
      <c r="HI274" s="333"/>
      <c r="HJ274" s="333"/>
      <c r="HK274" s="333"/>
      <c r="HL274" s="333"/>
      <c r="HM274" s="333"/>
      <c r="HN274" s="333"/>
      <c r="HO274" s="333"/>
      <c r="HP274" s="333"/>
      <c r="HQ274" s="333"/>
      <c r="HR274" s="333"/>
      <c r="HS274" s="333"/>
      <c r="HT274" s="333"/>
      <c r="HU274" s="333"/>
      <c r="HV274" s="333"/>
      <c r="HW274" s="333"/>
      <c r="HX274" s="334"/>
      <c r="HY274" s="287"/>
      <c r="HZ274" s="288"/>
      <c r="IA274" s="288"/>
      <c r="IB274" s="288"/>
      <c r="IC274" s="288"/>
      <c r="ID274" s="288"/>
      <c r="IE274" s="288"/>
      <c r="IF274" s="288"/>
      <c r="IG274" s="288"/>
      <c r="IH274" s="288"/>
      <c r="II274" s="288"/>
      <c r="IJ274" s="289"/>
      <c r="JH274" s="155"/>
      <c r="JN274" s="16"/>
      <c r="JQ274" s="187"/>
      <c r="JR274" s="188"/>
      <c r="JS274" s="188"/>
      <c r="JT274" s="188"/>
      <c r="JU274" s="188"/>
      <c r="JV274" s="188"/>
      <c r="JW274" s="188"/>
      <c r="JX274" s="188"/>
      <c r="JY274" s="188"/>
      <c r="JZ274" s="188"/>
      <c r="KA274" s="188"/>
      <c r="KB274" s="188"/>
      <c r="KC274" s="188"/>
      <c r="KD274" s="188"/>
      <c r="KE274" s="188"/>
      <c r="KF274" s="188"/>
      <c r="KG274" s="188"/>
      <c r="KH274" s="188"/>
      <c r="KI274" s="188"/>
      <c r="KJ274" s="188"/>
      <c r="KK274" s="188"/>
      <c r="KL274" s="188"/>
      <c r="KM274" s="188"/>
      <c r="KN274" s="188"/>
      <c r="KO274" s="188"/>
      <c r="KP274" s="188"/>
      <c r="KQ274" s="188"/>
      <c r="KR274" s="188"/>
      <c r="KS274" s="188"/>
      <c r="KT274" s="188"/>
      <c r="KU274" s="188"/>
      <c r="KV274" s="188"/>
      <c r="KW274" s="188"/>
      <c r="KX274" s="188"/>
      <c r="KY274" s="188"/>
      <c r="KZ274" s="188"/>
      <c r="LA274" s="188"/>
      <c r="LB274" s="188"/>
      <c r="LC274" s="188"/>
      <c r="LD274" s="188"/>
      <c r="LE274" s="189"/>
      <c r="LF274" s="187"/>
      <c r="LG274" s="188"/>
      <c r="LH274" s="188"/>
      <c r="LI274" s="188"/>
      <c r="LJ274" s="189"/>
      <c r="LQ274" s="12"/>
      <c r="LR274" s="7"/>
    </row>
    <row r="275" spans="3:330" ht="5.0999999999999996" customHeight="1" x14ac:dyDescent="0.3">
      <c r="C275" s="11"/>
      <c r="D275" s="13"/>
      <c r="GA275" s="332"/>
      <c r="GB275" s="333"/>
      <c r="GC275" s="333"/>
      <c r="GD275" s="333"/>
      <c r="GE275" s="333"/>
      <c r="GF275" s="333"/>
      <c r="GG275" s="333"/>
      <c r="GH275" s="333"/>
      <c r="GI275" s="333"/>
      <c r="GJ275" s="333"/>
      <c r="GK275" s="333"/>
      <c r="GL275" s="333"/>
      <c r="GM275" s="333"/>
      <c r="GN275" s="333"/>
      <c r="GO275" s="333"/>
      <c r="GP275" s="333"/>
      <c r="GQ275" s="333"/>
      <c r="GR275" s="333"/>
      <c r="GS275" s="333"/>
      <c r="GT275" s="333"/>
      <c r="GU275" s="333"/>
      <c r="GV275" s="333"/>
      <c r="GW275" s="333"/>
      <c r="GX275" s="333"/>
      <c r="GY275" s="333"/>
      <c r="GZ275" s="333"/>
      <c r="HA275" s="333"/>
      <c r="HB275" s="333"/>
      <c r="HC275" s="333"/>
      <c r="HD275" s="333"/>
      <c r="HE275" s="333"/>
      <c r="HF275" s="333"/>
      <c r="HG275" s="333"/>
      <c r="HH275" s="333"/>
      <c r="HI275" s="333"/>
      <c r="HJ275" s="333"/>
      <c r="HK275" s="333"/>
      <c r="HL275" s="333"/>
      <c r="HM275" s="333"/>
      <c r="HN275" s="333"/>
      <c r="HO275" s="333"/>
      <c r="HP275" s="333"/>
      <c r="HQ275" s="333"/>
      <c r="HR275" s="333"/>
      <c r="HS275" s="333"/>
      <c r="HT275" s="333"/>
      <c r="HU275" s="333"/>
      <c r="HV275" s="333"/>
      <c r="HW275" s="333"/>
      <c r="HX275" s="334"/>
      <c r="HY275" s="287"/>
      <c r="HZ275" s="288"/>
      <c r="IA275" s="288"/>
      <c r="IB275" s="288"/>
      <c r="IC275" s="288"/>
      <c r="ID275" s="288"/>
      <c r="IE275" s="288"/>
      <c r="IF275" s="288"/>
      <c r="IG275" s="288"/>
      <c r="IH275" s="288"/>
      <c r="II275" s="288"/>
      <c r="IJ275" s="289"/>
      <c r="JH275" s="155"/>
      <c r="JN275" s="16"/>
      <c r="JQ275" s="187"/>
      <c r="JR275" s="188"/>
      <c r="JS275" s="188"/>
      <c r="JT275" s="188"/>
      <c r="JU275" s="188"/>
      <c r="JV275" s="188"/>
      <c r="JW275" s="188"/>
      <c r="JX275" s="188"/>
      <c r="JY275" s="188"/>
      <c r="JZ275" s="188"/>
      <c r="KA275" s="188"/>
      <c r="KB275" s="188"/>
      <c r="KC275" s="188"/>
      <c r="KD275" s="188"/>
      <c r="KE275" s="188"/>
      <c r="KF275" s="188"/>
      <c r="KG275" s="188"/>
      <c r="KH275" s="188"/>
      <c r="KI275" s="188"/>
      <c r="KJ275" s="188"/>
      <c r="KK275" s="188"/>
      <c r="KL275" s="188"/>
      <c r="KM275" s="188"/>
      <c r="KN275" s="188"/>
      <c r="KO275" s="188"/>
      <c r="KP275" s="188"/>
      <c r="KQ275" s="188"/>
      <c r="KR275" s="188"/>
      <c r="KS275" s="188"/>
      <c r="KT275" s="188"/>
      <c r="KU275" s="188"/>
      <c r="KV275" s="188"/>
      <c r="KW275" s="188"/>
      <c r="KX275" s="188"/>
      <c r="KY275" s="188"/>
      <c r="KZ275" s="188"/>
      <c r="LA275" s="188"/>
      <c r="LB275" s="188"/>
      <c r="LC275" s="188"/>
      <c r="LD275" s="188"/>
      <c r="LE275" s="189"/>
      <c r="LF275" s="187"/>
      <c r="LG275" s="188"/>
      <c r="LH275" s="188"/>
      <c r="LI275" s="188"/>
      <c r="LJ275" s="189"/>
      <c r="LQ275" s="12"/>
      <c r="LR275" s="7"/>
    </row>
    <row r="276" spans="3:330" ht="5.0999999999999996" customHeight="1" thickBot="1" x14ac:dyDescent="0.35">
      <c r="C276" s="11"/>
      <c r="D276" s="13"/>
      <c r="GA276" s="332"/>
      <c r="GB276" s="333"/>
      <c r="GC276" s="333"/>
      <c r="GD276" s="333"/>
      <c r="GE276" s="333"/>
      <c r="GF276" s="333"/>
      <c r="GG276" s="333"/>
      <c r="GH276" s="333"/>
      <c r="GI276" s="333"/>
      <c r="GJ276" s="333"/>
      <c r="GK276" s="333"/>
      <c r="GL276" s="333"/>
      <c r="GM276" s="333"/>
      <c r="GN276" s="333"/>
      <c r="GO276" s="333"/>
      <c r="GP276" s="333"/>
      <c r="GQ276" s="333"/>
      <c r="GR276" s="333"/>
      <c r="GS276" s="333"/>
      <c r="GT276" s="333"/>
      <c r="GU276" s="333"/>
      <c r="GV276" s="333"/>
      <c r="GW276" s="333"/>
      <c r="GX276" s="333"/>
      <c r="GY276" s="333"/>
      <c r="GZ276" s="333"/>
      <c r="HA276" s="333"/>
      <c r="HB276" s="333"/>
      <c r="HC276" s="333"/>
      <c r="HD276" s="333"/>
      <c r="HE276" s="333"/>
      <c r="HF276" s="333"/>
      <c r="HG276" s="333"/>
      <c r="HH276" s="333"/>
      <c r="HI276" s="333"/>
      <c r="HJ276" s="333"/>
      <c r="HK276" s="333"/>
      <c r="HL276" s="333"/>
      <c r="HM276" s="333"/>
      <c r="HN276" s="333"/>
      <c r="HO276" s="333"/>
      <c r="HP276" s="333"/>
      <c r="HQ276" s="333"/>
      <c r="HR276" s="333"/>
      <c r="HS276" s="333"/>
      <c r="HT276" s="333"/>
      <c r="HU276" s="333"/>
      <c r="HV276" s="333"/>
      <c r="HW276" s="333"/>
      <c r="HX276" s="334"/>
      <c r="HY276" s="287"/>
      <c r="HZ276" s="288"/>
      <c r="IA276" s="288"/>
      <c r="IB276" s="288"/>
      <c r="IC276" s="288"/>
      <c r="ID276" s="288"/>
      <c r="IE276" s="288"/>
      <c r="IF276" s="288"/>
      <c r="IG276" s="288"/>
      <c r="IH276" s="288"/>
      <c r="II276" s="288"/>
      <c r="IJ276" s="289"/>
      <c r="JH276" s="155"/>
      <c r="JN276" s="16"/>
      <c r="JQ276" s="187"/>
      <c r="JR276" s="188"/>
      <c r="JS276" s="188"/>
      <c r="JT276" s="188"/>
      <c r="JU276" s="188"/>
      <c r="JV276" s="188"/>
      <c r="JW276" s="188"/>
      <c r="JX276" s="188"/>
      <c r="JY276" s="188"/>
      <c r="JZ276" s="188"/>
      <c r="KA276" s="188"/>
      <c r="KB276" s="188"/>
      <c r="KC276" s="188"/>
      <c r="KD276" s="188"/>
      <c r="KE276" s="188"/>
      <c r="KF276" s="188"/>
      <c r="KG276" s="188"/>
      <c r="KH276" s="188"/>
      <c r="KI276" s="188"/>
      <c r="KJ276" s="188"/>
      <c r="KK276" s="188"/>
      <c r="KL276" s="188"/>
      <c r="KM276" s="188"/>
      <c r="KN276" s="188"/>
      <c r="KO276" s="188"/>
      <c r="KP276" s="188"/>
      <c r="KQ276" s="188"/>
      <c r="KR276" s="188"/>
      <c r="KS276" s="188"/>
      <c r="KT276" s="188"/>
      <c r="KU276" s="188"/>
      <c r="KV276" s="188"/>
      <c r="KW276" s="188"/>
      <c r="KX276" s="188"/>
      <c r="KY276" s="188"/>
      <c r="KZ276" s="188"/>
      <c r="LA276" s="188"/>
      <c r="LB276" s="188"/>
      <c r="LC276" s="188"/>
      <c r="LD276" s="188"/>
      <c r="LE276" s="189"/>
      <c r="LF276" s="187"/>
      <c r="LG276" s="188"/>
      <c r="LH276" s="188"/>
      <c r="LI276" s="188"/>
      <c r="LJ276" s="189"/>
      <c r="LQ276" s="12"/>
      <c r="LR276" s="7"/>
    </row>
    <row r="277" spans="3:330" ht="5.0999999999999996" customHeight="1" x14ac:dyDescent="0.3">
      <c r="C277" s="11"/>
      <c r="D277" s="13"/>
      <c r="H277" s="267" t="s">
        <v>22</v>
      </c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  <c r="AA277" s="268"/>
      <c r="AB277" s="268"/>
      <c r="AC277" s="268"/>
      <c r="AD277" s="268"/>
      <c r="AE277" s="268"/>
      <c r="AF277" s="268"/>
      <c r="AG277" s="268"/>
      <c r="AH277" s="268"/>
      <c r="AI277" s="269"/>
      <c r="AJ277" s="267" t="s">
        <v>23</v>
      </c>
      <c r="AK277" s="268"/>
      <c r="AL277" s="268"/>
      <c r="AM277" s="268"/>
      <c r="AN277" s="268"/>
      <c r="AO277" s="268"/>
      <c r="AP277" s="268"/>
      <c r="AQ277" s="268"/>
      <c r="AR277" s="268"/>
      <c r="AS277" s="268"/>
      <c r="AT277" s="268"/>
      <c r="AU277" s="268"/>
      <c r="AV277" s="268"/>
      <c r="AW277" s="268"/>
      <c r="AX277" s="268"/>
      <c r="AY277" s="268"/>
      <c r="AZ277" s="268"/>
      <c r="BA277" s="268"/>
      <c r="BB277" s="268"/>
      <c r="BC277" s="268"/>
      <c r="BD277" s="268"/>
      <c r="BE277" s="268"/>
      <c r="BF277" s="268"/>
      <c r="BG277" s="268"/>
      <c r="BH277" s="268"/>
      <c r="BI277" s="268"/>
      <c r="BJ277" s="268"/>
      <c r="BK277" s="269"/>
      <c r="BL277" s="267" t="s">
        <v>24</v>
      </c>
      <c r="BM277" s="268"/>
      <c r="BN277" s="268"/>
      <c r="BO277" s="268"/>
      <c r="BP277" s="268"/>
      <c r="BQ277" s="268"/>
      <c r="BR277" s="268"/>
      <c r="BS277" s="268"/>
      <c r="BT277" s="268"/>
      <c r="BU277" s="268"/>
      <c r="BV277" s="268"/>
      <c r="BW277" s="268"/>
      <c r="BX277" s="268"/>
      <c r="BY277" s="268"/>
      <c r="BZ277" s="268"/>
      <c r="CA277" s="268"/>
      <c r="CB277" s="268"/>
      <c r="CC277" s="268"/>
      <c r="CD277" s="268"/>
      <c r="CE277" s="268"/>
      <c r="CF277" s="268"/>
      <c r="CG277" s="268"/>
      <c r="CH277" s="268"/>
      <c r="CI277" s="268"/>
      <c r="CJ277" s="268"/>
      <c r="CK277" s="268"/>
      <c r="CL277" s="268"/>
      <c r="CM277" s="269"/>
      <c r="GA277" s="332"/>
      <c r="GB277" s="333"/>
      <c r="GC277" s="333"/>
      <c r="GD277" s="333"/>
      <c r="GE277" s="333"/>
      <c r="GF277" s="333"/>
      <c r="GG277" s="333"/>
      <c r="GH277" s="333"/>
      <c r="GI277" s="333"/>
      <c r="GJ277" s="333"/>
      <c r="GK277" s="333"/>
      <c r="GL277" s="333"/>
      <c r="GM277" s="333"/>
      <c r="GN277" s="333"/>
      <c r="GO277" s="333"/>
      <c r="GP277" s="333"/>
      <c r="GQ277" s="333"/>
      <c r="GR277" s="333"/>
      <c r="GS277" s="333"/>
      <c r="GT277" s="333"/>
      <c r="GU277" s="333"/>
      <c r="GV277" s="333"/>
      <c r="GW277" s="333"/>
      <c r="GX277" s="333"/>
      <c r="GY277" s="333"/>
      <c r="GZ277" s="333"/>
      <c r="HA277" s="333"/>
      <c r="HB277" s="333"/>
      <c r="HC277" s="333"/>
      <c r="HD277" s="333"/>
      <c r="HE277" s="333"/>
      <c r="HF277" s="333"/>
      <c r="HG277" s="333"/>
      <c r="HH277" s="333"/>
      <c r="HI277" s="333"/>
      <c r="HJ277" s="333"/>
      <c r="HK277" s="333"/>
      <c r="HL277" s="333"/>
      <c r="HM277" s="333"/>
      <c r="HN277" s="333"/>
      <c r="HO277" s="333"/>
      <c r="HP277" s="333"/>
      <c r="HQ277" s="333"/>
      <c r="HR277" s="333"/>
      <c r="HS277" s="333"/>
      <c r="HT277" s="333"/>
      <c r="HU277" s="333"/>
      <c r="HV277" s="333"/>
      <c r="HW277" s="333"/>
      <c r="HX277" s="334"/>
      <c r="HY277" s="287"/>
      <c r="HZ277" s="288"/>
      <c r="IA277" s="288"/>
      <c r="IB277" s="288"/>
      <c r="IC277" s="288"/>
      <c r="ID277" s="288"/>
      <c r="IE277" s="288"/>
      <c r="IF277" s="288"/>
      <c r="IG277" s="288"/>
      <c r="IH277" s="288"/>
      <c r="II277" s="288"/>
      <c r="IJ277" s="289"/>
      <c r="JH277" s="155"/>
      <c r="JN277" s="16"/>
      <c r="JQ277" s="187"/>
      <c r="JR277" s="188"/>
      <c r="JS277" s="188"/>
      <c r="JT277" s="188"/>
      <c r="JU277" s="188"/>
      <c r="JV277" s="188"/>
      <c r="JW277" s="188"/>
      <c r="JX277" s="188"/>
      <c r="JY277" s="188"/>
      <c r="JZ277" s="188"/>
      <c r="KA277" s="188"/>
      <c r="KB277" s="188"/>
      <c r="KC277" s="188"/>
      <c r="KD277" s="188"/>
      <c r="KE277" s="188"/>
      <c r="KF277" s="188"/>
      <c r="KG277" s="188"/>
      <c r="KH277" s="188"/>
      <c r="KI277" s="188"/>
      <c r="KJ277" s="188"/>
      <c r="KK277" s="188"/>
      <c r="KL277" s="188"/>
      <c r="KM277" s="188"/>
      <c r="KN277" s="188"/>
      <c r="KO277" s="188"/>
      <c r="KP277" s="188"/>
      <c r="KQ277" s="188"/>
      <c r="KR277" s="188"/>
      <c r="KS277" s="188"/>
      <c r="KT277" s="188"/>
      <c r="KU277" s="188"/>
      <c r="KV277" s="188"/>
      <c r="KW277" s="188"/>
      <c r="KX277" s="188"/>
      <c r="KY277" s="188"/>
      <c r="KZ277" s="188"/>
      <c r="LA277" s="188"/>
      <c r="LB277" s="188"/>
      <c r="LC277" s="188"/>
      <c r="LD277" s="188"/>
      <c r="LE277" s="189"/>
      <c r="LF277" s="187"/>
      <c r="LG277" s="188"/>
      <c r="LH277" s="188"/>
      <c r="LI277" s="188"/>
      <c r="LJ277" s="189"/>
      <c r="LQ277" s="12"/>
      <c r="LR277" s="7"/>
    </row>
    <row r="278" spans="3:330" ht="5.0999999999999996" customHeight="1" thickBot="1" x14ac:dyDescent="0.35">
      <c r="C278" s="11"/>
      <c r="D278" s="13"/>
      <c r="H278" s="2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  <c r="AF278" s="170"/>
      <c r="AG278" s="170"/>
      <c r="AH278" s="170"/>
      <c r="AI278" s="271"/>
      <c r="AJ278" s="270"/>
      <c r="AK278" s="170"/>
      <c r="AL278" s="170"/>
      <c r="AM278" s="170"/>
      <c r="AN278" s="170"/>
      <c r="AO278" s="170"/>
      <c r="AP278" s="170"/>
      <c r="AQ278" s="170"/>
      <c r="AR278" s="170"/>
      <c r="AS278" s="170"/>
      <c r="AT278" s="170"/>
      <c r="AU278" s="170"/>
      <c r="AV278" s="170"/>
      <c r="AW278" s="170"/>
      <c r="AX278" s="170"/>
      <c r="AY278" s="170"/>
      <c r="AZ278" s="170"/>
      <c r="BA278" s="170"/>
      <c r="BB278" s="170"/>
      <c r="BC278" s="170"/>
      <c r="BD278" s="170"/>
      <c r="BE278" s="170"/>
      <c r="BF278" s="170"/>
      <c r="BG278" s="170"/>
      <c r="BH278" s="170"/>
      <c r="BI278" s="170"/>
      <c r="BJ278" s="170"/>
      <c r="BK278" s="271"/>
      <c r="BL278" s="270"/>
      <c r="BM278" s="170"/>
      <c r="BN278" s="170"/>
      <c r="BO278" s="170"/>
      <c r="BP278" s="170"/>
      <c r="BQ278" s="170"/>
      <c r="BR278" s="170"/>
      <c r="BS278" s="170"/>
      <c r="BT278" s="170"/>
      <c r="BU278" s="170"/>
      <c r="BV278" s="170"/>
      <c r="BW278" s="170"/>
      <c r="BX278" s="170"/>
      <c r="BY278" s="170"/>
      <c r="BZ278" s="170"/>
      <c r="CA278" s="170"/>
      <c r="CB278" s="170"/>
      <c r="CC278" s="170"/>
      <c r="CD278" s="170"/>
      <c r="CE278" s="170"/>
      <c r="CF278" s="170"/>
      <c r="CG278" s="170"/>
      <c r="CH278" s="170"/>
      <c r="CI278" s="170"/>
      <c r="CJ278" s="170"/>
      <c r="CK278" s="170"/>
      <c r="CL278" s="170"/>
      <c r="CM278" s="271"/>
      <c r="GA278" s="332"/>
      <c r="GB278" s="333"/>
      <c r="GC278" s="333"/>
      <c r="GD278" s="333"/>
      <c r="GE278" s="333"/>
      <c r="GF278" s="333"/>
      <c r="GG278" s="333"/>
      <c r="GH278" s="333"/>
      <c r="GI278" s="333"/>
      <c r="GJ278" s="333"/>
      <c r="GK278" s="333"/>
      <c r="GL278" s="333"/>
      <c r="GM278" s="333"/>
      <c r="GN278" s="333"/>
      <c r="GO278" s="333"/>
      <c r="GP278" s="333"/>
      <c r="GQ278" s="333"/>
      <c r="GR278" s="333"/>
      <c r="GS278" s="333"/>
      <c r="GT278" s="333"/>
      <c r="GU278" s="333"/>
      <c r="GV278" s="333"/>
      <c r="GW278" s="333"/>
      <c r="GX278" s="333"/>
      <c r="GY278" s="333"/>
      <c r="GZ278" s="333"/>
      <c r="HA278" s="333"/>
      <c r="HB278" s="333"/>
      <c r="HC278" s="333"/>
      <c r="HD278" s="333"/>
      <c r="HE278" s="333"/>
      <c r="HF278" s="333"/>
      <c r="HG278" s="333"/>
      <c r="HH278" s="333"/>
      <c r="HI278" s="333"/>
      <c r="HJ278" s="333"/>
      <c r="HK278" s="333"/>
      <c r="HL278" s="333"/>
      <c r="HM278" s="333"/>
      <c r="HN278" s="333"/>
      <c r="HO278" s="333"/>
      <c r="HP278" s="333"/>
      <c r="HQ278" s="333"/>
      <c r="HR278" s="333"/>
      <c r="HS278" s="333"/>
      <c r="HT278" s="333"/>
      <c r="HU278" s="333"/>
      <c r="HV278" s="333"/>
      <c r="HW278" s="333"/>
      <c r="HX278" s="334"/>
      <c r="HY278" s="287"/>
      <c r="HZ278" s="288"/>
      <c r="IA278" s="288"/>
      <c r="IB278" s="288"/>
      <c r="IC278" s="288"/>
      <c r="ID278" s="288"/>
      <c r="IE278" s="288"/>
      <c r="IF278" s="288"/>
      <c r="IG278" s="288"/>
      <c r="IH278" s="288"/>
      <c r="II278" s="288"/>
      <c r="IJ278" s="289"/>
      <c r="JH278" s="155"/>
      <c r="JN278" s="23"/>
      <c r="JO278" s="31"/>
      <c r="JP278" s="31"/>
      <c r="JQ278" s="187"/>
      <c r="JR278" s="188"/>
      <c r="JS278" s="188"/>
      <c r="JT278" s="188"/>
      <c r="JU278" s="188"/>
      <c r="JV278" s="188"/>
      <c r="JW278" s="188"/>
      <c r="JX278" s="188"/>
      <c r="JY278" s="188"/>
      <c r="JZ278" s="188"/>
      <c r="KA278" s="188"/>
      <c r="KB278" s="188"/>
      <c r="KC278" s="188"/>
      <c r="KD278" s="188"/>
      <c r="KE278" s="188"/>
      <c r="KF278" s="188"/>
      <c r="KG278" s="188"/>
      <c r="KH278" s="188"/>
      <c r="KI278" s="188"/>
      <c r="KJ278" s="188"/>
      <c r="KK278" s="188"/>
      <c r="KL278" s="188"/>
      <c r="KM278" s="188"/>
      <c r="KN278" s="188"/>
      <c r="KO278" s="188"/>
      <c r="KP278" s="188"/>
      <c r="KQ278" s="188"/>
      <c r="KR278" s="188"/>
      <c r="KS278" s="188"/>
      <c r="KT278" s="188"/>
      <c r="KU278" s="188"/>
      <c r="KV278" s="188"/>
      <c r="KW278" s="188"/>
      <c r="KX278" s="188"/>
      <c r="KY278" s="188"/>
      <c r="KZ278" s="188"/>
      <c r="LA278" s="188"/>
      <c r="LB278" s="188"/>
      <c r="LC278" s="188"/>
      <c r="LD278" s="188"/>
      <c r="LE278" s="189"/>
      <c r="LF278" s="187"/>
      <c r="LG278" s="188"/>
      <c r="LH278" s="188"/>
      <c r="LI278" s="188"/>
      <c r="LJ278" s="189"/>
      <c r="LQ278" s="12"/>
      <c r="LR278" s="7"/>
    </row>
    <row r="279" spans="3:330" ht="5.0999999999999996" customHeight="1" thickBot="1" x14ac:dyDescent="0.35">
      <c r="C279" s="11"/>
      <c r="D279" s="13"/>
      <c r="H279" s="2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  <c r="AF279" s="170"/>
      <c r="AG279" s="170"/>
      <c r="AH279" s="170"/>
      <c r="AI279" s="271"/>
      <c r="AJ279" s="270"/>
      <c r="AK279" s="170"/>
      <c r="AL279" s="170"/>
      <c r="AM279" s="170"/>
      <c r="AN279" s="170"/>
      <c r="AO279" s="170"/>
      <c r="AP279" s="170"/>
      <c r="AQ279" s="170"/>
      <c r="AR279" s="170"/>
      <c r="AS279" s="170"/>
      <c r="AT279" s="170"/>
      <c r="AU279" s="170"/>
      <c r="AV279" s="170"/>
      <c r="AW279" s="170"/>
      <c r="AX279" s="170"/>
      <c r="AY279" s="170"/>
      <c r="AZ279" s="170"/>
      <c r="BA279" s="170"/>
      <c r="BB279" s="170"/>
      <c r="BC279" s="170"/>
      <c r="BD279" s="170"/>
      <c r="BE279" s="170"/>
      <c r="BF279" s="170"/>
      <c r="BG279" s="170"/>
      <c r="BH279" s="170"/>
      <c r="BI279" s="170"/>
      <c r="BJ279" s="170"/>
      <c r="BK279" s="271"/>
      <c r="BL279" s="270"/>
      <c r="BM279" s="170"/>
      <c r="BN279" s="170"/>
      <c r="BO279" s="170"/>
      <c r="BP279" s="170"/>
      <c r="BQ279" s="170"/>
      <c r="BR279" s="170"/>
      <c r="BS279" s="170"/>
      <c r="BT279" s="170"/>
      <c r="BU279" s="170"/>
      <c r="BV279" s="170"/>
      <c r="BW279" s="170"/>
      <c r="BX279" s="170"/>
      <c r="BY279" s="170"/>
      <c r="BZ279" s="170"/>
      <c r="CA279" s="170"/>
      <c r="CB279" s="170"/>
      <c r="CC279" s="170"/>
      <c r="CD279" s="170"/>
      <c r="CE279" s="170"/>
      <c r="CF279" s="170"/>
      <c r="CG279" s="170"/>
      <c r="CH279" s="170"/>
      <c r="CI279" s="170"/>
      <c r="CJ279" s="170"/>
      <c r="CK279" s="170"/>
      <c r="CL279" s="170"/>
      <c r="CM279" s="271"/>
      <c r="GA279" s="335"/>
      <c r="GB279" s="336"/>
      <c r="GC279" s="336"/>
      <c r="GD279" s="336"/>
      <c r="GE279" s="336"/>
      <c r="GF279" s="336"/>
      <c r="GG279" s="336"/>
      <c r="GH279" s="336"/>
      <c r="GI279" s="336"/>
      <c r="GJ279" s="336"/>
      <c r="GK279" s="336"/>
      <c r="GL279" s="336"/>
      <c r="GM279" s="336"/>
      <c r="GN279" s="336"/>
      <c r="GO279" s="336"/>
      <c r="GP279" s="336"/>
      <c r="GQ279" s="336"/>
      <c r="GR279" s="336"/>
      <c r="GS279" s="336"/>
      <c r="GT279" s="336"/>
      <c r="GU279" s="336"/>
      <c r="GV279" s="336"/>
      <c r="GW279" s="336"/>
      <c r="GX279" s="336"/>
      <c r="GY279" s="336"/>
      <c r="GZ279" s="336"/>
      <c r="HA279" s="336"/>
      <c r="HB279" s="336"/>
      <c r="HC279" s="336"/>
      <c r="HD279" s="336"/>
      <c r="HE279" s="336"/>
      <c r="HF279" s="336"/>
      <c r="HG279" s="336"/>
      <c r="HH279" s="336"/>
      <c r="HI279" s="336"/>
      <c r="HJ279" s="336"/>
      <c r="HK279" s="336"/>
      <c r="HL279" s="336"/>
      <c r="HM279" s="336"/>
      <c r="HN279" s="336"/>
      <c r="HO279" s="336"/>
      <c r="HP279" s="336"/>
      <c r="HQ279" s="336"/>
      <c r="HR279" s="336"/>
      <c r="HS279" s="336"/>
      <c r="HT279" s="336"/>
      <c r="HU279" s="336"/>
      <c r="HV279" s="336"/>
      <c r="HW279" s="336"/>
      <c r="HX279" s="337"/>
      <c r="HY279" s="290"/>
      <c r="HZ279" s="291"/>
      <c r="IA279" s="291"/>
      <c r="IB279" s="291"/>
      <c r="IC279" s="291"/>
      <c r="ID279" s="291"/>
      <c r="IE279" s="291"/>
      <c r="IF279" s="291"/>
      <c r="IG279" s="291"/>
      <c r="IH279" s="291"/>
      <c r="II279" s="291"/>
      <c r="IJ279" s="292"/>
      <c r="JH279" s="155"/>
      <c r="JQ279" s="187"/>
      <c r="JR279" s="188"/>
      <c r="JS279" s="188"/>
      <c r="JT279" s="188"/>
      <c r="JU279" s="188"/>
      <c r="JV279" s="188"/>
      <c r="JW279" s="188"/>
      <c r="JX279" s="188"/>
      <c r="JY279" s="188"/>
      <c r="JZ279" s="188"/>
      <c r="KA279" s="188"/>
      <c r="KB279" s="188"/>
      <c r="KC279" s="188"/>
      <c r="KD279" s="188"/>
      <c r="KE279" s="188"/>
      <c r="KF279" s="188"/>
      <c r="KG279" s="188"/>
      <c r="KH279" s="188"/>
      <c r="KI279" s="188"/>
      <c r="KJ279" s="188"/>
      <c r="KK279" s="188"/>
      <c r="KL279" s="188"/>
      <c r="KM279" s="188"/>
      <c r="KN279" s="188"/>
      <c r="KO279" s="188"/>
      <c r="KP279" s="188"/>
      <c r="KQ279" s="188"/>
      <c r="KR279" s="188"/>
      <c r="KS279" s="188"/>
      <c r="KT279" s="188"/>
      <c r="KU279" s="188"/>
      <c r="KV279" s="188"/>
      <c r="KW279" s="188"/>
      <c r="KX279" s="188"/>
      <c r="KY279" s="188"/>
      <c r="KZ279" s="188"/>
      <c r="LA279" s="188"/>
      <c r="LB279" s="188"/>
      <c r="LC279" s="188"/>
      <c r="LD279" s="188"/>
      <c r="LE279" s="189"/>
      <c r="LF279" s="187"/>
      <c r="LG279" s="188"/>
      <c r="LH279" s="188"/>
      <c r="LI279" s="188"/>
      <c r="LJ279" s="189"/>
      <c r="LQ279" s="12"/>
      <c r="LR279" s="7"/>
    </row>
    <row r="280" spans="3:330" ht="5.0999999999999996" customHeight="1" x14ac:dyDescent="0.3">
      <c r="C280" s="11"/>
      <c r="D280" s="13"/>
      <c r="H280" s="2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  <c r="AF280" s="170"/>
      <c r="AG280" s="170"/>
      <c r="AH280" s="170"/>
      <c r="AI280" s="271"/>
      <c r="AJ280" s="2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70"/>
      <c r="AV280" s="170"/>
      <c r="AW280" s="170"/>
      <c r="AX280" s="170"/>
      <c r="AY280" s="170"/>
      <c r="AZ280" s="170"/>
      <c r="BA280" s="170"/>
      <c r="BB280" s="170"/>
      <c r="BC280" s="170"/>
      <c r="BD280" s="170"/>
      <c r="BE280" s="170"/>
      <c r="BF280" s="170"/>
      <c r="BG280" s="170"/>
      <c r="BH280" s="170"/>
      <c r="BI280" s="170"/>
      <c r="BJ280" s="170"/>
      <c r="BK280" s="271"/>
      <c r="BL280" s="270"/>
      <c r="BM280" s="170"/>
      <c r="BN280" s="170"/>
      <c r="BO280" s="170"/>
      <c r="BP280" s="170"/>
      <c r="BQ280" s="170"/>
      <c r="BR280" s="170"/>
      <c r="BS280" s="170"/>
      <c r="BT280" s="170"/>
      <c r="BU280" s="170"/>
      <c r="BV280" s="170"/>
      <c r="BW280" s="170"/>
      <c r="BX280" s="170"/>
      <c r="BY280" s="170"/>
      <c r="BZ280" s="170"/>
      <c r="CA280" s="170"/>
      <c r="CB280" s="170"/>
      <c r="CC280" s="170"/>
      <c r="CD280" s="170"/>
      <c r="CE280" s="170"/>
      <c r="CF280" s="170"/>
      <c r="CG280" s="170"/>
      <c r="CH280" s="170"/>
      <c r="CI280" s="170"/>
      <c r="CJ280" s="170"/>
      <c r="CK280" s="170"/>
      <c r="CL280" s="170"/>
      <c r="CM280" s="271"/>
      <c r="JH280" s="155"/>
      <c r="JQ280" s="187"/>
      <c r="JR280" s="188"/>
      <c r="JS280" s="188"/>
      <c r="JT280" s="188"/>
      <c r="JU280" s="188"/>
      <c r="JV280" s="188"/>
      <c r="JW280" s="188"/>
      <c r="JX280" s="188"/>
      <c r="JY280" s="188"/>
      <c r="JZ280" s="188"/>
      <c r="KA280" s="188"/>
      <c r="KB280" s="188"/>
      <c r="KC280" s="188"/>
      <c r="KD280" s="188"/>
      <c r="KE280" s="188"/>
      <c r="KF280" s="188"/>
      <c r="KG280" s="188"/>
      <c r="KH280" s="188"/>
      <c r="KI280" s="188"/>
      <c r="KJ280" s="188"/>
      <c r="KK280" s="188"/>
      <c r="KL280" s="188"/>
      <c r="KM280" s="188"/>
      <c r="KN280" s="188"/>
      <c r="KO280" s="188"/>
      <c r="KP280" s="188"/>
      <c r="KQ280" s="188"/>
      <c r="KR280" s="188"/>
      <c r="KS280" s="188"/>
      <c r="KT280" s="188"/>
      <c r="KU280" s="188"/>
      <c r="KV280" s="188"/>
      <c r="KW280" s="188"/>
      <c r="KX280" s="188"/>
      <c r="KY280" s="188"/>
      <c r="KZ280" s="188"/>
      <c r="LA280" s="188"/>
      <c r="LB280" s="188"/>
      <c r="LC280" s="188"/>
      <c r="LD280" s="188"/>
      <c r="LE280" s="189"/>
      <c r="LF280" s="187"/>
      <c r="LG280" s="188"/>
      <c r="LH280" s="188"/>
      <c r="LI280" s="188"/>
      <c r="LJ280" s="189"/>
      <c r="LQ280" s="12"/>
      <c r="LR280" s="7"/>
    </row>
    <row r="281" spans="3:330" ht="5.0999999999999996" customHeight="1" thickBot="1" x14ac:dyDescent="0.35">
      <c r="C281" s="11"/>
      <c r="D281" s="13"/>
      <c r="H281" s="272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4"/>
      <c r="AJ281" s="272"/>
      <c r="AK281" s="273"/>
      <c r="AL281" s="273"/>
      <c r="AM281" s="273"/>
      <c r="AN281" s="273"/>
      <c r="AO281" s="273"/>
      <c r="AP281" s="273"/>
      <c r="AQ281" s="273"/>
      <c r="AR281" s="273"/>
      <c r="AS281" s="273"/>
      <c r="AT281" s="273"/>
      <c r="AU281" s="273"/>
      <c r="AV281" s="273"/>
      <c r="AW281" s="273"/>
      <c r="AX281" s="273"/>
      <c r="AY281" s="273"/>
      <c r="AZ281" s="273"/>
      <c r="BA281" s="273"/>
      <c r="BB281" s="273"/>
      <c r="BC281" s="273"/>
      <c r="BD281" s="273"/>
      <c r="BE281" s="273"/>
      <c r="BF281" s="273"/>
      <c r="BG281" s="273"/>
      <c r="BH281" s="273"/>
      <c r="BI281" s="273"/>
      <c r="BJ281" s="273"/>
      <c r="BK281" s="274"/>
      <c r="BL281" s="272"/>
      <c r="BM281" s="273"/>
      <c r="BN281" s="273"/>
      <c r="BO281" s="273"/>
      <c r="BP281" s="273"/>
      <c r="BQ281" s="273"/>
      <c r="BR281" s="273"/>
      <c r="BS281" s="273"/>
      <c r="BT281" s="273"/>
      <c r="BU281" s="273"/>
      <c r="BV281" s="273"/>
      <c r="BW281" s="273"/>
      <c r="BX281" s="273"/>
      <c r="BY281" s="273"/>
      <c r="BZ281" s="273"/>
      <c r="CA281" s="273"/>
      <c r="CB281" s="273"/>
      <c r="CC281" s="273"/>
      <c r="CD281" s="273"/>
      <c r="CE281" s="273"/>
      <c r="CF281" s="273"/>
      <c r="CG281" s="273"/>
      <c r="CH281" s="273"/>
      <c r="CI281" s="273"/>
      <c r="CJ281" s="273"/>
      <c r="CK281" s="273"/>
      <c r="CL281" s="273"/>
      <c r="CM281" s="274"/>
      <c r="JH281" s="155"/>
      <c r="JQ281" s="187"/>
      <c r="JR281" s="188"/>
      <c r="JS281" s="188"/>
      <c r="JT281" s="188"/>
      <c r="JU281" s="188"/>
      <c r="JV281" s="188"/>
      <c r="JW281" s="188"/>
      <c r="JX281" s="188"/>
      <c r="JY281" s="188"/>
      <c r="JZ281" s="188"/>
      <c r="KA281" s="188"/>
      <c r="KB281" s="188"/>
      <c r="KC281" s="188"/>
      <c r="KD281" s="188"/>
      <c r="KE281" s="188"/>
      <c r="KF281" s="188"/>
      <c r="KG281" s="188"/>
      <c r="KH281" s="188"/>
      <c r="KI281" s="188"/>
      <c r="KJ281" s="188"/>
      <c r="KK281" s="188"/>
      <c r="KL281" s="188"/>
      <c r="KM281" s="188"/>
      <c r="KN281" s="188"/>
      <c r="KO281" s="188"/>
      <c r="KP281" s="188"/>
      <c r="KQ281" s="188"/>
      <c r="KR281" s="188"/>
      <c r="KS281" s="188"/>
      <c r="KT281" s="188"/>
      <c r="KU281" s="188"/>
      <c r="KV281" s="188"/>
      <c r="KW281" s="188"/>
      <c r="KX281" s="188"/>
      <c r="KY281" s="188"/>
      <c r="KZ281" s="188"/>
      <c r="LA281" s="188"/>
      <c r="LB281" s="188"/>
      <c r="LC281" s="188"/>
      <c r="LD281" s="188"/>
      <c r="LE281" s="189"/>
      <c r="LF281" s="187"/>
      <c r="LG281" s="188"/>
      <c r="LH281" s="188"/>
      <c r="LI281" s="188"/>
      <c r="LJ281" s="189"/>
      <c r="LQ281" s="12"/>
      <c r="LR281" s="7"/>
    </row>
    <row r="282" spans="3:330" ht="5.0999999999999996" customHeight="1" x14ac:dyDescent="0.3">
      <c r="C282" s="11"/>
      <c r="D282" s="13"/>
      <c r="H282" s="267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  <c r="AA282" s="268"/>
      <c r="AB282" s="268"/>
      <c r="AC282" s="268"/>
      <c r="AD282" s="268"/>
      <c r="AE282" s="268"/>
      <c r="AF282" s="268"/>
      <c r="AG282" s="268"/>
      <c r="AH282" s="268"/>
      <c r="AI282" s="269"/>
      <c r="AJ282" s="267"/>
      <c r="AK282" s="268"/>
      <c r="AL282" s="268"/>
      <c r="AM282" s="268"/>
      <c r="AN282" s="268"/>
      <c r="AO282" s="268"/>
      <c r="AP282" s="268"/>
      <c r="AQ282" s="268"/>
      <c r="AR282" s="268"/>
      <c r="AS282" s="268"/>
      <c r="AT282" s="268"/>
      <c r="AU282" s="268"/>
      <c r="AV282" s="268"/>
      <c r="AW282" s="268"/>
      <c r="AX282" s="268"/>
      <c r="AY282" s="268"/>
      <c r="AZ282" s="268"/>
      <c r="BA282" s="268"/>
      <c r="BB282" s="268"/>
      <c r="BC282" s="268"/>
      <c r="BD282" s="268"/>
      <c r="BE282" s="268"/>
      <c r="BF282" s="268"/>
      <c r="BG282" s="268"/>
      <c r="BH282" s="268"/>
      <c r="BI282" s="268"/>
      <c r="BJ282" s="268"/>
      <c r="BK282" s="269"/>
      <c r="BL282" s="267"/>
      <c r="BM282" s="268"/>
      <c r="BN282" s="268"/>
      <c r="BO282" s="268"/>
      <c r="BP282" s="268"/>
      <c r="BQ282" s="268"/>
      <c r="BR282" s="268"/>
      <c r="BS282" s="268"/>
      <c r="BT282" s="268"/>
      <c r="BU282" s="268"/>
      <c r="BV282" s="268"/>
      <c r="BW282" s="268"/>
      <c r="BX282" s="268"/>
      <c r="BY282" s="268"/>
      <c r="BZ282" s="268"/>
      <c r="CA282" s="268"/>
      <c r="CB282" s="268"/>
      <c r="CC282" s="268"/>
      <c r="CD282" s="268"/>
      <c r="CE282" s="268"/>
      <c r="CF282" s="268"/>
      <c r="CG282" s="268"/>
      <c r="CH282" s="268"/>
      <c r="CI282" s="268"/>
      <c r="CJ282" s="268"/>
      <c r="CK282" s="268"/>
      <c r="CL282" s="268"/>
      <c r="CM282" s="269"/>
      <c r="JH282" s="155"/>
      <c r="JQ282" s="190"/>
      <c r="JR282" s="191"/>
      <c r="JS282" s="191"/>
      <c r="JT282" s="191"/>
      <c r="JU282" s="191"/>
      <c r="JV282" s="191"/>
      <c r="JW282" s="191"/>
      <c r="JX282" s="191"/>
      <c r="JY282" s="191"/>
      <c r="JZ282" s="191"/>
      <c r="KA282" s="191"/>
      <c r="KB282" s="191"/>
      <c r="KC282" s="191"/>
      <c r="KD282" s="191"/>
      <c r="KE282" s="191"/>
      <c r="KF282" s="191"/>
      <c r="KG282" s="191"/>
      <c r="KH282" s="191"/>
      <c r="KI282" s="191"/>
      <c r="KJ282" s="191"/>
      <c r="KK282" s="191"/>
      <c r="KL282" s="191"/>
      <c r="KM282" s="191"/>
      <c r="KN282" s="191"/>
      <c r="KO282" s="191"/>
      <c r="KP282" s="191"/>
      <c r="KQ282" s="191"/>
      <c r="KR282" s="191"/>
      <c r="KS282" s="191"/>
      <c r="KT282" s="191"/>
      <c r="KU282" s="191"/>
      <c r="KV282" s="191"/>
      <c r="KW282" s="191"/>
      <c r="KX282" s="191"/>
      <c r="KY282" s="191"/>
      <c r="KZ282" s="191"/>
      <c r="LA282" s="191"/>
      <c r="LB282" s="191"/>
      <c r="LC282" s="191"/>
      <c r="LD282" s="191"/>
      <c r="LE282" s="192"/>
      <c r="LF282" s="190"/>
      <c r="LG282" s="191"/>
      <c r="LH282" s="191"/>
      <c r="LI282" s="191"/>
      <c r="LJ282" s="192"/>
      <c r="LQ282" s="12"/>
      <c r="LR282" s="7"/>
    </row>
    <row r="283" spans="3:330" ht="5.0999999999999996" customHeight="1" thickBot="1" x14ac:dyDescent="0.35">
      <c r="C283" s="11"/>
      <c r="D283" s="13"/>
      <c r="H283" s="2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  <c r="AF283" s="170"/>
      <c r="AG283" s="170"/>
      <c r="AH283" s="170"/>
      <c r="AI283" s="271"/>
      <c r="AJ283" s="270"/>
      <c r="AK283" s="170"/>
      <c r="AL283" s="170"/>
      <c r="AM283" s="170"/>
      <c r="AN283" s="170"/>
      <c r="AO283" s="170"/>
      <c r="AP283" s="170"/>
      <c r="AQ283" s="170"/>
      <c r="AR283" s="170"/>
      <c r="AS283" s="170"/>
      <c r="AT283" s="170"/>
      <c r="AU283" s="170"/>
      <c r="AV283" s="170"/>
      <c r="AW283" s="170"/>
      <c r="AX283" s="170"/>
      <c r="AY283" s="170"/>
      <c r="AZ283" s="170"/>
      <c r="BA283" s="170"/>
      <c r="BB283" s="170"/>
      <c r="BC283" s="170"/>
      <c r="BD283" s="170"/>
      <c r="BE283" s="170"/>
      <c r="BF283" s="170"/>
      <c r="BG283" s="170"/>
      <c r="BH283" s="170"/>
      <c r="BI283" s="170"/>
      <c r="BJ283" s="170"/>
      <c r="BK283" s="271"/>
      <c r="BL283" s="270"/>
      <c r="BM283" s="170"/>
      <c r="BN283" s="170"/>
      <c r="BO283" s="170"/>
      <c r="BP283" s="170"/>
      <c r="BQ283" s="170"/>
      <c r="BR283" s="170"/>
      <c r="BS283" s="170"/>
      <c r="BT283" s="170"/>
      <c r="BU283" s="170"/>
      <c r="BV283" s="170"/>
      <c r="BW283" s="170"/>
      <c r="BX283" s="170"/>
      <c r="BY283" s="170"/>
      <c r="BZ283" s="170"/>
      <c r="CA283" s="170"/>
      <c r="CB283" s="170"/>
      <c r="CC283" s="170"/>
      <c r="CD283" s="170"/>
      <c r="CE283" s="170"/>
      <c r="CF283" s="170"/>
      <c r="CG283" s="170"/>
      <c r="CH283" s="170"/>
      <c r="CI283" s="170"/>
      <c r="CJ283" s="170"/>
      <c r="CK283" s="170"/>
      <c r="CL283" s="170"/>
      <c r="CM283" s="271"/>
      <c r="JH283" s="155"/>
      <c r="KN283" s="151"/>
      <c r="LQ283" s="12"/>
      <c r="LR283" s="7"/>
    </row>
    <row r="284" spans="3:330" ht="5.0999999999999996" customHeight="1" x14ac:dyDescent="0.3">
      <c r="C284" s="11"/>
      <c r="D284" s="13"/>
      <c r="H284" s="2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  <c r="AF284" s="170"/>
      <c r="AG284" s="170"/>
      <c r="AH284" s="170"/>
      <c r="AI284" s="271"/>
      <c r="AJ284" s="270"/>
      <c r="AK284" s="170"/>
      <c r="AL284" s="170"/>
      <c r="AM284" s="170"/>
      <c r="AN284" s="170"/>
      <c r="AO284" s="170"/>
      <c r="AP284" s="170"/>
      <c r="AQ284" s="170"/>
      <c r="AR284" s="170"/>
      <c r="AS284" s="170"/>
      <c r="AT284" s="170"/>
      <c r="AU284" s="170"/>
      <c r="AV284" s="170"/>
      <c r="AW284" s="170"/>
      <c r="AX284" s="170"/>
      <c r="AY284" s="170"/>
      <c r="AZ284" s="170"/>
      <c r="BA284" s="170"/>
      <c r="BB284" s="170"/>
      <c r="BC284" s="170"/>
      <c r="BD284" s="170"/>
      <c r="BE284" s="170"/>
      <c r="BF284" s="170"/>
      <c r="BG284" s="170"/>
      <c r="BH284" s="170"/>
      <c r="BI284" s="170"/>
      <c r="BJ284" s="170"/>
      <c r="BK284" s="271"/>
      <c r="BL284" s="270"/>
      <c r="BM284" s="170"/>
      <c r="BN284" s="170"/>
      <c r="BO284" s="170"/>
      <c r="BP284" s="170"/>
      <c r="BQ284" s="170"/>
      <c r="BR284" s="170"/>
      <c r="BS284" s="170"/>
      <c r="BT284" s="170"/>
      <c r="BU284" s="170"/>
      <c r="BV284" s="170"/>
      <c r="BW284" s="170"/>
      <c r="BX284" s="170"/>
      <c r="BY284" s="170"/>
      <c r="BZ284" s="170"/>
      <c r="CA284" s="170"/>
      <c r="CB284" s="170"/>
      <c r="CC284" s="170"/>
      <c r="CD284" s="170"/>
      <c r="CE284" s="170"/>
      <c r="CF284" s="170"/>
      <c r="CG284" s="170"/>
      <c r="CH284" s="170"/>
      <c r="CI284" s="170"/>
      <c r="CJ284" s="170"/>
      <c r="CK284" s="170"/>
      <c r="CL284" s="170"/>
      <c r="CM284" s="271"/>
      <c r="FE284" s="267" t="s">
        <v>25</v>
      </c>
      <c r="FF284" s="268"/>
      <c r="FG284" s="268"/>
      <c r="FH284" s="268"/>
      <c r="FI284" s="268"/>
      <c r="FJ284" s="268"/>
      <c r="FK284" s="268"/>
      <c r="FL284" s="268"/>
      <c r="FM284" s="268"/>
      <c r="FN284" s="268"/>
      <c r="FO284" s="268"/>
      <c r="FP284" s="268"/>
      <c r="FQ284" s="268"/>
      <c r="FR284" s="268"/>
      <c r="FS284" s="268"/>
      <c r="FT284" s="268"/>
      <c r="FU284" s="268"/>
      <c r="FV284" s="268"/>
      <c r="FW284" s="268"/>
      <c r="FX284" s="268"/>
      <c r="FY284" s="268"/>
      <c r="FZ284" s="268"/>
      <c r="GA284" s="268"/>
      <c r="GB284" s="268"/>
      <c r="GC284" s="268"/>
      <c r="GD284" s="268"/>
      <c r="GE284" s="268"/>
      <c r="GF284" s="269"/>
      <c r="GG284" s="267" t="s">
        <v>151</v>
      </c>
      <c r="GH284" s="268"/>
      <c r="GI284" s="268"/>
      <c r="GJ284" s="268"/>
      <c r="GK284" s="268"/>
      <c r="GL284" s="268"/>
      <c r="GM284" s="268"/>
      <c r="GN284" s="268"/>
      <c r="GO284" s="268"/>
      <c r="GP284" s="268"/>
      <c r="GQ284" s="268"/>
      <c r="GR284" s="268"/>
      <c r="GS284" s="268"/>
      <c r="GT284" s="268"/>
      <c r="GU284" s="268"/>
      <c r="GV284" s="268"/>
      <c r="GW284" s="268"/>
      <c r="GX284" s="268"/>
      <c r="GY284" s="268"/>
      <c r="GZ284" s="268"/>
      <c r="HA284" s="268"/>
      <c r="HB284" s="268"/>
      <c r="HC284" s="268"/>
      <c r="HD284" s="268"/>
      <c r="HE284" s="268"/>
      <c r="HF284" s="268"/>
      <c r="HG284" s="268"/>
      <c r="HH284" s="269"/>
      <c r="HI284" s="267" t="s">
        <v>159</v>
      </c>
      <c r="HJ284" s="268"/>
      <c r="HK284" s="268"/>
      <c r="HL284" s="268"/>
      <c r="HM284" s="268"/>
      <c r="HN284" s="268"/>
      <c r="HO284" s="268"/>
      <c r="HP284" s="268"/>
      <c r="HQ284" s="268"/>
      <c r="HR284" s="268"/>
      <c r="HS284" s="268"/>
      <c r="HT284" s="268"/>
      <c r="HU284" s="268"/>
      <c r="HV284" s="268"/>
      <c r="HW284" s="268"/>
      <c r="HX284" s="268"/>
      <c r="HY284" s="268"/>
      <c r="HZ284" s="268"/>
      <c r="IA284" s="268"/>
      <c r="IB284" s="268"/>
      <c r="IC284" s="268"/>
      <c r="ID284" s="268"/>
      <c r="IE284" s="268"/>
      <c r="IF284" s="268"/>
      <c r="IG284" s="268"/>
      <c r="IH284" s="268"/>
      <c r="II284" s="268"/>
      <c r="IJ284" s="269"/>
      <c r="JH284" s="155"/>
      <c r="JQ284" s="184" t="s">
        <v>58</v>
      </c>
      <c r="JR284" s="185"/>
      <c r="JS284" s="185"/>
      <c r="JT284" s="185"/>
      <c r="JU284" s="185"/>
      <c r="JV284" s="185"/>
      <c r="JW284" s="185"/>
      <c r="JX284" s="185"/>
      <c r="JY284" s="185"/>
      <c r="JZ284" s="185"/>
      <c r="KA284" s="185"/>
      <c r="KB284" s="185"/>
      <c r="KC284" s="185"/>
      <c r="KD284" s="185"/>
      <c r="KE284" s="185"/>
      <c r="KF284" s="185"/>
      <c r="KG284" s="185"/>
      <c r="KH284" s="185"/>
      <c r="KI284" s="185"/>
      <c r="KJ284" s="185"/>
      <c r="KK284" s="185"/>
      <c r="KL284" s="185"/>
      <c r="KM284" s="185"/>
      <c r="KN284" s="185"/>
      <c r="KO284" s="185"/>
      <c r="KP284" s="185"/>
      <c r="KQ284" s="185"/>
      <c r="KR284" s="185"/>
      <c r="KS284" s="185"/>
      <c r="KT284" s="185"/>
      <c r="KU284" s="185"/>
      <c r="KV284" s="185"/>
      <c r="KW284" s="185"/>
      <c r="KX284" s="185"/>
      <c r="KY284" s="185"/>
      <c r="KZ284" s="185"/>
      <c r="LA284" s="185"/>
      <c r="LB284" s="185"/>
      <c r="LC284" s="185"/>
      <c r="LD284" s="185"/>
      <c r="LE284" s="186"/>
      <c r="LF284" s="184">
        <v>1</v>
      </c>
      <c r="LG284" s="185"/>
      <c r="LH284" s="185"/>
      <c r="LI284" s="185"/>
      <c r="LJ284" s="186"/>
      <c r="LQ284" s="12"/>
      <c r="LR284" s="7"/>
    </row>
    <row r="285" spans="3:330" ht="5.0999999999999996" customHeight="1" x14ac:dyDescent="0.3">
      <c r="C285" s="11"/>
      <c r="D285" s="13"/>
      <c r="H285" s="2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170"/>
      <c r="AG285" s="170"/>
      <c r="AH285" s="170"/>
      <c r="AI285" s="271"/>
      <c r="AJ285" s="270"/>
      <c r="AK285" s="170"/>
      <c r="AL285" s="170"/>
      <c r="AM285" s="170"/>
      <c r="AN285" s="170"/>
      <c r="AO285" s="170"/>
      <c r="AP285" s="170"/>
      <c r="AQ285" s="170"/>
      <c r="AR285" s="170"/>
      <c r="AS285" s="170"/>
      <c r="AT285" s="170"/>
      <c r="AU285" s="170"/>
      <c r="AV285" s="170"/>
      <c r="AW285" s="170"/>
      <c r="AX285" s="170"/>
      <c r="AY285" s="170"/>
      <c r="AZ285" s="170"/>
      <c r="BA285" s="170"/>
      <c r="BB285" s="170"/>
      <c r="BC285" s="170"/>
      <c r="BD285" s="170"/>
      <c r="BE285" s="170"/>
      <c r="BF285" s="170"/>
      <c r="BG285" s="170"/>
      <c r="BH285" s="170"/>
      <c r="BI285" s="170"/>
      <c r="BJ285" s="170"/>
      <c r="BK285" s="271"/>
      <c r="BL285" s="270"/>
      <c r="BM285" s="170"/>
      <c r="BN285" s="170"/>
      <c r="BO285" s="170"/>
      <c r="BP285" s="170"/>
      <c r="BQ285" s="170"/>
      <c r="BR285" s="170"/>
      <c r="BS285" s="170"/>
      <c r="BT285" s="170"/>
      <c r="BU285" s="170"/>
      <c r="BV285" s="170"/>
      <c r="BW285" s="170"/>
      <c r="BX285" s="170"/>
      <c r="BY285" s="170"/>
      <c r="BZ285" s="170"/>
      <c r="CA285" s="170"/>
      <c r="CB285" s="170"/>
      <c r="CC285" s="170"/>
      <c r="CD285" s="170"/>
      <c r="CE285" s="170"/>
      <c r="CF285" s="170"/>
      <c r="CG285" s="170"/>
      <c r="CH285" s="170"/>
      <c r="CI285" s="170"/>
      <c r="CJ285" s="170"/>
      <c r="CK285" s="170"/>
      <c r="CL285" s="170"/>
      <c r="CM285" s="271"/>
      <c r="FE285" s="270"/>
      <c r="FF285" s="170"/>
      <c r="FG285" s="170"/>
      <c r="FH285" s="170"/>
      <c r="FI285" s="170"/>
      <c r="FJ285" s="170"/>
      <c r="FK285" s="170"/>
      <c r="FL285" s="170"/>
      <c r="FM285" s="170"/>
      <c r="FN285" s="170"/>
      <c r="FO285" s="170"/>
      <c r="FP285" s="170"/>
      <c r="FQ285" s="170"/>
      <c r="FR285" s="170"/>
      <c r="FS285" s="170"/>
      <c r="FT285" s="170"/>
      <c r="FU285" s="170"/>
      <c r="FV285" s="170"/>
      <c r="FW285" s="170"/>
      <c r="FX285" s="170"/>
      <c r="FY285" s="170"/>
      <c r="FZ285" s="170"/>
      <c r="GA285" s="170"/>
      <c r="GB285" s="170"/>
      <c r="GC285" s="170"/>
      <c r="GD285" s="170"/>
      <c r="GE285" s="170"/>
      <c r="GF285" s="271"/>
      <c r="GG285" s="270"/>
      <c r="GH285" s="170"/>
      <c r="GI285" s="170"/>
      <c r="GJ285" s="170"/>
      <c r="GK285" s="170"/>
      <c r="GL285" s="170"/>
      <c r="GM285" s="170"/>
      <c r="GN285" s="170"/>
      <c r="GO285" s="170"/>
      <c r="GP285" s="170"/>
      <c r="GQ285" s="170"/>
      <c r="GR285" s="170"/>
      <c r="GS285" s="170"/>
      <c r="GT285" s="170"/>
      <c r="GU285" s="170"/>
      <c r="GV285" s="170"/>
      <c r="GW285" s="170"/>
      <c r="GX285" s="170"/>
      <c r="GY285" s="170"/>
      <c r="GZ285" s="170"/>
      <c r="HA285" s="170"/>
      <c r="HB285" s="170"/>
      <c r="HC285" s="170"/>
      <c r="HD285" s="170"/>
      <c r="HE285" s="170"/>
      <c r="HF285" s="170"/>
      <c r="HG285" s="170"/>
      <c r="HH285" s="271"/>
      <c r="HI285" s="270"/>
      <c r="HJ285" s="170"/>
      <c r="HK285" s="170"/>
      <c r="HL285" s="170"/>
      <c r="HM285" s="170"/>
      <c r="HN285" s="170"/>
      <c r="HO285" s="170"/>
      <c r="HP285" s="170"/>
      <c r="HQ285" s="170"/>
      <c r="HR285" s="170"/>
      <c r="HS285" s="170"/>
      <c r="HT285" s="170"/>
      <c r="HU285" s="170"/>
      <c r="HV285" s="170"/>
      <c r="HW285" s="170"/>
      <c r="HX285" s="170"/>
      <c r="HY285" s="170"/>
      <c r="HZ285" s="170"/>
      <c r="IA285" s="170"/>
      <c r="IB285" s="170"/>
      <c r="IC285" s="170"/>
      <c r="ID285" s="170"/>
      <c r="IE285" s="170"/>
      <c r="IF285" s="170"/>
      <c r="IG285" s="170"/>
      <c r="IH285" s="170"/>
      <c r="II285" s="170"/>
      <c r="IJ285" s="271"/>
      <c r="JH285" s="155"/>
      <c r="JQ285" s="187"/>
      <c r="JR285" s="188"/>
      <c r="JS285" s="188"/>
      <c r="JT285" s="188"/>
      <c r="JU285" s="188"/>
      <c r="JV285" s="188"/>
      <c r="JW285" s="188"/>
      <c r="JX285" s="188"/>
      <c r="JY285" s="188"/>
      <c r="JZ285" s="188"/>
      <c r="KA285" s="188"/>
      <c r="KB285" s="188"/>
      <c r="KC285" s="188"/>
      <c r="KD285" s="188"/>
      <c r="KE285" s="188"/>
      <c r="KF285" s="188"/>
      <c r="KG285" s="188"/>
      <c r="KH285" s="188"/>
      <c r="KI285" s="188"/>
      <c r="KJ285" s="188"/>
      <c r="KK285" s="188"/>
      <c r="KL285" s="188"/>
      <c r="KM285" s="188"/>
      <c r="KN285" s="188"/>
      <c r="KO285" s="188"/>
      <c r="KP285" s="188"/>
      <c r="KQ285" s="188"/>
      <c r="KR285" s="188"/>
      <c r="KS285" s="188"/>
      <c r="KT285" s="188"/>
      <c r="KU285" s="188"/>
      <c r="KV285" s="188"/>
      <c r="KW285" s="188"/>
      <c r="KX285" s="188"/>
      <c r="KY285" s="188"/>
      <c r="KZ285" s="188"/>
      <c r="LA285" s="188"/>
      <c r="LB285" s="188"/>
      <c r="LC285" s="188"/>
      <c r="LD285" s="188"/>
      <c r="LE285" s="189"/>
      <c r="LF285" s="187"/>
      <c r="LG285" s="188"/>
      <c r="LH285" s="188"/>
      <c r="LI285" s="188"/>
      <c r="LJ285" s="189"/>
      <c r="LQ285" s="12"/>
      <c r="LR285" s="7"/>
    </row>
    <row r="286" spans="3:330" ht="5.0999999999999996" customHeight="1" thickBot="1" x14ac:dyDescent="0.35">
      <c r="C286" s="11"/>
      <c r="D286" s="13"/>
      <c r="H286" s="272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4"/>
      <c r="AJ286" s="272"/>
      <c r="AK286" s="273"/>
      <c r="AL286" s="273"/>
      <c r="AM286" s="273"/>
      <c r="AN286" s="273"/>
      <c r="AO286" s="273"/>
      <c r="AP286" s="273"/>
      <c r="AQ286" s="273"/>
      <c r="AR286" s="273"/>
      <c r="AS286" s="273"/>
      <c r="AT286" s="273"/>
      <c r="AU286" s="273"/>
      <c r="AV286" s="273"/>
      <c r="AW286" s="273"/>
      <c r="AX286" s="273"/>
      <c r="AY286" s="273"/>
      <c r="AZ286" s="273"/>
      <c r="BA286" s="273"/>
      <c r="BB286" s="273"/>
      <c r="BC286" s="273"/>
      <c r="BD286" s="273"/>
      <c r="BE286" s="273"/>
      <c r="BF286" s="273"/>
      <c r="BG286" s="273"/>
      <c r="BH286" s="273"/>
      <c r="BI286" s="273"/>
      <c r="BJ286" s="273"/>
      <c r="BK286" s="274"/>
      <c r="BL286" s="272"/>
      <c r="BM286" s="273"/>
      <c r="BN286" s="273"/>
      <c r="BO286" s="273"/>
      <c r="BP286" s="273"/>
      <c r="BQ286" s="273"/>
      <c r="BR286" s="273"/>
      <c r="BS286" s="273"/>
      <c r="BT286" s="273"/>
      <c r="BU286" s="273"/>
      <c r="BV286" s="273"/>
      <c r="BW286" s="273"/>
      <c r="BX286" s="273"/>
      <c r="BY286" s="273"/>
      <c r="BZ286" s="273"/>
      <c r="CA286" s="273"/>
      <c r="CB286" s="273"/>
      <c r="CC286" s="273"/>
      <c r="CD286" s="273"/>
      <c r="CE286" s="273"/>
      <c r="CF286" s="273"/>
      <c r="CG286" s="273"/>
      <c r="CH286" s="273"/>
      <c r="CI286" s="273"/>
      <c r="CJ286" s="273"/>
      <c r="CK286" s="273"/>
      <c r="CL286" s="273"/>
      <c r="CM286" s="274"/>
      <c r="FE286" s="270"/>
      <c r="FF286" s="170"/>
      <c r="FG286" s="170"/>
      <c r="FH286" s="170"/>
      <c r="FI286" s="170"/>
      <c r="FJ286" s="170"/>
      <c r="FK286" s="170"/>
      <c r="FL286" s="170"/>
      <c r="FM286" s="170"/>
      <c r="FN286" s="170"/>
      <c r="FO286" s="170"/>
      <c r="FP286" s="170"/>
      <c r="FQ286" s="170"/>
      <c r="FR286" s="170"/>
      <c r="FS286" s="170"/>
      <c r="FT286" s="170"/>
      <c r="FU286" s="170"/>
      <c r="FV286" s="170"/>
      <c r="FW286" s="170"/>
      <c r="FX286" s="170"/>
      <c r="FY286" s="170"/>
      <c r="FZ286" s="170"/>
      <c r="GA286" s="170"/>
      <c r="GB286" s="170"/>
      <c r="GC286" s="170"/>
      <c r="GD286" s="170"/>
      <c r="GE286" s="170"/>
      <c r="GF286" s="271"/>
      <c r="GG286" s="270"/>
      <c r="GH286" s="170"/>
      <c r="GI286" s="170"/>
      <c r="GJ286" s="170"/>
      <c r="GK286" s="170"/>
      <c r="GL286" s="170"/>
      <c r="GM286" s="170"/>
      <c r="GN286" s="170"/>
      <c r="GO286" s="170"/>
      <c r="GP286" s="170"/>
      <c r="GQ286" s="170"/>
      <c r="GR286" s="170"/>
      <c r="GS286" s="170"/>
      <c r="GT286" s="170"/>
      <c r="GU286" s="170"/>
      <c r="GV286" s="170"/>
      <c r="GW286" s="170"/>
      <c r="GX286" s="170"/>
      <c r="GY286" s="170"/>
      <c r="GZ286" s="170"/>
      <c r="HA286" s="170"/>
      <c r="HB286" s="170"/>
      <c r="HC286" s="170"/>
      <c r="HD286" s="170"/>
      <c r="HE286" s="170"/>
      <c r="HF286" s="170"/>
      <c r="HG286" s="170"/>
      <c r="HH286" s="271"/>
      <c r="HI286" s="270"/>
      <c r="HJ286" s="170"/>
      <c r="HK286" s="170"/>
      <c r="HL286" s="170"/>
      <c r="HM286" s="170"/>
      <c r="HN286" s="170"/>
      <c r="HO286" s="170"/>
      <c r="HP286" s="170"/>
      <c r="HQ286" s="170"/>
      <c r="HR286" s="170"/>
      <c r="HS286" s="170"/>
      <c r="HT286" s="170"/>
      <c r="HU286" s="170"/>
      <c r="HV286" s="170"/>
      <c r="HW286" s="170"/>
      <c r="HX286" s="170"/>
      <c r="HY286" s="170"/>
      <c r="HZ286" s="170"/>
      <c r="IA286" s="170"/>
      <c r="IB286" s="170"/>
      <c r="IC286" s="170"/>
      <c r="ID286" s="170"/>
      <c r="IE286" s="170"/>
      <c r="IF286" s="170"/>
      <c r="IG286" s="170"/>
      <c r="IH286" s="170"/>
      <c r="II286" s="170"/>
      <c r="IJ286" s="271"/>
      <c r="JH286" s="155"/>
      <c r="JQ286" s="187"/>
      <c r="JR286" s="188"/>
      <c r="JS286" s="188"/>
      <c r="JT286" s="188"/>
      <c r="JU286" s="188"/>
      <c r="JV286" s="188"/>
      <c r="JW286" s="188"/>
      <c r="JX286" s="188"/>
      <c r="JY286" s="188"/>
      <c r="JZ286" s="188"/>
      <c r="KA286" s="188"/>
      <c r="KB286" s="188"/>
      <c r="KC286" s="188"/>
      <c r="KD286" s="188"/>
      <c r="KE286" s="188"/>
      <c r="KF286" s="188"/>
      <c r="KG286" s="188"/>
      <c r="KH286" s="188"/>
      <c r="KI286" s="188"/>
      <c r="KJ286" s="188"/>
      <c r="KK286" s="188"/>
      <c r="KL286" s="188"/>
      <c r="KM286" s="188"/>
      <c r="KN286" s="188"/>
      <c r="KO286" s="188"/>
      <c r="KP286" s="188"/>
      <c r="KQ286" s="188"/>
      <c r="KR286" s="188"/>
      <c r="KS286" s="188"/>
      <c r="KT286" s="188"/>
      <c r="KU286" s="188"/>
      <c r="KV286" s="188"/>
      <c r="KW286" s="188"/>
      <c r="KX286" s="188"/>
      <c r="KY286" s="188"/>
      <c r="KZ286" s="188"/>
      <c r="LA286" s="188"/>
      <c r="LB286" s="188"/>
      <c r="LC286" s="188"/>
      <c r="LD286" s="188"/>
      <c r="LE286" s="189"/>
      <c r="LF286" s="187"/>
      <c r="LG286" s="188"/>
      <c r="LH286" s="188"/>
      <c r="LI286" s="188"/>
      <c r="LJ286" s="189"/>
      <c r="LQ286" s="12"/>
      <c r="LR286" s="7"/>
    </row>
    <row r="287" spans="3:330" ht="5.0999999999999996" customHeight="1" x14ac:dyDescent="0.3">
      <c r="C287" s="11"/>
      <c r="D287" s="13"/>
      <c r="H287" s="267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  <c r="AA287" s="268"/>
      <c r="AB287" s="268"/>
      <c r="AC287" s="268"/>
      <c r="AD287" s="268"/>
      <c r="AE287" s="268"/>
      <c r="AF287" s="268"/>
      <c r="AG287" s="268"/>
      <c r="AH287" s="268"/>
      <c r="AI287" s="269"/>
      <c r="AJ287" s="267"/>
      <c r="AK287" s="268"/>
      <c r="AL287" s="268"/>
      <c r="AM287" s="268"/>
      <c r="AN287" s="268"/>
      <c r="AO287" s="268"/>
      <c r="AP287" s="268"/>
      <c r="AQ287" s="268"/>
      <c r="AR287" s="268"/>
      <c r="AS287" s="268"/>
      <c r="AT287" s="268"/>
      <c r="AU287" s="268"/>
      <c r="AV287" s="268"/>
      <c r="AW287" s="268"/>
      <c r="AX287" s="268"/>
      <c r="AY287" s="268"/>
      <c r="AZ287" s="268"/>
      <c r="BA287" s="268"/>
      <c r="BB287" s="268"/>
      <c r="BC287" s="268"/>
      <c r="BD287" s="268"/>
      <c r="BE287" s="268"/>
      <c r="BF287" s="268"/>
      <c r="BG287" s="268"/>
      <c r="BH287" s="268"/>
      <c r="BI287" s="268"/>
      <c r="BJ287" s="268"/>
      <c r="BK287" s="269"/>
      <c r="BL287" s="267"/>
      <c r="BM287" s="268"/>
      <c r="BN287" s="268"/>
      <c r="BO287" s="268"/>
      <c r="BP287" s="268"/>
      <c r="BQ287" s="268"/>
      <c r="BR287" s="268"/>
      <c r="BS287" s="268"/>
      <c r="BT287" s="268"/>
      <c r="BU287" s="268"/>
      <c r="BV287" s="268"/>
      <c r="BW287" s="268"/>
      <c r="BX287" s="268"/>
      <c r="BY287" s="268"/>
      <c r="BZ287" s="268"/>
      <c r="CA287" s="268"/>
      <c r="CB287" s="268"/>
      <c r="CC287" s="268"/>
      <c r="CD287" s="268"/>
      <c r="CE287" s="268"/>
      <c r="CF287" s="268"/>
      <c r="CG287" s="268"/>
      <c r="CH287" s="268"/>
      <c r="CI287" s="268"/>
      <c r="CJ287" s="268"/>
      <c r="CK287" s="268"/>
      <c r="CL287" s="268"/>
      <c r="CM287" s="269"/>
      <c r="FE287" s="270"/>
      <c r="FF287" s="170"/>
      <c r="FG287" s="170"/>
      <c r="FH287" s="170"/>
      <c r="FI287" s="170"/>
      <c r="FJ287" s="170"/>
      <c r="FK287" s="170"/>
      <c r="FL287" s="170"/>
      <c r="FM287" s="170"/>
      <c r="FN287" s="170"/>
      <c r="FO287" s="170"/>
      <c r="FP287" s="170"/>
      <c r="FQ287" s="170"/>
      <c r="FR287" s="170"/>
      <c r="FS287" s="170"/>
      <c r="FT287" s="170"/>
      <c r="FU287" s="170"/>
      <c r="FV287" s="170"/>
      <c r="FW287" s="170"/>
      <c r="FX287" s="170"/>
      <c r="FY287" s="170"/>
      <c r="FZ287" s="170"/>
      <c r="GA287" s="170"/>
      <c r="GB287" s="170"/>
      <c r="GC287" s="170"/>
      <c r="GD287" s="170"/>
      <c r="GE287" s="170"/>
      <c r="GF287" s="271"/>
      <c r="GG287" s="270"/>
      <c r="GH287" s="170"/>
      <c r="GI287" s="170"/>
      <c r="GJ287" s="170"/>
      <c r="GK287" s="170"/>
      <c r="GL287" s="170"/>
      <c r="GM287" s="170"/>
      <c r="GN287" s="170"/>
      <c r="GO287" s="170"/>
      <c r="GP287" s="170"/>
      <c r="GQ287" s="170"/>
      <c r="GR287" s="170"/>
      <c r="GS287" s="170"/>
      <c r="GT287" s="170"/>
      <c r="GU287" s="170"/>
      <c r="GV287" s="170"/>
      <c r="GW287" s="170"/>
      <c r="GX287" s="170"/>
      <c r="GY287" s="170"/>
      <c r="GZ287" s="170"/>
      <c r="HA287" s="170"/>
      <c r="HB287" s="170"/>
      <c r="HC287" s="170"/>
      <c r="HD287" s="170"/>
      <c r="HE287" s="170"/>
      <c r="HF287" s="170"/>
      <c r="HG287" s="170"/>
      <c r="HH287" s="271"/>
      <c r="HI287" s="270"/>
      <c r="HJ287" s="170"/>
      <c r="HK287" s="170"/>
      <c r="HL287" s="170"/>
      <c r="HM287" s="170"/>
      <c r="HN287" s="170"/>
      <c r="HO287" s="170"/>
      <c r="HP287" s="170"/>
      <c r="HQ287" s="170"/>
      <c r="HR287" s="170"/>
      <c r="HS287" s="170"/>
      <c r="HT287" s="170"/>
      <c r="HU287" s="170"/>
      <c r="HV287" s="170"/>
      <c r="HW287" s="170"/>
      <c r="HX287" s="170"/>
      <c r="HY287" s="170"/>
      <c r="HZ287" s="170"/>
      <c r="IA287" s="170"/>
      <c r="IB287" s="170"/>
      <c r="IC287" s="170"/>
      <c r="ID287" s="170"/>
      <c r="IE287" s="170"/>
      <c r="IF287" s="170"/>
      <c r="IG287" s="170"/>
      <c r="IH287" s="170"/>
      <c r="II287" s="170"/>
      <c r="IJ287" s="271"/>
      <c r="JH287" s="155"/>
      <c r="JQ287" s="187"/>
      <c r="JR287" s="188"/>
      <c r="JS287" s="188"/>
      <c r="JT287" s="188"/>
      <c r="JU287" s="188"/>
      <c r="JV287" s="188"/>
      <c r="JW287" s="188"/>
      <c r="JX287" s="188"/>
      <c r="JY287" s="188"/>
      <c r="JZ287" s="188"/>
      <c r="KA287" s="188"/>
      <c r="KB287" s="188"/>
      <c r="KC287" s="188"/>
      <c r="KD287" s="188"/>
      <c r="KE287" s="188"/>
      <c r="KF287" s="188"/>
      <c r="KG287" s="188"/>
      <c r="KH287" s="188"/>
      <c r="KI287" s="188"/>
      <c r="KJ287" s="188"/>
      <c r="KK287" s="188"/>
      <c r="KL287" s="188"/>
      <c r="KM287" s="188"/>
      <c r="KN287" s="188"/>
      <c r="KO287" s="188"/>
      <c r="KP287" s="188"/>
      <c r="KQ287" s="188"/>
      <c r="KR287" s="188"/>
      <c r="KS287" s="188"/>
      <c r="KT287" s="188"/>
      <c r="KU287" s="188"/>
      <c r="KV287" s="188"/>
      <c r="KW287" s="188"/>
      <c r="KX287" s="188"/>
      <c r="KY287" s="188"/>
      <c r="KZ287" s="188"/>
      <c r="LA287" s="188"/>
      <c r="LB287" s="188"/>
      <c r="LC287" s="188"/>
      <c r="LD287" s="188"/>
      <c r="LE287" s="189"/>
      <c r="LF287" s="187"/>
      <c r="LG287" s="188"/>
      <c r="LH287" s="188"/>
      <c r="LI287" s="188"/>
      <c r="LJ287" s="189"/>
      <c r="LQ287" s="12"/>
      <c r="LR287" s="7"/>
    </row>
    <row r="288" spans="3:330" ht="5.0999999999999996" customHeight="1" thickBot="1" x14ac:dyDescent="0.35">
      <c r="C288" s="11"/>
      <c r="D288" s="13"/>
      <c r="H288" s="2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  <c r="AF288" s="170"/>
      <c r="AG288" s="170"/>
      <c r="AH288" s="170"/>
      <c r="AI288" s="271"/>
      <c r="AJ288" s="270"/>
      <c r="AK288" s="170"/>
      <c r="AL288" s="170"/>
      <c r="AM288" s="170"/>
      <c r="AN288" s="170"/>
      <c r="AO288" s="170"/>
      <c r="AP288" s="170"/>
      <c r="AQ288" s="170"/>
      <c r="AR288" s="170"/>
      <c r="AS288" s="170"/>
      <c r="AT288" s="170"/>
      <c r="AU288" s="170"/>
      <c r="AV288" s="170"/>
      <c r="AW288" s="170"/>
      <c r="AX288" s="170"/>
      <c r="AY288" s="170"/>
      <c r="AZ288" s="170"/>
      <c r="BA288" s="170"/>
      <c r="BB288" s="170"/>
      <c r="BC288" s="170"/>
      <c r="BD288" s="170"/>
      <c r="BE288" s="170"/>
      <c r="BF288" s="170"/>
      <c r="BG288" s="170"/>
      <c r="BH288" s="170"/>
      <c r="BI288" s="170"/>
      <c r="BJ288" s="170"/>
      <c r="BK288" s="271"/>
      <c r="BL288" s="270"/>
      <c r="BM288" s="170"/>
      <c r="BN288" s="170"/>
      <c r="BO288" s="170"/>
      <c r="BP288" s="170"/>
      <c r="BQ288" s="170"/>
      <c r="BR288" s="170"/>
      <c r="BS288" s="170"/>
      <c r="BT288" s="170"/>
      <c r="BU288" s="170"/>
      <c r="BV288" s="170"/>
      <c r="BW288" s="170"/>
      <c r="BX288" s="170"/>
      <c r="BY288" s="170"/>
      <c r="BZ288" s="170"/>
      <c r="CA288" s="170"/>
      <c r="CB288" s="170"/>
      <c r="CC288" s="170"/>
      <c r="CD288" s="170"/>
      <c r="CE288" s="170"/>
      <c r="CF288" s="170"/>
      <c r="CG288" s="170"/>
      <c r="CH288" s="170"/>
      <c r="CI288" s="170"/>
      <c r="CJ288" s="170"/>
      <c r="CK288" s="170"/>
      <c r="CL288" s="170"/>
      <c r="CM288" s="271"/>
      <c r="FE288" s="272"/>
      <c r="FF288" s="273"/>
      <c r="FG288" s="273"/>
      <c r="FH288" s="273"/>
      <c r="FI288" s="273"/>
      <c r="FJ288" s="273"/>
      <c r="FK288" s="273"/>
      <c r="FL288" s="273"/>
      <c r="FM288" s="273"/>
      <c r="FN288" s="273"/>
      <c r="FO288" s="273"/>
      <c r="FP288" s="273"/>
      <c r="FQ288" s="273"/>
      <c r="FR288" s="273"/>
      <c r="FS288" s="273"/>
      <c r="FT288" s="273"/>
      <c r="FU288" s="273"/>
      <c r="FV288" s="273"/>
      <c r="FW288" s="273"/>
      <c r="FX288" s="273"/>
      <c r="FY288" s="273"/>
      <c r="FZ288" s="273"/>
      <c r="GA288" s="273"/>
      <c r="GB288" s="273"/>
      <c r="GC288" s="273"/>
      <c r="GD288" s="273"/>
      <c r="GE288" s="273"/>
      <c r="GF288" s="274"/>
      <c r="GG288" s="272"/>
      <c r="GH288" s="273"/>
      <c r="GI288" s="273"/>
      <c r="GJ288" s="273"/>
      <c r="GK288" s="273"/>
      <c r="GL288" s="273"/>
      <c r="GM288" s="273"/>
      <c r="GN288" s="273"/>
      <c r="GO288" s="273"/>
      <c r="GP288" s="273"/>
      <c r="GQ288" s="273"/>
      <c r="GR288" s="273"/>
      <c r="GS288" s="273"/>
      <c r="GT288" s="273"/>
      <c r="GU288" s="273"/>
      <c r="GV288" s="273"/>
      <c r="GW288" s="273"/>
      <c r="GX288" s="273"/>
      <c r="GY288" s="273"/>
      <c r="GZ288" s="273"/>
      <c r="HA288" s="273"/>
      <c r="HB288" s="273"/>
      <c r="HC288" s="273"/>
      <c r="HD288" s="273"/>
      <c r="HE288" s="273"/>
      <c r="HF288" s="273"/>
      <c r="HG288" s="273"/>
      <c r="HH288" s="274"/>
      <c r="HI288" s="272"/>
      <c r="HJ288" s="273"/>
      <c r="HK288" s="273"/>
      <c r="HL288" s="273"/>
      <c r="HM288" s="273"/>
      <c r="HN288" s="273"/>
      <c r="HO288" s="273"/>
      <c r="HP288" s="273"/>
      <c r="HQ288" s="273"/>
      <c r="HR288" s="273"/>
      <c r="HS288" s="273"/>
      <c r="HT288" s="273"/>
      <c r="HU288" s="273"/>
      <c r="HV288" s="273"/>
      <c r="HW288" s="273"/>
      <c r="HX288" s="273"/>
      <c r="HY288" s="273"/>
      <c r="HZ288" s="273"/>
      <c r="IA288" s="273"/>
      <c r="IB288" s="273"/>
      <c r="IC288" s="273"/>
      <c r="ID288" s="273"/>
      <c r="IE288" s="273"/>
      <c r="IF288" s="273"/>
      <c r="IG288" s="273"/>
      <c r="IH288" s="273"/>
      <c r="II288" s="273"/>
      <c r="IJ288" s="274"/>
      <c r="JH288" s="155"/>
      <c r="JQ288" s="187"/>
      <c r="JR288" s="188"/>
      <c r="JS288" s="188"/>
      <c r="JT288" s="188"/>
      <c r="JU288" s="188"/>
      <c r="JV288" s="188"/>
      <c r="JW288" s="188"/>
      <c r="JX288" s="188"/>
      <c r="JY288" s="188"/>
      <c r="JZ288" s="188"/>
      <c r="KA288" s="188"/>
      <c r="KB288" s="188"/>
      <c r="KC288" s="188"/>
      <c r="KD288" s="188"/>
      <c r="KE288" s="188"/>
      <c r="KF288" s="188"/>
      <c r="KG288" s="188"/>
      <c r="KH288" s="188"/>
      <c r="KI288" s="188"/>
      <c r="KJ288" s="188"/>
      <c r="KK288" s="188"/>
      <c r="KL288" s="188"/>
      <c r="KM288" s="188"/>
      <c r="KN288" s="188"/>
      <c r="KO288" s="188"/>
      <c r="KP288" s="188"/>
      <c r="KQ288" s="188"/>
      <c r="KR288" s="188"/>
      <c r="KS288" s="188"/>
      <c r="KT288" s="188"/>
      <c r="KU288" s="188"/>
      <c r="KV288" s="188"/>
      <c r="KW288" s="188"/>
      <c r="KX288" s="188"/>
      <c r="KY288" s="188"/>
      <c r="KZ288" s="188"/>
      <c r="LA288" s="188"/>
      <c r="LB288" s="188"/>
      <c r="LC288" s="188"/>
      <c r="LD288" s="188"/>
      <c r="LE288" s="189"/>
      <c r="LF288" s="187"/>
      <c r="LG288" s="188"/>
      <c r="LH288" s="188"/>
      <c r="LI288" s="188"/>
      <c r="LJ288" s="189"/>
      <c r="LQ288" s="12"/>
      <c r="LR288" s="7"/>
    </row>
    <row r="289" spans="3:354" ht="5.0999999999999996" customHeight="1" x14ac:dyDescent="0.3">
      <c r="C289" s="11"/>
      <c r="D289" s="13"/>
      <c r="H289" s="2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  <c r="AF289" s="170"/>
      <c r="AG289" s="170"/>
      <c r="AH289" s="170"/>
      <c r="AI289" s="271"/>
      <c r="AJ289" s="270"/>
      <c r="AK289" s="170"/>
      <c r="AL289" s="170"/>
      <c r="AM289" s="170"/>
      <c r="AN289" s="170"/>
      <c r="AO289" s="170"/>
      <c r="AP289" s="170"/>
      <c r="AQ289" s="170"/>
      <c r="AR289" s="170"/>
      <c r="AS289" s="170"/>
      <c r="AT289" s="170"/>
      <c r="AU289" s="170"/>
      <c r="AV289" s="170"/>
      <c r="AW289" s="170"/>
      <c r="AX289" s="170"/>
      <c r="AY289" s="170"/>
      <c r="AZ289" s="170"/>
      <c r="BA289" s="170"/>
      <c r="BB289" s="170"/>
      <c r="BC289" s="170"/>
      <c r="BD289" s="170"/>
      <c r="BE289" s="170"/>
      <c r="BF289" s="170"/>
      <c r="BG289" s="170"/>
      <c r="BH289" s="170"/>
      <c r="BI289" s="170"/>
      <c r="BJ289" s="170"/>
      <c r="BK289" s="271"/>
      <c r="BL289" s="270"/>
      <c r="BM289" s="170"/>
      <c r="BN289" s="170"/>
      <c r="BO289" s="170"/>
      <c r="BP289" s="170"/>
      <c r="BQ289" s="170"/>
      <c r="BR289" s="170"/>
      <c r="BS289" s="170"/>
      <c r="BT289" s="170"/>
      <c r="BU289" s="170"/>
      <c r="BV289" s="170"/>
      <c r="BW289" s="170"/>
      <c r="BX289" s="170"/>
      <c r="BY289" s="170"/>
      <c r="BZ289" s="170"/>
      <c r="CA289" s="170"/>
      <c r="CB289" s="170"/>
      <c r="CC289" s="170"/>
      <c r="CD289" s="170"/>
      <c r="CE289" s="170"/>
      <c r="CF289" s="170"/>
      <c r="CG289" s="170"/>
      <c r="CH289" s="170"/>
      <c r="CI289" s="170"/>
      <c r="CJ289" s="170"/>
      <c r="CK289" s="170"/>
      <c r="CL289" s="170"/>
      <c r="CM289" s="271"/>
      <c r="JH289" s="155"/>
      <c r="JQ289" s="187"/>
      <c r="JR289" s="188"/>
      <c r="JS289" s="188"/>
      <c r="JT289" s="188"/>
      <c r="JU289" s="188"/>
      <c r="JV289" s="188"/>
      <c r="JW289" s="188"/>
      <c r="JX289" s="188"/>
      <c r="JY289" s="188"/>
      <c r="JZ289" s="188"/>
      <c r="KA289" s="188"/>
      <c r="KB289" s="188"/>
      <c r="KC289" s="188"/>
      <c r="KD289" s="188"/>
      <c r="KE289" s="188"/>
      <c r="KF289" s="188"/>
      <c r="KG289" s="188"/>
      <c r="KH289" s="188"/>
      <c r="KI289" s="188"/>
      <c r="KJ289" s="188"/>
      <c r="KK289" s="188"/>
      <c r="KL289" s="188"/>
      <c r="KM289" s="188"/>
      <c r="KN289" s="188"/>
      <c r="KO289" s="188"/>
      <c r="KP289" s="188"/>
      <c r="KQ289" s="188"/>
      <c r="KR289" s="188"/>
      <c r="KS289" s="188"/>
      <c r="KT289" s="188"/>
      <c r="KU289" s="188"/>
      <c r="KV289" s="188"/>
      <c r="KW289" s="188"/>
      <c r="KX289" s="188"/>
      <c r="KY289" s="188"/>
      <c r="KZ289" s="188"/>
      <c r="LA289" s="188"/>
      <c r="LB289" s="188"/>
      <c r="LC289" s="188"/>
      <c r="LD289" s="188"/>
      <c r="LE289" s="189"/>
      <c r="LF289" s="187"/>
      <c r="LG289" s="188"/>
      <c r="LH289" s="188"/>
      <c r="LI289" s="188"/>
      <c r="LJ289" s="189"/>
      <c r="LQ289" s="12"/>
      <c r="LR289" s="7"/>
    </row>
    <row r="290" spans="3:354" ht="5.0999999999999996" customHeight="1" x14ac:dyDescent="0.3">
      <c r="C290" s="11"/>
      <c r="D290" s="13"/>
      <c r="H290" s="2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271"/>
      <c r="AJ290" s="270"/>
      <c r="AK290" s="170"/>
      <c r="AL290" s="170"/>
      <c r="AM290" s="170"/>
      <c r="AN290" s="170"/>
      <c r="AO290" s="170"/>
      <c r="AP290" s="170"/>
      <c r="AQ290" s="170"/>
      <c r="AR290" s="170"/>
      <c r="AS290" s="170"/>
      <c r="AT290" s="170"/>
      <c r="AU290" s="170"/>
      <c r="AV290" s="170"/>
      <c r="AW290" s="170"/>
      <c r="AX290" s="170"/>
      <c r="AY290" s="170"/>
      <c r="AZ290" s="170"/>
      <c r="BA290" s="170"/>
      <c r="BB290" s="170"/>
      <c r="BC290" s="170"/>
      <c r="BD290" s="170"/>
      <c r="BE290" s="170"/>
      <c r="BF290" s="170"/>
      <c r="BG290" s="170"/>
      <c r="BH290" s="170"/>
      <c r="BI290" s="170"/>
      <c r="BJ290" s="170"/>
      <c r="BK290" s="271"/>
      <c r="BL290" s="270"/>
      <c r="BM290" s="170"/>
      <c r="BN290" s="170"/>
      <c r="BO290" s="170"/>
      <c r="BP290" s="170"/>
      <c r="BQ290" s="170"/>
      <c r="BR290" s="170"/>
      <c r="BS290" s="170"/>
      <c r="BT290" s="170"/>
      <c r="BU290" s="170"/>
      <c r="BV290" s="170"/>
      <c r="BW290" s="170"/>
      <c r="BX290" s="170"/>
      <c r="BY290" s="170"/>
      <c r="BZ290" s="170"/>
      <c r="CA290" s="170"/>
      <c r="CB290" s="170"/>
      <c r="CC290" s="170"/>
      <c r="CD290" s="170"/>
      <c r="CE290" s="170"/>
      <c r="CF290" s="170"/>
      <c r="CG290" s="170"/>
      <c r="CH290" s="170"/>
      <c r="CI290" s="170"/>
      <c r="CJ290" s="170"/>
      <c r="CK290" s="170"/>
      <c r="CL290" s="170"/>
      <c r="CM290" s="271"/>
      <c r="JH290" s="155"/>
      <c r="JQ290" s="187"/>
      <c r="JR290" s="188"/>
      <c r="JS290" s="188"/>
      <c r="JT290" s="188"/>
      <c r="JU290" s="188"/>
      <c r="JV290" s="188"/>
      <c r="JW290" s="188"/>
      <c r="JX290" s="188"/>
      <c r="JY290" s="188"/>
      <c r="JZ290" s="188"/>
      <c r="KA290" s="188"/>
      <c r="KB290" s="188"/>
      <c r="KC290" s="188"/>
      <c r="KD290" s="188"/>
      <c r="KE290" s="188"/>
      <c r="KF290" s="188"/>
      <c r="KG290" s="188"/>
      <c r="KH290" s="188"/>
      <c r="KI290" s="188"/>
      <c r="KJ290" s="188"/>
      <c r="KK290" s="188"/>
      <c r="KL290" s="188"/>
      <c r="KM290" s="188"/>
      <c r="KN290" s="188"/>
      <c r="KO290" s="188"/>
      <c r="KP290" s="188"/>
      <c r="KQ290" s="188"/>
      <c r="KR290" s="188"/>
      <c r="KS290" s="188"/>
      <c r="KT290" s="188"/>
      <c r="KU290" s="188"/>
      <c r="KV290" s="188"/>
      <c r="KW290" s="188"/>
      <c r="KX290" s="188"/>
      <c r="KY290" s="188"/>
      <c r="KZ290" s="188"/>
      <c r="LA290" s="188"/>
      <c r="LB290" s="188"/>
      <c r="LC290" s="188"/>
      <c r="LD290" s="188"/>
      <c r="LE290" s="189"/>
      <c r="LF290" s="187"/>
      <c r="LG290" s="188"/>
      <c r="LH290" s="188"/>
      <c r="LI290" s="188"/>
      <c r="LJ290" s="189"/>
      <c r="LQ290" s="12"/>
      <c r="LR290" s="7"/>
    </row>
    <row r="291" spans="3:354" ht="5.0999999999999996" customHeight="1" thickBot="1" x14ac:dyDescent="0.35">
      <c r="C291" s="11"/>
      <c r="D291" s="13"/>
      <c r="H291" s="272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4"/>
      <c r="AJ291" s="272"/>
      <c r="AK291" s="273"/>
      <c r="AL291" s="273"/>
      <c r="AM291" s="273"/>
      <c r="AN291" s="273"/>
      <c r="AO291" s="273"/>
      <c r="AP291" s="273"/>
      <c r="AQ291" s="273"/>
      <c r="AR291" s="273"/>
      <c r="AS291" s="273"/>
      <c r="AT291" s="273"/>
      <c r="AU291" s="273"/>
      <c r="AV291" s="273"/>
      <c r="AW291" s="273"/>
      <c r="AX291" s="273"/>
      <c r="AY291" s="273"/>
      <c r="AZ291" s="273"/>
      <c r="BA291" s="273"/>
      <c r="BB291" s="273"/>
      <c r="BC291" s="273"/>
      <c r="BD291" s="273"/>
      <c r="BE291" s="273"/>
      <c r="BF291" s="273"/>
      <c r="BG291" s="273"/>
      <c r="BH291" s="273"/>
      <c r="BI291" s="273"/>
      <c r="BJ291" s="273"/>
      <c r="BK291" s="274"/>
      <c r="BL291" s="272"/>
      <c r="BM291" s="273"/>
      <c r="BN291" s="273"/>
      <c r="BO291" s="273"/>
      <c r="BP291" s="273"/>
      <c r="BQ291" s="273"/>
      <c r="BR291" s="273"/>
      <c r="BS291" s="273"/>
      <c r="BT291" s="273"/>
      <c r="BU291" s="273"/>
      <c r="BV291" s="273"/>
      <c r="BW291" s="273"/>
      <c r="BX291" s="273"/>
      <c r="BY291" s="273"/>
      <c r="BZ291" s="273"/>
      <c r="CA291" s="273"/>
      <c r="CB291" s="273"/>
      <c r="CC291" s="273"/>
      <c r="CD291" s="273"/>
      <c r="CE291" s="273"/>
      <c r="CF291" s="273"/>
      <c r="CG291" s="273"/>
      <c r="CH291" s="273"/>
      <c r="CI291" s="273"/>
      <c r="CJ291" s="273"/>
      <c r="CK291" s="273"/>
      <c r="CL291" s="273"/>
      <c r="CM291" s="274"/>
      <c r="JQ291" s="187"/>
      <c r="JR291" s="188"/>
      <c r="JS291" s="188"/>
      <c r="JT291" s="188"/>
      <c r="JU291" s="188"/>
      <c r="JV291" s="188"/>
      <c r="JW291" s="188"/>
      <c r="JX291" s="188"/>
      <c r="JY291" s="188"/>
      <c r="JZ291" s="188"/>
      <c r="KA291" s="188"/>
      <c r="KB291" s="188"/>
      <c r="KC291" s="188"/>
      <c r="KD291" s="188"/>
      <c r="KE291" s="188"/>
      <c r="KF291" s="188"/>
      <c r="KG291" s="188"/>
      <c r="KH291" s="188"/>
      <c r="KI291" s="188"/>
      <c r="KJ291" s="188"/>
      <c r="KK291" s="188"/>
      <c r="KL291" s="188"/>
      <c r="KM291" s="188"/>
      <c r="KN291" s="188"/>
      <c r="KO291" s="188"/>
      <c r="KP291" s="188"/>
      <c r="KQ291" s="188"/>
      <c r="KR291" s="188"/>
      <c r="KS291" s="188"/>
      <c r="KT291" s="188"/>
      <c r="KU291" s="188"/>
      <c r="KV291" s="188"/>
      <c r="KW291" s="188"/>
      <c r="KX291" s="188"/>
      <c r="KY291" s="188"/>
      <c r="KZ291" s="188"/>
      <c r="LA291" s="188"/>
      <c r="LB291" s="188"/>
      <c r="LC291" s="188"/>
      <c r="LD291" s="188"/>
      <c r="LE291" s="189"/>
      <c r="LF291" s="187"/>
      <c r="LG291" s="188"/>
      <c r="LH291" s="188"/>
      <c r="LI291" s="188"/>
      <c r="LJ291" s="189"/>
      <c r="LQ291" s="12"/>
      <c r="LR291" s="7"/>
    </row>
    <row r="292" spans="3:354" ht="5.0999999999999996" customHeight="1" x14ac:dyDescent="0.3">
      <c r="C292" s="11"/>
      <c r="D292" s="13"/>
      <c r="JQ292" s="187"/>
      <c r="JR292" s="188"/>
      <c r="JS292" s="188"/>
      <c r="JT292" s="188"/>
      <c r="JU292" s="188"/>
      <c r="JV292" s="188"/>
      <c r="JW292" s="188"/>
      <c r="JX292" s="188"/>
      <c r="JY292" s="188"/>
      <c r="JZ292" s="188"/>
      <c r="KA292" s="188"/>
      <c r="KB292" s="188"/>
      <c r="KC292" s="188"/>
      <c r="KD292" s="188"/>
      <c r="KE292" s="188"/>
      <c r="KF292" s="188"/>
      <c r="KG292" s="188"/>
      <c r="KH292" s="188"/>
      <c r="KI292" s="188"/>
      <c r="KJ292" s="188"/>
      <c r="KK292" s="188"/>
      <c r="KL292" s="188"/>
      <c r="KM292" s="188"/>
      <c r="KN292" s="188"/>
      <c r="KO292" s="188"/>
      <c r="KP292" s="188"/>
      <c r="KQ292" s="188"/>
      <c r="KR292" s="188"/>
      <c r="KS292" s="188"/>
      <c r="KT292" s="188"/>
      <c r="KU292" s="188"/>
      <c r="KV292" s="188"/>
      <c r="KW292" s="188"/>
      <c r="KX292" s="188"/>
      <c r="KY292" s="188"/>
      <c r="KZ292" s="188"/>
      <c r="LA292" s="188"/>
      <c r="LB292" s="188"/>
      <c r="LC292" s="188"/>
      <c r="LD292" s="188"/>
      <c r="LE292" s="189"/>
      <c r="LF292" s="187"/>
      <c r="LG292" s="188"/>
      <c r="LH292" s="188"/>
      <c r="LI292" s="188"/>
      <c r="LJ292" s="189"/>
      <c r="LQ292" s="12"/>
      <c r="LR292" s="7"/>
    </row>
    <row r="293" spans="3:354" ht="5.0999999999999996" customHeight="1" x14ac:dyDescent="0.3">
      <c r="C293" s="11"/>
      <c r="D293" s="13"/>
      <c r="JQ293" s="190"/>
      <c r="JR293" s="191"/>
      <c r="JS293" s="191"/>
      <c r="JT293" s="191"/>
      <c r="JU293" s="191"/>
      <c r="JV293" s="191"/>
      <c r="JW293" s="191"/>
      <c r="JX293" s="191"/>
      <c r="JY293" s="191"/>
      <c r="JZ293" s="191"/>
      <c r="KA293" s="191"/>
      <c r="KB293" s="191"/>
      <c r="KC293" s="191"/>
      <c r="KD293" s="191"/>
      <c r="KE293" s="191"/>
      <c r="KF293" s="191"/>
      <c r="KG293" s="191"/>
      <c r="KH293" s="191"/>
      <c r="KI293" s="191"/>
      <c r="KJ293" s="191"/>
      <c r="KK293" s="191"/>
      <c r="KL293" s="191"/>
      <c r="KM293" s="191"/>
      <c r="KN293" s="191"/>
      <c r="KO293" s="191"/>
      <c r="KP293" s="191"/>
      <c r="KQ293" s="191"/>
      <c r="KR293" s="191"/>
      <c r="KS293" s="191"/>
      <c r="KT293" s="191"/>
      <c r="KU293" s="191"/>
      <c r="KV293" s="191"/>
      <c r="KW293" s="191"/>
      <c r="KX293" s="191"/>
      <c r="KY293" s="191"/>
      <c r="KZ293" s="191"/>
      <c r="LA293" s="191"/>
      <c r="LB293" s="191"/>
      <c r="LC293" s="191"/>
      <c r="LD293" s="191"/>
      <c r="LE293" s="192"/>
      <c r="LF293" s="190"/>
      <c r="LG293" s="191"/>
      <c r="LH293" s="191"/>
      <c r="LI293" s="191"/>
      <c r="LJ293" s="192"/>
      <c r="LQ293" s="12"/>
      <c r="LR293" s="7"/>
    </row>
    <row r="294" spans="3:354" ht="5.0999999999999996" customHeight="1" x14ac:dyDescent="0.3">
      <c r="C294" s="11"/>
      <c r="D294" s="13"/>
      <c r="LQ294" s="12"/>
      <c r="LR294" s="7"/>
    </row>
    <row r="295" spans="3:354" ht="5.0999999999999996" customHeight="1" x14ac:dyDescent="0.3">
      <c r="C295" s="11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9"/>
      <c r="KZ295" s="9"/>
      <c r="LA295" s="9"/>
      <c r="LB295" s="9"/>
      <c r="LC295" s="9"/>
      <c r="LD295" s="9"/>
      <c r="LE295" s="9"/>
      <c r="LF295" s="9"/>
      <c r="LG295" s="9"/>
      <c r="LH295" s="9"/>
      <c r="LI295" s="9"/>
      <c r="LJ295" s="9"/>
      <c r="LK295" s="9"/>
      <c r="LL295" s="9"/>
      <c r="LM295" s="9"/>
      <c r="LN295" s="9"/>
      <c r="LO295" s="9"/>
      <c r="LP295" s="9"/>
      <c r="LQ295" s="8"/>
      <c r="LR295" s="7"/>
    </row>
    <row r="296" spans="3:354" ht="3" customHeight="1" thickBot="1" x14ac:dyDescent="0.35"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/>
      <c r="JG296" s="5"/>
      <c r="JH296" s="5"/>
      <c r="JI296" s="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  <c r="KR296" s="5"/>
      <c r="KS296" s="5"/>
      <c r="KT296" s="5"/>
      <c r="KU296" s="5"/>
      <c r="KV296" s="5"/>
      <c r="KW296" s="5"/>
      <c r="KX296" s="5"/>
      <c r="KY296" s="5"/>
      <c r="KZ296" s="5"/>
      <c r="LA296" s="5"/>
      <c r="LB296" s="5"/>
      <c r="LC296" s="5"/>
      <c r="LD296" s="5"/>
      <c r="LE296" s="5"/>
      <c r="LF296" s="5"/>
      <c r="LG296" s="5"/>
      <c r="LH296" s="5"/>
      <c r="LI296" s="5"/>
      <c r="LJ296" s="5"/>
      <c r="LK296" s="5"/>
      <c r="LL296" s="5"/>
      <c r="LM296" s="5"/>
      <c r="LN296" s="5"/>
      <c r="LO296" s="5"/>
      <c r="LP296" s="5"/>
      <c r="LQ296" s="5"/>
      <c r="LR296" s="4"/>
    </row>
    <row r="297" spans="3:354" ht="5.0999999999999996" customHeight="1" thickTop="1" x14ac:dyDescent="0.3"/>
    <row r="298" spans="3:354" ht="5.0999999999999996" customHeight="1" x14ac:dyDescent="0.3"/>
    <row r="299" spans="3:354" ht="5.0999999999999996" customHeight="1" x14ac:dyDescent="0.3"/>
    <row r="300" spans="3:354" ht="5.0999999999999996" customHeight="1" x14ac:dyDescent="0.3"/>
    <row r="301" spans="3:354" ht="5.0999999999999996" customHeight="1" x14ac:dyDescent="0.3">
      <c r="N301" s="3"/>
      <c r="O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EI301" s="3"/>
      <c r="EJ301" s="3"/>
      <c r="EK301" s="3"/>
      <c r="EL301" s="3"/>
      <c r="EM301" s="3"/>
      <c r="EN301" s="3"/>
      <c r="EO301" s="3"/>
      <c r="EP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LS301" s="3"/>
      <c r="LT301" s="3"/>
      <c r="LU301" s="3"/>
      <c r="LV301" s="3"/>
      <c r="MK301" s="3"/>
      <c r="ML301" s="3"/>
      <c r="MM301" s="3"/>
      <c r="MN301" s="3"/>
      <c r="MO301" s="3"/>
    </row>
    <row r="302" spans="3:354" ht="5.0999999999999996" customHeight="1" x14ac:dyDescent="0.3">
      <c r="N302" s="3"/>
      <c r="O302" s="3"/>
      <c r="P302" s="2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LS302" s="3"/>
      <c r="LT302" s="3"/>
      <c r="LU302" s="3"/>
      <c r="LV302" s="3"/>
      <c r="LW302" s="2"/>
      <c r="MK302" s="3"/>
      <c r="ML302" s="3"/>
      <c r="MM302" s="3"/>
      <c r="MN302" s="3"/>
      <c r="MO302" s="3"/>
      <c r="MP302" s="2"/>
    </row>
    <row r="303" spans="3:354" ht="5.0999999999999996" customHeight="1" x14ac:dyDescent="0.3"/>
    <row r="304" spans="3:354" ht="5.0999999999999996" customHeight="1" x14ac:dyDescent="0.3"/>
    <row r="305" spans="14:354" ht="5.0999999999999996" customHeight="1" x14ac:dyDescent="0.3"/>
    <row r="306" spans="14:354" ht="5.0999999999999996" customHeight="1" x14ac:dyDescent="0.3"/>
    <row r="307" spans="14:354" ht="5.0999999999999996" customHeight="1" x14ac:dyDescent="0.3"/>
    <row r="308" spans="14:354" ht="5.0999999999999996" customHeight="1" x14ac:dyDescent="0.3">
      <c r="N308" s="3"/>
      <c r="O308" s="3"/>
      <c r="P308" s="2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LS308" s="3"/>
      <c r="LT308" s="3"/>
      <c r="LU308" s="3"/>
      <c r="LV308" s="3"/>
      <c r="LW308" s="2"/>
      <c r="MK308" s="3"/>
      <c r="ML308" s="3"/>
      <c r="MM308" s="3"/>
      <c r="MN308" s="3"/>
      <c r="MO308" s="3"/>
      <c r="MP308" s="2"/>
    </row>
    <row r="309" spans="14:354" ht="5.0999999999999996" customHeight="1" x14ac:dyDescent="0.3">
      <c r="N309" s="3"/>
      <c r="O309" s="3"/>
      <c r="P309" s="2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LS309" s="3"/>
      <c r="LT309" s="3"/>
      <c r="LU309" s="3"/>
      <c r="LV309" s="3"/>
      <c r="LW309" s="2"/>
      <c r="MK309" s="3"/>
      <c r="ML309" s="3"/>
      <c r="MM309" s="3"/>
      <c r="MN309" s="3"/>
      <c r="MO309" s="3"/>
      <c r="MP309" s="2"/>
    </row>
    <row r="310" spans="14:354" ht="5.0999999999999996" customHeight="1" x14ac:dyDescent="0.3">
      <c r="CN310" s="16"/>
      <c r="CQ310" s="184" t="s">
        <v>60</v>
      </c>
      <c r="CR310" s="185"/>
      <c r="CS310" s="185"/>
      <c r="CT310" s="185"/>
      <c r="CU310" s="185"/>
      <c r="CV310" s="185"/>
      <c r="CW310" s="185"/>
      <c r="CX310" s="185"/>
      <c r="CY310" s="185"/>
      <c r="CZ310" s="185"/>
      <c r="DA310" s="185"/>
      <c r="DB310" s="185"/>
      <c r="DC310" s="185"/>
      <c r="DD310" s="185"/>
      <c r="DE310" s="185"/>
      <c r="DF310" s="185"/>
      <c r="DG310" s="185"/>
      <c r="DH310" s="185"/>
      <c r="DI310" s="185"/>
      <c r="DJ310" s="185"/>
      <c r="DK310" s="185"/>
      <c r="DL310" s="185"/>
      <c r="DM310" s="185"/>
      <c r="DN310" s="185"/>
      <c r="DO310" s="185"/>
      <c r="DP310" s="185"/>
      <c r="DQ310" s="185"/>
      <c r="DR310" s="185"/>
      <c r="DS310" s="185"/>
      <c r="DT310" s="185"/>
      <c r="DU310" s="185"/>
      <c r="DV310" s="185"/>
      <c r="DW310" s="185"/>
      <c r="DX310" s="185"/>
      <c r="DY310" s="185"/>
      <c r="DZ310" s="185"/>
      <c r="EA310" s="185"/>
      <c r="EB310" s="185"/>
      <c r="EC310" s="185"/>
      <c r="ED310" s="185"/>
      <c r="EE310" s="186"/>
      <c r="EF310" s="184">
        <v>1</v>
      </c>
      <c r="EG310" s="185"/>
      <c r="EH310" s="185"/>
      <c r="EI310" s="185"/>
      <c r="EJ310" s="186"/>
    </row>
    <row r="311" spans="14:354" ht="5.0999999999999996" customHeight="1" x14ac:dyDescent="0.3">
      <c r="CN311" s="16"/>
      <c r="CQ311" s="187"/>
      <c r="CR311" s="188"/>
      <c r="CS311" s="188"/>
      <c r="CT311" s="188"/>
      <c r="CU311" s="188"/>
      <c r="CV311" s="188"/>
      <c r="CW311" s="188"/>
      <c r="CX311" s="188"/>
      <c r="CY311" s="188"/>
      <c r="CZ311" s="188"/>
      <c r="DA311" s="188"/>
      <c r="DB311" s="188"/>
      <c r="DC311" s="188"/>
      <c r="DD311" s="188"/>
      <c r="DE311" s="188"/>
      <c r="DF311" s="188"/>
      <c r="DG311" s="188"/>
      <c r="DH311" s="188"/>
      <c r="DI311" s="188"/>
      <c r="DJ311" s="188"/>
      <c r="DK311" s="188"/>
      <c r="DL311" s="188"/>
      <c r="DM311" s="188"/>
      <c r="DN311" s="188"/>
      <c r="DO311" s="188"/>
      <c r="DP311" s="188"/>
      <c r="DQ311" s="188"/>
      <c r="DR311" s="188"/>
      <c r="DS311" s="188"/>
      <c r="DT311" s="188"/>
      <c r="DU311" s="188"/>
      <c r="DV311" s="188"/>
      <c r="DW311" s="188"/>
      <c r="DX311" s="188"/>
      <c r="DY311" s="188"/>
      <c r="DZ311" s="188"/>
      <c r="EA311" s="188"/>
      <c r="EB311" s="188"/>
      <c r="EC311" s="188"/>
      <c r="ED311" s="188"/>
      <c r="EE311" s="189"/>
      <c r="EF311" s="187"/>
      <c r="EG311" s="188"/>
      <c r="EH311" s="188"/>
      <c r="EI311" s="188"/>
      <c r="EJ311" s="189"/>
    </row>
    <row r="312" spans="14:354" ht="5.0999999999999996" customHeight="1" x14ac:dyDescent="0.3">
      <c r="CN312" s="16"/>
      <c r="CQ312" s="187"/>
      <c r="CR312" s="188"/>
      <c r="CS312" s="188"/>
      <c r="CT312" s="188"/>
      <c r="CU312" s="188"/>
      <c r="CV312" s="188"/>
      <c r="CW312" s="188"/>
      <c r="CX312" s="188"/>
      <c r="CY312" s="188"/>
      <c r="CZ312" s="188"/>
      <c r="DA312" s="188"/>
      <c r="DB312" s="188"/>
      <c r="DC312" s="188"/>
      <c r="DD312" s="188"/>
      <c r="DE312" s="188"/>
      <c r="DF312" s="188"/>
      <c r="DG312" s="188"/>
      <c r="DH312" s="188"/>
      <c r="DI312" s="188"/>
      <c r="DJ312" s="188"/>
      <c r="DK312" s="188"/>
      <c r="DL312" s="188"/>
      <c r="DM312" s="188"/>
      <c r="DN312" s="188"/>
      <c r="DO312" s="188"/>
      <c r="DP312" s="188"/>
      <c r="DQ312" s="188"/>
      <c r="DR312" s="188"/>
      <c r="DS312" s="188"/>
      <c r="DT312" s="188"/>
      <c r="DU312" s="188"/>
      <c r="DV312" s="188"/>
      <c r="DW312" s="188"/>
      <c r="DX312" s="188"/>
      <c r="DY312" s="188"/>
      <c r="DZ312" s="188"/>
      <c r="EA312" s="188"/>
      <c r="EB312" s="188"/>
      <c r="EC312" s="188"/>
      <c r="ED312" s="188"/>
      <c r="EE312" s="189"/>
      <c r="EF312" s="187"/>
      <c r="EG312" s="188"/>
      <c r="EH312" s="188"/>
      <c r="EI312" s="188"/>
      <c r="EJ312" s="189"/>
    </row>
    <row r="313" spans="14:354" ht="5.0999999999999996" customHeight="1" x14ac:dyDescent="0.3">
      <c r="CN313" s="16"/>
      <c r="CQ313" s="187"/>
      <c r="CR313" s="188"/>
      <c r="CS313" s="188"/>
      <c r="CT313" s="188"/>
      <c r="CU313" s="188"/>
      <c r="CV313" s="188"/>
      <c r="CW313" s="188"/>
      <c r="CX313" s="188"/>
      <c r="CY313" s="188"/>
      <c r="CZ313" s="188"/>
      <c r="DA313" s="188"/>
      <c r="DB313" s="188"/>
      <c r="DC313" s="188"/>
      <c r="DD313" s="188"/>
      <c r="DE313" s="188"/>
      <c r="DF313" s="188"/>
      <c r="DG313" s="188"/>
      <c r="DH313" s="188"/>
      <c r="DI313" s="188"/>
      <c r="DJ313" s="188"/>
      <c r="DK313" s="188"/>
      <c r="DL313" s="188"/>
      <c r="DM313" s="188"/>
      <c r="DN313" s="188"/>
      <c r="DO313" s="188"/>
      <c r="DP313" s="188"/>
      <c r="DQ313" s="188"/>
      <c r="DR313" s="188"/>
      <c r="DS313" s="188"/>
      <c r="DT313" s="188"/>
      <c r="DU313" s="188"/>
      <c r="DV313" s="188"/>
      <c r="DW313" s="188"/>
      <c r="DX313" s="188"/>
      <c r="DY313" s="188"/>
      <c r="DZ313" s="188"/>
      <c r="EA313" s="188"/>
      <c r="EB313" s="188"/>
      <c r="EC313" s="188"/>
      <c r="ED313" s="188"/>
      <c r="EE313" s="189"/>
      <c r="EF313" s="187"/>
      <c r="EG313" s="188"/>
      <c r="EH313" s="188"/>
      <c r="EI313" s="188"/>
      <c r="EJ313" s="189"/>
    </row>
    <row r="314" spans="14:354" ht="5.0999999999999996" customHeight="1" thickBot="1" x14ac:dyDescent="0.35">
      <c r="CN314" s="16"/>
      <c r="CQ314" s="187"/>
      <c r="CR314" s="188"/>
      <c r="CS314" s="188"/>
      <c r="CT314" s="188"/>
      <c r="CU314" s="188"/>
      <c r="CV314" s="188"/>
      <c r="CW314" s="188"/>
      <c r="CX314" s="188"/>
      <c r="CY314" s="188"/>
      <c r="CZ314" s="188"/>
      <c r="DA314" s="188"/>
      <c r="DB314" s="188"/>
      <c r="DC314" s="188"/>
      <c r="DD314" s="188"/>
      <c r="DE314" s="188"/>
      <c r="DF314" s="188"/>
      <c r="DG314" s="188"/>
      <c r="DH314" s="188"/>
      <c r="DI314" s="188"/>
      <c r="DJ314" s="188"/>
      <c r="DK314" s="188"/>
      <c r="DL314" s="188"/>
      <c r="DM314" s="188"/>
      <c r="DN314" s="188"/>
      <c r="DO314" s="188"/>
      <c r="DP314" s="188"/>
      <c r="DQ314" s="188"/>
      <c r="DR314" s="188"/>
      <c r="DS314" s="188"/>
      <c r="DT314" s="188"/>
      <c r="DU314" s="188"/>
      <c r="DV314" s="188"/>
      <c r="DW314" s="188"/>
      <c r="DX314" s="188"/>
      <c r="DY314" s="188"/>
      <c r="DZ314" s="188"/>
      <c r="EA314" s="188"/>
      <c r="EB314" s="188"/>
      <c r="EC314" s="188"/>
      <c r="ED314" s="188"/>
      <c r="EE314" s="189"/>
      <c r="EF314" s="187"/>
      <c r="EG314" s="188"/>
      <c r="EH314" s="188"/>
      <c r="EI314" s="188"/>
      <c r="EJ314" s="189"/>
    </row>
    <row r="315" spans="14:354" ht="5.0999999999999996" customHeight="1" x14ac:dyDescent="0.3">
      <c r="CN315" s="22"/>
      <c r="CO315" s="21"/>
      <c r="CP315" s="48"/>
      <c r="CQ315" s="187"/>
      <c r="CR315" s="188"/>
      <c r="CS315" s="188"/>
      <c r="CT315" s="188"/>
      <c r="CU315" s="188"/>
      <c r="CV315" s="188"/>
      <c r="CW315" s="188"/>
      <c r="CX315" s="188"/>
      <c r="CY315" s="188"/>
      <c r="CZ315" s="188"/>
      <c r="DA315" s="188"/>
      <c r="DB315" s="188"/>
      <c r="DC315" s="188"/>
      <c r="DD315" s="188"/>
      <c r="DE315" s="188"/>
      <c r="DF315" s="188"/>
      <c r="DG315" s="188"/>
      <c r="DH315" s="188"/>
      <c r="DI315" s="188"/>
      <c r="DJ315" s="188"/>
      <c r="DK315" s="188"/>
      <c r="DL315" s="188"/>
      <c r="DM315" s="188"/>
      <c r="DN315" s="188"/>
      <c r="DO315" s="188"/>
      <c r="DP315" s="188"/>
      <c r="DQ315" s="188"/>
      <c r="DR315" s="188"/>
      <c r="DS315" s="188"/>
      <c r="DT315" s="188"/>
      <c r="DU315" s="188"/>
      <c r="DV315" s="188"/>
      <c r="DW315" s="188"/>
      <c r="DX315" s="188"/>
      <c r="DY315" s="188"/>
      <c r="DZ315" s="188"/>
      <c r="EA315" s="188"/>
      <c r="EB315" s="188"/>
      <c r="EC315" s="188"/>
      <c r="ED315" s="188"/>
      <c r="EE315" s="189"/>
      <c r="EF315" s="187"/>
      <c r="EG315" s="188"/>
      <c r="EH315" s="188"/>
      <c r="EI315" s="188"/>
      <c r="EJ315" s="189"/>
    </row>
    <row r="316" spans="14:354" ht="5.0999999999999996" customHeight="1" x14ac:dyDescent="0.3">
      <c r="CN316" s="16"/>
      <c r="CQ316" s="187"/>
      <c r="CR316" s="188"/>
      <c r="CS316" s="188"/>
      <c r="CT316" s="188"/>
      <c r="CU316" s="188"/>
      <c r="CV316" s="188"/>
      <c r="CW316" s="188"/>
      <c r="CX316" s="188"/>
      <c r="CY316" s="188"/>
      <c r="CZ316" s="188"/>
      <c r="DA316" s="188"/>
      <c r="DB316" s="188"/>
      <c r="DC316" s="188"/>
      <c r="DD316" s="188"/>
      <c r="DE316" s="188"/>
      <c r="DF316" s="188"/>
      <c r="DG316" s="188"/>
      <c r="DH316" s="188"/>
      <c r="DI316" s="188"/>
      <c r="DJ316" s="188"/>
      <c r="DK316" s="188"/>
      <c r="DL316" s="188"/>
      <c r="DM316" s="188"/>
      <c r="DN316" s="188"/>
      <c r="DO316" s="188"/>
      <c r="DP316" s="188"/>
      <c r="DQ316" s="188"/>
      <c r="DR316" s="188"/>
      <c r="DS316" s="188"/>
      <c r="DT316" s="188"/>
      <c r="DU316" s="188"/>
      <c r="DV316" s="188"/>
      <c r="DW316" s="188"/>
      <c r="DX316" s="188"/>
      <c r="DY316" s="188"/>
      <c r="DZ316" s="188"/>
      <c r="EA316" s="188"/>
      <c r="EB316" s="188"/>
      <c r="EC316" s="188"/>
      <c r="ED316" s="188"/>
      <c r="EE316" s="189"/>
      <c r="EF316" s="187"/>
      <c r="EG316" s="188"/>
      <c r="EH316" s="188"/>
      <c r="EI316" s="188"/>
      <c r="EJ316" s="189"/>
    </row>
    <row r="317" spans="14:354" x14ac:dyDescent="0.3">
      <c r="CN317" s="16"/>
      <c r="CQ317" s="187"/>
      <c r="CR317" s="188"/>
      <c r="CS317" s="188"/>
      <c r="CT317" s="188"/>
      <c r="CU317" s="188"/>
      <c r="CV317" s="188"/>
      <c r="CW317" s="188"/>
      <c r="CX317" s="188"/>
      <c r="CY317" s="188"/>
      <c r="CZ317" s="188"/>
      <c r="DA317" s="188"/>
      <c r="DB317" s="188"/>
      <c r="DC317" s="188"/>
      <c r="DD317" s="188"/>
      <c r="DE317" s="188"/>
      <c r="DF317" s="188"/>
      <c r="DG317" s="188"/>
      <c r="DH317" s="188"/>
      <c r="DI317" s="188"/>
      <c r="DJ317" s="188"/>
      <c r="DK317" s="188"/>
      <c r="DL317" s="188"/>
      <c r="DM317" s="188"/>
      <c r="DN317" s="188"/>
      <c r="DO317" s="188"/>
      <c r="DP317" s="188"/>
      <c r="DQ317" s="188"/>
      <c r="DR317" s="188"/>
      <c r="DS317" s="188"/>
      <c r="DT317" s="188"/>
      <c r="DU317" s="188"/>
      <c r="DV317" s="188"/>
      <c r="DW317" s="188"/>
      <c r="DX317" s="188"/>
      <c r="DY317" s="188"/>
      <c r="DZ317" s="188"/>
      <c r="EA317" s="188"/>
      <c r="EB317" s="188"/>
      <c r="EC317" s="188"/>
      <c r="ED317" s="188"/>
      <c r="EE317" s="189"/>
      <c r="EF317" s="187"/>
      <c r="EG317" s="188"/>
      <c r="EH317" s="188"/>
      <c r="EI317" s="188"/>
      <c r="EJ317" s="189"/>
    </row>
    <row r="318" spans="14:354" x14ac:dyDescent="0.3">
      <c r="CN318" s="16"/>
      <c r="CQ318" s="187"/>
      <c r="CR318" s="188"/>
      <c r="CS318" s="188"/>
      <c r="CT318" s="188"/>
      <c r="CU318" s="188"/>
      <c r="CV318" s="188"/>
      <c r="CW318" s="188"/>
      <c r="CX318" s="188"/>
      <c r="CY318" s="188"/>
      <c r="CZ318" s="188"/>
      <c r="DA318" s="188"/>
      <c r="DB318" s="188"/>
      <c r="DC318" s="188"/>
      <c r="DD318" s="188"/>
      <c r="DE318" s="188"/>
      <c r="DF318" s="188"/>
      <c r="DG318" s="188"/>
      <c r="DH318" s="188"/>
      <c r="DI318" s="188"/>
      <c r="DJ318" s="188"/>
      <c r="DK318" s="188"/>
      <c r="DL318" s="188"/>
      <c r="DM318" s="188"/>
      <c r="DN318" s="188"/>
      <c r="DO318" s="188"/>
      <c r="DP318" s="188"/>
      <c r="DQ318" s="188"/>
      <c r="DR318" s="188"/>
      <c r="DS318" s="188"/>
      <c r="DT318" s="188"/>
      <c r="DU318" s="188"/>
      <c r="DV318" s="188"/>
      <c r="DW318" s="188"/>
      <c r="DX318" s="188"/>
      <c r="DY318" s="188"/>
      <c r="DZ318" s="188"/>
      <c r="EA318" s="188"/>
      <c r="EB318" s="188"/>
      <c r="EC318" s="188"/>
      <c r="ED318" s="188"/>
      <c r="EE318" s="189"/>
      <c r="EF318" s="187"/>
      <c r="EG318" s="188"/>
      <c r="EH318" s="188"/>
      <c r="EI318" s="188"/>
      <c r="EJ318" s="189"/>
    </row>
    <row r="319" spans="14:354" x14ac:dyDescent="0.3">
      <c r="CN319" s="16"/>
      <c r="CQ319" s="190"/>
      <c r="CR319" s="191"/>
      <c r="CS319" s="191"/>
      <c r="CT319" s="191"/>
      <c r="CU319" s="191"/>
      <c r="CV319" s="191"/>
      <c r="CW319" s="191"/>
      <c r="CX319" s="191"/>
      <c r="CY319" s="191"/>
      <c r="CZ319" s="191"/>
      <c r="DA319" s="191"/>
      <c r="DB319" s="191"/>
      <c r="DC319" s="191"/>
      <c r="DD319" s="191"/>
      <c r="DE319" s="191"/>
      <c r="DF319" s="191"/>
      <c r="DG319" s="191"/>
      <c r="DH319" s="191"/>
      <c r="DI319" s="191"/>
      <c r="DJ319" s="191"/>
      <c r="DK319" s="191"/>
      <c r="DL319" s="191"/>
      <c r="DM319" s="191"/>
      <c r="DN319" s="191"/>
      <c r="DO319" s="191"/>
      <c r="DP319" s="191"/>
      <c r="DQ319" s="191"/>
      <c r="DR319" s="191"/>
      <c r="DS319" s="191"/>
      <c r="DT319" s="191"/>
      <c r="DU319" s="191"/>
      <c r="DV319" s="191"/>
      <c r="DW319" s="191"/>
      <c r="DX319" s="191"/>
      <c r="DY319" s="191"/>
      <c r="DZ319" s="191"/>
      <c r="EA319" s="191"/>
      <c r="EB319" s="191"/>
      <c r="EC319" s="191"/>
      <c r="ED319" s="191"/>
      <c r="EE319" s="192"/>
      <c r="EF319" s="190"/>
      <c r="EG319" s="191"/>
      <c r="EH319" s="191"/>
      <c r="EI319" s="191"/>
      <c r="EJ319" s="192"/>
    </row>
    <row r="320" spans="14:354" x14ac:dyDescent="0.3">
      <c r="CN320" s="16"/>
      <c r="DN320" s="151"/>
    </row>
    <row r="321" spans="92:140" x14ac:dyDescent="0.3">
      <c r="CN321" s="16"/>
      <c r="CQ321" s="184" t="s">
        <v>58</v>
      </c>
      <c r="CR321" s="185"/>
      <c r="CS321" s="185"/>
      <c r="CT321" s="185"/>
      <c r="CU321" s="185"/>
      <c r="CV321" s="185"/>
      <c r="CW321" s="185"/>
      <c r="CX321" s="185"/>
      <c r="CY321" s="185"/>
      <c r="CZ321" s="185"/>
      <c r="DA321" s="185"/>
      <c r="DB321" s="185"/>
      <c r="DC321" s="185"/>
      <c r="DD321" s="185"/>
      <c r="DE321" s="185"/>
      <c r="DF321" s="185"/>
      <c r="DG321" s="185"/>
      <c r="DH321" s="185"/>
      <c r="DI321" s="185"/>
      <c r="DJ321" s="185"/>
      <c r="DK321" s="185"/>
      <c r="DL321" s="185"/>
      <c r="DM321" s="185"/>
      <c r="DN321" s="185"/>
      <c r="DO321" s="185"/>
      <c r="DP321" s="185"/>
      <c r="DQ321" s="185"/>
      <c r="DR321" s="185"/>
      <c r="DS321" s="185"/>
      <c r="DT321" s="185"/>
      <c r="DU321" s="185"/>
      <c r="DV321" s="185"/>
      <c r="DW321" s="185"/>
      <c r="DX321" s="185"/>
      <c r="DY321" s="185"/>
      <c r="DZ321" s="185"/>
      <c r="EA321" s="185"/>
      <c r="EB321" s="185"/>
      <c r="EC321" s="185"/>
      <c r="ED321" s="185"/>
      <c r="EE321" s="186"/>
      <c r="EF321" s="184">
        <v>1</v>
      </c>
      <c r="EG321" s="185"/>
      <c r="EH321" s="185"/>
      <c r="EI321" s="185"/>
      <c r="EJ321" s="186"/>
    </row>
    <row r="322" spans="92:140" x14ac:dyDescent="0.3">
      <c r="CN322" s="16"/>
      <c r="CQ322" s="187"/>
      <c r="CR322" s="188"/>
      <c r="CS322" s="188"/>
      <c r="CT322" s="188"/>
      <c r="CU322" s="188"/>
      <c r="CV322" s="188"/>
      <c r="CW322" s="188"/>
      <c r="CX322" s="188"/>
      <c r="CY322" s="188"/>
      <c r="CZ322" s="188"/>
      <c r="DA322" s="188"/>
      <c r="DB322" s="188"/>
      <c r="DC322" s="188"/>
      <c r="DD322" s="188"/>
      <c r="DE322" s="188"/>
      <c r="DF322" s="188"/>
      <c r="DG322" s="188"/>
      <c r="DH322" s="188"/>
      <c r="DI322" s="188"/>
      <c r="DJ322" s="188"/>
      <c r="DK322" s="188"/>
      <c r="DL322" s="188"/>
      <c r="DM322" s="188"/>
      <c r="DN322" s="188"/>
      <c r="DO322" s="188"/>
      <c r="DP322" s="188"/>
      <c r="DQ322" s="188"/>
      <c r="DR322" s="188"/>
      <c r="DS322" s="188"/>
      <c r="DT322" s="188"/>
      <c r="DU322" s="188"/>
      <c r="DV322" s="188"/>
      <c r="DW322" s="188"/>
      <c r="DX322" s="188"/>
      <c r="DY322" s="188"/>
      <c r="DZ322" s="188"/>
      <c r="EA322" s="188"/>
      <c r="EB322" s="188"/>
      <c r="EC322" s="188"/>
      <c r="ED322" s="188"/>
      <c r="EE322" s="189"/>
      <c r="EF322" s="187"/>
      <c r="EG322" s="188"/>
      <c r="EH322" s="188"/>
      <c r="EI322" s="188"/>
      <c r="EJ322" s="189"/>
    </row>
    <row r="323" spans="92:140" x14ac:dyDescent="0.3">
      <c r="CN323" s="16"/>
      <c r="CQ323" s="187"/>
      <c r="CR323" s="188"/>
      <c r="CS323" s="188"/>
      <c r="CT323" s="188"/>
      <c r="CU323" s="188"/>
      <c r="CV323" s="188"/>
      <c r="CW323" s="188"/>
      <c r="CX323" s="188"/>
      <c r="CY323" s="188"/>
      <c r="CZ323" s="188"/>
      <c r="DA323" s="188"/>
      <c r="DB323" s="188"/>
      <c r="DC323" s="188"/>
      <c r="DD323" s="188"/>
      <c r="DE323" s="188"/>
      <c r="DF323" s="188"/>
      <c r="DG323" s="188"/>
      <c r="DH323" s="188"/>
      <c r="DI323" s="188"/>
      <c r="DJ323" s="188"/>
      <c r="DK323" s="188"/>
      <c r="DL323" s="188"/>
      <c r="DM323" s="188"/>
      <c r="DN323" s="188"/>
      <c r="DO323" s="188"/>
      <c r="DP323" s="188"/>
      <c r="DQ323" s="188"/>
      <c r="DR323" s="188"/>
      <c r="DS323" s="188"/>
      <c r="DT323" s="188"/>
      <c r="DU323" s="188"/>
      <c r="DV323" s="188"/>
      <c r="DW323" s="188"/>
      <c r="DX323" s="188"/>
      <c r="DY323" s="188"/>
      <c r="DZ323" s="188"/>
      <c r="EA323" s="188"/>
      <c r="EB323" s="188"/>
      <c r="EC323" s="188"/>
      <c r="ED323" s="188"/>
      <c r="EE323" s="189"/>
      <c r="EF323" s="187"/>
      <c r="EG323" s="188"/>
      <c r="EH323" s="188"/>
      <c r="EI323" s="188"/>
      <c r="EJ323" s="189"/>
    </row>
    <row r="324" spans="92:140" x14ac:dyDescent="0.3">
      <c r="CN324" s="16"/>
      <c r="CQ324" s="187"/>
      <c r="CR324" s="188"/>
      <c r="CS324" s="188"/>
      <c r="CT324" s="188"/>
      <c r="CU324" s="188"/>
      <c r="CV324" s="188"/>
      <c r="CW324" s="188"/>
      <c r="CX324" s="188"/>
      <c r="CY324" s="188"/>
      <c r="CZ324" s="188"/>
      <c r="DA324" s="188"/>
      <c r="DB324" s="188"/>
      <c r="DC324" s="188"/>
      <c r="DD324" s="188"/>
      <c r="DE324" s="188"/>
      <c r="DF324" s="188"/>
      <c r="DG324" s="188"/>
      <c r="DH324" s="188"/>
      <c r="DI324" s="188"/>
      <c r="DJ324" s="188"/>
      <c r="DK324" s="188"/>
      <c r="DL324" s="188"/>
      <c r="DM324" s="188"/>
      <c r="DN324" s="188"/>
      <c r="DO324" s="188"/>
      <c r="DP324" s="188"/>
      <c r="DQ324" s="188"/>
      <c r="DR324" s="188"/>
      <c r="DS324" s="188"/>
      <c r="DT324" s="188"/>
      <c r="DU324" s="188"/>
      <c r="DV324" s="188"/>
      <c r="DW324" s="188"/>
      <c r="DX324" s="188"/>
      <c r="DY324" s="188"/>
      <c r="DZ324" s="188"/>
      <c r="EA324" s="188"/>
      <c r="EB324" s="188"/>
      <c r="EC324" s="188"/>
      <c r="ED324" s="188"/>
      <c r="EE324" s="189"/>
      <c r="EF324" s="187"/>
      <c r="EG324" s="188"/>
      <c r="EH324" s="188"/>
      <c r="EI324" s="188"/>
      <c r="EJ324" s="189"/>
    </row>
    <row r="325" spans="92:140" x14ac:dyDescent="0.3">
      <c r="CN325" s="16"/>
      <c r="CQ325" s="187"/>
      <c r="CR325" s="188"/>
      <c r="CS325" s="188"/>
      <c r="CT325" s="188"/>
      <c r="CU325" s="188"/>
      <c r="CV325" s="188"/>
      <c r="CW325" s="188"/>
      <c r="CX325" s="188"/>
      <c r="CY325" s="188"/>
      <c r="CZ325" s="188"/>
      <c r="DA325" s="188"/>
      <c r="DB325" s="188"/>
      <c r="DC325" s="188"/>
      <c r="DD325" s="188"/>
      <c r="DE325" s="188"/>
      <c r="DF325" s="188"/>
      <c r="DG325" s="188"/>
      <c r="DH325" s="188"/>
      <c r="DI325" s="188"/>
      <c r="DJ325" s="188"/>
      <c r="DK325" s="188"/>
      <c r="DL325" s="188"/>
      <c r="DM325" s="188"/>
      <c r="DN325" s="188"/>
      <c r="DO325" s="188"/>
      <c r="DP325" s="188"/>
      <c r="DQ325" s="188"/>
      <c r="DR325" s="188"/>
      <c r="DS325" s="188"/>
      <c r="DT325" s="188"/>
      <c r="DU325" s="188"/>
      <c r="DV325" s="188"/>
      <c r="DW325" s="188"/>
      <c r="DX325" s="188"/>
      <c r="DY325" s="188"/>
      <c r="DZ325" s="188"/>
      <c r="EA325" s="188"/>
      <c r="EB325" s="188"/>
      <c r="EC325" s="188"/>
      <c r="ED325" s="188"/>
      <c r="EE325" s="189"/>
      <c r="EF325" s="187"/>
      <c r="EG325" s="188"/>
      <c r="EH325" s="188"/>
      <c r="EI325" s="188"/>
      <c r="EJ325" s="189"/>
    </row>
    <row r="326" spans="92:140" x14ac:dyDescent="0.3">
      <c r="CN326" s="16"/>
      <c r="CQ326" s="187"/>
      <c r="CR326" s="188"/>
      <c r="CS326" s="188"/>
      <c r="CT326" s="188"/>
      <c r="CU326" s="188"/>
      <c r="CV326" s="188"/>
      <c r="CW326" s="188"/>
      <c r="CX326" s="188"/>
      <c r="CY326" s="188"/>
      <c r="CZ326" s="188"/>
      <c r="DA326" s="188"/>
      <c r="DB326" s="188"/>
      <c r="DC326" s="188"/>
      <c r="DD326" s="188"/>
      <c r="DE326" s="188"/>
      <c r="DF326" s="188"/>
      <c r="DG326" s="188"/>
      <c r="DH326" s="188"/>
      <c r="DI326" s="188"/>
      <c r="DJ326" s="188"/>
      <c r="DK326" s="188"/>
      <c r="DL326" s="188"/>
      <c r="DM326" s="188"/>
      <c r="DN326" s="188"/>
      <c r="DO326" s="188"/>
      <c r="DP326" s="188"/>
      <c r="DQ326" s="188"/>
      <c r="DR326" s="188"/>
      <c r="DS326" s="188"/>
      <c r="DT326" s="188"/>
      <c r="DU326" s="188"/>
      <c r="DV326" s="188"/>
      <c r="DW326" s="188"/>
      <c r="DX326" s="188"/>
      <c r="DY326" s="188"/>
      <c r="DZ326" s="188"/>
      <c r="EA326" s="188"/>
      <c r="EB326" s="188"/>
      <c r="EC326" s="188"/>
      <c r="ED326" s="188"/>
      <c r="EE326" s="189"/>
      <c r="EF326" s="187"/>
      <c r="EG326" s="188"/>
      <c r="EH326" s="188"/>
      <c r="EI326" s="188"/>
      <c r="EJ326" s="189"/>
    </row>
    <row r="327" spans="92:140" x14ac:dyDescent="0.3">
      <c r="CN327" s="16"/>
      <c r="CQ327" s="187"/>
      <c r="CR327" s="188"/>
      <c r="CS327" s="188"/>
      <c r="CT327" s="188"/>
      <c r="CU327" s="188"/>
      <c r="CV327" s="188"/>
      <c r="CW327" s="188"/>
      <c r="CX327" s="188"/>
      <c r="CY327" s="188"/>
      <c r="CZ327" s="188"/>
      <c r="DA327" s="188"/>
      <c r="DB327" s="188"/>
      <c r="DC327" s="188"/>
      <c r="DD327" s="188"/>
      <c r="DE327" s="188"/>
      <c r="DF327" s="188"/>
      <c r="DG327" s="188"/>
      <c r="DH327" s="188"/>
      <c r="DI327" s="188"/>
      <c r="DJ327" s="188"/>
      <c r="DK327" s="188"/>
      <c r="DL327" s="188"/>
      <c r="DM327" s="188"/>
      <c r="DN327" s="188"/>
      <c r="DO327" s="188"/>
      <c r="DP327" s="188"/>
      <c r="DQ327" s="188"/>
      <c r="DR327" s="188"/>
      <c r="DS327" s="188"/>
      <c r="DT327" s="188"/>
      <c r="DU327" s="188"/>
      <c r="DV327" s="188"/>
      <c r="DW327" s="188"/>
      <c r="DX327" s="188"/>
      <c r="DY327" s="188"/>
      <c r="DZ327" s="188"/>
      <c r="EA327" s="188"/>
      <c r="EB327" s="188"/>
      <c r="EC327" s="188"/>
      <c r="ED327" s="188"/>
      <c r="EE327" s="189"/>
      <c r="EF327" s="187"/>
      <c r="EG327" s="188"/>
      <c r="EH327" s="188"/>
      <c r="EI327" s="188"/>
      <c r="EJ327" s="189"/>
    </row>
    <row r="328" spans="92:140" x14ac:dyDescent="0.3">
      <c r="CN328" s="16"/>
      <c r="CQ328" s="187"/>
      <c r="CR328" s="188"/>
      <c r="CS328" s="188"/>
      <c r="CT328" s="188"/>
      <c r="CU328" s="188"/>
      <c r="CV328" s="188"/>
      <c r="CW328" s="188"/>
      <c r="CX328" s="188"/>
      <c r="CY328" s="188"/>
      <c r="CZ328" s="188"/>
      <c r="DA328" s="188"/>
      <c r="DB328" s="188"/>
      <c r="DC328" s="188"/>
      <c r="DD328" s="188"/>
      <c r="DE328" s="188"/>
      <c r="DF328" s="188"/>
      <c r="DG328" s="188"/>
      <c r="DH328" s="188"/>
      <c r="DI328" s="188"/>
      <c r="DJ328" s="188"/>
      <c r="DK328" s="188"/>
      <c r="DL328" s="188"/>
      <c r="DM328" s="188"/>
      <c r="DN328" s="188"/>
      <c r="DO328" s="188"/>
      <c r="DP328" s="188"/>
      <c r="DQ328" s="188"/>
      <c r="DR328" s="188"/>
      <c r="DS328" s="188"/>
      <c r="DT328" s="188"/>
      <c r="DU328" s="188"/>
      <c r="DV328" s="188"/>
      <c r="DW328" s="188"/>
      <c r="DX328" s="188"/>
      <c r="DY328" s="188"/>
      <c r="DZ328" s="188"/>
      <c r="EA328" s="188"/>
      <c r="EB328" s="188"/>
      <c r="EC328" s="188"/>
      <c r="ED328" s="188"/>
      <c r="EE328" s="189"/>
      <c r="EF328" s="187"/>
      <c r="EG328" s="188"/>
      <c r="EH328" s="188"/>
      <c r="EI328" s="188"/>
      <c r="EJ328" s="189"/>
    </row>
    <row r="329" spans="92:140" x14ac:dyDescent="0.3">
      <c r="CN329" s="16"/>
      <c r="CQ329" s="187"/>
      <c r="CR329" s="188"/>
      <c r="CS329" s="188"/>
      <c r="CT329" s="188"/>
      <c r="CU329" s="188"/>
      <c r="CV329" s="188"/>
      <c r="CW329" s="188"/>
      <c r="CX329" s="188"/>
      <c r="CY329" s="188"/>
      <c r="CZ329" s="188"/>
      <c r="DA329" s="188"/>
      <c r="DB329" s="188"/>
      <c r="DC329" s="188"/>
      <c r="DD329" s="188"/>
      <c r="DE329" s="188"/>
      <c r="DF329" s="188"/>
      <c r="DG329" s="188"/>
      <c r="DH329" s="188"/>
      <c r="DI329" s="188"/>
      <c r="DJ329" s="188"/>
      <c r="DK329" s="188"/>
      <c r="DL329" s="188"/>
      <c r="DM329" s="188"/>
      <c r="DN329" s="188"/>
      <c r="DO329" s="188"/>
      <c r="DP329" s="188"/>
      <c r="DQ329" s="188"/>
      <c r="DR329" s="188"/>
      <c r="DS329" s="188"/>
      <c r="DT329" s="188"/>
      <c r="DU329" s="188"/>
      <c r="DV329" s="188"/>
      <c r="DW329" s="188"/>
      <c r="DX329" s="188"/>
      <c r="DY329" s="188"/>
      <c r="DZ329" s="188"/>
      <c r="EA329" s="188"/>
      <c r="EB329" s="188"/>
      <c r="EC329" s="188"/>
      <c r="ED329" s="188"/>
      <c r="EE329" s="189"/>
      <c r="EF329" s="187"/>
      <c r="EG329" s="188"/>
      <c r="EH329" s="188"/>
      <c r="EI329" s="188"/>
      <c r="EJ329" s="189"/>
    </row>
    <row r="330" spans="92:140" x14ac:dyDescent="0.3">
      <c r="CN330" s="16"/>
      <c r="CQ330" s="190"/>
      <c r="CR330" s="191"/>
      <c r="CS330" s="191"/>
      <c r="CT330" s="191"/>
      <c r="CU330" s="191"/>
      <c r="CV330" s="191"/>
      <c r="CW330" s="191"/>
      <c r="CX330" s="191"/>
      <c r="CY330" s="191"/>
      <c r="CZ330" s="191"/>
      <c r="DA330" s="191"/>
      <c r="DB330" s="191"/>
      <c r="DC330" s="191"/>
      <c r="DD330" s="191"/>
      <c r="DE330" s="191"/>
      <c r="DF330" s="191"/>
      <c r="DG330" s="191"/>
      <c r="DH330" s="191"/>
      <c r="DI330" s="191"/>
      <c r="DJ330" s="191"/>
      <c r="DK330" s="191"/>
      <c r="DL330" s="191"/>
      <c r="DM330" s="191"/>
      <c r="DN330" s="191"/>
      <c r="DO330" s="191"/>
      <c r="DP330" s="191"/>
      <c r="DQ330" s="191"/>
      <c r="DR330" s="191"/>
      <c r="DS330" s="191"/>
      <c r="DT330" s="191"/>
      <c r="DU330" s="191"/>
      <c r="DV330" s="191"/>
      <c r="DW330" s="191"/>
      <c r="DX330" s="191"/>
      <c r="DY330" s="191"/>
      <c r="DZ330" s="191"/>
      <c r="EA330" s="191"/>
      <c r="EB330" s="191"/>
      <c r="EC330" s="191"/>
      <c r="ED330" s="191"/>
      <c r="EE330" s="192"/>
      <c r="EF330" s="190"/>
      <c r="EG330" s="191"/>
      <c r="EH330" s="191"/>
      <c r="EI330" s="191"/>
      <c r="EJ330" s="192"/>
    </row>
    <row r="331" spans="92:140" x14ac:dyDescent="0.3">
      <c r="CN331" s="16"/>
    </row>
    <row r="332" spans="92:140" x14ac:dyDescent="0.3">
      <c r="CN332" s="16"/>
      <c r="CQ332" s="184" t="s">
        <v>47</v>
      </c>
      <c r="CR332" s="185"/>
      <c r="CS332" s="185"/>
      <c r="CT332" s="185"/>
      <c r="CU332" s="185"/>
      <c r="CV332" s="185"/>
      <c r="CW332" s="185"/>
      <c r="CX332" s="185"/>
      <c r="CY332" s="185"/>
      <c r="CZ332" s="185"/>
      <c r="DA332" s="185"/>
      <c r="DB332" s="185"/>
      <c r="DC332" s="185"/>
      <c r="DD332" s="185"/>
      <c r="DE332" s="185"/>
      <c r="DF332" s="185"/>
      <c r="DG332" s="185"/>
      <c r="DH332" s="185"/>
      <c r="DI332" s="185"/>
      <c r="DJ332" s="185"/>
      <c r="DK332" s="185"/>
      <c r="DL332" s="185"/>
      <c r="DM332" s="185"/>
      <c r="DN332" s="185"/>
      <c r="DO332" s="185"/>
      <c r="DP332" s="185"/>
      <c r="DQ332" s="185"/>
      <c r="DR332" s="185"/>
      <c r="DS332" s="185"/>
      <c r="DT332" s="185"/>
      <c r="DU332" s="185"/>
      <c r="DV332" s="185"/>
      <c r="DW332" s="185"/>
      <c r="DX332" s="185"/>
      <c r="DY332" s="185"/>
      <c r="DZ332" s="185"/>
      <c r="EA332" s="185"/>
      <c r="EB332" s="185"/>
      <c r="EC332" s="185"/>
      <c r="ED332" s="185"/>
      <c r="EE332" s="186"/>
      <c r="EF332" s="184">
        <v>1</v>
      </c>
      <c r="EG332" s="185"/>
      <c r="EH332" s="185"/>
      <c r="EI332" s="185"/>
      <c r="EJ332" s="186"/>
    </row>
    <row r="333" spans="92:140" x14ac:dyDescent="0.3">
      <c r="CN333" s="16"/>
      <c r="CQ333" s="187"/>
      <c r="CR333" s="188"/>
      <c r="CS333" s="188"/>
      <c r="CT333" s="188"/>
      <c r="CU333" s="188"/>
      <c r="CV333" s="188"/>
      <c r="CW333" s="188"/>
      <c r="CX333" s="188"/>
      <c r="CY333" s="188"/>
      <c r="CZ333" s="188"/>
      <c r="DA333" s="188"/>
      <c r="DB333" s="188"/>
      <c r="DC333" s="188"/>
      <c r="DD333" s="188"/>
      <c r="DE333" s="188"/>
      <c r="DF333" s="188"/>
      <c r="DG333" s="188"/>
      <c r="DH333" s="188"/>
      <c r="DI333" s="188"/>
      <c r="DJ333" s="188"/>
      <c r="DK333" s="188"/>
      <c r="DL333" s="188"/>
      <c r="DM333" s="188"/>
      <c r="DN333" s="188"/>
      <c r="DO333" s="188"/>
      <c r="DP333" s="188"/>
      <c r="DQ333" s="188"/>
      <c r="DR333" s="188"/>
      <c r="DS333" s="188"/>
      <c r="DT333" s="188"/>
      <c r="DU333" s="188"/>
      <c r="DV333" s="188"/>
      <c r="DW333" s="188"/>
      <c r="DX333" s="188"/>
      <c r="DY333" s="188"/>
      <c r="DZ333" s="188"/>
      <c r="EA333" s="188"/>
      <c r="EB333" s="188"/>
      <c r="EC333" s="188"/>
      <c r="ED333" s="188"/>
      <c r="EE333" s="189"/>
      <c r="EF333" s="187"/>
      <c r="EG333" s="188"/>
      <c r="EH333" s="188"/>
      <c r="EI333" s="188"/>
      <c r="EJ333" s="189"/>
    </row>
    <row r="334" spans="92:140" x14ac:dyDescent="0.3">
      <c r="CN334" s="16"/>
      <c r="CQ334" s="187"/>
      <c r="CR334" s="188"/>
      <c r="CS334" s="188"/>
      <c r="CT334" s="188"/>
      <c r="CU334" s="188"/>
      <c r="CV334" s="188"/>
      <c r="CW334" s="188"/>
      <c r="CX334" s="188"/>
      <c r="CY334" s="188"/>
      <c r="CZ334" s="188"/>
      <c r="DA334" s="188"/>
      <c r="DB334" s="188"/>
      <c r="DC334" s="188"/>
      <c r="DD334" s="188"/>
      <c r="DE334" s="188"/>
      <c r="DF334" s="188"/>
      <c r="DG334" s="188"/>
      <c r="DH334" s="188"/>
      <c r="DI334" s="188"/>
      <c r="DJ334" s="188"/>
      <c r="DK334" s="188"/>
      <c r="DL334" s="188"/>
      <c r="DM334" s="188"/>
      <c r="DN334" s="188"/>
      <c r="DO334" s="188"/>
      <c r="DP334" s="188"/>
      <c r="DQ334" s="188"/>
      <c r="DR334" s="188"/>
      <c r="DS334" s="188"/>
      <c r="DT334" s="188"/>
      <c r="DU334" s="188"/>
      <c r="DV334" s="188"/>
      <c r="DW334" s="188"/>
      <c r="DX334" s="188"/>
      <c r="DY334" s="188"/>
      <c r="DZ334" s="188"/>
      <c r="EA334" s="188"/>
      <c r="EB334" s="188"/>
      <c r="EC334" s="188"/>
      <c r="ED334" s="188"/>
      <c r="EE334" s="189"/>
      <c r="EF334" s="187"/>
      <c r="EG334" s="188"/>
      <c r="EH334" s="188"/>
      <c r="EI334" s="188"/>
      <c r="EJ334" s="189"/>
    </row>
    <row r="335" spans="92:140" x14ac:dyDescent="0.3">
      <c r="CN335" s="16"/>
      <c r="CQ335" s="187"/>
      <c r="CR335" s="188"/>
      <c r="CS335" s="188"/>
      <c r="CT335" s="188"/>
      <c r="CU335" s="188"/>
      <c r="CV335" s="188"/>
      <c r="CW335" s="188"/>
      <c r="CX335" s="188"/>
      <c r="CY335" s="188"/>
      <c r="CZ335" s="188"/>
      <c r="DA335" s="188"/>
      <c r="DB335" s="188"/>
      <c r="DC335" s="188"/>
      <c r="DD335" s="188"/>
      <c r="DE335" s="188"/>
      <c r="DF335" s="188"/>
      <c r="DG335" s="188"/>
      <c r="DH335" s="188"/>
      <c r="DI335" s="188"/>
      <c r="DJ335" s="188"/>
      <c r="DK335" s="188"/>
      <c r="DL335" s="188"/>
      <c r="DM335" s="188"/>
      <c r="DN335" s="188"/>
      <c r="DO335" s="188"/>
      <c r="DP335" s="188"/>
      <c r="DQ335" s="188"/>
      <c r="DR335" s="188"/>
      <c r="DS335" s="188"/>
      <c r="DT335" s="188"/>
      <c r="DU335" s="188"/>
      <c r="DV335" s="188"/>
      <c r="DW335" s="188"/>
      <c r="DX335" s="188"/>
      <c r="DY335" s="188"/>
      <c r="DZ335" s="188"/>
      <c r="EA335" s="188"/>
      <c r="EB335" s="188"/>
      <c r="EC335" s="188"/>
      <c r="ED335" s="188"/>
      <c r="EE335" s="189"/>
      <c r="EF335" s="187"/>
      <c r="EG335" s="188"/>
      <c r="EH335" s="188"/>
      <c r="EI335" s="188"/>
      <c r="EJ335" s="189"/>
    </row>
    <row r="336" spans="92:140" ht="18" thickBot="1" x14ac:dyDescent="0.35">
      <c r="CN336" s="23"/>
      <c r="CO336" s="31"/>
      <c r="CP336" s="153"/>
      <c r="CQ336" s="187"/>
      <c r="CR336" s="188"/>
      <c r="CS336" s="188"/>
      <c r="CT336" s="188"/>
      <c r="CU336" s="188"/>
      <c r="CV336" s="188"/>
      <c r="CW336" s="188"/>
      <c r="CX336" s="188"/>
      <c r="CY336" s="188"/>
      <c r="CZ336" s="188"/>
      <c r="DA336" s="188"/>
      <c r="DB336" s="188"/>
      <c r="DC336" s="188"/>
      <c r="DD336" s="188"/>
      <c r="DE336" s="188"/>
      <c r="DF336" s="188"/>
      <c r="DG336" s="188"/>
      <c r="DH336" s="188"/>
      <c r="DI336" s="188"/>
      <c r="DJ336" s="188"/>
      <c r="DK336" s="188"/>
      <c r="DL336" s="188"/>
      <c r="DM336" s="188"/>
      <c r="DN336" s="188"/>
      <c r="DO336" s="188"/>
      <c r="DP336" s="188"/>
      <c r="DQ336" s="188"/>
      <c r="DR336" s="188"/>
      <c r="DS336" s="188"/>
      <c r="DT336" s="188"/>
      <c r="DU336" s="188"/>
      <c r="DV336" s="188"/>
      <c r="DW336" s="188"/>
      <c r="DX336" s="188"/>
      <c r="DY336" s="188"/>
      <c r="DZ336" s="188"/>
      <c r="EA336" s="188"/>
      <c r="EB336" s="188"/>
      <c r="EC336" s="188"/>
      <c r="ED336" s="188"/>
      <c r="EE336" s="189"/>
      <c r="EF336" s="187"/>
      <c r="EG336" s="188"/>
      <c r="EH336" s="188"/>
      <c r="EI336" s="188"/>
      <c r="EJ336" s="189"/>
    </row>
    <row r="337" spans="95:140" x14ac:dyDescent="0.3">
      <c r="CQ337" s="187"/>
      <c r="CR337" s="188"/>
      <c r="CS337" s="188"/>
      <c r="CT337" s="188"/>
      <c r="CU337" s="188"/>
      <c r="CV337" s="188"/>
      <c r="CW337" s="188"/>
      <c r="CX337" s="188"/>
      <c r="CY337" s="188"/>
      <c r="CZ337" s="188"/>
      <c r="DA337" s="188"/>
      <c r="DB337" s="188"/>
      <c r="DC337" s="188"/>
      <c r="DD337" s="188"/>
      <c r="DE337" s="188"/>
      <c r="DF337" s="188"/>
      <c r="DG337" s="188"/>
      <c r="DH337" s="188"/>
      <c r="DI337" s="188"/>
      <c r="DJ337" s="188"/>
      <c r="DK337" s="188"/>
      <c r="DL337" s="188"/>
      <c r="DM337" s="188"/>
      <c r="DN337" s="188"/>
      <c r="DO337" s="188"/>
      <c r="DP337" s="188"/>
      <c r="DQ337" s="188"/>
      <c r="DR337" s="188"/>
      <c r="DS337" s="188"/>
      <c r="DT337" s="188"/>
      <c r="DU337" s="188"/>
      <c r="DV337" s="188"/>
      <c r="DW337" s="188"/>
      <c r="DX337" s="188"/>
      <c r="DY337" s="188"/>
      <c r="DZ337" s="188"/>
      <c r="EA337" s="188"/>
      <c r="EB337" s="188"/>
      <c r="EC337" s="188"/>
      <c r="ED337" s="188"/>
      <c r="EE337" s="189"/>
      <c r="EF337" s="187"/>
      <c r="EG337" s="188"/>
      <c r="EH337" s="188"/>
      <c r="EI337" s="188"/>
      <c r="EJ337" s="189"/>
    </row>
    <row r="338" spans="95:140" x14ac:dyDescent="0.3">
      <c r="CQ338" s="187"/>
      <c r="CR338" s="188"/>
      <c r="CS338" s="188"/>
      <c r="CT338" s="188"/>
      <c r="CU338" s="188"/>
      <c r="CV338" s="188"/>
      <c r="CW338" s="188"/>
      <c r="CX338" s="188"/>
      <c r="CY338" s="188"/>
      <c r="CZ338" s="188"/>
      <c r="DA338" s="188"/>
      <c r="DB338" s="188"/>
      <c r="DC338" s="188"/>
      <c r="DD338" s="188"/>
      <c r="DE338" s="188"/>
      <c r="DF338" s="188"/>
      <c r="DG338" s="188"/>
      <c r="DH338" s="188"/>
      <c r="DI338" s="188"/>
      <c r="DJ338" s="188"/>
      <c r="DK338" s="188"/>
      <c r="DL338" s="188"/>
      <c r="DM338" s="188"/>
      <c r="DN338" s="188"/>
      <c r="DO338" s="188"/>
      <c r="DP338" s="188"/>
      <c r="DQ338" s="188"/>
      <c r="DR338" s="188"/>
      <c r="DS338" s="188"/>
      <c r="DT338" s="188"/>
      <c r="DU338" s="188"/>
      <c r="DV338" s="188"/>
      <c r="DW338" s="188"/>
      <c r="DX338" s="188"/>
      <c r="DY338" s="188"/>
      <c r="DZ338" s="188"/>
      <c r="EA338" s="188"/>
      <c r="EB338" s="188"/>
      <c r="EC338" s="188"/>
      <c r="ED338" s="188"/>
      <c r="EE338" s="189"/>
      <c r="EF338" s="187"/>
      <c r="EG338" s="188"/>
      <c r="EH338" s="188"/>
      <c r="EI338" s="188"/>
      <c r="EJ338" s="189"/>
    </row>
    <row r="339" spans="95:140" x14ac:dyDescent="0.3">
      <c r="CQ339" s="187"/>
      <c r="CR339" s="188"/>
      <c r="CS339" s="188"/>
      <c r="CT339" s="188"/>
      <c r="CU339" s="188"/>
      <c r="CV339" s="188"/>
      <c r="CW339" s="188"/>
      <c r="CX339" s="188"/>
      <c r="CY339" s="188"/>
      <c r="CZ339" s="188"/>
      <c r="DA339" s="188"/>
      <c r="DB339" s="188"/>
      <c r="DC339" s="188"/>
      <c r="DD339" s="188"/>
      <c r="DE339" s="188"/>
      <c r="DF339" s="188"/>
      <c r="DG339" s="188"/>
      <c r="DH339" s="188"/>
      <c r="DI339" s="188"/>
      <c r="DJ339" s="188"/>
      <c r="DK339" s="188"/>
      <c r="DL339" s="188"/>
      <c r="DM339" s="188"/>
      <c r="DN339" s="188"/>
      <c r="DO339" s="188"/>
      <c r="DP339" s="188"/>
      <c r="DQ339" s="188"/>
      <c r="DR339" s="188"/>
      <c r="DS339" s="188"/>
      <c r="DT339" s="188"/>
      <c r="DU339" s="188"/>
      <c r="DV339" s="188"/>
      <c r="DW339" s="188"/>
      <c r="DX339" s="188"/>
      <c r="DY339" s="188"/>
      <c r="DZ339" s="188"/>
      <c r="EA339" s="188"/>
      <c r="EB339" s="188"/>
      <c r="EC339" s="188"/>
      <c r="ED339" s="188"/>
      <c r="EE339" s="189"/>
      <c r="EF339" s="187"/>
      <c r="EG339" s="188"/>
      <c r="EH339" s="188"/>
      <c r="EI339" s="188"/>
      <c r="EJ339" s="189"/>
    </row>
    <row r="340" spans="95:140" x14ac:dyDescent="0.3">
      <c r="CQ340" s="187"/>
      <c r="CR340" s="188"/>
      <c r="CS340" s="188"/>
      <c r="CT340" s="188"/>
      <c r="CU340" s="188"/>
      <c r="CV340" s="188"/>
      <c r="CW340" s="188"/>
      <c r="CX340" s="188"/>
      <c r="CY340" s="188"/>
      <c r="CZ340" s="188"/>
      <c r="DA340" s="188"/>
      <c r="DB340" s="188"/>
      <c r="DC340" s="188"/>
      <c r="DD340" s="188"/>
      <c r="DE340" s="188"/>
      <c r="DF340" s="188"/>
      <c r="DG340" s="188"/>
      <c r="DH340" s="188"/>
      <c r="DI340" s="188"/>
      <c r="DJ340" s="188"/>
      <c r="DK340" s="188"/>
      <c r="DL340" s="188"/>
      <c r="DM340" s="188"/>
      <c r="DN340" s="188"/>
      <c r="DO340" s="188"/>
      <c r="DP340" s="188"/>
      <c r="DQ340" s="188"/>
      <c r="DR340" s="188"/>
      <c r="DS340" s="188"/>
      <c r="DT340" s="188"/>
      <c r="DU340" s="188"/>
      <c r="DV340" s="188"/>
      <c r="DW340" s="188"/>
      <c r="DX340" s="188"/>
      <c r="DY340" s="188"/>
      <c r="DZ340" s="188"/>
      <c r="EA340" s="188"/>
      <c r="EB340" s="188"/>
      <c r="EC340" s="188"/>
      <c r="ED340" s="188"/>
      <c r="EE340" s="189"/>
      <c r="EF340" s="187"/>
      <c r="EG340" s="188"/>
      <c r="EH340" s="188"/>
      <c r="EI340" s="188"/>
      <c r="EJ340" s="189"/>
    </row>
    <row r="341" spans="95:140" x14ac:dyDescent="0.3">
      <c r="CQ341" s="190"/>
      <c r="CR341" s="191"/>
      <c r="CS341" s="191"/>
      <c r="CT341" s="191"/>
      <c r="CU341" s="191"/>
      <c r="CV341" s="191"/>
      <c r="CW341" s="191"/>
      <c r="CX341" s="191"/>
      <c r="CY341" s="191"/>
      <c r="CZ341" s="191"/>
      <c r="DA341" s="191"/>
      <c r="DB341" s="191"/>
      <c r="DC341" s="191"/>
      <c r="DD341" s="191"/>
      <c r="DE341" s="191"/>
      <c r="DF341" s="191"/>
      <c r="DG341" s="191"/>
      <c r="DH341" s="191"/>
      <c r="DI341" s="191"/>
      <c r="DJ341" s="191"/>
      <c r="DK341" s="191"/>
      <c r="DL341" s="191"/>
      <c r="DM341" s="191"/>
      <c r="DN341" s="191"/>
      <c r="DO341" s="191"/>
      <c r="DP341" s="191"/>
      <c r="DQ341" s="191"/>
      <c r="DR341" s="191"/>
      <c r="DS341" s="191"/>
      <c r="DT341" s="191"/>
      <c r="DU341" s="191"/>
      <c r="DV341" s="191"/>
      <c r="DW341" s="191"/>
      <c r="DX341" s="191"/>
      <c r="DY341" s="191"/>
      <c r="DZ341" s="191"/>
      <c r="EA341" s="191"/>
      <c r="EB341" s="191"/>
      <c r="EC341" s="191"/>
      <c r="ED341" s="191"/>
      <c r="EE341" s="192"/>
      <c r="EF341" s="190"/>
      <c r="EG341" s="191"/>
      <c r="EH341" s="191"/>
      <c r="EI341" s="191"/>
      <c r="EJ341" s="192"/>
    </row>
    <row r="342" spans="95:140" x14ac:dyDescent="0.3">
      <c r="DL342" s="152"/>
    </row>
    <row r="343" spans="95:140" x14ac:dyDescent="0.3">
      <c r="CQ343" s="184" t="s">
        <v>46</v>
      </c>
      <c r="CR343" s="185"/>
      <c r="CS343" s="185"/>
      <c r="CT343" s="185"/>
      <c r="CU343" s="185"/>
      <c r="CV343" s="185"/>
      <c r="CW343" s="185"/>
      <c r="CX343" s="185"/>
      <c r="CY343" s="185"/>
      <c r="CZ343" s="185"/>
      <c r="DA343" s="185"/>
      <c r="DB343" s="185"/>
      <c r="DC343" s="185"/>
      <c r="DD343" s="185"/>
      <c r="DE343" s="185"/>
      <c r="DF343" s="185"/>
      <c r="DG343" s="185"/>
      <c r="DH343" s="185"/>
      <c r="DI343" s="185"/>
      <c r="DJ343" s="185"/>
      <c r="DK343" s="185"/>
      <c r="DL343" s="185"/>
      <c r="DM343" s="185"/>
      <c r="DN343" s="185"/>
      <c r="DO343" s="185"/>
      <c r="DP343" s="185"/>
      <c r="DQ343" s="185"/>
      <c r="DR343" s="185"/>
      <c r="DS343" s="185"/>
      <c r="DT343" s="185"/>
      <c r="DU343" s="185"/>
      <c r="DV343" s="185"/>
      <c r="DW343" s="185"/>
      <c r="DX343" s="185"/>
      <c r="DY343" s="185"/>
      <c r="DZ343" s="185"/>
      <c r="EA343" s="185"/>
      <c r="EB343" s="185"/>
      <c r="EC343" s="185"/>
      <c r="ED343" s="185"/>
      <c r="EE343" s="186"/>
      <c r="EF343" s="184">
        <v>1</v>
      </c>
      <c r="EG343" s="185"/>
      <c r="EH343" s="185"/>
      <c r="EI343" s="185"/>
      <c r="EJ343" s="186"/>
    </row>
    <row r="344" spans="95:140" x14ac:dyDescent="0.3">
      <c r="CQ344" s="187"/>
      <c r="CR344" s="188"/>
      <c r="CS344" s="188"/>
      <c r="CT344" s="188"/>
      <c r="CU344" s="188"/>
      <c r="CV344" s="188"/>
      <c r="CW344" s="188"/>
      <c r="CX344" s="188"/>
      <c r="CY344" s="188"/>
      <c r="CZ344" s="188"/>
      <c r="DA344" s="188"/>
      <c r="DB344" s="188"/>
      <c r="DC344" s="188"/>
      <c r="DD344" s="188"/>
      <c r="DE344" s="188"/>
      <c r="DF344" s="188"/>
      <c r="DG344" s="188"/>
      <c r="DH344" s="188"/>
      <c r="DI344" s="188"/>
      <c r="DJ344" s="188"/>
      <c r="DK344" s="188"/>
      <c r="DL344" s="188"/>
      <c r="DM344" s="188"/>
      <c r="DN344" s="188"/>
      <c r="DO344" s="188"/>
      <c r="DP344" s="188"/>
      <c r="DQ344" s="188"/>
      <c r="DR344" s="188"/>
      <c r="DS344" s="188"/>
      <c r="DT344" s="188"/>
      <c r="DU344" s="188"/>
      <c r="DV344" s="188"/>
      <c r="DW344" s="188"/>
      <c r="DX344" s="188"/>
      <c r="DY344" s="188"/>
      <c r="DZ344" s="188"/>
      <c r="EA344" s="188"/>
      <c r="EB344" s="188"/>
      <c r="EC344" s="188"/>
      <c r="ED344" s="188"/>
      <c r="EE344" s="189"/>
      <c r="EF344" s="187"/>
      <c r="EG344" s="188"/>
      <c r="EH344" s="188"/>
      <c r="EI344" s="188"/>
      <c r="EJ344" s="189"/>
    </row>
    <row r="345" spans="95:140" x14ac:dyDescent="0.3">
      <c r="CQ345" s="187"/>
      <c r="CR345" s="188"/>
      <c r="CS345" s="188"/>
      <c r="CT345" s="188"/>
      <c r="CU345" s="188"/>
      <c r="CV345" s="188"/>
      <c r="CW345" s="188"/>
      <c r="CX345" s="188"/>
      <c r="CY345" s="188"/>
      <c r="CZ345" s="188"/>
      <c r="DA345" s="188"/>
      <c r="DB345" s="188"/>
      <c r="DC345" s="188"/>
      <c r="DD345" s="188"/>
      <c r="DE345" s="188"/>
      <c r="DF345" s="188"/>
      <c r="DG345" s="188"/>
      <c r="DH345" s="188"/>
      <c r="DI345" s="188"/>
      <c r="DJ345" s="188"/>
      <c r="DK345" s="188"/>
      <c r="DL345" s="188"/>
      <c r="DM345" s="188"/>
      <c r="DN345" s="188"/>
      <c r="DO345" s="188"/>
      <c r="DP345" s="188"/>
      <c r="DQ345" s="188"/>
      <c r="DR345" s="188"/>
      <c r="DS345" s="188"/>
      <c r="DT345" s="188"/>
      <c r="DU345" s="188"/>
      <c r="DV345" s="188"/>
      <c r="DW345" s="188"/>
      <c r="DX345" s="188"/>
      <c r="DY345" s="188"/>
      <c r="DZ345" s="188"/>
      <c r="EA345" s="188"/>
      <c r="EB345" s="188"/>
      <c r="EC345" s="188"/>
      <c r="ED345" s="188"/>
      <c r="EE345" s="189"/>
      <c r="EF345" s="187"/>
      <c r="EG345" s="188"/>
      <c r="EH345" s="188"/>
      <c r="EI345" s="188"/>
      <c r="EJ345" s="189"/>
    </row>
    <row r="346" spans="95:140" x14ac:dyDescent="0.3">
      <c r="CQ346" s="187"/>
      <c r="CR346" s="188"/>
      <c r="CS346" s="188"/>
      <c r="CT346" s="188"/>
      <c r="CU346" s="188"/>
      <c r="CV346" s="188"/>
      <c r="CW346" s="188"/>
      <c r="CX346" s="188"/>
      <c r="CY346" s="188"/>
      <c r="CZ346" s="188"/>
      <c r="DA346" s="188"/>
      <c r="DB346" s="188"/>
      <c r="DC346" s="188"/>
      <c r="DD346" s="188"/>
      <c r="DE346" s="188"/>
      <c r="DF346" s="188"/>
      <c r="DG346" s="188"/>
      <c r="DH346" s="188"/>
      <c r="DI346" s="188"/>
      <c r="DJ346" s="188"/>
      <c r="DK346" s="188"/>
      <c r="DL346" s="188"/>
      <c r="DM346" s="188"/>
      <c r="DN346" s="188"/>
      <c r="DO346" s="188"/>
      <c r="DP346" s="188"/>
      <c r="DQ346" s="188"/>
      <c r="DR346" s="188"/>
      <c r="DS346" s="188"/>
      <c r="DT346" s="188"/>
      <c r="DU346" s="188"/>
      <c r="DV346" s="188"/>
      <c r="DW346" s="188"/>
      <c r="DX346" s="188"/>
      <c r="DY346" s="188"/>
      <c r="DZ346" s="188"/>
      <c r="EA346" s="188"/>
      <c r="EB346" s="188"/>
      <c r="EC346" s="188"/>
      <c r="ED346" s="188"/>
      <c r="EE346" s="189"/>
      <c r="EF346" s="187"/>
      <c r="EG346" s="188"/>
      <c r="EH346" s="188"/>
      <c r="EI346" s="188"/>
      <c r="EJ346" s="189"/>
    </row>
    <row r="347" spans="95:140" x14ac:dyDescent="0.3">
      <c r="CQ347" s="187"/>
      <c r="CR347" s="188"/>
      <c r="CS347" s="188"/>
      <c r="CT347" s="188"/>
      <c r="CU347" s="188"/>
      <c r="CV347" s="188"/>
      <c r="CW347" s="188"/>
      <c r="CX347" s="188"/>
      <c r="CY347" s="188"/>
      <c r="CZ347" s="188"/>
      <c r="DA347" s="188"/>
      <c r="DB347" s="188"/>
      <c r="DC347" s="188"/>
      <c r="DD347" s="188"/>
      <c r="DE347" s="188"/>
      <c r="DF347" s="188"/>
      <c r="DG347" s="188"/>
      <c r="DH347" s="188"/>
      <c r="DI347" s="188"/>
      <c r="DJ347" s="188"/>
      <c r="DK347" s="188"/>
      <c r="DL347" s="188"/>
      <c r="DM347" s="188"/>
      <c r="DN347" s="188"/>
      <c r="DO347" s="188"/>
      <c r="DP347" s="188"/>
      <c r="DQ347" s="188"/>
      <c r="DR347" s="188"/>
      <c r="DS347" s="188"/>
      <c r="DT347" s="188"/>
      <c r="DU347" s="188"/>
      <c r="DV347" s="188"/>
      <c r="DW347" s="188"/>
      <c r="DX347" s="188"/>
      <c r="DY347" s="188"/>
      <c r="DZ347" s="188"/>
      <c r="EA347" s="188"/>
      <c r="EB347" s="188"/>
      <c r="EC347" s="188"/>
      <c r="ED347" s="188"/>
      <c r="EE347" s="189"/>
      <c r="EF347" s="187"/>
      <c r="EG347" s="188"/>
      <c r="EH347" s="188"/>
      <c r="EI347" s="188"/>
      <c r="EJ347" s="189"/>
    </row>
    <row r="348" spans="95:140" x14ac:dyDescent="0.3">
      <c r="CQ348" s="187"/>
      <c r="CR348" s="188"/>
      <c r="CS348" s="188"/>
      <c r="CT348" s="188"/>
      <c r="CU348" s="188"/>
      <c r="CV348" s="188"/>
      <c r="CW348" s="188"/>
      <c r="CX348" s="188"/>
      <c r="CY348" s="188"/>
      <c r="CZ348" s="188"/>
      <c r="DA348" s="188"/>
      <c r="DB348" s="188"/>
      <c r="DC348" s="188"/>
      <c r="DD348" s="188"/>
      <c r="DE348" s="188"/>
      <c r="DF348" s="188"/>
      <c r="DG348" s="188"/>
      <c r="DH348" s="188"/>
      <c r="DI348" s="188"/>
      <c r="DJ348" s="188"/>
      <c r="DK348" s="188"/>
      <c r="DL348" s="188"/>
      <c r="DM348" s="188"/>
      <c r="DN348" s="188"/>
      <c r="DO348" s="188"/>
      <c r="DP348" s="188"/>
      <c r="DQ348" s="188"/>
      <c r="DR348" s="188"/>
      <c r="DS348" s="188"/>
      <c r="DT348" s="188"/>
      <c r="DU348" s="188"/>
      <c r="DV348" s="188"/>
      <c r="DW348" s="188"/>
      <c r="DX348" s="188"/>
      <c r="DY348" s="188"/>
      <c r="DZ348" s="188"/>
      <c r="EA348" s="188"/>
      <c r="EB348" s="188"/>
      <c r="EC348" s="188"/>
      <c r="ED348" s="188"/>
      <c r="EE348" s="189"/>
      <c r="EF348" s="187"/>
      <c r="EG348" s="188"/>
      <c r="EH348" s="188"/>
      <c r="EI348" s="188"/>
      <c r="EJ348" s="189"/>
    </row>
    <row r="349" spans="95:140" x14ac:dyDescent="0.3">
      <c r="CQ349" s="187"/>
      <c r="CR349" s="188"/>
      <c r="CS349" s="188"/>
      <c r="CT349" s="188"/>
      <c r="CU349" s="188"/>
      <c r="CV349" s="188"/>
      <c r="CW349" s="188"/>
      <c r="CX349" s="188"/>
      <c r="CY349" s="188"/>
      <c r="CZ349" s="188"/>
      <c r="DA349" s="188"/>
      <c r="DB349" s="188"/>
      <c r="DC349" s="188"/>
      <c r="DD349" s="188"/>
      <c r="DE349" s="188"/>
      <c r="DF349" s="188"/>
      <c r="DG349" s="188"/>
      <c r="DH349" s="188"/>
      <c r="DI349" s="188"/>
      <c r="DJ349" s="188"/>
      <c r="DK349" s="188"/>
      <c r="DL349" s="188"/>
      <c r="DM349" s="188"/>
      <c r="DN349" s="188"/>
      <c r="DO349" s="188"/>
      <c r="DP349" s="188"/>
      <c r="DQ349" s="188"/>
      <c r="DR349" s="188"/>
      <c r="DS349" s="188"/>
      <c r="DT349" s="188"/>
      <c r="DU349" s="188"/>
      <c r="DV349" s="188"/>
      <c r="DW349" s="188"/>
      <c r="DX349" s="188"/>
      <c r="DY349" s="188"/>
      <c r="DZ349" s="188"/>
      <c r="EA349" s="188"/>
      <c r="EB349" s="188"/>
      <c r="EC349" s="188"/>
      <c r="ED349" s="188"/>
      <c r="EE349" s="189"/>
      <c r="EF349" s="187"/>
      <c r="EG349" s="188"/>
      <c r="EH349" s="188"/>
      <c r="EI349" s="188"/>
      <c r="EJ349" s="189"/>
    </row>
    <row r="350" spans="95:140" x14ac:dyDescent="0.3">
      <c r="CQ350" s="187"/>
      <c r="CR350" s="188"/>
      <c r="CS350" s="188"/>
      <c r="CT350" s="188"/>
      <c r="CU350" s="188"/>
      <c r="CV350" s="188"/>
      <c r="CW350" s="188"/>
      <c r="CX350" s="188"/>
      <c r="CY350" s="188"/>
      <c r="CZ350" s="188"/>
      <c r="DA350" s="188"/>
      <c r="DB350" s="188"/>
      <c r="DC350" s="188"/>
      <c r="DD350" s="188"/>
      <c r="DE350" s="188"/>
      <c r="DF350" s="188"/>
      <c r="DG350" s="188"/>
      <c r="DH350" s="188"/>
      <c r="DI350" s="188"/>
      <c r="DJ350" s="188"/>
      <c r="DK350" s="188"/>
      <c r="DL350" s="188"/>
      <c r="DM350" s="188"/>
      <c r="DN350" s="188"/>
      <c r="DO350" s="188"/>
      <c r="DP350" s="188"/>
      <c r="DQ350" s="188"/>
      <c r="DR350" s="188"/>
      <c r="DS350" s="188"/>
      <c r="DT350" s="188"/>
      <c r="DU350" s="188"/>
      <c r="DV350" s="188"/>
      <c r="DW350" s="188"/>
      <c r="DX350" s="188"/>
      <c r="DY350" s="188"/>
      <c r="DZ350" s="188"/>
      <c r="EA350" s="188"/>
      <c r="EB350" s="188"/>
      <c r="EC350" s="188"/>
      <c r="ED350" s="188"/>
      <c r="EE350" s="189"/>
      <c r="EF350" s="187"/>
      <c r="EG350" s="188"/>
      <c r="EH350" s="188"/>
      <c r="EI350" s="188"/>
      <c r="EJ350" s="189"/>
    </row>
    <row r="351" spans="95:140" x14ac:dyDescent="0.3">
      <c r="CQ351" s="187"/>
      <c r="CR351" s="188"/>
      <c r="CS351" s="188"/>
      <c r="CT351" s="188"/>
      <c r="CU351" s="188"/>
      <c r="CV351" s="188"/>
      <c r="CW351" s="188"/>
      <c r="CX351" s="188"/>
      <c r="CY351" s="188"/>
      <c r="CZ351" s="188"/>
      <c r="DA351" s="188"/>
      <c r="DB351" s="188"/>
      <c r="DC351" s="188"/>
      <c r="DD351" s="188"/>
      <c r="DE351" s="188"/>
      <c r="DF351" s="188"/>
      <c r="DG351" s="188"/>
      <c r="DH351" s="188"/>
      <c r="DI351" s="188"/>
      <c r="DJ351" s="188"/>
      <c r="DK351" s="188"/>
      <c r="DL351" s="188"/>
      <c r="DM351" s="188"/>
      <c r="DN351" s="188"/>
      <c r="DO351" s="188"/>
      <c r="DP351" s="188"/>
      <c r="DQ351" s="188"/>
      <c r="DR351" s="188"/>
      <c r="DS351" s="188"/>
      <c r="DT351" s="188"/>
      <c r="DU351" s="188"/>
      <c r="DV351" s="188"/>
      <c r="DW351" s="188"/>
      <c r="DX351" s="188"/>
      <c r="DY351" s="188"/>
      <c r="DZ351" s="188"/>
      <c r="EA351" s="188"/>
      <c r="EB351" s="188"/>
      <c r="EC351" s="188"/>
      <c r="ED351" s="188"/>
      <c r="EE351" s="189"/>
      <c r="EF351" s="187"/>
      <c r="EG351" s="188"/>
      <c r="EH351" s="188"/>
      <c r="EI351" s="188"/>
      <c r="EJ351" s="189"/>
    </row>
    <row r="352" spans="95:140" x14ac:dyDescent="0.3">
      <c r="CQ352" s="190"/>
      <c r="CR352" s="191"/>
      <c r="CS352" s="191"/>
      <c r="CT352" s="191"/>
      <c r="CU352" s="191"/>
      <c r="CV352" s="191"/>
      <c r="CW352" s="191"/>
      <c r="CX352" s="191"/>
      <c r="CY352" s="191"/>
      <c r="CZ352" s="191"/>
      <c r="DA352" s="191"/>
      <c r="DB352" s="191"/>
      <c r="DC352" s="191"/>
      <c r="DD352" s="191"/>
      <c r="DE352" s="191"/>
      <c r="DF352" s="191"/>
      <c r="DG352" s="191"/>
      <c r="DH352" s="191"/>
      <c r="DI352" s="191"/>
      <c r="DJ352" s="191"/>
      <c r="DK352" s="191"/>
      <c r="DL352" s="191"/>
      <c r="DM352" s="191"/>
      <c r="DN352" s="191"/>
      <c r="DO352" s="191"/>
      <c r="DP352" s="191"/>
      <c r="DQ352" s="191"/>
      <c r="DR352" s="191"/>
      <c r="DS352" s="191"/>
      <c r="DT352" s="191"/>
      <c r="DU352" s="191"/>
      <c r="DV352" s="191"/>
      <c r="DW352" s="191"/>
      <c r="DX352" s="191"/>
      <c r="DY352" s="191"/>
      <c r="DZ352" s="191"/>
      <c r="EA352" s="191"/>
      <c r="EB352" s="191"/>
      <c r="EC352" s="191"/>
      <c r="ED352" s="191"/>
      <c r="EE352" s="192"/>
      <c r="EF352" s="190"/>
      <c r="EG352" s="191"/>
      <c r="EH352" s="191"/>
      <c r="EI352" s="191"/>
      <c r="EJ352" s="192"/>
    </row>
    <row r="353" spans="95:140" x14ac:dyDescent="0.3">
      <c r="CQ353" s="184" t="s">
        <v>45</v>
      </c>
      <c r="CR353" s="185"/>
      <c r="CS353" s="185"/>
      <c r="CT353" s="185"/>
      <c r="CU353" s="185"/>
      <c r="CV353" s="185"/>
      <c r="CW353" s="185"/>
      <c r="CX353" s="185"/>
      <c r="CY353" s="185"/>
      <c r="CZ353" s="185"/>
      <c r="DA353" s="185"/>
      <c r="DB353" s="185"/>
      <c r="DC353" s="185"/>
      <c r="DD353" s="185"/>
      <c r="DE353" s="185"/>
      <c r="DF353" s="185"/>
      <c r="DG353" s="185"/>
      <c r="DH353" s="185"/>
      <c r="DI353" s="185"/>
      <c r="DJ353" s="185"/>
      <c r="DK353" s="185"/>
      <c r="DL353" s="185"/>
      <c r="DM353" s="185"/>
      <c r="DN353" s="185"/>
      <c r="DO353" s="185"/>
      <c r="DP353" s="185"/>
      <c r="DQ353" s="185"/>
      <c r="DR353" s="185"/>
      <c r="DS353" s="185"/>
      <c r="DT353" s="185"/>
      <c r="DU353" s="185"/>
      <c r="DV353" s="185"/>
      <c r="DW353" s="185"/>
      <c r="DX353" s="185"/>
      <c r="DY353" s="185"/>
      <c r="DZ353" s="185"/>
      <c r="EA353" s="185"/>
      <c r="EB353" s="185"/>
      <c r="EC353" s="185"/>
      <c r="ED353" s="185"/>
      <c r="EE353" s="186"/>
      <c r="EF353" s="184">
        <v>1</v>
      </c>
      <c r="EG353" s="185"/>
      <c r="EH353" s="185"/>
      <c r="EI353" s="185"/>
      <c r="EJ353" s="186"/>
    </row>
    <row r="354" spans="95:140" x14ac:dyDescent="0.3">
      <c r="CQ354" s="187"/>
      <c r="CR354" s="188"/>
      <c r="CS354" s="188"/>
      <c r="CT354" s="188"/>
      <c r="CU354" s="188"/>
      <c r="CV354" s="188"/>
      <c r="CW354" s="188"/>
      <c r="CX354" s="188"/>
      <c r="CY354" s="188"/>
      <c r="CZ354" s="188"/>
      <c r="DA354" s="188"/>
      <c r="DB354" s="188"/>
      <c r="DC354" s="188"/>
      <c r="DD354" s="188"/>
      <c r="DE354" s="188"/>
      <c r="DF354" s="188"/>
      <c r="DG354" s="188"/>
      <c r="DH354" s="188"/>
      <c r="DI354" s="188"/>
      <c r="DJ354" s="188"/>
      <c r="DK354" s="188"/>
      <c r="DL354" s="188"/>
      <c r="DM354" s="188"/>
      <c r="DN354" s="188"/>
      <c r="DO354" s="188"/>
      <c r="DP354" s="188"/>
      <c r="DQ354" s="188"/>
      <c r="DR354" s="188"/>
      <c r="DS354" s="188"/>
      <c r="DT354" s="188"/>
      <c r="DU354" s="188"/>
      <c r="DV354" s="188"/>
      <c r="DW354" s="188"/>
      <c r="DX354" s="188"/>
      <c r="DY354" s="188"/>
      <c r="DZ354" s="188"/>
      <c r="EA354" s="188"/>
      <c r="EB354" s="188"/>
      <c r="EC354" s="188"/>
      <c r="ED354" s="188"/>
      <c r="EE354" s="189"/>
      <c r="EF354" s="187"/>
      <c r="EG354" s="188"/>
      <c r="EH354" s="188"/>
      <c r="EI354" s="188"/>
      <c r="EJ354" s="189"/>
    </row>
    <row r="355" spans="95:140" x14ac:dyDescent="0.3">
      <c r="CQ355" s="187"/>
      <c r="CR355" s="188"/>
      <c r="CS355" s="188"/>
      <c r="CT355" s="188"/>
      <c r="CU355" s="188"/>
      <c r="CV355" s="188"/>
      <c r="CW355" s="188"/>
      <c r="CX355" s="188"/>
      <c r="CY355" s="188"/>
      <c r="CZ355" s="188"/>
      <c r="DA355" s="188"/>
      <c r="DB355" s="188"/>
      <c r="DC355" s="188"/>
      <c r="DD355" s="188"/>
      <c r="DE355" s="188"/>
      <c r="DF355" s="188"/>
      <c r="DG355" s="188"/>
      <c r="DH355" s="188"/>
      <c r="DI355" s="188"/>
      <c r="DJ355" s="188"/>
      <c r="DK355" s="188"/>
      <c r="DL355" s="188"/>
      <c r="DM355" s="188"/>
      <c r="DN355" s="188"/>
      <c r="DO355" s="188"/>
      <c r="DP355" s="188"/>
      <c r="DQ355" s="188"/>
      <c r="DR355" s="188"/>
      <c r="DS355" s="188"/>
      <c r="DT355" s="188"/>
      <c r="DU355" s="188"/>
      <c r="DV355" s="188"/>
      <c r="DW355" s="188"/>
      <c r="DX355" s="188"/>
      <c r="DY355" s="188"/>
      <c r="DZ355" s="188"/>
      <c r="EA355" s="188"/>
      <c r="EB355" s="188"/>
      <c r="EC355" s="188"/>
      <c r="ED355" s="188"/>
      <c r="EE355" s="189"/>
      <c r="EF355" s="187"/>
      <c r="EG355" s="188"/>
      <c r="EH355" s="188"/>
      <c r="EI355" s="188"/>
      <c r="EJ355" s="189"/>
    </row>
    <row r="356" spans="95:140" x14ac:dyDescent="0.3">
      <c r="CQ356" s="187"/>
      <c r="CR356" s="188"/>
      <c r="CS356" s="188"/>
      <c r="CT356" s="188"/>
      <c r="CU356" s="188"/>
      <c r="CV356" s="188"/>
      <c r="CW356" s="188"/>
      <c r="CX356" s="188"/>
      <c r="CY356" s="188"/>
      <c r="CZ356" s="188"/>
      <c r="DA356" s="188"/>
      <c r="DB356" s="188"/>
      <c r="DC356" s="188"/>
      <c r="DD356" s="188"/>
      <c r="DE356" s="188"/>
      <c r="DF356" s="188"/>
      <c r="DG356" s="188"/>
      <c r="DH356" s="188"/>
      <c r="DI356" s="188"/>
      <c r="DJ356" s="188"/>
      <c r="DK356" s="188"/>
      <c r="DL356" s="188"/>
      <c r="DM356" s="188"/>
      <c r="DN356" s="188"/>
      <c r="DO356" s="188"/>
      <c r="DP356" s="188"/>
      <c r="DQ356" s="188"/>
      <c r="DR356" s="188"/>
      <c r="DS356" s="188"/>
      <c r="DT356" s="188"/>
      <c r="DU356" s="188"/>
      <c r="DV356" s="188"/>
      <c r="DW356" s="188"/>
      <c r="DX356" s="188"/>
      <c r="DY356" s="188"/>
      <c r="DZ356" s="188"/>
      <c r="EA356" s="188"/>
      <c r="EB356" s="188"/>
      <c r="EC356" s="188"/>
      <c r="ED356" s="188"/>
      <c r="EE356" s="189"/>
      <c r="EF356" s="187"/>
      <c r="EG356" s="188"/>
      <c r="EH356" s="188"/>
      <c r="EI356" s="188"/>
      <c r="EJ356" s="189"/>
    </row>
    <row r="357" spans="95:140" x14ac:dyDescent="0.3">
      <c r="CQ357" s="187"/>
      <c r="CR357" s="188"/>
      <c r="CS357" s="188"/>
      <c r="CT357" s="188"/>
      <c r="CU357" s="188"/>
      <c r="CV357" s="188"/>
      <c r="CW357" s="188"/>
      <c r="CX357" s="188"/>
      <c r="CY357" s="188"/>
      <c r="CZ357" s="188"/>
      <c r="DA357" s="188"/>
      <c r="DB357" s="188"/>
      <c r="DC357" s="188"/>
      <c r="DD357" s="188"/>
      <c r="DE357" s="188"/>
      <c r="DF357" s="188"/>
      <c r="DG357" s="188"/>
      <c r="DH357" s="188"/>
      <c r="DI357" s="188"/>
      <c r="DJ357" s="188"/>
      <c r="DK357" s="188"/>
      <c r="DL357" s="188"/>
      <c r="DM357" s="188"/>
      <c r="DN357" s="188"/>
      <c r="DO357" s="188"/>
      <c r="DP357" s="188"/>
      <c r="DQ357" s="188"/>
      <c r="DR357" s="188"/>
      <c r="DS357" s="188"/>
      <c r="DT357" s="188"/>
      <c r="DU357" s="188"/>
      <c r="DV357" s="188"/>
      <c r="DW357" s="188"/>
      <c r="DX357" s="188"/>
      <c r="DY357" s="188"/>
      <c r="DZ357" s="188"/>
      <c r="EA357" s="188"/>
      <c r="EB357" s="188"/>
      <c r="EC357" s="188"/>
      <c r="ED357" s="188"/>
      <c r="EE357" s="189"/>
      <c r="EF357" s="187"/>
      <c r="EG357" s="188"/>
      <c r="EH357" s="188"/>
      <c r="EI357" s="188"/>
      <c r="EJ357" s="189"/>
    </row>
    <row r="358" spans="95:140" x14ac:dyDescent="0.3">
      <c r="CQ358" s="187"/>
      <c r="CR358" s="188"/>
      <c r="CS358" s="188"/>
      <c r="CT358" s="188"/>
      <c r="CU358" s="188"/>
      <c r="CV358" s="188"/>
      <c r="CW358" s="188"/>
      <c r="CX358" s="188"/>
      <c r="CY358" s="188"/>
      <c r="CZ358" s="188"/>
      <c r="DA358" s="188"/>
      <c r="DB358" s="188"/>
      <c r="DC358" s="188"/>
      <c r="DD358" s="188"/>
      <c r="DE358" s="188"/>
      <c r="DF358" s="188"/>
      <c r="DG358" s="188"/>
      <c r="DH358" s="188"/>
      <c r="DI358" s="188"/>
      <c r="DJ358" s="188"/>
      <c r="DK358" s="188"/>
      <c r="DL358" s="188"/>
      <c r="DM358" s="188"/>
      <c r="DN358" s="188"/>
      <c r="DO358" s="188"/>
      <c r="DP358" s="188"/>
      <c r="DQ358" s="188"/>
      <c r="DR358" s="188"/>
      <c r="DS358" s="188"/>
      <c r="DT358" s="188"/>
      <c r="DU358" s="188"/>
      <c r="DV358" s="188"/>
      <c r="DW358" s="188"/>
      <c r="DX358" s="188"/>
      <c r="DY358" s="188"/>
      <c r="DZ358" s="188"/>
      <c r="EA358" s="188"/>
      <c r="EB358" s="188"/>
      <c r="EC358" s="188"/>
      <c r="ED358" s="188"/>
      <c r="EE358" s="189"/>
      <c r="EF358" s="187"/>
      <c r="EG358" s="188"/>
      <c r="EH358" s="188"/>
      <c r="EI358" s="188"/>
      <c r="EJ358" s="189"/>
    </row>
    <row r="359" spans="95:140" x14ac:dyDescent="0.3">
      <c r="CQ359" s="187"/>
      <c r="CR359" s="188"/>
      <c r="CS359" s="188"/>
      <c r="CT359" s="188"/>
      <c r="CU359" s="188"/>
      <c r="CV359" s="188"/>
      <c r="CW359" s="188"/>
      <c r="CX359" s="188"/>
      <c r="CY359" s="188"/>
      <c r="CZ359" s="188"/>
      <c r="DA359" s="188"/>
      <c r="DB359" s="188"/>
      <c r="DC359" s="188"/>
      <c r="DD359" s="188"/>
      <c r="DE359" s="188"/>
      <c r="DF359" s="188"/>
      <c r="DG359" s="188"/>
      <c r="DH359" s="188"/>
      <c r="DI359" s="188"/>
      <c r="DJ359" s="188"/>
      <c r="DK359" s="188"/>
      <c r="DL359" s="188"/>
      <c r="DM359" s="188"/>
      <c r="DN359" s="188"/>
      <c r="DO359" s="188"/>
      <c r="DP359" s="188"/>
      <c r="DQ359" s="188"/>
      <c r="DR359" s="188"/>
      <c r="DS359" s="188"/>
      <c r="DT359" s="188"/>
      <c r="DU359" s="188"/>
      <c r="DV359" s="188"/>
      <c r="DW359" s="188"/>
      <c r="DX359" s="188"/>
      <c r="DY359" s="188"/>
      <c r="DZ359" s="188"/>
      <c r="EA359" s="188"/>
      <c r="EB359" s="188"/>
      <c r="EC359" s="188"/>
      <c r="ED359" s="188"/>
      <c r="EE359" s="189"/>
      <c r="EF359" s="187"/>
      <c r="EG359" s="188"/>
      <c r="EH359" s="188"/>
      <c r="EI359" s="188"/>
      <c r="EJ359" s="189"/>
    </row>
    <row r="360" spans="95:140" x14ac:dyDescent="0.3">
      <c r="CQ360" s="187"/>
      <c r="CR360" s="188"/>
      <c r="CS360" s="188"/>
      <c r="CT360" s="188"/>
      <c r="CU360" s="188"/>
      <c r="CV360" s="188"/>
      <c r="CW360" s="188"/>
      <c r="CX360" s="188"/>
      <c r="CY360" s="188"/>
      <c r="CZ360" s="188"/>
      <c r="DA360" s="188"/>
      <c r="DB360" s="188"/>
      <c r="DC360" s="188"/>
      <c r="DD360" s="188"/>
      <c r="DE360" s="188"/>
      <c r="DF360" s="188"/>
      <c r="DG360" s="188"/>
      <c r="DH360" s="188"/>
      <c r="DI360" s="188"/>
      <c r="DJ360" s="188"/>
      <c r="DK360" s="188"/>
      <c r="DL360" s="188"/>
      <c r="DM360" s="188"/>
      <c r="DN360" s="188"/>
      <c r="DO360" s="188"/>
      <c r="DP360" s="188"/>
      <c r="DQ360" s="188"/>
      <c r="DR360" s="188"/>
      <c r="DS360" s="188"/>
      <c r="DT360" s="188"/>
      <c r="DU360" s="188"/>
      <c r="DV360" s="188"/>
      <c r="DW360" s="188"/>
      <c r="DX360" s="188"/>
      <c r="DY360" s="188"/>
      <c r="DZ360" s="188"/>
      <c r="EA360" s="188"/>
      <c r="EB360" s="188"/>
      <c r="EC360" s="188"/>
      <c r="ED360" s="188"/>
      <c r="EE360" s="189"/>
      <c r="EF360" s="187"/>
      <c r="EG360" s="188"/>
      <c r="EH360" s="188"/>
      <c r="EI360" s="188"/>
      <c r="EJ360" s="189"/>
    </row>
    <row r="361" spans="95:140" x14ac:dyDescent="0.3">
      <c r="CQ361" s="187"/>
      <c r="CR361" s="188"/>
      <c r="CS361" s="188"/>
      <c r="CT361" s="188"/>
      <c r="CU361" s="188"/>
      <c r="CV361" s="188"/>
      <c r="CW361" s="188"/>
      <c r="CX361" s="188"/>
      <c r="CY361" s="188"/>
      <c r="CZ361" s="188"/>
      <c r="DA361" s="188"/>
      <c r="DB361" s="188"/>
      <c r="DC361" s="188"/>
      <c r="DD361" s="188"/>
      <c r="DE361" s="188"/>
      <c r="DF361" s="188"/>
      <c r="DG361" s="188"/>
      <c r="DH361" s="188"/>
      <c r="DI361" s="188"/>
      <c r="DJ361" s="188"/>
      <c r="DK361" s="188"/>
      <c r="DL361" s="188"/>
      <c r="DM361" s="188"/>
      <c r="DN361" s="188"/>
      <c r="DO361" s="188"/>
      <c r="DP361" s="188"/>
      <c r="DQ361" s="188"/>
      <c r="DR361" s="188"/>
      <c r="DS361" s="188"/>
      <c r="DT361" s="188"/>
      <c r="DU361" s="188"/>
      <c r="DV361" s="188"/>
      <c r="DW361" s="188"/>
      <c r="DX361" s="188"/>
      <c r="DY361" s="188"/>
      <c r="DZ361" s="188"/>
      <c r="EA361" s="188"/>
      <c r="EB361" s="188"/>
      <c r="EC361" s="188"/>
      <c r="ED361" s="188"/>
      <c r="EE361" s="189"/>
      <c r="EF361" s="187"/>
      <c r="EG361" s="188"/>
      <c r="EH361" s="188"/>
      <c r="EI361" s="188"/>
      <c r="EJ361" s="189"/>
    </row>
    <row r="362" spans="95:140" x14ac:dyDescent="0.3">
      <c r="CQ362" s="190"/>
      <c r="CR362" s="191"/>
      <c r="CS362" s="191"/>
      <c r="CT362" s="191"/>
      <c r="CU362" s="191"/>
      <c r="CV362" s="191"/>
      <c r="CW362" s="191"/>
      <c r="CX362" s="191"/>
      <c r="CY362" s="191"/>
      <c r="CZ362" s="191"/>
      <c r="DA362" s="191"/>
      <c r="DB362" s="191"/>
      <c r="DC362" s="191"/>
      <c r="DD362" s="191"/>
      <c r="DE362" s="191"/>
      <c r="DF362" s="191"/>
      <c r="DG362" s="191"/>
      <c r="DH362" s="191"/>
      <c r="DI362" s="191"/>
      <c r="DJ362" s="191"/>
      <c r="DK362" s="191"/>
      <c r="DL362" s="191"/>
      <c r="DM362" s="191"/>
      <c r="DN362" s="191"/>
      <c r="DO362" s="191"/>
      <c r="DP362" s="191"/>
      <c r="DQ362" s="191"/>
      <c r="DR362" s="191"/>
      <c r="DS362" s="191"/>
      <c r="DT362" s="191"/>
      <c r="DU362" s="191"/>
      <c r="DV362" s="191"/>
      <c r="DW362" s="191"/>
      <c r="DX362" s="191"/>
      <c r="DY362" s="191"/>
      <c r="DZ362" s="191"/>
      <c r="EA362" s="191"/>
      <c r="EB362" s="191"/>
      <c r="EC362" s="191"/>
      <c r="ED362" s="191"/>
      <c r="EE362" s="192"/>
      <c r="EF362" s="190"/>
      <c r="EG362" s="191"/>
      <c r="EH362" s="191"/>
      <c r="EI362" s="191"/>
      <c r="EJ362" s="192"/>
    </row>
    <row r="363" spans="95:140" x14ac:dyDescent="0.3">
      <c r="CQ363" s="184" t="s">
        <v>44</v>
      </c>
      <c r="CR363" s="185"/>
      <c r="CS363" s="185"/>
      <c r="CT363" s="185"/>
      <c r="CU363" s="185"/>
      <c r="CV363" s="185"/>
      <c r="CW363" s="185"/>
      <c r="CX363" s="185"/>
      <c r="CY363" s="185"/>
      <c r="CZ363" s="185"/>
      <c r="DA363" s="185"/>
      <c r="DB363" s="185"/>
      <c r="DC363" s="185"/>
      <c r="DD363" s="185"/>
      <c r="DE363" s="185"/>
      <c r="DF363" s="185"/>
      <c r="DG363" s="185"/>
      <c r="DH363" s="185"/>
      <c r="DI363" s="185"/>
      <c r="DJ363" s="185"/>
      <c r="DK363" s="185"/>
      <c r="DL363" s="185"/>
      <c r="DM363" s="185"/>
      <c r="DN363" s="185"/>
      <c r="DO363" s="185"/>
      <c r="DP363" s="185"/>
      <c r="DQ363" s="185"/>
      <c r="DR363" s="185"/>
      <c r="DS363" s="185"/>
      <c r="DT363" s="185"/>
      <c r="DU363" s="185"/>
      <c r="DV363" s="185"/>
      <c r="DW363" s="185"/>
      <c r="DX363" s="185"/>
      <c r="DY363" s="185"/>
      <c r="DZ363" s="185"/>
      <c r="EA363" s="185"/>
      <c r="EB363" s="185"/>
      <c r="EC363" s="185"/>
      <c r="ED363" s="185"/>
      <c r="EE363" s="186"/>
      <c r="EF363" s="184">
        <v>1</v>
      </c>
      <c r="EG363" s="185"/>
      <c r="EH363" s="185"/>
      <c r="EI363" s="185"/>
      <c r="EJ363" s="186"/>
    </row>
    <row r="364" spans="95:140" x14ac:dyDescent="0.3">
      <c r="CQ364" s="187"/>
      <c r="CR364" s="188"/>
      <c r="CS364" s="188"/>
      <c r="CT364" s="188"/>
      <c r="CU364" s="188"/>
      <c r="CV364" s="188"/>
      <c r="CW364" s="188"/>
      <c r="CX364" s="188"/>
      <c r="CY364" s="188"/>
      <c r="CZ364" s="188"/>
      <c r="DA364" s="188"/>
      <c r="DB364" s="188"/>
      <c r="DC364" s="188"/>
      <c r="DD364" s="188"/>
      <c r="DE364" s="188"/>
      <c r="DF364" s="188"/>
      <c r="DG364" s="188"/>
      <c r="DH364" s="188"/>
      <c r="DI364" s="188"/>
      <c r="DJ364" s="188"/>
      <c r="DK364" s="188"/>
      <c r="DL364" s="188"/>
      <c r="DM364" s="188"/>
      <c r="DN364" s="188"/>
      <c r="DO364" s="188"/>
      <c r="DP364" s="188"/>
      <c r="DQ364" s="188"/>
      <c r="DR364" s="188"/>
      <c r="DS364" s="188"/>
      <c r="DT364" s="188"/>
      <c r="DU364" s="188"/>
      <c r="DV364" s="188"/>
      <c r="DW364" s="188"/>
      <c r="DX364" s="188"/>
      <c r="DY364" s="188"/>
      <c r="DZ364" s="188"/>
      <c r="EA364" s="188"/>
      <c r="EB364" s="188"/>
      <c r="EC364" s="188"/>
      <c r="ED364" s="188"/>
      <c r="EE364" s="189"/>
      <c r="EF364" s="187"/>
      <c r="EG364" s="188"/>
      <c r="EH364" s="188"/>
      <c r="EI364" s="188"/>
      <c r="EJ364" s="189"/>
    </row>
    <row r="365" spans="95:140" x14ac:dyDescent="0.3">
      <c r="CQ365" s="187"/>
      <c r="CR365" s="188"/>
      <c r="CS365" s="188"/>
      <c r="CT365" s="188"/>
      <c r="CU365" s="188"/>
      <c r="CV365" s="188"/>
      <c r="CW365" s="188"/>
      <c r="CX365" s="188"/>
      <c r="CY365" s="188"/>
      <c r="CZ365" s="188"/>
      <c r="DA365" s="188"/>
      <c r="DB365" s="188"/>
      <c r="DC365" s="188"/>
      <c r="DD365" s="188"/>
      <c r="DE365" s="188"/>
      <c r="DF365" s="188"/>
      <c r="DG365" s="188"/>
      <c r="DH365" s="188"/>
      <c r="DI365" s="188"/>
      <c r="DJ365" s="188"/>
      <c r="DK365" s="188"/>
      <c r="DL365" s="188"/>
      <c r="DM365" s="188"/>
      <c r="DN365" s="188"/>
      <c r="DO365" s="188"/>
      <c r="DP365" s="188"/>
      <c r="DQ365" s="188"/>
      <c r="DR365" s="188"/>
      <c r="DS365" s="188"/>
      <c r="DT365" s="188"/>
      <c r="DU365" s="188"/>
      <c r="DV365" s="188"/>
      <c r="DW365" s="188"/>
      <c r="DX365" s="188"/>
      <c r="DY365" s="188"/>
      <c r="DZ365" s="188"/>
      <c r="EA365" s="188"/>
      <c r="EB365" s="188"/>
      <c r="EC365" s="188"/>
      <c r="ED365" s="188"/>
      <c r="EE365" s="189"/>
      <c r="EF365" s="187"/>
      <c r="EG365" s="188"/>
      <c r="EH365" s="188"/>
      <c r="EI365" s="188"/>
      <c r="EJ365" s="189"/>
    </row>
    <row r="366" spans="95:140" x14ac:dyDescent="0.3">
      <c r="CQ366" s="187"/>
      <c r="CR366" s="188"/>
      <c r="CS366" s="188"/>
      <c r="CT366" s="188"/>
      <c r="CU366" s="188"/>
      <c r="CV366" s="188"/>
      <c r="CW366" s="188"/>
      <c r="CX366" s="188"/>
      <c r="CY366" s="188"/>
      <c r="CZ366" s="188"/>
      <c r="DA366" s="188"/>
      <c r="DB366" s="188"/>
      <c r="DC366" s="188"/>
      <c r="DD366" s="188"/>
      <c r="DE366" s="188"/>
      <c r="DF366" s="188"/>
      <c r="DG366" s="188"/>
      <c r="DH366" s="188"/>
      <c r="DI366" s="188"/>
      <c r="DJ366" s="188"/>
      <c r="DK366" s="188"/>
      <c r="DL366" s="188"/>
      <c r="DM366" s="188"/>
      <c r="DN366" s="188"/>
      <c r="DO366" s="188"/>
      <c r="DP366" s="188"/>
      <c r="DQ366" s="188"/>
      <c r="DR366" s="188"/>
      <c r="DS366" s="188"/>
      <c r="DT366" s="188"/>
      <c r="DU366" s="188"/>
      <c r="DV366" s="188"/>
      <c r="DW366" s="188"/>
      <c r="DX366" s="188"/>
      <c r="DY366" s="188"/>
      <c r="DZ366" s="188"/>
      <c r="EA366" s="188"/>
      <c r="EB366" s="188"/>
      <c r="EC366" s="188"/>
      <c r="ED366" s="188"/>
      <c r="EE366" s="189"/>
      <c r="EF366" s="187"/>
      <c r="EG366" s="188"/>
      <c r="EH366" s="188"/>
      <c r="EI366" s="188"/>
      <c r="EJ366" s="189"/>
    </row>
    <row r="367" spans="95:140" x14ac:dyDescent="0.3">
      <c r="CQ367" s="187"/>
      <c r="CR367" s="188"/>
      <c r="CS367" s="188"/>
      <c r="CT367" s="188"/>
      <c r="CU367" s="188"/>
      <c r="CV367" s="188"/>
      <c r="CW367" s="188"/>
      <c r="CX367" s="188"/>
      <c r="CY367" s="188"/>
      <c r="CZ367" s="188"/>
      <c r="DA367" s="188"/>
      <c r="DB367" s="188"/>
      <c r="DC367" s="188"/>
      <c r="DD367" s="188"/>
      <c r="DE367" s="188"/>
      <c r="DF367" s="188"/>
      <c r="DG367" s="188"/>
      <c r="DH367" s="188"/>
      <c r="DI367" s="188"/>
      <c r="DJ367" s="188"/>
      <c r="DK367" s="188"/>
      <c r="DL367" s="188"/>
      <c r="DM367" s="188"/>
      <c r="DN367" s="188"/>
      <c r="DO367" s="188"/>
      <c r="DP367" s="188"/>
      <c r="DQ367" s="188"/>
      <c r="DR367" s="188"/>
      <c r="DS367" s="188"/>
      <c r="DT367" s="188"/>
      <c r="DU367" s="188"/>
      <c r="DV367" s="188"/>
      <c r="DW367" s="188"/>
      <c r="DX367" s="188"/>
      <c r="DY367" s="188"/>
      <c r="DZ367" s="188"/>
      <c r="EA367" s="188"/>
      <c r="EB367" s="188"/>
      <c r="EC367" s="188"/>
      <c r="ED367" s="188"/>
      <c r="EE367" s="189"/>
      <c r="EF367" s="187"/>
      <c r="EG367" s="188"/>
      <c r="EH367" s="188"/>
      <c r="EI367" s="188"/>
      <c r="EJ367" s="189"/>
    </row>
    <row r="368" spans="95:140" x14ac:dyDescent="0.3">
      <c r="CQ368" s="187"/>
      <c r="CR368" s="188"/>
      <c r="CS368" s="188"/>
      <c r="CT368" s="188"/>
      <c r="CU368" s="188"/>
      <c r="CV368" s="188"/>
      <c r="CW368" s="188"/>
      <c r="CX368" s="188"/>
      <c r="CY368" s="188"/>
      <c r="CZ368" s="188"/>
      <c r="DA368" s="188"/>
      <c r="DB368" s="188"/>
      <c r="DC368" s="188"/>
      <c r="DD368" s="188"/>
      <c r="DE368" s="188"/>
      <c r="DF368" s="188"/>
      <c r="DG368" s="188"/>
      <c r="DH368" s="188"/>
      <c r="DI368" s="188"/>
      <c r="DJ368" s="188"/>
      <c r="DK368" s="188"/>
      <c r="DL368" s="188"/>
      <c r="DM368" s="188"/>
      <c r="DN368" s="188"/>
      <c r="DO368" s="188"/>
      <c r="DP368" s="188"/>
      <c r="DQ368" s="188"/>
      <c r="DR368" s="188"/>
      <c r="DS368" s="188"/>
      <c r="DT368" s="188"/>
      <c r="DU368" s="188"/>
      <c r="DV368" s="188"/>
      <c r="DW368" s="188"/>
      <c r="DX368" s="188"/>
      <c r="DY368" s="188"/>
      <c r="DZ368" s="188"/>
      <c r="EA368" s="188"/>
      <c r="EB368" s="188"/>
      <c r="EC368" s="188"/>
      <c r="ED368" s="188"/>
      <c r="EE368" s="189"/>
      <c r="EF368" s="187"/>
      <c r="EG368" s="188"/>
      <c r="EH368" s="188"/>
      <c r="EI368" s="188"/>
      <c r="EJ368" s="189"/>
    </row>
    <row r="369" spans="95:140" x14ac:dyDescent="0.3">
      <c r="CQ369" s="187"/>
      <c r="CR369" s="188"/>
      <c r="CS369" s="188"/>
      <c r="CT369" s="188"/>
      <c r="CU369" s="188"/>
      <c r="CV369" s="188"/>
      <c r="CW369" s="188"/>
      <c r="CX369" s="188"/>
      <c r="CY369" s="188"/>
      <c r="CZ369" s="188"/>
      <c r="DA369" s="188"/>
      <c r="DB369" s="188"/>
      <c r="DC369" s="188"/>
      <c r="DD369" s="188"/>
      <c r="DE369" s="188"/>
      <c r="DF369" s="188"/>
      <c r="DG369" s="188"/>
      <c r="DH369" s="188"/>
      <c r="DI369" s="188"/>
      <c r="DJ369" s="188"/>
      <c r="DK369" s="188"/>
      <c r="DL369" s="188"/>
      <c r="DM369" s="188"/>
      <c r="DN369" s="188"/>
      <c r="DO369" s="188"/>
      <c r="DP369" s="188"/>
      <c r="DQ369" s="188"/>
      <c r="DR369" s="188"/>
      <c r="DS369" s="188"/>
      <c r="DT369" s="188"/>
      <c r="DU369" s="188"/>
      <c r="DV369" s="188"/>
      <c r="DW369" s="188"/>
      <c r="DX369" s="188"/>
      <c r="DY369" s="188"/>
      <c r="DZ369" s="188"/>
      <c r="EA369" s="188"/>
      <c r="EB369" s="188"/>
      <c r="EC369" s="188"/>
      <c r="ED369" s="188"/>
      <c r="EE369" s="189"/>
      <c r="EF369" s="187"/>
      <c r="EG369" s="188"/>
      <c r="EH369" s="188"/>
      <c r="EI369" s="188"/>
      <c r="EJ369" s="189"/>
    </row>
    <row r="370" spans="95:140" x14ac:dyDescent="0.3">
      <c r="CQ370" s="187"/>
      <c r="CR370" s="188"/>
      <c r="CS370" s="188"/>
      <c r="CT370" s="188"/>
      <c r="CU370" s="188"/>
      <c r="CV370" s="188"/>
      <c r="CW370" s="188"/>
      <c r="CX370" s="188"/>
      <c r="CY370" s="188"/>
      <c r="CZ370" s="188"/>
      <c r="DA370" s="188"/>
      <c r="DB370" s="188"/>
      <c r="DC370" s="188"/>
      <c r="DD370" s="188"/>
      <c r="DE370" s="188"/>
      <c r="DF370" s="188"/>
      <c r="DG370" s="188"/>
      <c r="DH370" s="188"/>
      <c r="DI370" s="188"/>
      <c r="DJ370" s="188"/>
      <c r="DK370" s="188"/>
      <c r="DL370" s="188"/>
      <c r="DM370" s="188"/>
      <c r="DN370" s="188"/>
      <c r="DO370" s="188"/>
      <c r="DP370" s="188"/>
      <c r="DQ370" s="188"/>
      <c r="DR370" s="188"/>
      <c r="DS370" s="188"/>
      <c r="DT370" s="188"/>
      <c r="DU370" s="188"/>
      <c r="DV370" s="188"/>
      <c r="DW370" s="188"/>
      <c r="DX370" s="188"/>
      <c r="DY370" s="188"/>
      <c r="DZ370" s="188"/>
      <c r="EA370" s="188"/>
      <c r="EB370" s="188"/>
      <c r="EC370" s="188"/>
      <c r="ED370" s="188"/>
      <c r="EE370" s="189"/>
      <c r="EF370" s="187"/>
      <c r="EG370" s="188"/>
      <c r="EH370" s="188"/>
      <c r="EI370" s="188"/>
      <c r="EJ370" s="189"/>
    </row>
    <row r="371" spans="95:140" x14ac:dyDescent="0.3">
      <c r="CQ371" s="187"/>
      <c r="CR371" s="188"/>
      <c r="CS371" s="188"/>
      <c r="CT371" s="188"/>
      <c r="CU371" s="188"/>
      <c r="CV371" s="188"/>
      <c r="CW371" s="188"/>
      <c r="CX371" s="188"/>
      <c r="CY371" s="188"/>
      <c r="CZ371" s="188"/>
      <c r="DA371" s="188"/>
      <c r="DB371" s="188"/>
      <c r="DC371" s="188"/>
      <c r="DD371" s="188"/>
      <c r="DE371" s="188"/>
      <c r="DF371" s="188"/>
      <c r="DG371" s="188"/>
      <c r="DH371" s="188"/>
      <c r="DI371" s="188"/>
      <c r="DJ371" s="188"/>
      <c r="DK371" s="188"/>
      <c r="DL371" s="188"/>
      <c r="DM371" s="188"/>
      <c r="DN371" s="188"/>
      <c r="DO371" s="188"/>
      <c r="DP371" s="188"/>
      <c r="DQ371" s="188"/>
      <c r="DR371" s="188"/>
      <c r="DS371" s="188"/>
      <c r="DT371" s="188"/>
      <c r="DU371" s="188"/>
      <c r="DV371" s="188"/>
      <c r="DW371" s="188"/>
      <c r="DX371" s="188"/>
      <c r="DY371" s="188"/>
      <c r="DZ371" s="188"/>
      <c r="EA371" s="188"/>
      <c r="EB371" s="188"/>
      <c r="EC371" s="188"/>
      <c r="ED371" s="188"/>
      <c r="EE371" s="189"/>
      <c r="EF371" s="187"/>
      <c r="EG371" s="188"/>
      <c r="EH371" s="188"/>
      <c r="EI371" s="188"/>
      <c r="EJ371" s="189"/>
    </row>
    <row r="372" spans="95:140" x14ac:dyDescent="0.3">
      <c r="CQ372" s="190"/>
      <c r="CR372" s="191"/>
      <c r="CS372" s="191"/>
      <c r="CT372" s="191"/>
      <c r="CU372" s="191"/>
      <c r="CV372" s="191"/>
      <c r="CW372" s="191"/>
      <c r="CX372" s="191"/>
      <c r="CY372" s="191"/>
      <c r="CZ372" s="191"/>
      <c r="DA372" s="191"/>
      <c r="DB372" s="191"/>
      <c r="DC372" s="191"/>
      <c r="DD372" s="191"/>
      <c r="DE372" s="191"/>
      <c r="DF372" s="191"/>
      <c r="DG372" s="191"/>
      <c r="DH372" s="191"/>
      <c r="DI372" s="191"/>
      <c r="DJ372" s="191"/>
      <c r="DK372" s="191"/>
      <c r="DL372" s="191"/>
      <c r="DM372" s="191"/>
      <c r="DN372" s="191"/>
      <c r="DO372" s="191"/>
      <c r="DP372" s="191"/>
      <c r="DQ372" s="191"/>
      <c r="DR372" s="191"/>
      <c r="DS372" s="191"/>
      <c r="DT372" s="191"/>
      <c r="DU372" s="191"/>
      <c r="DV372" s="191"/>
      <c r="DW372" s="191"/>
      <c r="DX372" s="191"/>
      <c r="DY372" s="191"/>
      <c r="DZ372" s="191"/>
      <c r="EA372" s="191"/>
      <c r="EB372" s="191"/>
      <c r="EC372" s="191"/>
      <c r="ED372" s="191"/>
      <c r="EE372" s="192"/>
      <c r="EF372" s="190"/>
      <c r="EG372" s="191"/>
      <c r="EH372" s="191"/>
      <c r="EI372" s="191"/>
      <c r="EJ372" s="192"/>
    </row>
    <row r="373" spans="95:140" x14ac:dyDescent="0.3">
      <c r="CQ373" s="184" t="s">
        <v>43</v>
      </c>
      <c r="CR373" s="185"/>
      <c r="CS373" s="185"/>
      <c r="CT373" s="185"/>
      <c r="CU373" s="185"/>
      <c r="CV373" s="185"/>
      <c r="CW373" s="185"/>
      <c r="CX373" s="185"/>
      <c r="CY373" s="185"/>
      <c r="CZ373" s="185"/>
      <c r="DA373" s="185"/>
      <c r="DB373" s="185"/>
      <c r="DC373" s="185"/>
      <c r="DD373" s="185"/>
      <c r="DE373" s="185"/>
      <c r="DF373" s="185"/>
      <c r="DG373" s="185"/>
      <c r="DH373" s="185"/>
      <c r="DI373" s="185"/>
      <c r="DJ373" s="185"/>
      <c r="DK373" s="185"/>
      <c r="DL373" s="185"/>
      <c r="DM373" s="185"/>
      <c r="DN373" s="185"/>
      <c r="DO373" s="185"/>
      <c r="DP373" s="185"/>
      <c r="DQ373" s="185"/>
      <c r="DR373" s="185"/>
      <c r="DS373" s="185"/>
      <c r="DT373" s="185"/>
      <c r="DU373" s="185"/>
      <c r="DV373" s="185"/>
      <c r="DW373" s="185"/>
      <c r="DX373" s="185"/>
      <c r="DY373" s="185"/>
      <c r="DZ373" s="185"/>
      <c r="EA373" s="185"/>
      <c r="EB373" s="185"/>
      <c r="EC373" s="185"/>
      <c r="ED373" s="185"/>
      <c r="EE373" s="186"/>
      <c r="EF373" s="184">
        <v>1</v>
      </c>
      <c r="EG373" s="185"/>
      <c r="EH373" s="185"/>
      <c r="EI373" s="185"/>
      <c r="EJ373" s="186"/>
    </row>
    <row r="374" spans="95:140" x14ac:dyDescent="0.3">
      <c r="CQ374" s="187"/>
      <c r="CR374" s="188"/>
      <c r="CS374" s="188"/>
      <c r="CT374" s="188"/>
      <c r="CU374" s="188"/>
      <c r="CV374" s="188"/>
      <c r="CW374" s="188"/>
      <c r="CX374" s="188"/>
      <c r="CY374" s="188"/>
      <c r="CZ374" s="188"/>
      <c r="DA374" s="188"/>
      <c r="DB374" s="188"/>
      <c r="DC374" s="188"/>
      <c r="DD374" s="188"/>
      <c r="DE374" s="188"/>
      <c r="DF374" s="188"/>
      <c r="DG374" s="188"/>
      <c r="DH374" s="188"/>
      <c r="DI374" s="188"/>
      <c r="DJ374" s="188"/>
      <c r="DK374" s="188"/>
      <c r="DL374" s="188"/>
      <c r="DM374" s="188"/>
      <c r="DN374" s="188"/>
      <c r="DO374" s="188"/>
      <c r="DP374" s="188"/>
      <c r="DQ374" s="188"/>
      <c r="DR374" s="188"/>
      <c r="DS374" s="188"/>
      <c r="DT374" s="188"/>
      <c r="DU374" s="188"/>
      <c r="DV374" s="188"/>
      <c r="DW374" s="188"/>
      <c r="DX374" s="188"/>
      <c r="DY374" s="188"/>
      <c r="DZ374" s="188"/>
      <c r="EA374" s="188"/>
      <c r="EB374" s="188"/>
      <c r="EC374" s="188"/>
      <c r="ED374" s="188"/>
      <c r="EE374" s="189"/>
      <c r="EF374" s="187"/>
      <c r="EG374" s="188"/>
      <c r="EH374" s="188"/>
      <c r="EI374" s="188"/>
      <c r="EJ374" s="189"/>
    </row>
    <row r="375" spans="95:140" x14ac:dyDescent="0.3">
      <c r="CQ375" s="187"/>
      <c r="CR375" s="188"/>
      <c r="CS375" s="188"/>
      <c r="CT375" s="188"/>
      <c r="CU375" s="188"/>
      <c r="CV375" s="188"/>
      <c r="CW375" s="188"/>
      <c r="CX375" s="188"/>
      <c r="CY375" s="188"/>
      <c r="CZ375" s="188"/>
      <c r="DA375" s="188"/>
      <c r="DB375" s="188"/>
      <c r="DC375" s="188"/>
      <c r="DD375" s="188"/>
      <c r="DE375" s="188"/>
      <c r="DF375" s="188"/>
      <c r="DG375" s="188"/>
      <c r="DH375" s="188"/>
      <c r="DI375" s="188"/>
      <c r="DJ375" s="188"/>
      <c r="DK375" s="188"/>
      <c r="DL375" s="188"/>
      <c r="DM375" s="188"/>
      <c r="DN375" s="188"/>
      <c r="DO375" s="188"/>
      <c r="DP375" s="188"/>
      <c r="DQ375" s="188"/>
      <c r="DR375" s="188"/>
      <c r="DS375" s="188"/>
      <c r="DT375" s="188"/>
      <c r="DU375" s="188"/>
      <c r="DV375" s="188"/>
      <c r="DW375" s="188"/>
      <c r="DX375" s="188"/>
      <c r="DY375" s="188"/>
      <c r="DZ375" s="188"/>
      <c r="EA375" s="188"/>
      <c r="EB375" s="188"/>
      <c r="EC375" s="188"/>
      <c r="ED375" s="188"/>
      <c r="EE375" s="189"/>
      <c r="EF375" s="187"/>
      <c r="EG375" s="188"/>
      <c r="EH375" s="188"/>
      <c r="EI375" s="188"/>
      <c r="EJ375" s="189"/>
    </row>
    <row r="376" spans="95:140" x14ac:dyDescent="0.3">
      <c r="CQ376" s="187"/>
      <c r="CR376" s="188"/>
      <c r="CS376" s="188"/>
      <c r="CT376" s="188"/>
      <c r="CU376" s="188"/>
      <c r="CV376" s="188"/>
      <c r="CW376" s="188"/>
      <c r="CX376" s="188"/>
      <c r="CY376" s="188"/>
      <c r="CZ376" s="188"/>
      <c r="DA376" s="188"/>
      <c r="DB376" s="188"/>
      <c r="DC376" s="188"/>
      <c r="DD376" s="188"/>
      <c r="DE376" s="188"/>
      <c r="DF376" s="188"/>
      <c r="DG376" s="188"/>
      <c r="DH376" s="188"/>
      <c r="DI376" s="188"/>
      <c r="DJ376" s="188"/>
      <c r="DK376" s="188"/>
      <c r="DL376" s="188"/>
      <c r="DM376" s="188"/>
      <c r="DN376" s="188"/>
      <c r="DO376" s="188"/>
      <c r="DP376" s="188"/>
      <c r="DQ376" s="188"/>
      <c r="DR376" s="188"/>
      <c r="DS376" s="188"/>
      <c r="DT376" s="188"/>
      <c r="DU376" s="188"/>
      <c r="DV376" s="188"/>
      <c r="DW376" s="188"/>
      <c r="DX376" s="188"/>
      <c r="DY376" s="188"/>
      <c r="DZ376" s="188"/>
      <c r="EA376" s="188"/>
      <c r="EB376" s="188"/>
      <c r="EC376" s="188"/>
      <c r="ED376" s="188"/>
      <c r="EE376" s="189"/>
      <c r="EF376" s="187"/>
      <c r="EG376" s="188"/>
      <c r="EH376" s="188"/>
      <c r="EI376" s="188"/>
      <c r="EJ376" s="189"/>
    </row>
    <row r="377" spans="95:140" x14ac:dyDescent="0.3">
      <c r="CQ377" s="187"/>
      <c r="CR377" s="188"/>
      <c r="CS377" s="188"/>
      <c r="CT377" s="188"/>
      <c r="CU377" s="188"/>
      <c r="CV377" s="188"/>
      <c r="CW377" s="188"/>
      <c r="CX377" s="188"/>
      <c r="CY377" s="188"/>
      <c r="CZ377" s="188"/>
      <c r="DA377" s="188"/>
      <c r="DB377" s="188"/>
      <c r="DC377" s="188"/>
      <c r="DD377" s="188"/>
      <c r="DE377" s="188"/>
      <c r="DF377" s="188"/>
      <c r="DG377" s="188"/>
      <c r="DH377" s="188"/>
      <c r="DI377" s="188"/>
      <c r="DJ377" s="188"/>
      <c r="DK377" s="188"/>
      <c r="DL377" s="188"/>
      <c r="DM377" s="188"/>
      <c r="DN377" s="188"/>
      <c r="DO377" s="188"/>
      <c r="DP377" s="188"/>
      <c r="DQ377" s="188"/>
      <c r="DR377" s="188"/>
      <c r="DS377" s="188"/>
      <c r="DT377" s="188"/>
      <c r="DU377" s="188"/>
      <c r="DV377" s="188"/>
      <c r="DW377" s="188"/>
      <c r="DX377" s="188"/>
      <c r="DY377" s="188"/>
      <c r="DZ377" s="188"/>
      <c r="EA377" s="188"/>
      <c r="EB377" s="188"/>
      <c r="EC377" s="188"/>
      <c r="ED377" s="188"/>
      <c r="EE377" s="189"/>
      <c r="EF377" s="187"/>
      <c r="EG377" s="188"/>
      <c r="EH377" s="188"/>
      <c r="EI377" s="188"/>
      <c r="EJ377" s="189"/>
    </row>
    <row r="378" spans="95:140" x14ac:dyDescent="0.3">
      <c r="CQ378" s="187"/>
      <c r="CR378" s="188"/>
      <c r="CS378" s="188"/>
      <c r="CT378" s="188"/>
      <c r="CU378" s="188"/>
      <c r="CV378" s="188"/>
      <c r="CW378" s="188"/>
      <c r="CX378" s="188"/>
      <c r="CY378" s="188"/>
      <c r="CZ378" s="188"/>
      <c r="DA378" s="188"/>
      <c r="DB378" s="188"/>
      <c r="DC378" s="188"/>
      <c r="DD378" s="188"/>
      <c r="DE378" s="188"/>
      <c r="DF378" s="188"/>
      <c r="DG378" s="188"/>
      <c r="DH378" s="188"/>
      <c r="DI378" s="188"/>
      <c r="DJ378" s="188"/>
      <c r="DK378" s="188"/>
      <c r="DL378" s="188"/>
      <c r="DM378" s="188"/>
      <c r="DN378" s="188"/>
      <c r="DO378" s="188"/>
      <c r="DP378" s="188"/>
      <c r="DQ378" s="188"/>
      <c r="DR378" s="188"/>
      <c r="DS378" s="188"/>
      <c r="DT378" s="188"/>
      <c r="DU378" s="188"/>
      <c r="DV378" s="188"/>
      <c r="DW378" s="188"/>
      <c r="DX378" s="188"/>
      <c r="DY378" s="188"/>
      <c r="DZ378" s="188"/>
      <c r="EA378" s="188"/>
      <c r="EB378" s="188"/>
      <c r="EC378" s="188"/>
      <c r="ED378" s="188"/>
      <c r="EE378" s="189"/>
      <c r="EF378" s="187"/>
      <c r="EG378" s="188"/>
      <c r="EH378" s="188"/>
      <c r="EI378" s="188"/>
      <c r="EJ378" s="189"/>
    </row>
    <row r="379" spans="95:140" x14ac:dyDescent="0.3">
      <c r="CQ379" s="187"/>
      <c r="CR379" s="188"/>
      <c r="CS379" s="188"/>
      <c r="CT379" s="188"/>
      <c r="CU379" s="188"/>
      <c r="CV379" s="188"/>
      <c r="CW379" s="188"/>
      <c r="CX379" s="188"/>
      <c r="CY379" s="188"/>
      <c r="CZ379" s="188"/>
      <c r="DA379" s="188"/>
      <c r="DB379" s="188"/>
      <c r="DC379" s="188"/>
      <c r="DD379" s="188"/>
      <c r="DE379" s="188"/>
      <c r="DF379" s="188"/>
      <c r="DG379" s="188"/>
      <c r="DH379" s="188"/>
      <c r="DI379" s="188"/>
      <c r="DJ379" s="188"/>
      <c r="DK379" s="188"/>
      <c r="DL379" s="188"/>
      <c r="DM379" s="188"/>
      <c r="DN379" s="188"/>
      <c r="DO379" s="188"/>
      <c r="DP379" s="188"/>
      <c r="DQ379" s="188"/>
      <c r="DR379" s="188"/>
      <c r="DS379" s="188"/>
      <c r="DT379" s="188"/>
      <c r="DU379" s="188"/>
      <c r="DV379" s="188"/>
      <c r="DW379" s="188"/>
      <c r="DX379" s="188"/>
      <c r="DY379" s="188"/>
      <c r="DZ379" s="188"/>
      <c r="EA379" s="188"/>
      <c r="EB379" s="188"/>
      <c r="EC379" s="188"/>
      <c r="ED379" s="188"/>
      <c r="EE379" s="189"/>
      <c r="EF379" s="187"/>
      <c r="EG379" s="188"/>
      <c r="EH379" s="188"/>
      <c r="EI379" s="188"/>
      <c r="EJ379" s="189"/>
    </row>
    <row r="380" spans="95:140" x14ac:dyDescent="0.3">
      <c r="CQ380" s="187"/>
      <c r="CR380" s="188"/>
      <c r="CS380" s="188"/>
      <c r="CT380" s="188"/>
      <c r="CU380" s="188"/>
      <c r="CV380" s="188"/>
      <c r="CW380" s="188"/>
      <c r="CX380" s="188"/>
      <c r="CY380" s="188"/>
      <c r="CZ380" s="188"/>
      <c r="DA380" s="188"/>
      <c r="DB380" s="188"/>
      <c r="DC380" s="188"/>
      <c r="DD380" s="188"/>
      <c r="DE380" s="188"/>
      <c r="DF380" s="188"/>
      <c r="DG380" s="188"/>
      <c r="DH380" s="188"/>
      <c r="DI380" s="188"/>
      <c r="DJ380" s="188"/>
      <c r="DK380" s="188"/>
      <c r="DL380" s="188"/>
      <c r="DM380" s="188"/>
      <c r="DN380" s="188"/>
      <c r="DO380" s="188"/>
      <c r="DP380" s="188"/>
      <c r="DQ380" s="188"/>
      <c r="DR380" s="188"/>
      <c r="DS380" s="188"/>
      <c r="DT380" s="188"/>
      <c r="DU380" s="188"/>
      <c r="DV380" s="188"/>
      <c r="DW380" s="188"/>
      <c r="DX380" s="188"/>
      <c r="DY380" s="188"/>
      <c r="DZ380" s="188"/>
      <c r="EA380" s="188"/>
      <c r="EB380" s="188"/>
      <c r="EC380" s="188"/>
      <c r="ED380" s="188"/>
      <c r="EE380" s="189"/>
      <c r="EF380" s="187"/>
      <c r="EG380" s="188"/>
      <c r="EH380" s="188"/>
      <c r="EI380" s="188"/>
      <c r="EJ380" s="189"/>
    </row>
    <row r="381" spans="95:140" x14ac:dyDescent="0.3">
      <c r="CQ381" s="187"/>
      <c r="CR381" s="188"/>
      <c r="CS381" s="188"/>
      <c r="CT381" s="188"/>
      <c r="CU381" s="188"/>
      <c r="CV381" s="188"/>
      <c r="CW381" s="188"/>
      <c r="CX381" s="188"/>
      <c r="CY381" s="188"/>
      <c r="CZ381" s="188"/>
      <c r="DA381" s="188"/>
      <c r="DB381" s="188"/>
      <c r="DC381" s="188"/>
      <c r="DD381" s="188"/>
      <c r="DE381" s="188"/>
      <c r="DF381" s="188"/>
      <c r="DG381" s="188"/>
      <c r="DH381" s="188"/>
      <c r="DI381" s="188"/>
      <c r="DJ381" s="188"/>
      <c r="DK381" s="188"/>
      <c r="DL381" s="188"/>
      <c r="DM381" s="188"/>
      <c r="DN381" s="188"/>
      <c r="DO381" s="188"/>
      <c r="DP381" s="188"/>
      <c r="DQ381" s="188"/>
      <c r="DR381" s="188"/>
      <c r="DS381" s="188"/>
      <c r="DT381" s="188"/>
      <c r="DU381" s="188"/>
      <c r="DV381" s="188"/>
      <c r="DW381" s="188"/>
      <c r="DX381" s="188"/>
      <c r="DY381" s="188"/>
      <c r="DZ381" s="188"/>
      <c r="EA381" s="188"/>
      <c r="EB381" s="188"/>
      <c r="EC381" s="188"/>
      <c r="ED381" s="188"/>
      <c r="EE381" s="189"/>
      <c r="EF381" s="187"/>
      <c r="EG381" s="188"/>
      <c r="EH381" s="188"/>
      <c r="EI381" s="188"/>
      <c r="EJ381" s="189"/>
    </row>
    <row r="382" spans="95:140" x14ac:dyDescent="0.3">
      <c r="CQ382" s="190"/>
      <c r="CR382" s="191"/>
      <c r="CS382" s="191"/>
      <c r="CT382" s="191"/>
      <c r="CU382" s="191"/>
      <c r="CV382" s="191"/>
      <c r="CW382" s="191"/>
      <c r="CX382" s="191"/>
      <c r="CY382" s="191"/>
      <c r="CZ382" s="191"/>
      <c r="DA382" s="191"/>
      <c r="DB382" s="191"/>
      <c r="DC382" s="191"/>
      <c r="DD382" s="191"/>
      <c r="DE382" s="191"/>
      <c r="DF382" s="191"/>
      <c r="DG382" s="191"/>
      <c r="DH382" s="191"/>
      <c r="DI382" s="191"/>
      <c r="DJ382" s="191"/>
      <c r="DK382" s="191"/>
      <c r="DL382" s="191"/>
      <c r="DM382" s="191"/>
      <c r="DN382" s="191"/>
      <c r="DO382" s="191"/>
      <c r="DP382" s="191"/>
      <c r="DQ382" s="191"/>
      <c r="DR382" s="191"/>
      <c r="DS382" s="191"/>
      <c r="DT382" s="191"/>
      <c r="DU382" s="191"/>
      <c r="DV382" s="191"/>
      <c r="DW382" s="191"/>
      <c r="DX382" s="191"/>
      <c r="DY382" s="191"/>
      <c r="DZ382" s="191"/>
      <c r="EA382" s="191"/>
      <c r="EB382" s="191"/>
      <c r="EC382" s="191"/>
      <c r="ED382" s="191"/>
      <c r="EE382" s="192"/>
      <c r="EF382" s="190"/>
      <c r="EG382" s="191"/>
      <c r="EH382" s="191"/>
      <c r="EI382" s="191"/>
      <c r="EJ382" s="192"/>
    </row>
    <row r="383" spans="95:140" x14ac:dyDescent="0.3">
      <c r="CQ383" s="184" t="s">
        <v>42</v>
      </c>
      <c r="CR383" s="185"/>
      <c r="CS383" s="185"/>
      <c r="CT383" s="185"/>
      <c r="CU383" s="185"/>
      <c r="CV383" s="185"/>
      <c r="CW383" s="185"/>
      <c r="CX383" s="185"/>
      <c r="CY383" s="185"/>
      <c r="CZ383" s="185"/>
      <c r="DA383" s="185"/>
      <c r="DB383" s="185"/>
      <c r="DC383" s="185"/>
      <c r="DD383" s="185"/>
      <c r="DE383" s="185"/>
      <c r="DF383" s="185"/>
      <c r="DG383" s="185"/>
      <c r="DH383" s="185"/>
      <c r="DI383" s="185"/>
      <c r="DJ383" s="185"/>
      <c r="DK383" s="185"/>
      <c r="DL383" s="185"/>
      <c r="DM383" s="185"/>
      <c r="DN383" s="185"/>
      <c r="DO383" s="185"/>
      <c r="DP383" s="185"/>
      <c r="DQ383" s="185"/>
      <c r="DR383" s="185"/>
      <c r="DS383" s="185"/>
      <c r="DT383" s="185"/>
      <c r="DU383" s="185"/>
      <c r="DV383" s="185"/>
      <c r="DW383" s="185"/>
      <c r="DX383" s="185"/>
      <c r="DY383" s="185"/>
      <c r="DZ383" s="185"/>
      <c r="EA383" s="185"/>
      <c r="EB383" s="185"/>
      <c r="EC383" s="185"/>
      <c r="ED383" s="185"/>
      <c r="EE383" s="186"/>
      <c r="EF383" s="184">
        <v>1</v>
      </c>
      <c r="EG383" s="185"/>
      <c r="EH383" s="185"/>
      <c r="EI383" s="185"/>
      <c r="EJ383" s="186"/>
    </row>
    <row r="384" spans="95:140" x14ac:dyDescent="0.3">
      <c r="CQ384" s="187"/>
      <c r="CR384" s="188"/>
      <c r="CS384" s="188"/>
      <c r="CT384" s="188"/>
      <c r="CU384" s="188"/>
      <c r="CV384" s="188"/>
      <c r="CW384" s="188"/>
      <c r="CX384" s="188"/>
      <c r="CY384" s="188"/>
      <c r="CZ384" s="188"/>
      <c r="DA384" s="188"/>
      <c r="DB384" s="188"/>
      <c r="DC384" s="188"/>
      <c r="DD384" s="188"/>
      <c r="DE384" s="188"/>
      <c r="DF384" s="188"/>
      <c r="DG384" s="188"/>
      <c r="DH384" s="188"/>
      <c r="DI384" s="188"/>
      <c r="DJ384" s="188"/>
      <c r="DK384" s="188"/>
      <c r="DL384" s="188"/>
      <c r="DM384" s="188"/>
      <c r="DN384" s="188"/>
      <c r="DO384" s="188"/>
      <c r="DP384" s="188"/>
      <c r="DQ384" s="188"/>
      <c r="DR384" s="188"/>
      <c r="DS384" s="188"/>
      <c r="DT384" s="188"/>
      <c r="DU384" s="188"/>
      <c r="DV384" s="188"/>
      <c r="DW384" s="188"/>
      <c r="DX384" s="188"/>
      <c r="DY384" s="188"/>
      <c r="DZ384" s="188"/>
      <c r="EA384" s="188"/>
      <c r="EB384" s="188"/>
      <c r="EC384" s="188"/>
      <c r="ED384" s="188"/>
      <c r="EE384" s="189"/>
      <c r="EF384" s="187"/>
      <c r="EG384" s="188"/>
      <c r="EH384" s="188"/>
      <c r="EI384" s="188"/>
      <c r="EJ384" s="189"/>
    </row>
    <row r="385" spans="95:140" x14ac:dyDescent="0.3">
      <c r="CQ385" s="187"/>
      <c r="CR385" s="188"/>
      <c r="CS385" s="188"/>
      <c r="CT385" s="188"/>
      <c r="CU385" s="188"/>
      <c r="CV385" s="188"/>
      <c r="CW385" s="188"/>
      <c r="CX385" s="188"/>
      <c r="CY385" s="188"/>
      <c r="CZ385" s="188"/>
      <c r="DA385" s="188"/>
      <c r="DB385" s="188"/>
      <c r="DC385" s="188"/>
      <c r="DD385" s="188"/>
      <c r="DE385" s="188"/>
      <c r="DF385" s="188"/>
      <c r="DG385" s="188"/>
      <c r="DH385" s="188"/>
      <c r="DI385" s="188"/>
      <c r="DJ385" s="188"/>
      <c r="DK385" s="188"/>
      <c r="DL385" s="188"/>
      <c r="DM385" s="188"/>
      <c r="DN385" s="188"/>
      <c r="DO385" s="188"/>
      <c r="DP385" s="188"/>
      <c r="DQ385" s="188"/>
      <c r="DR385" s="188"/>
      <c r="DS385" s="188"/>
      <c r="DT385" s="188"/>
      <c r="DU385" s="188"/>
      <c r="DV385" s="188"/>
      <c r="DW385" s="188"/>
      <c r="DX385" s="188"/>
      <c r="DY385" s="188"/>
      <c r="DZ385" s="188"/>
      <c r="EA385" s="188"/>
      <c r="EB385" s="188"/>
      <c r="EC385" s="188"/>
      <c r="ED385" s="188"/>
      <c r="EE385" s="189"/>
      <c r="EF385" s="187"/>
      <c r="EG385" s="188"/>
      <c r="EH385" s="188"/>
      <c r="EI385" s="188"/>
      <c r="EJ385" s="189"/>
    </row>
    <row r="386" spans="95:140" x14ac:dyDescent="0.3">
      <c r="CQ386" s="187"/>
      <c r="CR386" s="188"/>
      <c r="CS386" s="188"/>
      <c r="CT386" s="188"/>
      <c r="CU386" s="188"/>
      <c r="CV386" s="188"/>
      <c r="CW386" s="188"/>
      <c r="CX386" s="188"/>
      <c r="CY386" s="188"/>
      <c r="CZ386" s="188"/>
      <c r="DA386" s="188"/>
      <c r="DB386" s="188"/>
      <c r="DC386" s="188"/>
      <c r="DD386" s="188"/>
      <c r="DE386" s="188"/>
      <c r="DF386" s="188"/>
      <c r="DG386" s="188"/>
      <c r="DH386" s="188"/>
      <c r="DI386" s="188"/>
      <c r="DJ386" s="188"/>
      <c r="DK386" s="188"/>
      <c r="DL386" s="188"/>
      <c r="DM386" s="188"/>
      <c r="DN386" s="188"/>
      <c r="DO386" s="188"/>
      <c r="DP386" s="188"/>
      <c r="DQ386" s="188"/>
      <c r="DR386" s="188"/>
      <c r="DS386" s="188"/>
      <c r="DT386" s="188"/>
      <c r="DU386" s="188"/>
      <c r="DV386" s="188"/>
      <c r="DW386" s="188"/>
      <c r="DX386" s="188"/>
      <c r="DY386" s="188"/>
      <c r="DZ386" s="188"/>
      <c r="EA386" s="188"/>
      <c r="EB386" s="188"/>
      <c r="EC386" s="188"/>
      <c r="ED386" s="188"/>
      <c r="EE386" s="189"/>
      <c r="EF386" s="187"/>
      <c r="EG386" s="188"/>
      <c r="EH386" s="188"/>
      <c r="EI386" s="188"/>
      <c r="EJ386" s="189"/>
    </row>
    <row r="387" spans="95:140" x14ac:dyDescent="0.3">
      <c r="CQ387" s="187"/>
      <c r="CR387" s="188"/>
      <c r="CS387" s="188"/>
      <c r="CT387" s="188"/>
      <c r="CU387" s="188"/>
      <c r="CV387" s="188"/>
      <c r="CW387" s="188"/>
      <c r="CX387" s="188"/>
      <c r="CY387" s="188"/>
      <c r="CZ387" s="188"/>
      <c r="DA387" s="188"/>
      <c r="DB387" s="188"/>
      <c r="DC387" s="188"/>
      <c r="DD387" s="188"/>
      <c r="DE387" s="188"/>
      <c r="DF387" s="188"/>
      <c r="DG387" s="188"/>
      <c r="DH387" s="188"/>
      <c r="DI387" s="188"/>
      <c r="DJ387" s="188"/>
      <c r="DK387" s="188"/>
      <c r="DL387" s="188"/>
      <c r="DM387" s="188"/>
      <c r="DN387" s="188"/>
      <c r="DO387" s="188"/>
      <c r="DP387" s="188"/>
      <c r="DQ387" s="188"/>
      <c r="DR387" s="188"/>
      <c r="DS387" s="188"/>
      <c r="DT387" s="188"/>
      <c r="DU387" s="188"/>
      <c r="DV387" s="188"/>
      <c r="DW387" s="188"/>
      <c r="DX387" s="188"/>
      <c r="DY387" s="188"/>
      <c r="DZ387" s="188"/>
      <c r="EA387" s="188"/>
      <c r="EB387" s="188"/>
      <c r="EC387" s="188"/>
      <c r="ED387" s="188"/>
      <c r="EE387" s="189"/>
      <c r="EF387" s="187"/>
      <c r="EG387" s="188"/>
      <c r="EH387" s="188"/>
      <c r="EI387" s="188"/>
      <c r="EJ387" s="189"/>
    </row>
    <row r="388" spans="95:140" x14ac:dyDescent="0.3">
      <c r="CQ388" s="187"/>
      <c r="CR388" s="188"/>
      <c r="CS388" s="188"/>
      <c r="CT388" s="188"/>
      <c r="CU388" s="188"/>
      <c r="CV388" s="188"/>
      <c r="CW388" s="188"/>
      <c r="CX388" s="188"/>
      <c r="CY388" s="188"/>
      <c r="CZ388" s="188"/>
      <c r="DA388" s="188"/>
      <c r="DB388" s="188"/>
      <c r="DC388" s="188"/>
      <c r="DD388" s="188"/>
      <c r="DE388" s="188"/>
      <c r="DF388" s="188"/>
      <c r="DG388" s="188"/>
      <c r="DH388" s="188"/>
      <c r="DI388" s="188"/>
      <c r="DJ388" s="188"/>
      <c r="DK388" s="188"/>
      <c r="DL388" s="188"/>
      <c r="DM388" s="188"/>
      <c r="DN388" s="188"/>
      <c r="DO388" s="188"/>
      <c r="DP388" s="188"/>
      <c r="DQ388" s="188"/>
      <c r="DR388" s="188"/>
      <c r="DS388" s="188"/>
      <c r="DT388" s="188"/>
      <c r="DU388" s="188"/>
      <c r="DV388" s="188"/>
      <c r="DW388" s="188"/>
      <c r="DX388" s="188"/>
      <c r="DY388" s="188"/>
      <c r="DZ388" s="188"/>
      <c r="EA388" s="188"/>
      <c r="EB388" s="188"/>
      <c r="EC388" s="188"/>
      <c r="ED388" s="188"/>
      <c r="EE388" s="189"/>
      <c r="EF388" s="187"/>
      <c r="EG388" s="188"/>
      <c r="EH388" s="188"/>
      <c r="EI388" s="188"/>
      <c r="EJ388" s="189"/>
    </row>
    <row r="389" spans="95:140" x14ac:dyDescent="0.3">
      <c r="CQ389" s="187"/>
      <c r="CR389" s="188"/>
      <c r="CS389" s="188"/>
      <c r="CT389" s="188"/>
      <c r="CU389" s="188"/>
      <c r="CV389" s="188"/>
      <c r="CW389" s="188"/>
      <c r="CX389" s="188"/>
      <c r="CY389" s="188"/>
      <c r="CZ389" s="188"/>
      <c r="DA389" s="188"/>
      <c r="DB389" s="188"/>
      <c r="DC389" s="188"/>
      <c r="DD389" s="188"/>
      <c r="DE389" s="188"/>
      <c r="DF389" s="188"/>
      <c r="DG389" s="188"/>
      <c r="DH389" s="188"/>
      <c r="DI389" s="188"/>
      <c r="DJ389" s="188"/>
      <c r="DK389" s="188"/>
      <c r="DL389" s="188"/>
      <c r="DM389" s="188"/>
      <c r="DN389" s="188"/>
      <c r="DO389" s="188"/>
      <c r="DP389" s="188"/>
      <c r="DQ389" s="188"/>
      <c r="DR389" s="188"/>
      <c r="DS389" s="188"/>
      <c r="DT389" s="188"/>
      <c r="DU389" s="188"/>
      <c r="DV389" s="188"/>
      <c r="DW389" s="188"/>
      <c r="DX389" s="188"/>
      <c r="DY389" s="188"/>
      <c r="DZ389" s="188"/>
      <c r="EA389" s="188"/>
      <c r="EB389" s="188"/>
      <c r="EC389" s="188"/>
      <c r="ED389" s="188"/>
      <c r="EE389" s="189"/>
      <c r="EF389" s="187"/>
      <c r="EG389" s="188"/>
      <c r="EH389" s="188"/>
      <c r="EI389" s="188"/>
      <c r="EJ389" s="189"/>
    </row>
    <row r="390" spans="95:140" x14ac:dyDescent="0.3">
      <c r="CQ390" s="187"/>
      <c r="CR390" s="188"/>
      <c r="CS390" s="188"/>
      <c r="CT390" s="188"/>
      <c r="CU390" s="188"/>
      <c r="CV390" s="188"/>
      <c r="CW390" s="188"/>
      <c r="CX390" s="188"/>
      <c r="CY390" s="188"/>
      <c r="CZ390" s="188"/>
      <c r="DA390" s="188"/>
      <c r="DB390" s="188"/>
      <c r="DC390" s="188"/>
      <c r="DD390" s="188"/>
      <c r="DE390" s="188"/>
      <c r="DF390" s="188"/>
      <c r="DG390" s="188"/>
      <c r="DH390" s="188"/>
      <c r="DI390" s="188"/>
      <c r="DJ390" s="188"/>
      <c r="DK390" s="188"/>
      <c r="DL390" s="188"/>
      <c r="DM390" s="188"/>
      <c r="DN390" s="188"/>
      <c r="DO390" s="188"/>
      <c r="DP390" s="188"/>
      <c r="DQ390" s="188"/>
      <c r="DR390" s="188"/>
      <c r="DS390" s="188"/>
      <c r="DT390" s="188"/>
      <c r="DU390" s="188"/>
      <c r="DV390" s="188"/>
      <c r="DW390" s="188"/>
      <c r="DX390" s="188"/>
      <c r="DY390" s="188"/>
      <c r="DZ390" s="188"/>
      <c r="EA390" s="188"/>
      <c r="EB390" s="188"/>
      <c r="EC390" s="188"/>
      <c r="ED390" s="188"/>
      <c r="EE390" s="189"/>
      <c r="EF390" s="187"/>
      <c r="EG390" s="188"/>
      <c r="EH390" s="188"/>
      <c r="EI390" s="188"/>
      <c r="EJ390" s="189"/>
    </row>
    <row r="391" spans="95:140" x14ac:dyDescent="0.3">
      <c r="CQ391" s="187"/>
      <c r="CR391" s="188"/>
      <c r="CS391" s="188"/>
      <c r="CT391" s="188"/>
      <c r="CU391" s="188"/>
      <c r="CV391" s="188"/>
      <c r="CW391" s="188"/>
      <c r="CX391" s="188"/>
      <c r="CY391" s="188"/>
      <c r="CZ391" s="188"/>
      <c r="DA391" s="188"/>
      <c r="DB391" s="188"/>
      <c r="DC391" s="188"/>
      <c r="DD391" s="188"/>
      <c r="DE391" s="188"/>
      <c r="DF391" s="188"/>
      <c r="DG391" s="188"/>
      <c r="DH391" s="188"/>
      <c r="DI391" s="188"/>
      <c r="DJ391" s="188"/>
      <c r="DK391" s="188"/>
      <c r="DL391" s="188"/>
      <c r="DM391" s="188"/>
      <c r="DN391" s="188"/>
      <c r="DO391" s="188"/>
      <c r="DP391" s="188"/>
      <c r="DQ391" s="188"/>
      <c r="DR391" s="188"/>
      <c r="DS391" s="188"/>
      <c r="DT391" s="188"/>
      <c r="DU391" s="188"/>
      <c r="DV391" s="188"/>
      <c r="DW391" s="188"/>
      <c r="DX391" s="188"/>
      <c r="DY391" s="188"/>
      <c r="DZ391" s="188"/>
      <c r="EA391" s="188"/>
      <c r="EB391" s="188"/>
      <c r="EC391" s="188"/>
      <c r="ED391" s="188"/>
      <c r="EE391" s="189"/>
      <c r="EF391" s="187"/>
      <c r="EG391" s="188"/>
      <c r="EH391" s="188"/>
      <c r="EI391" s="188"/>
      <c r="EJ391" s="189"/>
    </row>
    <row r="392" spans="95:140" x14ac:dyDescent="0.3">
      <c r="CQ392" s="190"/>
      <c r="CR392" s="191"/>
      <c r="CS392" s="191"/>
      <c r="CT392" s="191"/>
      <c r="CU392" s="191"/>
      <c r="CV392" s="191"/>
      <c r="CW392" s="191"/>
      <c r="CX392" s="191"/>
      <c r="CY392" s="191"/>
      <c r="CZ392" s="191"/>
      <c r="DA392" s="191"/>
      <c r="DB392" s="191"/>
      <c r="DC392" s="191"/>
      <c r="DD392" s="191"/>
      <c r="DE392" s="191"/>
      <c r="DF392" s="191"/>
      <c r="DG392" s="191"/>
      <c r="DH392" s="191"/>
      <c r="DI392" s="191"/>
      <c r="DJ392" s="191"/>
      <c r="DK392" s="191"/>
      <c r="DL392" s="191"/>
      <c r="DM392" s="191"/>
      <c r="DN392" s="191"/>
      <c r="DO392" s="191"/>
      <c r="DP392" s="191"/>
      <c r="DQ392" s="191"/>
      <c r="DR392" s="191"/>
      <c r="DS392" s="191"/>
      <c r="DT392" s="191"/>
      <c r="DU392" s="191"/>
      <c r="DV392" s="191"/>
      <c r="DW392" s="191"/>
      <c r="DX392" s="191"/>
      <c r="DY392" s="191"/>
      <c r="DZ392" s="191"/>
      <c r="EA392" s="191"/>
      <c r="EB392" s="191"/>
      <c r="EC392" s="191"/>
      <c r="ED392" s="191"/>
      <c r="EE392" s="192"/>
      <c r="EF392" s="190"/>
      <c r="EG392" s="191"/>
      <c r="EH392" s="191"/>
      <c r="EI392" s="191"/>
      <c r="EJ392" s="192"/>
    </row>
    <row r="393" spans="95:140" x14ac:dyDescent="0.3">
      <c r="CQ393" s="184" t="s">
        <v>63</v>
      </c>
      <c r="CR393" s="185"/>
      <c r="CS393" s="185"/>
      <c r="CT393" s="185"/>
      <c r="CU393" s="185"/>
      <c r="CV393" s="185"/>
      <c r="CW393" s="185"/>
      <c r="CX393" s="185"/>
      <c r="CY393" s="185"/>
      <c r="CZ393" s="185"/>
      <c r="DA393" s="185"/>
      <c r="DB393" s="185"/>
      <c r="DC393" s="185"/>
      <c r="DD393" s="185"/>
      <c r="DE393" s="185"/>
      <c r="DF393" s="185"/>
      <c r="DG393" s="185"/>
      <c r="DH393" s="185"/>
      <c r="DI393" s="185"/>
      <c r="DJ393" s="185"/>
      <c r="DK393" s="185"/>
      <c r="DL393" s="185"/>
      <c r="DM393" s="185"/>
      <c r="DN393" s="185"/>
      <c r="DO393" s="185"/>
      <c r="DP393" s="185"/>
      <c r="DQ393" s="185"/>
      <c r="DR393" s="185"/>
      <c r="DS393" s="185"/>
      <c r="DT393" s="185"/>
      <c r="DU393" s="185"/>
      <c r="DV393" s="185"/>
      <c r="DW393" s="185"/>
      <c r="DX393" s="185"/>
      <c r="DY393" s="185"/>
      <c r="DZ393" s="185"/>
      <c r="EA393" s="185"/>
      <c r="EB393" s="185"/>
      <c r="EC393" s="185"/>
      <c r="ED393" s="185"/>
      <c r="EE393" s="186"/>
      <c r="EF393" s="184">
        <v>1</v>
      </c>
      <c r="EG393" s="185"/>
      <c r="EH393" s="185"/>
      <c r="EI393" s="185"/>
      <c r="EJ393" s="186"/>
    </row>
    <row r="394" spans="95:140" x14ac:dyDescent="0.3">
      <c r="CQ394" s="187"/>
      <c r="CR394" s="188"/>
      <c r="CS394" s="188"/>
      <c r="CT394" s="188"/>
      <c r="CU394" s="188"/>
      <c r="CV394" s="188"/>
      <c r="CW394" s="188"/>
      <c r="CX394" s="188"/>
      <c r="CY394" s="188"/>
      <c r="CZ394" s="188"/>
      <c r="DA394" s="188"/>
      <c r="DB394" s="188"/>
      <c r="DC394" s="188"/>
      <c r="DD394" s="188"/>
      <c r="DE394" s="188"/>
      <c r="DF394" s="188"/>
      <c r="DG394" s="188"/>
      <c r="DH394" s="188"/>
      <c r="DI394" s="188"/>
      <c r="DJ394" s="188"/>
      <c r="DK394" s="188"/>
      <c r="DL394" s="188"/>
      <c r="DM394" s="188"/>
      <c r="DN394" s="188"/>
      <c r="DO394" s="188"/>
      <c r="DP394" s="188"/>
      <c r="DQ394" s="188"/>
      <c r="DR394" s="188"/>
      <c r="DS394" s="188"/>
      <c r="DT394" s="188"/>
      <c r="DU394" s="188"/>
      <c r="DV394" s="188"/>
      <c r="DW394" s="188"/>
      <c r="DX394" s="188"/>
      <c r="DY394" s="188"/>
      <c r="DZ394" s="188"/>
      <c r="EA394" s="188"/>
      <c r="EB394" s="188"/>
      <c r="EC394" s="188"/>
      <c r="ED394" s="188"/>
      <c r="EE394" s="189"/>
      <c r="EF394" s="187"/>
      <c r="EG394" s="188"/>
      <c r="EH394" s="188"/>
      <c r="EI394" s="188"/>
      <c r="EJ394" s="189"/>
    </row>
    <row r="395" spans="95:140" x14ac:dyDescent="0.3">
      <c r="CQ395" s="187"/>
      <c r="CR395" s="188"/>
      <c r="CS395" s="188"/>
      <c r="CT395" s="188"/>
      <c r="CU395" s="188"/>
      <c r="CV395" s="188"/>
      <c r="CW395" s="188"/>
      <c r="CX395" s="188"/>
      <c r="CY395" s="188"/>
      <c r="CZ395" s="188"/>
      <c r="DA395" s="188"/>
      <c r="DB395" s="188"/>
      <c r="DC395" s="188"/>
      <c r="DD395" s="188"/>
      <c r="DE395" s="188"/>
      <c r="DF395" s="188"/>
      <c r="DG395" s="188"/>
      <c r="DH395" s="188"/>
      <c r="DI395" s="188"/>
      <c r="DJ395" s="188"/>
      <c r="DK395" s="188"/>
      <c r="DL395" s="188"/>
      <c r="DM395" s="188"/>
      <c r="DN395" s="188"/>
      <c r="DO395" s="188"/>
      <c r="DP395" s="188"/>
      <c r="DQ395" s="188"/>
      <c r="DR395" s="188"/>
      <c r="DS395" s="188"/>
      <c r="DT395" s="188"/>
      <c r="DU395" s="188"/>
      <c r="DV395" s="188"/>
      <c r="DW395" s="188"/>
      <c r="DX395" s="188"/>
      <c r="DY395" s="188"/>
      <c r="DZ395" s="188"/>
      <c r="EA395" s="188"/>
      <c r="EB395" s="188"/>
      <c r="EC395" s="188"/>
      <c r="ED395" s="188"/>
      <c r="EE395" s="189"/>
      <c r="EF395" s="187"/>
      <c r="EG395" s="188"/>
      <c r="EH395" s="188"/>
      <c r="EI395" s="188"/>
      <c r="EJ395" s="189"/>
    </row>
    <row r="396" spans="95:140" x14ac:dyDescent="0.3">
      <c r="CQ396" s="187"/>
      <c r="CR396" s="188"/>
      <c r="CS396" s="188"/>
      <c r="CT396" s="188"/>
      <c r="CU396" s="188"/>
      <c r="CV396" s="188"/>
      <c r="CW396" s="188"/>
      <c r="CX396" s="188"/>
      <c r="CY396" s="188"/>
      <c r="CZ396" s="188"/>
      <c r="DA396" s="188"/>
      <c r="DB396" s="188"/>
      <c r="DC396" s="188"/>
      <c r="DD396" s="188"/>
      <c r="DE396" s="188"/>
      <c r="DF396" s="188"/>
      <c r="DG396" s="188"/>
      <c r="DH396" s="188"/>
      <c r="DI396" s="188"/>
      <c r="DJ396" s="188"/>
      <c r="DK396" s="188"/>
      <c r="DL396" s="188"/>
      <c r="DM396" s="188"/>
      <c r="DN396" s="188"/>
      <c r="DO396" s="188"/>
      <c r="DP396" s="188"/>
      <c r="DQ396" s="188"/>
      <c r="DR396" s="188"/>
      <c r="DS396" s="188"/>
      <c r="DT396" s="188"/>
      <c r="DU396" s="188"/>
      <c r="DV396" s="188"/>
      <c r="DW396" s="188"/>
      <c r="DX396" s="188"/>
      <c r="DY396" s="188"/>
      <c r="DZ396" s="188"/>
      <c r="EA396" s="188"/>
      <c r="EB396" s="188"/>
      <c r="EC396" s="188"/>
      <c r="ED396" s="188"/>
      <c r="EE396" s="189"/>
      <c r="EF396" s="187"/>
      <c r="EG396" s="188"/>
      <c r="EH396" s="188"/>
      <c r="EI396" s="188"/>
      <c r="EJ396" s="189"/>
    </row>
    <row r="397" spans="95:140" x14ac:dyDescent="0.3">
      <c r="CQ397" s="187"/>
      <c r="CR397" s="188"/>
      <c r="CS397" s="188"/>
      <c r="CT397" s="188"/>
      <c r="CU397" s="188"/>
      <c r="CV397" s="188"/>
      <c r="CW397" s="188"/>
      <c r="CX397" s="188"/>
      <c r="CY397" s="188"/>
      <c r="CZ397" s="188"/>
      <c r="DA397" s="188"/>
      <c r="DB397" s="188"/>
      <c r="DC397" s="188"/>
      <c r="DD397" s="188"/>
      <c r="DE397" s="188"/>
      <c r="DF397" s="188"/>
      <c r="DG397" s="188"/>
      <c r="DH397" s="188"/>
      <c r="DI397" s="188"/>
      <c r="DJ397" s="188"/>
      <c r="DK397" s="188"/>
      <c r="DL397" s="188"/>
      <c r="DM397" s="188"/>
      <c r="DN397" s="188"/>
      <c r="DO397" s="188"/>
      <c r="DP397" s="188"/>
      <c r="DQ397" s="188"/>
      <c r="DR397" s="188"/>
      <c r="DS397" s="188"/>
      <c r="DT397" s="188"/>
      <c r="DU397" s="188"/>
      <c r="DV397" s="188"/>
      <c r="DW397" s="188"/>
      <c r="DX397" s="188"/>
      <c r="DY397" s="188"/>
      <c r="DZ397" s="188"/>
      <c r="EA397" s="188"/>
      <c r="EB397" s="188"/>
      <c r="EC397" s="188"/>
      <c r="ED397" s="188"/>
      <c r="EE397" s="189"/>
      <c r="EF397" s="187"/>
      <c r="EG397" s="188"/>
      <c r="EH397" s="188"/>
      <c r="EI397" s="188"/>
      <c r="EJ397" s="189"/>
    </row>
    <row r="398" spans="95:140" x14ac:dyDescent="0.3">
      <c r="CQ398" s="187"/>
      <c r="CR398" s="188"/>
      <c r="CS398" s="188"/>
      <c r="CT398" s="188"/>
      <c r="CU398" s="188"/>
      <c r="CV398" s="188"/>
      <c r="CW398" s="188"/>
      <c r="CX398" s="188"/>
      <c r="CY398" s="188"/>
      <c r="CZ398" s="188"/>
      <c r="DA398" s="188"/>
      <c r="DB398" s="188"/>
      <c r="DC398" s="188"/>
      <c r="DD398" s="188"/>
      <c r="DE398" s="188"/>
      <c r="DF398" s="188"/>
      <c r="DG398" s="188"/>
      <c r="DH398" s="188"/>
      <c r="DI398" s="188"/>
      <c r="DJ398" s="188"/>
      <c r="DK398" s="188"/>
      <c r="DL398" s="188"/>
      <c r="DM398" s="188"/>
      <c r="DN398" s="188"/>
      <c r="DO398" s="188"/>
      <c r="DP398" s="188"/>
      <c r="DQ398" s="188"/>
      <c r="DR398" s="188"/>
      <c r="DS398" s="188"/>
      <c r="DT398" s="188"/>
      <c r="DU398" s="188"/>
      <c r="DV398" s="188"/>
      <c r="DW398" s="188"/>
      <c r="DX398" s="188"/>
      <c r="DY398" s="188"/>
      <c r="DZ398" s="188"/>
      <c r="EA398" s="188"/>
      <c r="EB398" s="188"/>
      <c r="EC398" s="188"/>
      <c r="ED398" s="188"/>
      <c r="EE398" s="189"/>
      <c r="EF398" s="187"/>
      <c r="EG398" s="188"/>
      <c r="EH398" s="188"/>
      <c r="EI398" s="188"/>
      <c r="EJ398" s="189"/>
    </row>
    <row r="399" spans="95:140" x14ac:dyDescent="0.3">
      <c r="CQ399" s="187"/>
      <c r="CR399" s="188"/>
      <c r="CS399" s="188"/>
      <c r="CT399" s="188"/>
      <c r="CU399" s="188"/>
      <c r="CV399" s="188"/>
      <c r="CW399" s="188"/>
      <c r="CX399" s="188"/>
      <c r="CY399" s="188"/>
      <c r="CZ399" s="188"/>
      <c r="DA399" s="188"/>
      <c r="DB399" s="188"/>
      <c r="DC399" s="188"/>
      <c r="DD399" s="188"/>
      <c r="DE399" s="188"/>
      <c r="DF399" s="188"/>
      <c r="DG399" s="188"/>
      <c r="DH399" s="188"/>
      <c r="DI399" s="188"/>
      <c r="DJ399" s="188"/>
      <c r="DK399" s="188"/>
      <c r="DL399" s="188"/>
      <c r="DM399" s="188"/>
      <c r="DN399" s="188"/>
      <c r="DO399" s="188"/>
      <c r="DP399" s="188"/>
      <c r="DQ399" s="188"/>
      <c r="DR399" s="188"/>
      <c r="DS399" s="188"/>
      <c r="DT399" s="188"/>
      <c r="DU399" s="188"/>
      <c r="DV399" s="188"/>
      <c r="DW399" s="188"/>
      <c r="DX399" s="188"/>
      <c r="DY399" s="188"/>
      <c r="DZ399" s="188"/>
      <c r="EA399" s="188"/>
      <c r="EB399" s="188"/>
      <c r="EC399" s="188"/>
      <c r="ED399" s="188"/>
      <c r="EE399" s="189"/>
      <c r="EF399" s="187"/>
      <c r="EG399" s="188"/>
      <c r="EH399" s="188"/>
      <c r="EI399" s="188"/>
      <c r="EJ399" s="189"/>
    </row>
    <row r="400" spans="95:140" x14ac:dyDescent="0.3">
      <c r="CQ400" s="187"/>
      <c r="CR400" s="188"/>
      <c r="CS400" s="188"/>
      <c r="CT400" s="188"/>
      <c r="CU400" s="188"/>
      <c r="CV400" s="188"/>
      <c r="CW400" s="188"/>
      <c r="CX400" s="188"/>
      <c r="CY400" s="188"/>
      <c r="CZ400" s="188"/>
      <c r="DA400" s="188"/>
      <c r="DB400" s="188"/>
      <c r="DC400" s="188"/>
      <c r="DD400" s="188"/>
      <c r="DE400" s="188"/>
      <c r="DF400" s="188"/>
      <c r="DG400" s="188"/>
      <c r="DH400" s="188"/>
      <c r="DI400" s="188"/>
      <c r="DJ400" s="188"/>
      <c r="DK400" s="188"/>
      <c r="DL400" s="188"/>
      <c r="DM400" s="188"/>
      <c r="DN400" s="188"/>
      <c r="DO400" s="188"/>
      <c r="DP400" s="188"/>
      <c r="DQ400" s="188"/>
      <c r="DR400" s="188"/>
      <c r="DS400" s="188"/>
      <c r="DT400" s="188"/>
      <c r="DU400" s="188"/>
      <c r="DV400" s="188"/>
      <c r="DW400" s="188"/>
      <c r="DX400" s="188"/>
      <c r="DY400" s="188"/>
      <c r="DZ400" s="188"/>
      <c r="EA400" s="188"/>
      <c r="EB400" s="188"/>
      <c r="EC400" s="188"/>
      <c r="ED400" s="188"/>
      <c r="EE400" s="189"/>
      <c r="EF400" s="187"/>
      <c r="EG400" s="188"/>
      <c r="EH400" s="188"/>
      <c r="EI400" s="188"/>
      <c r="EJ400" s="189"/>
    </row>
    <row r="401" spans="95:140" x14ac:dyDescent="0.3">
      <c r="CQ401" s="187"/>
      <c r="CR401" s="188"/>
      <c r="CS401" s="188"/>
      <c r="CT401" s="188"/>
      <c r="CU401" s="188"/>
      <c r="CV401" s="188"/>
      <c r="CW401" s="188"/>
      <c r="CX401" s="188"/>
      <c r="CY401" s="188"/>
      <c r="CZ401" s="188"/>
      <c r="DA401" s="188"/>
      <c r="DB401" s="188"/>
      <c r="DC401" s="188"/>
      <c r="DD401" s="188"/>
      <c r="DE401" s="188"/>
      <c r="DF401" s="188"/>
      <c r="DG401" s="188"/>
      <c r="DH401" s="188"/>
      <c r="DI401" s="188"/>
      <c r="DJ401" s="188"/>
      <c r="DK401" s="188"/>
      <c r="DL401" s="188"/>
      <c r="DM401" s="188"/>
      <c r="DN401" s="188"/>
      <c r="DO401" s="188"/>
      <c r="DP401" s="188"/>
      <c r="DQ401" s="188"/>
      <c r="DR401" s="188"/>
      <c r="DS401" s="188"/>
      <c r="DT401" s="188"/>
      <c r="DU401" s="188"/>
      <c r="DV401" s="188"/>
      <c r="DW401" s="188"/>
      <c r="DX401" s="188"/>
      <c r="DY401" s="188"/>
      <c r="DZ401" s="188"/>
      <c r="EA401" s="188"/>
      <c r="EB401" s="188"/>
      <c r="EC401" s="188"/>
      <c r="ED401" s="188"/>
      <c r="EE401" s="189"/>
      <c r="EF401" s="187"/>
      <c r="EG401" s="188"/>
      <c r="EH401" s="188"/>
      <c r="EI401" s="188"/>
      <c r="EJ401" s="189"/>
    </row>
    <row r="402" spans="95:140" x14ac:dyDescent="0.3">
      <c r="CQ402" s="190"/>
      <c r="CR402" s="191"/>
      <c r="CS402" s="191"/>
      <c r="CT402" s="191"/>
      <c r="CU402" s="191"/>
      <c r="CV402" s="191"/>
      <c r="CW402" s="191"/>
      <c r="CX402" s="191"/>
      <c r="CY402" s="191"/>
      <c r="CZ402" s="191"/>
      <c r="DA402" s="191"/>
      <c r="DB402" s="191"/>
      <c r="DC402" s="191"/>
      <c r="DD402" s="191"/>
      <c r="DE402" s="191"/>
      <c r="DF402" s="191"/>
      <c r="DG402" s="191"/>
      <c r="DH402" s="191"/>
      <c r="DI402" s="191"/>
      <c r="DJ402" s="191"/>
      <c r="DK402" s="191"/>
      <c r="DL402" s="191"/>
      <c r="DM402" s="191"/>
      <c r="DN402" s="191"/>
      <c r="DO402" s="191"/>
      <c r="DP402" s="191"/>
      <c r="DQ402" s="191"/>
      <c r="DR402" s="191"/>
      <c r="DS402" s="191"/>
      <c r="DT402" s="191"/>
      <c r="DU402" s="191"/>
      <c r="DV402" s="191"/>
      <c r="DW402" s="191"/>
      <c r="DX402" s="191"/>
      <c r="DY402" s="191"/>
      <c r="DZ402" s="191"/>
      <c r="EA402" s="191"/>
      <c r="EB402" s="191"/>
      <c r="EC402" s="191"/>
      <c r="ED402" s="191"/>
      <c r="EE402" s="192"/>
      <c r="EF402" s="190"/>
      <c r="EG402" s="191"/>
      <c r="EH402" s="191"/>
      <c r="EI402" s="191"/>
      <c r="EJ402" s="192"/>
    </row>
    <row r="403" spans="95:140" x14ac:dyDescent="0.3">
      <c r="CQ403" s="184" t="s">
        <v>152</v>
      </c>
      <c r="CR403" s="185"/>
      <c r="CS403" s="185"/>
      <c r="CT403" s="185"/>
      <c r="CU403" s="185"/>
      <c r="CV403" s="185"/>
      <c r="CW403" s="185"/>
      <c r="CX403" s="185"/>
      <c r="CY403" s="185"/>
      <c r="CZ403" s="185"/>
      <c r="DA403" s="185"/>
      <c r="DB403" s="185"/>
      <c r="DC403" s="185"/>
      <c r="DD403" s="185"/>
      <c r="DE403" s="185"/>
      <c r="DF403" s="185"/>
      <c r="DG403" s="185"/>
      <c r="DH403" s="185"/>
      <c r="DI403" s="185"/>
      <c r="DJ403" s="185"/>
      <c r="DK403" s="185"/>
      <c r="DL403" s="185"/>
      <c r="DM403" s="185"/>
      <c r="DN403" s="185"/>
      <c r="DO403" s="185"/>
      <c r="DP403" s="185"/>
      <c r="DQ403" s="185"/>
      <c r="DR403" s="185"/>
      <c r="DS403" s="185"/>
      <c r="DT403" s="185"/>
      <c r="DU403" s="185"/>
      <c r="DV403" s="185"/>
      <c r="DW403" s="185"/>
      <c r="DX403" s="185"/>
      <c r="DY403" s="185"/>
      <c r="DZ403" s="185"/>
      <c r="EA403" s="185"/>
      <c r="EB403" s="185"/>
      <c r="EC403" s="185"/>
      <c r="ED403" s="185"/>
      <c r="EE403" s="186"/>
      <c r="EF403" s="184">
        <v>6</v>
      </c>
      <c r="EG403" s="185"/>
      <c r="EH403" s="185"/>
      <c r="EI403" s="185"/>
      <c r="EJ403" s="186"/>
    </row>
    <row r="404" spans="95:140" x14ac:dyDescent="0.3">
      <c r="CQ404" s="187"/>
      <c r="CR404" s="188"/>
      <c r="CS404" s="188"/>
      <c r="CT404" s="188"/>
      <c r="CU404" s="188"/>
      <c r="CV404" s="188"/>
      <c r="CW404" s="188"/>
      <c r="CX404" s="188"/>
      <c r="CY404" s="188"/>
      <c r="CZ404" s="188"/>
      <c r="DA404" s="188"/>
      <c r="DB404" s="188"/>
      <c r="DC404" s="188"/>
      <c r="DD404" s="188"/>
      <c r="DE404" s="188"/>
      <c r="DF404" s="188"/>
      <c r="DG404" s="188"/>
      <c r="DH404" s="188"/>
      <c r="DI404" s="188"/>
      <c r="DJ404" s="188"/>
      <c r="DK404" s="188"/>
      <c r="DL404" s="188"/>
      <c r="DM404" s="188"/>
      <c r="DN404" s="188"/>
      <c r="DO404" s="188"/>
      <c r="DP404" s="188"/>
      <c r="DQ404" s="188"/>
      <c r="DR404" s="188"/>
      <c r="DS404" s="188"/>
      <c r="DT404" s="188"/>
      <c r="DU404" s="188"/>
      <c r="DV404" s="188"/>
      <c r="DW404" s="188"/>
      <c r="DX404" s="188"/>
      <c r="DY404" s="188"/>
      <c r="DZ404" s="188"/>
      <c r="EA404" s="188"/>
      <c r="EB404" s="188"/>
      <c r="EC404" s="188"/>
      <c r="ED404" s="188"/>
      <c r="EE404" s="189"/>
      <c r="EF404" s="187"/>
      <c r="EG404" s="188"/>
      <c r="EH404" s="188"/>
      <c r="EI404" s="188"/>
      <c r="EJ404" s="189"/>
    </row>
    <row r="405" spans="95:140" x14ac:dyDescent="0.3">
      <c r="CQ405" s="187"/>
      <c r="CR405" s="188"/>
      <c r="CS405" s="188"/>
      <c r="CT405" s="188"/>
      <c r="CU405" s="188"/>
      <c r="CV405" s="188"/>
      <c r="CW405" s="188"/>
      <c r="CX405" s="188"/>
      <c r="CY405" s="188"/>
      <c r="CZ405" s="188"/>
      <c r="DA405" s="188"/>
      <c r="DB405" s="188"/>
      <c r="DC405" s="188"/>
      <c r="DD405" s="188"/>
      <c r="DE405" s="188"/>
      <c r="DF405" s="188"/>
      <c r="DG405" s="188"/>
      <c r="DH405" s="188"/>
      <c r="DI405" s="188"/>
      <c r="DJ405" s="188"/>
      <c r="DK405" s="188"/>
      <c r="DL405" s="188"/>
      <c r="DM405" s="188"/>
      <c r="DN405" s="188"/>
      <c r="DO405" s="188"/>
      <c r="DP405" s="188"/>
      <c r="DQ405" s="188"/>
      <c r="DR405" s="188"/>
      <c r="DS405" s="188"/>
      <c r="DT405" s="188"/>
      <c r="DU405" s="188"/>
      <c r="DV405" s="188"/>
      <c r="DW405" s="188"/>
      <c r="DX405" s="188"/>
      <c r="DY405" s="188"/>
      <c r="DZ405" s="188"/>
      <c r="EA405" s="188"/>
      <c r="EB405" s="188"/>
      <c r="EC405" s="188"/>
      <c r="ED405" s="188"/>
      <c r="EE405" s="189"/>
      <c r="EF405" s="187"/>
      <c r="EG405" s="188"/>
      <c r="EH405" s="188"/>
      <c r="EI405" s="188"/>
      <c r="EJ405" s="189"/>
    </row>
    <row r="406" spans="95:140" x14ac:dyDescent="0.3">
      <c r="CQ406" s="187"/>
      <c r="CR406" s="188"/>
      <c r="CS406" s="188"/>
      <c r="CT406" s="188"/>
      <c r="CU406" s="188"/>
      <c r="CV406" s="188"/>
      <c r="CW406" s="188"/>
      <c r="CX406" s="188"/>
      <c r="CY406" s="188"/>
      <c r="CZ406" s="188"/>
      <c r="DA406" s="188"/>
      <c r="DB406" s="188"/>
      <c r="DC406" s="188"/>
      <c r="DD406" s="188"/>
      <c r="DE406" s="188"/>
      <c r="DF406" s="188"/>
      <c r="DG406" s="188"/>
      <c r="DH406" s="188"/>
      <c r="DI406" s="188"/>
      <c r="DJ406" s="188"/>
      <c r="DK406" s="188"/>
      <c r="DL406" s="188"/>
      <c r="DM406" s="188"/>
      <c r="DN406" s="188"/>
      <c r="DO406" s="188"/>
      <c r="DP406" s="188"/>
      <c r="DQ406" s="188"/>
      <c r="DR406" s="188"/>
      <c r="DS406" s="188"/>
      <c r="DT406" s="188"/>
      <c r="DU406" s="188"/>
      <c r="DV406" s="188"/>
      <c r="DW406" s="188"/>
      <c r="DX406" s="188"/>
      <c r="DY406" s="188"/>
      <c r="DZ406" s="188"/>
      <c r="EA406" s="188"/>
      <c r="EB406" s="188"/>
      <c r="EC406" s="188"/>
      <c r="ED406" s="188"/>
      <c r="EE406" s="189"/>
      <c r="EF406" s="187"/>
      <c r="EG406" s="188"/>
      <c r="EH406" s="188"/>
      <c r="EI406" s="188"/>
      <c r="EJ406" s="189"/>
    </row>
    <row r="407" spans="95:140" x14ac:dyDescent="0.3">
      <c r="CQ407" s="187"/>
      <c r="CR407" s="188"/>
      <c r="CS407" s="188"/>
      <c r="CT407" s="188"/>
      <c r="CU407" s="188"/>
      <c r="CV407" s="188"/>
      <c r="CW407" s="188"/>
      <c r="CX407" s="188"/>
      <c r="CY407" s="188"/>
      <c r="CZ407" s="188"/>
      <c r="DA407" s="188"/>
      <c r="DB407" s="188"/>
      <c r="DC407" s="188"/>
      <c r="DD407" s="188"/>
      <c r="DE407" s="188"/>
      <c r="DF407" s="188"/>
      <c r="DG407" s="188"/>
      <c r="DH407" s="188"/>
      <c r="DI407" s="188"/>
      <c r="DJ407" s="188"/>
      <c r="DK407" s="188"/>
      <c r="DL407" s="188"/>
      <c r="DM407" s="188"/>
      <c r="DN407" s="188"/>
      <c r="DO407" s="188"/>
      <c r="DP407" s="188"/>
      <c r="DQ407" s="188"/>
      <c r="DR407" s="188"/>
      <c r="DS407" s="188"/>
      <c r="DT407" s="188"/>
      <c r="DU407" s="188"/>
      <c r="DV407" s="188"/>
      <c r="DW407" s="188"/>
      <c r="DX407" s="188"/>
      <c r="DY407" s="188"/>
      <c r="DZ407" s="188"/>
      <c r="EA407" s="188"/>
      <c r="EB407" s="188"/>
      <c r="EC407" s="188"/>
      <c r="ED407" s="188"/>
      <c r="EE407" s="189"/>
      <c r="EF407" s="187"/>
      <c r="EG407" s="188"/>
      <c r="EH407" s="188"/>
      <c r="EI407" s="188"/>
      <c r="EJ407" s="189"/>
    </row>
    <row r="408" spans="95:140" x14ac:dyDescent="0.3">
      <c r="CQ408" s="187"/>
      <c r="CR408" s="188"/>
      <c r="CS408" s="188"/>
      <c r="CT408" s="188"/>
      <c r="CU408" s="188"/>
      <c r="CV408" s="188"/>
      <c r="CW408" s="188"/>
      <c r="CX408" s="188"/>
      <c r="CY408" s="188"/>
      <c r="CZ408" s="188"/>
      <c r="DA408" s="188"/>
      <c r="DB408" s="188"/>
      <c r="DC408" s="188"/>
      <c r="DD408" s="188"/>
      <c r="DE408" s="188"/>
      <c r="DF408" s="188"/>
      <c r="DG408" s="188"/>
      <c r="DH408" s="188"/>
      <c r="DI408" s="188"/>
      <c r="DJ408" s="188"/>
      <c r="DK408" s="188"/>
      <c r="DL408" s="188"/>
      <c r="DM408" s="188"/>
      <c r="DN408" s="188"/>
      <c r="DO408" s="188"/>
      <c r="DP408" s="188"/>
      <c r="DQ408" s="188"/>
      <c r="DR408" s="188"/>
      <c r="DS408" s="188"/>
      <c r="DT408" s="188"/>
      <c r="DU408" s="188"/>
      <c r="DV408" s="188"/>
      <c r="DW408" s="188"/>
      <c r="DX408" s="188"/>
      <c r="DY408" s="188"/>
      <c r="DZ408" s="188"/>
      <c r="EA408" s="188"/>
      <c r="EB408" s="188"/>
      <c r="EC408" s="188"/>
      <c r="ED408" s="188"/>
      <c r="EE408" s="189"/>
      <c r="EF408" s="187"/>
      <c r="EG408" s="188"/>
      <c r="EH408" s="188"/>
      <c r="EI408" s="188"/>
      <c r="EJ408" s="189"/>
    </row>
    <row r="409" spans="95:140" x14ac:dyDescent="0.3">
      <c r="CQ409" s="187"/>
      <c r="CR409" s="188"/>
      <c r="CS409" s="188"/>
      <c r="CT409" s="188"/>
      <c r="CU409" s="188"/>
      <c r="CV409" s="188"/>
      <c r="CW409" s="188"/>
      <c r="CX409" s="188"/>
      <c r="CY409" s="188"/>
      <c r="CZ409" s="188"/>
      <c r="DA409" s="188"/>
      <c r="DB409" s="188"/>
      <c r="DC409" s="188"/>
      <c r="DD409" s="188"/>
      <c r="DE409" s="188"/>
      <c r="DF409" s="188"/>
      <c r="DG409" s="188"/>
      <c r="DH409" s="188"/>
      <c r="DI409" s="188"/>
      <c r="DJ409" s="188"/>
      <c r="DK409" s="188"/>
      <c r="DL409" s="188"/>
      <c r="DM409" s="188"/>
      <c r="DN409" s="188"/>
      <c r="DO409" s="188"/>
      <c r="DP409" s="188"/>
      <c r="DQ409" s="188"/>
      <c r="DR409" s="188"/>
      <c r="DS409" s="188"/>
      <c r="DT409" s="188"/>
      <c r="DU409" s="188"/>
      <c r="DV409" s="188"/>
      <c r="DW409" s="188"/>
      <c r="DX409" s="188"/>
      <c r="DY409" s="188"/>
      <c r="DZ409" s="188"/>
      <c r="EA409" s="188"/>
      <c r="EB409" s="188"/>
      <c r="EC409" s="188"/>
      <c r="ED409" s="188"/>
      <c r="EE409" s="189"/>
      <c r="EF409" s="187"/>
      <c r="EG409" s="188"/>
      <c r="EH409" s="188"/>
      <c r="EI409" s="188"/>
      <c r="EJ409" s="189"/>
    </row>
    <row r="410" spans="95:140" x14ac:dyDescent="0.3">
      <c r="CQ410" s="187"/>
      <c r="CR410" s="188"/>
      <c r="CS410" s="188"/>
      <c r="CT410" s="188"/>
      <c r="CU410" s="188"/>
      <c r="CV410" s="188"/>
      <c r="CW410" s="188"/>
      <c r="CX410" s="188"/>
      <c r="CY410" s="188"/>
      <c r="CZ410" s="188"/>
      <c r="DA410" s="188"/>
      <c r="DB410" s="188"/>
      <c r="DC410" s="188"/>
      <c r="DD410" s="188"/>
      <c r="DE410" s="188"/>
      <c r="DF410" s="188"/>
      <c r="DG410" s="188"/>
      <c r="DH410" s="188"/>
      <c r="DI410" s="188"/>
      <c r="DJ410" s="188"/>
      <c r="DK410" s="188"/>
      <c r="DL410" s="188"/>
      <c r="DM410" s="188"/>
      <c r="DN410" s="188"/>
      <c r="DO410" s="188"/>
      <c r="DP410" s="188"/>
      <c r="DQ410" s="188"/>
      <c r="DR410" s="188"/>
      <c r="DS410" s="188"/>
      <c r="DT410" s="188"/>
      <c r="DU410" s="188"/>
      <c r="DV410" s="188"/>
      <c r="DW410" s="188"/>
      <c r="DX410" s="188"/>
      <c r="DY410" s="188"/>
      <c r="DZ410" s="188"/>
      <c r="EA410" s="188"/>
      <c r="EB410" s="188"/>
      <c r="EC410" s="188"/>
      <c r="ED410" s="188"/>
      <c r="EE410" s="189"/>
      <c r="EF410" s="187"/>
      <c r="EG410" s="188"/>
      <c r="EH410" s="188"/>
      <c r="EI410" s="188"/>
      <c r="EJ410" s="189"/>
    </row>
    <row r="411" spans="95:140" x14ac:dyDescent="0.3">
      <c r="CQ411" s="187"/>
      <c r="CR411" s="188"/>
      <c r="CS411" s="188"/>
      <c r="CT411" s="188"/>
      <c r="CU411" s="188"/>
      <c r="CV411" s="188"/>
      <c r="CW411" s="188"/>
      <c r="CX411" s="188"/>
      <c r="CY411" s="188"/>
      <c r="CZ411" s="188"/>
      <c r="DA411" s="188"/>
      <c r="DB411" s="188"/>
      <c r="DC411" s="188"/>
      <c r="DD411" s="188"/>
      <c r="DE411" s="188"/>
      <c r="DF411" s="188"/>
      <c r="DG411" s="188"/>
      <c r="DH411" s="188"/>
      <c r="DI411" s="188"/>
      <c r="DJ411" s="188"/>
      <c r="DK411" s="188"/>
      <c r="DL411" s="188"/>
      <c r="DM411" s="188"/>
      <c r="DN411" s="188"/>
      <c r="DO411" s="188"/>
      <c r="DP411" s="188"/>
      <c r="DQ411" s="188"/>
      <c r="DR411" s="188"/>
      <c r="DS411" s="188"/>
      <c r="DT411" s="188"/>
      <c r="DU411" s="188"/>
      <c r="DV411" s="188"/>
      <c r="DW411" s="188"/>
      <c r="DX411" s="188"/>
      <c r="DY411" s="188"/>
      <c r="DZ411" s="188"/>
      <c r="EA411" s="188"/>
      <c r="EB411" s="188"/>
      <c r="EC411" s="188"/>
      <c r="ED411" s="188"/>
      <c r="EE411" s="189"/>
      <c r="EF411" s="187"/>
      <c r="EG411" s="188"/>
      <c r="EH411" s="188"/>
      <c r="EI411" s="188"/>
      <c r="EJ411" s="189"/>
    </row>
    <row r="412" spans="95:140" x14ac:dyDescent="0.3">
      <c r="CQ412" s="190"/>
      <c r="CR412" s="191"/>
      <c r="CS412" s="191"/>
      <c r="CT412" s="191"/>
      <c r="CU412" s="191"/>
      <c r="CV412" s="191"/>
      <c r="CW412" s="191"/>
      <c r="CX412" s="191"/>
      <c r="CY412" s="191"/>
      <c r="CZ412" s="191"/>
      <c r="DA412" s="191"/>
      <c r="DB412" s="191"/>
      <c r="DC412" s="191"/>
      <c r="DD412" s="191"/>
      <c r="DE412" s="191"/>
      <c r="DF412" s="191"/>
      <c r="DG412" s="191"/>
      <c r="DH412" s="191"/>
      <c r="DI412" s="191"/>
      <c r="DJ412" s="191"/>
      <c r="DK412" s="191"/>
      <c r="DL412" s="191"/>
      <c r="DM412" s="191"/>
      <c r="DN412" s="191"/>
      <c r="DO412" s="191"/>
      <c r="DP412" s="191"/>
      <c r="DQ412" s="191"/>
      <c r="DR412" s="191"/>
      <c r="DS412" s="191"/>
      <c r="DT412" s="191"/>
      <c r="DU412" s="191"/>
      <c r="DV412" s="191"/>
      <c r="DW412" s="191"/>
      <c r="DX412" s="191"/>
      <c r="DY412" s="191"/>
      <c r="DZ412" s="191"/>
      <c r="EA412" s="191"/>
      <c r="EB412" s="191"/>
      <c r="EC412" s="191"/>
      <c r="ED412" s="191"/>
      <c r="EE412" s="192"/>
      <c r="EF412" s="190"/>
      <c r="EG412" s="191"/>
      <c r="EH412" s="191"/>
      <c r="EI412" s="191"/>
      <c r="EJ412" s="192"/>
    </row>
  </sheetData>
  <mergeCells count="173">
    <mergeCell ref="JQ252:LE261"/>
    <mergeCell ref="LF252:LJ261"/>
    <mergeCell ref="JQ262:LE271"/>
    <mergeCell ref="LF262:LJ271"/>
    <mergeCell ref="GA245:HX251"/>
    <mergeCell ref="HY245:IJ251"/>
    <mergeCell ref="JQ200:LE209"/>
    <mergeCell ref="LF200:LJ209"/>
    <mergeCell ref="JQ210:LE219"/>
    <mergeCell ref="LF210:LJ219"/>
    <mergeCell ref="JQ220:LE229"/>
    <mergeCell ref="LF220:LJ229"/>
    <mergeCell ref="JQ231:LE240"/>
    <mergeCell ref="LF231:LJ240"/>
    <mergeCell ref="JQ242:LE251"/>
    <mergeCell ref="LF242:LJ251"/>
    <mergeCell ref="IW193:JB202"/>
    <mergeCell ref="FL191:GY200"/>
    <mergeCell ref="JQ117:LE126"/>
    <mergeCell ref="LF117:LJ126"/>
    <mergeCell ref="CQ310:EE319"/>
    <mergeCell ref="EF310:EJ319"/>
    <mergeCell ref="CQ321:EE330"/>
    <mergeCell ref="EF321:EJ330"/>
    <mergeCell ref="CQ332:EE341"/>
    <mergeCell ref="EF332:EJ341"/>
    <mergeCell ref="CQ343:EE352"/>
    <mergeCell ref="EF343:EJ352"/>
    <mergeCell ref="JQ128:LE137"/>
    <mergeCell ref="LF128:LJ137"/>
    <mergeCell ref="JQ139:LE148"/>
    <mergeCell ref="LF139:LJ148"/>
    <mergeCell ref="HI139:IV148"/>
    <mergeCell ref="IW139:JB148"/>
    <mergeCell ref="FB129:FF138"/>
    <mergeCell ref="FC147:FG156"/>
    <mergeCell ref="BQ161:DD170"/>
    <mergeCell ref="DE161:DI170"/>
    <mergeCell ref="DO117:FA126"/>
    <mergeCell ref="IW117:JB126"/>
    <mergeCell ref="HI127:IV136"/>
    <mergeCell ref="IW127:JB136"/>
    <mergeCell ref="CQ353:EE362"/>
    <mergeCell ref="EF353:EJ362"/>
    <mergeCell ref="CQ363:EE372"/>
    <mergeCell ref="EF363:EJ372"/>
    <mergeCell ref="CQ373:EE382"/>
    <mergeCell ref="EF373:EJ382"/>
    <mergeCell ref="CQ383:EE392"/>
    <mergeCell ref="EF383:EJ392"/>
    <mergeCell ref="CQ393:EE402"/>
    <mergeCell ref="EF393:EJ402"/>
    <mergeCell ref="CQ403:EE412"/>
    <mergeCell ref="EF403:EJ412"/>
    <mergeCell ref="JQ150:LE159"/>
    <mergeCell ref="LF150:LJ159"/>
    <mergeCell ref="JQ160:LE169"/>
    <mergeCell ref="LF160:LJ169"/>
    <mergeCell ref="JQ170:LE179"/>
    <mergeCell ref="LF170:LJ179"/>
    <mergeCell ref="JQ180:LE189"/>
    <mergeCell ref="LF180:LJ189"/>
    <mergeCell ref="JQ190:LE199"/>
    <mergeCell ref="LF190:LJ199"/>
    <mergeCell ref="JQ273:LE282"/>
    <mergeCell ref="LF273:LJ282"/>
    <mergeCell ref="JQ284:LE293"/>
    <mergeCell ref="LF284:LJ293"/>
    <mergeCell ref="HY266:IJ272"/>
    <mergeCell ref="GA273:HX279"/>
    <mergeCell ref="HI284:IJ288"/>
    <mergeCell ref="FE284:GF288"/>
    <mergeCell ref="GG284:HH288"/>
    <mergeCell ref="HY273:IJ279"/>
    <mergeCell ref="IW149:JB158"/>
    <mergeCell ref="DO147:FB156"/>
    <mergeCell ref="Q231:BE240"/>
    <mergeCell ref="BF231:BJ240"/>
    <mergeCell ref="Q201:BE210"/>
    <mergeCell ref="BF201:BJ210"/>
    <mergeCell ref="GA259:HX265"/>
    <mergeCell ref="GA266:HX272"/>
    <mergeCell ref="HY259:IJ265"/>
    <mergeCell ref="Q221:BE230"/>
    <mergeCell ref="GA252:HX258"/>
    <mergeCell ref="HY252:IJ258"/>
    <mergeCell ref="BF221:BJ230"/>
    <mergeCell ref="Q211:BE220"/>
    <mergeCell ref="BF211:BJ220"/>
    <mergeCell ref="FL201:GY210"/>
    <mergeCell ref="HI193:IV202"/>
    <mergeCell ref="GZ201:HD210"/>
    <mergeCell ref="H277:AI281"/>
    <mergeCell ref="AJ277:BK281"/>
    <mergeCell ref="BL277:CM281"/>
    <mergeCell ref="H282:AI286"/>
    <mergeCell ref="AJ282:BK286"/>
    <mergeCell ref="BL282:CM286"/>
    <mergeCell ref="H287:AI291"/>
    <mergeCell ref="AJ287:BK291"/>
    <mergeCell ref="BL287:CM291"/>
    <mergeCell ref="E5:LP8"/>
    <mergeCell ref="E9:LP11"/>
    <mergeCell ref="E12:LP15"/>
    <mergeCell ref="DR18:FF26"/>
    <mergeCell ref="FG18:FJ26"/>
    <mergeCell ref="Q52:BE61"/>
    <mergeCell ref="BF52:BJ61"/>
    <mergeCell ref="HC37:IQ46"/>
    <mergeCell ref="IR37:IW46"/>
    <mergeCell ref="DR36:FF44"/>
    <mergeCell ref="FG36:FJ44"/>
    <mergeCell ref="HC48:IQ56"/>
    <mergeCell ref="IR48:IW56"/>
    <mergeCell ref="Q161:BE170"/>
    <mergeCell ref="BF161:BJ170"/>
    <mergeCell ref="BF141:BJ150"/>
    <mergeCell ref="Q171:BE180"/>
    <mergeCell ref="DE147:DI156"/>
    <mergeCell ref="Q141:BE150"/>
    <mergeCell ref="FL181:GY190"/>
    <mergeCell ref="FL161:GY170"/>
    <mergeCell ref="BF171:BJ180"/>
    <mergeCell ref="DE173:DI182"/>
    <mergeCell ref="FC161:FG170"/>
    <mergeCell ref="DO171:FB180"/>
    <mergeCell ref="BQ147:DD156"/>
    <mergeCell ref="FL147:GY156"/>
    <mergeCell ref="BQ173:DD182"/>
    <mergeCell ref="FL171:GY180"/>
    <mergeCell ref="DO161:FB170"/>
    <mergeCell ref="FC171:FG180"/>
    <mergeCell ref="Q63:BE72"/>
    <mergeCell ref="BF63:BJ72"/>
    <mergeCell ref="FL82:GY91"/>
    <mergeCell ref="GZ82:HD91"/>
    <mergeCell ref="BS85:DF94"/>
    <mergeCell ref="DG85:DK94"/>
    <mergeCell ref="FB117:FF126"/>
    <mergeCell ref="Q74:BE83"/>
    <mergeCell ref="GZ92:HD101"/>
    <mergeCell ref="BF74:BJ83"/>
    <mergeCell ref="FL92:GY101"/>
    <mergeCell ref="Q85:BE93"/>
    <mergeCell ref="BF85:BJ93"/>
    <mergeCell ref="BS97:DF106"/>
    <mergeCell ref="DG97:DK106"/>
    <mergeCell ref="GZ102:HD111"/>
    <mergeCell ref="FL102:GY111"/>
    <mergeCell ref="HI117:IV126"/>
    <mergeCell ref="Q129:BE138"/>
    <mergeCell ref="BF129:BJ138"/>
    <mergeCell ref="Q117:BE126"/>
    <mergeCell ref="BF117:BJ126"/>
    <mergeCell ref="IW161:JB170"/>
    <mergeCell ref="HI171:IV180"/>
    <mergeCell ref="IW171:JB180"/>
    <mergeCell ref="HI183:IV192"/>
    <mergeCell ref="IW183:JB192"/>
    <mergeCell ref="GZ171:HD180"/>
    <mergeCell ref="GZ147:HD156"/>
    <mergeCell ref="GZ161:HD170"/>
    <mergeCell ref="GZ181:HD190"/>
    <mergeCell ref="GZ191:HD200"/>
    <mergeCell ref="HI149:IV158"/>
    <mergeCell ref="DO129:FA138"/>
    <mergeCell ref="Q191:BE200"/>
    <mergeCell ref="BF191:BJ200"/>
    <mergeCell ref="Q181:BE190"/>
    <mergeCell ref="BF181:BJ190"/>
    <mergeCell ref="Q151:BE160"/>
    <mergeCell ref="BF151:BJ160"/>
    <mergeCell ref="HI161:IV170"/>
  </mergeCells>
  <printOptions horizontalCentered="1" verticalCentered="1"/>
  <pageMargins left="0" right="0" top="0" bottom="0" header="0.31496062992125984" footer="0.31496062992125984"/>
  <pageSetup paperSize="8" scale="5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AB66-0162-47CB-87B6-A77A1D33D9C2}">
  <sheetPr codeName="Sheet4">
    <pageSetUpPr fitToPage="1"/>
  </sheetPr>
  <dimension ref="C1:NJ311"/>
  <sheetViews>
    <sheetView showGridLines="0" view="pageBreakPreview" topLeftCell="A182" zoomScale="130" zoomScaleNormal="70" zoomScaleSheetLayoutView="130" workbookViewId="0">
      <selection activeCell="G273" sqref="E273:CL288"/>
    </sheetView>
  </sheetViews>
  <sheetFormatPr defaultColWidth="9.109375" defaultRowHeight="17.399999999999999" x14ac:dyDescent="0.3"/>
  <cols>
    <col min="1" max="1" width="1.88671875" style="1" customWidth="1"/>
    <col min="2" max="2" width="1.33203125" style="1" customWidth="1"/>
    <col min="3" max="4" width="0.5546875" style="1" customWidth="1"/>
    <col min="5" max="82" width="0.88671875" style="1" customWidth="1"/>
    <col min="83" max="83" width="1" style="1" customWidth="1"/>
    <col min="84" max="85" width="0.88671875" style="1" hidden="1" customWidth="1"/>
    <col min="86" max="229" width="0.88671875" style="1" customWidth="1"/>
    <col min="230" max="230" width="0.6640625" style="1" customWidth="1"/>
    <col min="231" max="270" width="0.88671875" style="1" customWidth="1"/>
    <col min="271" max="271" width="0.6640625" style="1" customWidth="1"/>
    <col min="272" max="348" width="0.88671875" style="1" customWidth="1"/>
    <col min="349" max="350" width="0.5546875" style="1" customWidth="1"/>
    <col min="351" max="351" width="0.88671875" style="1" customWidth="1"/>
    <col min="352" max="352" width="0.6640625" style="1" customWidth="1"/>
    <col min="353" max="355" width="0.88671875" style="1" hidden="1" customWidth="1"/>
    <col min="356" max="356" width="8.33203125" style="1" hidden="1" customWidth="1"/>
    <col min="357" max="372" width="0.88671875" style="1" customWidth="1"/>
    <col min="373" max="373" width="1" style="1" customWidth="1"/>
    <col min="374" max="384" width="0.88671875" style="1" customWidth="1"/>
    <col min="385" max="16384" width="9.109375" style="1"/>
  </cols>
  <sheetData>
    <row r="1" spans="3:374" ht="18.75" customHeight="1" x14ac:dyDescent="0.3"/>
    <row r="2" spans="3:374" ht="9" customHeight="1" thickBot="1" x14ac:dyDescent="0.35"/>
    <row r="3" spans="3:374" s="35" customFormat="1" ht="3" customHeight="1" thickTop="1" x14ac:dyDescent="0.3">
      <c r="C3" s="47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5"/>
    </row>
    <row r="4" spans="3:374" s="35" customFormat="1" ht="3" customHeight="1" thickBot="1" x14ac:dyDescent="0.35">
      <c r="C4" s="39"/>
      <c r="D4" s="4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2"/>
      <c r="ML4" s="36"/>
    </row>
    <row r="5" spans="3:374" s="35" customFormat="1" ht="6.75" customHeight="1" x14ac:dyDescent="0.3">
      <c r="C5" s="39"/>
      <c r="D5" s="38"/>
      <c r="E5" s="243" t="s">
        <v>29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4"/>
      <c r="DM5" s="244"/>
      <c r="DN5" s="244"/>
      <c r="DO5" s="244"/>
      <c r="DP5" s="244"/>
      <c r="DQ5" s="244"/>
      <c r="DR5" s="244"/>
      <c r="DS5" s="244"/>
      <c r="DT5" s="244"/>
      <c r="DU5" s="244"/>
      <c r="DV5" s="244"/>
      <c r="DW5" s="244"/>
      <c r="DX5" s="244"/>
      <c r="DY5" s="244"/>
      <c r="DZ5" s="244"/>
      <c r="EA5" s="244"/>
      <c r="EB5" s="244"/>
      <c r="EC5" s="244"/>
      <c r="ED5" s="244"/>
      <c r="EE5" s="244"/>
      <c r="EF5" s="244"/>
      <c r="EG5" s="244"/>
      <c r="EH5" s="244"/>
      <c r="EI5" s="244"/>
      <c r="EJ5" s="244"/>
      <c r="EK5" s="244"/>
      <c r="EL5" s="244"/>
      <c r="EM5" s="244"/>
      <c r="EN5" s="244"/>
      <c r="EO5" s="244"/>
      <c r="EP5" s="244"/>
      <c r="EQ5" s="244"/>
      <c r="ER5" s="244"/>
      <c r="ES5" s="244"/>
      <c r="ET5" s="244"/>
      <c r="EU5" s="244"/>
      <c r="EV5" s="244"/>
      <c r="EW5" s="244"/>
      <c r="EX5" s="244"/>
      <c r="EY5" s="244"/>
      <c r="EZ5" s="244"/>
      <c r="FA5" s="244"/>
      <c r="FB5" s="244"/>
      <c r="FC5" s="244"/>
      <c r="FD5" s="244"/>
      <c r="FE5" s="244"/>
      <c r="FF5" s="244"/>
      <c r="FG5" s="244"/>
      <c r="FH5" s="244"/>
      <c r="FI5" s="244"/>
      <c r="FJ5" s="244"/>
      <c r="FK5" s="244"/>
      <c r="FL5" s="244"/>
      <c r="FM5" s="244"/>
      <c r="FN5" s="244"/>
      <c r="FO5" s="244"/>
      <c r="FP5" s="244"/>
      <c r="FQ5" s="244"/>
      <c r="FR5" s="244"/>
      <c r="FS5" s="244"/>
      <c r="FT5" s="244"/>
      <c r="FU5" s="244"/>
      <c r="FV5" s="244"/>
      <c r="FW5" s="244"/>
      <c r="FX5" s="244"/>
      <c r="FY5" s="244"/>
      <c r="FZ5" s="244"/>
      <c r="GA5" s="244"/>
      <c r="GB5" s="244"/>
      <c r="GC5" s="244"/>
      <c r="GD5" s="244"/>
      <c r="GE5" s="244"/>
      <c r="GF5" s="244"/>
      <c r="GG5" s="244"/>
      <c r="GH5" s="244"/>
      <c r="GI5" s="244"/>
      <c r="GJ5" s="244"/>
      <c r="GK5" s="244"/>
      <c r="GL5" s="244"/>
      <c r="GM5" s="244"/>
      <c r="GN5" s="244"/>
      <c r="GO5" s="244"/>
      <c r="GP5" s="244"/>
      <c r="GQ5" s="244"/>
      <c r="GR5" s="244"/>
      <c r="GS5" s="244"/>
      <c r="GT5" s="244"/>
      <c r="GU5" s="244"/>
      <c r="GV5" s="244"/>
      <c r="GW5" s="244"/>
      <c r="GX5" s="244"/>
      <c r="GY5" s="244"/>
      <c r="GZ5" s="244"/>
      <c r="HA5" s="244"/>
      <c r="HB5" s="244"/>
      <c r="HC5" s="244"/>
      <c r="HD5" s="244"/>
      <c r="HE5" s="244"/>
      <c r="HF5" s="244"/>
      <c r="HG5" s="244"/>
      <c r="HH5" s="244"/>
      <c r="HI5" s="244"/>
      <c r="HJ5" s="244"/>
      <c r="HK5" s="244"/>
      <c r="HL5" s="244"/>
      <c r="HM5" s="244"/>
      <c r="HN5" s="244"/>
      <c r="HO5" s="244"/>
      <c r="HP5" s="244"/>
      <c r="HQ5" s="244"/>
      <c r="HR5" s="244"/>
      <c r="HS5" s="244"/>
      <c r="HT5" s="244"/>
      <c r="HU5" s="244"/>
      <c r="HV5" s="244"/>
      <c r="HW5" s="244"/>
      <c r="HX5" s="244"/>
      <c r="HY5" s="244"/>
      <c r="HZ5" s="244"/>
      <c r="IA5" s="244"/>
      <c r="IB5" s="244"/>
      <c r="IC5" s="244"/>
      <c r="ID5" s="244"/>
      <c r="IE5" s="244"/>
      <c r="IF5" s="244"/>
      <c r="IG5" s="244"/>
      <c r="IH5" s="244"/>
      <c r="II5" s="244"/>
      <c r="IJ5" s="244"/>
      <c r="IK5" s="244"/>
      <c r="IL5" s="244"/>
      <c r="IM5" s="244"/>
      <c r="IN5" s="244"/>
      <c r="IO5" s="244"/>
      <c r="IP5" s="244"/>
      <c r="IQ5" s="244"/>
      <c r="IR5" s="244"/>
      <c r="IS5" s="244"/>
      <c r="IT5" s="244"/>
      <c r="IU5" s="244"/>
      <c r="IV5" s="244"/>
      <c r="IW5" s="244"/>
      <c r="IX5" s="244"/>
      <c r="IY5" s="244"/>
      <c r="IZ5" s="244"/>
      <c r="JA5" s="244"/>
      <c r="JB5" s="244"/>
      <c r="JC5" s="244"/>
      <c r="JD5" s="244"/>
      <c r="JE5" s="244"/>
      <c r="JF5" s="244"/>
      <c r="JG5" s="244"/>
      <c r="JH5" s="244"/>
      <c r="JI5" s="244"/>
      <c r="JJ5" s="244"/>
      <c r="JK5" s="244"/>
      <c r="JL5" s="244"/>
      <c r="JM5" s="244"/>
      <c r="JN5" s="244"/>
      <c r="JO5" s="244"/>
      <c r="JP5" s="244"/>
      <c r="JQ5" s="244"/>
      <c r="JR5" s="244"/>
      <c r="JS5" s="244"/>
      <c r="JT5" s="244"/>
      <c r="JU5" s="244"/>
      <c r="JV5" s="244"/>
      <c r="JW5" s="244"/>
      <c r="JX5" s="244"/>
      <c r="JY5" s="244"/>
      <c r="JZ5" s="244"/>
      <c r="KA5" s="244"/>
      <c r="KB5" s="244"/>
      <c r="KC5" s="244"/>
      <c r="KD5" s="244"/>
      <c r="KE5" s="244"/>
      <c r="KF5" s="244"/>
      <c r="KG5" s="244"/>
      <c r="KH5" s="244"/>
      <c r="KI5" s="244"/>
      <c r="KJ5" s="244"/>
      <c r="KK5" s="244"/>
      <c r="KL5" s="244"/>
      <c r="KM5" s="244"/>
      <c r="KN5" s="244"/>
      <c r="KO5" s="244"/>
      <c r="KP5" s="244"/>
      <c r="KQ5" s="244"/>
      <c r="KR5" s="244"/>
      <c r="KS5" s="244"/>
      <c r="KT5" s="244"/>
      <c r="KU5" s="244"/>
      <c r="KV5" s="244"/>
      <c r="KW5" s="244"/>
      <c r="KX5" s="244"/>
      <c r="KY5" s="244"/>
      <c r="KZ5" s="244"/>
      <c r="LA5" s="244"/>
      <c r="LB5" s="244"/>
      <c r="LC5" s="244"/>
      <c r="LD5" s="244"/>
      <c r="LE5" s="244"/>
      <c r="LF5" s="244"/>
      <c r="LG5" s="244"/>
      <c r="LH5" s="244"/>
      <c r="LI5" s="244"/>
      <c r="LJ5" s="244"/>
      <c r="LK5" s="244"/>
      <c r="LL5" s="244"/>
      <c r="LM5" s="244"/>
      <c r="LN5" s="244"/>
      <c r="LO5" s="244"/>
      <c r="LP5" s="244"/>
      <c r="LQ5" s="244"/>
      <c r="LR5" s="244"/>
      <c r="LS5" s="244"/>
      <c r="LT5" s="244"/>
      <c r="LU5" s="244"/>
      <c r="LV5" s="244"/>
      <c r="LW5" s="244"/>
      <c r="LX5" s="244"/>
      <c r="LY5" s="244"/>
      <c r="LZ5" s="244"/>
      <c r="MA5" s="244"/>
      <c r="MB5" s="244"/>
      <c r="MC5" s="244"/>
      <c r="MD5" s="244"/>
      <c r="ME5" s="244"/>
      <c r="MF5" s="244"/>
      <c r="MG5" s="244"/>
      <c r="MH5" s="244"/>
      <c r="MI5" s="244"/>
      <c r="MJ5" s="245"/>
      <c r="MK5" s="37"/>
      <c r="ML5" s="36"/>
    </row>
    <row r="6" spans="3:374" s="35" customFormat="1" ht="6.75" customHeight="1" x14ac:dyDescent="0.3">
      <c r="C6" s="39"/>
      <c r="D6" s="38"/>
      <c r="E6" s="246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7"/>
      <c r="LQ6" s="247"/>
      <c r="LR6" s="247"/>
      <c r="LS6" s="247"/>
      <c r="LT6" s="247"/>
      <c r="LU6" s="247"/>
      <c r="LV6" s="247"/>
      <c r="LW6" s="247"/>
      <c r="LX6" s="247"/>
      <c r="LY6" s="247"/>
      <c r="LZ6" s="247"/>
      <c r="MA6" s="247"/>
      <c r="MB6" s="247"/>
      <c r="MC6" s="247"/>
      <c r="MD6" s="247"/>
      <c r="ME6" s="247"/>
      <c r="MF6" s="247"/>
      <c r="MG6" s="247"/>
      <c r="MH6" s="247"/>
      <c r="MI6" s="247"/>
      <c r="MJ6" s="248"/>
      <c r="MK6" s="37"/>
      <c r="ML6" s="36"/>
    </row>
    <row r="7" spans="3:374" s="35" customFormat="1" ht="6.75" customHeight="1" x14ac:dyDescent="0.3">
      <c r="C7" s="39"/>
      <c r="D7" s="38"/>
      <c r="E7" s="246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7"/>
      <c r="LQ7" s="247"/>
      <c r="LR7" s="247"/>
      <c r="LS7" s="247"/>
      <c r="LT7" s="247"/>
      <c r="LU7" s="247"/>
      <c r="LV7" s="247"/>
      <c r="LW7" s="247"/>
      <c r="LX7" s="247"/>
      <c r="LY7" s="247"/>
      <c r="LZ7" s="247"/>
      <c r="MA7" s="247"/>
      <c r="MB7" s="247"/>
      <c r="MC7" s="247"/>
      <c r="MD7" s="247"/>
      <c r="ME7" s="247"/>
      <c r="MF7" s="247"/>
      <c r="MG7" s="247"/>
      <c r="MH7" s="247"/>
      <c r="MI7" s="247"/>
      <c r="MJ7" s="248"/>
      <c r="MK7" s="37"/>
      <c r="ML7" s="36"/>
    </row>
    <row r="8" spans="3:374" s="35" customFormat="1" ht="6.75" customHeight="1" x14ac:dyDescent="0.3">
      <c r="C8" s="39"/>
      <c r="D8" s="38"/>
      <c r="E8" s="24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7"/>
      <c r="LW8" s="247"/>
      <c r="LX8" s="247"/>
      <c r="LY8" s="247"/>
      <c r="LZ8" s="247"/>
      <c r="MA8" s="247"/>
      <c r="MB8" s="247"/>
      <c r="MC8" s="247"/>
      <c r="MD8" s="247"/>
      <c r="ME8" s="247"/>
      <c r="MF8" s="247"/>
      <c r="MG8" s="247"/>
      <c r="MH8" s="247"/>
      <c r="MI8" s="247"/>
      <c r="MJ8" s="248"/>
      <c r="MK8" s="37"/>
      <c r="ML8" s="36"/>
      <c r="MM8" s="41"/>
      <c r="MN8" s="41"/>
      <c r="MO8" s="41"/>
      <c r="MP8" s="41"/>
      <c r="NE8" s="41"/>
      <c r="NF8" s="41"/>
      <c r="NG8" s="41"/>
      <c r="NH8" s="41"/>
      <c r="NI8" s="41"/>
    </row>
    <row r="9" spans="3:374" s="35" customFormat="1" ht="6.75" customHeight="1" x14ac:dyDescent="0.3">
      <c r="C9" s="39"/>
      <c r="D9" s="38"/>
      <c r="E9" s="246" t="s">
        <v>18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7"/>
      <c r="LW9" s="247"/>
      <c r="LX9" s="247"/>
      <c r="LY9" s="247"/>
      <c r="LZ9" s="247"/>
      <c r="MA9" s="247"/>
      <c r="MB9" s="247"/>
      <c r="MC9" s="247"/>
      <c r="MD9" s="247"/>
      <c r="ME9" s="247"/>
      <c r="MF9" s="247"/>
      <c r="MG9" s="247"/>
      <c r="MH9" s="247"/>
      <c r="MI9" s="247"/>
      <c r="MJ9" s="248"/>
      <c r="MK9" s="37"/>
      <c r="ML9" s="36"/>
      <c r="MM9" s="41"/>
      <c r="MN9" s="41"/>
      <c r="MO9" s="41"/>
      <c r="MP9" s="41"/>
      <c r="MQ9" s="40"/>
      <c r="NE9" s="41"/>
      <c r="NF9" s="41"/>
      <c r="NG9" s="41"/>
      <c r="NH9" s="41"/>
      <c r="NI9" s="41"/>
      <c r="NJ9" s="40"/>
    </row>
    <row r="10" spans="3:374" s="35" customFormat="1" ht="6.75" customHeight="1" x14ac:dyDescent="0.3">
      <c r="C10" s="39"/>
      <c r="D10" s="38"/>
      <c r="E10" s="24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7"/>
      <c r="LQ10" s="247"/>
      <c r="LR10" s="247"/>
      <c r="LS10" s="247"/>
      <c r="LT10" s="247"/>
      <c r="LU10" s="247"/>
      <c r="LV10" s="247"/>
      <c r="LW10" s="247"/>
      <c r="LX10" s="247"/>
      <c r="LY10" s="247"/>
      <c r="LZ10" s="247"/>
      <c r="MA10" s="247"/>
      <c r="MB10" s="247"/>
      <c r="MC10" s="247"/>
      <c r="MD10" s="247"/>
      <c r="ME10" s="247"/>
      <c r="MF10" s="247"/>
      <c r="MG10" s="247"/>
      <c r="MH10" s="247"/>
      <c r="MI10" s="247"/>
      <c r="MJ10" s="248"/>
      <c r="MK10" s="37"/>
      <c r="ML10" s="36"/>
      <c r="MM10" s="41"/>
      <c r="MN10" s="41"/>
      <c r="MO10" s="41"/>
      <c r="MP10" s="41"/>
      <c r="MQ10" s="40"/>
      <c r="NE10" s="41"/>
      <c r="NF10" s="41"/>
      <c r="NG10" s="41"/>
      <c r="NH10" s="41"/>
      <c r="NI10" s="41"/>
      <c r="NJ10" s="40"/>
    </row>
    <row r="11" spans="3:374" s="35" customFormat="1" ht="6.75" customHeight="1" x14ac:dyDescent="0.3">
      <c r="C11" s="39"/>
      <c r="D11" s="38"/>
      <c r="E11" s="246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7"/>
      <c r="LQ11" s="247"/>
      <c r="LR11" s="247"/>
      <c r="LS11" s="247"/>
      <c r="LT11" s="247"/>
      <c r="LU11" s="247"/>
      <c r="LV11" s="247"/>
      <c r="LW11" s="247"/>
      <c r="LX11" s="247"/>
      <c r="LY11" s="247"/>
      <c r="LZ11" s="247"/>
      <c r="MA11" s="247"/>
      <c r="MB11" s="247"/>
      <c r="MC11" s="247"/>
      <c r="MD11" s="247"/>
      <c r="ME11" s="247"/>
      <c r="MF11" s="247"/>
      <c r="MG11" s="247"/>
      <c r="MH11" s="247"/>
      <c r="MI11" s="247"/>
      <c r="MJ11" s="248"/>
      <c r="MK11" s="37"/>
      <c r="ML11" s="36"/>
    </row>
    <row r="12" spans="3:374" s="35" customFormat="1" ht="6.75" customHeight="1" x14ac:dyDescent="0.3">
      <c r="C12" s="39"/>
      <c r="D12" s="38"/>
      <c r="E12" s="246" t="s">
        <v>17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7"/>
      <c r="LQ12" s="247"/>
      <c r="LR12" s="247"/>
      <c r="LS12" s="247"/>
      <c r="LT12" s="247"/>
      <c r="LU12" s="247"/>
      <c r="LV12" s="247"/>
      <c r="LW12" s="247"/>
      <c r="LX12" s="247"/>
      <c r="LY12" s="247"/>
      <c r="LZ12" s="247"/>
      <c r="MA12" s="247"/>
      <c r="MB12" s="247"/>
      <c r="MC12" s="247"/>
      <c r="MD12" s="247"/>
      <c r="ME12" s="247"/>
      <c r="MF12" s="247"/>
      <c r="MG12" s="247"/>
      <c r="MH12" s="247"/>
      <c r="MI12" s="247"/>
      <c r="MJ12" s="248"/>
      <c r="MK12" s="37"/>
      <c r="ML12" s="36"/>
    </row>
    <row r="13" spans="3:374" s="35" customFormat="1" ht="6.75" customHeight="1" x14ac:dyDescent="0.3">
      <c r="C13" s="39"/>
      <c r="D13" s="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7"/>
      <c r="LQ13" s="247"/>
      <c r="LR13" s="247"/>
      <c r="LS13" s="247"/>
      <c r="LT13" s="247"/>
      <c r="LU13" s="247"/>
      <c r="LV13" s="247"/>
      <c r="LW13" s="247"/>
      <c r="LX13" s="247"/>
      <c r="LY13" s="247"/>
      <c r="LZ13" s="247"/>
      <c r="MA13" s="247"/>
      <c r="MB13" s="247"/>
      <c r="MC13" s="247"/>
      <c r="MD13" s="247"/>
      <c r="ME13" s="247"/>
      <c r="MF13" s="247"/>
      <c r="MG13" s="247"/>
      <c r="MH13" s="247"/>
      <c r="MI13" s="247"/>
      <c r="MJ13" s="248"/>
      <c r="MK13" s="37"/>
      <c r="ML13" s="36"/>
    </row>
    <row r="14" spans="3:374" s="35" customFormat="1" ht="6.75" customHeight="1" x14ac:dyDescent="0.3">
      <c r="C14" s="39"/>
      <c r="D14" s="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7"/>
      <c r="LQ14" s="247"/>
      <c r="LR14" s="247"/>
      <c r="LS14" s="247"/>
      <c r="LT14" s="247"/>
      <c r="LU14" s="247"/>
      <c r="LV14" s="247"/>
      <c r="LW14" s="247"/>
      <c r="LX14" s="247"/>
      <c r="LY14" s="247"/>
      <c r="LZ14" s="247"/>
      <c r="MA14" s="247"/>
      <c r="MB14" s="247"/>
      <c r="MC14" s="247"/>
      <c r="MD14" s="247"/>
      <c r="ME14" s="247"/>
      <c r="MF14" s="247"/>
      <c r="MG14" s="247"/>
      <c r="MH14" s="247"/>
      <c r="MI14" s="247"/>
      <c r="MJ14" s="248"/>
      <c r="MK14" s="37"/>
      <c r="ML14" s="36"/>
    </row>
    <row r="15" spans="3:374" s="35" customFormat="1" ht="6.75" customHeight="1" thickBot="1" x14ac:dyDescent="0.35">
      <c r="C15" s="39"/>
      <c r="D15" s="38"/>
      <c r="E15" s="249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  <c r="HK15" s="250"/>
      <c r="HL15" s="250"/>
      <c r="HM15" s="250"/>
      <c r="HN15" s="250"/>
      <c r="HO15" s="250"/>
      <c r="HP15" s="250"/>
      <c r="HQ15" s="250"/>
      <c r="HR15" s="250"/>
      <c r="HS15" s="250"/>
      <c r="HT15" s="250"/>
      <c r="HU15" s="250"/>
      <c r="HV15" s="250"/>
      <c r="HW15" s="250"/>
      <c r="HX15" s="250"/>
      <c r="HY15" s="250"/>
      <c r="HZ15" s="250"/>
      <c r="IA15" s="250"/>
      <c r="IB15" s="250"/>
      <c r="IC15" s="250"/>
      <c r="ID15" s="250"/>
      <c r="IE15" s="250"/>
      <c r="IF15" s="250"/>
      <c r="IG15" s="250"/>
      <c r="IH15" s="250"/>
      <c r="II15" s="250"/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F15" s="250"/>
      <c r="KG15" s="250"/>
      <c r="KH15" s="250"/>
      <c r="KI15" s="250"/>
      <c r="KJ15" s="250"/>
      <c r="KK15" s="250"/>
      <c r="KL15" s="250"/>
      <c r="KM15" s="250"/>
      <c r="KN15" s="250"/>
      <c r="KO15" s="250"/>
      <c r="KP15" s="250"/>
      <c r="KQ15" s="250"/>
      <c r="KR15" s="250"/>
      <c r="KS15" s="250"/>
      <c r="KT15" s="250"/>
      <c r="KU15" s="250"/>
      <c r="KV15" s="250"/>
      <c r="KW15" s="250"/>
      <c r="KX15" s="250"/>
      <c r="KY15" s="250"/>
      <c r="KZ15" s="250"/>
      <c r="LA15" s="250"/>
      <c r="LB15" s="250"/>
      <c r="LC15" s="250"/>
      <c r="LD15" s="250"/>
      <c r="LE15" s="250"/>
      <c r="LF15" s="250"/>
      <c r="LG15" s="250"/>
      <c r="LH15" s="250"/>
      <c r="LI15" s="250"/>
      <c r="LJ15" s="250"/>
      <c r="LK15" s="250"/>
      <c r="LL15" s="250"/>
      <c r="LM15" s="250"/>
      <c r="LN15" s="250"/>
      <c r="LO15" s="250"/>
      <c r="LP15" s="250"/>
      <c r="LQ15" s="250"/>
      <c r="LR15" s="250"/>
      <c r="LS15" s="250"/>
      <c r="LT15" s="250"/>
      <c r="LU15" s="250"/>
      <c r="LV15" s="250"/>
      <c r="LW15" s="250"/>
      <c r="LX15" s="250"/>
      <c r="LY15" s="250"/>
      <c r="LZ15" s="250"/>
      <c r="MA15" s="250"/>
      <c r="MB15" s="250"/>
      <c r="MC15" s="250"/>
      <c r="MD15" s="250"/>
      <c r="ME15" s="250"/>
      <c r="MF15" s="250"/>
      <c r="MG15" s="250"/>
      <c r="MH15" s="250"/>
      <c r="MI15" s="250"/>
      <c r="MJ15" s="251"/>
      <c r="MK15" s="37"/>
      <c r="ML15" s="36"/>
    </row>
    <row r="16" spans="3:374" ht="5.0999999999999996" customHeight="1" x14ac:dyDescent="0.3">
      <c r="C16" s="11"/>
      <c r="D16" s="1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12"/>
      <c r="ML16" s="7"/>
    </row>
    <row r="17" spans="3:350" ht="5.0999999999999996" customHeight="1" x14ac:dyDescent="0.3">
      <c r="C17" s="11"/>
      <c r="D17" s="1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12"/>
      <c r="ML17" s="7"/>
    </row>
    <row r="18" spans="3:350" ht="5.0999999999999996" customHeight="1" x14ac:dyDescent="0.3">
      <c r="C18" s="11"/>
      <c r="D18" s="1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D18" s="216" t="s">
        <v>61</v>
      </c>
      <c r="EE18" s="217"/>
      <c r="EF18" s="217"/>
      <c r="EG18" s="217"/>
      <c r="EH18" s="217"/>
      <c r="EI18" s="217"/>
      <c r="EJ18" s="217"/>
      <c r="EK18" s="217"/>
      <c r="EL18" s="217"/>
      <c r="EM18" s="217"/>
      <c r="EN18" s="217"/>
      <c r="EO18" s="217"/>
      <c r="EP18" s="217"/>
      <c r="EQ18" s="217"/>
      <c r="ER18" s="217"/>
      <c r="ES18" s="217"/>
      <c r="ET18" s="217"/>
      <c r="EU18" s="217"/>
      <c r="EV18" s="217"/>
      <c r="EW18" s="217"/>
      <c r="EX18" s="217"/>
      <c r="EY18" s="217"/>
      <c r="EZ18" s="217"/>
      <c r="FA18" s="217"/>
      <c r="FB18" s="217"/>
      <c r="FC18" s="217"/>
      <c r="FD18" s="217"/>
      <c r="FE18" s="217"/>
      <c r="FF18" s="217"/>
      <c r="FG18" s="217"/>
      <c r="FH18" s="217"/>
      <c r="FI18" s="217"/>
      <c r="FJ18" s="217"/>
      <c r="FK18" s="217"/>
      <c r="FL18" s="217"/>
      <c r="FM18" s="217"/>
      <c r="FN18" s="217"/>
      <c r="FO18" s="217"/>
      <c r="FP18" s="217"/>
      <c r="FQ18" s="217"/>
      <c r="FR18" s="252"/>
      <c r="FS18" s="255">
        <v>1</v>
      </c>
      <c r="FT18" s="255"/>
      <c r="FU18" s="255"/>
      <c r="FV18" s="255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12"/>
      <c r="ML18" s="7"/>
    </row>
    <row r="19" spans="3:350" ht="5.0999999999999996" customHeight="1" x14ac:dyDescent="0.3">
      <c r="C19" s="11"/>
      <c r="D19" s="1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D19" s="219"/>
      <c r="EE19" s="220"/>
      <c r="EF19" s="220"/>
      <c r="EG19" s="220"/>
      <c r="EH19" s="220"/>
      <c r="EI19" s="220"/>
      <c r="EJ19" s="220"/>
      <c r="EK19" s="220"/>
      <c r="EL19" s="220"/>
      <c r="EM19" s="220"/>
      <c r="EN19" s="220"/>
      <c r="EO19" s="220"/>
      <c r="EP19" s="220"/>
      <c r="EQ19" s="220"/>
      <c r="ER19" s="220"/>
      <c r="ES19" s="220"/>
      <c r="ET19" s="220"/>
      <c r="EU19" s="220"/>
      <c r="EV19" s="220"/>
      <c r="EW19" s="220"/>
      <c r="EX19" s="220"/>
      <c r="EY19" s="220"/>
      <c r="EZ19" s="220"/>
      <c r="FA19" s="220"/>
      <c r="FB19" s="220"/>
      <c r="FC19" s="220"/>
      <c r="FD19" s="220"/>
      <c r="FE19" s="220"/>
      <c r="FF19" s="220"/>
      <c r="FG19" s="220"/>
      <c r="FH19" s="220"/>
      <c r="FI19" s="220"/>
      <c r="FJ19" s="220"/>
      <c r="FK19" s="220"/>
      <c r="FL19" s="220"/>
      <c r="FM19" s="220"/>
      <c r="FN19" s="220"/>
      <c r="FO19" s="220"/>
      <c r="FP19" s="220"/>
      <c r="FQ19" s="220"/>
      <c r="FR19" s="253"/>
      <c r="FS19" s="255"/>
      <c r="FT19" s="255"/>
      <c r="FU19" s="255"/>
      <c r="FV19" s="255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156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12"/>
      <c r="ML19" s="7"/>
    </row>
    <row r="20" spans="3:350" ht="5.0999999999999996" customHeight="1" x14ac:dyDescent="0.3">
      <c r="C20" s="11"/>
      <c r="D20" s="1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D20" s="219"/>
      <c r="EE20" s="220"/>
      <c r="EF20" s="220"/>
      <c r="EG20" s="220"/>
      <c r="EH20" s="220"/>
      <c r="EI20" s="220"/>
      <c r="EJ20" s="220"/>
      <c r="EK20" s="220"/>
      <c r="EL20" s="220"/>
      <c r="EM20" s="220"/>
      <c r="EN20" s="220"/>
      <c r="EO20" s="220"/>
      <c r="EP20" s="220"/>
      <c r="EQ20" s="220"/>
      <c r="ER20" s="220"/>
      <c r="ES20" s="220"/>
      <c r="ET20" s="220"/>
      <c r="EU20" s="220"/>
      <c r="EV20" s="220"/>
      <c r="EW20" s="220"/>
      <c r="EX20" s="220"/>
      <c r="EY20" s="220"/>
      <c r="EZ20" s="220"/>
      <c r="FA20" s="220"/>
      <c r="FB20" s="220"/>
      <c r="FC20" s="220"/>
      <c r="FD20" s="220"/>
      <c r="FE20" s="220"/>
      <c r="FF20" s="220"/>
      <c r="FG20" s="220"/>
      <c r="FH20" s="220"/>
      <c r="FI20" s="220"/>
      <c r="FJ20" s="220"/>
      <c r="FK20" s="220"/>
      <c r="FL20" s="220"/>
      <c r="FM20" s="220"/>
      <c r="FN20" s="220"/>
      <c r="FO20" s="220"/>
      <c r="FP20" s="220"/>
      <c r="FQ20" s="220"/>
      <c r="FR20" s="253"/>
      <c r="FS20" s="255"/>
      <c r="FT20" s="255"/>
      <c r="FU20" s="255"/>
      <c r="FV20" s="255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156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12"/>
      <c r="ML20" s="7"/>
    </row>
    <row r="21" spans="3:350" ht="5.0999999999999996" customHeight="1" x14ac:dyDescent="0.3">
      <c r="C21" s="11"/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D21" s="219"/>
      <c r="EE21" s="220"/>
      <c r="EF21" s="220"/>
      <c r="EG21" s="220"/>
      <c r="EH21" s="220"/>
      <c r="EI21" s="220"/>
      <c r="EJ21" s="220"/>
      <c r="EK21" s="220"/>
      <c r="EL21" s="220"/>
      <c r="EM21" s="220"/>
      <c r="EN21" s="220"/>
      <c r="EO21" s="220"/>
      <c r="EP21" s="220"/>
      <c r="EQ21" s="220"/>
      <c r="ER21" s="220"/>
      <c r="ES21" s="220"/>
      <c r="ET21" s="220"/>
      <c r="EU21" s="220"/>
      <c r="EV21" s="220"/>
      <c r="EW21" s="220"/>
      <c r="EX21" s="220"/>
      <c r="EY21" s="220"/>
      <c r="EZ21" s="220"/>
      <c r="FA21" s="220"/>
      <c r="FB21" s="220"/>
      <c r="FC21" s="220"/>
      <c r="FD21" s="220"/>
      <c r="FE21" s="220"/>
      <c r="FF21" s="220"/>
      <c r="FG21" s="220"/>
      <c r="FH21" s="220"/>
      <c r="FI21" s="220"/>
      <c r="FJ21" s="220"/>
      <c r="FK21" s="220"/>
      <c r="FL21" s="220"/>
      <c r="FM21" s="220"/>
      <c r="FN21" s="220"/>
      <c r="FO21" s="220"/>
      <c r="FP21" s="220"/>
      <c r="FQ21" s="220"/>
      <c r="FR21" s="253"/>
      <c r="FS21" s="255"/>
      <c r="FT21" s="255"/>
      <c r="FU21" s="255"/>
      <c r="FV21" s="255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156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12"/>
      <c r="ML21" s="7"/>
    </row>
    <row r="22" spans="3:350" ht="5.0999999999999996" customHeight="1" x14ac:dyDescent="0.3">
      <c r="C22" s="11"/>
      <c r="D22" s="1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D22" s="219"/>
      <c r="EE22" s="220"/>
      <c r="EF22" s="220"/>
      <c r="EG22" s="220"/>
      <c r="EH22" s="220"/>
      <c r="EI22" s="220"/>
      <c r="EJ22" s="220"/>
      <c r="EK22" s="220"/>
      <c r="EL22" s="220"/>
      <c r="EM22" s="220"/>
      <c r="EN22" s="220"/>
      <c r="EO22" s="220"/>
      <c r="EP22" s="220"/>
      <c r="EQ22" s="220"/>
      <c r="ER22" s="220"/>
      <c r="ES22" s="220"/>
      <c r="ET22" s="220"/>
      <c r="EU22" s="220"/>
      <c r="EV22" s="220"/>
      <c r="EW22" s="220"/>
      <c r="EX22" s="220"/>
      <c r="EY22" s="220"/>
      <c r="EZ22" s="220"/>
      <c r="FA22" s="220"/>
      <c r="FB22" s="220"/>
      <c r="FC22" s="220"/>
      <c r="FD22" s="220"/>
      <c r="FE22" s="220"/>
      <c r="FF22" s="220"/>
      <c r="FG22" s="220"/>
      <c r="FH22" s="220"/>
      <c r="FI22" s="220"/>
      <c r="FJ22" s="220"/>
      <c r="FK22" s="220"/>
      <c r="FL22" s="220"/>
      <c r="FM22" s="220"/>
      <c r="FN22" s="220"/>
      <c r="FO22" s="220"/>
      <c r="FP22" s="220"/>
      <c r="FQ22" s="220"/>
      <c r="FR22" s="253"/>
      <c r="FS22" s="255"/>
      <c r="FT22" s="255"/>
      <c r="FU22" s="255"/>
      <c r="FV22" s="255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156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12"/>
      <c r="ML22" s="7"/>
    </row>
    <row r="23" spans="3:350" ht="5.0999999999999996" customHeight="1" x14ac:dyDescent="0.3">
      <c r="C23" s="11"/>
      <c r="D23" s="1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D23" s="219"/>
      <c r="EE23" s="220"/>
      <c r="EF23" s="220"/>
      <c r="EG23" s="220"/>
      <c r="EH23" s="220"/>
      <c r="EI23" s="220"/>
      <c r="EJ23" s="220"/>
      <c r="EK23" s="220"/>
      <c r="EL23" s="220"/>
      <c r="EM23" s="220"/>
      <c r="EN23" s="220"/>
      <c r="EO23" s="220"/>
      <c r="EP23" s="220"/>
      <c r="EQ23" s="220"/>
      <c r="ER23" s="220"/>
      <c r="ES23" s="220"/>
      <c r="ET23" s="220"/>
      <c r="EU23" s="220"/>
      <c r="EV23" s="220"/>
      <c r="EW23" s="220"/>
      <c r="EX23" s="220"/>
      <c r="EY23" s="220"/>
      <c r="EZ23" s="220"/>
      <c r="FA23" s="220"/>
      <c r="FB23" s="220"/>
      <c r="FC23" s="220"/>
      <c r="FD23" s="220"/>
      <c r="FE23" s="220"/>
      <c r="FF23" s="220"/>
      <c r="FG23" s="220"/>
      <c r="FH23" s="220"/>
      <c r="FI23" s="220"/>
      <c r="FJ23" s="220"/>
      <c r="FK23" s="220"/>
      <c r="FL23" s="220"/>
      <c r="FM23" s="220"/>
      <c r="FN23" s="220"/>
      <c r="FO23" s="220"/>
      <c r="FP23" s="220"/>
      <c r="FQ23" s="220"/>
      <c r="FR23" s="253"/>
      <c r="FS23" s="255"/>
      <c r="FT23" s="255"/>
      <c r="FU23" s="255"/>
      <c r="FV23" s="255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156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12"/>
      <c r="ML23" s="7"/>
    </row>
    <row r="24" spans="3:350" ht="5.0999999999999996" customHeight="1" x14ac:dyDescent="0.3">
      <c r="C24" s="11"/>
      <c r="D24" s="1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D24" s="219"/>
      <c r="EE24" s="220"/>
      <c r="EF24" s="220"/>
      <c r="EG24" s="220"/>
      <c r="EH24" s="220"/>
      <c r="EI24" s="220"/>
      <c r="EJ24" s="220"/>
      <c r="EK24" s="220"/>
      <c r="EL24" s="220"/>
      <c r="EM24" s="220"/>
      <c r="EN24" s="220"/>
      <c r="EO24" s="220"/>
      <c r="EP24" s="220"/>
      <c r="EQ24" s="220"/>
      <c r="ER24" s="220"/>
      <c r="ES24" s="220"/>
      <c r="ET24" s="220"/>
      <c r="EU24" s="220"/>
      <c r="EV24" s="220"/>
      <c r="EW24" s="220"/>
      <c r="EX24" s="220"/>
      <c r="EY24" s="220"/>
      <c r="EZ24" s="220"/>
      <c r="FA24" s="220"/>
      <c r="FB24" s="220"/>
      <c r="FC24" s="220"/>
      <c r="FD24" s="220"/>
      <c r="FE24" s="220"/>
      <c r="FF24" s="220"/>
      <c r="FG24" s="220"/>
      <c r="FH24" s="220"/>
      <c r="FI24" s="220"/>
      <c r="FJ24" s="220"/>
      <c r="FK24" s="220"/>
      <c r="FL24" s="220"/>
      <c r="FM24" s="220"/>
      <c r="FN24" s="220"/>
      <c r="FO24" s="220"/>
      <c r="FP24" s="220"/>
      <c r="FQ24" s="220"/>
      <c r="FR24" s="253"/>
      <c r="FS24" s="255"/>
      <c r="FT24" s="255"/>
      <c r="FU24" s="255"/>
      <c r="FV24" s="255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156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12"/>
      <c r="ML24" s="7"/>
    </row>
    <row r="25" spans="3:350" ht="5.0999999999999996" customHeight="1" x14ac:dyDescent="0.3">
      <c r="C25" s="11"/>
      <c r="D25" s="1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ED25" s="219"/>
      <c r="EE25" s="220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D25" s="220"/>
      <c r="FE25" s="220"/>
      <c r="FF25" s="220"/>
      <c r="FG25" s="220"/>
      <c r="FH25" s="220"/>
      <c r="FI25" s="220"/>
      <c r="FJ25" s="220"/>
      <c r="FK25" s="220"/>
      <c r="FL25" s="220"/>
      <c r="FM25" s="220"/>
      <c r="FN25" s="220"/>
      <c r="FO25" s="220"/>
      <c r="FP25" s="220"/>
      <c r="FQ25" s="220"/>
      <c r="FR25" s="253"/>
      <c r="FS25" s="255"/>
      <c r="FT25" s="255"/>
      <c r="FU25" s="255"/>
      <c r="FV25" s="255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156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12"/>
      <c r="ML25" s="7"/>
    </row>
    <row r="26" spans="3:350" ht="5.0999999999999996" customHeight="1" x14ac:dyDescent="0.3">
      <c r="C26" s="11"/>
      <c r="D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ED26" s="222"/>
      <c r="EE26" s="223"/>
      <c r="EF26" s="223"/>
      <c r="EG26" s="223"/>
      <c r="EH26" s="223"/>
      <c r="EI26" s="223"/>
      <c r="EJ26" s="223"/>
      <c r="EK26" s="223"/>
      <c r="EL26" s="223"/>
      <c r="EM26" s="223"/>
      <c r="EN26" s="223"/>
      <c r="EO26" s="223"/>
      <c r="EP26" s="223"/>
      <c r="EQ26" s="223"/>
      <c r="ER26" s="223"/>
      <c r="ES26" s="223"/>
      <c r="ET26" s="223"/>
      <c r="EU26" s="223"/>
      <c r="EV26" s="223"/>
      <c r="EW26" s="223"/>
      <c r="EX26" s="223"/>
      <c r="EY26" s="223"/>
      <c r="EZ26" s="223"/>
      <c r="FA26" s="223"/>
      <c r="FB26" s="223"/>
      <c r="FC26" s="223"/>
      <c r="FD26" s="223"/>
      <c r="FE26" s="223"/>
      <c r="FF26" s="223"/>
      <c r="FG26" s="223"/>
      <c r="FH26" s="223"/>
      <c r="FI26" s="223"/>
      <c r="FJ26" s="223"/>
      <c r="FK26" s="223"/>
      <c r="FL26" s="223"/>
      <c r="FM26" s="223"/>
      <c r="FN26" s="223"/>
      <c r="FO26" s="223"/>
      <c r="FP26" s="223"/>
      <c r="FQ26" s="223"/>
      <c r="FR26" s="254"/>
      <c r="FS26" s="255"/>
      <c r="FT26" s="255"/>
      <c r="FU26" s="255"/>
      <c r="FV26" s="255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156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12"/>
      <c r="ML26" s="7"/>
    </row>
    <row r="27" spans="3:350" ht="5.0999999999999996" customHeight="1" x14ac:dyDescent="0.3">
      <c r="C27" s="11"/>
      <c r="D27" s="1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4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156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12"/>
      <c r="ML27" s="7"/>
    </row>
    <row r="28" spans="3:350" ht="5.0999999999999996" customHeight="1" x14ac:dyDescent="0.3">
      <c r="C28" s="11"/>
      <c r="D28" s="13"/>
      <c r="E28" s="33"/>
      <c r="F28" s="33"/>
      <c r="G28" s="33"/>
      <c r="H28" s="33"/>
      <c r="I28" s="33"/>
      <c r="J28" s="33"/>
      <c r="K28" s="33"/>
      <c r="L28" s="33"/>
      <c r="M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4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156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12"/>
      <c r="ML28" s="7"/>
    </row>
    <row r="29" spans="3:350" ht="5.0999999999999996" customHeight="1" x14ac:dyDescent="0.3">
      <c r="C29" s="11"/>
      <c r="D29" s="13"/>
      <c r="EX29" s="16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K29" s="32"/>
      <c r="GL29" s="32"/>
      <c r="JV29" s="155"/>
      <c r="MK29" s="12"/>
      <c r="ML29" s="7"/>
    </row>
    <row r="30" spans="3:350" ht="5.0999999999999996" customHeight="1" x14ac:dyDescent="0.3">
      <c r="C30" s="11"/>
      <c r="D30" s="13"/>
      <c r="EX30" s="16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K30" s="32"/>
      <c r="GL30" s="32"/>
      <c r="JV30" s="155"/>
      <c r="MK30" s="12"/>
      <c r="ML30" s="7"/>
    </row>
    <row r="31" spans="3:350" ht="5.0999999999999996" customHeight="1" x14ac:dyDescent="0.3">
      <c r="C31" s="11"/>
      <c r="D31" s="13"/>
      <c r="EX31" s="16"/>
      <c r="JV31" s="155"/>
      <c r="MK31" s="12"/>
      <c r="ML31" s="7"/>
    </row>
    <row r="32" spans="3:350" ht="5.0999999999999996" customHeight="1" thickBot="1" x14ac:dyDescent="0.35">
      <c r="C32" s="11"/>
      <c r="D32" s="13"/>
      <c r="EX32" s="23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JV32" s="155"/>
      <c r="MK32" s="12"/>
      <c r="ML32" s="7"/>
    </row>
    <row r="33" spans="3:350" ht="5.0999999999999996" customHeight="1" x14ac:dyDescent="0.3">
      <c r="C33" s="11"/>
      <c r="D33" s="13"/>
      <c r="EX33" s="22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0"/>
      <c r="JV33" s="155"/>
      <c r="MK33" s="12"/>
      <c r="ML33" s="7"/>
    </row>
    <row r="34" spans="3:350" ht="5.0999999999999996" customHeight="1" x14ac:dyDescent="0.3">
      <c r="C34" s="11"/>
      <c r="D34" s="13"/>
      <c r="EX34" s="16"/>
      <c r="HR34" s="19"/>
      <c r="JV34" s="155"/>
      <c r="MK34" s="12"/>
      <c r="ML34" s="7"/>
    </row>
    <row r="35" spans="3:350" ht="5.0999999999999996" customHeight="1" x14ac:dyDescent="0.3">
      <c r="C35" s="11"/>
      <c r="D35" s="13"/>
      <c r="EX35" s="16"/>
      <c r="HR35" s="19"/>
      <c r="JV35" s="155"/>
      <c r="MK35" s="12"/>
      <c r="ML35" s="7"/>
    </row>
    <row r="36" spans="3:350" ht="3.75" customHeight="1" x14ac:dyDescent="0.3">
      <c r="C36" s="11"/>
      <c r="D36" s="13"/>
      <c r="ED36" s="184" t="s">
        <v>57</v>
      </c>
      <c r="EE36" s="185"/>
      <c r="EF36" s="185"/>
      <c r="EG36" s="185"/>
      <c r="EH36" s="185"/>
      <c r="EI36" s="185"/>
      <c r="EJ36" s="185"/>
      <c r="EK36" s="185"/>
      <c r="EL36" s="185"/>
      <c r="EM36" s="185"/>
      <c r="EN36" s="185"/>
      <c r="EO36" s="185"/>
      <c r="EP36" s="185"/>
      <c r="EQ36" s="185"/>
      <c r="ER36" s="185"/>
      <c r="ES36" s="185"/>
      <c r="ET36" s="185"/>
      <c r="EU36" s="185"/>
      <c r="EV36" s="185"/>
      <c r="EW36" s="185"/>
      <c r="EX36" s="185"/>
      <c r="EY36" s="185"/>
      <c r="EZ36" s="185"/>
      <c r="FA36" s="185"/>
      <c r="FB36" s="185"/>
      <c r="FC36" s="185"/>
      <c r="FD36" s="185"/>
      <c r="FE36" s="185"/>
      <c r="FF36" s="185"/>
      <c r="FG36" s="185"/>
      <c r="FH36" s="185"/>
      <c r="FI36" s="185"/>
      <c r="FJ36" s="185"/>
      <c r="FK36" s="185"/>
      <c r="FL36" s="185"/>
      <c r="FM36" s="185"/>
      <c r="FN36" s="185"/>
      <c r="FO36" s="185"/>
      <c r="FP36" s="185"/>
      <c r="FQ36" s="185"/>
      <c r="FR36" s="263"/>
      <c r="FS36" s="256">
        <v>1</v>
      </c>
      <c r="FT36" s="257"/>
      <c r="FU36" s="257"/>
      <c r="FV36" s="258"/>
      <c r="HR36" s="19"/>
      <c r="JV36" s="155"/>
      <c r="MK36" s="12"/>
      <c r="ML36" s="7"/>
    </row>
    <row r="37" spans="3:350" ht="5.0999999999999996" customHeight="1" x14ac:dyDescent="0.3">
      <c r="C37" s="11"/>
      <c r="D37" s="13"/>
      <c r="ED37" s="187"/>
      <c r="EE37" s="188"/>
      <c r="EF37" s="188"/>
      <c r="EG37" s="188"/>
      <c r="EH37" s="188"/>
      <c r="EI37" s="188"/>
      <c r="EJ37" s="188"/>
      <c r="EK37" s="188"/>
      <c r="EL37" s="188"/>
      <c r="EM37" s="188"/>
      <c r="EN37" s="188"/>
      <c r="EO37" s="188"/>
      <c r="EP37" s="188"/>
      <c r="EQ37" s="188"/>
      <c r="ER37" s="188"/>
      <c r="ES37" s="188"/>
      <c r="ET37" s="188"/>
      <c r="EU37" s="188"/>
      <c r="EV37" s="188"/>
      <c r="EW37" s="188"/>
      <c r="EX37" s="188"/>
      <c r="EY37" s="188"/>
      <c r="EZ37" s="188"/>
      <c r="FA37" s="188"/>
      <c r="FB37" s="188"/>
      <c r="FC37" s="188"/>
      <c r="FD37" s="188"/>
      <c r="FE37" s="188"/>
      <c r="FF37" s="188"/>
      <c r="FG37" s="188"/>
      <c r="FH37" s="188"/>
      <c r="FI37" s="188"/>
      <c r="FJ37" s="188"/>
      <c r="FK37" s="188"/>
      <c r="FL37" s="188"/>
      <c r="FM37" s="188"/>
      <c r="FN37" s="188"/>
      <c r="FO37" s="188"/>
      <c r="FP37" s="188"/>
      <c r="FQ37" s="188"/>
      <c r="FR37" s="238"/>
      <c r="FS37" s="259"/>
      <c r="FT37" s="220"/>
      <c r="FU37" s="220"/>
      <c r="FV37" s="253"/>
      <c r="GU37" s="256" t="s">
        <v>15</v>
      </c>
      <c r="GV37" s="257"/>
      <c r="GW37" s="257"/>
      <c r="GX37" s="257"/>
      <c r="GY37" s="257"/>
      <c r="GZ37" s="257"/>
      <c r="HA37" s="257"/>
      <c r="HB37" s="257"/>
      <c r="HC37" s="257"/>
      <c r="HD37" s="257"/>
      <c r="HE37" s="257"/>
      <c r="HF37" s="257"/>
      <c r="HG37" s="257"/>
      <c r="HH37" s="257"/>
      <c r="HI37" s="257"/>
      <c r="HJ37" s="257"/>
      <c r="HK37" s="257"/>
      <c r="HL37" s="257"/>
      <c r="HM37" s="257"/>
      <c r="HN37" s="257"/>
      <c r="HO37" s="257"/>
      <c r="HP37" s="257"/>
      <c r="HQ37" s="257"/>
      <c r="HR37" s="257"/>
      <c r="HS37" s="257"/>
      <c r="HT37" s="257"/>
      <c r="HU37" s="257"/>
      <c r="HV37" s="257"/>
      <c r="HW37" s="257"/>
      <c r="HX37" s="257"/>
      <c r="HY37" s="257"/>
      <c r="HZ37" s="257"/>
      <c r="IA37" s="257"/>
      <c r="IB37" s="257"/>
      <c r="IC37" s="257"/>
      <c r="ID37" s="257"/>
      <c r="IE37" s="257"/>
      <c r="IF37" s="257"/>
      <c r="IG37" s="257"/>
      <c r="IH37" s="257"/>
      <c r="II37" s="258"/>
      <c r="IJ37" s="255">
        <f>SUM(IJ48)</f>
        <v>1</v>
      </c>
      <c r="IK37" s="255"/>
      <c r="IL37" s="255"/>
      <c r="IM37" s="255"/>
      <c r="IN37" s="255"/>
      <c r="IO37" s="255"/>
      <c r="JV37" s="155"/>
      <c r="MK37" s="12"/>
      <c r="ML37" s="7"/>
    </row>
    <row r="38" spans="3:350" ht="5.0999999999999996" customHeight="1" x14ac:dyDescent="0.3">
      <c r="C38" s="11"/>
      <c r="D38" s="13"/>
      <c r="ED38" s="187"/>
      <c r="EE38" s="188"/>
      <c r="EF38" s="188"/>
      <c r="EG38" s="188"/>
      <c r="EH38" s="188"/>
      <c r="EI38" s="188"/>
      <c r="EJ38" s="188"/>
      <c r="EK38" s="188"/>
      <c r="EL38" s="188"/>
      <c r="EM38" s="188"/>
      <c r="EN38" s="188"/>
      <c r="EO38" s="188"/>
      <c r="EP38" s="188"/>
      <c r="EQ38" s="188"/>
      <c r="ER38" s="188"/>
      <c r="ES38" s="188"/>
      <c r="ET38" s="188"/>
      <c r="EU38" s="188"/>
      <c r="EV38" s="188"/>
      <c r="EW38" s="188"/>
      <c r="EX38" s="188"/>
      <c r="EY38" s="188"/>
      <c r="EZ38" s="188"/>
      <c r="FA38" s="188"/>
      <c r="FB38" s="188"/>
      <c r="FC38" s="188"/>
      <c r="FD38" s="188"/>
      <c r="FE38" s="188"/>
      <c r="FF38" s="188"/>
      <c r="FG38" s="188"/>
      <c r="FH38" s="188"/>
      <c r="FI38" s="188"/>
      <c r="FJ38" s="188"/>
      <c r="FK38" s="188"/>
      <c r="FL38" s="188"/>
      <c r="FM38" s="188"/>
      <c r="FN38" s="188"/>
      <c r="FO38" s="188"/>
      <c r="FP38" s="188"/>
      <c r="FQ38" s="188"/>
      <c r="FR38" s="238"/>
      <c r="FS38" s="259"/>
      <c r="FT38" s="220"/>
      <c r="FU38" s="220"/>
      <c r="FV38" s="253"/>
      <c r="GU38" s="259"/>
      <c r="GV38" s="220"/>
      <c r="GW38" s="220"/>
      <c r="GX38" s="220"/>
      <c r="GY38" s="220"/>
      <c r="GZ38" s="220"/>
      <c r="HA38" s="220"/>
      <c r="HB38" s="220"/>
      <c r="HC38" s="220"/>
      <c r="HD38" s="220"/>
      <c r="HE38" s="220"/>
      <c r="HF38" s="220"/>
      <c r="HG38" s="220"/>
      <c r="HH38" s="220"/>
      <c r="HI38" s="220"/>
      <c r="HJ38" s="220"/>
      <c r="HK38" s="220"/>
      <c r="HL38" s="220"/>
      <c r="HM38" s="220"/>
      <c r="HN38" s="220"/>
      <c r="HO38" s="220"/>
      <c r="HP38" s="220"/>
      <c r="HQ38" s="220"/>
      <c r="HR38" s="220"/>
      <c r="HS38" s="220"/>
      <c r="HT38" s="220"/>
      <c r="HU38" s="220"/>
      <c r="HV38" s="220"/>
      <c r="HW38" s="220"/>
      <c r="HX38" s="220"/>
      <c r="HY38" s="220"/>
      <c r="HZ38" s="220"/>
      <c r="IA38" s="220"/>
      <c r="IB38" s="220"/>
      <c r="IC38" s="220"/>
      <c r="ID38" s="220"/>
      <c r="IE38" s="220"/>
      <c r="IF38" s="220"/>
      <c r="IG38" s="220"/>
      <c r="IH38" s="220"/>
      <c r="II38" s="253"/>
      <c r="IJ38" s="255"/>
      <c r="IK38" s="255"/>
      <c r="IL38" s="255"/>
      <c r="IM38" s="255"/>
      <c r="IN38" s="255"/>
      <c r="IO38" s="255"/>
      <c r="JV38" s="155"/>
      <c r="MK38" s="12"/>
      <c r="ML38" s="7"/>
    </row>
    <row r="39" spans="3:350" ht="5.0999999999999996" customHeight="1" x14ac:dyDescent="0.3">
      <c r="C39" s="11"/>
      <c r="D39" s="13"/>
      <c r="ED39" s="187"/>
      <c r="EE39" s="188"/>
      <c r="EF39" s="188"/>
      <c r="EG39" s="188"/>
      <c r="EH39" s="188"/>
      <c r="EI39" s="188"/>
      <c r="EJ39" s="188"/>
      <c r="EK39" s="188"/>
      <c r="EL39" s="188"/>
      <c r="EM39" s="188"/>
      <c r="EN39" s="188"/>
      <c r="EO39" s="188"/>
      <c r="EP39" s="188"/>
      <c r="EQ39" s="188"/>
      <c r="ER39" s="188"/>
      <c r="ES39" s="188"/>
      <c r="ET39" s="188"/>
      <c r="EU39" s="188"/>
      <c r="EV39" s="188"/>
      <c r="EW39" s="188"/>
      <c r="EX39" s="188"/>
      <c r="EY39" s="188"/>
      <c r="EZ39" s="188"/>
      <c r="FA39" s="188"/>
      <c r="FB39" s="188"/>
      <c r="FC39" s="188"/>
      <c r="FD39" s="188"/>
      <c r="FE39" s="188"/>
      <c r="FF39" s="188"/>
      <c r="FG39" s="188"/>
      <c r="FH39" s="188"/>
      <c r="FI39" s="188"/>
      <c r="FJ39" s="188"/>
      <c r="FK39" s="188"/>
      <c r="FL39" s="188"/>
      <c r="FM39" s="188"/>
      <c r="FN39" s="188"/>
      <c r="FO39" s="188"/>
      <c r="FP39" s="188"/>
      <c r="FQ39" s="188"/>
      <c r="FR39" s="238"/>
      <c r="FS39" s="259"/>
      <c r="FT39" s="220"/>
      <c r="FU39" s="220"/>
      <c r="FV39" s="253"/>
      <c r="GU39" s="259"/>
      <c r="GV39" s="220"/>
      <c r="GW39" s="220"/>
      <c r="GX39" s="220"/>
      <c r="GY39" s="220"/>
      <c r="GZ39" s="220"/>
      <c r="HA39" s="220"/>
      <c r="HB39" s="220"/>
      <c r="HC39" s="220"/>
      <c r="HD39" s="220"/>
      <c r="HE39" s="220"/>
      <c r="HF39" s="220"/>
      <c r="HG39" s="220"/>
      <c r="HH39" s="220"/>
      <c r="HI39" s="220"/>
      <c r="HJ39" s="220"/>
      <c r="HK39" s="220"/>
      <c r="HL39" s="220"/>
      <c r="HM39" s="220"/>
      <c r="HN39" s="220"/>
      <c r="HO39" s="220"/>
      <c r="HP39" s="220"/>
      <c r="HQ39" s="220"/>
      <c r="HR39" s="220"/>
      <c r="HS39" s="220"/>
      <c r="HT39" s="220"/>
      <c r="HU39" s="220"/>
      <c r="HV39" s="220"/>
      <c r="HW39" s="220"/>
      <c r="HX39" s="220"/>
      <c r="HY39" s="220"/>
      <c r="HZ39" s="220"/>
      <c r="IA39" s="220"/>
      <c r="IB39" s="220"/>
      <c r="IC39" s="220"/>
      <c r="ID39" s="220"/>
      <c r="IE39" s="220"/>
      <c r="IF39" s="220"/>
      <c r="IG39" s="220"/>
      <c r="IH39" s="220"/>
      <c r="II39" s="253"/>
      <c r="IJ39" s="255"/>
      <c r="IK39" s="255"/>
      <c r="IL39" s="255"/>
      <c r="IM39" s="255"/>
      <c r="IN39" s="255"/>
      <c r="IO39" s="255"/>
      <c r="JV39" s="155"/>
      <c r="MK39" s="12"/>
      <c r="ML39" s="7"/>
    </row>
    <row r="40" spans="3:350" ht="5.0999999999999996" customHeight="1" x14ac:dyDescent="0.3">
      <c r="C40" s="11"/>
      <c r="D40" s="13"/>
      <c r="ED40" s="187"/>
      <c r="EE40" s="188"/>
      <c r="EF40" s="188"/>
      <c r="EG40" s="188"/>
      <c r="EH40" s="188"/>
      <c r="EI40" s="188"/>
      <c r="EJ40" s="188"/>
      <c r="EK40" s="188"/>
      <c r="EL40" s="188"/>
      <c r="EM40" s="188"/>
      <c r="EN40" s="188"/>
      <c r="EO40" s="188"/>
      <c r="EP40" s="188"/>
      <c r="EQ40" s="188"/>
      <c r="ER40" s="188"/>
      <c r="ES40" s="188"/>
      <c r="ET40" s="188"/>
      <c r="EU40" s="188"/>
      <c r="EV40" s="188"/>
      <c r="EW40" s="188"/>
      <c r="EX40" s="188"/>
      <c r="EY40" s="188"/>
      <c r="EZ40" s="188"/>
      <c r="FA40" s="188"/>
      <c r="FB40" s="188"/>
      <c r="FC40" s="188"/>
      <c r="FD40" s="188"/>
      <c r="FE40" s="188"/>
      <c r="FF40" s="188"/>
      <c r="FG40" s="188"/>
      <c r="FH40" s="188"/>
      <c r="FI40" s="188"/>
      <c r="FJ40" s="188"/>
      <c r="FK40" s="188"/>
      <c r="FL40" s="188"/>
      <c r="FM40" s="188"/>
      <c r="FN40" s="188"/>
      <c r="FO40" s="188"/>
      <c r="FP40" s="188"/>
      <c r="FQ40" s="188"/>
      <c r="FR40" s="238"/>
      <c r="FS40" s="259"/>
      <c r="FT40" s="220"/>
      <c r="FU40" s="220"/>
      <c r="FV40" s="253"/>
      <c r="GU40" s="259"/>
      <c r="GV40" s="220"/>
      <c r="GW40" s="220"/>
      <c r="GX40" s="220"/>
      <c r="GY40" s="220"/>
      <c r="GZ40" s="220"/>
      <c r="HA40" s="220"/>
      <c r="HB40" s="220"/>
      <c r="HC40" s="220"/>
      <c r="HD40" s="220"/>
      <c r="HE40" s="220"/>
      <c r="HF40" s="220"/>
      <c r="HG40" s="220"/>
      <c r="HH40" s="220"/>
      <c r="HI40" s="220"/>
      <c r="HJ40" s="220"/>
      <c r="HK40" s="220"/>
      <c r="HL40" s="220"/>
      <c r="HM40" s="220"/>
      <c r="HN40" s="220"/>
      <c r="HO40" s="220"/>
      <c r="HP40" s="220"/>
      <c r="HQ40" s="220"/>
      <c r="HR40" s="220"/>
      <c r="HS40" s="220"/>
      <c r="HT40" s="220"/>
      <c r="HU40" s="220"/>
      <c r="HV40" s="220"/>
      <c r="HW40" s="220"/>
      <c r="HX40" s="220"/>
      <c r="HY40" s="220"/>
      <c r="HZ40" s="220"/>
      <c r="IA40" s="220"/>
      <c r="IB40" s="220"/>
      <c r="IC40" s="220"/>
      <c r="ID40" s="220"/>
      <c r="IE40" s="220"/>
      <c r="IF40" s="220"/>
      <c r="IG40" s="220"/>
      <c r="IH40" s="220"/>
      <c r="II40" s="253"/>
      <c r="IJ40" s="255"/>
      <c r="IK40" s="255"/>
      <c r="IL40" s="255"/>
      <c r="IM40" s="255"/>
      <c r="IN40" s="255"/>
      <c r="IO40" s="255"/>
      <c r="JV40" s="155"/>
      <c r="MK40" s="12"/>
      <c r="ML40" s="7"/>
    </row>
    <row r="41" spans="3:350" ht="5.0999999999999996" customHeight="1" x14ac:dyDescent="0.3">
      <c r="C41" s="11"/>
      <c r="D41" s="13"/>
      <c r="ED41" s="187"/>
      <c r="EE41" s="188"/>
      <c r="EF41" s="188"/>
      <c r="EG41" s="188"/>
      <c r="EH41" s="188"/>
      <c r="EI41" s="188"/>
      <c r="EJ41" s="188"/>
      <c r="EK41" s="188"/>
      <c r="EL41" s="188"/>
      <c r="EM41" s="188"/>
      <c r="EN41" s="188"/>
      <c r="EO41" s="188"/>
      <c r="EP41" s="188"/>
      <c r="EQ41" s="188"/>
      <c r="ER41" s="188"/>
      <c r="ES41" s="188"/>
      <c r="ET41" s="188"/>
      <c r="EU41" s="188"/>
      <c r="EV41" s="188"/>
      <c r="EW41" s="188"/>
      <c r="EX41" s="188"/>
      <c r="EY41" s="188"/>
      <c r="EZ41" s="188"/>
      <c r="FA41" s="188"/>
      <c r="FB41" s="188"/>
      <c r="FC41" s="188"/>
      <c r="FD41" s="188"/>
      <c r="FE41" s="188"/>
      <c r="FF41" s="188"/>
      <c r="FG41" s="188"/>
      <c r="FH41" s="188"/>
      <c r="FI41" s="188"/>
      <c r="FJ41" s="188"/>
      <c r="FK41" s="188"/>
      <c r="FL41" s="188"/>
      <c r="FM41" s="188"/>
      <c r="FN41" s="188"/>
      <c r="FO41" s="188"/>
      <c r="FP41" s="188"/>
      <c r="FQ41" s="188"/>
      <c r="FR41" s="238"/>
      <c r="FS41" s="259"/>
      <c r="FT41" s="220"/>
      <c r="FU41" s="220"/>
      <c r="FV41" s="253"/>
      <c r="GU41" s="259"/>
      <c r="GV41" s="220"/>
      <c r="GW41" s="220"/>
      <c r="GX41" s="220"/>
      <c r="GY41" s="220"/>
      <c r="GZ41" s="220"/>
      <c r="HA41" s="220"/>
      <c r="HB41" s="220"/>
      <c r="HC41" s="220"/>
      <c r="HD41" s="220"/>
      <c r="HE41" s="220"/>
      <c r="HF41" s="220"/>
      <c r="HG41" s="220"/>
      <c r="HH41" s="220"/>
      <c r="HI41" s="220"/>
      <c r="HJ41" s="220"/>
      <c r="HK41" s="220"/>
      <c r="HL41" s="220"/>
      <c r="HM41" s="220"/>
      <c r="HN41" s="220"/>
      <c r="HO41" s="220"/>
      <c r="HP41" s="220"/>
      <c r="HQ41" s="220"/>
      <c r="HR41" s="220"/>
      <c r="HS41" s="220"/>
      <c r="HT41" s="220"/>
      <c r="HU41" s="220"/>
      <c r="HV41" s="220"/>
      <c r="HW41" s="220"/>
      <c r="HX41" s="220"/>
      <c r="HY41" s="220"/>
      <c r="HZ41" s="220"/>
      <c r="IA41" s="220"/>
      <c r="IB41" s="220"/>
      <c r="IC41" s="220"/>
      <c r="ID41" s="220"/>
      <c r="IE41" s="220"/>
      <c r="IF41" s="220"/>
      <c r="IG41" s="220"/>
      <c r="IH41" s="220"/>
      <c r="II41" s="253"/>
      <c r="IJ41" s="255"/>
      <c r="IK41" s="255"/>
      <c r="IL41" s="255"/>
      <c r="IM41" s="255"/>
      <c r="IN41" s="255"/>
      <c r="IO41" s="255"/>
      <c r="JV41" s="155"/>
      <c r="MK41" s="12"/>
      <c r="ML41" s="7"/>
    </row>
    <row r="42" spans="3:350" ht="5.0999999999999996" customHeight="1" x14ac:dyDescent="0.3">
      <c r="C42" s="11"/>
      <c r="D42" s="13"/>
      <c r="ED42" s="187"/>
      <c r="EE42" s="188"/>
      <c r="EF42" s="188"/>
      <c r="EG42" s="188"/>
      <c r="EH42" s="188"/>
      <c r="EI42" s="188"/>
      <c r="EJ42" s="188"/>
      <c r="EK42" s="188"/>
      <c r="EL42" s="188"/>
      <c r="EM42" s="188"/>
      <c r="EN42" s="188"/>
      <c r="EO42" s="188"/>
      <c r="EP42" s="188"/>
      <c r="EQ42" s="188"/>
      <c r="ER42" s="188"/>
      <c r="ES42" s="188"/>
      <c r="ET42" s="188"/>
      <c r="EU42" s="188"/>
      <c r="EV42" s="188"/>
      <c r="EW42" s="188"/>
      <c r="EX42" s="188"/>
      <c r="EY42" s="188"/>
      <c r="EZ42" s="188"/>
      <c r="FA42" s="188"/>
      <c r="FB42" s="188"/>
      <c r="FC42" s="188"/>
      <c r="FD42" s="188"/>
      <c r="FE42" s="188"/>
      <c r="FF42" s="188"/>
      <c r="FG42" s="188"/>
      <c r="FH42" s="188"/>
      <c r="FI42" s="188"/>
      <c r="FJ42" s="188"/>
      <c r="FK42" s="188"/>
      <c r="FL42" s="188"/>
      <c r="FM42" s="188"/>
      <c r="FN42" s="188"/>
      <c r="FO42" s="188"/>
      <c r="FP42" s="188"/>
      <c r="FQ42" s="188"/>
      <c r="FR42" s="238"/>
      <c r="FS42" s="259"/>
      <c r="FT42" s="220"/>
      <c r="FU42" s="220"/>
      <c r="FV42" s="253"/>
      <c r="GU42" s="259"/>
      <c r="GV42" s="220"/>
      <c r="GW42" s="220"/>
      <c r="GX42" s="220"/>
      <c r="GY42" s="220"/>
      <c r="GZ42" s="220"/>
      <c r="HA42" s="220"/>
      <c r="HB42" s="220"/>
      <c r="HC42" s="220"/>
      <c r="HD42" s="220"/>
      <c r="HE42" s="220"/>
      <c r="HF42" s="220"/>
      <c r="HG42" s="220"/>
      <c r="HH42" s="220"/>
      <c r="HI42" s="220"/>
      <c r="HJ42" s="220"/>
      <c r="HK42" s="220"/>
      <c r="HL42" s="220"/>
      <c r="HM42" s="220"/>
      <c r="HN42" s="220"/>
      <c r="HO42" s="220"/>
      <c r="HP42" s="220"/>
      <c r="HQ42" s="220"/>
      <c r="HR42" s="220"/>
      <c r="HS42" s="220"/>
      <c r="HT42" s="220"/>
      <c r="HU42" s="220"/>
      <c r="HV42" s="220"/>
      <c r="HW42" s="220"/>
      <c r="HX42" s="220"/>
      <c r="HY42" s="220"/>
      <c r="HZ42" s="220"/>
      <c r="IA42" s="220"/>
      <c r="IB42" s="220"/>
      <c r="IC42" s="220"/>
      <c r="ID42" s="220"/>
      <c r="IE42" s="220"/>
      <c r="IF42" s="220"/>
      <c r="IG42" s="220"/>
      <c r="IH42" s="220"/>
      <c r="II42" s="253"/>
      <c r="IJ42" s="255"/>
      <c r="IK42" s="255"/>
      <c r="IL42" s="255"/>
      <c r="IM42" s="255"/>
      <c r="IN42" s="255"/>
      <c r="IO42" s="255"/>
      <c r="JV42" s="155"/>
      <c r="MK42" s="12"/>
      <c r="ML42" s="7"/>
    </row>
    <row r="43" spans="3:350" ht="5.0999999999999996" customHeight="1" x14ac:dyDescent="0.3">
      <c r="C43" s="11"/>
      <c r="D43" s="13"/>
      <c r="ED43" s="187"/>
      <c r="EE43" s="188"/>
      <c r="EF43" s="188"/>
      <c r="EG43" s="188"/>
      <c r="EH43" s="188"/>
      <c r="EI43" s="188"/>
      <c r="EJ43" s="188"/>
      <c r="EK43" s="188"/>
      <c r="EL43" s="188"/>
      <c r="EM43" s="188"/>
      <c r="EN43" s="188"/>
      <c r="EO43" s="188"/>
      <c r="EP43" s="188"/>
      <c r="EQ43" s="188"/>
      <c r="ER43" s="188"/>
      <c r="ES43" s="188"/>
      <c r="ET43" s="188"/>
      <c r="EU43" s="188"/>
      <c r="EV43" s="188"/>
      <c r="EW43" s="188"/>
      <c r="EX43" s="188"/>
      <c r="EY43" s="188"/>
      <c r="EZ43" s="188"/>
      <c r="FA43" s="188"/>
      <c r="FB43" s="188"/>
      <c r="FC43" s="188"/>
      <c r="FD43" s="188"/>
      <c r="FE43" s="188"/>
      <c r="FF43" s="188"/>
      <c r="FG43" s="188"/>
      <c r="FH43" s="188"/>
      <c r="FI43" s="188"/>
      <c r="FJ43" s="188"/>
      <c r="FK43" s="188"/>
      <c r="FL43" s="188"/>
      <c r="FM43" s="188"/>
      <c r="FN43" s="188"/>
      <c r="FO43" s="188"/>
      <c r="FP43" s="188"/>
      <c r="FQ43" s="188"/>
      <c r="FR43" s="238"/>
      <c r="FS43" s="259"/>
      <c r="FT43" s="220"/>
      <c r="FU43" s="220"/>
      <c r="FV43" s="253"/>
      <c r="GU43" s="259"/>
      <c r="GV43" s="220"/>
      <c r="GW43" s="220"/>
      <c r="GX43" s="220"/>
      <c r="GY43" s="220"/>
      <c r="GZ43" s="220"/>
      <c r="HA43" s="220"/>
      <c r="HB43" s="220"/>
      <c r="HC43" s="220"/>
      <c r="HD43" s="220"/>
      <c r="HE43" s="220"/>
      <c r="HF43" s="220"/>
      <c r="HG43" s="220"/>
      <c r="HH43" s="220"/>
      <c r="HI43" s="220"/>
      <c r="HJ43" s="220"/>
      <c r="HK43" s="220"/>
      <c r="HL43" s="220"/>
      <c r="HM43" s="220"/>
      <c r="HN43" s="220"/>
      <c r="HO43" s="220"/>
      <c r="HP43" s="220"/>
      <c r="HQ43" s="220"/>
      <c r="HR43" s="220"/>
      <c r="HS43" s="220"/>
      <c r="HT43" s="220"/>
      <c r="HU43" s="220"/>
      <c r="HV43" s="220"/>
      <c r="HW43" s="220"/>
      <c r="HX43" s="220"/>
      <c r="HY43" s="220"/>
      <c r="HZ43" s="220"/>
      <c r="IA43" s="220"/>
      <c r="IB43" s="220"/>
      <c r="IC43" s="220"/>
      <c r="ID43" s="220"/>
      <c r="IE43" s="220"/>
      <c r="IF43" s="220"/>
      <c r="IG43" s="220"/>
      <c r="IH43" s="220"/>
      <c r="II43" s="253"/>
      <c r="IJ43" s="255"/>
      <c r="IK43" s="255"/>
      <c r="IL43" s="255"/>
      <c r="IM43" s="255"/>
      <c r="IN43" s="255"/>
      <c r="IO43" s="255"/>
      <c r="JV43" s="155"/>
      <c r="MK43" s="12"/>
      <c r="ML43" s="7"/>
    </row>
    <row r="44" spans="3:350" ht="5.0999999999999996" customHeight="1" x14ac:dyDescent="0.3">
      <c r="C44" s="11"/>
      <c r="D44" s="13"/>
      <c r="ED44" s="190"/>
      <c r="EE44" s="191"/>
      <c r="EF44" s="191"/>
      <c r="EG44" s="191"/>
      <c r="EH44" s="191"/>
      <c r="EI44" s="191"/>
      <c r="EJ44" s="191"/>
      <c r="EK44" s="191"/>
      <c r="EL44" s="191"/>
      <c r="EM44" s="191"/>
      <c r="EN44" s="191"/>
      <c r="EO44" s="191"/>
      <c r="EP44" s="191"/>
      <c r="EQ44" s="191"/>
      <c r="ER44" s="191"/>
      <c r="ES44" s="191"/>
      <c r="ET44" s="191"/>
      <c r="EU44" s="191"/>
      <c r="EV44" s="191"/>
      <c r="EW44" s="191"/>
      <c r="EX44" s="191"/>
      <c r="EY44" s="191"/>
      <c r="EZ44" s="191"/>
      <c r="FA44" s="191"/>
      <c r="FB44" s="191"/>
      <c r="FC44" s="191"/>
      <c r="FD44" s="191"/>
      <c r="FE44" s="191"/>
      <c r="FF44" s="191"/>
      <c r="FG44" s="191"/>
      <c r="FH44" s="191"/>
      <c r="FI44" s="191"/>
      <c r="FJ44" s="191"/>
      <c r="FK44" s="191"/>
      <c r="FL44" s="191"/>
      <c r="FM44" s="191"/>
      <c r="FN44" s="191"/>
      <c r="FO44" s="191"/>
      <c r="FP44" s="191"/>
      <c r="FQ44" s="191"/>
      <c r="FR44" s="264"/>
      <c r="FS44" s="260"/>
      <c r="FT44" s="261"/>
      <c r="FU44" s="261"/>
      <c r="FV44" s="262"/>
      <c r="GU44" s="259"/>
      <c r="GV44" s="220"/>
      <c r="GW44" s="220"/>
      <c r="GX44" s="220"/>
      <c r="GY44" s="220"/>
      <c r="GZ44" s="220"/>
      <c r="HA44" s="220"/>
      <c r="HB44" s="220"/>
      <c r="HC44" s="220"/>
      <c r="HD44" s="220"/>
      <c r="HE44" s="220"/>
      <c r="HF44" s="220"/>
      <c r="HG44" s="220"/>
      <c r="HH44" s="220"/>
      <c r="HI44" s="220"/>
      <c r="HJ44" s="220"/>
      <c r="HK44" s="220"/>
      <c r="HL44" s="220"/>
      <c r="HM44" s="220"/>
      <c r="HN44" s="220"/>
      <c r="HO44" s="220"/>
      <c r="HP44" s="220"/>
      <c r="HQ44" s="220"/>
      <c r="HR44" s="220"/>
      <c r="HS44" s="220"/>
      <c r="HT44" s="220"/>
      <c r="HU44" s="220"/>
      <c r="HV44" s="220"/>
      <c r="HW44" s="220"/>
      <c r="HX44" s="220"/>
      <c r="HY44" s="220"/>
      <c r="HZ44" s="220"/>
      <c r="IA44" s="220"/>
      <c r="IB44" s="220"/>
      <c r="IC44" s="220"/>
      <c r="ID44" s="220"/>
      <c r="IE44" s="220"/>
      <c r="IF44" s="220"/>
      <c r="IG44" s="220"/>
      <c r="IH44" s="220"/>
      <c r="II44" s="253"/>
      <c r="IJ44" s="255"/>
      <c r="IK44" s="255"/>
      <c r="IL44" s="255"/>
      <c r="IM44" s="255"/>
      <c r="IN44" s="255"/>
      <c r="IO44" s="255"/>
      <c r="JV44" s="155"/>
      <c r="MK44" s="12"/>
      <c r="ML44" s="7"/>
    </row>
    <row r="45" spans="3:350" ht="5.0999999999999996" customHeight="1" x14ac:dyDescent="0.3">
      <c r="C45" s="11"/>
      <c r="D45" s="13"/>
      <c r="EX45" s="17"/>
      <c r="EY45" s="18"/>
      <c r="GU45" s="259"/>
      <c r="GV45" s="220"/>
      <c r="GW45" s="220"/>
      <c r="GX45" s="220"/>
      <c r="GY45" s="220"/>
      <c r="GZ45" s="220"/>
      <c r="HA45" s="220"/>
      <c r="HB45" s="220"/>
      <c r="HC45" s="220"/>
      <c r="HD45" s="220"/>
      <c r="HE45" s="220"/>
      <c r="HF45" s="220"/>
      <c r="HG45" s="220"/>
      <c r="HH45" s="220"/>
      <c r="HI45" s="220"/>
      <c r="HJ45" s="220"/>
      <c r="HK45" s="220"/>
      <c r="HL45" s="220"/>
      <c r="HM45" s="220"/>
      <c r="HN45" s="220"/>
      <c r="HO45" s="220"/>
      <c r="HP45" s="220"/>
      <c r="HQ45" s="220"/>
      <c r="HR45" s="220"/>
      <c r="HS45" s="220"/>
      <c r="HT45" s="220"/>
      <c r="HU45" s="220"/>
      <c r="HV45" s="220"/>
      <c r="HW45" s="220"/>
      <c r="HX45" s="220"/>
      <c r="HY45" s="220"/>
      <c r="HZ45" s="220"/>
      <c r="IA45" s="220"/>
      <c r="IB45" s="220"/>
      <c r="IC45" s="220"/>
      <c r="ID45" s="220"/>
      <c r="IE45" s="220"/>
      <c r="IF45" s="220"/>
      <c r="IG45" s="220"/>
      <c r="IH45" s="220"/>
      <c r="II45" s="253"/>
      <c r="IJ45" s="255"/>
      <c r="IK45" s="255"/>
      <c r="IL45" s="255"/>
      <c r="IM45" s="255"/>
      <c r="IN45" s="255"/>
      <c r="IO45" s="255"/>
      <c r="JV45" s="155"/>
      <c r="MK45" s="12"/>
      <c r="ML45" s="7"/>
    </row>
    <row r="46" spans="3:350" ht="5.0999999999999996" customHeight="1" x14ac:dyDescent="0.3">
      <c r="C46" s="11"/>
      <c r="D46" s="13"/>
      <c r="EX46" s="16"/>
      <c r="GU46" s="260"/>
      <c r="GV46" s="261"/>
      <c r="GW46" s="261"/>
      <c r="GX46" s="261"/>
      <c r="GY46" s="261"/>
      <c r="GZ46" s="261"/>
      <c r="HA46" s="261"/>
      <c r="HB46" s="261"/>
      <c r="HC46" s="261"/>
      <c r="HD46" s="261"/>
      <c r="HE46" s="261"/>
      <c r="HF46" s="261"/>
      <c r="HG46" s="261"/>
      <c r="HH46" s="261"/>
      <c r="HI46" s="261"/>
      <c r="HJ46" s="261"/>
      <c r="HK46" s="261"/>
      <c r="HL46" s="261"/>
      <c r="HM46" s="261"/>
      <c r="HN46" s="261"/>
      <c r="HO46" s="261"/>
      <c r="HP46" s="261"/>
      <c r="HQ46" s="261"/>
      <c r="HR46" s="261"/>
      <c r="HS46" s="261"/>
      <c r="HT46" s="261"/>
      <c r="HU46" s="261"/>
      <c r="HV46" s="261"/>
      <c r="HW46" s="261"/>
      <c r="HX46" s="261"/>
      <c r="HY46" s="261"/>
      <c r="HZ46" s="261"/>
      <c r="IA46" s="261"/>
      <c r="IB46" s="261"/>
      <c r="IC46" s="261"/>
      <c r="ID46" s="261"/>
      <c r="IE46" s="261"/>
      <c r="IF46" s="261"/>
      <c r="IG46" s="261"/>
      <c r="IH46" s="261"/>
      <c r="II46" s="262"/>
      <c r="IJ46" s="255"/>
      <c r="IK46" s="255"/>
      <c r="IL46" s="255"/>
      <c r="IM46" s="255"/>
      <c r="IN46" s="255"/>
      <c r="IO46" s="255"/>
      <c r="JV46" s="155"/>
      <c r="MK46" s="12"/>
      <c r="ML46" s="7"/>
    </row>
    <row r="47" spans="3:350" ht="5.0999999999999996" customHeight="1" thickBot="1" x14ac:dyDescent="0.35">
      <c r="C47" s="11"/>
      <c r="D47" s="13"/>
      <c r="EX47" s="16"/>
      <c r="HS47" s="28"/>
      <c r="JV47" s="155"/>
      <c r="MK47" s="12"/>
      <c r="ML47" s="7"/>
    </row>
    <row r="48" spans="3:350" ht="5.0999999999999996" customHeight="1" x14ac:dyDescent="0.3">
      <c r="C48" s="11"/>
      <c r="D48" s="13"/>
      <c r="AH48" s="22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0"/>
      <c r="EX48" s="16"/>
      <c r="GU48" s="234" t="s">
        <v>62</v>
      </c>
      <c r="GV48" s="235"/>
      <c r="GW48" s="235"/>
      <c r="GX48" s="235"/>
      <c r="GY48" s="235"/>
      <c r="GZ48" s="235"/>
      <c r="HA48" s="235"/>
      <c r="HB48" s="235"/>
      <c r="HC48" s="235"/>
      <c r="HD48" s="235"/>
      <c r="HE48" s="235"/>
      <c r="HF48" s="235"/>
      <c r="HG48" s="235"/>
      <c r="HH48" s="235"/>
      <c r="HI48" s="235"/>
      <c r="HJ48" s="235"/>
      <c r="HK48" s="235"/>
      <c r="HL48" s="235"/>
      <c r="HM48" s="235"/>
      <c r="HN48" s="235"/>
      <c r="HO48" s="235"/>
      <c r="HP48" s="235"/>
      <c r="HQ48" s="235"/>
      <c r="HR48" s="235"/>
      <c r="HS48" s="235"/>
      <c r="HT48" s="235"/>
      <c r="HU48" s="235"/>
      <c r="HV48" s="235"/>
      <c r="HW48" s="235"/>
      <c r="HX48" s="235"/>
      <c r="HY48" s="235"/>
      <c r="HZ48" s="235"/>
      <c r="IA48" s="235"/>
      <c r="IB48" s="235"/>
      <c r="IC48" s="235"/>
      <c r="ID48" s="235"/>
      <c r="IE48" s="235"/>
      <c r="IF48" s="235"/>
      <c r="IG48" s="235"/>
      <c r="IH48" s="235"/>
      <c r="II48" s="236"/>
      <c r="IJ48" s="242">
        <v>1</v>
      </c>
      <c r="IK48" s="242"/>
      <c r="IL48" s="242"/>
      <c r="IM48" s="242"/>
      <c r="IN48" s="242"/>
      <c r="IO48" s="242"/>
      <c r="JV48" s="155"/>
      <c r="MK48" s="12"/>
      <c r="ML48" s="7"/>
    </row>
    <row r="49" spans="3:355" ht="5.0999999999999996" customHeight="1" x14ac:dyDescent="0.3">
      <c r="C49" s="11"/>
      <c r="D49" s="13"/>
      <c r="AH49" s="16"/>
      <c r="EW49" s="19"/>
      <c r="EX49" s="16"/>
      <c r="GU49" s="237"/>
      <c r="GV49" s="188"/>
      <c r="GW49" s="188"/>
      <c r="GX49" s="188"/>
      <c r="GY49" s="188"/>
      <c r="GZ49" s="188"/>
      <c r="HA49" s="188"/>
      <c r="HB49" s="188"/>
      <c r="HC49" s="188"/>
      <c r="HD49" s="188"/>
      <c r="HE49" s="188"/>
      <c r="HF49" s="188"/>
      <c r="HG49" s="188"/>
      <c r="HH49" s="188"/>
      <c r="HI49" s="188"/>
      <c r="HJ49" s="188"/>
      <c r="HK49" s="188"/>
      <c r="HL49" s="188"/>
      <c r="HM49" s="188"/>
      <c r="HN49" s="188"/>
      <c r="HO49" s="188"/>
      <c r="HP49" s="188"/>
      <c r="HQ49" s="188"/>
      <c r="HR49" s="188"/>
      <c r="HS49" s="188"/>
      <c r="HT49" s="188"/>
      <c r="HU49" s="188"/>
      <c r="HV49" s="188"/>
      <c r="HW49" s="188"/>
      <c r="HX49" s="188"/>
      <c r="HY49" s="188"/>
      <c r="HZ49" s="188"/>
      <c r="IA49" s="188"/>
      <c r="IB49" s="188"/>
      <c r="IC49" s="188"/>
      <c r="ID49" s="188"/>
      <c r="IE49" s="188"/>
      <c r="IF49" s="188"/>
      <c r="IG49" s="188"/>
      <c r="IH49" s="188"/>
      <c r="II49" s="238"/>
      <c r="IJ49" s="242"/>
      <c r="IK49" s="242"/>
      <c r="IL49" s="242"/>
      <c r="IM49" s="242"/>
      <c r="IN49" s="242"/>
      <c r="IO49" s="242"/>
      <c r="JV49" s="155"/>
      <c r="MK49" s="12"/>
      <c r="ML49" s="7"/>
    </row>
    <row r="50" spans="3:355" ht="5.0999999999999996" customHeight="1" x14ac:dyDescent="0.3">
      <c r="C50" s="11"/>
      <c r="D50" s="13"/>
      <c r="Q50" s="255" t="s">
        <v>16</v>
      </c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255"/>
      <c r="AN50" s="255"/>
      <c r="AO50" s="255"/>
      <c r="AP50" s="255"/>
      <c r="AQ50" s="255"/>
      <c r="AR50" s="255"/>
      <c r="AS50" s="255"/>
      <c r="AT50" s="255"/>
      <c r="AU50" s="255"/>
      <c r="AV50" s="255"/>
      <c r="AW50" s="255"/>
      <c r="AX50" s="255"/>
      <c r="AY50" s="255"/>
      <c r="AZ50" s="255"/>
      <c r="BA50" s="255"/>
      <c r="BB50" s="255"/>
      <c r="BC50" s="255"/>
      <c r="BD50" s="255"/>
      <c r="BE50" s="255"/>
      <c r="BF50" s="255">
        <f>SUM(BF61:BJ81)</f>
        <v>4</v>
      </c>
      <c r="BG50" s="255"/>
      <c r="BH50" s="255"/>
      <c r="BI50" s="255"/>
      <c r="BJ50" s="255"/>
      <c r="EX50" s="16"/>
      <c r="GU50" s="237"/>
      <c r="GV50" s="188"/>
      <c r="GW50" s="188"/>
      <c r="GX50" s="188"/>
      <c r="GY50" s="188"/>
      <c r="GZ50" s="188"/>
      <c r="HA50" s="188"/>
      <c r="HB50" s="188"/>
      <c r="HC50" s="188"/>
      <c r="HD50" s="188"/>
      <c r="HE50" s="188"/>
      <c r="HF50" s="188"/>
      <c r="HG50" s="188"/>
      <c r="HH50" s="188"/>
      <c r="HI50" s="188"/>
      <c r="HJ50" s="188"/>
      <c r="HK50" s="188"/>
      <c r="HL50" s="188"/>
      <c r="HM50" s="188"/>
      <c r="HN50" s="188"/>
      <c r="HO50" s="188"/>
      <c r="HP50" s="188"/>
      <c r="HQ50" s="188"/>
      <c r="HR50" s="188"/>
      <c r="HS50" s="188"/>
      <c r="HT50" s="188"/>
      <c r="HU50" s="188"/>
      <c r="HV50" s="188"/>
      <c r="HW50" s="188"/>
      <c r="HX50" s="188"/>
      <c r="HY50" s="188"/>
      <c r="HZ50" s="188"/>
      <c r="IA50" s="188"/>
      <c r="IB50" s="188"/>
      <c r="IC50" s="188"/>
      <c r="ID50" s="188"/>
      <c r="IE50" s="188"/>
      <c r="IF50" s="188"/>
      <c r="IG50" s="188"/>
      <c r="IH50" s="188"/>
      <c r="II50" s="238"/>
      <c r="IJ50" s="242"/>
      <c r="IK50" s="242"/>
      <c r="IL50" s="242"/>
      <c r="IM50" s="242"/>
      <c r="IN50" s="242"/>
      <c r="IO50" s="242"/>
      <c r="JV50" s="155"/>
      <c r="MK50" s="12"/>
      <c r="ML50" s="7"/>
    </row>
    <row r="51" spans="3:355" ht="5.0999999999999996" customHeight="1" x14ac:dyDescent="0.3">
      <c r="C51" s="11"/>
      <c r="D51" s="13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55"/>
      <c r="AV51" s="255"/>
      <c r="AW51" s="255"/>
      <c r="AX51" s="255"/>
      <c r="AY51" s="255"/>
      <c r="AZ51" s="255"/>
      <c r="BA51" s="255"/>
      <c r="BB51" s="255"/>
      <c r="BC51" s="255"/>
      <c r="BD51" s="255"/>
      <c r="BE51" s="255"/>
      <c r="BF51" s="255"/>
      <c r="BG51" s="255"/>
      <c r="BH51" s="255"/>
      <c r="BI51" s="255"/>
      <c r="BJ51" s="255"/>
      <c r="EX51" s="16"/>
      <c r="GU51" s="237"/>
      <c r="GV51" s="188"/>
      <c r="GW51" s="188"/>
      <c r="GX51" s="188"/>
      <c r="GY51" s="188"/>
      <c r="GZ51" s="188"/>
      <c r="HA51" s="188"/>
      <c r="HB51" s="188"/>
      <c r="HC51" s="188"/>
      <c r="HD51" s="188"/>
      <c r="HE51" s="188"/>
      <c r="HF51" s="188"/>
      <c r="HG51" s="188"/>
      <c r="HH51" s="188"/>
      <c r="HI51" s="188"/>
      <c r="HJ51" s="188"/>
      <c r="HK51" s="188"/>
      <c r="HL51" s="188"/>
      <c r="HM51" s="188"/>
      <c r="HN51" s="188"/>
      <c r="HO51" s="188"/>
      <c r="HP51" s="188"/>
      <c r="HQ51" s="188"/>
      <c r="HR51" s="188"/>
      <c r="HS51" s="188"/>
      <c r="HT51" s="188"/>
      <c r="HU51" s="188"/>
      <c r="HV51" s="188"/>
      <c r="HW51" s="188"/>
      <c r="HX51" s="188"/>
      <c r="HY51" s="188"/>
      <c r="HZ51" s="188"/>
      <c r="IA51" s="188"/>
      <c r="IB51" s="188"/>
      <c r="IC51" s="188"/>
      <c r="ID51" s="188"/>
      <c r="IE51" s="188"/>
      <c r="IF51" s="188"/>
      <c r="IG51" s="188"/>
      <c r="IH51" s="188"/>
      <c r="II51" s="238"/>
      <c r="IJ51" s="242"/>
      <c r="IK51" s="242"/>
      <c r="IL51" s="242"/>
      <c r="IM51" s="242"/>
      <c r="IN51" s="242"/>
      <c r="IO51" s="242"/>
      <c r="JV51" s="155"/>
      <c r="MK51" s="12"/>
      <c r="ML51" s="7"/>
    </row>
    <row r="52" spans="3:355" ht="5.0999999999999996" customHeight="1" x14ac:dyDescent="0.3">
      <c r="C52" s="11"/>
      <c r="D52" s="13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  <c r="AS52" s="255"/>
      <c r="AT52" s="255"/>
      <c r="AU52" s="255"/>
      <c r="AV52" s="255"/>
      <c r="AW52" s="255"/>
      <c r="AX52" s="255"/>
      <c r="AY52" s="255"/>
      <c r="AZ52" s="255"/>
      <c r="BA52" s="255"/>
      <c r="BB52" s="255"/>
      <c r="BC52" s="255"/>
      <c r="BD52" s="255"/>
      <c r="BE52" s="255"/>
      <c r="BF52" s="255"/>
      <c r="BG52" s="255"/>
      <c r="BH52" s="255"/>
      <c r="BI52" s="255"/>
      <c r="BJ52" s="255"/>
      <c r="EX52" s="16"/>
      <c r="GU52" s="237"/>
      <c r="GV52" s="188"/>
      <c r="GW52" s="188"/>
      <c r="GX52" s="188"/>
      <c r="GY52" s="188"/>
      <c r="GZ52" s="188"/>
      <c r="HA52" s="188"/>
      <c r="HB52" s="188"/>
      <c r="HC52" s="188"/>
      <c r="HD52" s="188"/>
      <c r="HE52" s="188"/>
      <c r="HF52" s="188"/>
      <c r="HG52" s="188"/>
      <c r="HH52" s="188"/>
      <c r="HI52" s="188"/>
      <c r="HJ52" s="188"/>
      <c r="HK52" s="188"/>
      <c r="HL52" s="188"/>
      <c r="HM52" s="188"/>
      <c r="HN52" s="188"/>
      <c r="HO52" s="188"/>
      <c r="HP52" s="188"/>
      <c r="HQ52" s="188"/>
      <c r="HR52" s="188"/>
      <c r="HS52" s="188"/>
      <c r="HT52" s="188"/>
      <c r="HU52" s="188"/>
      <c r="HV52" s="188"/>
      <c r="HW52" s="188"/>
      <c r="HX52" s="188"/>
      <c r="HY52" s="188"/>
      <c r="HZ52" s="188"/>
      <c r="IA52" s="188"/>
      <c r="IB52" s="188"/>
      <c r="IC52" s="188"/>
      <c r="ID52" s="188"/>
      <c r="IE52" s="188"/>
      <c r="IF52" s="188"/>
      <c r="IG52" s="188"/>
      <c r="IH52" s="188"/>
      <c r="II52" s="238"/>
      <c r="IJ52" s="242"/>
      <c r="IK52" s="242"/>
      <c r="IL52" s="242"/>
      <c r="IM52" s="242"/>
      <c r="IN52" s="242"/>
      <c r="IO52" s="242"/>
      <c r="JV52" s="155"/>
      <c r="MK52" s="12"/>
      <c r="ML52" s="7"/>
    </row>
    <row r="53" spans="3:355" ht="5.0999999999999996" customHeight="1" x14ac:dyDescent="0.3">
      <c r="C53" s="11"/>
      <c r="D53" s="13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255"/>
      <c r="AN53" s="255"/>
      <c r="AO53" s="255"/>
      <c r="AP53" s="255"/>
      <c r="AQ53" s="255"/>
      <c r="AR53" s="255"/>
      <c r="AS53" s="255"/>
      <c r="AT53" s="255"/>
      <c r="AU53" s="255"/>
      <c r="AV53" s="255"/>
      <c r="AW53" s="255"/>
      <c r="AX53" s="255"/>
      <c r="AY53" s="255"/>
      <c r="AZ53" s="255"/>
      <c r="BA53" s="255"/>
      <c r="BB53" s="255"/>
      <c r="BC53" s="255"/>
      <c r="BD53" s="255"/>
      <c r="BE53" s="255"/>
      <c r="BF53" s="255"/>
      <c r="BG53" s="255"/>
      <c r="BH53" s="255"/>
      <c r="BI53" s="255"/>
      <c r="BJ53" s="255"/>
      <c r="EX53" s="16"/>
      <c r="GU53" s="237"/>
      <c r="GV53" s="188"/>
      <c r="GW53" s="188"/>
      <c r="GX53" s="188"/>
      <c r="GY53" s="188"/>
      <c r="GZ53" s="188"/>
      <c r="HA53" s="188"/>
      <c r="HB53" s="188"/>
      <c r="HC53" s="188"/>
      <c r="HD53" s="188"/>
      <c r="HE53" s="188"/>
      <c r="HF53" s="188"/>
      <c r="HG53" s="188"/>
      <c r="HH53" s="188"/>
      <c r="HI53" s="188"/>
      <c r="HJ53" s="188"/>
      <c r="HK53" s="188"/>
      <c r="HL53" s="188"/>
      <c r="HM53" s="188"/>
      <c r="HN53" s="188"/>
      <c r="HO53" s="188"/>
      <c r="HP53" s="188"/>
      <c r="HQ53" s="188"/>
      <c r="HR53" s="188"/>
      <c r="HS53" s="188"/>
      <c r="HT53" s="188"/>
      <c r="HU53" s="188"/>
      <c r="HV53" s="188"/>
      <c r="HW53" s="188"/>
      <c r="HX53" s="188"/>
      <c r="HY53" s="188"/>
      <c r="HZ53" s="188"/>
      <c r="IA53" s="188"/>
      <c r="IB53" s="188"/>
      <c r="IC53" s="188"/>
      <c r="ID53" s="188"/>
      <c r="IE53" s="188"/>
      <c r="IF53" s="188"/>
      <c r="IG53" s="188"/>
      <c r="IH53" s="188"/>
      <c r="II53" s="238"/>
      <c r="IJ53" s="242"/>
      <c r="IK53" s="242"/>
      <c r="IL53" s="242"/>
      <c r="IM53" s="242"/>
      <c r="IN53" s="242"/>
      <c r="IO53" s="242"/>
      <c r="JV53" s="155"/>
      <c r="MK53" s="12"/>
      <c r="ML53" s="7"/>
    </row>
    <row r="54" spans="3:355" ht="5.0999999999999996" customHeight="1" x14ac:dyDescent="0.3">
      <c r="C54" s="11"/>
      <c r="D54" s="13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255"/>
      <c r="AN54" s="255"/>
      <c r="AO54" s="255"/>
      <c r="AP54" s="255"/>
      <c r="AQ54" s="255"/>
      <c r="AR54" s="255"/>
      <c r="AS54" s="255"/>
      <c r="AT54" s="255"/>
      <c r="AU54" s="255"/>
      <c r="AV54" s="255"/>
      <c r="AW54" s="255"/>
      <c r="AX54" s="255"/>
      <c r="AY54" s="255"/>
      <c r="AZ54" s="255"/>
      <c r="BA54" s="255"/>
      <c r="BB54" s="255"/>
      <c r="BC54" s="255"/>
      <c r="BD54" s="255"/>
      <c r="BE54" s="255"/>
      <c r="BF54" s="255"/>
      <c r="BG54" s="255"/>
      <c r="BH54" s="255"/>
      <c r="BI54" s="255"/>
      <c r="BJ54" s="255"/>
      <c r="EX54" s="16"/>
      <c r="GU54" s="237"/>
      <c r="GV54" s="188"/>
      <c r="GW54" s="188"/>
      <c r="GX54" s="188"/>
      <c r="GY54" s="188"/>
      <c r="GZ54" s="188"/>
      <c r="HA54" s="188"/>
      <c r="HB54" s="188"/>
      <c r="HC54" s="188"/>
      <c r="HD54" s="188"/>
      <c r="HE54" s="188"/>
      <c r="HF54" s="188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88"/>
      <c r="HW54" s="188"/>
      <c r="HX54" s="188"/>
      <c r="HY54" s="188"/>
      <c r="HZ54" s="188"/>
      <c r="IA54" s="188"/>
      <c r="IB54" s="188"/>
      <c r="IC54" s="188"/>
      <c r="ID54" s="188"/>
      <c r="IE54" s="188"/>
      <c r="IF54" s="188"/>
      <c r="IG54" s="188"/>
      <c r="IH54" s="188"/>
      <c r="II54" s="238"/>
      <c r="IJ54" s="242"/>
      <c r="IK54" s="242"/>
      <c r="IL54" s="242"/>
      <c r="IM54" s="242"/>
      <c r="IN54" s="242"/>
      <c r="IO54" s="242"/>
      <c r="JV54" s="155"/>
      <c r="MK54" s="12"/>
      <c r="ML54" s="7"/>
    </row>
    <row r="55" spans="3:355" ht="5.0999999999999996" customHeight="1" x14ac:dyDescent="0.3">
      <c r="C55" s="11"/>
      <c r="D55" s="13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  <c r="EX55" s="16"/>
      <c r="GU55" s="237"/>
      <c r="GV55" s="188"/>
      <c r="GW55" s="188"/>
      <c r="GX55" s="188"/>
      <c r="GY55" s="188"/>
      <c r="GZ55" s="188"/>
      <c r="HA55" s="188"/>
      <c r="HB55" s="188"/>
      <c r="HC55" s="188"/>
      <c r="HD55" s="188"/>
      <c r="HE55" s="188"/>
      <c r="HF55" s="188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188"/>
      <c r="HW55" s="188"/>
      <c r="HX55" s="188"/>
      <c r="HY55" s="188"/>
      <c r="HZ55" s="188"/>
      <c r="IA55" s="188"/>
      <c r="IB55" s="188"/>
      <c r="IC55" s="188"/>
      <c r="ID55" s="188"/>
      <c r="IE55" s="188"/>
      <c r="IF55" s="188"/>
      <c r="IG55" s="188"/>
      <c r="IH55" s="188"/>
      <c r="II55" s="238"/>
      <c r="IJ55" s="242"/>
      <c r="IK55" s="242"/>
      <c r="IL55" s="242"/>
      <c r="IM55" s="242"/>
      <c r="IN55" s="242"/>
      <c r="IO55" s="242"/>
      <c r="JV55" s="155"/>
      <c r="MK55" s="12"/>
      <c r="ML55" s="7"/>
    </row>
    <row r="56" spans="3:355" ht="5.0999999999999996" customHeight="1" x14ac:dyDescent="0.3">
      <c r="C56" s="11"/>
      <c r="D56" s="13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  <c r="EX56" s="16"/>
      <c r="GU56" s="239"/>
      <c r="GV56" s="240"/>
      <c r="GW56" s="240"/>
      <c r="GX56" s="240"/>
      <c r="GY56" s="240"/>
      <c r="GZ56" s="240"/>
      <c r="HA56" s="240"/>
      <c r="HB56" s="240"/>
      <c r="HC56" s="240"/>
      <c r="HD56" s="240"/>
      <c r="HE56" s="240"/>
      <c r="HF56" s="240"/>
      <c r="HG56" s="240"/>
      <c r="HH56" s="240"/>
      <c r="HI56" s="240"/>
      <c r="HJ56" s="240"/>
      <c r="HK56" s="240"/>
      <c r="HL56" s="240"/>
      <c r="HM56" s="240"/>
      <c r="HN56" s="240"/>
      <c r="HO56" s="240"/>
      <c r="HP56" s="240"/>
      <c r="HQ56" s="240"/>
      <c r="HR56" s="240"/>
      <c r="HS56" s="240"/>
      <c r="HT56" s="240"/>
      <c r="HU56" s="240"/>
      <c r="HV56" s="240"/>
      <c r="HW56" s="240"/>
      <c r="HX56" s="240"/>
      <c r="HY56" s="240"/>
      <c r="HZ56" s="240"/>
      <c r="IA56" s="240"/>
      <c r="IB56" s="240"/>
      <c r="IC56" s="240"/>
      <c r="ID56" s="240"/>
      <c r="IE56" s="240"/>
      <c r="IF56" s="240"/>
      <c r="IG56" s="240"/>
      <c r="IH56" s="240"/>
      <c r="II56" s="241"/>
      <c r="IJ56" s="242"/>
      <c r="IK56" s="242"/>
      <c r="IL56" s="242"/>
      <c r="IM56" s="242"/>
      <c r="IN56" s="242"/>
      <c r="IO56" s="242"/>
      <c r="JV56" s="155"/>
      <c r="MK56" s="12"/>
      <c r="ML56" s="7"/>
    </row>
    <row r="57" spans="3:355" ht="5.0999999999999996" customHeight="1" x14ac:dyDescent="0.3">
      <c r="C57" s="11"/>
      <c r="D57" s="13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255"/>
      <c r="BH57" s="255"/>
      <c r="BI57" s="255"/>
      <c r="BJ57" s="255"/>
      <c r="EX57" s="16"/>
      <c r="JV57" s="155"/>
      <c r="MK57" s="12"/>
      <c r="ML57" s="7"/>
    </row>
    <row r="58" spans="3:355" ht="5.0999999999999996" customHeight="1" x14ac:dyDescent="0.3">
      <c r="C58" s="11"/>
      <c r="D58" s="13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5"/>
      <c r="EX58" s="16"/>
      <c r="JV58" s="155"/>
      <c r="MK58" s="12"/>
      <c r="ML58" s="7"/>
    </row>
    <row r="59" spans="3:355" ht="5.0999999999999996" customHeight="1" x14ac:dyDescent="0.3">
      <c r="C59" s="11"/>
      <c r="D59" s="13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  <c r="EX59" s="16"/>
      <c r="JV59" s="155"/>
      <c r="MK59" s="12"/>
      <c r="ML59" s="7"/>
      <c r="MN59" s="3"/>
      <c r="MO59" s="3"/>
      <c r="MP59" s="3"/>
      <c r="MQ59" s="2"/>
    </row>
    <row r="60" spans="3:355" ht="5.0999999999999996" customHeight="1" x14ac:dyDescent="0.3">
      <c r="C60" s="11"/>
      <c r="D60" s="13"/>
      <c r="AH60" s="15"/>
      <c r="EX60" s="16"/>
      <c r="JV60" s="155"/>
      <c r="MK60" s="12"/>
      <c r="ML60" s="7"/>
    </row>
    <row r="61" spans="3:355" ht="5.0999999999999996" customHeight="1" x14ac:dyDescent="0.3">
      <c r="C61" s="11"/>
      <c r="D61" s="13"/>
      <c r="Q61" s="184" t="s">
        <v>60</v>
      </c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/>
      <c r="BD61" s="185"/>
      <c r="BE61" s="186"/>
      <c r="BF61" s="225">
        <v>1</v>
      </c>
      <c r="BG61" s="226"/>
      <c r="BH61" s="226"/>
      <c r="BI61" s="226"/>
      <c r="BJ61" s="227"/>
      <c r="EX61" s="16"/>
      <c r="JV61" s="155"/>
      <c r="MK61" s="12"/>
      <c r="ML61" s="7"/>
    </row>
    <row r="62" spans="3:355" ht="5.0999999999999996" customHeight="1" x14ac:dyDescent="0.3">
      <c r="C62" s="11"/>
      <c r="D62" s="13"/>
      <c r="Q62" s="187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9"/>
      <c r="BF62" s="228"/>
      <c r="BG62" s="229"/>
      <c r="BH62" s="229"/>
      <c r="BI62" s="229"/>
      <c r="BJ62" s="230"/>
      <c r="EX62" s="16"/>
      <c r="JV62" s="155"/>
      <c r="MK62" s="12"/>
      <c r="ML62" s="7"/>
    </row>
    <row r="63" spans="3:355" ht="5.0999999999999996" customHeight="1" thickBot="1" x14ac:dyDescent="0.35">
      <c r="C63" s="11"/>
      <c r="D63" s="13"/>
      <c r="Q63" s="187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9"/>
      <c r="BF63" s="228"/>
      <c r="BG63" s="229"/>
      <c r="BH63" s="229"/>
      <c r="BI63" s="229"/>
      <c r="BJ63" s="230"/>
      <c r="EX63" s="16"/>
      <c r="JV63" s="155"/>
      <c r="MK63" s="12"/>
      <c r="ML63" s="7"/>
    </row>
    <row r="64" spans="3:355" ht="5.0999999999999996" customHeight="1" x14ac:dyDescent="0.3">
      <c r="C64" s="11"/>
      <c r="D64" s="13"/>
      <c r="Q64" s="187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9"/>
      <c r="BF64" s="228"/>
      <c r="BG64" s="229"/>
      <c r="BH64" s="229"/>
      <c r="BI64" s="229"/>
      <c r="BJ64" s="230"/>
      <c r="EX64" s="22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160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0"/>
      <c r="MK64" s="12"/>
      <c r="ML64" s="7"/>
    </row>
    <row r="65" spans="3:355" ht="5.0999999999999996" customHeight="1" x14ac:dyDescent="0.3">
      <c r="C65" s="11"/>
      <c r="D65" s="13"/>
      <c r="Q65" s="187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9"/>
      <c r="BF65" s="228"/>
      <c r="BG65" s="229"/>
      <c r="BH65" s="229"/>
      <c r="BI65" s="229"/>
      <c r="BJ65" s="230"/>
      <c r="EX65" s="16"/>
      <c r="JV65" s="155"/>
      <c r="KZ65" s="19"/>
      <c r="MK65" s="12"/>
      <c r="ML65" s="7"/>
    </row>
    <row r="66" spans="3:355" ht="5.0999999999999996" customHeight="1" x14ac:dyDescent="0.3">
      <c r="C66" s="11"/>
      <c r="D66" s="13"/>
      <c r="Q66" s="187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9"/>
      <c r="BF66" s="228"/>
      <c r="BG66" s="229"/>
      <c r="BH66" s="229"/>
      <c r="BI66" s="229"/>
      <c r="BJ66" s="230"/>
      <c r="EX66" s="16"/>
      <c r="JV66" s="155"/>
      <c r="KZ66" s="19"/>
      <c r="MK66" s="12"/>
      <c r="ML66" s="7"/>
    </row>
    <row r="67" spans="3:355" ht="5.0999999999999996" customHeight="1" x14ac:dyDescent="0.3">
      <c r="C67" s="11"/>
      <c r="D67" s="13"/>
      <c r="Q67" s="187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9"/>
      <c r="BF67" s="228"/>
      <c r="BG67" s="229"/>
      <c r="BH67" s="229"/>
      <c r="BI67" s="229"/>
      <c r="BJ67" s="230"/>
      <c r="EX67" s="16"/>
      <c r="JV67" s="155"/>
      <c r="KZ67" s="19"/>
      <c r="MK67" s="12"/>
      <c r="ML67" s="7"/>
    </row>
    <row r="68" spans="3:355" ht="5.0999999999999996" customHeight="1" x14ac:dyDescent="0.3">
      <c r="C68" s="11"/>
      <c r="D68" s="13"/>
      <c r="Q68" s="187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9"/>
      <c r="BF68" s="228"/>
      <c r="BG68" s="229"/>
      <c r="BH68" s="229"/>
      <c r="BI68" s="229"/>
      <c r="BJ68" s="230"/>
      <c r="EX68" s="16"/>
      <c r="JV68" s="155"/>
      <c r="KZ68" s="19"/>
      <c r="MK68" s="12"/>
      <c r="ML68" s="7"/>
    </row>
    <row r="69" spans="3:355" ht="5.0999999999999996" customHeight="1" x14ac:dyDescent="0.3">
      <c r="C69" s="11"/>
      <c r="D69" s="13"/>
      <c r="Q69" s="187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9"/>
      <c r="BF69" s="228"/>
      <c r="BG69" s="229"/>
      <c r="BH69" s="229"/>
      <c r="BI69" s="229"/>
      <c r="BJ69" s="230"/>
      <c r="EX69" s="16"/>
      <c r="JV69" s="155"/>
      <c r="KZ69" s="19"/>
      <c r="MK69" s="12"/>
      <c r="ML69" s="7"/>
      <c r="MN69" s="3"/>
      <c r="MO69" s="3"/>
      <c r="MP69" s="3"/>
      <c r="MQ69" s="2"/>
    </row>
    <row r="70" spans="3:355" ht="5.0999999999999996" customHeight="1" x14ac:dyDescent="0.3">
      <c r="C70" s="11"/>
      <c r="D70" s="13"/>
      <c r="Q70" s="190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2"/>
      <c r="BF70" s="231"/>
      <c r="BG70" s="232"/>
      <c r="BH70" s="232"/>
      <c r="BI70" s="232"/>
      <c r="BJ70" s="233"/>
      <c r="EX70" s="16"/>
      <c r="JV70" s="155"/>
      <c r="KZ70" s="19"/>
      <c r="MK70" s="12"/>
      <c r="ML70" s="7"/>
    </row>
    <row r="71" spans="3:355" ht="5.0999999999999996" customHeight="1" x14ac:dyDescent="0.3">
      <c r="C71" s="11"/>
      <c r="D71" s="13"/>
      <c r="AF71" s="27"/>
      <c r="AG71" s="26"/>
      <c r="EX71" s="16"/>
      <c r="JV71" s="155"/>
      <c r="KZ71" s="19"/>
      <c r="MK71" s="12"/>
      <c r="ML71" s="7"/>
    </row>
    <row r="72" spans="3:355" ht="5.0999999999999996" customHeight="1" x14ac:dyDescent="0.3">
      <c r="C72" s="11"/>
      <c r="D72" s="13"/>
      <c r="Q72" s="184" t="s">
        <v>58</v>
      </c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6"/>
      <c r="BF72" s="225">
        <v>3</v>
      </c>
      <c r="BG72" s="226"/>
      <c r="BH72" s="226"/>
      <c r="BI72" s="226"/>
      <c r="BJ72" s="227"/>
      <c r="EX72" s="16"/>
      <c r="JV72" s="155"/>
      <c r="KZ72" s="19"/>
      <c r="MK72" s="12"/>
      <c r="ML72" s="7"/>
    </row>
    <row r="73" spans="3:355" ht="5.0999999999999996" customHeight="1" x14ac:dyDescent="0.3">
      <c r="C73" s="11"/>
      <c r="D73" s="13"/>
      <c r="Q73" s="187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9"/>
      <c r="BF73" s="228"/>
      <c r="BG73" s="229"/>
      <c r="BH73" s="229"/>
      <c r="BI73" s="229"/>
      <c r="BJ73" s="230"/>
      <c r="EX73" s="16"/>
      <c r="JV73" s="155"/>
      <c r="KZ73" s="19"/>
      <c r="MK73" s="12"/>
      <c r="ML73" s="7"/>
    </row>
    <row r="74" spans="3:355" ht="5.0999999999999996" customHeight="1" x14ac:dyDescent="0.3">
      <c r="C74" s="11"/>
      <c r="D74" s="13"/>
      <c r="Q74" s="187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E74" s="189"/>
      <c r="BF74" s="228"/>
      <c r="BG74" s="229"/>
      <c r="BH74" s="229"/>
      <c r="BI74" s="229"/>
      <c r="BJ74" s="230"/>
      <c r="EX74" s="16"/>
      <c r="JV74" s="155"/>
      <c r="KZ74" s="19"/>
      <c r="MK74" s="12"/>
      <c r="ML74" s="7"/>
    </row>
    <row r="75" spans="3:355" ht="5.0999999999999996" customHeight="1" x14ac:dyDescent="0.3">
      <c r="C75" s="11"/>
      <c r="D75" s="13"/>
      <c r="Q75" s="187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E75" s="189"/>
      <c r="BF75" s="228"/>
      <c r="BG75" s="229"/>
      <c r="BH75" s="229"/>
      <c r="BI75" s="229"/>
      <c r="BJ75" s="230"/>
      <c r="EX75" s="16"/>
      <c r="JV75" s="155"/>
      <c r="KZ75" s="19"/>
      <c r="MK75" s="12"/>
      <c r="ML75" s="7"/>
    </row>
    <row r="76" spans="3:355" ht="5.0999999999999996" customHeight="1" x14ac:dyDescent="0.3">
      <c r="C76" s="11"/>
      <c r="D76" s="13"/>
      <c r="Q76" s="187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E76" s="189"/>
      <c r="BF76" s="228"/>
      <c r="BG76" s="229"/>
      <c r="BH76" s="229"/>
      <c r="BI76" s="229"/>
      <c r="BJ76" s="230"/>
      <c r="EX76" s="16"/>
      <c r="JV76" s="155"/>
      <c r="KZ76" s="19"/>
      <c r="MK76" s="12"/>
      <c r="ML76" s="7"/>
    </row>
    <row r="77" spans="3:355" ht="5.0999999999999996" customHeight="1" x14ac:dyDescent="0.3">
      <c r="C77" s="11"/>
      <c r="D77" s="13"/>
      <c r="Q77" s="187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9"/>
      <c r="BF77" s="228"/>
      <c r="BG77" s="229"/>
      <c r="BH77" s="229"/>
      <c r="BI77" s="229"/>
      <c r="BJ77" s="230"/>
      <c r="EX77" s="16"/>
      <c r="JV77" s="155"/>
      <c r="KZ77" s="19"/>
      <c r="MK77" s="12"/>
      <c r="ML77" s="7"/>
    </row>
    <row r="78" spans="3:355" ht="5.0999999999999996" customHeight="1" x14ac:dyDescent="0.3">
      <c r="C78" s="11"/>
      <c r="D78" s="13"/>
      <c r="Q78" s="187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9"/>
      <c r="BF78" s="228"/>
      <c r="BG78" s="229"/>
      <c r="BH78" s="229"/>
      <c r="BI78" s="229"/>
      <c r="BJ78" s="230"/>
      <c r="EX78" s="16"/>
      <c r="JV78" s="155"/>
      <c r="KZ78" s="19"/>
      <c r="MK78" s="12"/>
      <c r="ML78" s="7"/>
    </row>
    <row r="79" spans="3:355" ht="5.0999999999999996" customHeight="1" x14ac:dyDescent="0.3">
      <c r="C79" s="11"/>
      <c r="D79" s="13"/>
      <c r="Q79" s="187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9"/>
      <c r="BF79" s="228"/>
      <c r="BG79" s="229"/>
      <c r="BH79" s="229"/>
      <c r="BI79" s="229"/>
      <c r="BJ79" s="230"/>
      <c r="EX79" s="16"/>
      <c r="JV79" s="155"/>
      <c r="KZ79" s="19"/>
      <c r="MK79" s="12"/>
      <c r="ML79" s="7"/>
    </row>
    <row r="80" spans="3:355" ht="5.0999999999999996" customHeight="1" x14ac:dyDescent="0.3">
      <c r="C80" s="11"/>
      <c r="D80" s="13"/>
      <c r="Q80" s="187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9"/>
      <c r="BF80" s="228"/>
      <c r="BG80" s="229"/>
      <c r="BH80" s="229"/>
      <c r="BI80" s="229"/>
      <c r="BJ80" s="230"/>
      <c r="EX80" s="16"/>
      <c r="JV80" s="155"/>
      <c r="KZ80" s="19"/>
      <c r="MK80" s="12"/>
      <c r="ML80" s="7"/>
    </row>
    <row r="81" spans="3:350" ht="5.0999999999999996" customHeight="1" x14ac:dyDescent="0.3">
      <c r="C81" s="11"/>
      <c r="D81" s="13"/>
      <c r="Q81" s="190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  <c r="BE81" s="192"/>
      <c r="BF81" s="231"/>
      <c r="BG81" s="232"/>
      <c r="BH81" s="232"/>
      <c r="BI81" s="232"/>
      <c r="BJ81" s="233"/>
      <c r="EX81" s="16"/>
      <c r="JV81" s="155"/>
      <c r="KZ81" s="19"/>
      <c r="MK81" s="12"/>
      <c r="ML81" s="7"/>
    </row>
    <row r="82" spans="3:350" ht="5.0999999999999996" customHeight="1" x14ac:dyDescent="0.3">
      <c r="C82" s="11"/>
      <c r="D82" s="13"/>
      <c r="EX82" s="16"/>
      <c r="JV82" s="155"/>
      <c r="KZ82" s="19"/>
      <c r="MK82" s="12"/>
      <c r="ML82" s="7"/>
    </row>
    <row r="83" spans="3:350" ht="5.0999999999999996" customHeight="1" x14ac:dyDescent="0.3">
      <c r="C83" s="11"/>
      <c r="D83" s="13"/>
      <c r="EX83" s="16"/>
      <c r="JV83" s="155"/>
      <c r="KZ83" s="19"/>
      <c r="MK83" s="12"/>
      <c r="ML83" s="7"/>
    </row>
    <row r="84" spans="3:350" ht="5.0999999999999996" customHeight="1" x14ac:dyDescent="0.3">
      <c r="C84" s="11"/>
      <c r="D84" s="13"/>
      <c r="EX84" s="16"/>
      <c r="JV84" s="155"/>
      <c r="KZ84" s="19"/>
      <c r="MK84" s="12"/>
      <c r="ML84" s="7"/>
    </row>
    <row r="85" spans="3:350" ht="5.0999999999999996" customHeight="1" x14ac:dyDescent="0.3">
      <c r="C85" s="11"/>
      <c r="D85" s="13"/>
      <c r="EX85" s="16"/>
      <c r="JV85" s="155"/>
      <c r="KZ85" s="19"/>
      <c r="MK85" s="12"/>
      <c r="ML85" s="7"/>
    </row>
    <row r="86" spans="3:350" ht="5.0999999999999996" customHeight="1" x14ac:dyDescent="0.3">
      <c r="C86" s="11"/>
      <c r="D86" s="13"/>
      <c r="EX86" s="16"/>
      <c r="JV86" s="155"/>
      <c r="KZ86" s="19"/>
      <c r="MK86" s="12"/>
      <c r="ML86" s="7"/>
    </row>
    <row r="87" spans="3:350" ht="5.0999999999999996" customHeight="1" x14ac:dyDescent="0.3">
      <c r="C87" s="11"/>
      <c r="D87" s="13"/>
      <c r="EX87" s="16"/>
      <c r="JV87" s="155"/>
      <c r="KZ87" s="19"/>
      <c r="MK87" s="12"/>
      <c r="ML87" s="7"/>
    </row>
    <row r="88" spans="3:350" ht="5.0999999999999996" customHeight="1" x14ac:dyDescent="0.3">
      <c r="C88" s="11"/>
      <c r="D88" s="13"/>
      <c r="EX88" s="16"/>
      <c r="JV88" s="155"/>
      <c r="KZ88" s="19"/>
      <c r="MK88" s="12"/>
      <c r="ML88" s="7"/>
    </row>
    <row r="89" spans="3:350" ht="5.0999999999999996" customHeight="1" x14ac:dyDescent="0.3">
      <c r="C89" s="11"/>
      <c r="D89" s="13"/>
      <c r="EX89" s="16"/>
      <c r="JV89" s="155"/>
      <c r="KZ89" s="19"/>
      <c r="MK89" s="12"/>
      <c r="ML89" s="7"/>
    </row>
    <row r="90" spans="3:350" ht="5.0999999999999996" customHeight="1" x14ac:dyDescent="0.3">
      <c r="C90" s="11"/>
      <c r="D90" s="13"/>
      <c r="EX90" s="16"/>
      <c r="JV90" s="155"/>
      <c r="KZ90" s="19"/>
      <c r="MK90" s="12"/>
      <c r="ML90" s="7"/>
    </row>
    <row r="91" spans="3:350" ht="5.0999999999999996" customHeight="1" x14ac:dyDescent="0.3">
      <c r="C91" s="11"/>
      <c r="D91" s="13"/>
      <c r="EX91" s="16"/>
      <c r="JV91" s="155"/>
      <c r="KZ91" s="19"/>
      <c r="MK91" s="12"/>
      <c r="ML91" s="7"/>
    </row>
    <row r="92" spans="3:350" ht="5.0999999999999996" customHeight="1" x14ac:dyDescent="0.3">
      <c r="C92" s="11"/>
      <c r="D92" s="13"/>
      <c r="EX92" s="16"/>
      <c r="FX92" s="184" t="s">
        <v>56</v>
      </c>
      <c r="FY92" s="185"/>
      <c r="FZ92" s="185"/>
      <c r="GA92" s="185"/>
      <c r="GB92" s="185"/>
      <c r="GC92" s="185"/>
      <c r="GD92" s="185"/>
      <c r="GE92" s="185"/>
      <c r="GF92" s="185"/>
      <c r="GG92" s="185"/>
      <c r="GH92" s="185"/>
      <c r="GI92" s="185"/>
      <c r="GJ92" s="185"/>
      <c r="GK92" s="185"/>
      <c r="GL92" s="185"/>
      <c r="GM92" s="185"/>
      <c r="GN92" s="185"/>
      <c r="GO92" s="185"/>
      <c r="GP92" s="185"/>
      <c r="GQ92" s="185"/>
      <c r="GR92" s="185"/>
      <c r="GS92" s="185"/>
      <c r="GT92" s="185"/>
      <c r="GU92" s="185"/>
      <c r="GV92" s="185"/>
      <c r="GW92" s="185"/>
      <c r="GX92" s="185"/>
      <c r="GY92" s="185"/>
      <c r="GZ92" s="185"/>
      <c r="HA92" s="185"/>
      <c r="HB92" s="185"/>
      <c r="HC92" s="185"/>
      <c r="HD92" s="185"/>
      <c r="HE92" s="185"/>
      <c r="HF92" s="185"/>
      <c r="HG92" s="185"/>
      <c r="HH92" s="185"/>
      <c r="HI92" s="185"/>
      <c r="HJ92" s="185"/>
      <c r="HK92" s="186"/>
      <c r="HL92" s="184">
        <v>1</v>
      </c>
      <c r="HM92" s="185"/>
      <c r="HN92" s="185"/>
      <c r="HO92" s="185"/>
      <c r="HP92" s="186"/>
      <c r="JV92" s="155"/>
      <c r="KZ92" s="19"/>
      <c r="MK92" s="12"/>
      <c r="ML92" s="7"/>
    </row>
    <row r="93" spans="3:350" ht="5.0999999999999996" customHeight="1" x14ac:dyDescent="0.3">
      <c r="C93" s="11"/>
      <c r="D93" s="13"/>
      <c r="EX93" s="16"/>
      <c r="FX93" s="187"/>
      <c r="FY93" s="188"/>
      <c r="FZ93" s="188"/>
      <c r="GA93" s="188"/>
      <c r="GB93" s="188"/>
      <c r="GC93" s="188"/>
      <c r="GD93" s="188"/>
      <c r="GE93" s="188"/>
      <c r="GF93" s="188"/>
      <c r="GG93" s="188"/>
      <c r="GH93" s="188"/>
      <c r="GI93" s="188"/>
      <c r="GJ93" s="188"/>
      <c r="GK93" s="188"/>
      <c r="GL93" s="188"/>
      <c r="GM93" s="188"/>
      <c r="GN93" s="188"/>
      <c r="GO93" s="188"/>
      <c r="GP93" s="188"/>
      <c r="GQ93" s="188"/>
      <c r="GR93" s="188"/>
      <c r="GS93" s="188"/>
      <c r="GT93" s="188"/>
      <c r="GU93" s="188"/>
      <c r="GV93" s="188"/>
      <c r="GW93" s="188"/>
      <c r="GX93" s="188"/>
      <c r="GY93" s="188"/>
      <c r="GZ93" s="188"/>
      <c r="HA93" s="188"/>
      <c r="HB93" s="188"/>
      <c r="HC93" s="188"/>
      <c r="HD93" s="188"/>
      <c r="HE93" s="188"/>
      <c r="HF93" s="188"/>
      <c r="HG93" s="188"/>
      <c r="HH93" s="188"/>
      <c r="HI93" s="188"/>
      <c r="HJ93" s="188"/>
      <c r="HK93" s="189"/>
      <c r="HL93" s="187"/>
      <c r="HM93" s="188"/>
      <c r="HN93" s="188"/>
      <c r="HO93" s="188"/>
      <c r="HP93" s="189"/>
      <c r="JV93" s="155"/>
      <c r="KZ93" s="19"/>
      <c r="MK93" s="12"/>
      <c r="ML93" s="7"/>
    </row>
    <row r="94" spans="3:350" ht="5.0999999999999996" customHeight="1" x14ac:dyDescent="0.3">
      <c r="C94" s="11"/>
      <c r="D94" s="13"/>
      <c r="EX94" s="16"/>
      <c r="FX94" s="187"/>
      <c r="FY94" s="188"/>
      <c r="FZ94" s="188"/>
      <c r="GA94" s="188"/>
      <c r="GB94" s="188"/>
      <c r="GC94" s="188"/>
      <c r="GD94" s="188"/>
      <c r="GE94" s="188"/>
      <c r="GF94" s="188"/>
      <c r="GG94" s="188"/>
      <c r="GH94" s="188"/>
      <c r="GI94" s="188"/>
      <c r="GJ94" s="188"/>
      <c r="GK94" s="188"/>
      <c r="GL94" s="188"/>
      <c r="GM94" s="188"/>
      <c r="GN94" s="188"/>
      <c r="GO94" s="188"/>
      <c r="GP94" s="188"/>
      <c r="GQ94" s="188"/>
      <c r="GR94" s="188"/>
      <c r="GS94" s="188"/>
      <c r="GT94" s="188"/>
      <c r="GU94" s="188"/>
      <c r="GV94" s="188"/>
      <c r="GW94" s="188"/>
      <c r="GX94" s="188"/>
      <c r="GY94" s="188"/>
      <c r="GZ94" s="188"/>
      <c r="HA94" s="188"/>
      <c r="HB94" s="188"/>
      <c r="HC94" s="188"/>
      <c r="HD94" s="188"/>
      <c r="HE94" s="188"/>
      <c r="HF94" s="188"/>
      <c r="HG94" s="188"/>
      <c r="HH94" s="188"/>
      <c r="HI94" s="188"/>
      <c r="HJ94" s="188"/>
      <c r="HK94" s="189"/>
      <c r="HL94" s="187"/>
      <c r="HM94" s="188"/>
      <c r="HN94" s="188"/>
      <c r="HO94" s="188"/>
      <c r="HP94" s="189"/>
      <c r="JV94" s="155"/>
      <c r="KZ94" s="19"/>
      <c r="MK94" s="12"/>
      <c r="ML94" s="7"/>
    </row>
    <row r="95" spans="3:350" ht="5.0999999999999996" customHeight="1" x14ac:dyDescent="0.3">
      <c r="C95" s="11"/>
      <c r="D95" s="13"/>
      <c r="EX95" s="16"/>
      <c r="FX95" s="187"/>
      <c r="FY95" s="188"/>
      <c r="FZ95" s="188"/>
      <c r="GA95" s="188"/>
      <c r="GB95" s="188"/>
      <c r="GC95" s="188"/>
      <c r="GD95" s="188"/>
      <c r="GE95" s="188"/>
      <c r="GF95" s="188"/>
      <c r="GG95" s="188"/>
      <c r="GH95" s="188"/>
      <c r="GI95" s="188"/>
      <c r="GJ95" s="188"/>
      <c r="GK95" s="188"/>
      <c r="GL95" s="188"/>
      <c r="GM95" s="188"/>
      <c r="GN95" s="188"/>
      <c r="GO95" s="188"/>
      <c r="GP95" s="188"/>
      <c r="GQ95" s="188"/>
      <c r="GR95" s="188"/>
      <c r="GS95" s="188"/>
      <c r="GT95" s="188"/>
      <c r="GU95" s="188"/>
      <c r="GV95" s="188"/>
      <c r="GW95" s="188"/>
      <c r="GX95" s="188"/>
      <c r="GY95" s="188"/>
      <c r="GZ95" s="188"/>
      <c r="HA95" s="188"/>
      <c r="HB95" s="188"/>
      <c r="HC95" s="188"/>
      <c r="HD95" s="188"/>
      <c r="HE95" s="188"/>
      <c r="HF95" s="188"/>
      <c r="HG95" s="188"/>
      <c r="HH95" s="188"/>
      <c r="HI95" s="188"/>
      <c r="HJ95" s="188"/>
      <c r="HK95" s="189"/>
      <c r="HL95" s="187"/>
      <c r="HM95" s="188"/>
      <c r="HN95" s="188"/>
      <c r="HO95" s="188"/>
      <c r="HP95" s="189"/>
      <c r="JV95" s="155"/>
      <c r="KZ95" s="19"/>
      <c r="MK95" s="12"/>
      <c r="ML95" s="7"/>
    </row>
    <row r="96" spans="3:350" ht="5.0999999999999996" customHeight="1" x14ac:dyDescent="0.3">
      <c r="C96" s="11"/>
      <c r="D96" s="13"/>
      <c r="EX96" s="16"/>
      <c r="FX96" s="187"/>
      <c r="FY96" s="188"/>
      <c r="FZ96" s="188"/>
      <c r="GA96" s="188"/>
      <c r="GB96" s="188"/>
      <c r="GC96" s="188"/>
      <c r="GD96" s="188"/>
      <c r="GE96" s="188"/>
      <c r="GF96" s="188"/>
      <c r="GG96" s="188"/>
      <c r="GH96" s="188"/>
      <c r="GI96" s="188"/>
      <c r="GJ96" s="188"/>
      <c r="GK96" s="188"/>
      <c r="GL96" s="188"/>
      <c r="GM96" s="188"/>
      <c r="GN96" s="188"/>
      <c r="GO96" s="188"/>
      <c r="GP96" s="188"/>
      <c r="GQ96" s="188"/>
      <c r="GR96" s="188"/>
      <c r="GS96" s="188"/>
      <c r="GT96" s="188"/>
      <c r="GU96" s="188"/>
      <c r="GV96" s="188"/>
      <c r="GW96" s="188"/>
      <c r="GX96" s="188"/>
      <c r="GY96" s="188"/>
      <c r="GZ96" s="188"/>
      <c r="HA96" s="188"/>
      <c r="HB96" s="188"/>
      <c r="HC96" s="188"/>
      <c r="HD96" s="188"/>
      <c r="HE96" s="188"/>
      <c r="HF96" s="188"/>
      <c r="HG96" s="188"/>
      <c r="HH96" s="188"/>
      <c r="HI96" s="188"/>
      <c r="HJ96" s="188"/>
      <c r="HK96" s="189"/>
      <c r="HL96" s="187"/>
      <c r="HM96" s="188"/>
      <c r="HN96" s="188"/>
      <c r="HO96" s="188"/>
      <c r="HP96" s="189"/>
      <c r="JV96" s="155"/>
      <c r="KZ96" s="19"/>
      <c r="MK96" s="12"/>
      <c r="ML96" s="7"/>
    </row>
    <row r="97" spans="3:355" ht="5.0999999999999996" customHeight="1" x14ac:dyDescent="0.3">
      <c r="C97" s="11"/>
      <c r="D97" s="13"/>
      <c r="BR97" s="184" t="s">
        <v>59</v>
      </c>
      <c r="BS97" s="185"/>
      <c r="BT97" s="185"/>
      <c r="BU97" s="185"/>
      <c r="BV97" s="185"/>
      <c r="BW97" s="185"/>
      <c r="BX97" s="185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6"/>
      <c r="DG97" s="225">
        <v>1</v>
      </c>
      <c r="DH97" s="226"/>
      <c r="DI97" s="226"/>
      <c r="DJ97" s="226"/>
      <c r="DK97" s="227"/>
      <c r="EX97" s="16"/>
      <c r="FX97" s="187"/>
      <c r="FY97" s="188"/>
      <c r="FZ97" s="188"/>
      <c r="GA97" s="188"/>
      <c r="GB97" s="188"/>
      <c r="GC97" s="188"/>
      <c r="GD97" s="188"/>
      <c r="GE97" s="188"/>
      <c r="GF97" s="188"/>
      <c r="GG97" s="188"/>
      <c r="GH97" s="188"/>
      <c r="GI97" s="188"/>
      <c r="GJ97" s="188"/>
      <c r="GK97" s="188"/>
      <c r="GL97" s="188"/>
      <c r="GM97" s="188"/>
      <c r="GN97" s="188"/>
      <c r="GO97" s="188"/>
      <c r="GP97" s="188"/>
      <c r="GQ97" s="188"/>
      <c r="GR97" s="188"/>
      <c r="GS97" s="188"/>
      <c r="GT97" s="188"/>
      <c r="GU97" s="188"/>
      <c r="GV97" s="188"/>
      <c r="GW97" s="188"/>
      <c r="GX97" s="188"/>
      <c r="GY97" s="188"/>
      <c r="GZ97" s="188"/>
      <c r="HA97" s="188"/>
      <c r="HB97" s="188"/>
      <c r="HC97" s="188"/>
      <c r="HD97" s="188"/>
      <c r="HE97" s="188"/>
      <c r="HF97" s="188"/>
      <c r="HG97" s="188"/>
      <c r="HH97" s="188"/>
      <c r="HI97" s="188"/>
      <c r="HJ97" s="188"/>
      <c r="HK97" s="189"/>
      <c r="HL97" s="187"/>
      <c r="HM97" s="188"/>
      <c r="HN97" s="188"/>
      <c r="HO97" s="188"/>
      <c r="HP97" s="189"/>
      <c r="JV97" s="155"/>
      <c r="KZ97" s="19"/>
      <c r="MK97" s="12"/>
      <c r="ML97" s="7"/>
    </row>
    <row r="98" spans="3:355" ht="5.0999999999999996" customHeight="1" x14ac:dyDescent="0.3">
      <c r="C98" s="11"/>
      <c r="D98" s="13"/>
      <c r="BR98" s="187"/>
      <c r="BS98" s="188"/>
      <c r="BT98" s="188"/>
      <c r="BU98" s="188"/>
      <c r="BV98" s="188"/>
      <c r="BW98" s="188"/>
      <c r="BX98" s="188"/>
      <c r="BY98" s="188"/>
      <c r="BZ98" s="188"/>
      <c r="CA98" s="188"/>
      <c r="CB98" s="188"/>
      <c r="CC98" s="188"/>
      <c r="CD98" s="188"/>
      <c r="CE98" s="188"/>
      <c r="CF98" s="188"/>
      <c r="CG98" s="188"/>
      <c r="CH98" s="188"/>
      <c r="CI98" s="188"/>
      <c r="CJ98" s="188"/>
      <c r="CK98" s="188"/>
      <c r="CL98" s="188"/>
      <c r="CM98" s="188"/>
      <c r="CN98" s="188"/>
      <c r="CO98" s="188"/>
      <c r="CP98" s="188"/>
      <c r="CQ98" s="188"/>
      <c r="CR98" s="188"/>
      <c r="CS98" s="188"/>
      <c r="CT98" s="188"/>
      <c r="CU98" s="188"/>
      <c r="CV98" s="188"/>
      <c r="CW98" s="188"/>
      <c r="CX98" s="188"/>
      <c r="CY98" s="188"/>
      <c r="CZ98" s="188"/>
      <c r="DA98" s="188"/>
      <c r="DB98" s="188"/>
      <c r="DC98" s="188"/>
      <c r="DD98" s="188"/>
      <c r="DE98" s="188"/>
      <c r="DF98" s="189"/>
      <c r="DG98" s="228"/>
      <c r="DH98" s="229"/>
      <c r="DI98" s="229"/>
      <c r="DJ98" s="229"/>
      <c r="DK98" s="230"/>
      <c r="EX98" s="16"/>
      <c r="FX98" s="187"/>
      <c r="FY98" s="188"/>
      <c r="FZ98" s="188"/>
      <c r="GA98" s="188"/>
      <c r="GB98" s="188"/>
      <c r="GC98" s="188"/>
      <c r="GD98" s="188"/>
      <c r="GE98" s="188"/>
      <c r="GF98" s="188"/>
      <c r="GG98" s="188"/>
      <c r="GH98" s="188"/>
      <c r="GI98" s="188"/>
      <c r="GJ98" s="188"/>
      <c r="GK98" s="188"/>
      <c r="GL98" s="188"/>
      <c r="GM98" s="188"/>
      <c r="GN98" s="188"/>
      <c r="GO98" s="188"/>
      <c r="GP98" s="188"/>
      <c r="GQ98" s="188"/>
      <c r="GR98" s="188"/>
      <c r="GS98" s="188"/>
      <c r="GT98" s="188"/>
      <c r="GU98" s="188"/>
      <c r="GV98" s="188"/>
      <c r="GW98" s="188"/>
      <c r="GX98" s="188"/>
      <c r="GY98" s="188"/>
      <c r="GZ98" s="188"/>
      <c r="HA98" s="188"/>
      <c r="HB98" s="188"/>
      <c r="HC98" s="188"/>
      <c r="HD98" s="188"/>
      <c r="HE98" s="188"/>
      <c r="HF98" s="188"/>
      <c r="HG98" s="188"/>
      <c r="HH98" s="188"/>
      <c r="HI98" s="188"/>
      <c r="HJ98" s="188"/>
      <c r="HK98" s="189"/>
      <c r="HL98" s="187"/>
      <c r="HM98" s="188"/>
      <c r="HN98" s="188"/>
      <c r="HO98" s="188"/>
      <c r="HP98" s="189"/>
      <c r="JV98" s="155"/>
      <c r="KZ98" s="19"/>
      <c r="MK98" s="12"/>
      <c r="ML98" s="7"/>
    </row>
    <row r="99" spans="3:355" ht="5.0999999999999996" customHeight="1" x14ac:dyDescent="0.3">
      <c r="C99" s="11"/>
      <c r="D99" s="13"/>
      <c r="BR99" s="187"/>
      <c r="BS99" s="188"/>
      <c r="BT99" s="188"/>
      <c r="BU99" s="188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8"/>
      <c r="CG99" s="188"/>
      <c r="CH99" s="188"/>
      <c r="CI99" s="188"/>
      <c r="CJ99" s="188"/>
      <c r="CK99" s="188"/>
      <c r="CL99" s="188"/>
      <c r="CM99" s="188"/>
      <c r="CN99" s="188"/>
      <c r="CO99" s="188"/>
      <c r="CP99" s="188"/>
      <c r="CQ99" s="188"/>
      <c r="CR99" s="188"/>
      <c r="CS99" s="188"/>
      <c r="CT99" s="188"/>
      <c r="CU99" s="188"/>
      <c r="CV99" s="188"/>
      <c r="CW99" s="188"/>
      <c r="CX99" s="188"/>
      <c r="CY99" s="188"/>
      <c r="CZ99" s="188"/>
      <c r="DA99" s="188"/>
      <c r="DB99" s="188"/>
      <c r="DC99" s="188"/>
      <c r="DD99" s="188"/>
      <c r="DE99" s="188"/>
      <c r="DF99" s="189"/>
      <c r="DG99" s="228"/>
      <c r="DH99" s="229"/>
      <c r="DI99" s="229"/>
      <c r="DJ99" s="229"/>
      <c r="DK99" s="230"/>
      <c r="EX99" s="16"/>
      <c r="FX99" s="187"/>
      <c r="FY99" s="188"/>
      <c r="FZ99" s="188"/>
      <c r="GA99" s="188"/>
      <c r="GB99" s="188"/>
      <c r="GC99" s="188"/>
      <c r="GD99" s="188"/>
      <c r="GE99" s="188"/>
      <c r="GF99" s="188"/>
      <c r="GG99" s="188"/>
      <c r="GH99" s="188"/>
      <c r="GI99" s="188"/>
      <c r="GJ99" s="188"/>
      <c r="GK99" s="188"/>
      <c r="GL99" s="188"/>
      <c r="GM99" s="188"/>
      <c r="GN99" s="188"/>
      <c r="GO99" s="188"/>
      <c r="GP99" s="188"/>
      <c r="GQ99" s="188"/>
      <c r="GR99" s="188"/>
      <c r="GS99" s="188"/>
      <c r="GT99" s="188"/>
      <c r="GU99" s="188"/>
      <c r="GV99" s="188"/>
      <c r="GW99" s="188"/>
      <c r="GX99" s="188"/>
      <c r="GY99" s="188"/>
      <c r="GZ99" s="188"/>
      <c r="HA99" s="188"/>
      <c r="HB99" s="188"/>
      <c r="HC99" s="188"/>
      <c r="HD99" s="188"/>
      <c r="HE99" s="188"/>
      <c r="HF99" s="188"/>
      <c r="HG99" s="188"/>
      <c r="HH99" s="188"/>
      <c r="HI99" s="188"/>
      <c r="HJ99" s="188"/>
      <c r="HK99" s="189"/>
      <c r="HL99" s="187"/>
      <c r="HM99" s="188"/>
      <c r="HN99" s="188"/>
      <c r="HO99" s="188"/>
      <c r="HP99" s="189"/>
      <c r="JV99" s="155"/>
      <c r="KZ99" s="19"/>
      <c r="MK99" s="12"/>
      <c r="ML99" s="7"/>
    </row>
    <row r="100" spans="3:355" ht="5.0999999999999996" customHeight="1" x14ac:dyDescent="0.3">
      <c r="C100" s="11"/>
      <c r="D100" s="13"/>
      <c r="BR100" s="187"/>
      <c r="BS100" s="188"/>
      <c r="BT100" s="188"/>
      <c r="BU100" s="188"/>
      <c r="BV100" s="188"/>
      <c r="BW100" s="188"/>
      <c r="BX100" s="188"/>
      <c r="BY100" s="188"/>
      <c r="BZ100" s="188"/>
      <c r="CA100" s="188"/>
      <c r="CB100" s="188"/>
      <c r="CC100" s="188"/>
      <c r="CD100" s="188"/>
      <c r="CE100" s="188"/>
      <c r="CF100" s="188"/>
      <c r="CG100" s="188"/>
      <c r="CH100" s="188"/>
      <c r="CI100" s="188"/>
      <c r="CJ100" s="188"/>
      <c r="CK100" s="188"/>
      <c r="CL100" s="188"/>
      <c r="CM100" s="188"/>
      <c r="CN100" s="188"/>
      <c r="CO100" s="188"/>
      <c r="CP100" s="188"/>
      <c r="CQ100" s="188"/>
      <c r="CR100" s="188"/>
      <c r="CS100" s="188"/>
      <c r="CT100" s="188"/>
      <c r="CU100" s="188"/>
      <c r="CV100" s="188"/>
      <c r="CW100" s="188"/>
      <c r="CX100" s="188"/>
      <c r="CY100" s="188"/>
      <c r="CZ100" s="188"/>
      <c r="DA100" s="188"/>
      <c r="DB100" s="188"/>
      <c r="DC100" s="188"/>
      <c r="DD100" s="188"/>
      <c r="DE100" s="188"/>
      <c r="DF100" s="189"/>
      <c r="DG100" s="228"/>
      <c r="DH100" s="229"/>
      <c r="DI100" s="229"/>
      <c r="DJ100" s="229"/>
      <c r="DK100" s="230"/>
      <c r="EX100" s="16"/>
      <c r="FX100" s="187"/>
      <c r="FY100" s="188"/>
      <c r="FZ100" s="188"/>
      <c r="GA100" s="188"/>
      <c r="GB100" s="188"/>
      <c r="GC100" s="188"/>
      <c r="GD100" s="188"/>
      <c r="GE100" s="188"/>
      <c r="GF100" s="188"/>
      <c r="GG100" s="188"/>
      <c r="GH100" s="188"/>
      <c r="GI100" s="188"/>
      <c r="GJ100" s="188"/>
      <c r="GK100" s="188"/>
      <c r="GL100" s="188"/>
      <c r="GM100" s="188"/>
      <c r="GN100" s="188"/>
      <c r="GO100" s="188"/>
      <c r="GP100" s="188"/>
      <c r="GQ100" s="188"/>
      <c r="GR100" s="188"/>
      <c r="GS100" s="188"/>
      <c r="GT100" s="188"/>
      <c r="GU100" s="188"/>
      <c r="GV100" s="188"/>
      <c r="GW100" s="188"/>
      <c r="GX100" s="188"/>
      <c r="GY100" s="188"/>
      <c r="GZ100" s="188"/>
      <c r="HA100" s="188"/>
      <c r="HB100" s="188"/>
      <c r="HC100" s="188"/>
      <c r="HD100" s="188"/>
      <c r="HE100" s="188"/>
      <c r="HF100" s="188"/>
      <c r="HG100" s="188"/>
      <c r="HH100" s="188"/>
      <c r="HI100" s="188"/>
      <c r="HJ100" s="188"/>
      <c r="HK100" s="189"/>
      <c r="HL100" s="187"/>
      <c r="HM100" s="188"/>
      <c r="HN100" s="188"/>
      <c r="HO100" s="188"/>
      <c r="HP100" s="189"/>
      <c r="JV100" s="155"/>
      <c r="KZ100" s="19"/>
      <c r="MK100" s="12"/>
      <c r="ML100" s="7"/>
    </row>
    <row r="101" spans="3:355" ht="5.0999999999999996" customHeight="1" thickBot="1" x14ac:dyDescent="0.35">
      <c r="C101" s="11"/>
      <c r="D101" s="13"/>
      <c r="BR101" s="187"/>
      <c r="BS101" s="188"/>
      <c r="BT101" s="188"/>
      <c r="BU101" s="188"/>
      <c r="BV101" s="188"/>
      <c r="BW101" s="188"/>
      <c r="BX101" s="188"/>
      <c r="BY101" s="188"/>
      <c r="BZ101" s="188"/>
      <c r="CA101" s="188"/>
      <c r="CB101" s="188"/>
      <c r="CC101" s="188"/>
      <c r="CD101" s="188"/>
      <c r="CE101" s="188"/>
      <c r="CF101" s="188"/>
      <c r="CG101" s="188"/>
      <c r="CH101" s="188"/>
      <c r="CI101" s="188"/>
      <c r="CJ101" s="188"/>
      <c r="CK101" s="188"/>
      <c r="CL101" s="188"/>
      <c r="CM101" s="188"/>
      <c r="CN101" s="188"/>
      <c r="CO101" s="188"/>
      <c r="CP101" s="188"/>
      <c r="CQ101" s="188"/>
      <c r="CR101" s="188"/>
      <c r="CS101" s="188"/>
      <c r="CT101" s="188"/>
      <c r="CU101" s="188"/>
      <c r="CV101" s="188"/>
      <c r="CW101" s="188"/>
      <c r="CX101" s="188"/>
      <c r="CY101" s="188"/>
      <c r="CZ101" s="188"/>
      <c r="DA101" s="188"/>
      <c r="DB101" s="188"/>
      <c r="DC101" s="188"/>
      <c r="DD101" s="188"/>
      <c r="DE101" s="188"/>
      <c r="DF101" s="189"/>
      <c r="DG101" s="228"/>
      <c r="DH101" s="229"/>
      <c r="DI101" s="229"/>
      <c r="DJ101" s="229"/>
      <c r="DK101" s="230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148"/>
      <c r="EX101" s="16"/>
      <c r="FX101" s="190"/>
      <c r="FY101" s="191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/>
      <c r="GL101" s="191"/>
      <c r="GM101" s="191"/>
      <c r="GN101" s="191"/>
      <c r="GO101" s="191"/>
      <c r="GP101" s="191"/>
      <c r="GQ101" s="191"/>
      <c r="GR101" s="191"/>
      <c r="GS101" s="191"/>
      <c r="GT101" s="191"/>
      <c r="GU101" s="191"/>
      <c r="GV101" s="191"/>
      <c r="GW101" s="191"/>
      <c r="GX101" s="191"/>
      <c r="GY101" s="191"/>
      <c r="GZ101" s="191"/>
      <c r="HA101" s="191"/>
      <c r="HB101" s="191"/>
      <c r="HC101" s="191"/>
      <c r="HD101" s="191"/>
      <c r="HE101" s="191"/>
      <c r="HF101" s="191"/>
      <c r="HG101" s="191"/>
      <c r="HH101" s="191"/>
      <c r="HI101" s="191"/>
      <c r="HJ101" s="191"/>
      <c r="HK101" s="192"/>
      <c r="HL101" s="190"/>
      <c r="HM101" s="191"/>
      <c r="HN101" s="191"/>
      <c r="HO101" s="191"/>
      <c r="HP101" s="192"/>
      <c r="JV101" s="155"/>
      <c r="KZ101" s="19"/>
      <c r="MK101" s="12"/>
      <c r="ML101" s="7"/>
    </row>
    <row r="102" spans="3:355" ht="5.0999999999999996" customHeight="1" x14ac:dyDescent="0.3">
      <c r="C102" s="11"/>
      <c r="D102" s="13"/>
      <c r="BR102" s="187"/>
      <c r="BS102" s="188"/>
      <c r="BT102" s="188"/>
      <c r="BU102" s="188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8"/>
      <c r="CH102" s="188"/>
      <c r="CI102" s="188"/>
      <c r="CJ102" s="188"/>
      <c r="CK102" s="188"/>
      <c r="CL102" s="188"/>
      <c r="CM102" s="188"/>
      <c r="CN102" s="188"/>
      <c r="CO102" s="188"/>
      <c r="CP102" s="188"/>
      <c r="CQ102" s="188"/>
      <c r="CR102" s="188"/>
      <c r="CS102" s="188"/>
      <c r="CT102" s="188"/>
      <c r="CU102" s="188"/>
      <c r="CV102" s="188"/>
      <c r="CW102" s="188"/>
      <c r="CX102" s="188"/>
      <c r="CY102" s="188"/>
      <c r="CZ102" s="188"/>
      <c r="DA102" s="188"/>
      <c r="DB102" s="188"/>
      <c r="DC102" s="188"/>
      <c r="DD102" s="188"/>
      <c r="DE102" s="188"/>
      <c r="DF102" s="189"/>
      <c r="DG102" s="228"/>
      <c r="DH102" s="229"/>
      <c r="DI102" s="229"/>
      <c r="DJ102" s="229"/>
      <c r="DK102" s="230"/>
      <c r="EW102" s="19"/>
      <c r="EX102" s="22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48"/>
      <c r="FX102" s="184" t="s">
        <v>55</v>
      </c>
      <c r="FY102" s="185"/>
      <c r="FZ102" s="185"/>
      <c r="GA102" s="185"/>
      <c r="GB102" s="185"/>
      <c r="GC102" s="185"/>
      <c r="GD102" s="185"/>
      <c r="GE102" s="185"/>
      <c r="GF102" s="185"/>
      <c r="GG102" s="185"/>
      <c r="GH102" s="185"/>
      <c r="GI102" s="185"/>
      <c r="GJ102" s="185"/>
      <c r="GK102" s="185"/>
      <c r="GL102" s="185"/>
      <c r="GM102" s="185"/>
      <c r="GN102" s="185"/>
      <c r="GO102" s="185"/>
      <c r="GP102" s="185"/>
      <c r="GQ102" s="185"/>
      <c r="GR102" s="185"/>
      <c r="GS102" s="185"/>
      <c r="GT102" s="185"/>
      <c r="GU102" s="185"/>
      <c r="GV102" s="185"/>
      <c r="GW102" s="185"/>
      <c r="GX102" s="185"/>
      <c r="GY102" s="185"/>
      <c r="GZ102" s="185"/>
      <c r="HA102" s="185"/>
      <c r="HB102" s="185"/>
      <c r="HC102" s="185"/>
      <c r="HD102" s="185"/>
      <c r="HE102" s="185"/>
      <c r="HF102" s="185"/>
      <c r="HG102" s="185"/>
      <c r="HH102" s="185"/>
      <c r="HI102" s="185"/>
      <c r="HJ102" s="185"/>
      <c r="HK102" s="186"/>
      <c r="HL102" s="184">
        <v>2</v>
      </c>
      <c r="HM102" s="185"/>
      <c r="HN102" s="185"/>
      <c r="HO102" s="185"/>
      <c r="HP102" s="186"/>
      <c r="JV102" s="155"/>
      <c r="KZ102" s="19"/>
      <c r="MK102" s="12"/>
      <c r="ML102" s="7"/>
    </row>
    <row r="103" spans="3:355" ht="5.0999999999999996" customHeight="1" x14ac:dyDescent="0.3">
      <c r="C103" s="11"/>
      <c r="D103" s="13"/>
      <c r="BR103" s="187"/>
      <c r="BS103" s="188"/>
      <c r="BT103" s="188"/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8"/>
      <c r="CH103" s="188"/>
      <c r="CI103" s="188"/>
      <c r="CJ103" s="188"/>
      <c r="CK103" s="188"/>
      <c r="CL103" s="188"/>
      <c r="CM103" s="188"/>
      <c r="CN103" s="188"/>
      <c r="CO103" s="188"/>
      <c r="CP103" s="188"/>
      <c r="CQ103" s="188"/>
      <c r="CR103" s="188"/>
      <c r="CS103" s="188"/>
      <c r="CT103" s="188"/>
      <c r="CU103" s="188"/>
      <c r="CV103" s="188"/>
      <c r="CW103" s="188"/>
      <c r="CX103" s="188"/>
      <c r="CY103" s="188"/>
      <c r="CZ103" s="188"/>
      <c r="DA103" s="188"/>
      <c r="DB103" s="188"/>
      <c r="DC103" s="188"/>
      <c r="DD103" s="188"/>
      <c r="DE103" s="188"/>
      <c r="DF103" s="189"/>
      <c r="DG103" s="228"/>
      <c r="DH103" s="229"/>
      <c r="DI103" s="229"/>
      <c r="DJ103" s="229"/>
      <c r="DK103" s="230"/>
      <c r="EW103" s="19"/>
      <c r="EX103" s="16"/>
      <c r="FX103" s="187"/>
      <c r="FY103" s="188"/>
      <c r="FZ103" s="188"/>
      <c r="GA103" s="188"/>
      <c r="GB103" s="188"/>
      <c r="GC103" s="188"/>
      <c r="GD103" s="188"/>
      <c r="GE103" s="188"/>
      <c r="GF103" s="188"/>
      <c r="GG103" s="188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8"/>
      <c r="GW103" s="188"/>
      <c r="GX103" s="188"/>
      <c r="GY103" s="188"/>
      <c r="GZ103" s="188"/>
      <c r="HA103" s="188"/>
      <c r="HB103" s="188"/>
      <c r="HC103" s="188"/>
      <c r="HD103" s="188"/>
      <c r="HE103" s="188"/>
      <c r="HF103" s="188"/>
      <c r="HG103" s="188"/>
      <c r="HH103" s="188"/>
      <c r="HI103" s="188"/>
      <c r="HJ103" s="188"/>
      <c r="HK103" s="189"/>
      <c r="HL103" s="187"/>
      <c r="HM103" s="188"/>
      <c r="HN103" s="188"/>
      <c r="HO103" s="188"/>
      <c r="HP103" s="189"/>
      <c r="HW103" s="1" t="s">
        <v>14</v>
      </c>
      <c r="JV103" s="155"/>
      <c r="KZ103" s="19"/>
      <c r="MK103" s="12"/>
      <c r="ML103" s="7"/>
    </row>
    <row r="104" spans="3:355" ht="5.0999999999999996" customHeight="1" x14ac:dyDescent="0.3">
      <c r="C104" s="11"/>
      <c r="D104" s="13"/>
      <c r="BR104" s="187"/>
      <c r="BS104" s="188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8"/>
      <c r="CH104" s="188"/>
      <c r="CI104" s="188"/>
      <c r="CJ104" s="188"/>
      <c r="CK104" s="188"/>
      <c r="CL104" s="188"/>
      <c r="CM104" s="188"/>
      <c r="CN104" s="188"/>
      <c r="CO104" s="188"/>
      <c r="CP104" s="188"/>
      <c r="CQ104" s="188"/>
      <c r="CR104" s="188"/>
      <c r="CS104" s="188"/>
      <c r="CT104" s="188"/>
      <c r="CU104" s="188"/>
      <c r="CV104" s="188"/>
      <c r="CW104" s="188"/>
      <c r="CX104" s="188"/>
      <c r="CY104" s="188"/>
      <c r="CZ104" s="188"/>
      <c r="DA104" s="188"/>
      <c r="DB104" s="188"/>
      <c r="DC104" s="188"/>
      <c r="DD104" s="188"/>
      <c r="DE104" s="188"/>
      <c r="DF104" s="189"/>
      <c r="DG104" s="228"/>
      <c r="DH104" s="229"/>
      <c r="DI104" s="229"/>
      <c r="DJ104" s="229"/>
      <c r="DK104" s="230"/>
      <c r="EX104" s="16"/>
      <c r="FX104" s="187"/>
      <c r="FY104" s="188"/>
      <c r="FZ104" s="188"/>
      <c r="GA104" s="188"/>
      <c r="GB104" s="188"/>
      <c r="GC104" s="188"/>
      <c r="GD104" s="188"/>
      <c r="GE104" s="188"/>
      <c r="GF104" s="188"/>
      <c r="GG104" s="188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8"/>
      <c r="GW104" s="188"/>
      <c r="GX104" s="188"/>
      <c r="GY104" s="188"/>
      <c r="GZ104" s="188"/>
      <c r="HA104" s="188"/>
      <c r="HB104" s="188"/>
      <c r="HC104" s="188"/>
      <c r="HD104" s="188"/>
      <c r="HE104" s="188"/>
      <c r="HF104" s="188"/>
      <c r="HG104" s="188"/>
      <c r="HH104" s="188"/>
      <c r="HI104" s="188"/>
      <c r="HJ104" s="188"/>
      <c r="HK104" s="189"/>
      <c r="HL104" s="187"/>
      <c r="HM104" s="188"/>
      <c r="HN104" s="188"/>
      <c r="HO104" s="188"/>
      <c r="HP104" s="189"/>
      <c r="JV104" s="155"/>
      <c r="KZ104" s="19"/>
      <c r="MK104" s="12"/>
      <c r="ML104" s="7"/>
    </row>
    <row r="105" spans="3:355" ht="5.0999999999999996" customHeight="1" x14ac:dyDescent="0.3">
      <c r="C105" s="11"/>
      <c r="D105" s="13"/>
      <c r="BR105" s="187"/>
      <c r="BS105" s="188"/>
      <c r="BT105" s="188"/>
      <c r="BU105" s="188"/>
      <c r="BV105" s="188"/>
      <c r="BW105" s="188"/>
      <c r="BX105" s="188"/>
      <c r="BY105" s="188"/>
      <c r="BZ105" s="188"/>
      <c r="CA105" s="188"/>
      <c r="CB105" s="188"/>
      <c r="CC105" s="188"/>
      <c r="CD105" s="188"/>
      <c r="CE105" s="188"/>
      <c r="CF105" s="188"/>
      <c r="CG105" s="188"/>
      <c r="CH105" s="188"/>
      <c r="CI105" s="188"/>
      <c r="CJ105" s="188"/>
      <c r="CK105" s="188"/>
      <c r="CL105" s="188"/>
      <c r="CM105" s="188"/>
      <c r="CN105" s="188"/>
      <c r="CO105" s="188"/>
      <c r="CP105" s="188"/>
      <c r="CQ105" s="188"/>
      <c r="CR105" s="188"/>
      <c r="CS105" s="188"/>
      <c r="CT105" s="188"/>
      <c r="CU105" s="188"/>
      <c r="CV105" s="188"/>
      <c r="CW105" s="188"/>
      <c r="CX105" s="188"/>
      <c r="CY105" s="188"/>
      <c r="CZ105" s="188"/>
      <c r="DA105" s="188"/>
      <c r="DB105" s="188"/>
      <c r="DC105" s="188"/>
      <c r="DD105" s="188"/>
      <c r="DE105" s="188"/>
      <c r="DF105" s="189"/>
      <c r="DG105" s="228"/>
      <c r="DH105" s="229"/>
      <c r="DI105" s="229"/>
      <c r="DJ105" s="229"/>
      <c r="DK105" s="230"/>
      <c r="EX105" s="16"/>
      <c r="FX105" s="187"/>
      <c r="FY105" s="188"/>
      <c r="FZ105" s="188"/>
      <c r="GA105" s="188"/>
      <c r="GB105" s="188"/>
      <c r="GC105" s="188"/>
      <c r="GD105" s="188"/>
      <c r="GE105" s="188"/>
      <c r="GF105" s="188"/>
      <c r="GG105" s="188"/>
      <c r="GH105" s="188"/>
      <c r="GI105" s="188"/>
      <c r="GJ105" s="188"/>
      <c r="GK105" s="188"/>
      <c r="GL105" s="188"/>
      <c r="GM105" s="188"/>
      <c r="GN105" s="188"/>
      <c r="GO105" s="188"/>
      <c r="GP105" s="188"/>
      <c r="GQ105" s="188"/>
      <c r="GR105" s="188"/>
      <c r="GS105" s="188"/>
      <c r="GT105" s="188"/>
      <c r="GU105" s="188"/>
      <c r="GV105" s="188"/>
      <c r="GW105" s="188"/>
      <c r="GX105" s="188"/>
      <c r="GY105" s="188"/>
      <c r="GZ105" s="188"/>
      <c r="HA105" s="188"/>
      <c r="HB105" s="188"/>
      <c r="HC105" s="188"/>
      <c r="HD105" s="188"/>
      <c r="HE105" s="188"/>
      <c r="HF105" s="188"/>
      <c r="HG105" s="188"/>
      <c r="HH105" s="188"/>
      <c r="HI105" s="188"/>
      <c r="HJ105" s="188"/>
      <c r="HK105" s="189"/>
      <c r="HL105" s="187"/>
      <c r="HM105" s="188"/>
      <c r="HN105" s="188"/>
      <c r="HO105" s="188"/>
      <c r="HP105" s="189"/>
      <c r="JV105" s="155"/>
      <c r="KZ105" s="19"/>
      <c r="MK105" s="12"/>
      <c r="ML105" s="7"/>
    </row>
    <row r="106" spans="3:355" ht="5.0999999999999996" customHeight="1" x14ac:dyDescent="0.3">
      <c r="C106" s="11"/>
      <c r="D106" s="13"/>
      <c r="BR106" s="190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2"/>
      <c r="DG106" s="231"/>
      <c r="DH106" s="232"/>
      <c r="DI106" s="232"/>
      <c r="DJ106" s="232"/>
      <c r="DK106" s="233"/>
      <c r="EX106" s="16"/>
      <c r="FX106" s="187"/>
      <c r="FY106" s="188"/>
      <c r="FZ106" s="188"/>
      <c r="GA106" s="188"/>
      <c r="GB106" s="188"/>
      <c r="GC106" s="188"/>
      <c r="GD106" s="188"/>
      <c r="GE106" s="188"/>
      <c r="GF106" s="188"/>
      <c r="GG106" s="188"/>
      <c r="GH106" s="188"/>
      <c r="GI106" s="188"/>
      <c r="GJ106" s="188"/>
      <c r="GK106" s="188"/>
      <c r="GL106" s="188"/>
      <c r="GM106" s="188"/>
      <c r="GN106" s="188"/>
      <c r="GO106" s="188"/>
      <c r="GP106" s="188"/>
      <c r="GQ106" s="188"/>
      <c r="GR106" s="188"/>
      <c r="GS106" s="188"/>
      <c r="GT106" s="188"/>
      <c r="GU106" s="188"/>
      <c r="GV106" s="188"/>
      <c r="GW106" s="188"/>
      <c r="GX106" s="188"/>
      <c r="GY106" s="188"/>
      <c r="GZ106" s="188"/>
      <c r="HA106" s="188"/>
      <c r="HB106" s="188"/>
      <c r="HC106" s="188"/>
      <c r="HD106" s="188"/>
      <c r="HE106" s="188"/>
      <c r="HF106" s="188"/>
      <c r="HG106" s="188"/>
      <c r="HH106" s="188"/>
      <c r="HI106" s="188"/>
      <c r="HJ106" s="188"/>
      <c r="HK106" s="189"/>
      <c r="HL106" s="187"/>
      <c r="HM106" s="188"/>
      <c r="HN106" s="188"/>
      <c r="HO106" s="188"/>
      <c r="HP106" s="189"/>
      <c r="JV106" s="155"/>
      <c r="KZ106" s="19"/>
      <c r="MK106" s="12"/>
      <c r="ML106" s="7"/>
    </row>
    <row r="107" spans="3:355" ht="5.0999999999999996" customHeight="1" x14ac:dyDescent="0.3">
      <c r="C107" s="11"/>
      <c r="D107" s="13"/>
      <c r="EX107" s="16"/>
      <c r="FX107" s="187"/>
      <c r="FY107" s="188"/>
      <c r="FZ107" s="188"/>
      <c r="GA107" s="188"/>
      <c r="GB107" s="188"/>
      <c r="GC107" s="188"/>
      <c r="GD107" s="188"/>
      <c r="GE107" s="188"/>
      <c r="GF107" s="188"/>
      <c r="GG107" s="188"/>
      <c r="GH107" s="188"/>
      <c r="GI107" s="188"/>
      <c r="GJ107" s="188"/>
      <c r="GK107" s="188"/>
      <c r="GL107" s="188"/>
      <c r="GM107" s="188"/>
      <c r="GN107" s="188"/>
      <c r="GO107" s="188"/>
      <c r="GP107" s="188"/>
      <c r="GQ107" s="188"/>
      <c r="GR107" s="188"/>
      <c r="GS107" s="188"/>
      <c r="GT107" s="188"/>
      <c r="GU107" s="188"/>
      <c r="GV107" s="188"/>
      <c r="GW107" s="188"/>
      <c r="GX107" s="188"/>
      <c r="GY107" s="188"/>
      <c r="GZ107" s="188"/>
      <c r="HA107" s="188"/>
      <c r="HB107" s="188"/>
      <c r="HC107" s="188"/>
      <c r="HD107" s="188"/>
      <c r="HE107" s="188"/>
      <c r="HF107" s="188"/>
      <c r="HG107" s="188"/>
      <c r="HH107" s="188"/>
      <c r="HI107" s="188"/>
      <c r="HJ107" s="188"/>
      <c r="HK107" s="189"/>
      <c r="HL107" s="187"/>
      <c r="HM107" s="188"/>
      <c r="HN107" s="188"/>
      <c r="HO107" s="188"/>
      <c r="HP107" s="189"/>
      <c r="JV107" s="155"/>
      <c r="KZ107" s="19"/>
      <c r="MK107" s="12"/>
      <c r="ML107" s="7"/>
    </row>
    <row r="108" spans="3:355" ht="5.0999999999999996" customHeight="1" x14ac:dyDescent="0.3">
      <c r="C108" s="11"/>
      <c r="D108" s="13"/>
      <c r="EX108" s="16"/>
      <c r="FX108" s="187"/>
      <c r="FY108" s="188"/>
      <c r="FZ108" s="188"/>
      <c r="GA108" s="188"/>
      <c r="GB108" s="188"/>
      <c r="GC108" s="188"/>
      <c r="GD108" s="188"/>
      <c r="GE108" s="188"/>
      <c r="GF108" s="188"/>
      <c r="GG108" s="188"/>
      <c r="GH108" s="188"/>
      <c r="GI108" s="188"/>
      <c r="GJ108" s="188"/>
      <c r="GK108" s="188"/>
      <c r="GL108" s="188"/>
      <c r="GM108" s="188"/>
      <c r="GN108" s="188"/>
      <c r="GO108" s="188"/>
      <c r="GP108" s="188"/>
      <c r="GQ108" s="188"/>
      <c r="GR108" s="188"/>
      <c r="GS108" s="188"/>
      <c r="GT108" s="188"/>
      <c r="GU108" s="188"/>
      <c r="GV108" s="188"/>
      <c r="GW108" s="188"/>
      <c r="GX108" s="188"/>
      <c r="GY108" s="188"/>
      <c r="GZ108" s="188"/>
      <c r="HA108" s="188"/>
      <c r="HB108" s="188"/>
      <c r="HC108" s="188"/>
      <c r="HD108" s="188"/>
      <c r="HE108" s="188"/>
      <c r="HF108" s="188"/>
      <c r="HG108" s="188"/>
      <c r="HH108" s="188"/>
      <c r="HI108" s="188"/>
      <c r="HJ108" s="188"/>
      <c r="HK108" s="189"/>
      <c r="HL108" s="187"/>
      <c r="HM108" s="188"/>
      <c r="HN108" s="188"/>
      <c r="HO108" s="188"/>
      <c r="HP108" s="189"/>
      <c r="JV108" s="155"/>
      <c r="KZ108" s="19"/>
      <c r="MK108" s="12"/>
      <c r="ML108" s="7"/>
    </row>
    <row r="109" spans="3:355" ht="5.0999999999999996" customHeight="1" x14ac:dyDescent="0.3">
      <c r="C109" s="11"/>
      <c r="D109" s="13"/>
      <c r="EX109" s="16"/>
      <c r="FX109" s="187"/>
      <c r="FY109" s="188"/>
      <c r="FZ109" s="188"/>
      <c r="GA109" s="188"/>
      <c r="GB109" s="188"/>
      <c r="GC109" s="188"/>
      <c r="GD109" s="188"/>
      <c r="GE109" s="188"/>
      <c r="GF109" s="188"/>
      <c r="GG109" s="188"/>
      <c r="GH109" s="188"/>
      <c r="GI109" s="188"/>
      <c r="GJ109" s="188"/>
      <c r="GK109" s="188"/>
      <c r="GL109" s="188"/>
      <c r="GM109" s="188"/>
      <c r="GN109" s="188"/>
      <c r="GO109" s="188"/>
      <c r="GP109" s="188"/>
      <c r="GQ109" s="188"/>
      <c r="GR109" s="188"/>
      <c r="GS109" s="188"/>
      <c r="GT109" s="188"/>
      <c r="GU109" s="188"/>
      <c r="GV109" s="188"/>
      <c r="GW109" s="188"/>
      <c r="GX109" s="188"/>
      <c r="GY109" s="188"/>
      <c r="GZ109" s="188"/>
      <c r="HA109" s="188"/>
      <c r="HB109" s="188"/>
      <c r="HC109" s="188"/>
      <c r="HD109" s="188"/>
      <c r="HE109" s="188"/>
      <c r="HF109" s="188"/>
      <c r="HG109" s="188"/>
      <c r="HH109" s="188"/>
      <c r="HI109" s="188"/>
      <c r="HJ109" s="188"/>
      <c r="HK109" s="189"/>
      <c r="HL109" s="187"/>
      <c r="HM109" s="188"/>
      <c r="HN109" s="188"/>
      <c r="HO109" s="188"/>
      <c r="HP109" s="189"/>
      <c r="JV109" s="155"/>
      <c r="KZ109" s="19"/>
      <c r="MK109" s="12"/>
      <c r="ML109" s="7"/>
    </row>
    <row r="110" spans="3:355" ht="5.0999999999999996" customHeight="1" x14ac:dyDescent="0.3">
      <c r="C110" s="11"/>
      <c r="D110" s="13"/>
      <c r="EX110" s="16"/>
      <c r="FX110" s="187"/>
      <c r="FY110" s="188"/>
      <c r="FZ110" s="188"/>
      <c r="GA110" s="188"/>
      <c r="GB110" s="188"/>
      <c r="GC110" s="188"/>
      <c r="GD110" s="188"/>
      <c r="GE110" s="188"/>
      <c r="GF110" s="188"/>
      <c r="GG110" s="188"/>
      <c r="GH110" s="188"/>
      <c r="GI110" s="188"/>
      <c r="GJ110" s="188"/>
      <c r="GK110" s="188"/>
      <c r="GL110" s="188"/>
      <c r="GM110" s="188"/>
      <c r="GN110" s="188"/>
      <c r="GO110" s="188"/>
      <c r="GP110" s="188"/>
      <c r="GQ110" s="188"/>
      <c r="GR110" s="188"/>
      <c r="GS110" s="188"/>
      <c r="GT110" s="188"/>
      <c r="GU110" s="188"/>
      <c r="GV110" s="188"/>
      <c r="GW110" s="188"/>
      <c r="GX110" s="188"/>
      <c r="GY110" s="188"/>
      <c r="GZ110" s="188"/>
      <c r="HA110" s="188"/>
      <c r="HB110" s="188"/>
      <c r="HC110" s="188"/>
      <c r="HD110" s="188"/>
      <c r="HE110" s="188"/>
      <c r="HF110" s="188"/>
      <c r="HG110" s="188"/>
      <c r="HH110" s="188"/>
      <c r="HI110" s="188"/>
      <c r="HJ110" s="188"/>
      <c r="HK110" s="189"/>
      <c r="HL110" s="187"/>
      <c r="HM110" s="188"/>
      <c r="HN110" s="188"/>
      <c r="HO110" s="188"/>
      <c r="HP110" s="189"/>
      <c r="JV110" s="155"/>
      <c r="KZ110" s="19"/>
      <c r="MK110" s="12"/>
      <c r="ML110" s="7"/>
    </row>
    <row r="111" spans="3:355" ht="5.0999999999999996" customHeight="1" x14ac:dyDescent="0.3">
      <c r="C111" s="11"/>
      <c r="D111" s="13"/>
      <c r="EX111" s="16"/>
      <c r="FX111" s="190"/>
      <c r="FY111" s="191"/>
      <c r="FZ111" s="191"/>
      <c r="GA111" s="191"/>
      <c r="GB111" s="191"/>
      <c r="GC111" s="191"/>
      <c r="GD111" s="191"/>
      <c r="GE111" s="191"/>
      <c r="GF111" s="191"/>
      <c r="GG111" s="191"/>
      <c r="GH111" s="191"/>
      <c r="GI111" s="191"/>
      <c r="GJ111" s="191"/>
      <c r="GK111" s="191"/>
      <c r="GL111" s="191"/>
      <c r="GM111" s="191"/>
      <c r="GN111" s="191"/>
      <c r="GO111" s="191"/>
      <c r="GP111" s="191"/>
      <c r="GQ111" s="191"/>
      <c r="GR111" s="191"/>
      <c r="GS111" s="191"/>
      <c r="GT111" s="191"/>
      <c r="GU111" s="191"/>
      <c r="GV111" s="191"/>
      <c r="GW111" s="191"/>
      <c r="GX111" s="191"/>
      <c r="GY111" s="191"/>
      <c r="GZ111" s="191"/>
      <c r="HA111" s="191"/>
      <c r="HB111" s="191"/>
      <c r="HC111" s="191"/>
      <c r="HD111" s="191"/>
      <c r="HE111" s="191"/>
      <c r="HF111" s="191"/>
      <c r="HG111" s="191"/>
      <c r="HH111" s="191"/>
      <c r="HI111" s="191"/>
      <c r="HJ111" s="191"/>
      <c r="HK111" s="192"/>
      <c r="HL111" s="190"/>
      <c r="HM111" s="191"/>
      <c r="HN111" s="191"/>
      <c r="HO111" s="191"/>
      <c r="HP111" s="192"/>
      <c r="JV111" s="155"/>
      <c r="KZ111" s="19"/>
      <c r="MK111" s="12"/>
      <c r="ML111" s="7"/>
    </row>
    <row r="112" spans="3:355" ht="5.0999999999999996" customHeight="1" x14ac:dyDescent="0.3">
      <c r="C112" s="11"/>
      <c r="D112" s="13"/>
      <c r="EX112" s="16"/>
      <c r="JV112" s="155"/>
      <c r="KZ112" s="19"/>
      <c r="MK112" s="12"/>
      <c r="ML112" s="7"/>
      <c r="MM112" s="3"/>
      <c r="MN112" s="3"/>
      <c r="MO112" s="3"/>
      <c r="MP112" s="3"/>
      <c r="MQ112" s="2"/>
    </row>
    <row r="113" spans="3:374" ht="5.0999999999999996" customHeight="1" x14ac:dyDescent="0.3">
      <c r="C113" s="11"/>
      <c r="D113" s="13"/>
      <c r="EX113" s="16"/>
      <c r="JV113" s="155"/>
      <c r="KZ113" s="19"/>
      <c r="MK113" s="12"/>
      <c r="ML113" s="7"/>
      <c r="MM113" s="3"/>
      <c r="MN113" s="3"/>
      <c r="MO113" s="3"/>
      <c r="MP113" s="3"/>
      <c r="MQ113" s="2"/>
    </row>
    <row r="114" spans="3:374" ht="5.0999999999999996" customHeight="1" thickBot="1" x14ac:dyDescent="0.35">
      <c r="C114" s="11"/>
      <c r="D114" s="13"/>
      <c r="EX114" s="16"/>
      <c r="JV114" s="155"/>
      <c r="KZ114" s="19"/>
      <c r="MK114" s="12"/>
      <c r="ML114" s="7"/>
      <c r="MM114" s="3"/>
      <c r="MN114" s="3"/>
      <c r="MO114" s="3"/>
      <c r="MP114" s="3"/>
      <c r="MQ114" s="2"/>
    </row>
    <row r="115" spans="3:374" ht="5.0999999999999996" customHeight="1" x14ac:dyDescent="0.3">
      <c r="C115" s="11"/>
      <c r="D115" s="13"/>
      <c r="AN115" s="22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2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0"/>
      <c r="JV115" s="155"/>
      <c r="KZ115" s="19"/>
      <c r="MK115" s="12"/>
      <c r="ML115" s="7"/>
      <c r="MM115" s="3"/>
      <c r="MN115" s="3"/>
      <c r="MO115" s="3"/>
      <c r="MP115" s="3"/>
      <c r="MQ115" s="2"/>
    </row>
    <row r="116" spans="3:374" ht="5.0999999999999996" customHeight="1" x14ac:dyDescent="0.3">
      <c r="C116" s="11"/>
      <c r="D116" s="13"/>
      <c r="AH116" s="9"/>
      <c r="AI116" s="9"/>
      <c r="AJ116" s="9"/>
      <c r="AK116" s="9"/>
      <c r="AL116" s="9"/>
      <c r="AM116" s="9"/>
      <c r="AN116" s="15"/>
      <c r="AO116" s="9"/>
      <c r="AP116" s="9"/>
      <c r="EX116" s="15"/>
      <c r="IS116" s="19"/>
      <c r="JV116" s="155"/>
      <c r="KC116" s="311" t="s">
        <v>33</v>
      </c>
      <c r="KD116" s="312"/>
      <c r="KE116" s="312"/>
      <c r="KF116" s="312"/>
      <c r="KG116" s="312"/>
      <c r="KH116" s="312"/>
      <c r="KI116" s="312"/>
      <c r="KJ116" s="312"/>
      <c r="KK116" s="312"/>
      <c r="KL116" s="312"/>
      <c r="KM116" s="312"/>
      <c r="KN116" s="312"/>
      <c r="KO116" s="312"/>
      <c r="KP116" s="312"/>
      <c r="KQ116" s="312"/>
      <c r="KR116" s="312"/>
      <c r="KS116" s="312"/>
      <c r="KT116" s="312"/>
      <c r="KU116" s="312"/>
      <c r="KV116" s="312"/>
      <c r="KW116" s="312"/>
      <c r="KX116" s="312"/>
      <c r="KY116" s="312"/>
      <c r="KZ116" s="312"/>
      <c r="LA116" s="312"/>
      <c r="LB116" s="312"/>
      <c r="LC116" s="312"/>
      <c r="LD116" s="312"/>
      <c r="LE116" s="312"/>
      <c r="LF116" s="312"/>
      <c r="LG116" s="312"/>
      <c r="LH116" s="312"/>
      <c r="LI116" s="312"/>
      <c r="LJ116" s="312"/>
      <c r="LK116" s="312"/>
      <c r="LL116" s="312"/>
      <c r="LM116" s="312"/>
      <c r="LN116" s="312"/>
      <c r="LO116" s="312"/>
      <c r="LP116" s="312"/>
      <c r="LQ116" s="313"/>
      <c r="LR116" s="320">
        <f>SUM(LR128:LV231)</f>
        <v>15</v>
      </c>
      <c r="LS116" s="321"/>
      <c r="LT116" s="321"/>
      <c r="LU116" s="321"/>
      <c r="LV116" s="322"/>
      <c r="MK116" s="12"/>
      <c r="ML116" s="7"/>
      <c r="MM116" s="3"/>
      <c r="MN116" s="3"/>
      <c r="MO116" s="3"/>
      <c r="MP116" s="3"/>
      <c r="MQ116" s="2"/>
      <c r="NE116" s="3"/>
      <c r="NF116" s="3"/>
      <c r="NG116" s="3"/>
      <c r="NH116" s="3"/>
      <c r="NI116" s="3"/>
      <c r="NJ116" s="2"/>
    </row>
    <row r="117" spans="3:374" ht="5.0999999999999996" customHeight="1" x14ac:dyDescent="0.3">
      <c r="C117" s="11"/>
      <c r="D117" s="13"/>
      <c r="Q117" s="206" t="s">
        <v>13</v>
      </c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8"/>
      <c r="BF117" s="206">
        <f>SUM(BF129,BF141:BJ240)</f>
        <v>14</v>
      </c>
      <c r="BG117" s="207"/>
      <c r="BH117" s="207"/>
      <c r="BI117" s="207"/>
      <c r="BJ117" s="208"/>
      <c r="EA117" s="265" t="s">
        <v>12</v>
      </c>
      <c r="EB117" s="265"/>
      <c r="EC117" s="265"/>
      <c r="ED117" s="265"/>
      <c r="EE117" s="265"/>
      <c r="EF117" s="265"/>
      <c r="EG117" s="265"/>
      <c r="EH117" s="265"/>
      <c r="EI117" s="265"/>
      <c r="EJ117" s="265"/>
      <c r="EK117" s="265"/>
      <c r="EL117" s="265"/>
      <c r="EM117" s="265"/>
      <c r="EN117" s="265"/>
      <c r="EO117" s="265"/>
      <c r="EP117" s="265"/>
      <c r="EQ117" s="265"/>
      <c r="ER117" s="265"/>
      <c r="ES117" s="265"/>
      <c r="ET117" s="265"/>
      <c r="EU117" s="265"/>
      <c r="EV117" s="265"/>
      <c r="EW117" s="265"/>
      <c r="EX117" s="265"/>
      <c r="EY117" s="265"/>
      <c r="EZ117" s="265"/>
      <c r="FA117" s="265"/>
      <c r="FB117" s="265"/>
      <c r="FC117" s="265"/>
      <c r="FD117" s="265"/>
      <c r="FE117" s="265"/>
      <c r="FF117" s="265"/>
      <c r="FG117" s="265"/>
      <c r="FH117" s="265"/>
      <c r="FI117" s="265"/>
      <c r="FJ117" s="265"/>
      <c r="FK117" s="265"/>
      <c r="FL117" s="265"/>
      <c r="FM117" s="265"/>
      <c r="FN117" s="302">
        <f>SUM(DQ147,FO147,HL147,FN129)</f>
        <v>17</v>
      </c>
      <c r="FO117" s="303"/>
      <c r="FP117" s="303"/>
      <c r="FQ117" s="303"/>
      <c r="FR117" s="304"/>
      <c r="HU117" s="14"/>
      <c r="HW117" s="195" t="s">
        <v>11</v>
      </c>
      <c r="HX117" s="196"/>
      <c r="HY117" s="196"/>
      <c r="HZ117" s="196"/>
      <c r="IA117" s="196"/>
      <c r="IB117" s="196"/>
      <c r="IC117" s="196"/>
      <c r="ID117" s="196"/>
      <c r="IE117" s="196"/>
      <c r="IF117" s="196"/>
      <c r="IG117" s="196"/>
      <c r="IH117" s="196"/>
      <c r="II117" s="196"/>
      <c r="IJ117" s="196"/>
      <c r="IK117" s="196"/>
      <c r="IL117" s="196"/>
      <c r="IM117" s="196"/>
      <c r="IN117" s="196"/>
      <c r="IO117" s="196"/>
      <c r="IP117" s="196"/>
      <c r="IQ117" s="196"/>
      <c r="IR117" s="196"/>
      <c r="IS117" s="196"/>
      <c r="IT117" s="196"/>
      <c r="IU117" s="196"/>
      <c r="IV117" s="196"/>
      <c r="IW117" s="196"/>
      <c r="IX117" s="196"/>
      <c r="IY117" s="196"/>
      <c r="IZ117" s="196"/>
      <c r="JA117" s="196"/>
      <c r="JB117" s="196"/>
      <c r="JC117" s="196"/>
      <c r="JD117" s="196"/>
      <c r="JE117" s="196"/>
      <c r="JF117" s="196"/>
      <c r="JG117" s="196"/>
      <c r="JH117" s="196"/>
      <c r="JI117" s="196"/>
      <c r="JJ117" s="196"/>
      <c r="JK117" s="204">
        <f>JK127</f>
        <v>10</v>
      </c>
      <c r="JL117" s="204"/>
      <c r="JM117" s="204"/>
      <c r="JN117" s="204"/>
      <c r="JO117" s="204"/>
      <c r="JP117" s="204"/>
      <c r="JV117" s="155"/>
      <c r="KC117" s="314"/>
      <c r="KD117" s="315"/>
      <c r="KE117" s="315"/>
      <c r="KF117" s="315"/>
      <c r="KG117" s="315"/>
      <c r="KH117" s="315"/>
      <c r="KI117" s="315"/>
      <c r="KJ117" s="315"/>
      <c r="KK117" s="315"/>
      <c r="KL117" s="315"/>
      <c r="KM117" s="315"/>
      <c r="KN117" s="315"/>
      <c r="KO117" s="315"/>
      <c r="KP117" s="315"/>
      <c r="KQ117" s="315"/>
      <c r="KR117" s="315"/>
      <c r="KS117" s="315"/>
      <c r="KT117" s="315"/>
      <c r="KU117" s="315"/>
      <c r="KV117" s="315"/>
      <c r="KW117" s="315"/>
      <c r="KX117" s="315"/>
      <c r="KY117" s="315"/>
      <c r="KZ117" s="315"/>
      <c r="LA117" s="315"/>
      <c r="LB117" s="315"/>
      <c r="LC117" s="315"/>
      <c r="LD117" s="315"/>
      <c r="LE117" s="315"/>
      <c r="LF117" s="315"/>
      <c r="LG117" s="315"/>
      <c r="LH117" s="315"/>
      <c r="LI117" s="315"/>
      <c r="LJ117" s="315"/>
      <c r="LK117" s="315"/>
      <c r="LL117" s="315"/>
      <c r="LM117" s="315"/>
      <c r="LN117" s="315"/>
      <c r="LO117" s="315"/>
      <c r="LP117" s="315"/>
      <c r="LQ117" s="316"/>
      <c r="LR117" s="323"/>
      <c r="LS117" s="324"/>
      <c r="LT117" s="324"/>
      <c r="LU117" s="324"/>
      <c r="LV117" s="325"/>
      <c r="MK117" s="12"/>
      <c r="ML117" s="7"/>
      <c r="MM117" s="3"/>
      <c r="MN117" s="3"/>
      <c r="MO117" s="3"/>
      <c r="MP117" s="3"/>
      <c r="MQ117" s="2"/>
      <c r="NE117" s="3"/>
      <c r="NF117" s="3"/>
      <c r="NG117" s="3"/>
      <c r="NH117" s="3"/>
      <c r="NI117" s="3"/>
      <c r="NJ117" s="2"/>
    </row>
    <row r="118" spans="3:374" ht="5.0999999999999996" customHeight="1" x14ac:dyDescent="0.3">
      <c r="C118" s="11"/>
      <c r="D118" s="13"/>
      <c r="Q118" s="209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1"/>
      <c r="BF118" s="209"/>
      <c r="BG118" s="210"/>
      <c r="BH118" s="210"/>
      <c r="BI118" s="210"/>
      <c r="BJ118" s="211"/>
      <c r="EA118" s="265"/>
      <c r="EB118" s="265"/>
      <c r="EC118" s="265"/>
      <c r="ED118" s="265"/>
      <c r="EE118" s="265"/>
      <c r="EF118" s="265"/>
      <c r="EG118" s="265"/>
      <c r="EH118" s="265"/>
      <c r="EI118" s="265"/>
      <c r="EJ118" s="265"/>
      <c r="EK118" s="265"/>
      <c r="EL118" s="265"/>
      <c r="EM118" s="265"/>
      <c r="EN118" s="265"/>
      <c r="EO118" s="265"/>
      <c r="EP118" s="265"/>
      <c r="EQ118" s="265"/>
      <c r="ER118" s="265"/>
      <c r="ES118" s="265"/>
      <c r="ET118" s="265"/>
      <c r="EU118" s="265"/>
      <c r="EV118" s="265"/>
      <c r="EW118" s="265"/>
      <c r="EX118" s="265"/>
      <c r="EY118" s="265"/>
      <c r="EZ118" s="265"/>
      <c r="FA118" s="265"/>
      <c r="FB118" s="265"/>
      <c r="FC118" s="265"/>
      <c r="FD118" s="265"/>
      <c r="FE118" s="265"/>
      <c r="FF118" s="265"/>
      <c r="FG118" s="265"/>
      <c r="FH118" s="265"/>
      <c r="FI118" s="265"/>
      <c r="FJ118" s="265"/>
      <c r="FK118" s="265"/>
      <c r="FL118" s="265"/>
      <c r="FM118" s="265"/>
      <c r="FN118" s="305"/>
      <c r="FO118" s="306"/>
      <c r="FP118" s="306"/>
      <c r="FQ118" s="306"/>
      <c r="FR118" s="307"/>
      <c r="HU118" s="14"/>
      <c r="HW118" s="198"/>
      <c r="HX118" s="199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  <c r="IW118" s="199"/>
      <c r="IX118" s="199"/>
      <c r="IY118" s="199"/>
      <c r="IZ118" s="199"/>
      <c r="JA118" s="199"/>
      <c r="JB118" s="199"/>
      <c r="JC118" s="199"/>
      <c r="JD118" s="199"/>
      <c r="JE118" s="199"/>
      <c r="JF118" s="199"/>
      <c r="JG118" s="199"/>
      <c r="JH118" s="199"/>
      <c r="JI118" s="199"/>
      <c r="JJ118" s="199"/>
      <c r="JK118" s="204"/>
      <c r="JL118" s="204"/>
      <c r="JM118" s="204"/>
      <c r="JN118" s="204"/>
      <c r="JO118" s="204"/>
      <c r="JP118" s="204"/>
      <c r="JV118" s="155"/>
      <c r="KC118" s="314"/>
      <c r="KD118" s="315"/>
      <c r="KE118" s="315"/>
      <c r="KF118" s="315"/>
      <c r="KG118" s="315"/>
      <c r="KH118" s="315"/>
      <c r="KI118" s="315"/>
      <c r="KJ118" s="315"/>
      <c r="KK118" s="315"/>
      <c r="KL118" s="315"/>
      <c r="KM118" s="315"/>
      <c r="KN118" s="315"/>
      <c r="KO118" s="315"/>
      <c r="KP118" s="315"/>
      <c r="KQ118" s="315"/>
      <c r="KR118" s="315"/>
      <c r="KS118" s="315"/>
      <c r="KT118" s="315"/>
      <c r="KU118" s="315"/>
      <c r="KV118" s="315"/>
      <c r="KW118" s="315"/>
      <c r="KX118" s="315"/>
      <c r="KY118" s="315"/>
      <c r="KZ118" s="315"/>
      <c r="LA118" s="315"/>
      <c r="LB118" s="315"/>
      <c r="LC118" s="315"/>
      <c r="LD118" s="315"/>
      <c r="LE118" s="315"/>
      <c r="LF118" s="315"/>
      <c r="LG118" s="315"/>
      <c r="LH118" s="315"/>
      <c r="LI118" s="315"/>
      <c r="LJ118" s="315"/>
      <c r="LK118" s="315"/>
      <c r="LL118" s="315"/>
      <c r="LM118" s="315"/>
      <c r="LN118" s="315"/>
      <c r="LO118" s="315"/>
      <c r="LP118" s="315"/>
      <c r="LQ118" s="316"/>
      <c r="LR118" s="323"/>
      <c r="LS118" s="324"/>
      <c r="LT118" s="324"/>
      <c r="LU118" s="324"/>
      <c r="LV118" s="325"/>
      <c r="MK118" s="12"/>
      <c r="ML118" s="7"/>
      <c r="MM118" s="3"/>
      <c r="MN118" s="3"/>
      <c r="MO118" s="3"/>
      <c r="MP118" s="3"/>
      <c r="MQ118" s="2"/>
      <c r="NE118" s="3"/>
      <c r="NF118" s="3"/>
      <c r="NG118" s="3"/>
      <c r="NH118" s="3"/>
      <c r="NI118" s="3"/>
      <c r="NJ118" s="2"/>
    </row>
    <row r="119" spans="3:374" ht="5.0999999999999996" customHeight="1" x14ac:dyDescent="0.3">
      <c r="C119" s="11"/>
      <c r="D119" s="13"/>
      <c r="Q119" s="209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1"/>
      <c r="BF119" s="209"/>
      <c r="BG119" s="210"/>
      <c r="BH119" s="210"/>
      <c r="BI119" s="210"/>
      <c r="BJ119" s="211"/>
      <c r="EA119" s="265"/>
      <c r="EB119" s="265"/>
      <c r="EC119" s="265"/>
      <c r="ED119" s="265"/>
      <c r="EE119" s="265"/>
      <c r="EF119" s="265"/>
      <c r="EG119" s="265"/>
      <c r="EH119" s="265"/>
      <c r="EI119" s="265"/>
      <c r="EJ119" s="265"/>
      <c r="EK119" s="265"/>
      <c r="EL119" s="265"/>
      <c r="EM119" s="265"/>
      <c r="EN119" s="265"/>
      <c r="EO119" s="265"/>
      <c r="EP119" s="265"/>
      <c r="EQ119" s="265"/>
      <c r="ER119" s="265"/>
      <c r="ES119" s="265"/>
      <c r="ET119" s="265"/>
      <c r="EU119" s="265"/>
      <c r="EV119" s="265"/>
      <c r="EW119" s="265"/>
      <c r="EX119" s="265"/>
      <c r="EY119" s="265"/>
      <c r="EZ119" s="265"/>
      <c r="FA119" s="265"/>
      <c r="FB119" s="265"/>
      <c r="FC119" s="265"/>
      <c r="FD119" s="265"/>
      <c r="FE119" s="265"/>
      <c r="FF119" s="265"/>
      <c r="FG119" s="265"/>
      <c r="FH119" s="265"/>
      <c r="FI119" s="265"/>
      <c r="FJ119" s="265"/>
      <c r="FK119" s="265"/>
      <c r="FL119" s="265"/>
      <c r="FM119" s="265"/>
      <c r="FN119" s="305"/>
      <c r="FO119" s="306"/>
      <c r="FP119" s="306"/>
      <c r="FQ119" s="306"/>
      <c r="FR119" s="307"/>
      <c r="HU119" s="14"/>
      <c r="HW119" s="198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  <c r="IW119" s="199"/>
      <c r="IX119" s="199"/>
      <c r="IY119" s="199"/>
      <c r="IZ119" s="199"/>
      <c r="JA119" s="199"/>
      <c r="JB119" s="199"/>
      <c r="JC119" s="199"/>
      <c r="JD119" s="199"/>
      <c r="JE119" s="199"/>
      <c r="JF119" s="199"/>
      <c r="JG119" s="199"/>
      <c r="JH119" s="199"/>
      <c r="JI119" s="199"/>
      <c r="JJ119" s="199"/>
      <c r="JK119" s="204"/>
      <c r="JL119" s="204"/>
      <c r="JM119" s="204"/>
      <c r="JN119" s="204"/>
      <c r="JO119" s="204"/>
      <c r="JP119" s="204"/>
      <c r="JV119" s="155"/>
      <c r="KC119" s="314"/>
      <c r="KD119" s="315"/>
      <c r="KE119" s="315"/>
      <c r="KF119" s="315"/>
      <c r="KG119" s="315"/>
      <c r="KH119" s="315"/>
      <c r="KI119" s="315"/>
      <c r="KJ119" s="315"/>
      <c r="KK119" s="315"/>
      <c r="KL119" s="315"/>
      <c r="KM119" s="315"/>
      <c r="KN119" s="315"/>
      <c r="KO119" s="315"/>
      <c r="KP119" s="315"/>
      <c r="KQ119" s="315"/>
      <c r="KR119" s="315"/>
      <c r="KS119" s="315"/>
      <c r="KT119" s="315"/>
      <c r="KU119" s="315"/>
      <c r="KV119" s="315"/>
      <c r="KW119" s="315"/>
      <c r="KX119" s="315"/>
      <c r="KY119" s="315"/>
      <c r="KZ119" s="315"/>
      <c r="LA119" s="315"/>
      <c r="LB119" s="315"/>
      <c r="LC119" s="315"/>
      <c r="LD119" s="315"/>
      <c r="LE119" s="315"/>
      <c r="LF119" s="315"/>
      <c r="LG119" s="315"/>
      <c r="LH119" s="315"/>
      <c r="LI119" s="315"/>
      <c r="LJ119" s="315"/>
      <c r="LK119" s="315"/>
      <c r="LL119" s="315"/>
      <c r="LM119" s="315"/>
      <c r="LN119" s="315"/>
      <c r="LO119" s="315"/>
      <c r="LP119" s="315"/>
      <c r="LQ119" s="316"/>
      <c r="LR119" s="323"/>
      <c r="LS119" s="324"/>
      <c r="LT119" s="324"/>
      <c r="LU119" s="324"/>
      <c r="LV119" s="325"/>
      <c r="MK119" s="12"/>
      <c r="ML119" s="7"/>
      <c r="MM119" s="3"/>
      <c r="MN119" s="3"/>
      <c r="MO119" s="3"/>
      <c r="MP119" s="3"/>
      <c r="MQ119" s="2"/>
      <c r="NE119" s="3"/>
      <c r="NF119" s="3"/>
      <c r="NG119" s="3"/>
      <c r="NH119" s="3"/>
      <c r="NI119" s="3"/>
      <c r="NJ119" s="2"/>
    </row>
    <row r="120" spans="3:374" ht="5.0999999999999996" customHeight="1" x14ac:dyDescent="0.3">
      <c r="C120" s="11"/>
      <c r="D120" s="13"/>
      <c r="Q120" s="209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1"/>
      <c r="BF120" s="209"/>
      <c r="BG120" s="210"/>
      <c r="BH120" s="210"/>
      <c r="BI120" s="210"/>
      <c r="BJ120" s="211"/>
      <c r="EA120" s="265"/>
      <c r="EB120" s="265"/>
      <c r="EC120" s="265"/>
      <c r="ED120" s="265"/>
      <c r="EE120" s="265"/>
      <c r="EF120" s="265"/>
      <c r="EG120" s="265"/>
      <c r="EH120" s="265"/>
      <c r="EI120" s="265"/>
      <c r="EJ120" s="265"/>
      <c r="EK120" s="265"/>
      <c r="EL120" s="265"/>
      <c r="EM120" s="265"/>
      <c r="EN120" s="265"/>
      <c r="EO120" s="265"/>
      <c r="EP120" s="265"/>
      <c r="EQ120" s="265"/>
      <c r="ER120" s="265"/>
      <c r="ES120" s="265"/>
      <c r="ET120" s="265"/>
      <c r="EU120" s="265"/>
      <c r="EV120" s="265"/>
      <c r="EW120" s="265"/>
      <c r="EX120" s="265"/>
      <c r="EY120" s="265"/>
      <c r="EZ120" s="265"/>
      <c r="FA120" s="265"/>
      <c r="FB120" s="265"/>
      <c r="FC120" s="265"/>
      <c r="FD120" s="265"/>
      <c r="FE120" s="265"/>
      <c r="FF120" s="265"/>
      <c r="FG120" s="265"/>
      <c r="FH120" s="265"/>
      <c r="FI120" s="265"/>
      <c r="FJ120" s="265"/>
      <c r="FK120" s="265"/>
      <c r="FL120" s="265"/>
      <c r="FM120" s="265"/>
      <c r="FN120" s="305"/>
      <c r="FO120" s="306"/>
      <c r="FP120" s="306"/>
      <c r="FQ120" s="306"/>
      <c r="FR120" s="307"/>
      <c r="HU120" s="14"/>
      <c r="HW120" s="198"/>
      <c r="HX120" s="199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  <c r="IW120" s="199"/>
      <c r="IX120" s="199"/>
      <c r="IY120" s="199"/>
      <c r="IZ120" s="199"/>
      <c r="JA120" s="199"/>
      <c r="JB120" s="199"/>
      <c r="JC120" s="199"/>
      <c r="JD120" s="199"/>
      <c r="JE120" s="199"/>
      <c r="JF120" s="199"/>
      <c r="JG120" s="199"/>
      <c r="JH120" s="199"/>
      <c r="JI120" s="199"/>
      <c r="JJ120" s="199"/>
      <c r="JK120" s="204"/>
      <c r="JL120" s="204"/>
      <c r="JM120" s="204"/>
      <c r="JN120" s="204"/>
      <c r="JO120" s="204"/>
      <c r="JP120" s="204"/>
      <c r="JV120" s="155"/>
      <c r="KC120" s="314"/>
      <c r="KD120" s="315"/>
      <c r="KE120" s="315"/>
      <c r="KF120" s="315"/>
      <c r="KG120" s="315"/>
      <c r="KH120" s="315"/>
      <c r="KI120" s="315"/>
      <c r="KJ120" s="315"/>
      <c r="KK120" s="315"/>
      <c r="KL120" s="315"/>
      <c r="KM120" s="315"/>
      <c r="KN120" s="315"/>
      <c r="KO120" s="315"/>
      <c r="KP120" s="315"/>
      <c r="KQ120" s="315"/>
      <c r="KR120" s="315"/>
      <c r="KS120" s="315"/>
      <c r="KT120" s="315"/>
      <c r="KU120" s="315"/>
      <c r="KV120" s="315"/>
      <c r="KW120" s="315"/>
      <c r="KX120" s="315"/>
      <c r="KY120" s="315"/>
      <c r="KZ120" s="315"/>
      <c r="LA120" s="315"/>
      <c r="LB120" s="315"/>
      <c r="LC120" s="315"/>
      <c r="LD120" s="315"/>
      <c r="LE120" s="315"/>
      <c r="LF120" s="315"/>
      <c r="LG120" s="315"/>
      <c r="LH120" s="315"/>
      <c r="LI120" s="315"/>
      <c r="LJ120" s="315"/>
      <c r="LK120" s="315"/>
      <c r="LL120" s="315"/>
      <c r="LM120" s="315"/>
      <c r="LN120" s="315"/>
      <c r="LO120" s="315"/>
      <c r="LP120" s="315"/>
      <c r="LQ120" s="316"/>
      <c r="LR120" s="323"/>
      <c r="LS120" s="324"/>
      <c r="LT120" s="324"/>
      <c r="LU120" s="324"/>
      <c r="LV120" s="325"/>
      <c r="MK120" s="12"/>
      <c r="ML120" s="7"/>
      <c r="MM120" s="3"/>
      <c r="MN120" s="3"/>
      <c r="MO120" s="3"/>
      <c r="MP120" s="3"/>
      <c r="MQ120" s="2"/>
      <c r="NE120" s="3"/>
      <c r="NF120" s="3"/>
      <c r="NG120" s="3"/>
      <c r="NH120" s="3"/>
      <c r="NI120" s="3"/>
      <c r="NJ120" s="2"/>
    </row>
    <row r="121" spans="3:374" ht="5.0999999999999996" customHeight="1" thickBot="1" x14ac:dyDescent="0.35">
      <c r="C121" s="11"/>
      <c r="D121" s="13"/>
      <c r="Q121" s="209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1"/>
      <c r="BF121" s="209"/>
      <c r="BG121" s="210"/>
      <c r="BH121" s="210"/>
      <c r="BI121" s="210"/>
      <c r="BJ121" s="211"/>
      <c r="EA121" s="265"/>
      <c r="EB121" s="265"/>
      <c r="EC121" s="265"/>
      <c r="ED121" s="265"/>
      <c r="EE121" s="265"/>
      <c r="EF121" s="265"/>
      <c r="EG121" s="265"/>
      <c r="EH121" s="265"/>
      <c r="EI121" s="265"/>
      <c r="EJ121" s="265"/>
      <c r="EK121" s="265"/>
      <c r="EL121" s="265"/>
      <c r="EM121" s="265"/>
      <c r="EN121" s="265"/>
      <c r="EO121" s="265"/>
      <c r="EP121" s="265"/>
      <c r="EQ121" s="265"/>
      <c r="ER121" s="265"/>
      <c r="ES121" s="265"/>
      <c r="ET121" s="265"/>
      <c r="EU121" s="265"/>
      <c r="EV121" s="265"/>
      <c r="EW121" s="265"/>
      <c r="EX121" s="265"/>
      <c r="EY121" s="265"/>
      <c r="EZ121" s="265"/>
      <c r="FA121" s="265"/>
      <c r="FB121" s="265"/>
      <c r="FC121" s="265"/>
      <c r="FD121" s="265"/>
      <c r="FE121" s="265"/>
      <c r="FF121" s="265"/>
      <c r="FG121" s="265"/>
      <c r="FH121" s="265"/>
      <c r="FI121" s="265"/>
      <c r="FJ121" s="265"/>
      <c r="FK121" s="265"/>
      <c r="FL121" s="265"/>
      <c r="FM121" s="265"/>
      <c r="FN121" s="305"/>
      <c r="FO121" s="306"/>
      <c r="FP121" s="306"/>
      <c r="FQ121" s="306"/>
      <c r="FR121" s="307"/>
      <c r="HU121" s="14"/>
      <c r="HW121" s="198"/>
      <c r="HX121" s="199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  <c r="IW121" s="199"/>
      <c r="IX121" s="199"/>
      <c r="IY121" s="199"/>
      <c r="IZ121" s="199"/>
      <c r="JA121" s="199"/>
      <c r="JB121" s="199"/>
      <c r="JC121" s="199"/>
      <c r="JD121" s="199"/>
      <c r="JE121" s="199"/>
      <c r="JF121" s="199"/>
      <c r="JG121" s="199"/>
      <c r="JH121" s="199"/>
      <c r="JI121" s="199"/>
      <c r="JJ121" s="199"/>
      <c r="JK121" s="204"/>
      <c r="JL121" s="204"/>
      <c r="JM121" s="204"/>
      <c r="JN121" s="204"/>
      <c r="JO121" s="204"/>
      <c r="JP121" s="204"/>
      <c r="JV121" s="155"/>
      <c r="KC121" s="314"/>
      <c r="KD121" s="315"/>
      <c r="KE121" s="315"/>
      <c r="KF121" s="315"/>
      <c r="KG121" s="315"/>
      <c r="KH121" s="315"/>
      <c r="KI121" s="315"/>
      <c r="KJ121" s="315"/>
      <c r="KK121" s="315"/>
      <c r="KL121" s="315"/>
      <c r="KM121" s="315"/>
      <c r="KN121" s="315"/>
      <c r="KO121" s="315"/>
      <c r="KP121" s="315"/>
      <c r="KQ121" s="315"/>
      <c r="KR121" s="315"/>
      <c r="KS121" s="315"/>
      <c r="KT121" s="315"/>
      <c r="KU121" s="315"/>
      <c r="KV121" s="315"/>
      <c r="KW121" s="315"/>
      <c r="KX121" s="315"/>
      <c r="KY121" s="315"/>
      <c r="KZ121" s="315"/>
      <c r="LA121" s="315"/>
      <c r="LB121" s="315"/>
      <c r="LC121" s="315"/>
      <c r="LD121" s="315"/>
      <c r="LE121" s="315"/>
      <c r="LF121" s="315"/>
      <c r="LG121" s="315"/>
      <c r="LH121" s="315"/>
      <c r="LI121" s="315"/>
      <c r="LJ121" s="315"/>
      <c r="LK121" s="315"/>
      <c r="LL121" s="315"/>
      <c r="LM121" s="315"/>
      <c r="LN121" s="315"/>
      <c r="LO121" s="315"/>
      <c r="LP121" s="315"/>
      <c r="LQ121" s="316"/>
      <c r="LR121" s="323"/>
      <c r="LS121" s="324"/>
      <c r="LT121" s="324"/>
      <c r="LU121" s="324"/>
      <c r="LV121" s="325"/>
      <c r="MK121" s="12"/>
      <c r="ML121" s="7"/>
      <c r="MM121" s="3"/>
      <c r="MN121" s="3"/>
      <c r="MO121" s="3"/>
      <c r="MP121" s="3"/>
      <c r="MQ121" s="2"/>
      <c r="NE121" s="3"/>
      <c r="NF121" s="3"/>
      <c r="NG121" s="3"/>
      <c r="NH121" s="3"/>
      <c r="NI121" s="3"/>
      <c r="NJ121" s="2"/>
    </row>
    <row r="122" spans="3:374" ht="5.0999999999999996" customHeight="1" x14ac:dyDescent="0.3">
      <c r="C122" s="11"/>
      <c r="D122" s="13"/>
      <c r="Q122" s="209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1"/>
      <c r="BF122" s="209"/>
      <c r="BG122" s="210"/>
      <c r="BH122" s="210"/>
      <c r="BI122" s="210"/>
      <c r="BJ122" s="211"/>
      <c r="EA122" s="265"/>
      <c r="EB122" s="265"/>
      <c r="EC122" s="265"/>
      <c r="ED122" s="265"/>
      <c r="EE122" s="265"/>
      <c r="EF122" s="265"/>
      <c r="EG122" s="265"/>
      <c r="EH122" s="265"/>
      <c r="EI122" s="265"/>
      <c r="EJ122" s="265"/>
      <c r="EK122" s="265"/>
      <c r="EL122" s="265"/>
      <c r="EM122" s="265"/>
      <c r="EN122" s="265"/>
      <c r="EO122" s="265"/>
      <c r="EP122" s="265"/>
      <c r="EQ122" s="265"/>
      <c r="ER122" s="265"/>
      <c r="ES122" s="265"/>
      <c r="ET122" s="265"/>
      <c r="EU122" s="265"/>
      <c r="EV122" s="265"/>
      <c r="EW122" s="265"/>
      <c r="EX122" s="265"/>
      <c r="EY122" s="265"/>
      <c r="EZ122" s="265"/>
      <c r="FA122" s="265"/>
      <c r="FB122" s="265"/>
      <c r="FC122" s="265"/>
      <c r="FD122" s="265"/>
      <c r="FE122" s="265"/>
      <c r="FF122" s="265"/>
      <c r="FG122" s="265"/>
      <c r="FH122" s="265"/>
      <c r="FI122" s="265"/>
      <c r="FJ122" s="265"/>
      <c r="FK122" s="265"/>
      <c r="FL122" s="265"/>
      <c r="FM122" s="265"/>
      <c r="FN122" s="305"/>
      <c r="FO122" s="306"/>
      <c r="FP122" s="306"/>
      <c r="FQ122" s="306"/>
      <c r="FR122" s="307"/>
      <c r="HU122" s="14"/>
      <c r="HW122" s="198"/>
      <c r="HX122" s="199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  <c r="IW122" s="199"/>
      <c r="IX122" s="199"/>
      <c r="IY122" s="199"/>
      <c r="IZ122" s="199"/>
      <c r="JA122" s="199"/>
      <c r="JB122" s="199"/>
      <c r="JC122" s="199"/>
      <c r="JD122" s="199"/>
      <c r="JE122" s="199"/>
      <c r="JF122" s="199"/>
      <c r="JG122" s="199"/>
      <c r="JH122" s="199"/>
      <c r="JI122" s="199"/>
      <c r="JJ122" s="199"/>
      <c r="JK122" s="204"/>
      <c r="JL122" s="204"/>
      <c r="JM122" s="204"/>
      <c r="JN122" s="204"/>
      <c r="JO122" s="204"/>
      <c r="JP122" s="204"/>
      <c r="JV122" s="155"/>
      <c r="KA122" s="22"/>
      <c r="KB122" s="21"/>
      <c r="KC122" s="314"/>
      <c r="KD122" s="315"/>
      <c r="KE122" s="315"/>
      <c r="KF122" s="315"/>
      <c r="KG122" s="315"/>
      <c r="KH122" s="315"/>
      <c r="KI122" s="315"/>
      <c r="KJ122" s="315"/>
      <c r="KK122" s="315"/>
      <c r="KL122" s="315"/>
      <c r="KM122" s="315"/>
      <c r="KN122" s="315"/>
      <c r="KO122" s="315"/>
      <c r="KP122" s="315"/>
      <c r="KQ122" s="315"/>
      <c r="KR122" s="315"/>
      <c r="KS122" s="315"/>
      <c r="KT122" s="315"/>
      <c r="KU122" s="315"/>
      <c r="KV122" s="315"/>
      <c r="KW122" s="315"/>
      <c r="KX122" s="315"/>
      <c r="KY122" s="315"/>
      <c r="KZ122" s="315"/>
      <c r="LA122" s="315"/>
      <c r="LB122" s="315"/>
      <c r="LC122" s="315"/>
      <c r="LD122" s="315"/>
      <c r="LE122" s="315"/>
      <c r="LF122" s="315"/>
      <c r="LG122" s="315"/>
      <c r="LH122" s="315"/>
      <c r="LI122" s="315"/>
      <c r="LJ122" s="315"/>
      <c r="LK122" s="315"/>
      <c r="LL122" s="315"/>
      <c r="LM122" s="315"/>
      <c r="LN122" s="315"/>
      <c r="LO122" s="315"/>
      <c r="LP122" s="315"/>
      <c r="LQ122" s="316"/>
      <c r="LR122" s="323"/>
      <c r="LS122" s="324"/>
      <c r="LT122" s="324"/>
      <c r="LU122" s="324"/>
      <c r="LV122" s="325"/>
      <c r="MK122" s="12"/>
      <c r="ML122" s="7"/>
      <c r="MM122" s="3"/>
      <c r="MN122" s="3"/>
      <c r="MO122" s="3"/>
      <c r="MP122" s="3"/>
      <c r="MQ122" s="2"/>
      <c r="NE122" s="3"/>
      <c r="NF122" s="3"/>
      <c r="NG122" s="3"/>
      <c r="NH122" s="3"/>
      <c r="NI122" s="3"/>
      <c r="NJ122" s="2"/>
    </row>
    <row r="123" spans="3:374" ht="5.0999999999999996" customHeight="1" x14ac:dyDescent="0.3">
      <c r="C123" s="11"/>
      <c r="D123" s="13"/>
      <c r="Q123" s="209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  <c r="AW123" s="210"/>
      <c r="AX123" s="210"/>
      <c r="AY123" s="210"/>
      <c r="AZ123" s="210"/>
      <c r="BA123" s="210"/>
      <c r="BB123" s="210"/>
      <c r="BC123" s="210"/>
      <c r="BD123" s="210"/>
      <c r="BE123" s="211"/>
      <c r="BF123" s="209"/>
      <c r="BG123" s="210"/>
      <c r="BH123" s="210"/>
      <c r="BI123" s="210"/>
      <c r="BJ123" s="211"/>
      <c r="EA123" s="265"/>
      <c r="EB123" s="265"/>
      <c r="EC123" s="265"/>
      <c r="ED123" s="265"/>
      <c r="EE123" s="265"/>
      <c r="EF123" s="265"/>
      <c r="EG123" s="265"/>
      <c r="EH123" s="265"/>
      <c r="EI123" s="265"/>
      <c r="EJ123" s="265"/>
      <c r="EK123" s="265"/>
      <c r="EL123" s="265"/>
      <c r="EM123" s="265"/>
      <c r="EN123" s="265"/>
      <c r="EO123" s="265"/>
      <c r="EP123" s="265"/>
      <c r="EQ123" s="265"/>
      <c r="ER123" s="265"/>
      <c r="ES123" s="265"/>
      <c r="ET123" s="265"/>
      <c r="EU123" s="265"/>
      <c r="EV123" s="265"/>
      <c r="EW123" s="265"/>
      <c r="EX123" s="265"/>
      <c r="EY123" s="265"/>
      <c r="EZ123" s="265"/>
      <c r="FA123" s="265"/>
      <c r="FB123" s="265"/>
      <c r="FC123" s="265"/>
      <c r="FD123" s="265"/>
      <c r="FE123" s="265"/>
      <c r="FF123" s="265"/>
      <c r="FG123" s="265"/>
      <c r="FH123" s="265"/>
      <c r="FI123" s="265"/>
      <c r="FJ123" s="265"/>
      <c r="FK123" s="265"/>
      <c r="FL123" s="265"/>
      <c r="FM123" s="265"/>
      <c r="FN123" s="305"/>
      <c r="FO123" s="306"/>
      <c r="FP123" s="306"/>
      <c r="FQ123" s="306"/>
      <c r="FR123" s="307"/>
      <c r="HU123" s="14"/>
      <c r="HW123" s="198"/>
      <c r="HX123" s="199"/>
      <c r="HY123" s="199"/>
      <c r="HZ123" s="199"/>
      <c r="IA123" s="199"/>
      <c r="IB123" s="199"/>
      <c r="IC123" s="199"/>
      <c r="ID123" s="199"/>
      <c r="IE123" s="199"/>
      <c r="IF123" s="199"/>
      <c r="IG123" s="199"/>
      <c r="IH123" s="199"/>
      <c r="II123" s="199"/>
      <c r="IJ123" s="199"/>
      <c r="IK123" s="199"/>
      <c r="IL123" s="199"/>
      <c r="IM123" s="199"/>
      <c r="IN123" s="199"/>
      <c r="IO123" s="199"/>
      <c r="IP123" s="199"/>
      <c r="IQ123" s="199"/>
      <c r="IR123" s="199"/>
      <c r="IS123" s="199"/>
      <c r="IT123" s="199"/>
      <c r="IU123" s="199"/>
      <c r="IV123" s="199"/>
      <c r="IW123" s="199"/>
      <c r="IX123" s="199"/>
      <c r="IY123" s="199"/>
      <c r="IZ123" s="199"/>
      <c r="JA123" s="199"/>
      <c r="JB123" s="199"/>
      <c r="JC123" s="199"/>
      <c r="JD123" s="199"/>
      <c r="JE123" s="199"/>
      <c r="JF123" s="199"/>
      <c r="JG123" s="199"/>
      <c r="JH123" s="199"/>
      <c r="JI123" s="199"/>
      <c r="JJ123" s="199"/>
      <c r="JK123" s="204"/>
      <c r="JL123" s="204"/>
      <c r="JM123" s="204"/>
      <c r="JN123" s="204"/>
      <c r="JO123" s="204"/>
      <c r="JP123" s="204"/>
      <c r="JV123" s="155"/>
      <c r="KA123" s="16"/>
      <c r="KC123" s="314"/>
      <c r="KD123" s="315"/>
      <c r="KE123" s="315"/>
      <c r="KF123" s="315"/>
      <c r="KG123" s="315"/>
      <c r="KH123" s="315"/>
      <c r="KI123" s="315"/>
      <c r="KJ123" s="315"/>
      <c r="KK123" s="315"/>
      <c r="KL123" s="315"/>
      <c r="KM123" s="315"/>
      <c r="KN123" s="315"/>
      <c r="KO123" s="315"/>
      <c r="KP123" s="315"/>
      <c r="KQ123" s="315"/>
      <c r="KR123" s="315"/>
      <c r="KS123" s="315"/>
      <c r="KT123" s="315"/>
      <c r="KU123" s="315"/>
      <c r="KV123" s="315"/>
      <c r="KW123" s="315"/>
      <c r="KX123" s="315"/>
      <c r="KY123" s="315"/>
      <c r="KZ123" s="315"/>
      <c r="LA123" s="315"/>
      <c r="LB123" s="315"/>
      <c r="LC123" s="315"/>
      <c r="LD123" s="315"/>
      <c r="LE123" s="315"/>
      <c r="LF123" s="315"/>
      <c r="LG123" s="315"/>
      <c r="LH123" s="315"/>
      <c r="LI123" s="315"/>
      <c r="LJ123" s="315"/>
      <c r="LK123" s="315"/>
      <c r="LL123" s="315"/>
      <c r="LM123" s="315"/>
      <c r="LN123" s="315"/>
      <c r="LO123" s="315"/>
      <c r="LP123" s="315"/>
      <c r="LQ123" s="316"/>
      <c r="LR123" s="323"/>
      <c r="LS123" s="324"/>
      <c r="LT123" s="324"/>
      <c r="LU123" s="324"/>
      <c r="LV123" s="325"/>
      <c r="MK123" s="12"/>
      <c r="ML123" s="7"/>
      <c r="MM123" s="3"/>
      <c r="MN123" s="3"/>
      <c r="MO123" s="3"/>
      <c r="MP123" s="3"/>
      <c r="MQ123" s="2"/>
      <c r="NE123" s="3"/>
      <c r="NF123" s="3"/>
      <c r="NG123" s="3"/>
      <c r="NH123" s="3"/>
      <c r="NI123" s="3"/>
      <c r="NJ123" s="2"/>
    </row>
    <row r="124" spans="3:374" ht="5.0999999999999996" customHeight="1" x14ac:dyDescent="0.3">
      <c r="C124" s="11"/>
      <c r="D124" s="13"/>
      <c r="Q124" s="209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  <c r="BD124" s="210"/>
      <c r="BE124" s="211"/>
      <c r="BF124" s="209"/>
      <c r="BG124" s="210"/>
      <c r="BH124" s="210"/>
      <c r="BI124" s="210"/>
      <c r="BJ124" s="211"/>
      <c r="EA124" s="265"/>
      <c r="EB124" s="265"/>
      <c r="EC124" s="265"/>
      <c r="ED124" s="265"/>
      <c r="EE124" s="265"/>
      <c r="EF124" s="265"/>
      <c r="EG124" s="265"/>
      <c r="EH124" s="265"/>
      <c r="EI124" s="265"/>
      <c r="EJ124" s="265"/>
      <c r="EK124" s="265"/>
      <c r="EL124" s="265"/>
      <c r="EM124" s="265"/>
      <c r="EN124" s="265"/>
      <c r="EO124" s="265"/>
      <c r="EP124" s="265"/>
      <c r="EQ124" s="265"/>
      <c r="ER124" s="265"/>
      <c r="ES124" s="265"/>
      <c r="ET124" s="265"/>
      <c r="EU124" s="265"/>
      <c r="EV124" s="265"/>
      <c r="EW124" s="265"/>
      <c r="EX124" s="265"/>
      <c r="EY124" s="265"/>
      <c r="EZ124" s="265"/>
      <c r="FA124" s="265"/>
      <c r="FB124" s="265"/>
      <c r="FC124" s="265"/>
      <c r="FD124" s="265"/>
      <c r="FE124" s="265"/>
      <c r="FF124" s="265"/>
      <c r="FG124" s="265"/>
      <c r="FH124" s="265"/>
      <c r="FI124" s="265"/>
      <c r="FJ124" s="265"/>
      <c r="FK124" s="265"/>
      <c r="FL124" s="265"/>
      <c r="FM124" s="265"/>
      <c r="FN124" s="305"/>
      <c r="FO124" s="306"/>
      <c r="FP124" s="306"/>
      <c r="FQ124" s="306"/>
      <c r="FR124" s="307"/>
      <c r="HW124" s="198"/>
      <c r="HX124" s="199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  <c r="IW124" s="199"/>
      <c r="IX124" s="199"/>
      <c r="IY124" s="199"/>
      <c r="IZ124" s="199"/>
      <c r="JA124" s="199"/>
      <c r="JB124" s="199"/>
      <c r="JC124" s="199"/>
      <c r="JD124" s="199"/>
      <c r="JE124" s="199"/>
      <c r="JF124" s="199"/>
      <c r="JG124" s="199"/>
      <c r="JH124" s="199"/>
      <c r="JI124" s="199"/>
      <c r="JJ124" s="199"/>
      <c r="JK124" s="204"/>
      <c r="JL124" s="204"/>
      <c r="JM124" s="204"/>
      <c r="JN124" s="204"/>
      <c r="JO124" s="204"/>
      <c r="JP124" s="204"/>
      <c r="JV124" s="155"/>
      <c r="KA124" s="16"/>
      <c r="KC124" s="314"/>
      <c r="KD124" s="315"/>
      <c r="KE124" s="315"/>
      <c r="KF124" s="315"/>
      <c r="KG124" s="315"/>
      <c r="KH124" s="315"/>
      <c r="KI124" s="315"/>
      <c r="KJ124" s="315"/>
      <c r="KK124" s="315"/>
      <c r="KL124" s="315"/>
      <c r="KM124" s="315"/>
      <c r="KN124" s="315"/>
      <c r="KO124" s="315"/>
      <c r="KP124" s="315"/>
      <c r="KQ124" s="315"/>
      <c r="KR124" s="315"/>
      <c r="KS124" s="315"/>
      <c r="KT124" s="315"/>
      <c r="KU124" s="315"/>
      <c r="KV124" s="315"/>
      <c r="KW124" s="315"/>
      <c r="KX124" s="315"/>
      <c r="KY124" s="315"/>
      <c r="KZ124" s="315"/>
      <c r="LA124" s="315"/>
      <c r="LB124" s="315"/>
      <c r="LC124" s="315"/>
      <c r="LD124" s="315"/>
      <c r="LE124" s="315"/>
      <c r="LF124" s="315"/>
      <c r="LG124" s="315"/>
      <c r="LH124" s="315"/>
      <c r="LI124" s="315"/>
      <c r="LJ124" s="315"/>
      <c r="LK124" s="315"/>
      <c r="LL124" s="315"/>
      <c r="LM124" s="315"/>
      <c r="LN124" s="315"/>
      <c r="LO124" s="315"/>
      <c r="LP124" s="315"/>
      <c r="LQ124" s="316"/>
      <c r="LR124" s="323"/>
      <c r="LS124" s="324"/>
      <c r="LT124" s="324"/>
      <c r="LU124" s="324"/>
      <c r="LV124" s="325"/>
      <c r="MK124" s="12"/>
      <c r="ML124" s="7"/>
      <c r="MM124" s="3"/>
      <c r="MN124" s="3"/>
      <c r="MO124" s="3"/>
      <c r="MP124" s="3"/>
      <c r="MQ124" s="2"/>
      <c r="NE124" s="3"/>
      <c r="NF124" s="3"/>
      <c r="NG124" s="3"/>
      <c r="NH124" s="3"/>
      <c r="NI124" s="3"/>
      <c r="NJ124" s="2"/>
    </row>
    <row r="125" spans="3:374" ht="5.0999999999999996" customHeight="1" x14ac:dyDescent="0.3">
      <c r="C125" s="11"/>
      <c r="D125" s="13"/>
      <c r="Q125" s="209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  <c r="BD125" s="210"/>
      <c r="BE125" s="211"/>
      <c r="BF125" s="209"/>
      <c r="BG125" s="210"/>
      <c r="BH125" s="210"/>
      <c r="BI125" s="210"/>
      <c r="BJ125" s="211"/>
      <c r="EA125" s="265"/>
      <c r="EB125" s="265"/>
      <c r="EC125" s="265"/>
      <c r="ED125" s="265"/>
      <c r="EE125" s="265"/>
      <c r="EF125" s="265"/>
      <c r="EG125" s="265"/>
      <c r="EH125" s="265"/>
      <c r="EI125" s="265"/>
      <c r="EJ125" s="265"/>
      <c r="EK125" s="265"/>
      <c r="EL125" s="265"/>
      <c r="EM125" s="265"/>
      <c r="EN125" s="265"/>
      <c r="EO125" s="265"/>
      <c r="EP125" s="265"/>
      <c r="EQ125" s="265"/>
      <c r="ER125" s="265"/>
      <c r="ES125" s="265"/>
      <c r="ET125" s="265"/>
      <c r="EU125" s="265"/>
      <c r="EV125" s="265"/>
      <c r="EW125" s="265"/>
      <c r="EX125" s="265"/>
      <c r="EY125" s="265"/>
      <c r="EZ125" s="265"/>
      <c r="FA125" s="265"/>
      <c r="FB125" s="265"/>
      <c r="FC125" s="265"/>
      <c r="FD125" s="265"/>
      <c r="FE125" s="265"/>
      <c r="FF125" s="265"/>
      <c r="FG125" s="265"/>
      <c r="FH125" s="265"/>
      <c r="FI125" s="265"/>
      <c r="FJ125" s="265"/>
      <c r="FK125" s="265"/>
      <c r="FL125" s="265"/>
      <c r="FM125" s="265"/>
      <c r="FN125" s="305"/>
      <c r="FO125" s="306"/>
      <c r="FP125" s="306"/>
      <c r="FQ125" s="306"/>
      <c r="FR125" s="307"/>
      <c r="HW125" s="198"/>
      <c r="HX125" s="199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  <c r="IW125" s="199"/>
      <c r="IX125" s="199"/>
      <c r="IY125" s="199"/>
      <c r="IZ125" s="199"/>
      <c r="JA125" s="199"/>
      <c r="JB125" s="199"/>
      <c r="JC125" s="199"/>
      <c r="JD125" s="199"/>
      <c r="JE125" s="199"/>
      <c r="JF125" s="199"/>
      <c r="JG125" s="199"/>
      <c r="JH125" s="199"/>
      <c r="JI125" s="199"/>
      <c r="JJ125" s="199"/>
      <c r="JK125" s="204"/>
      <c r="JL125" s="204"/>
      <c r="JM125" s="204"/>
      <c r="JN125" s="204"/>
      <c r="JO125" s="204"/>
      <c r="JP125" s="204"/>
      <c r="JV125" s="155"/>
      <c r="KA125" s="16"/>
      <c r="KC125" s="317"/>
      <c r="KD125" s="318"/>
      <c r="KE125" s="318"/>
      <c r="KF125" s="318"/>
      <c r="KG125" s="318"/>
      <c r="KH125" s="318"/>
      <c r="KI125" s="318"/>
      <c r="KJ125" s="318"/>
      <c r="KK125" s="318"/>
      <c r="KL125" s="318"/>
      <c r="KM125" s="318"/>
      <c r="KN125" s="318"/>
      <c r="KO125" s="318"/>
      <c r="KP125" s="318"/>
      <c r="KQ125" s="318"/>
      <c r="KR125" s="318"/>
      <c r="KS125" s="318"/>
      <c r="KT125" s="318"/>
      <c r="KU125" s="318"/>
      <c r="KV125" s="318"/>
      <c r="KW125" s="318"/>
      <c r="KX125" s="318"/>
      <c r="KY125" s="318"/>
      <c r="KZ125" s="318"/>
      <c r="LA125" s="318"/>
      <c r="LB125" s="318"/>
      <c r="LC125" s="318"/>
      <c r="LD125" s="318"/>
      <c r="LE125" s="318"/>
      <c r="LF125" s="318"/>
      <c r="LG125" s="318"/>
      <c r="LH125" s="318"/>
      <c r="LI125" s="318"/>
      <c r="LJ125" s="318"/>
      <c r="LK125" s="318"/>
      <c r="LL125" s="318"/>
      <c r="LM125" s="318"/>
      <c r="LN125" s="318"/>
      <c r="LO125" s="318"/>
      <c r="LP125" s="318"/>
      <c r="LQ125" s="319"/>
      <c r="LR125" s="326"/>
      <c r="LS125" s="327"/>
      <c r="LT125" s="327"/>
      <c r="LU125" s="327"/>
      <c r="LV125" s="328"/>
      <c r="MK125" s="12"/>
      <c r="ML125" s="7"/>
      <c r="MM125" s="3"/>
      <c r="MN125" s="3"/>
      <c r="MO125" s="3"/>
      <c r="MP125" s="3"/>
      <c r="MQ125" s="2"/>
      <c r="NE125" s="3"/>
      <c r="NF125" s="3"/>
      <c r="NG125" s="3"/>
      <c r="NH125" s="3"/>
      <c r="NI125" s="3"/>
      <c r="NJ125" s="2"/>
    </row>
    <row r="126" spans="3:374" ht="5.0999999999999996" customHeight="1" thickBot="1" x14ac:dyDescent="0.35">
      <c r="C126" s="11"/>
      <c r="D126" s="13"/>
      <c r="Q126" s="212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4"/>
      <c r="BF126" s="212"/>
      <c r="BG126" s="213"/>
      <c r="BH126" s="213"/>
      <c r="BI126" s="213"/>
      <c r="BJ126" s="214"/>
      <c r="EA126" s="265"/>
      <c r="EB126" s="265"/>
      <c r="EC126" s="265"/>
      <c r="ED126" s="265"/>
      <c r="EE126" s="265"/>
      <c r="EF126" s="265"/>
      <c r="EG126" s="265"/>
      <c r="EH126" s="265"/>
      <c r="EI126" s="265"/>
      <c r="EJ126" s="265"/>
      <c r="EK126" s="265"/>
      <c r="EL126" s="265"/>
      <c r="EM126" s="265"/>
      <c r="EN126" s="265"/>
      <c r="EO126" s="265"/>
      <c r="EP126" s="265"/>
      <c r="EQ126" s="265"/>
      <c r="ER126" s="265"/>
      <c r="ES126" s="265"/>
      <c r="ET126" s="265"/>
      <c r="EU126" s="265"/>
      <c r="EV126" s="265"/>
      <c r="EW126" s="265"/>
      <c r="EX126" s="265"/>
      <c r="EY126" s="265"/>
      <c r="EZ126" s="265"/>
      <c r="FA126" s="265"/>
      <c r="FB126" s="265"/>
      <c r="FC126" s="265"/>
      <c r="FD126" s="265"/>
      <c r="FE126" s="265"/>
      <c r="FF126" s="265"/>
      <c r="FG126" s="265"/>
      <c r="FH126" s="265"/>
      <c r="FI126" s="265"/>
      <c r="FJ126" s="265"/>
      <c r="FK126" s="265"/>
      <c r="FL126" s="265"/>
      <c r="FM126" s="265"/>
      <c r="FN126" s="308"/>
      <c r="FO126" s="309"/>
      <c r="FP126" s="309"/>
      <c r="FQ126" s="309"/>
      <c r="FR126" s="310"/>
      <c r="HW126" s="201"/>
      <c r="HX126" s="202"/>
      <c r="HY126" s="202"/>
      <c r="HZ126" s="202"/>
      <c r="IA126" s="202"/>
      <c r="IB126" s="202"/>
      <c r="IC126" s="202"/>
      <c r="ID126" s="202"/>
      <c r="IE126" s="202"/>
      <c r="IF126" s="202"/>
      <c r="IG126" s="202"/>
      <c r="IH126" s="202"/>
      <c r="II126" s="202"/>
      <c r="IJ126" s="202"/>
      <c r="IK126" s="202"/>
      <c r="IL126" s="202"/>
      <c r="IM126" s="202"/>
      <c r="IN126" s="202"/>
      <c r="IO126" s="202"/>
      <c r="IP126" s="202"/>
      <c r="IQ126" s="202"/>
      <c r="IR126" s="202"/>
      <c r="IS126" s="202"/>
      <c r="IT126" s="202"/>
      <c r="IU126" s="202"/>
      <c r="IV126" s="202"/>
      <c r="IW126" s="202"/>
      <c r="IX126" s="202"/>
      <c r="IY126" s="202"/>
      <c r="IZ126" s="202"/>
      <c r="JA126" s="202"/>
      <c r="JB126" s="202"/>
      <c r="JC126" s="202"/>
      <c r="JD126" s="202"/>
      <c r="JE126" s="202"/>
      <c r="JF126" s="202"/>
      <c r="JG126" s="202"/>
      <c r="JH126" s="202"/>
      <c r="JI126" s="202"/>
      <c r="JJ126" s="202"/>
      <c r="JK126" s="204"/>
      <c r="JL126" s="204"/>
      <c r="JM126" s="204"/>
      <c r="JN126" s="204"/>
      <c r="JO126" s="204"/>
      <c r="JP126" s="204"/>
      <c r="JV126" s="155"/>
      <c r="KA126" s="16"/>
      <c r="MK126" s="12"/>
      <c r="ML126" s="7"/>
      <c r="MM126" s="3"/>
      <c r="MN126" s="3"/>
      <c r="MO126" s="3"/>
      <c r="MP126" s="3"/>
      <c r="MQ126" s="2"/>
      <c r="NE126" s="3"/>
      <c r="NF126" s="3"/>
      <c r="NG126" s="3"/>
      <c r="NH126" s="3"/>
      <c r="NI126" s="3"/>
      <c r="NJ126" s="2"/>
    </row>
    <row r="127" spans="3:374" ht="5.0999999999999996" customHeight="1" x14ac:dyDescent="0.3">
      <c r="C127" s="11"/>
      <c r="D127" s="13"/>
      <c r="AN127" s="25"/>
      <c r="EX127" s="16"/>
      <c r="HW127" s="216" t="s">
        <v>10</v>
      </c>
      <c r="HX127" s="217"/>
      <c r="HY127" s="217"/>
      <c r="HZ127" s="217"/>
      <c r="IA127" s="217"/>
      <c r="IB127" s="217"/>
      <c r="IC127" s="217"/>
      <c r="ID127" s="217"/>
      <c r="IE127" s="217"/>
      <c r="IF127" s="217"/>
      <c r="IG127" s="217"/>
      <c r="IH127" s="217"/>
      <c r="II127" s="217"/>
      <c r="IJ127" s="217"/>
      <c r="IK127" s="217"/>
      <c r="IL127" s="217"/>
      <c r="IM127" s="217"/>
      <c r="IN127" s="217"/>
      <c r="IO127" s="217"/>
      <c r="IP127" s="217"/>
      <c r="IQ127" s="217"/>
      <c r="IR127" s="217"/>
      <c r="IS127" s="217"/>
      <c r="IT127" s="217"/>
      <c r="IU127" s="217"/>
      <c r="IV127" s="217"/>
      <c r="IW127" s="217"/>
      <c r="IX127" s="217"/>
      <c r="IY127" s="217"/>
      <c r="IZ127" s="217"/>
      <c r="JA127" s="217"/>
      <c r="JB127" s="217"/>
      <c r="JC127" s="217"/>
      <c r="JD127" s="217"/>
      <c r="JE127" s="217"/>
      <c r="JF127" s="217"/>
      <c r="JG127" s="217"/>
      <c r="JH127" s="217"/>
      <c r="JI127" s="217"/>
      <c r="JJ127" s="217"/>
      <c r="JK127" s="187">
        <v>10</v>
      </c>
      <c r="JL127" s="188"/>
      <c r="JM127" s="188"/>
      <c r="JN127" s="188"/>
      <c r="JO127" s="188"/>
      <c r="JP127" s="189"/>
      <c r="JQ127" s="52"/>
      <c r="JV127" s="155"/>
      <c r="KA127" s="16"/>
      <c r="MK127" s="12"/>
      <c r="ML127" s="7"/>
      <c r="MM127" s="3"/>
      <c r="MN127" s="3"/>
      <c r="MO127" s="3"/>
      <c r="MP127" s="3"/>
      <c r="MQ127" s="2"/>
      <c r="NE127" s="3"/>
      <c r="NF127" s="3"/>
      <c r="NG127" s="3"/>
      <c r="NH127" s="3"/>
      <c r="NI127" s="3"/>
      <c r="NJ127" s="2"/>
    </row>
    <row r="128" spans="3:374" ht="5.0999999999999996" customHeight="1" x14ac:dyDescent="0.3">
      <c r="C128" s="11"/>
      <c r="D128" s="13"/>
      <c r="AN128" s="24"/>
      <c r="EX128" s="16"/>
      <c r="HW128" s="219"/>
      <c r="HX128" s="220"/>
      <c r="HY128" s="220"/>
      <c r="HZ128" s="220"/>
      <c r="IA128" s="220"/>
      <c r="IB128" s="220"/>
      <c r="IC128" s="220"/>
      <c r="ID128" s="220"/>
      <c r="IE128" s="220"/>
      <c r="IF128" s="220"/>
      <c r="IG128" s="220"/>
      <c r="IH128" s="220"/>
      <c r="II128" s="220"/>
      <c r="IJ128" s="220"/>
      <c r="IK128" s="220"/>
      <c r="IL128" s="220"/>
      <c r="IM128" s="220"/>
      <c r="IN128" s="220"/>
      <c r="IO128" s="220"/>
      <c r="IP128" s="220"/>
      <c r="IQ128" s="220"/>
      <c r="IR128" s="220"/>
      <c r="IS128" s="220"/>
      <c r="IT128" s="220"/>
      <c r="IU128" s="220"/>
      <c r="IV128" s="220"/>
      <c r="IW128" s="220"/>
      <c r="IX128" s="220"/>
      <c r="IY128" s="220"/>
      <c r="IZ128" s="220"/>
      <c r="JA128" s="220"/>
      <c r="JB128" s="220"/>
      <c r="JC128" s="220"/>
      <c r="JD128" s="220"/>
      <c r="JE128" s="220"/>
      <c r="JF128" s="220"/>
      <c r="JG128" s="220"/>
      <c r="JH128" s="220"/>
      <c r="JI128" s="220"/>
      <c r="JJ128" s="220"/>
      <c r="JK128" s="187"/>
      <c r="JL128" s="188"/>
      <c r="JM128" s="188"/>
      <c r="JN128" s="188"/>
      <c r="JO128" s="188"/>
      <c r="JP128" s="189"/>
      <c r="JQ128" s="53"/>
      <c r="JV128" s="155"/>
      <c r="KA128" s="16"/>
      <c r="KC128" s="184" t="s">
        <v>47</v>
      </c>
      <c r="KD128" s="185"/>
      <c r="KE128" s="185"/>
      <c r="KF128" s="185"/>
      <c r="KG128" s="185"/>
      <c r="KH128" s="185"/>
      <c r="KI128" s="185"/>
      <c r="KJ128" s="185"/>
      <c r="KK128" s="185"/>
      <c r="KL128" s="185"/>
      <c r="KM128" s="185"/>
      <c r="KN128" s="185"/>
      <c r="KO128" s="185"/>
      <c r="KP128" s="185"/>
      <c r="KQ128" s="185"/>
      <c r="KR128" s="185"/>
      <c r="KS128" s="185"/>
      <c r="KT128" s="185"/>
      <c r="KU128" s="185"/>
      <c r="KV128" s="185"/>
      <c r="KW128" s="185"/>
      <c r="KX128" s="185"/>
      <c r="KY128" s="185"/>
      <c r="KZ128" s="185"/>
      <c r="LA128" s="185"/>
      <c r="LB128" s="185"/>
      <c r="LC128" s="185"/>
      <c r="LD128" s="185"/>
      <c r="LE128" s="185"/>
      <c r="LF128" s="185"/>
      <c r="LG128" s="185"/>
      <c r="LH128" s="185"/>
      <c r="LI128" s="185"/>
      <c r="LJ128" s="185"/>
      <c r="LK128" s="185"/>
      <c r="LL128" s="185"/>
      <c r="LM128" s="185"/>
      <c r="LN128" s="185"/>
      <c r="LO128" s="185"/>
      <c r="LP128" s="185"/>
      <c r="LQ128" s="186"/>
      <c r="LR128" s="184">
        <v>1</v>
      </c>
      <c r="LS128" s="185"/>
      <c r="LT128" s="185"/>
      <c r="LU128" s="185"/>
      <c r="LV128" s="186"/>
      <c r="MK128" s="12"/>
      <c r="ML128" s="7"/>
      <c r="MM128" s="3"/>
      <c r="MN128" s="3"/>
      <c r="MO128" s="3"/>
      <c r="MP128" s="3"/>
      <c r="MQ128" s="2"/>
      <c r="NE128" s="3"/>
      <c r="NF128" s="3"/>
      <c r="NG128" s="3"/>
      <c r="NH128" s="3"/>
      <c r="NI128" s="3"/>
      <c r="NJ128" s="2"/>
    </row>
    <row r="129" spans="3:374" ht="5.0999999999999996" customHeight="1" x14ac:dyDescent="0.3">
      <c r="C129" s="11"/>
      <c r="D129" s="13"/>
      <c r="Q129" s="184" t="s">
        <v>47</v>
      </c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6"/>
      <c r="BF129" s="184">
        <v>1</v>
      </c>
      <c r="BG129" s="185"/>
      <c r="BH129" s="185"/>
      <c r="BI129" s="185"/>
      <c r="BJ129" s="186"/>
      <c r="EA129" s="215" t="s">
        <v>9</v>
      </c>
      <c r="EB129" s="215"/>
      <c r="EC129" s="215"/>
      <c r="ED129" s="215"/>
      <c r="EE129" s="215"/>
      <c r="EF129" s="215"/>
      <c r="EG129" s="215"/>
      <c r="EH129" s="215"/>
      <c r="EI129" s="215"/>
      <c r="EJ129" s="215"/>
      <c r="EK129" s="215"/>
      <c r="EL129" s="215"/>
      <c r="EM129" s="215"/>
      <c r="EN129" s="215"/>
      <c r="EO129" s="215"/>
      <c r="EP129" s="215"/>
      <c r="EQ129" s="215"/>
      <c r="ER129" s="215"/>
      <c r="ES129" s="215"/>
      <c r="ET129" s="215"/>
      <c r="EU129" s="215"/>
      <c r="EV129" s="215"/>
      <c r="EW129" s="215"/>
      <c r="EX129" s="215"/>
      <c r="EY129" s="215"/>
      <c r="EZ129" s="215"/>
      <c r="FA129" s="215"/>
      <c r="FB129" s="215"/>
      <c r="FC129" s="215"/>
      <c r="FD129" s="215"/>
      <c r="FE129" s="215"/>
      <c r="FF129" s="215"/>
      <c r="FG129" s="215"/>
      <c r="FH129" s="215"/>
      <c r="FI129" s="215"/>
      <c r="FJ129" s="215"/>
      <c r="FK129" s="215"/>
      <c r="FL129" s="215"/>
      <c r="FM129" s="215"/>
      <c r="FN129" s="215">
        <v>1</v>
      </c>
      <c r="FO129" s="215"/>
      <c r="FP129" s="215"/>
      <c r="FQ129" s="215"/>
      <c r="FR129" s="215"/>
      <c r="HW129" s="219"/>
      <c r="HX129" s="220"/>
      <c r="HY129" s="220"/>
      <c r="HZ129" s="220"/>
      <c r="IA129" s="220"/>
      <c r="IB129" s="220"/>
      <c r="IC129" s="220"/>
      <c r="ID129" s="220"/>
      <c r="IE129" s="220"/>
      <c r="IF129" s="220"/>
      <c r="IG129" s="220"/>
      <c r="IH129" s="220"/>
      <c r="II129" s="220"/>
      <c r="IJ129" s="220"/>
      <c r="IK129" s="220"/>
      <c r="IL129" s="220"/>
      <c r="IM129" s="220"/>
      <c r="IN129" s="220"/>
      <c r="IO129" s="220"/>
      <c r="IP129" s="220"/>
      <c r="IQ129" s="220"/>
      <c r="IR129" s="220"/>
      <c r="IS129" s="220"/>
      <c r="IT129" s="220"/>
      <c r="IU129" s="220"/>
      <c r="IV129" s="220"/>
      <c r="IW129" s="220"/>
      <c r="IX129" s="220"/>
      <c r="IY129" s="220"/>
      <c r="IZ129" s="220"/>
      <c r="JA129" s="220"/>
      <c r="JB129" s="220"/>
      <c r="JC129" s="220"/>
      <c r="JD129" s="220"/>
      <c r="JE129" s="220"/>
      <c r="JF129" s="220"/>
      <c r="JG129" s="220"/>
      <c r="JH129" s="220"/>
      <c r="JI129" s="220"/>
      <c r="JJ129" s="220"/>
      <c r="JK129" s="187"/>
      <c r="JL129" s="188"/>
      <c r="JM129" s="188"/>
      <c r="JN129" s="188"/>
      <c r="JO129" s="188"/>
      <c r="JP129" s="189"/>
      <c r="JQ129" s="53"/>
      <c r="JV129" s="155"/>
      <c r="KA129" s="16"/>
      <c r="KC129" s="187"/>
      <c r="KD129" s="188"/>
      <c r="KE129" s="188"/>
      <c r="KF129" s="188"/>
      <c r="KG129" s="188"/>
      <c r="KH129" s="188"/>
      <c r="KI129" s="188"/>
      <c r="KJ129" s="188"/>
      <c r="KK129" s="188"/>
      <c r="KL129" s="188"/>
      <c r="KM129" s="188"/>
      <c r="KN129" s="188"/>
      <c r="KO129" s="188"/>
      <c r="KP129" s="188"/>
      <c r="KQ129" s="188"/>
      <c r="KR129" s="188"/>
      <c r="KS129" s="188"/>
      <c r="KT129" s="188"/>
      <c r="KU129" s="188"/>
      <c r="KV129" s="188"/>
      <c r="KW129" s="188"/>
      <c r="KX129" s="188"/>
      <c r="KY129" s="188"/>
      <c r="KZ129" s="188"/>
      <c r="LA129" s="188"/>
      <c r="LB129" s="188"/>
      <c r="LC129" s="188"/>
      <c r="LD129" s="188"/>
      <c r="LE129" s="188"/>
      <c r="LF129" s="188"/>
      <c r="LG129" s="188"/>
      <c r="LH129" s="188"/>
      <c r="LI129" s="188"/>
      <c r="LJ129" s="188"/>
      <c r="LK129" s="188"/>
      <c r="LL129" s="188"/>
      <c r="LM129" s="188"/>
      <c r="LN129" s="188"/>
      <c r="LO129" s="188"/>
      <c r="LP129" s="188"/>
      <c r="LQ129" s="189"/>
      <c r="LR129" s="187"/>
      <c r="LS129" s="188"/>
      <c r="LT129" s="188"/>
      <c r="LU129" s="188"/>
      <c r="LV129" s="189"/>
      <c r="MK129" s="12"/>
      <c r="ML129" s="7"/>
      <c r="MM129" s="3"/>
      <c r="MN129" s="3"/>
      <c r="MO129" s="3"/>
      <c r="MP129" s="3"/>
      <c r="MQ129" s="2"/>
      <c r="NE129" s="3"/>
      <c r="NF129" s="3"/>
      <c r="NG129" s="3"/>
      <c r="NH129" s="3"/>
      <c r="NI129" s="3"/>
      <c r="NJ129" s="2"/>
    </row>
    <row r="130" spans="3:374" ht="5.0999999999999996" customHeight="1" x14ac:dyDescent="0.3">
      <c r="C130" s="11"/>
      <c r="D130" s="13"/>
      <c r="Q130" s="187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9"/>
      <c r="BF130" s="187"/>
      <c r="BG130" s="188"/>
      <c r="BH130" s="188"/>
      <c r="BI130" s="188"/>
      <c r="BJ130" s="189"/>
      <c r="EA130" s="215"/>
      <c r="EB130" s="215"/>
      <c r="EC130" s="215"/>
      <c r="ED130" s="215"/>
      <c r="EE130" s="215"/>
      <c r="EF130" s="215"/>
      <c r="EG130" s="215"/>
      <c r="EH130" s="215"/>
      <c r="EI130" s="215"/>
      <c r="EJ130" s="215"/>
      <c r="EK130" s="215"/>
      <c r="EL130" s="215"/>
      <c r="EM130" s="215"/>
      <c r="EN130" s="215"/>
      <c r="EO130" s="215"/>
      <c r="EP130" s="215"/>
      <c r="EQ130" s="215"/>
      <c r="ER130" s="215"/>
      <c r="ES130" s="215"/>
      <c r="ET130" s="215"/>
      <c r="EU130" s="215"/>
      <c r="EV130" s="215"/>
      <c r="EW130" s="215"/>
      <c r="EX130" s="215"/>
      <c r="EY130" s="215"/>
      <c r="EZ130" s="215"/>
      <c r="FA130" s="215"/>
      <c r="FB130" s="215"/>
      <c r="FC130" s="215"/>
      <c r="FD130" s="215"/>
      <c r="FE130" s="215"/>
      <c r="FF130" s="215"/>
      <c r="FG130" s="215"/>
      <c r="FH130" s="215"/>
      <c r="FI130" s="215"/>
      <c r="FJ130" s="215"/>
      <c r="FK130" s="215"/>
      <c r="FL130" s="215"/>
      <c r="FM130" s="215"/>
      <c r="FN130" s="215"/>
      <c r="FO130" s="215"/>
      <c r="FP130" s="215"/>
      <c r="FQ130" s="215"/>
      <c r="FR130" s="215"/>
      <c r="HW130" s="219"/>
      <c r="HX130" s="220"/>
      <c r="HY130" s="220"/>
      <c r="HZ130" s="220"/>
      <c r="IA130" s="220"/>
      <c r="IB130" s="220"/>
      <c r="IC130" s="220"/>
      <c r="ID130" s="220"/>
      <c r="IE130" s="220"/>
      <c r="IF130" s="220"/>
      <c r="IG130" s="220"/>
      <c r="IH130" s="220"/>
      <c r="II130" s="220"/>
      <c r="IJ130" s="220"/>
      <c r="IK130" s="220"/>
      <c r="IL130" s="220"/>
      <c r="IM130" s="220"/>
      <c r="IN130" s="220"/>
      <c r="IO130" s="220"/>
      <c r="IP130" s="220"/>
      <c r="IQ130" s="220"/>
      <c r="IR130" s="220"/>
      <c r="IS130" s="220"/>
      <c r="IT130" s="220"/>
      <c r="IU130" s="220"/>
      <c r="IV130" s="220"/>
      <c r="IW130" s="220"/>
      <c r="IX130" s="220"/>
      <c r="IY130" s="220"/>
      <c r="IZ130" s="220"/>
      <c r="JA130" s="220"/>
      <c r="JB130" s="220"/>
      <c r="JC130" s="220"/>
      <c r="JD130" s="220"/>
      <c r="JE130" s="220"/>
      <c r="JF130" s="220"/>
      <c r="JG130" s="220"/>
      <c r="JH130" s="220"/>
      <c r="JI130" s="220"/>
      <c r="JJ130" s="220"/>
      <c r="JK130" s="187"/>
      <c r="JL130" s="188"/>
      <c r="JM130" s="188"/>
      <c r="JN130" s="188"/>
      <c r="JO130" s="188"/>
      <c r="JP130" s="189"/>
      <c r="JQ130" s="19"/>
      <c r="JV130" s="155"/>
      <c r="KA130" s="16"/>
      <c r="KC130" s="187"/>
      <c r="KD130" s="188"/>
      <c r="KE130" s="188"/>
      <c r="KF130" s="188"/>
      <c r="KG130" s="188"/>
      <c r="KH130" s="188"/>
      <c r="KI130" s="188"/>
      <c r="KJ130" s="188"/>
      <c r="KK130" s="188"/>
      <c r="KL130" s="188"/>
      <c r="KM130" s="188"/>
      <c r="KN130" s="188"/>
      <c r="KO130" s="188"/>
      <c r="KP130" s="188"/>
      <c r="KQ130" s="188"/>
      <c r="KR130" s="188"/>
      <c r="KS130" s="188"/>
      <c r="KT130" s="188"/>
      <c r="KU130" s="188"/>
      <c r="KV130" s="188"/>
      <c r="KW130" s="188"/>
      <c r="KX130" s="188"/>
      <c r="KY130" s="188"/>
      <c r="KZ130" s="188"/>
      <c r="LA130" s="188"/>
      <c r="LB130" s="188"/>
      <c r="LC130" s="188"/>
      <c r="LD130" s="188"/>
      <c r="LE130" s="188"/>
      <c r="LF130" s="188"/>
      <c r="LG130" s="188"/>
      <c r="LH130" s="188"/>
      <c r="LI130" s="188"/>
      <c r="LJ130" s="188"/>
      <c r="LK130" s="188"/>
      <c r="LL130" s="188"/>
      <c r="LM130" s="188"/>
      <c r="LN130" s="188"/>
      <c r="LO130" s="188"/>
      <c r="LP130" s="188"/>
      <c r="LQ130" s="189"/>
      <c r="LR130" s="187"/>
      <c r="LS130" s="188"/>
      <c r="LT130" s="188"/>
      <c r="LU130" s="188"/>
      <c r="LV130" s="189"/>
      <c r="MK130" s="12"/>
      <c r="ML130" s="7"/>
      <c r="MM130" s="3"/>
      <c r="MN130" s="3"/>
      <c r="MO130" s="3"/>
      <c r="MP130" s="3"/>
      <c r="MQ130" s="2"/>
      <c r="NE130" s="3"/>
      <c r="NF130" s="3"/>
      <c r="NG130" s="3"/>
      <c r="NH130" s="3"/>
      <c r="NI130" s="3"/>
      <c r="NJ130" s="2"/>
    </row>
    <row r="131" spans="3:374" ht="5.0999999999999996" customHeight="1" x14ac:dyDescent="0.3">
      <c r="C131" s="11"/>
      <c r="D131" s="13"/>
      <c r="Q131" s="187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9"/>
      <c r="BF131" s="187"/>
      <c r="BG131" s="188"/>
      <c r="BH131" s="188"/>
      <c r="BI131" s="188"/>
      <c r="BJ131" s="189"/>
      <c r="EA131" s="215"/>
      <c r="EB131" s="215"/>
      <c r="EC131" s="215"/>
      <c r="ED131" s="215"/>
      <c r="EE131" s="215"/>
      <c r="EF131" s="215"/>
      <c r="EG131" s="215"/>
      <c r="EH131" s="215"/>
      <c r="EI131" s="215"/>
      <c r="EJ131" s="215"/>
      <c r="EK131" s="215"/>
      <c r="EL131" s="215"/>
      <c r="EM131" s="215"/>
      <c r="EN131" s="215"/>
      <c r="EO131" s="215"/>
      <c r="EP131" s="215"/>
      <c r="EQ131" s="215"/>
      <c r="ER131" s="215"/>
      <c r="ES131" s="215"/>
      <c r="ET131" s="215"/>
      <c r="EU131" s="215"/>
      <c r="EV131" s="215"/>
      <c r="EW131" s="215"/>
      <c r="EX131" s="215"/>
      <c r="EY131" s="215"/>
      <c r="EZ131" s="215"/>
      <c r="FA131" s="215"/>
      <c r="FB131" s="215"/>
      <c r="FC131" s="215"/>
      <c r="FD131" s="215"/>
      <c r="FE131" s="215"/>
      <c r="FF131" s="215"/>
      <c r="FG131" s="215"/>
      <c r="FH131" s="215"/>
      <c r="FI131" s="215"/>
      <c r="FJ131" s="215"/>
      <c r="FK131" s="215"/>
      <c r="FL131" s="215"/>
      <c r="FM131" s="215"/>
      <c r="FN131" s="215"/>
      <c r="FO131" s="215"/>
      <c r="FP131" s="215"/>
      <c r="FQ131" s="215"/>
      <c r="FR131" s="215"/>
      <c r="HW131" s="219"/>
      <c r="HX131" s="220"/>
      <c r="HY131" s="220"/>
      <c r="HZ131" s="220"/>
      <c r="IA131" s="220"/>
      <c r="IB131" s="220"/>
      <c r="IC131" s="220"/>
      <c r="ID131" s="220"/>
      <c r="IE131" s="220"/>
      <c r="IF131" s="220"/>
      <c r="IG131" s="220"/>
      <c r="IH131" s="220"/>
      <c r="II131" s="220"/>
      <c r="IJ131" s="220"/>
      <c r="IK131" s="220"/>
      <c r="IL131" s="220"/>
      <c r="IM131" s="220"/>
      <c r="IN131" s="220"/>
      <c r="IO131" s="220"/>
      <c r="IP131" s="220"/>
      <c r="IQ131" s="220"/>
      <c r="IR131" s="220"/>
      <c r="IS131" s="220"/>
      <c r="IT131" s="220"/>
      <c r="IU131" s="220"/>
      <c r="IV131" s="220"/>
      <c r="IW131" s="220"/>
      <c r="IX131" s="220"/>
      <c r="IY131" s="220"/>
      <c r="IZ131" s="220"/>
      <c r="JA131" s="220"/>
      <c r="JB131" s="220"/>
      <c r="JC131" s="220"/>
      <c r="JD131" s="220"/>
      <c r="JE131" s="220"/>
      <c r="JF131" s="220"/>
      <c r="JG131" s="220"/>
      <c r="JH131" s="220"/>
      <c r="JI131" s="220"/>
      <c r="JJ131" s="220"/>
      <c r="JK131" s="187"/>
      <c r="JL131" s="188"/>
      <c r="JM131" s="188"/>
      <c r="JN131" s="188"/>
      <c r="JO131" s="188"/>
      <c r="JP131" s="189"/>
      <c r="JQ131" s="19"/>
      <c r="JV131" s="155"/>
      <c r="KA131" s="16"/>
      <c r="KC131" s="187"/>
      <c r="KD131" s="188"/>
      <c r="KE131" s="188"/>
      <c r="KF131" s="188"/>
      <c r="KG131" s="188"/>
      <c r="KH131" s="188"/>
      <c r="KI131" s="188"/>
      <c r="KJ131" s="188"/>
      <c r="KK131" s="188"/>
      <c r="KL131" s="188"/>
      <c r="KM131" s="188"/>
      <c r="KN131" s="188"/>
      <c r="KO131" s="188"/>
      <c r="KP131" s="188"/>
      <c r="KQ131" s="188"/>
      <c r="KR131" s="188"/>
      <c r="KS131" s="188"/>
      <c r="KT131" s="188"/>
      <c r="KU131" s="188"/>
      <c r="KV131" s="188"/>
      <c r="KW131" s="188"/>
      <c r="KX131" s="188"/>
      <c r="KY131" s="188"/>
      <c r="KZ131" s="188"/>
      <c r="LA131" s="188"/>
      <c r="LB131" s="188"/>
      <c r="LC131" s="188"/>
      <c r="LD131" s="188"/>
      <c r="LE131" s="188"/>
      <c r="LF131" s="188"/>
      <c r="LG131" s="188"/>
      <c r="LH131" s="188"/>
      <c r="LI131" s="188"/>
      <c r="LJ131" s="188"/>
      <c r="LK131" s="188"/>
      <c r="LL131" s="188"/>
      <c r="LM131" s="188"/>
      <c r="LN131" s="188"/>
      <c r="LO131" s="188"/>
      <c r="LP131" s="188"/>
      <c r="LQ131" s="189"/>
      <c r="LR131" s="187"/>
      <c r="LS131" s="188"/>
      <c r="LT131" s="188"/>
      <c r="LU131" s="188"/>
      <c r="LV131" s="189"/>
      <c r="MK131" s="12"/>
      <c r="ML131" s="7"/>
      <c r="MM131" s="3"/>
      <c r="MN131" s="3"/>
      <c r="MO131" s="3"/>
      <c r="MP131" s="3"/>
      <c r="MQ131" s="2"/>
      <c r="NE131" s="3"/>
      <c r="NF131" s="3"/>
      <c r="NG131" s="3"/>
      <c r="NH131" s="3"/>
      <c r="NI131" s="3"/>
      <c r="NJ131" s="2"/>
    </row>
    <row r="132" spans="3:374" ht="5.0999999999999996" customHeight="1" x14ac:dyDescent="0.3">
      <c r="C132" s="11"/>
      <c r="D132" s="13"/>
      <c r="Q132" s="187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9"/>
      <c r="BF132" s="187"/>
      <c r="BG132" s="188"/>
      <c r="BH132" s="188"/>
      <c r="BI132" s="188"/>
      <c r="BJ132" s="189"/>
      <c r="EA132" s="215"/>
      <c r="EB132" s="215"/>
      <c r="EC132" s="215"/>
      <c r="ED132" s="215"/>
      <c r="EE132" s="215"/>
      <c r="EF132" s="215"/>
      <c r="EG132" s="215"/>
      <c r="EH132" s="215"/>
      <c r="EI132" s="215"/>
      <c r="EJ132" s="215"/>
      <c r="EK132" s="215"/>
      <c r="EL132" s="215"/>
      <c r="EM132" s="215"/>
      <c r="EN132" s="215"/>
      <c r="EO132" s="215"/>
      <c r="EP132" s="215"/>
      <c r="EQ132" s="215"/>
      <c r="ER132" s="215"/>
      <c r="ES132" s="215"/>
      <c r="ET132" s="215"/>
      <c r="EU132" s="215"/>
      <c r="EV132" s="215"/>
      <c r="EW132" s="215"/>
      <c r="EX132" s="215"/>
      <c r="EY132" s="215"/>
      <c r="EZ132" s="215"/>
      <c r="FA132" s="215"/>
      <c r="FB132" s="215"/>
      <c r="FC132" s="215"/>
      <c r="FD132" s="215"/>
      <c r="FE132" s="215"/>
      <c r="FF132" s="215"/>
      <c r="FG132" s="215"/>
      <c r="FH132" s="215"/>
      <c r="FI132" s="215"/>
      <c r="FJ132" s="215"/>
      <c r="FK132" s="215"/>
      <c r="FL132" s="215"/>
      <c r="FM132" s="215"/>
      <c r="FN132" s="215"/>
      <c r="FO132" s="215"/>
      <c r="FP132" s="215"/>
      <c r="FQ132" s="215"/>
      <c r="FR132" s="215"/>
      <c r="HW132" s="219"/>
      <c r="HX132" s="220"/>
      <c r="HY132" s="220"/>
      <c r="HZ132" s="220"/>
      <c r="IA132" s="220"/>
      <c r="IB132" s="220"/>
      <c r="IC132" s="220"/>
      <c r="ID132" s="220"/>
      <c r="IE132" s="220"/>
      <c r="IF132" s="220"/>
      <c r="IG132" s="220"/>
      <c r="IH132" s="220"/>
      <c r="II132" s="220"/>
      <c r="IJ132" s="220"/>
      <c r="IK132" s="220"/>
      <c r="IL132" s="220"/>
      <c r="IM132" s="220"/>
      <c r="IN132" s="220"/>
      <c r="IO132" s="220"/>
      <c r="IP132" s="220"/>
      <c r="IQ132" s="220"/>
      <c r="IR132" s="220"/>
      <c r="IS132" s="220"/>
      <c r="IT132" s="220"/>
      <c r="IU132" s="220"/>
      <c r="IV132" s="220"/>
      <c r="IW132" s="220"/>
      <c r="IX132" s="220"/>
      <c r="IY132" s="220"/>
      <c r="IZ132" s="220"/>
      <c r="JA132" s="220"/>
      <c r="JB132" s="220"/>
      <c r="JC132" s="220"/>
      <c r="JD132" s="220"/>
      <c r="JE132" s="220"/>
      <c r="JF132" s="220"/>
      <c r="JG132" s="220"/>
      <c r="JH132" s="220"/>
      <c r="JI132" s="220"/>
      <c r="JJ132" s="220"/>
      <c r="JK132" s="187"/>
      <c r="JL132" s="188"/>
      <c r="JM132" s="188"/>
      <c r="JN132" s="188"/>
      <c r="JO132" s="188"/>
      <c r="JP132" s="189"/>
      <c r="JQ132" s="19"/>
      <c r="JV132" s="155"/>
      <c r="KA132" s="16"/>
      <c r="KC132" s="187"/>
      <c r="KD132" s="188"/>
      <c r="KE132" s="188"/>
      <c r="KF132" s="188"/>
      <c r="KG132" s="188"/>
      <c r="KH132" s="188"/>
      <c r="KI132" s="188"/>
      <c r="KJ132" s="188"/>
      <c r="KK132" s="188"/>
      <c r="KL132" s="188"/>
      <c r="KM132" s="188"/>
      <c r="KN132" s="188"/>
      <c r="KO132" s="188"/>
      <c r="KP132" s="188"/>
      <c r="KQ132" s="188"/>
      <c r="KR132" s="188"/>
      <c r="KS132" s="188"/>
      <c r="KT132" s="188"/>
      <c r="KU132" s="188"/>
      <c r="KV132" s="188"/>
      <c r="KW132" s="188"/>
      <c r="KX132" s="188"/>
      <c r="KY132" s="188"/>
      <c r="KZ132" s="188"/>
      <c r="LA132" s="188"/>
      <c r="LB132" s="188"/>
      <c r="LC132" s="188"/>
      <c r="LD132" s="188"/>
      <c r="LE132" s="188"/>
      <c r="LF132" s="188"/>
      <c r="LG132" s="188"/>
      <c r="LH132" s="188"/>
      <c r="LI132" s="188"/>
      <c r="LJ132" s="188"/>
      <c r="LK132" s="188"/>
      <c r="LL132" s="188"/>
      <c r="LM132" s="188"/>
      <c r="LN132" s="188"/>
      <c r="LO132" s="188"/>
      <c r="LP132" s="188"/>
      <c r="LQ132" s="189"/>
      <c r="LR132" s="187"/>
      <c r="LS132" s="188"/>
      <c r="LT132" s="188"/>
      <c r="LU132" s="188"/>
      <c r="LV132" s="189"/>
      <c r="MK132" s="12"/>
      <c r="ML132" s="7"/>
      <c r="MM132" s="3"/>
      <c r="MN132" s="3"/>
      <c r="MO132" s="3"/>
      <c r="MP132" s="3"/>
      <c r="MQ132" s="2"/>
      <c r="NE132" s="3"/>
      <c r="NF132" s="3"/>
      <c r="NG132" s="3"/>
      <c r="NH132" s="3"/>
      <c r="NI132" s="3"/>
      <c r="NJ132" s="2"/>
    </row>
    <row r="133" spans="3:374" ht="5.0999999999999996" customHeight="1" thickBot="1" x14ac:dyDescent="0.35">
      <c r="C133" s="11"/>
      <c r="D133" s="13"/>
      <c r="Q133" s="187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9"/>
      <c r="BF133" s="187"/>
      <c r="BG133" s="188"/>
      <c r="BH133" s="188"/>
      <c r="BI133" s="188"/>
      <c r="BJ133" s="189"/>
      <c r="EA133" s="215"/>
      <c r="EB133" s="215"/>
      <c r="EC133" s="215"/>
      <c r="ED133" s="215"/>
      <c r="EE133" s="215"/>
      <c r="EF133" s="215"/>
      <c r="EG133" s="215"/>
      <c r="EH133" s="215"/>
      <c r="EI133" s="215"/>
      <c r="EJ133" s="215"/>
      <c r="EK133" s="215"/>
      <c r="EL133" s="215"/>
      <c r="EM133" s="215"/>
      <c r="EN133" s="215"/>
      <c r="EO133" s="215"/>
      <c r="EP133" s="215"/>
      <c r="EQ133" s="215"/>
      <c r="ER133" s="215"/>
      <c r="ES133" s="215"/>
      <c r="ET133" s="215"/>
      <c r="EU133" s="215"/>
      <c r="EV133" s="215"/>
      <c r="EW133" s="215"/>
      <c r="EX133" s="215"/>
      <c r="EY133" s="215"/>
      <c r="EZ133" s="215"/>
      <c r="FA133" s="215"/>
      <c r="FB133" s="215"/>
      <c r="FC133" s="215"/>
      <c r="FD133" s="215"/>
      <c r="FE133" s="215"/>
      <c r="FF133" s="215"/>
      <c r="FG133" s="215"/>
      <c r="FH133" s="215"/>
      <c r="FI133" s="215"/>
      <c r="FJ133" s="215"/>
      <c r="FK133" s="215"/>
      <c r="FL133" s="215"/>
      <c r="FM133" s="215"/>
      <c r="FN133" s="215"/>
      <c r="FO133" s="215"/>
      <c r="FP133" s="215"/>
      <c r="FQ133" s="215"/>
      <c r="FR133" s="215"/>
      <c r="HW133" s="219"/>
      <c r="HX133" s="220"/>
      <c r="HY133" s="220"/>
      <c r="HZ133" s="220"/>
      <c r="IA133" s="220"/>
      <c r="IB133" s="220"/>
      <c r="IC133" s="220"/>
      <c r="ID133" s="220"/>
      <c r="IE133" s="220"/>
      <c r="IF133" s="220"/>
      <c r="IG133" s="220"/>
      <c r="IH133" s="220"/>
      <c r="II133" s="220"/>
      <c r="IJ133" s="220"/>
      <c r="IK133" s="220"/>
      <c r="IL133" s="220"/>
      <c r="IM133" s="220"/>
      <c r="IN133" s="220"/>
      <c r="IO133" s="220"/>
      <c r="IP133" s="220"/>
      <c r="IQ133" s="220"/>
      <c r="IR133" s="220"/>
      <c r="IS133" s="220"/>
      <c r="IT133" s="220"/>
      <c r="IU133" s="220"/>
      <c r="IV133" s="220"/>
      <c r="IW133" s="220"/>
      <c r="IX133" s="220"/>
      <c r="IY133" s="220"/>
      <c r="IZ133" s="220"/>
      <c r="JA133" s="220"/>
      <c r="JB133" s="220"/>
      <c r="JC133" s="220"/>
      <c r="JD133" s="220"/>
      <c r="JE133" s="220"/>
      <c r="JF133" s="220"/>
      <c r="JG133" s="220"/>
      <c r="JH133" s="220"/>
      <c r="JI133" s="220"/>
      <c r="JJ133" s="220"/>
      <c r="JK133" s="187"/>
      <c r="JL133" s="188"/>
      <c r="JM133" s="188"/>
      <c r="JN133" s="188"/>
      <c r="JO133" s="188"/>
      <c r="JP133" s="189"/>
      <c r="JQ133" s="19"/>
      <c r="JV133" s="155"/>
      <c r="KA133" s="16"/>
      <c r="KC133" s="187"/>
      <c r="KD133" s="188"/>
      <c r="KE133" s="188"/>
      <c r="KF133" s="188"/>
      <c r="KG133" s="188"/>
      <c r="KH133" s="188"/>
      <c r="KI133" s="188"/>
      <c r="KJ133" s="188"/>
      <c r="KK133" s="188"/>
      <c r="KL133" s="188"/>
      <c r="KM133" s="188"/>
      <c r="KN133" s="188"/>
      <c r="KO133" s="188"/>
      <c r="KP133" s="188"/>
      <c r="KQ133" s="188"/>
      <c r="KR133" s="188"/>
      <c r="KS133" s="188"/>
      <c r="KT133" s="188"/>
      <c r="KU133" s="188"/>
      <c r="KV133" s="188"/>
      <c r="KW133" s="188"/>
      <c r="KX133" s="188"/>
      <c r="KY133" s="188"/>
      <c r="KZ133" s="188"/>
      <c r="LA133" s="188"/>
      <c r="LB133" s="188"/>
      <c r="LC133" s="188"/>
      <c r="LD133" s="188"/>
      <c r="LE133" s="188"/>
      <c r="LF133" s="188"/>
      <c r="LG133" s="188"/>
      <c r="LH133" s="188"/>
      <c r="LI133" s="188"/>
      <c r="LJ133" s="188"/>
      <c r="LK133" s="188"/>
      <c r="LL133" s="188"/>
      <c r="LM133" s="188"/>
      <c r="LN133" s="188"/>
      <c r="LO133" s="188"/>
      <c r="LP133" s="188"/>
      <c r="LQ133" s="189"/>
      <c r="LR133" s="187"/>
      <c r="LS133" s="188"/>
      <c r="LT133" s="188"/>
      <c r="LU133" s="188"/>
      <c r="LV133" s="189"/>
      <c r="MK133" s="12"/>
      <c r="ML133" s="7"/>
      <c r="MM133" s="3"/>
      <c r="MN133" s="3"/>
      <c r="MO133" s="3"/>
      <c r="MP133" s="3"/>
      <c r="MQ133" s="2"/>
      <c r="NE133" s="3"/>
      <c r="NF133" s="3"/>
      <c r="NG133" s="3"/>
      <c r="NH133" s="3"/>
      <c r="NI133" s="3"/>
      <c r="NJ133" s="2"/>
    </row>
    <row r="134" spans="3:374" ht="5.0999999999999996" customHeight="1" x14ac:dyDescent="0.3">
      <c r="C134" s="11"/>
      <c r="D134" s="13"/>
      <c r="Q134" s="187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9"/>
      <c r="BF134" s="187"/>
      <c r="BG134" s="188"/>
      <c r="BH134" s="188"/>
      <c r="BI134" s="188"/>
      <c r="BJ134" s="189"/>
      <c r="EA134" s="215"/>
      <c r="EB134" s="215"/>
      <c r="EC134" s="215"/>
      <c r="ED134" s="215"/>
      <c r="EE134" s="215"/>
      <c r="EF134" s="215"/>
      <c r="EG134" s="215"/>
      <c r="EH134" s="215"/>
      <c r="EI134" s="215"/>
      <c r="EJ134" s="215"/>
      <c r="EK134" s="215"/>
      <c r="EL134" s="215"/>
      <c r="EM134" s="215"/>
      <c r="EN134" s="215"/>
      <c r="EO134" s="215"/>
      <c r="EP134" s="215"/>
      <c r="EQ134" s="215"/>
      <c r="ER134" s="215"/>
      <c r="ES134" s="215"/>
      <c r="ET134" s="215"/>
      <c r="EU134" s="215"/>
      <c r="EV134" s="215"/>
      <c r="EW134" s="215"/>
      <c r="EX134" s="215"/>
      <c r="EY134" s="215"/>
      <c r="EZ134" s="215"/>
      <c r="FA134" s="215"/>
      <c r="FB134" s="215"/>
      <c r="FC134" s="215"/>
      <c r="FD134" s="215"/>
      <c r="FE134" s="215"/>
      <c r="FF134" s="215"/>
      <c r="FG134" s="215"/>
      <c r="FH134" s="215"/>
      <c r="FI134" s="215"/>
      <c r="FJ134" s="215"/>
      <c r="FK134" s="215"/>
      <c r="FL134" s="215"/>
      <c r="FM134" s="215"/>
      <c r="FN134" s="215"/>
      <c r="FO134" s="215"/>
      <c r="FP134" s="215"/>
      <c r="FQ134" s="215"/>
      <c r="FR134" s="215"/>
      <c r="HW134" s="219"/>
      <c r="HX134" s="220"/>
      <c r="HY134" s="220"/>
      <c r="HZ134" s="220"/>
      <c r="IA134" s="220"/>
      <c r="IB134" s="220"/>
      <c r="IC134" s="220"/>
      <c r="ID134" s="220"/>
      <c r="IE134" s="220"/>
      <c r="IF134" s="220"/>
      <c r="IG134" s="220"/>
      <c r="IH134" s="220"/>
      <c r="II134" s="220"/>
      <c r="IJ134" s="220"/>
      <c r="IK134" s="220"/>
      <c r="IL134" s="220"/>
      <c r="IM134" s="220"/>
      <c r="IN134" s="220"/>
      <c r="IO134" s="220"/>
      <c r="IP134" s="220"/>
      <c r="IQ134" s="220"/>
      <c r="IR134" s="220"/>
      <c r="IS134" s="220"/>
      <c r="IT134" s="220"/>
      <c r="IU134" s="220"/>
      <c r="IV134" s="220"/>
      <c r="IW134" s="220"/>
      <c r="IX134" s="220"/>
      <c r="IY134" s="220"/>
      <c r="IZ134" s="220"/>
      <c r="JA134" s="220"/>
      <c r="JB134" s="220"/>
      <c r="JC134" s="220"/>
      <c r="JD134" s="220"/>
      <c r="JE134" s="220"/>
      <c r="JF134" s="220"/>
      <c r="JG134" s="220"/>
      <c r="JH134" s="220"/>
      <c r="JI134" s="220"/>
      <c r="JJ134" s="220"/>
      <c r="JK134" s="187"/>
      <c r="JL134" s="188"/>
      <c r="JM134" s="188"/>
      <c r="JN134" s="188"/>
      <c r="JO134" s="188"/>
      <c r="JP134" s="189"/>
      <c r="JQ134" s="19"/>
      <c r="JV134" s="155"/>
      <c r="KA134" s="22"/>
      <c r="KB134" s="48"/>
      <c r="KC134" s="187"/>
      <c r="KD134" s="188"/>
      <c r="KE134" s="188"/>
      <c r="KF134" s="188"/>
      <c r="KG134" s="188"/>
      <c r="KH134" s="188"/>
      <c r="KI134" s="188"/>
      <c r="KJ134" s="188"/>
      <c r="KK134" s="188"/>
      <c r="KL134" s="188"/>
      <c r="KM134" s="188"/>
      <c r="KN134" s="188"/>
      <c r="KO134" s="188"/>
      <c r="KP134" s="188"/>
      <c r="KQ134" s="188"/>
      <c r="KR134" s="188"/>
      <c r="KS134" s="188"/>
      <c r="KT134" s="188"/>
      <c r="KU134" s="188"/>
      <c r="KV134" s="188"/>
      <c r="KW134" s="188"/>
      <c r="KX134" s="188"/>
      <c r="KY134" s="188"/>
      <c r="KZ134" s="188"/>
      <c r="LA134" s="188"/>
      <c r="LB134" s="188"/>
      <c r="LC134" s="188"/>
      <c r="LD134" s="188"/>
      <c r="LE134" s="188"/>
      <c r="LF134" s="188"/>
      <c r="LG134" s="188"/>
      <c r="LH134" s="188"/>
      <c r="LI134" s="188"/>
      <c r="LJ134" s="188"/>
      <c r="LK134" s="188"/>
      <c r="LL134" s="188"/>
      <c r="LM134" s="188"/>
      <c r="LN134" s="188"/>
      <c r="LO134" s="188"/>
      <c r="LP134" s="188"/>
      <c r="LQ134" s="189"/>
      <c r="LR134" s="187"/>
      <c r="LS134" s="188"/>
      <c r="LT134" s="188"/>
      <c r="LU134" s="188"/>
      <c r="LV134" s="189"/>
      <c r="MK134" s="12"/>
      <c r="ML134" s="7"/>
      <c r="MM134" s="3"/>
      <c r="MN134" s="3"/>
      <c r="MO134" s="3"/>
      <c r="MP134" s="3"/>
      <c r="MQ134" s="2"/>
      <c r="NE134" s="3"/>
      <c r="NF134" s="3"/>
      <c r="NG134" s="3"/>
      <c r="NH134" s="3"/>
      <c r="NI134" s="3"/>
      <c r="NJ134" s="2"/>
    </row>
    <row r="135" spans="3:374" ht="5.0999999999999996" customHeight="1" x14ac:dyDescent="0.3">
      <c r="C135" s="11"/>
      <c r="D135" s="13"/>
      <c r="Q135" s="187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9"/>
      <c r="BF135" s="187"/>
      <c r="BG135" s="188"/>
      <c r="BH135" s="188"/>
      <c r="BI135" s="188"/>
      <c r="BJ135" s="189"/>
      <c r="EA135" s="215"/>
      <c r="EB135" s="215"/>
      <c r="EC135" s="215"/>
      <c r="ED135" s="215"/>
      <c r="EE135" s="215"/>
      <c r="EF135" s="215"/>
      <c r="EG135" s="215"/>
      <c r="EH135" s="215"/>
      <c r="EI135" s="215"/>
      <c r="EJ135" s="215"/>
      <c r="EK135" s="215"/>
      <c r="EL135" s="215"/>
      <c r="EM135" s="215"/>
      <c r="EN135" s="215"/>
      <c r="EO135" s="215"/>
      <c r="EP135" s="215"/>
      <c r="EQ135" s="215"/>
      <c r="ER135" s="215"/>
      <c r="ES135" s="215"/>
      <c r="ET135" s="215"/>
      <c r="EU135" s="215"/>
      <c r="EV135" s="215"/>
      <c r="EW135" s="215"/>
      <c r="EX135" s="215"/>
      <c r="EY135" s="215"/>
      <c r="EZ135" s="215"/>
      <c r="FA135" s="215"/>
      <c r="FB135" s="215"/>
      <c r="FC135" s="215"/>
      <c r="FD135" s="215"/>
      <c r="FE135" s="215"/>
      <c r="FF135" s="215"/>
      <c r="FG135" s="215"/>
      <c r="FH135" s="215"/>
      <c r="FI135" s="215"/>
      <c r="FJ135" s="215"/>
      <c r="FK135" s="215"/>
      <c r="FL135" s="215"/>
      <c r="FM135" s="215"/>
      <c r="FN135" s="215"/>
      <c r="FO135" s="215"/>
      <c r="FP135" s="215"/>
      <c r="FQ135" s="215"/>
      <c r="FR135" s="215"/>
      <c r="HW135" s="219"/>
      <c r="HX135" s="220"/>
      <c r="HY135" s="220"/>
      <c r="HZ135" s="220"/>
      <c r="IA135" s="220"/>
      <c r="IB135" s="220"/>
      <c r="IC135" s="220"/>
      <c r="ID135" s="220"/>
      <c r="IE135" s="220"/>
      <c r="IF135" s="220"/>
      <c r="IG135" s="220"/>
      <c r="IH135" s="220"/>
      <c r="II135" s="220"/>
      <c r="IJ135" s="220"/>
      <c r="IK135" s="220"/>
      <c r="IL135" s="220"/>
      <c r="IM135" s="220"/>
      <c r="IN135" s="220"/>
      <c r="IO135" s="220"/>
      <c r="IP135" s="220"/>
      <c r="IQ135" s="220"/>
      <c r="IR135" s="220"/>
      <c r="IS135" s="220"/>
      <c r="IT135" s="220"/>
      <c r="IU135" s="220"/>
      <c r="IV135" s="220"/>
      <c r="IW135" s="220"/>
      <c r="IX135" s="220"/>
      <c r="IY135" s="220"/>
      <c r="IZ135" s="220"/>
      <c r="JA135" s="220"/>
      <c r="JB135" s="220"/>
      <c r="JC135" s="220"/>
      <c r="JD135" s="220"/>
      <c r="JE135" s="220"/>
      <c r="JF135" s="220"/>
      <c r="JG135" s="220"/>
      <c r="JH135" s="220"/>
      <c r="JI135" s="220"/>
      <c r="JJ135" s="220"/>
      <c r="JK135" s="187"/>
      <c r="JL135" s="188"/>
      <c r="JM135" s="188"/>
      <c r="JN135" s="188"/>
      <c r="JO135" s="188"/>
      <c r="JP135" s="189"/>
      <c r="JQ135" s="19"/>
      <c r="JV135" s="155"/>
      <c r="KA135" s="16"/>
      <c r="KC135" s="187"/>
      <c r="KD135" s="188"/>
      <c r="KE135" s="188"/>
      <c r="KF135" s="188"/>
      <c r="KG135" s="188"/>
      <c r="KH135" s="188"/>
      <c r="KI135" s="188"/>
      <c r="KJ135" s="188"/>
      <c r="KK135" s="188"/>
      <c r="KL135" s="188"/>
      <c r="KM135" s="188"/>
      <c r="KN135" s="188"/>
      <c r="KO135" s="188"/>
      <c r="KP135" s="188"/>
      <c r="KQ135" s="188"/>
      <c r="KR135" s="188"/>
      <c r="KS135" s="188"/>
      <c r="KT135" s="188"/>
      <c r="KU135" s="188"/>
      <c r="KV135" s="188"/>
      <c r="KW135" s="188"/>
      <c r="KX135" s="188"/>
      <c r="KY135" s="188"/>
      <c r="KZ135" s="188"/>
      <c r="LA135" s="188"/>
      <c r="LB135" s="188"/>
      <c r="LC135" s="188"/>
      <c r="LD135" s="188"/>
      <c r="LE135" s="188"/>
      <c r="LF135" s="188"/>
      <c r="LG135" s="188"/>
      <c r="LH135" s="188"/>
      <c r="LI135" s="188"/>
      <c r="LJ135" s="188"/>
      <c r="LK135" s="188"/>
      <c r="LL135" s="188"/>
      <c r="LM135" s="188"/>
      <c r="LN135" s="188"/>
      <c r="LO135" s="188"/>
      <c r="LP135" s="188"/>
      <c r="LQ135" s="189"/>
      <c r="LR135" s="187"/>
      <c r="LS135" s="188"/>
      <c r="LT135" s="188"/>
      <c r="LU135" s="188"/>
      <c r="LV135" s="189"/>
      <c r="MK135" s="12"/>
      <c r="ML135" s="7"/>
      <c r="MM135" s="3"/>
      <c r="MN135" s="3"/>
      <c r="MO135" s="3"/>
      <c r="MP135" s="3"/>
      <c r="MQ135" s="2"/>
      <c r="NE135" s="3"/>
      <c r="NF135" s="3"/>
      <c r="NG135" s="3"/>
      <c r="NH135" s="3"/>
      <c r="NI135" s="3"/>
      <c r="NJ135" s="2"/>
    </row>
    <row r="136" spans="3:374" ht="5.0999999999999996" customHeight="1" x14ac:dyDescent="0.3">
      <c r="C136" s="11"/>
      <c r="D136" s="13"/>
      <c r="Q136" s="187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9"/>
      <c r="BF136" s="187"/>
      <c r="BG136" s="188"/>
      <c r="BH136" s="188"/>
      <c r="BI136" s="188"/>
      <c r="BJ136" s="189"/>
      <c r="EA136" s="215"/>
      <c r="EB136" s="215"/>
      <c r="EC136" s="215"/>
      <c r="ED136" s="215"/>
      <c r="EE136" s="215"/>
      <c r="EF136" s="215"/>
      <c r="EG136" s="215"/>
      <c r="EH136" s="215"/>
      <c r="EI136" s="215"/>
      <c r="EJ136" s="215"/>
      <c r="EK136" s="215"/>
      <c r="EL136" s="215"/>
      <c r="EM136" s="215"/>
      <c r="EN136" s="215"/>
      <c r="EO136" s="215"/>
      <c r="EP136" s="215"/>
      <c r="EQ136" s="215"/>
      <c r="ER136" s="215"/>
      <c r="ES136" s="215"/>
      <c r="ET136" s="215"/>
      <c r="EU136" s="215"/>
      <c r="EV136" s="215"/>
      <c r="EW136" s="215"/>
      <c r="EX136" s="215"/>
      <c r="EY136" s="215"/>
      <c r="EZ136" s="215"/>
      <c r="FA136" s="215"/>
      <c r="FB136" s="215"/>
      <c r="FC136" s="215"/>
      <c r="FD136" s="215"/>
      <c r="FE136" s="215"/>
      <c r="FF136" s="215"/>
      <c r="FG136" s="215"/>
      <c r="FH136" s="215"/>
      <c r="FI136" s="215"/>
      <c r="FJ136" s="215"/>
      <c r="FK136" s="215"/>
      <c r="FL136" s="215"/>
      <c r="FM136" s="215"/>
      <c r="FN136" s="215"/>
      <c r="FO136" s="215"/>
      <c r="FP136" s="215"/>
      <c r="FQ136" s="215"/>
      <c r="FR136" s="215"/>
      <c r="HW136" s="222"/>
      <c r="HX136" s="223"/>
      <c r="HY136" s="223"/>
      <c r="HZ136" s="223"/>
      <c r="IA136" s="223"/>
      <c r="IB136" s="223"/>
      <c r="IC136" s="223"/>
      <c r="ID136" s="223"/>
      <c r="IE136" s="223"/>
      <c r="IF136" s="223"/>
      <c r="IG136" s="223"/>
      <c r="IH136" s="223"/>
      <c r="II136" s="223"/>
      <c r="IJ136" s="223"/>
      <c r="IK136" s="223"/>
      <c r="IL136" s="223"/>
      <c r="IM136" s="223"/>
      <c r="IN136" s="223"/>
      <c r="IO136" s="223"/>
      <c r="IP136" s="223"/>
      <c r="IQ136" s="223"/>
      <c r="IR136" s="223"/>
      <c r="IS136" s="223"/>
      <c r="IT136" s="223"/>
      <c r="IU136" s="223"/>
      <c r="IV136" s="223"/>
      <c r="IW136" s="223"/>
      <c r="IX136" s="223"/>
      <c r="IY136" s="223"/>
      <c r="IZ136" s="223"/>
      <c r="JA136" s="223"/>
      <c r="JB136" s="223"/>
      <c r="JC136" s="223"/>
      <c r="JD136" s="223"/>
      <c r="JE136" s="223"/>
      <c r="JF136" s="223"/>
      <c r="JG136" s="223"/>
      <c r="JH136" s="223"/>
      <c r="JI136" s="223"/>
      <c r="JJ136" s="223"/>
      <c r="JK136" s="190"/>
      <c r="JL136" s="191"/>
      <c r="JM136" s="191"/>
      <c r="JN136" s="191"/>
      <c r="JO136" s="191"/>
      <c r="JP136" s="192"/>
      <c r="JQ136" s="19"/>
      <c r="JV136" s="155"/>
      <c r="KA136" s="16"/>
      <c r="KC136" s="187"/>
      <c r="KD136" s="188"/>
      <c r="KE136" s="188"/>
      <c r="KF136" s="188"/>
      <c r="KG136" s="188"/>
      <c r="KH136" s="188"/>
      <c r="KI136" s="188"/>
      <c r="KJ136" s="188"/>
      <c r="KK136" s="188"/>
      <c r="KL136" s="188"/>
      <c r="KM136" s="188"/>
      <c r="KN136" s="188"/>
      <c r="KO136" s="188"/>
      <c r="KP136" s="188"/>
      <c r="KQ136" s="188"/>
      <c r="KR136" s="188"/>
      <c r="KS136" s="188"/>
      <c r="KT136" s="188"/>
      <c r="KU136" s="188"/>
      <c r="KV136" s="188"/>
      <c r="KW136" s="188"/>
      <c r="KX136" s="188"/>
      <c r="KY136" s="188"/>
      <c r="KZ136" s="188"/>
      <c r="LA136" s="188"/>
      <c r="LB136" s="188"/>
      <c r="LC136" s="188"/>
      <c r="LD136" s="188"/>
      <c r="LE136" s="188"/>
      <c r="LF136" s="188"/>
      <c r="LG136" s="188"/>
      <c r="LH136" s="188"/>
      <c r="LI136" s="188"/>
      <c r="LJ136" s="188"/>
      <c r="LK136" s="188"/>
      <c r="LL136" s="188"/>
      <c r="LM136" s="188"/>
      <c r="LN136" s="188"/>
      <c r="LO136" s="188"/>
      <c r="LP136" s="188"/>
      <c r="LQ136" s="189"/>
      <c r="LR136" s="187"/>
      <c r="LS136" s="188"/>
      <c r="LT136" s="188"/>
      <c r="LU136" s="188"/>
      <c r="LV136" s="189"/>
      <c r="MK136" s="12"/>
      <c r="ML136" s="7"/>
      <c r="MM136" s="3"/>
      <c r="MN136" s="3"/>
      <c r="MO136" s="3"/>
      <c r="MP136" s="3"/>
      <c r="MQ136" s="2"/>
      <c r="NE136" s="3"/>
      <c r="NF136" s="3"/>
      <c r="NG136" s="3"/>
      <c r="NH136" s="3"/>
      <c r="NI136" s="3"/>
      <c r="NJ136" s="2"/>
    </row>
    <row r="137" spans="3:374" ht="5.0999999999999996" customHeight="1" x14ac:dyDescent="0.3">
      <c r="C137" s="11"/>
      <c r="D137" s="13"/>
      <c r="Q137" s="187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9"/>
      <c r="BF137" s="187"/>
      <c r="BG137" s="188"/>
      <c r="BH137" s="188"/>
      <c r="BI137" s="188"/>
      <c r="BJ137" s="189"/>
      <c r="EA137" s="215"/>
      <c r="EB137" s="215"/>
      <c r="EC137" s="215"/>
      <c r="ED137" s="215"/>
      <c r="EE137" s="215"/>
      <c r="EF137" s="215"/>
      <c r="EG137" s="215"/>
      <c r="EH137" s="215"/>
      <c r="EI137" s="215"/>
      <c r="EJ137" s="215"/>
      <c r="EK137" s="215"/>
      <c r="EL137" s="215"/>
      <c r="EM137" s="215"/>
      <c r="EN137" s="215"/>
      <c r="EO137" s="215"/>
      <c r="EP137" s="215"/>
      <c r="EQ137" s="215"/>
      <c r="ER137" s="215"/>
      <c r="ES137" s="215"/>
      <c r="ET137" s="215"/>
      <c r="EU137" s="215"/>
      <c r="EV137" s="215"/>
      <c r="EW137" s="215"/>
      <c r="EX137" s="215"/>
      <c r="EY137" s="215"/>
      <c r="EZ137" s="215"/>
      <c r="FA137" s="215"/>
      <c r="FB137" s="215"/>
      <c r="FC137" s="215"/>
      <c r="FD137" s="215"/>
      <c r="FE137" s="215"/>
      <c r="FF137" s="215"/>
      <c r="FG137" s="215"/>
      <c r="FH137" s="215"/>
      <c r="FI137" s="215"/>
      <c r="FJ137" s="215"/>
      <c r="FK137" s="215"/>
      <c r="FL137" s="215"/>
      <c r="FM137" s="215"/>
      <c r="FN137" s="215"/>
      <c r="FO137" s="215"/>
      <c r="FP137" s="215"/>
      <c r="FQ137" s="215"/>
      <c r="FR137" s="215"/>
      <c r="JQ137" s="19"/>
      <c r="JV137" s="155"/>
      <c r="KA137" s="16"/>
      <c r="KC137" s="190"/>
      <c r="KD137" s="191"/>
      <c r="KE137" s="191"/>
      <c r="KF137" s="191"/>
      <c r="KG137" s="191"/>
      <c r="KH137" s="191"/>
      <c r="KI137" s="191"/>
      <c r="KJ137" s="191"/>
      <c r="KK137" s="191"/>
      <c r="KL137" s="191"/>
      <c r="KM137" s="191"/>
      <c r="KN137" s="191"/>
      <c r="KO137" s="191"/>
      <c r="KP137" s="191"/>
      <c r="KQ137" s="191"/>
      <c r="KR137" s="191"/>
      <c r="KS137" s="191"/>
      <c r="KT137" s="191"/>
      <c r="KU137" s="191"/>
      <c r="KV137" s="191"/>
      <c r="KW137" s="191"/>
      <c r="KX137" s="191"/>
      <c r="KY137" s="191"/>
      <c r="KZ137" s="191"/>
      <c r="LA137" s="191"/>
      <c r="LB137" s="191"/>
      <c r="LC137" s="191"/>
      <c r="LD137" s="191"/>
      <c r="LE137" s="191"/>
      <c r="LF137" s="191"/>
      <c r="LG137" s="191"/>
      <c r="LH137" s="191"/>
      <c r="LI137" s="191"/>
      <c r="LJ137" s="191"/>
      <c r="LK137" s="191"/>
      <c r="LL137" s="191"/>
      <c r="LM137" s="191"/>
      <c r="LN137" s="191"/>
      <c r="LO137" s="191"/>
      <c r="LP137" s="191"/>
      <c r="LQ137" s="192"/>
      <c r="LR137" s="190"/>
      <c r="LS137" s="191"/>
      <c r="LT137" s="191"/>
      <c r="LU137" s="191"/>
      <c r="LV137" s="192"/>
      <c r="MK137" s="12"/>
      <c r="ML137" s="7"/>
      <c r="MM137" s="3"/>
      <c r="MN137" s="3"/>
      <c r="MO137" s="3"/>
      <c r="MP137" s="3"/>
      <c r="MQ137" s="2"/>
      <c r="NE137" s="3"/>
      <c r="NF137" s="3"/>
      <c r="NG137" s="3"/>
      <c r="NH137" s="3"/>
      <c r="NI137" s="3"/>
      <c r="NJ137" s="2"/>
    </row>
    <row r="138" spans="3:374" ht="5.0999999999999996" customHeight="1" x14ac:dyDescent="0.3">
      <c r="C138" s="11"/>
      <c r="D138" s="13"/>
      <c r="Q138" s="190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2"/>
      <c r="BF138" s="190"/>
      <c r="BG138" s="191"/>
      <c r="BH138" s="191"/>
      <c r="BI138" s="191"/>
      <c r="BJ138" s="192"/>
      <c r="EA138" s="215"/>
      <c r="EB138" s="215"/>
      <c r="EC138" s="215"/>
      <c r="ED138" s="215"/>
      <c r="EE138" s="215"/>
      <c r="EF138" s="215"/>
      <c r="EG138" s="215"/>
      <c r="EH138" s="215"/>
      <c r="EI138" s="215"/>
      <c r="EJ138" s="215"/>
      <c r="EK138" s="215"/>
      <c r="EL138" s="215"/>
      <c r="EM138" s="215"/>
      <c r="EN138" s="215"/>
      <c r="EO138" s="215"/>
      <c r="EP138" s="215"/>
      <c r="EQ138" s="215"/>
      <c r="ER138" s="215"/>
      <c r="ES138" s="215"/>
      <c r="ET138" s="215"/>
      <c r="EU138" s="215"/>
      <c r="EV138" s="215"/>
      <c r="EW138" s="215"/>
      <c r="EX138" s="215"/>
      <c r="EY138" s="215"/>
      <c r="EZ138" s="215"/>
      <c r="FA138" s="215"/>
      <c r="FB138" s="215"/>
      <c r="FC138" s="215"/>
      <c r="FD138" s="215"/>
      <c r="FE138" s="215"/>
      <c r="FF138" s="215"/>
      <c r="FG138" s="215"/>
      <c r="FH138" s="215"/>
      <c r="FI138" s="215"/>
      <c r="FJ138" s="215"/>
      <c r="FK138" s="215"/>
      <c r="FL138" s="215"/>
      <c r="FM138" s="215"/>
      <c r="FN138" s="215"/>
      <c r="FO138" s="215"/>
      <c r="FP138" s="215"/>
      <c r="FQ138" s="215"/>
      <c r="FR138" s="215"/>
      <c r="JQ138" s="19"/>
      <c r="JV138" s="155"/>
      <c r="KA138" s="16"/>
      <c r="KX138" s="152"/>
      <c r="MK138" s="12"/>
      <c r="ML138" s="7"/>
      <c r="MM138" s="3"/>
      <c r="MN138" s="3"/>
      <c r="MO138" s="3"/>
      <c r="MP138" s="3"/>
      <c r="MQ138" s="2"/>
      <c r="NE138" s="3"/>
      <c r="NF138" s="3"/>
      <c r="NG138" s="3"/>
      <c r="NH138" s="3"/>
      <c r="NI138" s="3"/>
      <c r="NJ138" s="2"/>
    </row>
    <row r="139" spans="3:374" ht="5.0999999999999996" customHeight="1" x14ac:dyDescent="0.3">
      <c r="C139" s="11"/>
      <c r="D139" s="13"/>
      <c r="AN139" s="16"/>
      <c r="EX139" s="17"/>
      <c r="HW139" s="195" t="s">
        <v>8</v>
      </c>
      <c r="HX139" s="196"/>
      <c r="HY139" s="196"/>
      <c r="HZ139" s="196"/>
      <c r="IA139" s="196"/>
      <c r="IB139" s="196"/>
      <c r="IC139" s="196"/>
      <c r="ID139" s="196"/>
      <c r="IE139" s="196"/>
      <c r="IF139" s="196"/>
      <c r="IG139" s="196"/>
      <c r="IH139" s="196"/>
      <c r="II139" s="196"/>
      <c r="IJ139" s="196"/>
      <c r="IK139" s="196"/>
      <c r="IL139" s="196"/>
      <c r="IM139" s="196"/>
      <c r="IN139" s="196"/>
      <c r="IO139" s="196"/>
      <c r="IP139" s="196"/>
      <c r="IQ139" s="196"/>
      <c r="IR139" s="196"/>
      <c r="IS139" s="196"/>
      <c r="IT139" s="196"/>
      <c r="IU139" s="196"/>
      <c r="IV139" s="196"/>
      <c r="IW139" s="196"/>
      <c r="IX139" s="196"/>
      <c r="IY139" s="196"/>
      <c r="IZ139" s="196"/>
      <c r="JA139" s="196"/>
      <c r="JB139" s="196"/>
      <c r="JC139" s="196"/>
      <c r="JD139" s="196"/>
      <c r="JE139" s="196"/>
      <c r="JF139" s="196"/>
      <c r="JG139" s="196"/>
      <c r="JH139" s="196"/>
      <c r="JI139" s="196"/>
      <c r="JJ139" s="197"/>
      <c r="JK139" s="204">
        <f>JK149</f>
        <v>32</v>
      </c>
      <c r="JL139" s="204"/>
      <c r="JM139" s="204"/>
      <c r="JN139" s="204"/>
      <c r="JO139" s="204"/>
      <c r="JP139" s="204"/>
      <c r="JQ139" s="19"/>
      <c r="JV139" s="155"/>
      <c r="KA139" s="16"/>
      <c r="KC139" s="184" t="s">
        <v>46</v>
      </c>
      <c r="KD139" s="185"/>
      <c r="KE139" s="185"/>
      <c r="KF139" s="185"/>
      <c r="KG139" s="185"/>
      <c r="KH139" s="185"/>
      <c r="KI139" s="185"/>
      <c r="KJ139" s="185"/>
      <c r="KK139" s="185"/>
      <c r="KL139" s="185"/>
      <c r="KM139" s="185"/>
      <c r="KN139" s="185"/>
      <c r="KO139" s="185"/>
      <c r="KP139" s="185"/>
      <c r="KQ139" s="185"/>
      <c r="KR139" s="185"/>
      <c r="KS139" s="185"/>
      <c r="KT139" s="185"/>
      <c r="KU139" s="185"/>
      <c r="KV139" s="185"/>
      <c r="KW139" s="185"/>
      <c r="KX139" s="185"/>
      <c r="KY139" s="185"/>
      <c r="KZ139" s="185"/>
      <c r="LA139" s="185"/>
      <c r="LB139" s="185"/>
      <c r="LC139" s="185"/>
      <c r="LD139" s="185"/>
      <c r="LE139" s="185"/>
      <c r="LF139" s="185"/>
      <c r="LG139" s="185"/>
      <c r="LH139" s="185"/>
      <c r="LI139" s="185"/>
      <c r="LJ139" s="185"/>
      <c r="LK139" s="185"/>
      <c r="LL139" s="185"/>
      <c r="LM139" s="185"/>
      <c r="LN139" s="185"/>
      <c r="LO139" s="185"/>
      <c r="LP139" s="185"/>
      <c r="LQ139" s="186"/>
      <c r="LR139" s="184">
        <v>1</v>
      </c>
      <c r="LS139" s="185"/>
      <c r="LT139" s="185"/>
      <c r="LU139" s="185"/>
      <c r="LV139" s="186"/>
      <c r="MK139" s="12"/>
      <c r="ML139" s="7"/>
      <c r="MM139" s="3"/>
      <c r="MN139" s="3"/>
      <c r="MO139" s="3"/>
      <c r="MP139" s="3"/>
      <c r="MQ139" s="2"/>
      <c r="NE139" s="3"/>
      <c r="NF139" s="3"/>
      <c r="NG139" s="3"/>
      <c r="NH139" s="3"/>
      <c r="NI139" s="3"/>
      <c r="NJ139" s="2"/>
    </row>
    <row r="140" spans="3:374" ht="5.0999999999999996" customHeight="1" x14ac:dyDescent="0.3">
      <c r="C140" s="11"/>
      <c r="D140" s="13"/>
      <c r="AN140" s="15"/>
      <c r="AO140" s="9"/>
      <c r="EX140" s="16"/>
      <c r="HW140" s="198"/>
      <c r="HX140" s="199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199"/>
      <c r="IW140" s="199"/>
      <c r="IX140" s="199"/>
      <c r="IY140" s="199"/>
      <c r="IZ140" s="199"/>
      <c r="JA140" s="199"/>
      <c r="JB140" s="199"/>
      <c r="JC140" s="199"/>
      <c r="JD140" s="199"/>
      <c r="JE140" s="199"/>
      <c r="JF140" s="199"/>
      <c r="JG140" s="199"/>
      <c r="JH140" s="199"/>
      <c r="JI140" s="199"/>
      <c r="JJ140" s="200"/>
      <c r="JK140" s="204"/>
      <c r="JL140" s="204"/>
      <c r="JM140" s="204"/>
      <c r="JN140" s="204"/>
      <c r="JO140" s="204"/>
      <c r="JP140" s="204"/>
      <c r="JQ140" s="19"/>
      <c r="JV140" s="155"/>
      <c r="KA140" s="16"/>
      <c r="KC140" s="187"/>
      <c r="KD140" s="188"/>
      <c r="KE140" s="188"/>
      <c r="KF140" s="188"/>
      <c r="KG140" s="188"/>
      <c r="KH140" s="188"/>
      <c r="KI140" s="188"/>
      <c r="KJ140" s="188"/>
      <c r="KK140" s="188"/>
      <c r="KL140" s="188"/>
      <c r="KM140" s="188"/>
      <c r="KN140" s="188"/>
      <c r="KO140" s="188"/>
      <c r="KP140" s="188"/>
      <c r="KQ140" s="188"/>
      <c r="KR140" s="188"/>
      <c r="KS140" s="188"/>
      <c r="KT140" s="188"/>
      <c r="KU140" s="188"/>
      <c r="KV140" s="188"/>
      <c r="KW140" s="188"/>
      <c r="KX140" s="188"/>
      <c r="KY140" s="188"/>
      <c r="KZ140" s="188"/>
      <c r="LA140" s="188"/>
      <c r="LB140" s="188"/>
      <c r="LC140" s="188"/>
      <c r="LD140" s="188"/>
      <c r="LE140" s="188"/>
      <c r="LF140" s="188"/>
      <c r="LG140" s="188"/>
      <c r="LH140" s="188"/>
      <c r="LI140" s="188"/>
      <c r="LJ140" s="188"/>
      <c r="LK140" s="188"/>
      <c r="LL140" s="188"/>
      <c r="LM140" s="188"/>
      <c r="LN140" s="188"/>
      <c r="LO140" s="188"/>
      <c r="LP140" s="188"/>
      <c r="LQ140" s="189"/>
      <c r="LR140" s="187"/>
      <c r="LS140" s="188"/>
      <c r="LT140" s="188"/>
      <c r="LU140" s="188"/>
      <c r="LV140" s="189"/>
      <c r="MK140" s="12"/>
      <c r="ML140" s="7"/>
      <c r="MM140" s="3"/>
      <c r="MN140" s="3"/>
      <c r="MO140" s="3"/>
      <c r="MP140" s="3"/>
      <c r="MQ140" s="2"/>
      <c r="NE140" s="3"/>
      <c r="NF140" s="3"/>
      <c r="NG140" s="3"/>
      <c r="NH140" s="3"/>
      <c r="NI140" s="3"/>
      <c r="NJ140" s="2"/>
    </row>
    <row r="141" spans="3:374" ht="5.0999999999999996" customHeight="1" x14ac:dyDescent="0.3">
      <c r="C141" s="11"/>
      <c r="D141" s="13"/>
      <c r="Q141" s="184" t="s">
        <v>46</v>
      </c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6"/>
      <c r="BF141" s="184">
        <v>1</v>
      </c>
      <c r="BG141" s="185"/>
      <c r="BH141" s="185"/>
      <c r="BI141" s="185"/>
      <c r="BJ141" s="186"/>
      <c r="EX141" s="16"/>
      <c r="HW141" s="198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  <c r="IW141" s="199"/>
      <c r="IX141" s="199"/>
      <c r="IY141" s="199"/>
      <c r="IZ141" s="199"/>
      <c r="JA141" s="199"/>
      <c r="JB141" s="199"/>
      <c r="JC141" s="199"/>
      <c r="JD141" s="199"/>
      <c r="JE141" s="199"/>
      <c r="JF141" s="199"/>
      <c r="JG141" s="199"/>
      <c r="JH141" s="199"/>
      <c r="JI141" s="199"/>
      <c r="JJ141" s="200"/>
      <c r="JK141" s="204"/>
      <c r="JL141" s="204"/>
      <c r="JM141" s="204"/>
      <c r="JN141" s="204"/>
      <c r="JO141" s="204"/>
      <c r="JP141" s="204"/>
      <c r="JQ141" s="19"/>
      <c r="JV141" s="155"/>
      <c r="KA141" s="16"/>
      <c r="KC141" s="187"/>
      <c r="KD141" s="188"/>
      <c r="KE141" s="188"/>
      <c r="KF141" s="188"/>
      <c r="KG141" s="188"/>
      <c r="KH141" s="188"/>
      <c r="KI141" s="188"/>
      <c r="KJ141" s="188"/>
      <c r="KK141" s="188"/>
      <c r="KL141" s="188"/>
      <c r="KM141" s="188"/>
      <c r="KN141" s="188"/>
      <c r="KO141" s="188"/>
      <c r="KP141" s="188"/>
      <c r="KQ141" s="188"/>
      <c r="KR141" s="188"/>
      <c r="KS141" s="188"/>
      <c r="KT141" s="188"/>
      <c r="KU141" s="188"/>
      <c r="KV141" s="188"/>
      <c r="KW141" s="188"/>
      <c r="KX141" s="188"/>
      <c r="KY141" s="188"/>
      <c r="KZ141" s="188"/>
      <c r="LA141" s="188"/>
      <c r="LB141" s="188"/>
      <c r="LC141" s="188"/>
      <c r="LD141" s="188"/>
      <c r="LE141" s="188"/>
      <c r="LF141" s="188"/>
      <c r="LG141" s="188"/>
      <c r="LH141" s="188"/>
      <c r="LI141" s="188"/>
      <c r="LJ141" s="188"/>
      <c r="LK141" s="188"/>
      <c r="LL141" s="188"/>
      <c r="LM141" s="188"/>
      <c r="LN141" s="188"/>
      <c r="LO141" s="188"/>
      <c r="LP141" s="188"/>
      <c r="LQ141" s="189"/>
      <c r="LR141" s="187"/>
      <c r="LS141" s="188"/>
      <c r="LT141" s="188"/>
      <c r="LU141" s="188"/>
      <c r="LV141" s="189"/>
      <c r="MK141" s="12"/>
      <c r="ML141" s="7"/>
      <c r="MM141" s="3"/>
      <c r="MN141" s="3"/>
      <c r="MO141" s="3"/>
      <c r="MP141" s="3"/>
      <c r="MQ141" s="2"/>
      <c r="NE141" s="3"/>
      <c r="NF141" s="3"/>
      <c r="NG141" s="3"/>
      <c r="NH141" s="3"/>
      <c r="NI141" s="3"/>
      <c r="NJ141" s="2"/>
    </row>
    <row r="142" spans="3:374" ht="5.0999999999999996" customHeight="1" x14ac:dyDescent="0.3">
      <c r="C142" s="11"/>
      <c r="D142" s="13"/>
      <c r="Q142" s="187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9"/>
      <c r="BF142" s="187"/>
      <c r="BG142" s="188"/>
      <c r="BH142" s="188"/>
      <c r="BI142" s="188"/>
      <c r="BJ142" s="189"/>
      <c r="EX142" s="16"/>
      <c r="FV142" s="49"/>
      <c r="FW142" s="49"/>
      <c r="FX142" s="49"/>
      <c r="HW142" s="198"/>
      <c r="HX142" s="199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199"/>
      <c r="IW142" s="199"/>
      <c r="IX142" s="199"/>
      <c r="IY142" s="199"/>
      <c r="IZ142" s="199"/>
      <c r="JA142" s="199"/>
      <c r="JB142" s="199"/>
      <c r="JC142" s="199"/>
      <c r="JD142" s="199"/>
      <c r="JE142" s="199"/>
      <c r="JF142" s="199"/>
      <c r="JG142" s="199"/>
      <c r="JH142" s="199"/>
      <c r="JI142" s="199"/>
      <c r="JJ142" s="200"/>
      <c r="JK142" s="204"/>
      <c r="JL142" s="204"/>
      <c r="JM142" s="204"/>
      <c r="JN142" s="204"/>
      <c r="JO142" s="204"/>
      <c r="JP142" s="204"/>
      <c r="JQ142" s="19"/>
      <c r="JV142" s="155"/>
      <c r="KA142" s="16"/>
      <c r="KC142" s="187"/>
      <c r="KD142" s="188"/>
      <c r="KE142" s="188"/>
      <c r="KF142" s="188"/>
      <c r="KG142" s="188"/>
      <c r="KH142" s="188"/>
      <c r="KI142" s="188"/>
      <c r="KJ142" s="188"/>
      <c r="KK142" s="188"/>
      <c r="KL142" s="188"/>
      <c r="KM142" s="188"/>
      <c r="KN142" s="188"/>
      <c r="KO142" s="188"/>
      <c r="KP142" s="188"/>
      <c r="KQ142" s="188"/>
      <c r="KR142" s="188"/>
      <c r="KS142" s="188"/>
      <c r="KT142" s="188"/>
      <c r="KU142" s="188"/>
      <c r="KV142" s="188"/>
      <c r="KW142" s="188"/>
      <c r="KX142" s="188"/>
      <c r="KY142" s="188"/>
      <c r="KZ142" s="188"/>
      <c r="LA142" s="188"/>
      <c r="LB142" s="188"/>
      <c r="LC142" s="188"/>
      <c r="LD142" s="188"/>
      <c r="LE142" s="188"/>
      <c r="LF142" s="188"/>
      <c r="LG142" s="188"/>
      <c r="LH142" s="188"/>
      <c r="LI142" s="188"/>
      <c r="LJ142" s="188"/>
      <c r="LK142" s="188"/>
      <c r="LL142" s="188"/>
      <c r="LM142" s="188"/>
      <c r="LN142" s="188"/>
      <c r="LO142" s="188"/>
      <c r="LP142" s="188"/>
      <c r="LQ142" s="189"/>
      <c r="LR142" s="187"/>
      <c r="LS142" s="188"/>
      <c r="LT142" s="188"/>
      <c r="LU142" s="188"/>
      <c r="LV142" s="189"/>
      <c r="MK142" s="12"/>
      <c r="ML142" s="7"/>
      <c r="MM142" s="3"/>
      <c r="MN142" s="3"/>
      <c r="MO142" s="3"/>
      <c r="MP142" s="3"/>
      <c r="MQ142" s="2"/>
      <c r="NE142" s="3"/>
      <c r="NF142" s="3"/>
      <c r="NG142" s="3"/>
      <c r="NH142" s="3"/>
      <c r="NI142" s="3"/>
      <c r="NJ142" s="2"/>
    </row>
    <row r="143" spans="3:374" ht="5.0999999999999996" customHeight="1" x14ac:dyDescent="0.3">
      <c r="C143" s="11"/>
      <c r="D143" s="13"/>
      <c r="Q143" s="187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9"/>
      <c r="BF143" s="187"/>
      <c r="BG143" s="188"/>
      <c r="BH143" s="188"/>
      <c r="BI143" s="188"/>
      <c r="BJ143" s="189"/>
      <c r="EX143" s="16"/>
      <c r="FW143" s="49"/>
      <c r="FX143" s="49"/>
      <c r="FY143" s="49"/>
      <c r="HK143" s="49"/>
      <c r="HW143" s="198"/>
      <c r="HX143" s="199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199"/>
      <c r="IW143" s="199"/>
      <c r="IX143" s="199"/>
      <c r="IY143" s="199"/>
      <c r="IZ143" s="199"/>
      <c r="JA143" s="199"/>
      <c r="JB143" s="199"/>
      <c r="JC143" s="199"/>
      <c r="JD143" s="199"/>
      <c r="JE143" s="199"/>
      <c r="JF143" s="199"/>
      <c r="JG143" s="199"/>
      <c r="JH143" s="199"/>
      <c r="JI143" s="199"/>
      <c r="JJ143" s="200"/>
      <c r="JK143" s="204"/>
      <c r="JL143" s="204"/>
      <c r="JM143" s="204"/>
      <c r="JN143" s="204"/>
      <c r="JO143" s="204"/>
      <c r="JP143" s="204"/>
      <c r="JQ143" s="19"/>
      <c r="JV143" s="155"/>
      <c r="KA143" s="16"/>
      <c r="KC143" s="187"/>
      <c r="KD143" s="188"/>
      <c r="KE143" s="188"/>
      <c r="KF143" s="188"/>
      <c r="KG143" s="188"/>
      <c r="KH143" s="188"/>
      <c r="KI143" s="188"/>
      <c r="KJ143" s="188"/>
      <c r="KK143" s="188"/>
      <c r="KL143" s="188"/>
      <c r="KM143" s="188"/>
      <c r="KN143" s="188"/>
      <c r="KO143" s="188"/>
      <c r="KP143" s="188"/>
      <c r="KQ143" s="188"/>
      <c r="KR143" s="188"/>
      <c r="KS143" s="188"/>
      <c r="KT143" s="188"/>
      <c r="KU143" s="188"/>
      <c r="KV143" s="188"/>
      <c r="KW143" s="188"/>
      <c r="KX143" s="188"/>
      <c r="KY143" s="188"/>
      <c r="KZ143" s="188"/>
      <c r="LA143" s="188"/>
      <c r="LB143" s="188"/>
      <c r="LC143" s="188"/>
      <c r="LD143" s="188"/>
      <c r="LE143" s="188"/>
      <c r="LF143" s="188"/>
      <c r="LG143" s="188"/>
      <c r="LH143" s="188"/>
      <c r="LI143" s="188"/>
      <c r="LJ143" s="188"/>
      <c r="LK143" s="188"/>
      <c r="LL143" s="188"/>
      <c r="LM143" s="188"/>
      <c r="LN143" s="188"/>
      <c r="LO143" s="188"/>
      <c r="LP143" s="188"/>
      <c r="LQ143" s="189"/>
      <c r="LR143" s="187"/>
      <c r="LS143" s="188"/>
      <c r="LT143" s="188"/>
      <c r="LU143" s="188"/>
      <c r="LV143" s="189"/>
      <c r="MK143" s="12"/>
      <c r="ML143" s="7"/>
      <c r="MM143" s="3"/>
      <c r="MN143" s="3"/>
      <c r="MO143" s="3"/>
      <c r="MP143" s="3"/>
      <c r="MQ143" s="2"/>
      <c r="NE143" s="3"/>
      <c r="NF143" s="3"/>
      <c r="NG143" s="3"/>
      <c r="NH143" s="3"/>
      <c r="NI143" s="3"/>
      <c r="NJ143" s="2"/>
    </row>
    <row r="144" spans="3:374" ht="5.0999999999999996" customHeight="1" thickBot="1" x14ac:dyDescent="0.35">
      <c r="C144" s="11"/>
      <c r="D144" s="13"/>
      <c r="Q144" s="187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9"/>
      <c r="BF144" s="187"/>
      <c r="BG144" s="188"/>
      <c r="BH144" s="188"/>
      <c r="BI144" s="188"/>
      <c r="BJ144" s="189"/>
      <c r="EX144" s="23"/>
      <c r="FW144" s="49"/>
      <c r="FX144" s="49"/>
      <c r="FY144" s="49"/>
      <c r="HW144" s="198"/>
      <c r="HX144" s="199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199"/>
      <c r="IW144" s="199"/>
      <c r="IX144" s="199"/>
      <c r="IY144" s="199"/>
      <c r="IZ144" s="199"/>
      <c r="JA144" s="199"/>
      <c r="JB144" s="199"/>
      <c r="JC144" s="199"/>
      <c r="JD144" s="199"/>
      <c r="JE144" s="199"/>
      <c r="JF144" s="199"/>
      <c r="JG144" s="199"/>
      <c r="JH144" s="199"/>
      <c r="JI144" s="199"/>
      <c r="JJ144" s="200"/>
      <c r="JK144" s="204"/>
      <c r="JL144" s="204"/>
      <c r="JM144" s="204"/>
      <c r="JN144" s="204"/>
      <c r="JO144" s="204"/>
      <c r="JP144" s="204"/>
      <c r="JQ144" s="19"/>
      <c r="JV144" s="155"/>
      <c r="KA144" s="16"/>
      <c r="KC144" s="187"/>
      <c r="KD144" s="188"/>
      <c r="KE144" s="188"/>
      <c r="KF144" s="188"/>
      <c r="KG144" s="188"/>
      <c r="KH144" s="188"/>
      <c r="KI144" s="188"/>
      <c r="KJ144" s="188"/>
      <c r="KK144" s="188"/>
      <c r="KL144" s="188"/>
      <c r="KM144" s="188"/>
      <c r="KN144" s="188"/>
      <c r="KO144" s="188"/>
      <c r="KP144" s="188"/>
      <c r="KQ144" s="188"/>
      <c r="KR144" s="188"/>
      <c r="KS144" s="188"/>
      <c r="KT144" s="188"/>
      <c r="KU144" s="188"/>
      <c r="KV144" s="188"/>
      <c r="KW144" s="188"/>
      <c r="KX144" s="188"/>
      <c r="KY144" s="188"/>
      <c r="KZ144" s="188"/>
      <c r="LA144" s="188"/>
      <c r="LB144" s="188"/>
      <c r="LC144" s="188"/>
      <c r="LD144" s="188"/>
      <c r="LE144" s="188"/>
      <c r="LF144" s="188"/>
      <c r="LG144" s="188"/>
      <c r="LH144" s="188"/>
      <c r="LI144" s="188"/>
      <c r="LJ144" s="188"/>
      <c r="LK144" s="188"/>
      <c r="LL144" s="188"/>
      <c r="LM144" s="188"/>
      <c r="LN144" s="188"/>
      <c r="LO144" s="188"/>
      <c r="LP144" s="188"/>
      <c r="LQ144" s="189"/>
      <c r="LR144" s="187"/>
      <c r="LS144" s="188"/>
      <c r="LT144" s="188"/>
      <c r="LU144" s="188"/>
      <c r="LV144" s="189"/>
      <c r="MK144" s="12"/>
      <c r="ML144" s="7"/>
      <c r="MM144" s="3"/>
      <c r="MN144" s="3"/>
      <c r="MO144" s="3"/>
      <c r="MP144" s="3"/>
      <c r="MQ144" s="2"/>
      <c r="NE144" s="3"/>
      <c r="NF144" s="3"/>
      <c r="NG144" s="3"/>
      <c r="NH144" s="3"/>
      <c r="NI144" s="3"/>
      <c r="NJ144" s="2"/>
    </row>
    <row r="145" spans="3:374" ht="5.0999999999999996" customHeight="1" x14ac:dyDescent="0.3">
      <c r="C145" s="11"/>
      <c r="D145" s="13"/>
      <c r="Q145" s="187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9"/>
      <c r="BF145" s="187"/>
      <c r="BG145" s="188"/>
      <c r="BH145" s="188"/>
      <c r="BI145" s="188"/>
      <c r="BJ145" s="189"/>
      <c r="CX145" s="22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0"/>
      <c r="EX145" s="22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0"/>
      <c r="GU145" s="49"/>
      <c r="GV145" s="49"/>
      <c r="GW145" s="49"/>
      <c r="HW145" s="198"/>
      <c r="HX145" s="199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199"/>
      <c r="IW145" s="199"/>
      <c r="IX145" s="199"/>
      <c r="IY145" s="199"/>
      <c r="IZ145" s="199"/>
      <c r="JA145" s="199"/>
      <c r="JB145" s="199"/>
      <c r="JC145" s="199"/>
      <c r="JD145" s="199"/>
      <c r="JE145" s="199"/>
      <c r="JF145" s="199"/>
      <c r="JG145" s="199"/>
      <c r="JH145" s="199"/>
      <c r="JI145" s="199"/>
      <c r="JJ145" s="200"/>
      <c r="JK145" s="204"/>
      <c r="JL145" s="204"/>
      <c r="JM145" s="204"/>
      <c r="JN145" s="204"/>
      <c r="JO145" s="204"/>
      <c r="JP145" s="204"/>
      <c r="JQ145" s="19"/>
      <c r="JV145" s="155"/>
      <c r="KA145" s="16"/>
      <c r="KC145" s="187"/>
      <c r="KD145" s="188"/>
      <c r="KE145" s="188"/>
      <c r="KF145" s="188"/>
      <c r="KG145" s="188"/>
      <c r="KH145" s="188"/>
      <c r="KI145" s="188"/>
      <c r="KJ145" s="188"/>
      <c r="KK145" s="188"/>
      <c r="KL145" s="188"/>
      <c r="KM145" s="188"/>
      <c r="KN145" s="188"/>
      <c r="KO145" s="188"/>
      <c r="KP145" s="188"/>
      <c r="KQ145" s="188"/>
      <c r="KR145" s="188"/>
      <c r="KS145" s="188"/>
      <c r="KT145" s="188"/>
      <c r="KU145" s="188"/>
      <c r="KV145" s="188"/>
      <c r="KW145" s="188"/>
      <c r="KX145" s="188"/>
      <c r="KY145" s="188"/>
      <c r="KZ145" s="188"/>
      <c r="LA145" s="188"/>
      <c r="LB145" s="188"/>
      <c r="LC145" s="188"/>
      <c r="LD145" s="188"/>
      <c r="LE145" s="188"/>
      <c r="LF145" s="188"/>
      <c r="LG145" s="188"/>
      <c r="LH145" s="188"/>
      <c r="LI145" s="188"/>
      <c r="LJ145" s="188"/>
      <c r="LK145" s="188"/>
      <c r="LL145" s="188"/>
      <c r="LM145" s="188"/>
      <c r="LN145" s="188"/>
      <c r="LO145" s="188"/>
      <c r="LP145" s="188"/>
      <c r="LQ145" s="189"/>
      <c r="LR145" s="187"/>
      <c r="LS145" s="188"/>
      <c r="LT145" s="188"/>
      <c r="LU145" s="188"/>
      <c r="LV145" s="189"/>
      <c r="MK145" s="12"/>
      <c r="ML145" s="7"/>
      <c r="MM145" s="3"/>
      <c r="MN145" s="3"/>
      <c r="MO145" s="3"/>
      <c r="MP145" s="3"/>
      <c r="MQ145" s="2"/>
      <c r="NE145" s="3"/>
      <c r="NF145" s="3"/>
      <c r="NG145" s="3"/>
      <c r="NH145" s="3"/>
      <c r="NI145" s="3"/>
      <c r="NJ145" s="2"/>
    </row>
    <row r="146" spans="3:374" ht="5.0999999999999996" customHeight="1" x14ac:dyDescent="0.3">
      <c r="C146" s="11"/>
      <c r="D146" s="13"/>
      <c r="Q146" s="187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E146" s="189"/>
      <c r="BF146" s="187"/>
      <c r="BG146" s="188"/>
      <c r="BH146" s="188"/>
      <c r="BI146" s="188"/>
      <c r="BJ146" s="189"/>
      <c r="CX146" s="16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19"/>
      <c r="EX146" s="15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50"/>
      <c r="GU146" s="9"/>
      <c r="HW146" s="198"/>
      <c r="HX146" s="199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199"/>
      <c r="IW146" s="199"/>
      <c r="IX146" s="199"/>
      <c r="IY146" s="199"/>
      <c r="IZ146" s="199"/>
      <c r="JA146" s="199"/>
      <c r="JB146" s="199"/>
      <c r="JC146" s="199"/>
      <c r="JD146" s="199"/>
      <c r="JE146" s="199"/>
      <c r="JF146" s="199"/>
      <c r="JG146" s="199"/>
      <c r="JH146" s="199"/>
      <c r="JI146" s="199"/>
      <c r="JJ146" s="200"/>
      <c r="JK146" s="204"/>
      <c r="JL146" s="204"/>
      <c r="JM146" s="204"/>
      <c r="JN146" s="204"/>
      <c r="JO146" s="204"/>
      <c r="JP146" s="204"/>
      <c r="JQ146" s="19"/>
      <c r="JV146" s="155"/>
      <c r="KA146" s="16"/>
      <c r="KC146" s="187"/>
      <c r="KD146" s="188"/>
      <c r="KE146" s="188"/>
      <c r="KF146" s="188"/>
      <c r="KG146" s="188"/>
      <c r="KH146" s="188"/>
      <c r="KI146" s="188"/>
      <c r="KJ146" s="188"/>
      <c r="KK146" s="188"/>
      <c r="KL146" s="188"/>
      <c r="KM146" s="188"/>
      <c r="KN146" s="188"/>
      <c r="KO146" s="188"/>
      <c r="KP146" s="188"/>
      <c r="KQ146" s="188"/>
      <c r="KR146" s="188"/>
      <c r="KS146" s="188"/>
      <c r="KT146" s="188"/>
      <c r="KU146" s="188"/>
      <c r="KV146" s="188"/>
      <c r="KW146" s="188"/>
      <c r="KX146" s="188"/>
      <c r="KY146" s="188"/>
      <c r="KZ146" s="188"/>
      <c r="LA146" s="188"/>
      <c r="LB146" s="188"/>
      <c r="LC146" s="188"/>
      <c r="LD146" s="188"/>
      <c r="LE146" s="188"/>
      <c r="LF146" s="188"/>
      <c r="LG146" s="188"/>
      <c r="LH146" s="188"/>
      <c r="LI146" s="188"/>
      <c r="LJ146" s="188"/>
      <c r="LK146" s="188"/>
      <c r="LL146" s="188"/>
      <c r="LM146" s="188"/>
      <c r="LN146" s="188"/>
      <c r="LO146" s="188"/>
      <c r="LP146" s="188"/>
      <c r="LQ146" s="189"/>
      <c r="LR146" s="187"/>
      <c r="LS146" s="188"/>
      <c r="LT146" s="188"/>
      <c r="LU146" s="188"/>
      <c r="LV146" s="189"/>
      <c r="MK146" s="12"/>
      <c r="ML146" s="7"/>
      <c r="MM146" s="3"/>
      <c r="MN146" s="3"/>
      <c r="MO146" s="3"/>
      <c r="MP146" s="3"/>
      <c r="MQ146" s="2"/>
      <c r="NE146" s="3"/>
      <c r="NF146" s="3"/>
      <c r="NG146" s="3"/>
      <c r="NH146" s="3"/>
      <c r="NI146" s="3"/>
      <c r="NJ146" s="2"/>
    </row>
    <row r="147" spans="3:374" ht="5.0999999999999996" customHeight="1" x14ac:dyDescent="0.3">
      <c r="C147" s="11"/>
      <c r="D147" s="13"/>
      <c r="Q147" s="187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E147" s="189"/>
      <c r="BF147" s="187"/>
      <c r="BG147" s="188"/>
      <c r="BH147" s="188"/>
      <c r="BI147" s="188"/>
      <c r="BJ147" s="189"/>
      <c r="CC147" s="216" t="s">
        <v>7</v>
      </c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7"/>
      <c r="DE147" s="217"/>
      <c r="DF147" s="217"/>
      <c r="DG147" s="217"/>
      <c r="DH147" s="217"/>
      <c r="DI147" s="217"/>
      <c r="DJ147" s="217"/>
      <c r="DK147" s="217"/>
      <c r="DL147" s="217"/>
      <c r="DM147" s="217"/>
      <c r="DN147" s="217"/>
      <c r="DO147" s="217"/>
      <c r="DP147" s="218"/>
      <c r="DQ147" s="216">
        <f>SUM(DQ161,DQ173)</f>
        <v>7</v>
      </c>
      <c r="DR147" s="217"/>
      <c r="DS147" s="217"/>
      <c r="DT147" s="217"/>
      <c r="DU147" s="218"/>
      <c r="EA147" s="216" t="s">
        <v>6</v>
      </c>
      <c r="EB147" s="217"/>
      <c r="EC147" s="217"/>
      <c r="ED147" s="217"/>
      <c r="EE147" s="217"/>
      <c r="EF147" s="217"/>
      <c r="EG147" s="217"/>
      <c r="EH147" s="217"/>
      <c r="EI147" s="217"/>
      <c r="EJ147" s="217"/>
      <c r="EK147" s="217"/>
      <c r="EL147" s="217"/>
      <c r="EM147" s="217"/>
      <c r="EN147" s="217"/>
      <c r="EO147" s="217"/>
      <c r="EP147" s="217"/>
      <c r="EQ147" s="217"/>
      <c r="ER147" s="217"/>
      <c r="ES147" s="217"/>
      <c r="ET147" s="217"/>
      <c r="EU147" s="217"/>
      <c r="EV147" s="217"/>
      <c r="EW147" s="217"/>
      <c r="EX147" s="217"/>
      <c r="EY147" s="217"/>
      <c r="EZ147" s="217"/>
      <c r="FA147" s="217"/>
      <c r="FB147" s="217"/>
      <c r="FC147" s="217"/>
      <c r="FD147" s="217"/>
      <c r="FE147" s="217"/>
      <c r="FF147" s="217"/>
      <c r="FG147" s="217"/>
      <c r="FH147" s="217"/>
      <c r="FI147" s="217"/>
      <c r="FJ147" s="217"/>
      <c r="FK147" s="217"/>
      <c r="FL147" s="217"/>
      <c r="FM147" s="217"/>
      <c r="FN147" s="218"/>
      <c r="FO147" s="216">
        <f>SUM(FO161,FO171)</f>
        <v>5</v>
      </c>
      <c r="FP147" s="217"/>
      <c r="FQ147" s="217"/>
      <c r="FR147" s="217"/>
      <c r="FS147" s="218"/>
      <c r="FX147" s="216" t="s">
        <v>5</v>
      </c>
      <c r="FY147" s="217"/>
      <c r="FZ147" s="217"/>
      <c r="GA147" s="217"/>
      <c r="GB147" s="217"/>
      <c r="GC147" s="217"/>
      <c r="GD147" s="217"/>
      <c r="GE147" s="217"/>
      <c r="GF147" s="217"/>
      <c r="GG147" s="217"/>
      <c r="GH147" s="217"/>
      <c r="GI147" s="217"/>
      <c r="GJ147" s="217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7"/>
      <c r="GZ147" s="217"/>
      <c r="HA147" s="217"/>
      <c r="HB147" s="217"/>
      <c r="HC147" s="217"/>
      <c r="HD147" s="217"/>
      <c r="HE147" s="217"/>
      <c r="HF147" s="217"/>
      <c r="HG147" s="217"/>
      <c r="HH147" s="217"/>
      <c r="HI147" s="217"/>
      <c r="HJ147" s="217"/>
      <c r="HK147" s="218"/>
      <c r="HL147" s="216">
        <f>SUM(HL161:HP190)</f>
        <v>4</v>
      </c>
      <c r="HM147" s="217"/>
      <c r="HN147" s="217"/>
      <c r="HO147" s="217"/>
      <c r="HP147" s="218"/>
      <c r="HW147" s="198"/>
      <c r="HX147" s="199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199"/>
      <c r="IW147" s="199"/>
      <c r="IX147" s="199"/>
      <c r="IY147" s="199"/>
      <c r="IZ147" s="199"/>
      <c r="JA147" s="199"/>
      <c r="JB147" s="199"/>
      <c r="JC147" s="199"/>
      <c r="JD147" s="199"/>
      <c r="JE147" s="199"/>
      <c r="JF147" s="199"/>
      <c r="JG147" s="199"/>
      <c r="JH147" s="199"/>
      <c r="JI147" s="199"/>
      <c r="JJ147" s="200"/>
      <c r="JK147" s="204"/>
      <c r="JL147" s="204"/>
      <c r="JM147" s="204"/>
      <c r="JN147" s="204"/>
      <c r="JO147" s="204"/>
      <c r="JP147" s="204"/>
      <c r="JQ147" s="19"/>
      <c r="JV147" s="155"/>
      <c r="KA147" s="16"/>
      <c r="KC147" s="187"/>
      <c r="KD147" s="188"/>
      <c r="KE147" s="188"/>
      <c r="KF147" s="188"/>
      <c r="KG147" s="188"/>
      <c r="KH147" s="188"/>
      <c r="KI147" s="188"/>
      <c r="KJ147" s="188"/>
      <c r="KK147" s="188"/>
      <c r="KL147" s="188"/>
      <c r="KM147" s="188"/>
      <c r="KN147" s="188"/>
      <c r="KO147" s="188"/>
      <c r="KP147" s="188"/>
      <c r="KQ147" s="188"/>
      <c r="KR147" s="188"/>
      <c r="KS147" s="188"/>
      <c r="KT147" s="188"/>
      <c r="KU147" s="188"/>
      <c r="KV147" s="188"/>
      <c r="KW147" s="188"/>
      <c r="KX147" s="188"/>
      <c r="KY147" s="188"/>
      <c r="KZ147" s="188"/>
      <c r="LA147" s="188"/>
      <c r="LB147" s="188"/>
      <c r="LC147" s="188"/>
      <c r="LD147" s="188"/>
      <c r="LE147" s="188"/>
      <c r="LF147" s="188"/>
      <c r="LG147" s="188"/>
      <c r="LH147" s="188"/>
      <c r="LI147" s="188"/>
      <c r="LJ147" s="188"/>
      <c r="LK147" s="188"/>
      <c r="LL147" s="188"/>
      <c r="LM147" s="188"/>
      <c r="LN147" s="188"/>
      <c r="LO147" s="188"/>
      <c r="LP147" s="188"/>
      <c r="LQ147" s="189"/>
      <c r="LR147" s="187"/>
      <c r="LS147" s="188"/>
      <c r="LT147" s="188"/>
      <c r="LU147" s="188"/>
      <c r="LV147" s="189"/>
      <c r="MK147" s="12"/>
      <c r="ML147" s="7"/>
      <c r="MM147" s="3"/>
      <c r="MN147" s="3"/>
      <c r="MO147" s="3"/>
      <c r="MP147" s="3"/>
      <c r="MQ147" s="2"/>
      <c r="NE147" s="3"/>
      <c r="NF147" s="3"/>
      <c r="NG147" s="3"/>
      <c r="NH147" s="3"/>
      <c r="NI147" s="3"/>
      <c r="NJ147" s="2"/>
    </row>
    <row r="148" spans="3:374" ht="5.0999999999999996" customHeight="1" thickBot="1" x14ac:dyDescent="0.35">
      <c r="C148" s="11"/>
      <c r="D148" s="13"/>
      <c r="Q148" s="187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E148" s="189"/>
      <c r="BF148" s="187"/>
      <c r="BG148" s="188"/>
      <c r="BH148" s="188"/>
      <c r="BI148" s="188"/>
      <c r="BJ148" s="189"/>
      <c r="CC148" s="219"/>
      <c r="CD148" s="220"/>
      <c r="CE148" s="220"/>
      <c r="CF148" s="220"/>
      <c r="CG148" s="220"/>
      <c r="CH148" s="220"/>
      <c r="CI148" s="220"/>
      <c r="CJ148" s="220"/>
      <c r="CK148" s="220"/>
      <c r="CL148" s="220"/>
      <c r="CM148" s="220"/>
      <c r="CN148" s="220"/>
      <c r="CO148" s="220"/>
      <c r="CP148" s="220"/>
      <c r="CQ148" s="220"/>
      <c r="CR148" s="220"/>
      <c r="CS148" s="220"/>
      <c r="CT148" s="220"/>
      <c r="CU148" s="220"/>
      <c r="CV148" s="220"/>
      <c r="CW148" s="220"/>
      <c r="CX148" s="220"/>
      <c r="CY148" s="220"/>
      <c r="CZ148" s="220"/>
      <c r="DA148" s="220"/>
      <c r="DB148" s="220"/>
      <c r="DC148" s="220"/>
      <c r="DD148" s="220"/>
      <c r="DE148" s="220"/>
      <c r="DF148" s="220"/>
      <c r="DG148" s="220"/>
      <c r="DH148" s="220"/>
      <c r="DI148" s="220"/>
      <c r="DJ148" s="220"/>
      <c r="DK148" s="220"/>
      <c r="DL148" s="220"/>
      <c r="DM148" s="220"/>
      <c r="DN148" s="220"/>
      <c r="DO148" s="220"/>
      <c r="DP148" s="221"/>
      <c r="DQ148" s="219"/>
      <c r="DR148" s="220"/>
      <c r="DS148" s="220"/>
      <c r="DT148" s="220"/>
      <c r="DU148" s="221"/>
      <c r="EA148" s="219"/>
      <c r="EB148" s="220"/>
      <c r="EC148" s="220"/>
      <c r="ED148" s="220"/>
      <c r="EE148" s="220"/>
      <c r="EF148" s="220"/>
      <c r="EG148" s="220"/>
      <c r="EH148" s="220"/>
      <c r="EI148" s="220"/>
      <c r="EJ148" s="220"/>
      <c r="EK148" s="220"/>
      <c r="EL148" s="220"/>
      <c r="EM148" s="220"/>
      <c r="EN148" s="220"/>
      <c r="EO148" s="220"/>
      <c r="EP148" s="220"/>
      <c r="EQ148" s="220"/>
      <c r="ER148" s="220"/>
      <c r="ES148" s="220"/>
      <c r="ET148" s="220"/>
      <c r="EU148" s="220"/>
      <c r="EV148" s="220"/>
      <c r="EW148" s="220"/>
      <c r="EX148" s="220"/>
      <c r="EY148" s="220"/>
      <c r="EZ148" s="220"/>
      <c r="FA148" s="220"/>
      <c r="FB148" s="220"/>
      <c r="FC148" s="220"/>
      <c r="FD148" s="220"/>
      <c r="FE148" s="220"/>
      <c r="FF148" s="220"/>
      <c r="FG148" s="220"/>
      <c r="FH148" s="220"/>
      <c r="FI148" s="220"/>
      <c r="FJ148" s="220"/>
      <c r="FK148" s="220"/>
      <c r="FL148" s="220"/>
      <c r="FM148" s="220"/>
      <c r="FN148" s="221"/>
      <c r="FO148" s="219"/>
      <c r="FP148" s="220"/>
      <c r="FQ148" s="220"/>
      <c r="FR148" s="220"/>
      <c r="FS148" s="221"/>
      <c r="FX148" s="219"/>
      <c r="FY148" s="220"/>
      <c r="FZ148" s="220"/>
      <c r="GA148" s="220"/>
      <c r="GB148" s="220"/>
      <c r="GC148" s="220"/>
      <c r="GD148" s="220"/>
      <c r="GE148" s="220"/>
      <c r="GF148" s="220"/>
      <c r="GG148" s="220"/>
      <c r="GH148" s="220"/>
      <c r="GI148" s="220"/>
      <c r="GJ148" s="220"/>
      <c r="GK148" s="220"/>
      <c r="GL148" s="220"/>
      <c r="GM148" s="220"/>
      <c r="GN148" s="220"/>
      <c r="GO148" s="220"/>
      <c r="GP148" s="220"/>
      <c r="GQ148" s="220"/>
      <c r="GR148" s="220"/>
      <c r="GS148" s="220"/>
      <c r="GT148" s="220"/>
      <c r="GU148" s="220"/>
      <c r="GV148" s="220"/>
      <c r="GW148" s="220"/>
      <c r="GX148" s="220"/>
      <c r="GY148" s="220"/>
      <c r="GZ148" s="220"/>
      <c r="HA148" s="220"/>
      <c r="HB148" s="220"/>
      <c r="HC148" s="220"/>
      <c r="HD148" s="220"/>
      <c r="HE148" s="220"/>
      <c r="HF148" s="220"/>
      <c r="HG148" s="220"/>
      <c r="HH148" s="220"/>
      <c r="HI148" s="220"/>
      <c r="HJ148" s="220"/>
      <c r="HK148" s="221"/>
      <c r="HL148" s="219"/>
      <c r="HM148" s="220"/>
      <c r="HN148" s="220"/>
      <c r="HO148" s="220"/>
      <c r="HP148" s="221"/>
      <c r="HW148" s="201"/>
      <c r="HX148" s="202"/>
      <c r="HY148" s="202"/>
      <c r="HZ148" s="202"/>
      <c r="IA148" s="202"/>
      <c r="IB148" s="202"/>
      <c r="IC148" s="202"/>
      <c r="ID148" s="202"/>
      <c r="IE148" s="202"/>
      <c r="IF148" s="202"/>
      <c r="IG148" s="202"/>
      <c r="IH148" s="202"/>
      <c r="II148" s="202"/>
      <c r="IJ148" s="202"/>
      <c r="IK148" s="202"/>
      <c r="IL148" s="202"/>
      <c r="IM148" s="202"/>
      <c r="IN148" s="202"/>
      <c r="IO148" s="202"/>
      <c r="IP148" s="202"/>
      <c r="IQ148" s="202"/>
      <c r="IR148" s="202"/>
      <c r="IS148" s="202"/>
      <c r="IT148" s="202"/>
      <c r="IU148" s="202"/>
      <c r="IV148" s="202"/>
      <c r="IW148" s="202"/>
      <c r="IX148" s="202"/>
      <c r="IY148" s="202"/>
      <c r="IZ148" s="202"/>
      <c r="JA148" s="202"/>
      <c r="JB148" s="202"/>
      <c r="JC148" s="202"/>
      <c r="JD148" s="202"/>
      <c r="JE148" s="202"/>
      <c r="JF148" s="202"/>
      <c r="JG148" s="202"/>
      <c r="JH148" s="202"/>
      <c r="JI148" s="202"/>
      <c r="JJ148" s="203"/>
      <c r="JK148" s="204"/>
      <c r="JL148" s="204"/>
      <c r="JM148" s="204"/>
      <c r="JN148" s="204"/>
      <c r="JO148" s="204"/>
      <c r="JP148" s="204"/>
      <c r="JQ148" s="19"/>
      <c r="JV148" s="155"/>
      <c r="KA148" s="16"/>
      <c r="KC148" s="190"/>
      <c r="KD148" s="191"/>
      <c r="KE148" s="191"/>
      <c r="KF148" s="191"/>
      <c r="KG148" s="191"/>
      <c r="KH148" s="191"/>
      <c r="KI148" s="191"/>
      <c r="KJ148" s="191"/>
      <c r="KK148" s="191"/>
      <c r="KL148" s="191"/>
      <c r="KM148" s="191"/>
      <c r="KN148" s="191"/>
      <c r="KO148" s="191"/>
      <c r="KP148" s="191"/>
      <c r="KQ148" s="191"/>
      <c r="KR148" s="191"/>
      <c r="KS148" s="191"/>
      <c r="KT148" s="191"/>
      <c r="KU148" s="191"/>
      <c r="KV148" s="191"/>
      <c r="KW148" s="191"/>
      <c r="KX148" s="191"/>
      <c r="KY148" s="191"/>
      <c r="KZ148" s="191"/>
      <c r="LA148" s="191"/>
      <c r="LB148" s="191"/>
      <c r="LC148" s="191"/>
      <c r="LD148" s="191"/>
      <c r="LE148" s="191"/>
      <c r="LF148" s="191"/>
      <c r="LG148" s="191"/>
      <c r="LH148" s="191"/>
      <c r="LI148" s="191"/>
      <c r="LJ148" s="191"/>
      <c r="LK148" s="191"/>
      <c r="LL148" s="191"/>
      <c r="LM148" s="191"/>
      <c r="LN148" s="191"/>
      <c r="LO148" s="191"/>
      <c r="LP148" s="191"/>
      <c r="LQ148" s="192"/>
      <c r="LR148" s="190"/>
      <c r="LS148" s="191"/>
      <c r="LT148" s="191"/>
      <c r="LU148" s="191"/>
      <c r="LV148" s="192"/>
      <c r="MK148" s="12"/>
      <c r="ML148" s="7"/>
      <c r="MM148" s="3"/>
      <c r="MN148" s="3"/>
      <c r="MO148" s="3"/>
      <c r="MP148" s="3"/>
      <c r="MQ148" s="2"/>
      <c r="NE148" s="3"/>
      <c r="NF148" s="3"/>
      <c r="NG148" s="3"/>
      <c r="NH148" s="3"/>
      <c r="NI148" s="3"/>
      <c r="NJ148" s="2"/>
    </row>
    <row r="149" spans="3:374" ht="5.0999999999999996" customHeight="1" x14ac:dyDescent="0.3">
      <c r="C149" s="11"/>
      <c r="D149" s="13"/>
      <c r="Q149" s="187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E149" s="189"/>
      <c r="BF149" s="187"/>
      <c r="BG149" s="188"/>
      <c r="BH149" s="188"/>
      <c r="BI149" s="188"/>
      <c r="BJ149" s="189"/>
      <c r="CC149" s="219"/>
      <c r="CD149" s="220"/>
      <c r="CE149" s="220"/>
      <c r="CF149" s="220"/>
      <c r="CG149" s="220"/>
      <c r="CH149" s="220"/>
      <c r="CI149" s="220"/>
      <c r="CJ149" s="220"/>
      <c r="CK149" s="220"/>
      <c r="CL149" s="220"/>
      <c r="CM149" s="220"/>
      <c r="CN149" s="220"/>
      <c r="CO149" s="220"/>
      <c r="CP149" s="220"/>
      <c r="CQ149" s="220"/>
      <c r="CR149" s="220"/>
      <c r="CS149" s="220"/>
      <c r="CT149" s="220"/>
      <c r="CU149" s="220"/>
      <c r="CV149" s="220"/>
      <c r="CW149" s="220"/>
      <c r="CX149" s="220"/>
      <c r="CY149" s="220"/>
      <c r="CZ149" s="220"/>
      <c r="DA149" s="220"/>
      <c r="DB149" s="220"/>
      <c r="DC149" s="220"/>
      <c r="DD149" s="220"/>
      <c r="DE149" s="220"/>
      <c r="DF149" s="220"/>
      <c r="DG149" s="220"/>
      <c r="DH149" s="220"/>
      <c r="DI149" s="220"/>
      <c r="DJ149" s="220"/>
      <c r="DK149" s="220"/>
      <c r="DL149" s="220"/>
      <c r="DM149" s="220"/>
      <c r="DN149" s="220"/>
      <c r="DO149" s="220"/>
      <c r="DP149" s="221"/>
      <c r="DQ149" s="219"/>
      <c r="DR149" s="220"/>
      <c r="DS149" s="220"/>
      <c r="DT149" s="220"/>
      <c r="DU149" s="221"/>
      <c r="EA149" s="219"/>
      <c r="EB149" s="220"/>
      <c r="EC149" s="220"/>
      <c r="ED149" s="220"/>
      <c r="EE149" s="220"/>
      <c r="EF149" s="220"/>
      <c r="EG149" s="220"/>
      <c r="EH149" s="220"/>
      <c r="EI149" s="220"/>
      <c r="EJ149" s="220"/>
      <c r="EK149" s="220"/>
      <c r="EL149" s="220"/>
      <c r="EM149" s="220"/>
      <c r="EN149" s="220"/>
      <c r="EO149" s="220"/>
      <c r="EP149" s="220"/>
      <c r="EQ149" s="220"/>
      <c r="ER149" s="220"/>
      <c r="ES149" s="220"/>
      <c r="ET149" s="220"/>
      <c r="EU149" s="220"/>
      <c r="EV149" s="220"/>
      <c r="EW149" s="220"/>
      <c r="EX149" s="220"/>
      <c r="EY149" s="220"/>
      <c r="EZ149" s="220"/>
      <c r="FA149" s="220"/>
      <c r="FB149" s="220"/>
      <c r="FC149" s="220"/>
      <c r="FD149" s="220"/>
      <c r="FE149" s="220"/>
      <c r="FF149" s="220"/>
      <c r="FG149" s="220"/>
      <c r="FH149" s="220"/>
      <c r="FI149" s="220"/>
      <c r="FJ149" s="220"/>
      <c r="FK149" s="220"/>
      <c r="FL149" s="220"/>
      <c r="FM149" s="220"/>
      <c r="FN149" s="221"/>
      <c r="FO149" s="219"/>
      <c r="FP149" s="220"/>
      <c r="FQ149" s="220"/>
      <c r="FR149" s="220"/>
      <c r="FS149" s="221"/>
      <c r="FX149" s="219"/>
      <c r="FY149" s="220"/>
      <c r="FZ149" s="220"/>
      <c r="GA149" s="220"/>
      <c r="GB149" s="220"/>
      <c r="GC149" s="220"/>
      <c r="GD149" s="220"/>
      <c r="GE149" s="220"/>
      <c r="GF149" s="220"/>
      <c r="GG149" s="220"/>
      <c r="GH149" s="220"/>
      <c r="GI149" s="220"/>
      <c r="GJ149" s="220"/>
      <c r="GK149" s="220"/>
      <c r="GL149" s="220"/>
      <c r="GM149" s="220"/>
      <c r="GN149" s="220"/>
      <c r="GO149" s="220"/>
      <c r="GP149" s="220"/>
      <c r="GQ149" s="220"/>
      <c r="GR149" s="220"/>
      <c r="GS149" s="220"/>
      <c r="GT149" s="220"/>
      <c r="GU149" s="220"/>
      <c r="GV149" s="220"/>
      <c r="GW149" s="220"/>
      <c r="GX149" s="220"/>
      <c r="GY149" s="220"/>
      <c r="GZ149" s="220"/>
      <c r="HA149" s="220"/>
      <c r="HB149" s="220"/>
      <c r="HC149" s="220"/>
      <c r="HD149" s="220"/>
      <c r="HE149" s="220"/>
      <c r="HF149" s="220"/>
      <c r="HG149" s="220"/>
      <c r="HH149" s="220"/>
      <c r="HI149" s="220"/>
      <c r="HJ149" s="220"/>
      <c r="HK149" s="221"/>
      <c r="HL149" s="219"/>
      <c r="HM149" s="220"/>
      <c r="HN149" s="220"/>
      <c r="HO149" s="220"/>
      <c r="HP149" s="221"/>
      <c r="HW149" s="216" t="s">
        <v>4</v>
      </c>
      <c r="HX149" s="217"/>
      <c r="HY149" s="217"/>
      <c r="HZ149" s="217"/>
      <c r="IA149" s="217"/>
      <c r="IB149" s="217"/>
      <c r="IC149" s="217"/>
      <c r="ID149" s="217"/>
      <c r="IE149" s="217"/>
      <c r="IF149" s="217"/>
      <c r="IG149" s="217"/>
      <c r="IH149" s="217"/>
      <c r="II149" s="217"/>
      <c r="IJ149" s="217"/>
      <c r="IK149" s="217"/>
      <c r="IL149" s="217"/>
      <c r="IM149" s="217"/>
      <c r="IN149" s="217"/>
      <c r="IO149" s="217"/>
      <c r="IP149" s="217"/>
      <c r="IQ149" s="217"/>
      <c r="IR149" s="217"/>
      <c r="IS149" s="217"/>
      <c r="IT149" s="217"/>
      <c r="IU149" s="217"/>
      <c r="IV149" s="217"/>
      <c r="IW149" s="217"/>
      <c r="IX149" s="217"/>
      <c r="IY149" s="217"/>
      <c r="IZ149" s="217"/>
      <c r="JA149" s="217"/>
      <c r="JB149" s="217"/>
      <c r="JC149" s="217"/>
      <c r="JD149" s="217"/>
      <c r="JE149" s="217"/>
      <c r="JF149" s="217"/>
      <c r="JG149" s="217"/>
      <c r="JH149" s="217"/>
      <c r="JI149" s="217"/>
      <c r="JJ149" s="218"/>
      <c r="JK149" s="184">
        <v>32</v>
      </c>
      <c r="JL149" s="185"/>
      <c r="JM149" s="185"/>
      <c r="JN149" s="185"/>
      <c r="JO149" s="185"/>
      <c r="JP149" s="186"/>
      <c r="JQ149" s="52"/>
      <c r="JV149" s="155"/>
      <c r="KA149" s="16"/>
      <c r="KC149" s="184" t="s">
        <v>45</v>
      </c>
      <c r="KD149" s="185"/>
      <c r="KE149" s="185"/>
      <c r="KF149" s="185"/>
      <c r="KG149" s="185"/>
      <c r="KH149" s="185"/>
      <c r="KI149" s="185"/>
      <c r="KJ149" s="185"/>
      <c r="KK149" s="185"/>
      <c r="KL149" s="185"/>
      <c r="KM149" s="185"/>
      <c r="KN149" s="185"/>
      <c r="KO149" s="185"/>
      <c r="KP149" s="185"/>
      <c r="KQ149" s="185"/>
      <c r="KR149" s="185"/>
      <c r="KS149" s="185"/>
      <c r="KT149" s="185"/>
      <c r="KU149" s="185"/>
      <c r="KV149" s="185"/>
      <c r="KW149" s="185"/>
      <c r="KX149" s="185"/>
      <c r="KY149" s="185"/>
      <c r="KZ149" s="185"/>
      <c r="LA149" s="185"/>
      <c r="LB149" s="185"/>
      <c r="LC149" s="185"/>
      <c r="LD149" s="185"/>
      <c r="LE149" s="185"/>
      <c r="LF149" s="185"/>
      <c r="LG149" s="185"/>
      <c r="LH149" s="185"/>
      <c r="LI149" s="185"/>
      <c r="LJ149" s="185"/>
      <c r="LK149" s="185"/>
      <c r="LL149" s="185"/>
      <c r="LM149" s="185"/>
      <c r="LN149" s="185"/>
      <c r="LO149" s="185"/>
      <c r="LP149" s="185"/>
      <c r="LQ149" s="186"/>
      <c r="LR149" s="184">
        <v>1</v>
      </c>
      <c r="LS149" s="185"/>
      <c r="LT149" s="185"/>
      <c r="LU149" s="185"/>
      <c r="LV149" s="186"/>
      <c r="MK149" s="12"/>
      <c r="ML149" s="7"/>
      <c r="MM149" s="3"/>
      <c r="MN149" s="3"/>
      <c r="MO149" s="3"/>
      <c r="MP149" s="3"/>
      <c r="MQ149" s="2"/>
      <c r="NE149" s="3"/>
      <c r="NF149" s="3"/>
      <c r="NG149" s="3"/>
      <c r="NH149" s="3"/>
      <c r="NI149" s="3"/>
      <c r="NJ149" s="2"/>
    </row>
    <row r="150" spans="3:374" ht="5.0999999999999996" customHeight="1" x14ac:dyDescent="0.3">
      <c r="C150" s="11"/>
      <c r="D150" s="13"/>
      <c r="Q150" s="190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2"/>
      <c r="BF150" s="190"/>
      <c r="BG150" s="191"/>
      <c r="BH150" s="191"/>
      <c r="BI150" s="191"/>
      <c r="BJ150" s="192"/>
      <c r="CC150" s="219"/>
      <c r="CD150" s="220"/>
      <c r="CE150" s="220"/>
      <c r="CF150" s="220"/>
      <c r="CG150" s="220"/>
      <c r="CH150" s="220"/>
      <c r="CI150" s="220"/>
      <c r="CJ150" s="220"/>
      <c r="CK150" s="220"/>
      <c r="CL150" s="220"/>
      <c r="CM150" s="220"/>
      <c r="CN150" s="220"/>
      <c r="CO150" s="220"/>
      <c r="CP150" s="220"/>
      <c r="CQ150" s="220"/>
      <c r="CR150" s="220"/>
      <c r="CS150" s="220"/>
      <c r="CT150" s="220"/>
      <c r="CU150" s="220"/>
      <c r="CV150" s="220"/>
      <c r="CW150" s="220"/>
      <c r="CX150" s="220"/>
      <c r="CY150" s="220"/>
      <c r="CZ150" s="220"/>
      <c r="DA150" s="220"/>
      <c r="DB150" s="220"/>
      <c r="DC150" s="220"/>
      <c r="DD150" s="220"/>
      <c r="DE150" s="220"/>
      <c r="DF150" s="220"/>
      <c r="DG150" s="220"/>
      <c r="DH150" s="220"/>
      <c r="DI150" s="220"/>
      <c r="DJ150" s="220"/>
      <c r="DK150" s="220"/>
      <c r="DL150" s="220"/>
      <c r="DM150" s="220"/>
      <c r="DN150" s="220"/>
      <c r="DO150" s="220"/>
      <c r="DP150" s="221"/>
      <c r="DQ150" s="219"/>
      <c r="DR150" s="220"/>
      <c r="DS150" s="220"/>
      <c r="DT150" s="220"/>
      <c r="DU150" s="221"/>
      <c r="EA150" s="219"/>
      <c r="EB150" s="220"/>
      <c r="EC150" s="220"/>
      <c r="ED150" s="220"/>
      <c r="EE150" s="220"/>
      <c r="EF150" s="220"/>
      <c r="EG150" s="220"/>
      <c r="EH150" s="220"/>
      <c r="EI150" s="220"/>
      <c r="EJ150" s="220"/>
      <c r="EK150" s="220"/>
      <c r="EL150" s="220"/>
      <c r="EM150" s="220"/>
      <c r="EN150" s="220"/>
      <c r="EO150" s="220"/>
      <c r="EP150" s="220"/>
      <c r="EQ150" s="220"/>
      <c r="ER150" s="220"/>
      <c r="ES150" s="220"/>
      <c r="ET150" s="220"/>
      <c r="EU150" s="220"/>
      <c r="EV150" s="220"/>
      <c r="EW150" s="220"/>
      <c r="EX150" s="220"/>
      <c r="EY150" s="220"/>
      <c r="EZ150" s="220"/>
      <c r="FA150" s="220"/>
      <c r="FB150" s="220"/>
      <c r="FC150" s="220"/>
      <c r="FD150" s="220"/>
      <c r="FE150" s="220"/>
      <c r="FF150" s="220"/>
      <c r="FG150" s="220"/>
      <c r="FH150" s="220"/>
      <c r="FI150" s="220"/>
      <c r="FJ150" s="220"/>
      <c r="FK150" s="220"/>
      <c r="FL150" s="220"/>
      <c r="FM150" s="220"/>
      <c r="FN150" s="221"/>
      <c r="FO150" s="219"/>
      <c r="FP150" s="220"/>
      <c r="FQ150" s="220"/>
      <c r="FR150" s="220"/>
      <c r="FS150" s="221"/>
      <c r="FX150" s="219"/>
      <c r="FY150" s="220"/>
      <c r="FZ150" s="220"/>
      <c r="GA150" s="220"/>
      <c r="GB150" s="220"/>
      <c r="GC150" s="220"/>
      <c r="GD150" s="220"/>
      <c r="GE150" s="220"/>
      <c r="GF150" s="220"/>
      <c r="GG150" s="220"/>
      <c r="GH150" s="220"/>
      <c r="GI150" s="220"/>
      <c r="GJ150" s="220"/>
      <c r="GK150" s="220"/>
      <c r="GL150" s="220"/>
      <c r="GM150" s="220"/>
      <c r="GN150" s="220"/>
      <c r="GO150" s="220"/>
      <c r="GP150" s="220"/>
      <c r="GQ150" s="220"/>
      <c r="GR150" s="220"/>
      <c r="GS150" s="220"/>
      <c r="GT150" s="220"/>
      <c r="GU150" s="220"/>
      <c r="GV150" s="220"/>
      <c r="GW150" s="220"/>
      <c r="GX150" s="220"/>
      <c r="GY150" s="220"/>
      <c r="GZ150" s="220"/>
      <c r="HA150" s="220"/>
      <c r="HB150" s="220"/>
      <c r="HC150" s="220"/>
      <c r="HD150" s="220"/>
      <c r="HE150" s="220"/>
      <c r="HF150" s="220"/>
      <c r="HG150" s="220"/>
      <c r="HH150" s="220"/>
      <c r="HI150" s="220"/>
      <c r="HJ150" s="220"/>
      <c r="HK150" s="221"/>
      <c r="HL150" s="219"/>
      <c r="HM150" s="220"/>
      <c r="HN150" s="220"/>
      <c r="HO150" s="220"/>
      <c r="HP150" s="221"/>
      <c r="HW150" s="219"/>
      <c r="HX150" s="220"/>
      <c r="HY150" s="220"/>
      <c r="HZ150" s="220"/>
      <c r="IA150" s="220"/>
      <c r="IB150" s="220"/>
      <c r="IC150" s="220"/>
      <c r="ID150" s="220"/>
      <c r="IE150" s="220"/>
      <c r="IF150" s="220"/>
      <c r="IG150" s="220"/>
      <c r="IH150" s="220"/>
      <c r="II150" s="220"/>
      <c r="IJ150" s="220"/>
      <c r="IK150" s="220"/>
      <c r="IL150" s="220"/>
      <c r="IM150" s="220"/>
      <c r="IN150" s="220"/>
      <c r="IO150" s="220"/>
      <c r="IP150" s="220"/>
      <c r="IQ150" s="220"/>
      <c r="IR150" s="220"/>
      <c r="IS150" s="220"/>
      <c r="IT150" s="220"/>
      <c r="IU150" s="220"/>
      <c r="IV150" s="220"/>
      <c r="IW150" s="220"/>
      <c r="IX150" s="220"/>
      <c r="IY150" s="220"/>
      <c r="IZ150" s="220"/>
      <c r="JA150" s="220"/>
      <c r="JB150" s="220"/>
      <c r="JC150" s="220"/>
      <c r="JD150" s="220"/>
      <c r="JE150" s="220"/>
      <c r="JF150" s="220"/>
      <c r="JG150" s="220"/>
      <c r="JH150" s="220"/>
      <c r="JI150" s="220"/>
      <c r="JJ150" s="221"/>
      <c r="JK150" s="187"/>
      <c r="JL150" s="188"/>
      <c r="JM150" s="188"/>
      <c r="JN150" s="188"/>
      <c r="JO150" s="188"/>
      <c r="JP150" s="189"/>
      <c r="JQ150" s="19"/>
      <c r="JV150" s="155"/>
      <c r="KA150" s="16"/>
      <c r="KC150" s="187"/>
      <c r="KD150" s="188"/>
      <c r="KE150" s="188"/>
      <c r="KF150" s="188"/>
      <c r="KG150" s="188"/>
      <c r="KH150" s="188"/>
      <c r="KI150" s="188"/>
      <c r="KJ150" s="188"/>
      <c r="KK150" s="188"/>
      <c r="KL150" s="188"/>
      <c r="KM150" s="188"/>
      <c r="KN150" s="188"/>
      <c r="KO150" s="188"/>
      <c r="KP150" s="188"/>
      <c r="KQ150" s="188"/>
      <c r="KR150" s="188"/>
      <c r="KS150" s="188"/>
      <c r="KT150" s="188"/>
      <c r="KU150" s="188"/>
      <c r="KV150" s="188"/>
      <c r="KW150" s="188"/>
      <c r="KX150" s="188"/>
      <c r="KY150" s="188"/>
      <c r="KZ150" s="188"/>
      <c r="LA150" s="188"/>
      <c r="LB150" s="188"/>
      <c r="LC150" s="188"/>
      <c r="LD150" s="188"/>
      <c r="LE150" s="188"/>
      <c r="LF150" s="188"/>
      <c r="LG150" s="188"/>
      <c r="LH150" s="188"/>
      <c r="LI150" s="188"/>
      <c r="LJ150" s="188"/>
      <c r="LK150" s="188"/>
      <c r="LL150" s="188"/>
      <c r="LM150" s="188"/>
      <c r="LN150" s="188"/>
      <c r="LO150" s="188"/>
      <c r="LP150" s="188"/>
      <c r="LQ150" s="189"/>
      <c r="LR150" s="187"/>
      <c r="LS150" s="188"/>
      <c r="LT150" s="188"/>
      <c r="LU150" s="188"/>
      <c r="LV150" s="189"/>
      <c r="MK150" s="12"/>
      <c r="ML150" s="7"/>
      <c r="MM150" s="3"/>
      <c r="MN150" s="3"/>
      <c r="MO150" s="3"/>
      <c r="MP150" s="3"/>
      <c r="MQ150" s="2"/>
      <c r="NE150" s="3"/>
      <c r="NF150" s="3"/>
      <c r="NG150" s="3"/>
      <c r="NH150" s="3"/>
      <c r="NI150" s="3"/>
      <c r="NJ150" s="2"/>
    </row>
    <row r="151" spans="3:374" ht="5.0999999999999996" customHeight="1" x14ac:dyDescent="0.3">
      <c r="C151" s="11"/>
      <c r="D151" s="13"/>
      <c r="Q151" s="184" t="s">
        <v>45</v>
      </c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6"/>
      <c r="BF151" s="184">
        <v>3</v>
      </c>
      <c r="BG151" s="185"/>
      <c r="BH151" s="185"/>
      <c r="BI151" s="185"/>
      <c r="BJ151" s="186"/>
      <c r="CC151" s="219"/>
      <c r="CD151" s="220"/>
      <c r="CE151" s="220"/>
      <c r="CF151" s="220"/>
      <c r="CG151" s="220"/>
      <c r="CH151" s="220"/>
      <c r="CI151" s="220"/>
      <c r="CJ151" s="220"/>
      <c r="CK151" s="220"/>
      <c r="CL151" s="220"/>
      <c r="CM151" s="220"/>
      <c r="CN151" s="220"/>
      <c r="CO151" s="220"/>
      <c r="CP151" s="220"/>
      <c r="CQ151" s="220"/>
      <c r="CR151" s="220"/>
      <c r="CS151" s="220"/>
      <c r="CT151" s="220"/>
      <c r="CU151" s="220"/>
      <c r="CV151" s="220"/>
      <c r="CW151" s="220"/>
      <c r="CX151" s="220"/>
      <c r="CY151" s="220"/>
      <c r="CZ151" s="220"/>
      <c r="DA151" s="220"/>
      <c r="DB151" s="220"/>
      <c r="DC151" s="220"/>
      <c r="DD151" s="220"/>
      <c r="DE151" s="220"/>
      <c r="DF151" s="220"/>
      <c r="DG151" s="220"/>
      <c r="DH151" s="220"/>
      <c r="DI151" s="220"/>
      <c r="DJ151" s="220"/>
      <c r="DK151" s="220"/>
      <c r="DL151" s="220"/>
      <c r="DM151" s="220"/>
      <c r="DN151" s="220"/>
      <c r="DO151" s="220"/>
      <c r="DP151" s="221"/>
      <c r="DQ151" s="219"/>
      <c r="DR151" s="220"/>
      <c r="DS151" s="220"/>
      <c r="DT151" s="220"/>
      <c r="DU151" s="221"/>
      <c r="EA151" s="219"/>
      <c r="EB151" s="220"/>
      <c r="EC151" s="220"/>
      <c r="ED151" s="220"/>
      <c r="EE151" s="220"/>
      <c r="EF151" s="220"/>
      <c r="EG151" s="220"/>
      <c r="EH151" s="220"/>
      <c r="EI151" s="220"/>
      <c r="EJ151" s="220"/>
      <c r="EK151" s="220"/>
      <c r="EL151" s="220"/>
      <c r="EM151" s="220"/>
      <c r="EN151" s="220"/>
      <c r="EO151" s="220"/>
      <c r="EP151" s="220"/>
      <c r="EQ151" s="220"/>
      <c r="ER151" s="220"/>
      <c r="ES151" s="220"/>
      <c r="ET151" s="220"/>
      <c r="EU151" s="220"/>
      <c r="EV151" s="220"/>
      <c r="EW151" s="220"/>
      <c r="EX151" s="220"/>
      <c r="EY151" s="220"/>
      <c r="EZ151" s="220"/>
      <c r="FA151" s="220"/>
      <c r="FB151" s="220"/>
      <c r="FC151" s="220"/>
      <c r="FD151" s="220"/>
      <c r="FE151" s="220"/>
      <c r="FF151" s="220"/>
      <c r="FG151" s="220"/>
      <c r="FH151" s="220"/>
      <c r="FI151" s="220"/>
      <c r="FJ151" s="220"/>
      <c r="FK151" s="220"/>
      <c r="FL151" s="220"/>
      <c r="FM151" s="220"/>
      <c r="FN151" s="221"/>
      <c r="FO151" s="219"/>
      <c r="FP151" s="220"/>
      <c r="FQ151" s="220"/>
      <c r="FR151" s="220"/>
      <c r="FS151" s="221"/>
      <c r="FX151" s="219"/>
      <c r="FY151" s="220"/>
      <c r="FZ151" s="220"/>
      <c r="GA151" s="220"/>
      <c r="GB151" s="220"/>
      <c r="GC151" s="220"/>
      <c r="GD151" s="220"/>
      <c r="GE151" s="220"/>
      <c r="GF151" s="220"/>
      <c r="GG151" s="220"/>
      <c r="GH151" s="220"/>
      <c r="GI151" s="220"/>
      <c r="GJ151" s="220"/>
      <c r="GK151" s="220"/>
      <c r="GL151" s="220"/>
      <c r="GM151" s="220"/>
      <c r="GN151" s="220"/>
      <c r="GO151" s="220"/>
      <c r="GP151" s="220"/>
      <c r="GQ151" s="220"/>
      <c r="GR151" s="220"/>
      <c r="GS151" s="220"/>
      <c r="GT151" s="220"/>
      <c r="GU151" s="220"/>
      <c r="GV151" s="220"/>
      <c r="GW151" s="220"/>
      <c r="GX151" s="220"/>
      <c r="GY151" s="220"/>
      <c r="GZ151" s="220"/>
      <c r="HA151" s="220"/>
      <c r="HB151" s="220"/>
      <c r="HC151" s="220"/>
      <c r="HD151" s="220"/>
      <c r="HE151" s="220"/>
      <c r="HF151" s="220"/>
      <c r="HG151" s="220"/>
      <c r="HH151" s="220"/>
      <c r="HI151" s="220"/>
      <c r="HJ151" s="220"/>
      <c r="HK151" s="221"/>
      <c r="HL151" s="219"/>
      <c r="HM151" s="220"/>
      <c r="HN151" s="220"/>
      <c r="HO151" s="220"/>
      <c r="HP151" s="221"/>
      <c r="HW151" s="219"/>
      <c r="HX151" s="220"/>
      <c r="HY151" s="220"/>
      <c r="HZ151" s="220"/>
      <c r="IA151" s="220"/>
      <c r="IB151" s="220"/>
      <c r="IC151" s="220"/>
      <c r="ID151" s="220"/>
      <c r="IE151" s="220"/>
      <c r="IF151" s="220"/>
      <c r="IG151" s="220"/>
      <c r="IH151" s="220"/>
      <c r="II151" s="220"/>
      <c r="IJ151" s="220"/>
      <c r="IK151" s="220"/>
      <c r="IL151" s="220"/>
      <c r="IM151" s="220"/>
      <c r="IN151" s="220"/>
      <c r="IO151" s="220"/>
      <c r="IP151" s="220"/>
      <c r="IQ151" s="220"/>
      <c r="IR151" s="220"/>
      <c r="IS151" s="220"/>
      <c r="IT151" s="220"/>
      <c r="IU151" s="220"/>
      <c r="IV151" s="220"/>
      <c r="IW151" s="220"/>
      <c r="IX151" s="220"/>
      <c r="IY151" s="220"/>
      <c r="IZ151" s="220"/>
      <c r="JA151" s="220"/>
      <c r="JB151" s="220"/>
      <c r="JC151" s="220"/>
      <c r="JD151" s="220"/>
      <c r="JE151" s="220"/>
      <c r="JF151" s="220"/>
      <c r="JG151" s="220"/>
      <c r="JH151" s="220"/>
      <c r="JI151" s="220"/>
      <c r="JJ151" s="221"/>
      <c r="JK151" s="187"/>
      <c r="JL151" s="188"/>
      <c r="JM151" s="188"/>
      <c r="JN151" s="188"/>
      <c r="JO151" s="188"/>
      <c r="JP151" s="189"/>
      <c r="JQ151" s="19"/>
      <c r="JV151" s="155"/>
      <c r="KA151" s="16"/>
      <c r="KC151" s="187"/>
      <c r="KD151" s="188"/>
      <c r="KE151" s="188"/>
      <c r="KF151" s="188"/>
      <c r="KG151" s="188"/>
      <c r="KH151" s="188"/>
      <c r="KI151" s="188"/>
      <c r="KJ151" s="188"/>
      <c r="KK151" s="188"/>
      <c r="KL151" s="188"/>
      <c r="KM151" s="188"/>
      <c r="KN151" s="188"/>
      <c r="KO151" s="188"/>
      <c r="KP151" s="188"/>
      <c r="KQ151" s="188"/>
      <c r="KR151" s="188"/>
      <c r="KS151" s="188"/>
      <c r="KT151" s="188"/>
      <c r="KU151" s="188"/>
      <c r="KV151" s="188"/>
      <c r="KW151" s="188"/>
      <c r="KX151" s="188"/>
      <c r="KY151" s="188"/>
      <c r="KZ151" s="188"/>
      <c r="LA151" s="188"/>
      <c r="LB151" s="188"/>
      <c r="LC151" s="188"/>
      <c r="LD151" s="188"/>
      <c r="LE151" s="188"/>
      <c r="LF151" s="188"/>
      <c r="LG151" s="188"/>
      <c r="LH151" s="188"/>
      <c r="LI151" s="188"/>
      <c r="LJ151" s="188"/>
      <c r="LK151" s="188"/>
      <c r="LL151" s="188"/>
      <c r="LM151" s="188"/>
      <c r="LN151" s="188"/>
      <c r="LO151" s="188"/>
      <c r="LP151" s="188"/>
      <c r="LQ151" s="189"/>
      <c r="LR151" s="187"/>
      <c r="LS151" s="188"/>
      <c r="LT151" s="188"/>
      <c r="LU151" s="188"/>
      <c r="LV151" s="189"/>
      <c r="MK151" s="12"/>
      <c r="ML151" s="7"/>
      <c r="MM151" s="3"/>
      <c r="MN151" s="3"/>
      <c r="MO151" s="3"/>
      <c r="MP151" s="3"/>
      <c r="MQ151" s="2"/>
      <c r="NE151" s="3"/>
      <c r="NF151" s="3"/>
      <c r="NG151" s="3"/>
      <c r="NH151" s="3"/>
      <c r="NI151" s="3"/>
      <c r="NJ151" s="2"/>
    </row>
    <row r="152" spans="3:374" ht="5.0999999999999996" customHeight="1" x14ac:dyDescent="0.3">
      <c r="C152" s="11"/>
      <c r="D152" s="13"/>
      <c r="Q152" s="187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E152" s="189"/>
      <c r="BF152" s="187"/>
      <c r="BG152" s="188"/>
      <c r="BH152" s="188"/>
      <c r="BI152" s="188"/>
      <c r="BJ152" s="189"/>
      <c r="CC152" s="219"/>
      <c r="CD152" s="220"/>
      <c r="CE152" s="220"/>
      <c r="CF152" s="220"/>
      <c r="CG152" s="220"/>
      <c r="CH152" s="220"/>
      <c r="CI152" s="220"/>
      <c r="CJ152" s="220"/>
      <c r="CK152" s="220"/>
      <c r="CL152" s="220"/>
      <c r="CM152" s="220"/>
      <c r="CN152" s="220"/>
      <c r="CO152" s="220"/>
      <c r="CP152" s="220"/>
      <c r="CQ152" s="220"/>
      <c r="CR152" s="220"/>
      <c r="CS152" s="220"/>
      <c r="CT152" s="220"/>
      <c r="CU152" s="220"/>
      <c r="CV152" s="220"/>
      <c r="CW152" s="220"/>
      <c r="CX152" s="220"/>
      <c r="CY152" s="220"/>
      <c r="CZ152" s="220"/>
      <c r="DA152" s="220"/>
      <c r="DB152" s="220"/>
      <c r="DC152" s="220"/>
      <c r="DD152" s="220"/>
      <c r="DE152" s="220"/>
      <c r="DF152" s="220"/>
      <c r="DG152" s="220"/>
      <c r="DH152" s="220"/>
      <c r="DI152" s="220"/>
      <c r="DJ152" s="220"/>
      <c r="DK152" s="220"/>
      <c r="DL152" s="220"/>
      <c r="DM152" s="220"/>
      <c r="DN152" s="220"/>
      <c r="DO152" s="220"/>
      <c r="DP152" s="221"/>
      <c r="DQ152" s="219"/>
      <c r="DR152" s="220"/>
      <c r="DS152" s="220"/>
      <c r="DT152" s="220"/>
      <c r="DU152" s="221"/>
      <c r="EA152" s="219"/>
      <c r="EB152" s="220"/>
      <c r="EC152" s="220"/>
      <c r="ED152" s="220"/>
      <c r="EE152" s="220"/>
      <c r="EF152" s="220"/>
      <c r="EG152" s="220"/>
      <c r="EH152" s="220"/>
      <c r="EI152" s="220"/>
      <c r="EJ152" s="220"/>
      <c r="EK152" s="220"/>
      <c r="EL152" s="220"/>
      <c r="EM152" s="220"/>
      <c r="EN152" s="220"/>
      <c r="EO152" s="220"/>
      <c r="EP152" s="220"/>
      <c r="EQ152" s="220"/>
      <c r="ER152" s="220"/>
      <c r="ES152" s="220"/>
      <c r="ET152" s="220"/>
      <c r="EU152" s="220"/>
      <c r="EV152" s="220"/>
      <c r="EW152" s="220"/>
      <c r="EX152" s="220"/>
      <c r="EY152" s="220"/>
      <c r="EZ152" s="220"/>
      <c r="FA152" s="220"/>
      <c r="FB152" s="220"/>
      <c r="FC152" s="220"/>
      <c r="FD152" s="220"/>
      <c r="FE152" s="220"/>
      <c r="FF152" s="220"/>
      <c r="FG152" s="220"/>
      <c r="FH152" s="220"/>
      <c r="FI152" s="220"/>
      <c r="FJ152" s="220"/>
      <c r="FK152" s="220"/>
      <c r="FL152" s="220"/>
      <c r="FM152" s="220"/>
      <c r="FN152" s="221"/>
      <c r="FO152" s="219"/>
      <c r="FP152" s="220"/>
      <c r="FQ152" s="220"/>
      <c r="FR152" s="220"/>
      <c r="FS152" s="221"/>
      <c r="FX152" s="219"/>
      <c r="FY152" s="220"/>
      <c r="FZ152" s="220"/>
      <c r="GA152" s="220"/>
      <c r="GB152" s="220"/>
      <c r="GC152" s="220"/>
      <c r="GD152" s="220"/>
      <c r="GE152" s="220"/>
      <c r="GF152" s="220"/>
      <c r="GG152" s="220"/>
      <c r="GH152" s="220"/>
      <c r="GI152" s="220"/>
      <c r="GJ152" s="220"/>
      <c r="GK152" s="220"/>
      <c r="GL152" s="220"/>
      <c r="GM152" s="220"/>
      <c r="GN152" s="220"/>
      <c r="GO152" s="220"/>
      <c r="GP152" s="220"/>
      <c r="GQ152" s="220"/>
      <c r="GR152" s="220"/>
      <c r="GS152" s="220"/>
      <c r="GT152" s="220"/>
      <c r="GU152" s="220"/>
      <c r="GV152" s="220"/>
      <c r="GW152" s="220"/>
      <c r="GX152" s="220"/>
      <c r="GY152" s="220"/>
      <c r="GZ152" s="220"/>
      <c r="HA152" s="220"/>
      <c r="HB152" s="220"/>
      <c r="HC152" s="220"/>
      <c r="HD152" s="220"/>
      <c r="HE152" s="220"/>
      <c r="HF152" s="220"/>
      <c r="HG152" s="220"/>
      <c r="HH152" s="220"/>
      <c r="HI152" s="220"/>
      <c r="HJ152" s="220"/>
      <c r="HK152" s="221"/>
      <c r="HL152" s="219"/>
      <c r="HM152" s="220"/>
      <c r="HN152" s="220"/>
      <c r="HO152" s="220"/>
      <c r="HP152" s="221"/>
      <c r="HW152" s="219"/>
      <c r="HX152" s="220"/>
      <c r="HY152" s="220"/>
      <c r="HZ152" s="220"/>
      <c r="IA152" s="220"/>
      <c r="IB152" s="220"/>
      <c r="IC152" s="220"/>
      <c r="ID152" s="220"/>
      <c r="IE152" s="220"/>
      <c r="IF152" s="220"/>
      <c r="IG152" s="220"/>
      <c r="IH152" s="220"/>
      <c r="II152" s="220"/>
      <c r="IJ152" s="220"/>
      <c r="IK152" s="220"/>
      <c r="IL152" s="220"/>
      <c r="IM152" s="220"/>
      <c r="IN152" s="220"/>
      <c r="IO152" s="220"/>
      <c r="IP152" s="220"/>
      <c r="IQ152" s="220"/>
      <c r="IR152" s="220"/>
      <c r="IS152" s="220"/>
      <c r="IT152" s="220"/>
      <c r="IU152" s="220"/>
      <c r="IV152" s="220"/>
      <c r="IW152" s="220"/>
      <c r="IX152" s="220"/>
      <c r="IY152" s="220"/>
      <c r="IZ152" s="220"/>
      <c r="JA152" s="220"/>
      <c r="JB152" s="220"/>
      <c r="JC152" s="220"/>
      <c r="JD152" s="220"/>
      <c r="JE152" s="220"/>
      <c r="JF152" s="220"/>
      <c r="JG152" s="220"/>
      <c r="JH152" s="220"/>
      <c r="JI152" s="220"/>
      <c r="JJ152" s="221"/>
      <c r="JK152" s="187"/>
      <c r="JL152" s="188"/>
      <c r="JM152" s="188"/>
      <c r="JN152" s="188"/>
      <c r="JO152" s="188"/>
      <c r="JP152" s="189"/>
      <c r="JQ152" s="19"/>
      <c r="JV152" s="155"/>
      <c r="KA152" s="16"/>
      <c r="KC152" s="187"/>
      <c r="KD152" s="188"/>
      <c r="KE152" s="188"/>
      <c r="KF152" s="188"/>
      <c r="KG152" s="188"/>
      <c r="KH152" s="188"/>
      <c r="KI152" s="188"/>
      <c r="KJ152" s="188"/>
      <c r="KK152" s="188"/>
      <c r="KL152" s="188"/>
      <c r="KM152" s="188"/>
      <c r="KN152" s="188"/>
      <c r="KO152" s="188"/>
      <c r="KP152" s="188"/>
      <c r="KQ152" s="188"/>
      <c r="KR152" s="188"/>
      <c r="KS152" s="188"/>
      <c r="KT152" s="188"/>
      <c r="KU152" s="188"/>
      <c r="KV152" s="188"/>
      <c r="KW152" s="188"/>
      <c r="KX152" s="188"/>
      <c r="KY152" s="188"/>
      <c r="KZ152" s="188"/>
      <c r="LA152" s="188"/>
      <c r="LB152" s="188"/>
      <c r="LC152" s="188"/>
      <c r="LD152" s="188"/>
      <c r="LE152" s="188"/>
      <c r="LF152" s="188"/>
      <c r="LG152" s="188"/>
      <c r="LH152" s="188"/>
      <c r="LI152" s="188"/>
      <c r="LJ152" s="188"/>
      <c r="LK152" s="188"/>
      <c r="LL152" s="188"/>
      <c r="LM152" s="188"/>
      <c r="LN152" s="188"/>
      <c r="LO152" s="188"/>
      <c r="LP152" s="188"/>
      <c r="LQ152" s="189"/>
      <c r="LR152" s="187"/>
      <c r="LS152" s="188"/>
      <c r="LT152" s="188"/>
      <c r="LU152" s="188"/>
      <c r="LV152" s="189"/>
      <c r="MK152" s="12"/>
      <c r="ML152" s="7"/>
      <c r="MM152" s="3"/>
      <c r="MN152" s="3"/>
      <c r="MO152" s="3"/>
      <c r="MP152" s="3"/>
      <c r="MQ152" s="2"/>
      <c r="NE152" s="3"/>
      <c r="NF152" s="3"/>
      <c r="NG152" s="3"/>
      <c r="NH152" s="3"/>
      <c r="NI152" s="3"/>
      <c r="NJ152" s="2"/>
    </row>
    <row r="153" spans="3:374" ht="5.0999999999999996" customHeight="1" x14ac:dyDescent="0.3">
      <c r="C153" s="11"/>
      <c r="D153" s="13"/>
      <c r="Q153" s="187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E153" s="189"/>
      <c r="BF153" s="187"/>
      <c r="BG153" s="188"/>
      <c r="BH153" s="188"/>
      <c r="BI153" s="188"/>
      <c r="BJ153" s="189"/>
      <c r="CC153" s="219"/>
      <c r="CD153" s="220"/>
      <c r="CE153" s="220"/>
      <c r="CF153" s="220"/>
      <c r="CG153" s="220"/>
      <c r="CH153" s="220"/>
      <c r="CI153" s="220"/>
      <c r="CJ153" s="220"/>
      <c r="CK153" s="220"/>
      <c r="CL153" s="220"/>
      <c r="CM153" s="220"/>
      <c r="CN153" s="220"/>
      <c r="CO153" s="220"/>
      <c r="CP153" s="220"/>
      <c r="CQ153" s="220"/>
      <c r="CR153" s="220"/>
      <c r="CS153" s="220"/>
      <c r="CT153" s="220"/>
      <c r="CU153" s="220"/>
      <c r="CV153" s="220"/>
      <c r="CW153" s="220"/>
      <c r="CX153" s="220"/>
      <c r="CY153" s="220"/>
      <c r="CZ153" s="220"/>
      <c r="DA153" s="220"/>
      <c r="DB153" s="220"/>
      <c r="DC153" s="220"/>
      <c r="DD153" s="220"/>
      <c r="DE153" s="220"/>
      <c r="DF153" s="220"/>
      <c r="DG153" s="220"/>
      <c r="DH153" s="220"/>
      <c r="DI153" s="220"/>
      <c r="DJ153" s="220"/>
      <c r="DK153" s="220"/>
      <c r="DL153" s="220"/>
      <c r="DM153" s="220"/>
      <c r="DN153" s="220"/>
      <c r="DO153" s="220"/>
      <c r="DP153" s="221"/>
      <c r="DQ153" s="219"/>
      <c r="DR153" s="220"/>
      <c r="DS153" s="220"/>
      <c r="DT153" s="220"/>
      <c r="DU153" s="221"/>
      <c r="EA153" s="219"/>
      <c r="EB153" s="220"/>
      <c r="EC153" s="220"/>
      <c r="ED153" s="220"/>
      <c r="EE153" s="220"/>
      <c r="EF153" s="220"/>
      <c r="EG153" s="220"/>
      <c r="EH153" s="220"/>
      <c r="EI153" s="220"/>
      <c r="EJ153" s="220"/>
      <c r="EK153" s="220"/>
      <c r="EL153" s="220"/>
      <c r="EM153" s="220"/>
      <c r="EN153" s="220"/>
      <c r="EO153" s="220"/>
      <c r="EP153" s="220"/>
      <c r="EQ153" s="220"/>
      <c r="ER153" s="220"/>
      <c r="ES153" s="220"/>
      <c r="ET153" s="220"/>
      <c r="EU153" s="220"/>
      <c r="EV153" s="220"/>
      <c r="EW153" s="220"/>
      <c r="EX153" s="220"/>
      <c r="EY153" s="220"/>
      <c r="EZ153" s="220"/>
      <c r="FA153" s="220"/>
      <c r="FB153" s="220"/>
      <c r="FC153" s="220"/>
      <c r="FD153" s="220"/>
      <c r="FE153" s="220"/>
      <c r="FF153" s="220"/>
      <c r="FG153" s="220"/>
      <c r="FH153" s="220"/>
      <c r="FI153" s="220"/>
      <c r="FJ153" s="220"/>
      <c r="FK153" s="220"/>
      <c r="FL153" s="220"/>
      <c r="FM153" s="220"/>
      <c r="FN153" s="221"/>
      <c r="FO153" s="219"/>
      <c r="FP153" s="220"/>
      <c r="FQ153" s="220"/>
      <c r="FR153" s="220"/>
      <c r="FS153" s="221"/>
      <c r="FX153" s="219"/>
      <c r="FY153" s="220"/>
      <c r="FZ153" s="220"/>
      <c r="GA153" s="220"/>
      <c r="GB153" s="220"/>
      <c r="GC153" s="220"/>
      <c r="GD153" s="220"/>
      <c r="GE153" s="220"/>
      <c r="GF153" s="220"/>
      <c r="GG153" s="220"/>
      <c r="GH153" s="220"/>
      <c r="GI153" s="220"/>
      <c r="GJ153" s="220"/>
      <c r="GK153" s="220"/>
      <c r="GL153" s="220"/>
      <c r="GM153" s="220"/>
      <c r="GN153" s="220"/>
      <c r="GO153" s="220"/>
      <c r="GP153" s="220"/>
      <c r="GQ153" s="220"/>
      <c r="GR153" s="220"/>
      <c r="GS153" s="220"/>
      <c r="GT153" s="220"/>
      <c r="GU153" s="220"/>
      <c r="GV153" s="220"/>
      <c r="GW153" s="220"/>
      <c r="GX153" s="220"/>
      <c r="GY153" s="220"/>
      <c r="GZ153" s="220"/>
      <c r="HA153" s="220"/>
      <c r="HB153" s="220"/>
      <c r="HC153" s="220"/>
      <c r="HD153" s="220"/>
      <c r="HE153" s="220"/>
      <c r="HF153" s="220"/>
      <c r="HG153" s="220"/>
      <c r="HH153" s="220"/>
      <c r="HI153" s="220"/>
      <c r="HJ153" s="220"/>
      <c r="HK153" s="221"/>
      <c r="HL153" s="219"/>
      <c r="HM153" s="220"/>
      <c r="HN153" s="220"/>
      <c r="HO153" s="220"/>
      <c r="HP153" s="221"/>
      <c r="HW153" s="219"/>
      <c r="HX153" s="220"/>
      <c r="HY153" s="220"/>
      <c r="HZ153" s="220"/>
      <c r="IA153" s="220"/>
      <c r="IB153" s="220"/>
      <c r="IC153" s="220"/>
      <c r="ID153" s="220"/>
      <c r="IE153" s="220"/>
      <c r="IF153" s="220"/>
      <c r="IG153" s="220"/>
      <c r="IH153" s="220"/>
      <c r="II153" s="220"/>
      <c r="IJ153" s="220"/>
      <c r="IK153" s="220"/>
      <c r="IL153" s="220"/>
      <c r="IM153" s="220"/>
      <c r="IN153" s="220"/>
      <c r="IO153" s="220"/>
      <c r="IP153" s="220"/>
      <c r="IQ153" s="220"/>
      <c r="IR153" s="220"/>
      <c r="IS153" s="220"/>
      <c r="IT153" s="220"/>
      <c r="IU153" s="220"/>
      <c r="IV153" s="220"/>
      <c r="IW153" s="220"/>
      <c r="IX153" s="220"/>
      <c r="IY153" s="220"/>
      <c r="IZ153" s="220"/>
      <c r="JA153" s="220"/>
      <c r="JB153" s="220"/>
      <c r="JC153" s="220"/>
      <c r="JD153" s="220"/>
      <c r="JE153" s="220"/>
      <c r="JF153" s="220"/>
      <c r="JG153" s="220"/>
      <c r="JH153" s="220"/>
      <c r="JI153" s="220"/>
      <c r="JJ153" s="221"/>
      <c r="JK153" s="187"/>
      <c r="JL153" s="188"/>
      <c r="JM153" s="188"/>
      <c r="JN153" s="188"/>
      <c r="JO153" s="188"/>
      <c r="JP153" s="189"/>
      <c r="JQ153" s="19"/>
      <c r="JV153" s="155"/>
      <c r="KA153" s="16"/>
      <c r="KC153" s="187"/>
      <c r="KD153" s="188"/>
      <c r="KE153" s="188"/>
      <c r="KF153" s="188"/>
      <c r="KG153" s="188"/>
      <c r="KH153" s="188"/>
      <c r="KI153" s="188"/>
      <c r="KJ153" s="188"/>
      <c r="KK153" s="188"/>
      <c r="KL153" s="188"/>
      <c r="KM153" s="188"/>
      <c r="KN153" s="188"/>
      <c r="KO153" s="188"/>
      <c r="KP153" s="188"/>
      <c r="KQ153" s="188"/>
      <c r="KR153" s="188"/>
      <c r="KS153" s="188"/>
      <c r="KT153" s="188"/>
      <c r="KU153" s="188"/>
      <c r="KV153" s="188"/>
      <c r="KW153" s="188"/>
      <c r="KX153" s="188"/>
      <c r="KY153" s="188"/>
      <c r="KZ153" s="188"/>
      <c r="LA153" s="188"/>
      <c r="LB153" s="188"/>
      <c r="LC153" s="188"/>
      <c r="LD153" s="188"/>
      <c r="LE153" s="188"/>
      <c r="LF153" s="188"/>
      <c r="LG153" s="188"/>
      <c r="LH153" s="188"/>
      <c r="LI153" s="188"/>
      <c r="LJ153" s="188"/>
      <c r="LK153" s="188"/>
      <c r="LL153" s="188"/>
      <c r="LM153" s="188"/>
      <c r="LN153" s="188"/>
      <c r="LO153" s="188"/>
      <c r="LP153" s="188"/>
      <c r="LQ153" s="189"/>
      <c r="LR153" s="187"/>
      <c r="LS153" s="188"/>
      <c r="LT153" s="188"/>
      <c r="LU153" s="188"/>
      <c r="LV153" s="189"/>
      <c r="MK153" s="12"/>
      <c r="ML153" s="7"/>
      <c r="MM153" s="3"/>
      <c r="MN153" s="3"/>
      <c r="MO153" s="3"/>
      <c r="MP153" s="3"/>
      <c r="MQ153" s="2"/>
      <c r="NE153" s="3"/>
      <c r="NF153" s="3"/>
      <c r="NG153" s="3"/>
      <c r="NH153" s="3"/>
      <c r="NI153" s="3"/>
      <c r="NJ153" s="2"/>
    </row>
    <row r="154" spans="3:374" ht="5.0999999999999996" customHeight="1" x14ac:dyDescent="0.3">
      <c r="C154" s="11"/>
      <c r="D154" s="13"/>
      <c r="Q154" s="187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E154" s="189"/>
      <c r="BF154" s="187"/>
      <c r="BG154" s="188"/>
      <c r="BH154" s="188"/>
      <c r="BI154" s="188"/>
      <c r="BJ154" s="189"/>
      <c r="CC154" s="219"/>
      <c r="CD154" s="220"/>
      <c r="CE154" s="220"/>
      <c r="CF154" s="220"/>
      <c r="CG154" s="220"/>
      <c r="CH154" s="220"/>
      <c r="CI154" s="220"/>
      <c r="CJ154" s="220"/>
      <c r="CK154" s="220"/>
      <c r="CL154" s="220"/>
      <c r="CM154" s="220"/>
      <c r="CN154" s="220"/>
      <c r="CO154" s="220"/>
      <c r="CP154" s="220"/>
      <c r="CQ154" s="220"/>
      <c r="CR154" s="220"/>
      <c r="CS154" s="220"/>
      <c r="CT154" s="220"/>
      <c r="CU154" s="220"/>
      <c r="CV154" s="220"/>
      <c r="CW154" s="220"/>
      <c r="CX154" s="220"/>
      <c r="CY154" s="220"/>
      <c r="CZ154" s="220"/>
      <c r="DA154" s="220"/>
      <c r="DB154" s="220"/>
      <c r="DC154" s="220"/>
      <c r="DD154" s="220"/>
      <c r="DE154" s="220"/>
      <c r="DF154" s="220"/>
      <c r="DG154" s="220"/>
      <c r="DH154" s="220"/>
      <c r="DI154" s="220"/>
      <c r="DJ154" s="220"/>
      <c r="DK154" s="220"/>
      <c r="DL154" s="220"/>
      <c r="DM154" s="220"/>
      <c r="DN154" s="220"/>
      <c r="DO154" s="220"/>
      <c r="DP154" s="221"/>
      <c r="DQ154" s="219"/>
      <c r="DR154" s="220"/>
      <c r="DS154" s="220"/>
      <c r="DT154" s="220"/>
      <c r="DU154" s="221"/>
      <c r="EA154" s="219"/>
      <c r="EB154" s="220"/>
      <c r="EC154" s="220"/>
      <c r="ED154" s="220"/>
      <c r="EE154" s="220"/>
      <c r="EF154" s="220"/>
      <c r="EG154" s="220"/>
      <c r="EH154" s="220"/>
      <c r="EI154" s="220"/>
      <c r="EJ154" s="220"/>
      <c r="EK154" s="220"/>
      <c r="EL154" s="220"/>
      <c r="EM154" s="220"/>
      <c r="EN154" s="220"/>
      <c r="EO154" s="220"/>
      <c r="EP154" s="220"/>
      <c r="EQ154" s="220"/>
      <c r="ER154" s="220"/>
      <c r="ES154" s="220"/>
      <c r="ET154" s="220"/>
      <c r="EU154" s="220"/>
      <c r="EV154" s="220"/>
      <c r="EW154" s="220"/>
      <c r="EX154" s="220"/>
      <c r="EY154" s="220"/>
      <c r="EZ154" s="220"/>
      <c r="FA154" s="220"/>
      <c r="FB154" s="220"/>
      <c r="FC154" s="220"/>
      <c r="FD154" s="220"/>
      <c r="FE154" s="220"/>
      <c r="FF154" s="220"/>
      <c r="FG154" s="220"/>
      <c r="FH154" s="220"/>
      <c r="FI154" s="220"/>
      <c r="FJ154" s="220"/>
      <c r="FK154" s="220"/>
      <c r="FL154" s="220"/>
      <c r="FM154" s="220"/>
      <c r="FN154" s="221"/>
      <c r="FO154" s="219"/>
      <c r="FP154" s="220"/>
      <c r="FQ154" s="220"/>
      <c r="FR154" s="220"/>
      <c r="FS154" s="221"/>
      <c r="FX154" s="219"/>
      <c r="FY154" s="220"/>
      <c r="FZ154" s="220"/>
      <c r="GA154" s="220"/>
      <c r="GB154" s="220"/>
      <c r="GC154" s="220"/>
      <c r="GD154" s="220"/>
      <c r="GE154" s="220"/>
      <c r="GF154" s="220"/>
      <c r="GG154" s="220"/>
      <c r="GH154" s="220"/>
      <c r="GI154" s="220"/>
      <c r="GJ154" s="220"/>
      <c r="GK154" s="220"/>
      <c r="GL154" s="220"/>
      <c r="GM154" s="220"/>
      <c r="GN154" s="220"/>
      <c r="GO154" s="220"/>
      <c r="GP154" s="220"/>
      <c r="GQ154" s="220"/>
      <c r="GR154" s="220"/>
      <c r="GS154" s="220"/>
      <c r="GT154" s="220"/>
      <c r="GU154" s="220"/>
      <c r="GV154" s="220"/>
      <c r="GW154" s="220"/>
      <c r="GX154" s="220"/>
      <c r="GY154" s="220"/>
      <c r="GZ154" s="220"/>
      <c r="HA154" s="220"/>
      <c r="HB154" s="220"/>
      <c r="HC154" s="220"/>
      <c r="HD154" s="220"/>
      <c r="HE154" s="220"/>
      <c r="HF154" s="220"/>
      <c r="HG154" s="220"/>
      <c r="HH154" s="220"/>
      <c r="HI154" s="220"/>
      <c r="HJ154" s="220"/>
      <c r="HK154" s="221"/>
      <c r="HL154" s="219"/>
      <c r="HM154" s="220"/>
      <c r="HN154" s="220"/>
      <c r="HO154" s="220"/>
      <c r="HP154" s="221"/>
      <c r="HW154" s="219"/>
      <c r="HX154" s="220"/>
      <c r="HY154" s="220"/>
      <c r="HZ154" s="220"/>
      <c r="IA154" s="220"/>
      <c r="IB154" s="220"/>
      <c r="IC154" s="220"/>
      <c r="ID154" s="220"/>
      <c r="IE154" s="220"/>
      <c r="IF154" s="220"/>
      <c r="IG154" s="220"/>
      <c r="IH154" s="220"/>
      <c r="II154" s="220"/>
      <c r="IJ154" s="220"/>
      <c r="IK154" s="220"/>
      <c r="IL154" s="220"/>
      <c r="IM154" s="220"/>
      <c r="IN154" s="220"/>
      <c r="IO154" s="220"/>
      <c r="IP154" s="220"/>
      <c r="IQ154" s="220"/>
      <c r="IR154" s="220"/>
      <c r="IS154" s="220"/>
      <c r="IT154" s="220"/>
      <c r="IU154" s="220"/>
      <c r="IV154" s="220"/>
      <c r="IW154" s="220"/>
      <c r="IX154" s="220"/>
      <c r="IY154" s="220"/>
      <c r="IZ154" s="220"/>
      <c r="JA154" s="220"/>
      <c r="JB154" s="220"/>
      <c r="JC154" s="220"/>
      <c r="JD154" s="220"/>
      <c r="JE154" s="220"/>
      <c r="JF154" s="220"/>
      <c r="JG154" s="220"/>
      <c r="JH154" s="220"/>
      <c r="JI154" s="220"/>
      <c r="JJ154" s="221"/>
      <c r="JK154" s="187"/>
      <c r="JL154" s="188"/>
      <c r="JM154" s="188"/>
      <c r="JN154" s="188"/>
      <c r="JO154" s="188"/>
      <c r="JP154" s="189"/>
      <c r="JQ154" s="19"/>
      <c r="JV154" s="155"/>
      <c r="KA154" s="16"/>
      <c r="KC154" s="187"/>
      <c r="KD154" s="188"/>
      <c r="KE154" s="188"/>
      <c r="KF154" s="188"/>
      <c r="KG154" s="188"/>
      <c r="KH154" s="188"/>
      <c r="KI154" s="188"/>
      <c r="KJ154" s="188"/>
      <c r="KK154" s="188"/>
      <c r="KL154" s="188"/>
      <c r="KM154" s="188"/>
      <c r="KN154" s="188"/>
      <c r="KO154" s="188"/>
      <c r="KP154" s="188"/>
      <c r="KQ154" s="188"/>
      <c r="KR154" s="188"/>
      <c r="KS154" s="188"/>
      <c r="KT154" s="188"/>
      <c r="KU154" s="188"/>
      <c r="KV154" s="188"/>
      <c r="KW154" s="188"/>
      <c r="KX154" s="188"/>
      <c r="KY154" s="188"/>
      <c r="KZ154" s="188"/>
      <c r="LA154" s="188"/>
      <c r="LB154" s="188"/>
      <c r="LC154" s="188"/>
      <c r="LD154" s="188"/>
      <c r="LE154" s="188"/>
      <c r="LF154" s="188"/>
      <c r="LG154" s="188"/>
      <c r="LH154" s="188"/>
      <c r="LI154" s="188"/>
      <c r="LJ154" s="188"/>
      <c r="LK154" s="188"/>
      <c r="LL154" s="188"/>
      <c r="LM154" s="188"/>
      <c r="LN154" s="188"/>
      <c r="LO154" s="188"/>
      <c r="LP154" s="188"/>
      <c r="LQ154" s="189"/>
      <c r="LR154" s="187"/>
      <c r="LS154" s="188"/>
      <c r="LT154" s="188"/>
      <c r="LU154" s="188"/>
      <c r="LV154" s="189"/>
      <c r="MK154" s="12"/>
      <c r="ML154" s="7"/>
      <c r="MM154" s="3"/>
      <c r="MN154" s="3"/>
      <c r="MO154" s="3"/>
      <c r="MP154" s="3"/>
      <c r="MQ154" s="2"/>
      <c r="NE154" s="3"/>
      <c r="NF154" s="3"/>
      <c r="NG154" s="3"/>
      <c r="NH154" s="3"/>
      <c r="NI154" s="3"/>
      <c r="NJ154" s="2"/>
    </row>
    <row r="155" spans="3:374" ht="5.0999999999999996" customHeight="1" x14ac:dyDescent="0.3">
      <c r="C155" s="11"/>
      <c r="D155" s="13"/>
      <c r="Q155" s="187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9"/>
      <c r="BF155" s="187"/>
      <c r="BG155" s="188"/>
      <c r="BH155" s="188"/>
      <c r="BI155" s="188"/>
      <c r="BJ155" s="189"/>
      <c r="CC155" s="219"/>
      <c r="CD155" s="220"/>
      <c r="CE155" s="220"/>
      <c r="CF155" s="220"/>
      <c r="CG155" s="220"/>
      <c r="CH155" s="220"/>
      <c r="CI155" s="220"/>
      <c r="CJ155" s="220"/>
      <c r="CK155" s="220"/>
      <c r="CL155" s="220"/>
      <c r="CM155" s="220"/>
      <c r="CN155" s="220"/>
      <c r="CO155" s="220"/>
      <c r="CP155" s="220"/>
      <c r="CQ155" s="220"/>
      <c r="CR155" s="220"/>
      <c r="CS155" s="220"/>
      <c r="CT155" s="220"/>
      <c r="CU155" s="220"/>
      <c r="CV155" s="220"/>
      <c r="CW155" s="220"/>
      <c r="CX155" s="220"/>
      <c r="CY155" s="220"/>
      <c r="CZ155" s="220"/>
      <c r="DA155" s="220"/>
      <c r="DB155" s="220"/>
      <c r="DC155" s="220"/>
      <c r="DD155" s="220"/>
      <c r="DE155" s="220"/>
      <c r="DF155" s="220"/>
      <c r="DG155" s="220"/>
      <c r="DH155" s="220"/>
      <c r="DI155" s="220"/>
      <c r="DJ155" s="220"/>
      <c r="DK155" s="220"/>
      <c r="DL155" s="220"/>
      <c r="DM155" s="220"/>
      <c r="DN155" s="220"/>
      <c r="DO155" s="220"/>
      <c r="DP155" s="221"/>
      <c r="DQ155" s="219"/>
      <c r="DR155" s="220"/>
      <c r="DS155" s="220"/>
      <c r="DT155" s="220"/>
      <c r="DU155" s="221"/>
      <c r="EA155" s="219"/>
      <c r="EB155" s="220"/>
      <c r="EC155" s="220"/>
      <c r="ED155" s="220"/>
      <c r="EE155" s="220"/>
      <c r="EF155" s="220"/>
      <c r="EG155" s="220"/>
      <c r="EH155" s="220"/>
      <c r="EI155" s="220"/>
      <c r="EJ155" s="220"/>
      <c r="EK155" s="220"/>
      <c r="EL155" s="220"/>
      <c r="EM155" s="220"/>
      <c r="EN155" s="220"/>
      <c r="EO155" s="220"/>
      <c r="EP155" s="220"/>
      <c r="EQ155" s="220"/>
      <c r="ER155" s="220"/>
      <c r="ES155" s="220"/>
      <c r="ET155" s="220"/>
      <c r="EU155" s="220"/>
      <c r="EV155" s="220"/>
      <c r="EW155" s="220"/>
      <c r="EX155" s="220"/>
      <c r="EY155" s="220"/>
      <c r="EZ155" s="220"/>
      <c r="FA155" s="220"/>
      <c r="FB155" s="220"/>
      <c r="FC155" s="220"/>
      <c r="FD155" s="220"/>
      <c r="FE155" s="220"/>
      <c r="FF155" s="220"/>
      <c r="FG155" s="220"/>
      <c r="FH155" s="220"/>
      <c r="FI155" s="220"/>
      <c r="FJ155" s="220"/>
      <c r="FK155" s="220"/>
      <c r="FL155" s="220"/>
      <c r="FM155" s="220"/>
      <c r="FN155" s="221"/>
      <c r="FO155" s="219"/>
      <c r="FP155" s="220"/>
      <c r="FQ155" s="220"/>
      <c r="FR155" s="220"/>
      <c r="FS155" s="221"/>
      <c r="FX155" s="219"/>
      <c r="FY155" s="220"/>
      <c r="FZ155" s="220"/>
      <c r="GA155" s="220"/>
      <c r="GB155" s="220"/>
      <c r="GC155" s="220"/>
      <c r="GD155" s="220"/>
      <c r="GE155" s="220"/>
      <c r="GF155" s="220"/>
      <c r="GG155" s="220"/>
      <c r="GH155" s="220"/>
      <c r="GI155" s="220"/>
      <c r="GJ155" s="220"/>
      <c r="GK155" s="220"/>
      <c r="GL155" s="220"/>
      <c r="GM155" s="220"/>
      <c r="GN155" s="220"/>
      <c r="GO155" s="220"/>
      <c r="GP155" s="220"/>
      <c r="GQ155" s="220"/>
      <c r="GR155" s="220"/>
      <c r="GS155" s="220"/>
      <c r="GT155" s="220"/>
      <c r="GU155" s="220"/>
      <c r="GV155" s="220"/>
      <c r="GW155" s="220"/>
      <c r="GX155" s="220"/>
      <c r="GY155" s="220"/>
      <c r="GZ155" s="220"/>
      <c r="HA155" s="220"/>
      <c r="HB155" s="220"/>
      <c r="HC155" s="220"/>
      <c r="HD155" s="220"/>
      <c r="HE155" s="220"/>
      <c r="HF155" s="220"/>
      <c r="HG155" s="220"/>
      <c r="HH155" s="220"/>
      <c r="HI155" s="220"/>
      <c r="HJ155" s="220"/>
      <c r="HK155" s="221"/>
      <c r="HL155" s="219"/>
      <c r="HM155" s="220"/>
      <c r="HN155" s="220"/>
      <c r="HO155" s="220"/>
      <c r="HP155" s="221"/>
      <c r="HW155" s="219"/>
      <c r="HX155" s="220"/>
      <c r="HY155" s="220"/>
      <c r="HZ155" s="220"/>
      <c r="IA155" s="220"/>
      <c r="IB155" s="220"/>
      <c r="IC155" s="220"/>
      <c r="ID155" s="220"/>
      <c r="IE155" s="220"/>
      <c r="IF155" s="220"/>
      <c r="IG155" s="220"/>
      <c r="IH155" s="220"/>
      <c r="II155" s="220"/>
      <c r="IJ155" s="220"/>
      <c r="IK155" s="220"/>
      <c r="IL155" s="220"/>
      <c r="IM155" s="220"/>
      <c r="IN155" s="220"/>
      <c r="IO155" s="220"/>
      <c r="IP155" s="220"/>
      <c r="IQ155" s="220"/>
      <c r="IR155" s="220"/>
      <c r="IS155" s="220"/>
      <c r="IT155" s="220"/>
      <c r="IU155" s="220"/>
      <c r="IV155" s="220"/>
      <c r="IW155" s="220"/>
      <c r="IX155" s="220"/>
      <c r="IY155" s="220"/>
      <c r="IZ155" s="220"/>
      <c r="JA155" s="220"/>
      <c r="JB155" s="220"/>
      <c r="JC155" s="220"/>
      <c r="JD155" s="220"/>
      <c r="JE155" s="220"/>
      <c r="JF155" s="220"/>
      <c r="JG155" s="220"/>
      <c r="JH155" s="220"/>
      <c r="JI155" s="220"/>
      <c r="JJ155" s="221"/>
      <c r="JK155" s="187"/>
      <c r="JL155" s="188"/>
      <c r="JM155" s="188"/>
      <c r="JN155" s="188"/>
      <c r="JO155" s="188"/>
      <c r="JP155" s="189"/>
      <c r="JQ155" s="19"/>
      <c r="JV155" s="155"/>
      <c r="KA155" s="16"/>
      <c r="KC155" s="187"/>
      <c r="KD155" s="188"/>
      <c r="KE155" s="188"/>
      <c r="KF155" s="188"/>
      <c r="KG155" s="188"/>
      <c r="KH155" s="188"/>
      <c r="KI155" s="188"/>
      <c r="KJ155" s="188"/>
      <c r="KK155" s="188"/>
      <c r="KL155" s="188"/>
      <c r="KM155" s="188"/>
      <c r="KN155" s="188"/>
      <c r="KO155" s="188"/>
      <c r="KP155" s="188"/>
      <c r="KQ155" s="188"/>
      <c r="KR155" s="188"/>
      <c r="KS155" s="188"/>
      <c r="KT155" s="188"/>
      <c r="KU155" s="188"/>
      <c r="KV155" s="188"/>
      <c r="KW155" s="188"/>
      <c r="KX155" s="188"/>
      <c r="KY155" s="188"/>
      <c r="KZ155" s="188"/>
      <c r="LA155" s="188"/>
      <c r="LB155" s="188"/>
      <c r="LC155" s="188"/>
      <c r="LD155" s="188"/>
      <c r="LE155" s="188"/>
      <c r="LF155" s="188"/>
      <c r="LG155" s="188"/>
      <c r="LH155" s="188"/>
      <c r="LI155" s="188"/>
      <c r="LJ155" s="188"/>
      <c r="LK155" s="188"/>
      <c r="LL155" s="188"/>
      <c r="LM155" s="188"/>
      <c r="LN155" s="188"/>
      <c r="LO155" s="188"/>
      <c r="LP155" s="188"/>
      <c r="LQ155" s="189"/>
      <c r="LR155" s="187"/>
      <c r="LS155" s="188"/>
      <c r="LT155" s="188"/>
      <c r="LU155" s="188"/>
      <c r="LV155" s="189"/>
      <c r="MK155" s="12"/>
      <c r="ML155" s="7"/>
      <c r="MM155" s="3"/>
      <c r="MN155" s="3"/>
      <c r="MO155" s="3"/>
      <c r="MP155" s="3"/>
      <c r="MQ155" s="2"/>
      <c r="NE155" s="3"/>
      <c r="NF155" s="3"/>
      <c r="NG155" s="3"/>
      <c r="NH155" s="3"/>
      <c r="NI155" s="3"/>
      <c r="NJ155" s="2"/>
    </row>
    <row r="156" spans="3:374" ht="5.0999999999999996" customHeight="1" x14ac:dyDescent="0.3">
      <c r="C156" s="11"/>
      <c r="D156" s="13"/>
      <c r="Q156" s="187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E156" s="189"/>
      <c r="BF156" s="187"/>
      <c r="BG156" s="188"/>
      <c r="BH156" s="188"/>
      <c r="BI156" s="188"/>
      <c r="BJ156" s="189"/>
      <c r="CC156" s="222"/>
      <c r="CD156" s="223"/>
      <c r="CE156" s="223"/>
      <c r="CF156" s="223"/>
      <c r="CG156" s="223"/>
      <c r="CH156" s="223"/>
      <c r="CI156" s="223"/>
      <c r="CJ156" s="223"/>
      <c r="CK156" s="223"/>
      <c r="CL156" s="223"/>
      <c r="CM156" s="223"/>
      <c r="CN156" s="223"/>
      <c r="CO156" s="223"/>
      <c r="CP156" s="223"/>
      <c r="CQ156" s="223"/>
      <c r="CR156" s="223"/>
      <c r="CS156" s="223"/>
      <c r="CT156" s="223"/>
      <c r="CU156" s="223"/>
      <c r="CV156" s="223"/>
      <c r="CW156" s="223"/>
      <c r="CX156" s="223"/>
      <c r="CY156" s="223"/>
      <c r="CZ156" s="223"/>
      <c r="DA156" s="223"/>
      <c r="DB156" s="223"/>
      <c r="DC156" s="223"/>
      <c r="DD156" s="223"/>
      <c r="DE156" s="223"/>
      <c r="DF156" s="223"/>
      <c r="DG156" s="223"/>
      <c r="DH156" s="223"/>
      <c r="DI156" s="223"/>
      <c r="DJ156" s="223"/>
      <c r="DK156" s="223"/>
      <c r="DL156" s="223"/>
      <c r="DM156" s="223"/>
      <c r="DN156" s="223"/>
      <c r="DO156" s="223"/>
      <c r="DP156" s="224"/>
      <c r="DQ156" s="222"/>
      <c r="DR156" s="223"/>
      <c r="DS156" s="223"/>
      <c r="DT156" s="223"/>
      <c r="DU156" s="224"/>
      <c r="EA156" s="222"/>
      <c r="EB156" s="223"/>
      <c r="EC156" s="223"/>
      <c r="ED156" s="223"/>
      <c r="EE156" s="223"/>
      <c r="EF156" s="223"/>
      <c r="EG156" s="223"/>
      <c r="EH156" s="223"/>
      <c r="EI156" s="223"/>
      <c r="EJ156" s="223"/>
      <c r="EK156" s="223"/>
      <c r="EL156" s="223"/>
      <c r="EM156" s="223"/>
      <c r="EN156" s="223"/>
      <c r="EO156" s="223"/>
      <c r="EP156" s="223"/>
      <c r="EQ156" s="223"/>
      <c r="ER156" s="223"/>
      <c r="ES156" s="223"/>
      <c r="ET156" s="223"/>
      <c r="EU156" s="223"/>
      <c r="EV156" s="223"/>
      <c r="EW156" s="223"/>
      <c r="EX156" s="223"/>
      <c r="EY156" s="223"/>
      <c r="EZ156" s="223"/>
      <c r="FA156" s="223"/>
      <c r="FB156" s="223"/>
      <c r="FC156" s="223"/>
      <c r="FD156" s="223"/>
      <c r="FE156" s="223"/>
      <c r="FF156" s="223"/>
      <c r="FG156" s="223"/>
      <c r="FH156" s="223"/>
      <c r="FI156" s="223"/>
      <c r="FJ156" s="223"/>
      <c r="FK156" s="223"/>
      <c r="FL156" s="223"/>
      <c r="FM156" s="223"/>
      <c r="FN156" s="224"/>
      <c r="FO156" s="222"/>
      <c r="FP156" s="223"/>
      <c r="FQ156" s="223"/>
      <c r="FR156" s="223"/>
      <c r="FS156" s="224"/>
      <c r="FX156" s="222"/>
      <c r="FY156" s="223"/>
      <c r="FZ156" s="223"/>
      <c r="GA156" s="223"/>
      <c r="GB156" s="223"/>
      <c r="GC156" s="223"/>
      <c r="GD156" s="223"/>
      <c r="GE156" s="223"/>
      <c r="GF156" s="223"/>
      <c r="GG156" s="223"/>
      <c r="GH156" s="223"/>
      <c r="GI156" s="223"/>
      <c r="GJ156" s="223"/>
      <c r="GK156" s="223"/>
      <c r="GL156" s="223"/>
      <c r="GM156" s="223"/>
      <c r="GN156" s="223"/>
      <c r="GO156" s="223"/>
      <c r="GP156" s="223"/>
      <c r="GQ156" s="223"/>
      <c r="GR156" s="223"/>
      <c r="GS156" s="223"/>
      <c r="GT156" s="223"/>
      <c r="GU156" s="223"/>
      <c r="GV156" s="223"/>
      <c r="GW156" s="223"/>
      <c r="GX156" s="223"/>
      <c r="GY156" s="223"/>
      <c r="GZ156" s="223"/>
      <c r="HA156" s="223"/>
      <c r="HB156" s="223"/>
      <c r="HC156" s="223"/>
      <c r="HD156" s="223"/>
      <c r="HE156" s="223"/>
      <c r="HF156" s="223"/>
      <c r="HG156" s="223"/>
      <c r="HH156" s="223"/>
      <c r="HI156" s="223"/>
      <c r="HJ156" s="223"/>
      <c r="HK156" s="224"/>
      <c r="HL156" s="222"/>
      <c r="HM156" s="223"/>
      <c r="HN156" s="223"/>
      <c r="HO156" s="223"/>
      <c r="HP156" s="224"/>
      <c r="HW156" s="219"/>
      <c r="HX156" s="220"/>
      <c r="HY156" s="220"/>
      <c r="HZ156" s="220"/>
      <c r="IA156" s="220"/>
      <c r="IB156" s="220"/>
      <c r="IC156" s="220"/>
      <c r="ID156" s="220"/>
      <c r="IE156" s="220"/>
      <c r="IF156" s="220"/>
      <c r="IG156" s="220"/>
      <c r="IH156" s="220"/>
      <c r="II156" s="220"/>
      <c r="IJ156" s="220"/>
      <c r="IK156" s="220"/>
      <c r="IL156" s="220"/>
      <c r="IM156" s="220"/>
      <c r="IN156" s="220"/>
      <c r="IO156" s="220"/>
      <c r="IP156" s="220"/>
      <c r="IQ156" s="220"/>
      <c r="IR156" s="220"/>
      <c r="IS156" s="220"/>
      <c r="IT156" s="220"/>
      <c r="IU156" s="220"/>
      <c r="IV156" s="220"/>
      <c r="IW156" s="220"/>
      <c r="IX156" s="220"/>
      <c r="IY156" s="220"/>
      <c r="IZ156" s="220"/>
      <c r="JA156" s="220"/>
      <c r="JB156" s="220"/>
      <c r="JC156" s="220"/>
      <c r="JD156" s="220"/>
      <c r="JE156" s="220"/>
      <c r="JF156" s="220"/>
      <c r="JG156" s="220"/>
      <c r="JH156" s="220"/>
      <c r="JI156" s="220"/>
      <c r="JJ156" s="221"/>
      <c r="JK156" s="187"/>
      <c r="JL156" s="188"/>
      <c r="JM156" s="188"/>
      <c r="JN156" s="188"/>
      <c r="JO156" s="188"/>
      <c r="JP156" s="189"/>
      <c r="JQ156" s="19"/>
      <c r="JV156" s="155"/>
      <c r="KA156" s="16"/>
      <c r="KC156" s="187"/>
      <c r="KD156" s="188"/>
      <c r="KE156" s="188"/>
      <c r="KF156" s="188"/>
      <c r="KG156" s="188"/>
      <c r="KH156" s="188"/>
      <c r="KI156" s="188"/>
      <c r="KJ156" s="188"/>
      <c r="KK156" s="188"/>
      <c r="KL156" s="188"/>
      <c r="KM156" s="188"/>
      <c r="KN156" s="188"/>
      <c r="KO156" s="188"/>
      <c r="KP156" s="188"/>
      <c r="KQ156" s="188"/>
      <c r="KR156" s="188"/>
      <c r="KS156" s="188"/>
      <c r="KT156" s="188"/>
      <c r="KU156" s="188"/>
      <c r="KV156" s="188"/>
      <c r="KW156" s="188"/>
      <c r="KX156" s="188"/>
      <c r="KY156" s="188"/>
      <c r="KZ156" s="188"/>
      <c r="LA156" s="188"/>
      <c r="LB156" s="188"/>
      <c r="LC156" s="188"/>
      <c r="LD156" s="188"/>
      <c r="LE156" s="188"/>
      <c r="LF156" s="188"/>
      <c r="LG156" s="188"/>
      <c r="LH156" s="188"/>
      <c r="LI156" s="188"/>
      <c r="LJ156" s="188"/>
      <c r="LK156" s="188"/>
      <c r="LL156" s="188"/>
      <c r="LM156" s="188"/>
      <c r="LN156" s="188"/>
      <c r="LO156" s="188"/>
      <c r="LP156" s="188"/>
      <c r="LQ156" s="189"/>
      <c r="LR156" s="187"/>
      <c r="LS156" s="188"/>
      <c r="LT156" s="188"/>
      <c r="LU156" s="188"/>
      <c r="LV156" s="189"/>
      <c r="MK156" s="12"/>
      <c r="ML156" s="7"/>
      <c r="MM156" s="3"/>
      <c r="MN156" s="3"/>
      <c r="MO156" s="3"/>
      <c r="MP156" s="3"/>
      <c r="MQ156" s="2"/>
      <c r="NE156" s="3"/>
      <c r="NF156" s="3"/>
      <c r="NG156" s="3"/>
      <c r="NH156" s="3"/>
      <c r="NI156" s="3"/>
      <c r="NJ156" s="2"/>
    </row>
    <row r="157" spans="3:374" ht="5.0999999999999996" customHeight="1" x14ac:dyDescent="0.3">
      <c r="C157" s="11"/>
      <c r="D157" s="13"/>
      <c r="Q157" s="187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E157" s="189"/>
      <c r="BF157" s="187"/>
      <c r="BG157" s="188"/>
      <c r="BH157" s="188"/>
      <c r="BI157" s="188"/>
      <c r="BJ157" s="189"/>
      <c r="CZ157" s="17"/>
      <c r="DA157" s="18"/>
      <c r="EX157" s="17"/>
      <c r="EY157" s="18"/>
      <c r="GU157" s="17"/>
      <c r="HW157" s="219"/>
      <c r="HX157" s="220"/>
      <c r="HY157" s="220"/>
      <c r="HZ157" s="220"/>
      <c r="IA157" s="220"/>
      <c r="IB157" s="220"/>
      <c r="IC157" s="220"/>
      <c r="ID157" s="220"/>
      <c r="IE157" s="220"/>
      <c r="IF157" s="220"/>
      <c r="IG157" s="220"/>
      <c r="IH157" s="220"/>
      <c r="II157" s="220"/>
      <c r="IJ157" s="220"/>
      <c r="IK157" s="220"/>
      <c r="IL157" s="220"/>
      <c r="IM157" s="220"/>
      <c r="IN157" s="220"/>
      <c r="IO157" s="220"/>
      <c r="IP157" s="220"/>
      <c r="IQ157" s="220"/>
      <c r="IR157" s="220"/>
      <c r="IS157" s="220"/>
      <c r="IT157" s="220"/>
      <c r="IU157" s="220"/>
      <c r="IV157" s="220"/>
      <c r="IW157" s="220"/>
      <c r="IX157" s="220"/>
      <c r="IY157" s="220"/>
      <c r="IZ157" s="220"/>
      <c r="JA157" s="220"/>
      <c r="JB157" s="220"/>
      <c r="JC157" s="220"/>
      <c r="JD157" s="220"/>
      <c r="JE157" s="220"/>
      <c r="JF157" s="220"/>
      <c r="JG157" s="220"/>
      <c r="JH157" s="220"/>
      <c r="JI157" s="220"/>
      <c r="JJ157" s="221"/>
      <c r="JK157" s="187"/>
      <c r="JL157" s="188"/>
      <c r="JM157" s="188"/>
      <c r="JN157" s="188"/>
      <c r="JO157" s="188"/>
      <c r="JP157" s="189"/>
      <c r="JQ157" s="19"/>
      <c r="JV157" s="155"/>
      <c r="KA157" s="16"/>
      <c r="KC157" s="187"/>
      <c r="KD157" s="188"/>
      <c r="KE157" s="188"/>
      <c r="KF157" s="188"/>
      <c r="KG157" s="188"/>
      <c r="KH157" s="188"/>
      <c r="KI157" s="188"/>
      <c r="KJ157" s="188"/>
      <c r="KK157" s="188"/>
      <c r="KL157" s="188"/>
      <c r="KM157" s="188"/>
      <c r="KN157" s="188"/>
      <c r="KO157" s="188"/>
      <c r="KP157" s="188"/>
      <c r="KQ157" s="188"/>
      <c r="KR157" s="188"/>
      <c r="KS157" s="188"/>
      <c r="KT157" s="188"/>
      <c r="KU157" s="188"/>
      <c r="KV157" s="188"/>
      <c r="KW157" s="188"/>
      <c r="KX157" s="188"/>
      <c r="KY157" s="188"/>
      <c r="KZ157" s="188"/>
      <c r="LA157" s="188"/>
      <c r="LB157" s="188"/>
      <c r="LC157" s="188"/>
      <c r="LD157" s="188"/>
      <c r="LE157" s="188"/>
      <c r="LF157" s="188"/>
      <c r="LG157" s="188"/>
      <c r="LH157" s="188"/>
      <c r="LI157" s="188"/>
      <c r="LJ157" s="188"/>
      <c r="LK157" s="188"/>
      <c r="LL157" s="188"/>
      <c r="LM157" s="188"/>
      <c r="LN157" s="188"/>
      <c r="LO157" s="188"/>
      <c r="LP157" s="188"/>
      <c r="LQ157" s="189"/>
      <c r="LR157" s="187"/>
      <c r="LS157" s="188"/>
      <c r="LT157" s="188"/>
      <c r="LU157" s="188"/>
      <c r="LV157" s="189"/>
      <c r="MK157" s="12"/>
      <c r="ML157" s="7"/>
      <c r="MM157" s="3"/>
      <c r="MN157" s="3"/>
      <c r="MO157" s="3"/>
      <c r="MP157" s="3"/>
      <c r="MQ157" s="2"/>
      <c r="NE157" s="3"/>
      <c r="NF157" s="3"/>
      <c r="NG157" s="3"/>
      <c r="NH157" s="3"/>
      <c r="NI157" s="3"/>
      <c r="NJ157" s="2"/>
    </row>
    <row r="158" spans="3:374" ht="5.0999999999999996" customHeight="1" x14ac:dyDescent="0.3">
      <c r="C158" s="11"/>
      <c r="D158" s="13"/>
      <c r="Q158" s="187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9"/>
      <c r="BF158" s="187"/>
      <c r="BG158" s="188"/>
      <c r="BH158" s="188"/>
      <c r="BI158" s="188"/>
      <c r="BJ158" s="189"/>
      <c r="CZ158" s="16"/>
      <c r="EX158" s="16"/>
      <c r="GU158" s="16"/>
      <c r="HW158" s="222"/>
      <c r="HX158" s="223"/>
      <c r="HY158" s="223"/>
      <c r="HZ158" s="223"/>
      <c r="IA158" s="223"/>
      <c r="IB158" s="223"/>
      <c r="IC158" s="223"/>
      <c r="ID158" s="223"/>
      <c r="IE158" s="223"/>
      <c r="IF158" s="223"/>
      <c r="IG158" s="223"/>
      <c r="IH158" s="223"/>
      <c r="II158" s="223"/>
      <c r="IJ158" s="223"/>
      <c r="IK158" s="223"/>
      <c r="IL158" s="223"/>
      <c r="IM158" s="223"/>
      <c r="IN158" s="223"/>
      <c r="IO158" s="223"/>
      <c r="IP158" s="223"/>
      <c r="IQ158" s="223"/>
      <c r="IR158" s="223"/>
      <c r="IS158" s="223"/>
      <c r="IT158" s="223"/>
      <c r="IU158" s="223"/>
      <c r="IV158" s="223"/>
      <c r="IW158" s="223"/>
      <c r="IX158" s="223"/>
      <c r="IY158" s="223"/>
      <c r="IZ158" s="223"/>
      <c r="JA158" s="223"/>
      <c r="JB158" s="223"/>
      <c r="JC158" s="223"/>
      <c r="JD158" s="223"/>
      <c r="JE158" s="223"/>
      <c r="JF158" s="223"/>
      <c r="JG158" s="223"/>
      <c r="JH158" s="223"/>
      <c r="JI158" s="223"/>
      <c r="JJ158" s="224"/>
      <c r="JK158" s="190"/>
      <c r="JL158" s="191"/>
      <c r="JM158" s="191"/>
      <c r="JN158" s="191"/>
      <c r="JO158" s="191"/>
      <c r="JP158" s="192"/>
      <c r="JQ158" s="19"/>
      <c r="JV158" s="155"/>
      <c r="KA158" s="16"/>
      <c r="KC158" s="190"/>
      <c r="KD158" s="191"/>
      <c r="KE158" s="191"/>
      <c r="KF158" s="191"/>
      <c r="KG158" s="191"/>
      <c r="KH158" s="191"/>
      <c r="KI158" s="191"/>
      <c r="KJ158" s="191"/>
      <c r="KK158" s="191"/>
      <c r="KL158" s="191"/>
      <c r="KM158" s="191"/>
      <c r="KN158" s="191"/>
      <c r="KO158" s="191"/>
      <c r="KP158" s="191"/>
      <c r="KQ158" s="191"/>
      <c r="KR158" s="191"/>
      <c r="KS158" s="191"/>
      <c r="KT158" s="191"/>
      <c r="KU158" s="191"/>
      <c r="KV158" s="191"/>
      <c r="KW158" s="191"/>
      <c r="KX158" s="191"/>
      <c r="KY158" s="191"/>
      <c r="KZ158" s="191"/>
      <c r="LA158" s="191"/>
      <c r="LB158" s="191"/>
      <c r="LC158" s="191"/>
      <c r="LD158" s="191"/>
      <c r="LE158" s="191"/>
      <c r="LF158" s="191"/>
      <c r="LG158" s="191"/>
      <c r="LH158" s="191"/>
      <c r="LI158" s="191"/>
      <c r="LJ158" s="191"/>
      <c r="LK158" s="191"/>
      <c r="LL158" s="191"/>
      <c r="LM158" s="191"/>
      <c r="LN158" s="191"/>
      <c r="LO158" s="191"/>
      <c r="LP158" s="191"/>
      <c r="LQ158" s="192"/>
      <c r="LR158" s="190"/>
      <c r="LS158" s="191"/>
      <c r="LT158" s="191"/>
      <c r="LU158" s="191"/>
      <c r="LV158" s="192"/>
      <c r="MK158" s="12"/>
      <c r="ML158" s="7"/>
      <c r="MM158" s="3"/>
      <c r="MN158" s="3"/>
      <c r="MO158" s="3"/>
      <c r="MP158" s="3"/>
      <c r="MQ158" s="2"/>
      <c r="NE158" s="3"/>
      <c r="NF158" s="3"/>
      <c r="NG158" s="3"/>
      <c r="NH158" s="3"/>
      <c r="NI158" s="3"/>
      <c r="NJ158" s="2"/>
    </row>
    <row r="159" spans="3:374" ht="5.0999999999999996" customHeight="1" x14ac:dyDescent="0.3">
      <c r="C159" s="11"/>
      <c r="D159" s="13"/>
      <c r="Q159" s="187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9"/>
      <c r="BF159" s="187"/>
      <c r="BG159" s="188"/>
      <c r="BH159" s="188"/>
      <c r="BI159" s="188"/>
      <c r="BJ159" s="189"/>
      <c r="CZ159" s="16"/>
      <c r="EX159" s="16"/>
      <c r="GU159" s="16"/>
      <c r="JQ159" s="19"/>
      <c r="JV159" s="155"/>
      <c r="KA159" s="16"/>
      <c r="KC159" s="184" t="s">
        <v>44</v>
      </c>
      <c r="KD159" s="185"/>
      <c r="KE159" s="185"/>
      <c r="KF159" s="185"/>
      <c r="KG159" s="185"/>
      <c r="KH159" s="185"/>
      <c r="KI159" s="185"/>
      <c r="KJ159" s="185"/>
      <c r="KK159" s="185"/>
      <c r="KL159" s="185"/>
      <c r="KM159" s="185"/>
      <c r="KN159" s="185"/>
      <c r="KO159" s="185"/>
      <c r="KP159" s="185"/>
      <c r="KQ159" s="185"/>
      <c r="KR159" s="185"/>
      <c r="KS159" s="185"/>
      <c r="KT159" s="185"/>
      <c r="KU159" s="185"/>
      <c r="KV159" s="185"/>
      <c r="KW159" s="185"/>
      <c r="KX159" s="185"/>
      <c r="KY159" s="185"/>
      <c r="KZ159" s="185"/>
      <c r="LA159" s="185"/>
      <c r="LB159" s="185"/>
      <c r="LC159" s="185"/>
      <c r="LD159" s="185"/>
      <c r="LE159" s="185"/>
      <c r="LF159" s="185"/>
      <c r="LG159" s="185"/>
      <c r="LH159" s="185"/>
      <c r="LI159" s="185"/>
      <c r="LJ159" s="185"/>
      <c r="LK159" s="185"/>
      <c r="LL159" s="185"/>
      <c r="LM159" s="185"/>
      <c r="LN159" s="185"/>
      <c r="LO159" s="185"/>
      <c r="LP159" s="185"/>
      <c r="LQ159" s="186"/>
      <c r="LR159" s="184">
        <v>1</v>
      </c>
      <c r="LS159" s="185"/>
      <c r="LT159" s="185"/>
      <c r="LU159" s="185"/>
      <c r="LV159" s="186"/>
      <c r="MK159" s="12"/>
      <c r="ML159" s="7"/>
      <c r="MM159" s="3"/>
      <c r="MN159" s="3"/>
      <c r="MO159" s="3"/>
      <c r="MP159" s="3"/>
      <c r="MQ159" s="2"/>
      <c r="NE159" s="3"/>
      <c r="NF159" s="3"/>
      <c r="NG159" s="3"/>
      <c r="NH159" s="3"/>
      <c r="NI159" s="3"/>
      <c r="NJ159" s="2"/>
    </row>
    <row r="160" spans="3:374" ht="5.0999999999999996" customHeight="1" x14ac:dyDescent="0.3">
      <c r="C160" s="11"/>
      <c r="D160" s="13"/>
      <c r="Q160" s="190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2"/>
      <c r="BF160" s="190"/>
      <c r="BG160" s="191"/>
      <c r="BH160" s="191"/>
      <c r="BI160" s="191"/>
      <c r="BJ160" s="192"/>
      <c r="CZ160" s="15"/>
      <c r="DA160" s="9"/>
      <c r="EX160" s="15"/>
      <c r="EY160" s="9"/>
      <c r="GU160" s="15"/>
      <c r="JQ160" s="19"/>
      <c r="JV160" s="155"/>
      <c r="KA160" s="16"/>
      <c r="KC160" s="187"/>
      <c r="KD160" s="188"/>
      <c r="KE160" s="188"/>
      <c r="KF160" s="188"/>
      <c r="KG160" s="188"/>
      <c r="KH160" s="188"/>
      <c r="KI160" s="188"/>
      <c r="KJ160" s="188"/>
      <c r="KK160" s="188"/>
      <c r="KL160" s="188"/>
      <c r="KM160" s="188"/>
      <c r="KN160" s="188"/>
      <c r="KO160" s="188"/>
      <c r="KP160" s="188"/>
      <c r="KQ160" s="188"/>
      <c r="KR160" s="188"/>
      <c r="KS160" s="188"/>
      <c r="KT160" s="188"/>
      <c r="KU160" s="188"/>
      <c r="KV160" s="188"/>
      <c r="KW160" s="188"/>
      <c r="KX160" s="188"/>
      <c r="KY160" s="188"/>
      <c r="KZ160" s="188"/>
      <c r="LA160" s="188"/>
      <c r="LB160" s="188"/>
      <c r="LC160" s="188"/>
      <c r="LD160" s="188"/>
      <c r="LE160" s="188"/>
      <c r="LF160" s="188"/>
      <c r="LG160" s="188"/>
      <c r="LH160" s="188"/>
      <c r="LI160" s="188"/>
      <c r="LJ160" s="188"/>
      <c r="LK160" s="188"/>
      <c r="LL160" s="188"/>
      <c r="LM160" s="188"/>
      <c r="LN160" s="188"/>
      <c r="LO160" s="188"/>
      <c r="LP160" s="188"/>
      <c r="LQ160" s="189"/>
      <c r="LR160" s="187"/>
      <c r="LS160" s="188"/>
      <c r="LT160" s="188"/>
      <c r="LU160" s="188"/>
      <c r="LV160" s="189"/>
      <c r="MK160" s="12"/>
      <c r="ML160" s="7"/>
      <c r="MM160" s="3"/>
      <c r="MN160" s="3"/>
      <c r="MO160" s="3"/>
      <c r="MP160" s="3"/>
      <c r="MQ160" s="2"/>
      <c r="NE160" s="3"/>
      <c r="NF160" s="3"/>
      <c r="NG160" s="3"/>
      <c r="NH160" s="3"/>
      <c r="NI160" s="3"/>
      <c r="NJ160" s="2"/>
    </row>
    <row r="161" spans="3:374" ht="5.0999999999999996" customHeight="1" x14ac:dyDescent="0.3">
      <c r="C161" s="11"/>
      <c r="D161" s="13"/>
      <c r="Q161" s="184" t="s">
        <v>44</v>
      </c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6"/>
      <c r="BF161" s="184">
        <v>2</v>
      </c>
      <c r="BG161" s="185"/>
      <c r="BH161" s="185"/>
      <c r="BI161" s="185"/>
      <c r="BJ161" s="186"/>
      <c r="CC161" s="184" t="s">
        <v>66</v>
      </c>
      <c r="CD161" s="185"/>
      <c r="CE161" s="185"/>
      <c r="CF161" s="185"/>
      <c r="CG161" s="185"/>
      <c r="CH161" s="185"/>
      <c r="CI161" s="185"/>
      <c r="CJ161" s="185"/>
      <c r="CK161" s="185"/>
      <c r="CL161" s="185"/>
      <c r="CM161" s="185"/>
      <c r="CN161" s="185"/>
      <c r="CO161" s="185"/>
      <c r="CP161" s="185"/>
      <c r="CQ161" s="185"/>
      <c r="CR161" s="185"/>
      <c r="CS161" s="185"/>
      <c r="CT161" s="185"/>
      <c r="CU161" s="185"/>
      <c r="CV161" s="185"/>
      <c r="CW161" s="185"/>
      <c r="CX161" s="185"/>
      <c r="CY161" s="185"/>
      <c r="CZ161" s="185"/>
      <c r="DA161" s="185"/>
      <c r="DB161" s="185"/>
      <c r="DC161" s="185"/>
      <c r="DD161" s="185"/>
      <c r="DE161" s="185"/>
      <c r="DF161" s="185"/>
      <c r="DG161" s="185"/>
      <c r="DH161" s="185"/>
      <c r="DI161" s="185"/>
      <c r="DJ161" s="185"/>
      <c r="DK161" s="185"/>
      <c r="DL161" s="185"/>
      <c r="DM161" s="185"/>
      <c r="DN161" s="185"/>
      <c r="DO161" s="185">
        <v>4</v>
      </c>
      <c r="DP161" s="186"/>
      <c r="DQ161" s="184">
        <v>1</v>
      </c>
      <c r="DR161" s="185"/>
      <c r="DS161" s="185"/>
      <c r="DT161" s="185"/>
      <c r="DU161" s="186"/>
      <c r="EA161" s="184" t="s">
        <v>51</v>
      </c>
      <c r="EB161" s="185"/>
      <c r="EC161" s="185"/>
      <c r="ED161" s="185"/>
      <c r="EE161" s="185"/>
      <c r="EF161" s="185"/>
      <c r="EG161" s="185"/>
      <c r="EH161" s="185"/>
      <c r="EI161" s="185"/>
      <c r="EJ161" s="185"/>
      <c r="EK161" s="185"/>
      <c r="EL161" s="185"/>
      <c r="EM161" s="185"/>
      <c r="EN161" s="185"/>
      <c r="EO161" s="185"/>
      <c r="EP161" s="185"/>
      <c r="EQ161" s="185"/>
      <c r="ER161" s="185"/>
      <c r="ES161" s="185"/>
      <c r="ET161" s="185"/>
      <c r="EU161" s="185"/>
      <c r="EV161" s="185"/>
      <c r="EW161" s="185"/>
      <c r="EX161" s="185"/>
      <c r="EY161" s="185"/>
      <c r="EZ161" s="185"/>
      <c r="FA161" s="185"/>
      <c r="FB161" s="185"/>
      <c r="FC161" s="185"/>
      <c r="FD161" s="185"/>
      <c r="FE161" s="185"/>
      <c r="FF161" s="185"/>
      <c r="FG161" s="185"/>
      <c r="FH161" s="185"/>
      <c r="FI161" s="185"/>
      <c r="FJ161" s="185"/>
      <c r="FK161" s="185"/>
      <c r="FL161" s="185"/>
      <c r="FM161" s="185">
        <v>1</v>
      </c>
      <c r="FN161" s="186"/>
      <c r="FO161" s="184">
        <v>1</v>
      </c>
      <c r="FP161" s="185"/>
      <c r="FQ161" s="185"/>
      <c r="FR161" s="185"/>
      <c r="FS161" s="186"/>
      <c r="FX161" s="184" t="s">
        <v>54</v>
      </c>
      <c r="FY161" s="185"/>
      <c r="FZ161" s="185"/>
      <c r="GA161" s="185"/>
      <c r="GB161" s="185"/>
      <c r="GC161" s="185"/>
      <c r="GD161" s="185"/>
      <c r="GE161" s="185"/>
      <c r="GF161" s="185"/>
      <c r="GG161" s="185"/>
      <c r="GH161" s="185"/>
      <c r="GI161" s="185"/>
      <c r="GJ161" s="185"/>
      <c r="GK161" s="185"/>
      <c r="GL161" s="185"/>
      <c r="GM161" s="185"/>
      <c r="GN161" s="185"/>
      <c r="GO161" s="185"/>
      <c r="GP161" s="185"/>
      <c r="GQ161" s="185"/>
      <c r="GR161" s="185"/>
      <c r="GS161" s="185"/>
      <c r="GT161" s="185"/>
      <c r="GU161" s="185"/>
      <c r="GV161" s="185"/>
      <c r="GW161" s="185"/>
      <c r="GX161" s="185"/>
      <c r="GY161" s="185"/>
      <c r="GZ161" s="185"/>
      <c r="HA161" s="185"/>
      <c r="HB161" s="185"/>
      <c r="HC161" s="185"/>
      <c r="HD161" s="185"/>
      <c r="HE161" s="185"/>
      <c r="HF161" s="185"/>
      <c r="HG161" s="185"/>
      <c r="HH161" s="185"/>
      <c r="HI161" s="185"/>
      <c r="HJ161" s="185"/>
      <c r="HK161" s="186"/>
      <c r="HL161" s="184">
        <v>1</v>
      </c>
      <c r="HM161" s="185"/>
      <c r="HN161" s="185"/>
      <c r="HO161" s="185"/>
      <c r="HP161" s="186"/>
      <c r="HW161" s="195" t="s">
        <v>36</v>
      </c>
      <c r="HX161" s="196"/>
      <c r="HY161" s="196"/>
      <c r="HZ161" s="196"/>
      <c r="IA161" s="196"/>
      <c r="IB161" s="196"/>
      <c r="IC161" s="196"/>
      <c r="ID161" s="196"/>
      <c r="IE161" s="196"/>
      <c r="IF161" s="196"/>
      <c r="IG161" s="196"/>
      <c r="IH161" s="196"/>
      <c r="II161" s="196"/>
      <c r="IJ161" s="196"/>
      <c r="IK161" s="196"/>
      <c r="IL161" s="196"/>
      <c r="IM161" s="196"/>
      <c r="IN161" s="196"/>
      <c r="IO161" s="196"/>
      <c r="IP161" s="196"/>
      <c r="IQ161" s="196"/>
      <c r="IR161" s="196"/>
      <c r="IS161" s="196"/>
      <c r="IT161" s="196"/>
      <c r="IU161" s="196"/>
      <c r="IV161" s="196"/>
      <c r="IW161" s="196"/>
      <c r="IX161" s="196"/>
      <c r="IY161" s="196"/>
      <c r="IZ161" s="196"/>
      <c r="JA161" s="196"/>
      <c r="JB161" s="196"/>
      <c r="JC161" s="196"/>
      <c r="JD161" s="196"/>
      <c r="JE161" s="196"/>
      <c r="JF161" s="196"/>
      <c r="JG161" s="196"/>
      <c r="JH161" s="196"/>
      <c r="JI161" s="196"/>
      <c r="JJ161" s="196"/>
      <c r="JK161" s="204">
        <f>JK171</f>
        <v>1</v>
      </c>
      <c r="JL161" s="204"/>
      <c r="JM161" s="204"/>
      <c r="JN161" s="204"/>
      <c r="JO161" s="204"/>
      <c r="JP161" s="204"/>
      <c r="JQ161" s="19"/>
      <c r="JV161" s="155"/>
      <c r="KA161" s="16"/>
      <c r="KC161" s="187"/>
      <c r="KD161" s="188"/>
      <c r="KE161" s="188"/>
      <c r="KF161" s="188"/>
      <c r="KG161" s="188"/>
      <c r="KH161" s="188"/>
      <c r="KI161" s="188"/>
      <c r="KJ161" s="188"/>
      <c r="KK161" s="188"/>
      <c r="KL161" s="188"/>
      <c r="KM161" s="188"/>
      <c r="KN161" s="188"/>
      <c r="KO161" s="188"/>
      <c r="KP161" s="188"/>
      <c r="KQ161" s="188"/>
      <c r="KR161" s="188"/>
      <c r="KS161" s="188"/>
      <c r="KT161" s="188"/>
      <c r="KU161" s="188"/>
      <c r="KV161" s="188"/>
      <c r="KW161" s="188"/>
      <c r="KX161" s="188"/>
      <c r="KY161" s="188"/>
      <c r="KZ161" s="188"/>
      <c r="LA161" s="188"/>
      <c r="LB161" s="188"/>
      <c r="LC161" s="188"/>
      <c r="LD161" s="188"/>
      <c r="LE161" s="188"/>
      <c r="LF161" s="188"/>
      <c r="LG161" s="188"/>
      <c r="LH161" s="188"/>
      <c r="LI161" s="188"/>
      <c r="LJ161" s="188"/>
      <c r="LK161" s="188"/>
      <c r="LL161" s="188"/>
      <c r="LM161" s="188"/>
      <c r="LN161" s="188"/>
      <c r="LO161" s="188"/>
      <c r="LP161" s="188"/>
      <c r="LQ161" s="189"/>
      <c r="LR161" s="187"/>
      <c r="LS161" s="188"/>
      <c r="LT161" s="188"/>
      <c r="LU161" s="188"/>
      <c r="LV161" s="189"/>
      <c r="MK161" s="12"/>
      <c r="ML161" s="7"/>
      <c r="MM161" s="3"/>
      <c r="MN161" s="3"/>
      <c r="MO161" s="3"/>
      <c r="MP161" s="3"/>
      <c r="MQ161" s="2"/>
      <c r="NE161" s="3"/>
      <c r="NF161" s="3"/>
      <c r="NG161" s="3"/>
      <c r="NH161" s="3"/>
      <c r="NI161" s="3"/>
      <c r="NJ161" s="2"/>
    </row>
    <row r="162" spans="3:374" ht="5.0999999999999996" customHeight="1" x14ac:dyDescent="0.3">
      <c r="C162" s="11"/>
      <c r="D162" s="13"/>
      <c r="Q162" s="187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E162" s="189"/>
      <c r="BF162" s="187"/>
      <c r="BG162" s="188"/>
      <c r="BH162" s="188"/>
      <c r="BI162" s="188"/>
      <c r="BJ162" s="189"/>
      <c r="CC162" s="187"/>
      <c r="CD162" s="188"/>
      <c r="CE162" s="188"/>
      <c r="CF162" s="188"/>
      <c r="CG162" s="188"/>
      <c r="CH162" s="188"/>
      <c r="CI162" s="188"/>
      <c r="CJ162" s="188"/>
      <c r="CK162" s="188"/>
      <c r="CL162" s="188"/>
      <c r="CM162" s="188"/>
      <c r="CN162" s="188"/>
      <c r="CO162" s="188"/>
      <c r="CP162" s="188"/>
      <c r="CQ162" s="188"/>
      <c r="CR162" s="188"/>
      <c r="CS162" s="188"/>
      <c r="CT162" s="188"/>
      <c r="CU162" s="188"/>
      <c r="CV162" s="188"/>
      <c r="CW162" s="188"/>
      <c r="CX162" s="188"/>
      <c r="CY162" s="188"/>
      <c r="CZ162" s="188"/>
      <c r="DA162" s="188"/>
      <c r="DB162" s="188"/>
      <c r="DC162" s="188"/>
      <c r="DD162" s="188"/>
      <c r="DE162" s="188"/>
      <c r="DF162" s="188"/>
      <c r="DG162" s="188"/>
      <c r="DH162" s="188"/>
      <c r="DI162" s="188"/>
      <c r="DJ162" s="188"/>
      <c r="DK162" s="188"/>
      <c r="DL162" s="188"/>
      <c r="DM162" s="188"/>
      <c r="DN162" s="188"/>
      <c r="DO162" s="188"/>
      <c r="DP162" s="189"/>
      <c r="DQ162" s="187"/>
      <c r="DR162" s="188"/>
      <c r="DS162" s="188"/>
      <c r="DT162" s="188"/>
      <c r="DU162" s="189"/>
      <c r="EA162" s="187"/>
      <c r="EB162" s="188"/>
      <c r="EC162" s="188"/>
      <c r="ED162" s="188"/>
      <c r="EE162" s="188"/>
      <c r="EF162" s="188"/>
      <c r="EG162" s="188"/>
      <c r="EH162" s="188"/>
      <c r="EI162" s="188"/>
      <c r="EJ162" s="188"/>
      <c r="EK162" s="188"/>
      <c r="EL162" s="188"/>
      <c r="EM162" s="188"/>
      <c r="EN162" s="188"/>
      <c r="EO162" s="188"/>
      <c r="EP162" s="188"/>
      <c r="EQ162" s="188"/>
      <c r="ER162" s="188"/>
      <c r="ES162" s="188"/>
      <c r="ET162" s="188"/>
      <c r="EU162" s="188"/>
      <c r="EV162" s="188"/>
      <c r="EW162" s="188"/>
      <c r="EX162" s="188"/>
      <c r="EY162" s="188"/>
      <c r="EZ162" s="188"/>
      <c r="FA162" s="188"/>
      <c r="FB162" s="188"/>
      <c r="FC162" s="188"/>
      <c r="FD162" s="188"/>
      <c r="FE162" s="188"/>
      <c r="FF162" s="188"/>
      <c r="FG162" s="188"/>
      <c r="FH162" s="188"/>
      <c r="FI162" s="188"/>
      <c r="FJ162" s="188"/>
      <c r="FK162" s="188"/>
      <c r="FL162" s="188"/>
      <c r="FM162" s="188"/>
      <c r="FN162" s="189"/>
      <c r="FO162" s="187"/>
      <c r="FP162" s="188"/>
      <c r="FQ162" s="188"/>
      <c r="FR162" s="188"/>
      <c r="FS162" s="189"/>
      <c r="FX162" s="187"/>
      <c r="FY162" s="188"/>
      <c r="FZ162" s="188"/>
      <c r="GA162" s="188"/>
      <c r="GB162" s="188"/>
      <c r="GC162" s="188"/>
      <c r="GD162" s="188"/>
      <c r="GE162" s="188"/>
      <c r="GF162" s="188"/>
      <c r="GG162" s="188"/>
      <c r="GH162" s="188"/>
      <c r="GI162" s="188"/>
      <c r="GJ162" s="188"/>
      <c r="GK162" s="188"/>
      <c r="GL162" s="188"/>
      <c r="GM162" s="188"/>
      <c r="GN162" s="188"/>
      <c r="GO162" s="188"/>
      <c r="GP162" s="188"/>
      <c r="GQ162" s="188"/>
      <c r="GR162" s="188"/>
      <c r="GS162" s="188"/>
      <c r="GT162" s="188"/>
      <c r="GU162" s="188"/>
      <c r="GV162" s="188"/>
      <c r="GW162" s="188"/>
      <c r="GX162" s="188"/>
      <c r="GY162" s="188"/>
      <c r="GZ162" s="188"/>
      <c r="HA162" s="188"/>
      <c r="HB162" s="188"/>
      <c r="HC162" s="188"/>
      <c r="HD162" s="188"/>
      <c r="HE162" s="188"/>
      <c r="HF162" s="188"/>
      <c r="HG162" s="188"/>
      <c r="HH162" s="188"/>
      <c r="HI162" s="188"/>
      <c r="HJ162" s="188"/>
      <c r="HK162" s="189"/>
      <c r="HL162" s="187"/>
      <c r="HM162" s="188"/>
      <c r="HN162" s="188"/>
      <c r="HO162" s="188"/>
      <c r="HP162" s="189"/>
      <c r="HW162" s="198"/>
      <c r="HX162" s="199"/>
      <c r="HY162" s="199"/>
      <c r="HZ162" s="199"/>
      <c r="IA162" s="199"/>
      <c r="IB162" s="199"/>
      <c r="IC162" s="199"/>
      <c r="ID162" s="199"/>
      <c r="IE162" s="199"/>
      <c r="IF162" s="199"/>
      <c r="IG162" s="199"/>
      <c r="IH162" s="199"/>
      <c r="II162" s="199"/>
      <c r="IJ162" s="199"/>
      <c r="IK162" s="199"/>
      <c r="IL162" s="199"/>
      <c r="IM162" s="199"/>
      <c r="IN162" s="199"/>
      <c r="IO162" s="199"/>
      <c r="IP162" s="199"/>
      <c r="IQ162" s="199"/>
      <c r="IR162" s="199"/>
      <c r="IS162" s="199"/>
      <c r="IT162" s="199"/>
      <c r="IU162" s="199"/>
      <c r="IV162" s="199"/>
      <c r="IW162" s="199"/>
      <c r="IX162" s="199"/>
      <c r="IY162" s="199"/>
      <c r="IZ162" s="199"/>
      <c r="JA162" s="199"/>
      <c r="JB162" s="199"/>
      <c r="JC162" s="199"/>
      <c r="JD162" s="199"/>
      <c r="JE162" s="199"/>
      <c r="JF162" s="199"/>
      <c r="JG162" s="199"/>
      <c r="JH162" s="199"/>
      <c r="JI162" s="199"/>
      <c r="JJ162" s="199"/>
      <c r="JK162" s="204"/>
      <c r="JL162" s="204"/>
      <c r="JM162" s="204"/>
      <c r="JN162" s="204"/>
      <c r="JO162" s="204"/>
      <c r="JP162" s="204"/>
      <c r="JQ162" s="19"/>
      <c r="JV162" s="155"/>
      <c r="KA162" s="16"/>
      <c r="KC162" s="187"/>
      <c r="KD162" s="188"/>
      <c r="KE162" s="188"/>
      <c r="KF162" s="188"/>
      <c r="KG162" s="188"/>
      <c r="KH162" s="188"/>
      <c r="KI162" s="188"/>
      <c r="KJ162" s="188"/>
      <c r="KK162" s="188"/>
      <c r="KL162" s="188"/>
      <c r="KM162" s="188"/>
      <c r="KN162" s="188"/>
      <c r="KO162" s="188"/>
      <c r="KP162" s="188"/>
      <c r="KQ162" s="188"/>
      <c r="KR162" s="188"/>
      <c r="KS162" s="188"/>
      <c r="KT162" s="188"/>
      <c r="KU162" s="188"/>
      <c r="KV162" s="188"/>
      <c r="KW162" s="188"/>
      <c r="KX162" s="188"/>
      <c r="KY162" s="188"/>
      <c r="KZ162" s="188"/>
      <c r="LA162" s="188"/>
      <c r="LB162" s="188"/>
      <c r="LC162" s="188"/>
      <c r="LD162" s="188"/>
      <c r="LE162" s="188"/>
      <c r="LF162" s="188"/>
      <c r="LG162" s="188"/>
      <c r="LH162" s="188"/>
      <c r="LI162" s="188"/>
      <c r="LJ162" s="188"/>
      <c r="LK162" s="188"/>
      <c r="LL162" s="188"/>
      <c r="LM162" s="188"/>
      <c r="LN162" s="188"/>
      <c r="LO162" s="188"/>
      <c r="LP162" s="188"/>
      <c r="LQ162" s="189"/>
      <c r="LR162" s="187"/>
      <c r="LS162" s="188"/>
      <c r="LT162" s="188"/>
      <c r="LU162" s="188"/>
      <c r="LV162" s="189"/>
      <c r="MK162" s="12"/>
      <c r="ML162" s="7"/>
      <c r="MM162" s="3"/>
      <c r="MN162" s="3"/>
      <c r="MO162" s="3"/>
      <c r="MP162" s="3"/>
      <c r="MQ162" s="2"/>
      <c r="NE162" s="3"/>
      <c r="NF162" s="3"/>
      <c r="NG162" s="3"/>
      <c r="NH162" s="3"/>
      <c r="NI162" s="3"/>
      <c r="NJ162" s="2"/>
    </row>
    <row r="163" spans="3:374" ht="5.0999999999999996" customHeight="1" x14ac:dyDescent="0.3">
      <c r="C163" s="11"/>
      <c r="D163" s="13"/>
      <c r="Q163" s="187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  <c r="BD163" s="188"/>
      <c r="BE163" s="189"/>
      <c r="BF163" s="187"/>
      <c r="BG163" s="188"/>
      <c r="BH163" s="188"/>
      <c r="BI163" s="188"/>
      <c r="BJ163" s="189"/>
      <c r="CC163" s="187"/>
      <c r="CD163" s="188"/>
      <c r="CE163" s="188"/>
      <c r="CF163" s="188"/>
      <c r="CG163" s="188"/>
      <c r="CH163" s="188"/>
      <c r="CI163" s="188"/>
      <c r="CJ163" s="188"/>
      <c r="CK163" s="188"/>
      <c r="CL163" s="188"/>
      <c r="CM163" s="188"/>
      <c r="CN163" s="188"/>
      <c r="CO163" s="188"/>
      <c r="CP163" s="188"/>
      <c r="CQ163" s="188"/>
      <c r="CR163" s="188"/>
      <c r="CS163" s="188"/>
      <c r="CT163" s="188"/>
      <c r="CU163" s="188"/>
      <c r="CV163" s="188"/>
      <c r="CW163" s="188"/>
      <c r="CX163" s="188"/>
      <c r="CY163" s="188"/>
      <c r="CZ163" s="188"/>
      <c r="DA163" s="188"/>
      <c r="DB163" s="188"/>
      <c r="DC163" s="188"/>
      <c r="DD163" s="188"/>
      <c r="DE163" s="188"/>
      <c r="DF163" s="188"/>
      <c r="DG163" s="188"/>
      <c r="DH163" s="188"/>
      <c r="DI163" s="188"/>
      <c r="DJ163" s="188"/>
      <c r="DK163" s="188"/>
      <c r="DL163" s="188"/>
      <c r="DM163" s="188"/>
      <c r="DN163" s="188"/>
      <c r="DO163" s="188"/>
      <c r="DP163" s="189"/>
      <c r="DQ163" s="187"/>
      <c r="DR163" s="188"/>
      <c r="DS163" s="188"/>
      <c r="DT163" s="188"/>
      <c r="DU163" s="189"/>
      <c r="EA163" s="187"/>
      <c r="EB163" s="188"/>
      <c r="EC163" s="188"/>
      <c r="ED163" s="188"/>
      <c r="EE163" s="188"/>
      <c r="EF163" s="188"/>
      <c r="EG163" s="188"/>
      <c r="EH163" s="188"/>
      <c r="EI163" s="188"/>
      <c r="EJ163" s="188"/>
      <c r="EK163" s="188"/>
      <c r="EL163" s="188"/>
      <c r="EM163" s="188"/>
      <c r="EN163" s="188"/>
      <c r="EO163" s="188"/>
      <c r="EP163" s="188"/>
      <c r="EQ163" s="188"/>
      <c r="ER163" s="188"/>
      <c r="ES163" s="188"/>
      <c r="ET163" s="188"/>
      <c r="EU163" s="188"/>
      <c r="EV163" s="188"/>
      <c r="EW163" s="188"/>
      <c r="EX163" s="188"/>
      <c r="EY163" s="188"/>
      <c r="EZ163" s="188"/>
      <c r="FA163" s="188"/>
      <c r="FB163" s="188"/>
      <c r="FC163" s="188"/>
      <c r="FD163" s="188"/>
      <c r="FE163" s="188"/>
      <c r="FF163" s="188"/>
      <c r="FG163" s="188"/>
      <c r="FH163" s="188"/>
      <c r="FI163" s="188"/>
      <c r="FJ163" s="188"/>
      <c r="FK163" s="188"/>
      <c r="FL163" s="188"/>
      <c r="FM163" s="188"/>
      <c r="FN163" s="189"/>
      <c r="FO163" s="187"/>
      <c r="FP163" s="188"/>
      <c r="FQ163" s="188"/>
      <c r="FR163" s="188"/>
      <c r="FS163" s="189"/>
      <c r="FX163" s="187"/>
      <c r="FY163" s="188"/>
      <c r="FZ163" s="188"/>
      <c r="GA163" s="188"/>
      <c r="GB163" s="188"/>
      <c r="GC163" s="188"/>
      <c r="GD163" s="188"/>
      <c r="GE163" s="188"/>
      <c r="GF163" s="188"/>
      <c r="GG163" s="188"/>
      <c r="GH163" s="188"/>
      <c r="GI163" s="188"/>
      <c r="GJ163" s="188"/>
      <c r="GK163" s="188"/>
      <c r="GL163" s="188"/>
      <c r="GM163" s="188"/>
      <c r="GN163" s="188"/>
      <c r="GO163" s="188"/>
      <c r="GP163" s="188"/>
      <c r="GQ163" s="188"/>
      <c r="GR163" s="188"/>
      <c r="GS163" s="188"/>
      <c r="GT163" s="188"/>
      <c r="GU163" s="188"/>
      <c r="GV163" s="188"/>
      <c r="GW163" s="188"/>
      <c r="GX163" s="188"/>
      <c r="GY163" s="188"/>
      <c r="GZ163" s="188"/>
      <c r="HA163" s="188"/>
      <c r="HB163" s="188"/>
      <c r="HC163" s="188"/>
      <c r="HD163" s="188"/>
      <c r="HE163" s="188"/>
      <c r="HF163" s="188"/>
      <c r="HG163" s="188"/>
      <c r="HH163" s="188"/>
      <c r="HI163" s="188"/>
      <c r="HJ163" s="188"/>
      <c r="HK163" s="189"/>
      <c r="HL163" s="187"/>
      <c r="HM163" s="188"/>
      <c r="HN163" s="188"/>
      <c r="HO163" s="188"/>
      <c r="HP163" s="189"/>
      <c r="HW163" s="198"/>
      <c r="HX163" s="199"/>
      <c r="HY163" s="199"/>
      <c r="HZ163" s="199"/>
      <c r="IA163" s="199"/>
      <c r="IB163" s="199"/>
      <c r="IC163" s="199"/>
      <c r="ID163" s="199"/>
      <c r="IE163" s="199"/>
      <c r="IF163" s="199"/>
      <c r="IG163" s="199"/>
      <c r="IH163" s="199"/>
      <c r="II163" s="199"/>
      <c r="IJ163" s="199"/>
      <c r="IK163" s="199"/>
      <c r="IL163" s="199"/>
      <c r="IM163" s="199"/>
      <c r="IN163" s="199"/>
      <c r="IO163" s="199"/>
      <c r="IP163" s="199"/>
      <c r="IQ163" s="199"/>
      <c r="IR163" s="199"/>
      <c r="IS163" s="199"/>
      <c r="IT163" s="199"/>
      <c r="IU163" s="199"/>
      <c r="IV163" s="199"/>
      <c r="IW163" s="199"/>
      <c r="IX163" s="199"/>
      <c r="IY163" s="199"/>
      <c r="IZ163" s="199"/>
      <c r="JA163" s="199"/>
      <c r="JB163" s="199"/>
      <c r="JC163" s="199"/>
      <c r="JD163" s="199"/>
      <c r="JE163" s="199"/>
      <c r="JF163" s="199"/>
      <c r="JG163" s="199"/>
      <c r="JH163" s="199"/>
      <c r="JI163" s="199"/>
      <c r="JJ163" s="199"/>
      <c r="JK163" s="204"/>
      <c r="JL163" s="204"/>
      <c r="JM163" s="204"/>
      <c r="JN163" s="204"/>
      <c r="JO163" s="204"/>
      <c r="JP163" s="204"/>
      <c r="JQ163" s="19"/>
      <c r="JV163" s="155"/>
      <c r="KA163" s="16"/>
      <c r="KC163" s="187"/>
      <c r="KD163" s="188"/>
      <c r="KE163" s="188"/>
      <c r="KF163" s="188"/>
      <c r="KG163" s="188"/>
      <c r="KH163" s="188"/>
      <c r="KI163" s="188"/>
      <c r="KJ163" s="188"/>
      <c r="KK163" s="188"/>
      <c r="KL163" s="188"/>
      <c r="KM163" s="188"/>
      <c r="KN163" s="188"/>
      <c r="KO163" s="188"/>
      <c r="KP163" s="188"/>
      <c r="KQ163" s="188"/>
      <c r="KR163" s="188"/>
      <c r="KS163" s="188"/>
      <c r="KT163" s="188"/>
      <c r="KU163" s="188"/>
      <c r="KV163" s="188"/>
      <c r="KW163" s="188"/>
      <c r="KX163" s="188"/>
      <c r="KY163" s="188"/>
      <c r="KZ163" s="188"/>
      <c r="LA163" s="188"/>
      <c r="LB163" s="188"/>
      <c r="LC163" s="188"/>
      <c r="LD163" s="188"/>
      <c r="LE163" s="188"/>
      <c r="LF163" s="188"/>
      <c r="LG163" s="188"/>
      <c r="LH163" s="188"/>
      <c r="LI163" s="188"/>
      <c r="LJ163" s="188"/>
      <c r="LK163" s="188"/>
      <c r="LL163" s="188"/>
      <c r="LM163" s="188"/>
      <c r="LN163" s="188"/>
      <c r="LO163" s="188"/>
      <c r="LP163" s="188"/>
      <c r="LQ163" s="189"/>
      <c r="LR163" s="187"/>
      <c r="LS163" s="188"/>
      <c r="LT163" s="188"/>
      <c r="LU163" s="188"/>
      <c r="LV163" s="189"/>
      <c r="MK163" s="12"/>
      <c r="ML163" s="7"/>
      <c r="MM163" s="3"/>
      <c r="MN163" s="3"/>
      <c r="MO163" s="3"/>
      <c r="MP163" s="3"/>
      <c r="MQ163" s="2"/>
      <c r="NE163" s="3"/>
      <c r="NF163" s="3"/>
      <c r="NG163" s="3"/>
      <c r="NH163" s="3"/>
      <c r="NI163" s="3"/>
      <c r="NJ163" s="2"/>
    </row>
    <row r="164" spans="3:374" ht="5.0999999999999996" customHeight="1" x14ac:dyDescent="0.3">
      <c r="C164" s="11"/>
      <c r="D164" s="13"/>
      <c r="Q164" s="187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  <c r="BD164" s="188"/>
      <c r="BE164" s="189"/>
      <c r="BF164" s="187"/>
      <c r="BG164" s="188"/>
      <c r="BH164" s="188"/>
      <c r="BI164" s="188"/>
      <c r="BJ164" s="189"/>
      <c r="CC164" s="187"/>
      <c r="CD164" s="188"/>
      <c r="CE164" s="188"/>
      <c r="CF164" s="188"/>
      <c r="CG164" s="188"/>
      <c r="CH164" s="188"/>
      <c r="CI164" s="188"/>
      <c r="CJ164" s="188"/>
      <c r="CK164" s="188"/>
      <c r="CL164" s="188"/>
      <c r="CM164" s="188"/>
      <c r="CN164" s="188"/>
      <c r="CO164" s="188"/>
      <c r="CP164" s="188"/>
      <c r="CQ164" s="188"/>
      <c r="CR164" s="188"/>
      <c r="CS164" s="188"/>
      <c r="CT164" s="188"/>
      <c r="CU164" s="188"/>
      <c r="CV164" s="188"/>
      <c r="CW164" s="188"/>
      <c r="CX164" s="188"/>
      <c r="CY164" s="188"/>
      <c r="CZ164" s="188"/>
      <c r="DA164" s="188"/>
      <c r="DB164" s="188"/>
      <c r="DC164" s="188"/>
      <c r="DD164" s="188"/>
      <c r="DE164" s="188"/>
      <c r="DF164" s="188"/>
      <c r="DG164" s="188"/>
      <c r="DH164" s="188"/>
      <c r="DI164" s="188"/>
      <c r="DJ164" s="188"/>
      <c r="DK164" s="188"/>
      <c r="DL164" s="188"/>
      <c r="DM164" s="188"/>
      <c r="DN164" s="188"/>
      <c r="DO164" s="188"/>
      <c r="DP164" s="189"/>
      <c r="DQ164" s="187"/>
      <c r="DR164" s="188"/>
      <c r="DS164" s="188"/>
      <c r="DT164" s="188"/>
      <c r="DU164" s="189"/>
      <c r="EA164" s="187"/>
      <c r="EB164" s="188"/>
      <c r="EC164" s="188"/>
      <c r="ED164" s="188"/>
      <c r="EE164" s="188"/>
      <c r="EF164" s="188"/>
      <c r="EG164" s="188"/>
      <c r="EH164" s="188"/>
      <c r="EI164" s="188"/>
      <c r="EJ164" s="188"/>
      <c r="EK164" s="188"/>
      <c r="EL164" s="188"/>
      <c r="EM164" s="188"/>
      <c r="EN164" s="188"/>
      <c r="EO164" s="188"/>
      <c r="EP164" s="188"/>
      <c r="EQ164" s="188"/>
      <c r="ER164" s="188"/>
      <c r="ES164" s="188"/>
      <c r="ET164" s="188"/>
      <c r="EU164" s="188"/>
      <c r="EV164" s="188"/>
      <c r="EW164" s="188"/>
      <c r="EX164" s="188"/>
      <c r="EY164" s="188"/>
      <c r="EZ164" s="188"/>
      <c r="FA164" s="188"/>
      <c r="FB164" s="188"/>
      <c r="FC164" s="188"/>
      <c r="FD164" s="188"/>
      <c r="FE164" s="188"/>
      <c r="FF164" s="188"/>
      <c r="FG164" s="188"/>
      <c r="FH164" s="188"/>
      <c r="FI164" s="188"/>
      <c r="FJ164" s="188"/>
      <c r="FK164" s="188"/>
      <c r="FL164" s="188"/>
      <c r="FM164" s="188"/>
      <c r="FN164" s="189"/>
      <c r="FO164" s="187"/>
      <c r="FP164" s="188"/>
      <c r="FQ164" s="188"/>
      <c r="FR164" s="188"/>
      <c r="FS164" s="189"/>
      <c r="FX164" s="187"/>
      <c r="FY164" s="188"/>
      <c r="FZ164" s="188"/>
      <c r="GA164" s="188"/>
      <c r="GB164" s="188"/>
      <c r="GC164" s="188"/>
      <c r="GD164" s="188"/>
      <c r="GE164" s="188"/>
      <c r="GF164" s="188"/>
      <c r="GG164" s="188"/>
      <c r="GH164" s="188"/>
      <c r="GI164" s="188"/>
      <c r="GJ164" s="188"/>
      <c r="GK164" s="188"/>
      <c r="GL164" s="188"/>
      <c r="GM164" s="188"/>
      <c r="GN164" s="188"/>
      <c r="GO164" s="188"/>
      <c r="GP164" s="188"/>
      <c r="GQ164" s="188"/>
      <c r="GR164" s="188"/>
      <c r="GS164" s="188"/>
      <c r="GT164" s="188"/>
      <c r="GU164" s="188"/>
      <c r="GV164" s="188"/>
      <c r="GW164" s="188"/>
      <c r="GX164" s="188"/>
      <c r="GY164" s="188"/>
      <c r="GZ164" s="188"/>
      <c r="HA164" s="188"/>
      <c r="HB164" s="188"/>
      <c r="HC164" s="188"/>
      <c r="HD164" s="188"/>
      <c r="HE164" s="188"/>
      <c r="HF164" s="188"/>
      <c r="HG164" s="188"/>
      <c r="HH164" s="188"/>
      <c r="HI164" s="188"/>
      <c r="HJ164" s="188"/>
      <c r="HK164" s="189"/>
      <c r="HL164" s="187"/>
      <c r="HM164" s="188"/>
      <c r="HN164" s="188"/>
      <c r="HO164" s="188"/>
      <c r="HP164" s="189"/>
      <c r="HW164" s="198"/>
      <c r="HX164" s="199"/>
      <c r="HY164" s="199"/>
      <c r="HZ164" s="199"/>
      <c r="IA164" s="199"/>
      <c r="IB164" s="199"/>
      <c r="IC164" s="199"/>
      <c r="ID164" s="199"/>
      <c r="IE164" s="199"/>
      <c r="IF164" s="199"/>
      <c r="IG164" s="199"/>
      <c r="IH164" s="199"/>
      <c r="II164" s="199"/>
      <c r="IJ164" s="199"/>
      <c r="IK164" s="199"/>
      <c r="IL164" s="199"/>
      <c r="IM164" s="199"/>
      <c r="IN164" s="199"/>
      <c r="IO164" s="199"/>
      <c r="IP164" s="199"/>
      <c r="IQ164" s="199"/>
      <c r="IR164" s="199"/>
      <c r="IS164" s="199"/>
      <c r="IT164" s="199"/>
      <c r="IU164" s="199"/>
      <c r="IV164" s="199"/>
      <c r="IW164" s="199"/>
      <c r="IX164" s="199"/>
      <c r="IY164" s="199"/>
      <c r="IZ164" s="199"/>
      <c r="JA164" s="199"/>
      <c r="JB164" s="199"/>
      <c r="JC164" s="199"/>
      <c r="JD164" s="199"/>
      <c r="JE164" s="199"/>
      <c r="JF164" s="199"/>
      <c r="JG164" s="199"/>
      <c r="JH164" s="199"/>
      <c r="JI164" s="199"/>
      <c r="JJ164" s="199"/>
      <c r="JK164" s="204"/>
      <c r="JL164" s="204"/>
      <c r="JM164" s="204"/>
      <c r="JN164" s="204"/>
      <c r="JO164" s="204"/>
      <c r="JP164" s="204"/>
      <c r="JQ164" s="19"/>
      <c r="JV164" s="155"/>
      <c r="KA164" s="16"/>
      <c r="KC164" s="187"/>
      <c r="KD164" s="188"/>
      <c r="KE164" s="188"/>
      <c r="KF164" s="188"/>
      <c r="KG164" s="188"/>
      <c r="KH164" s="188"/>
      <c r="KI164" s="188"/>
      <c r="KJ164" s="188"/>
      <c r="KK164" s="188"/>
      <c r="KL164" s="188"/>
      <c r="KM164" s="188"/>
      <c r="KN164" s="188"/>
      <c r="KO164" s="188"/>
      <c r="KP164" s="188"/>
      <c r="KQ164" s="188"/>
      <c r="KR164" s="188"/>
      <c r="KS164" s="188"/>
      <c r="KT164" s="188"/>
      <c r="KU164" s="188"/>
      <c r="KV164" s="188"/>
      <c r="KW164" s="188"/>
      <c r="KX164" s="188"/>
      <c r="KY164" s="188"/>
      <c r="KZ164" s="188"/>
      <c r="LA164" s="188"/>
      <c r="LB164" s="188"/>
      <c r="LC164" s="188"/>
      <c r="LD164" s="188"/>
      <c r="LE164" s="188"/>
      <c r="LF164" s="188"/>
      <c r="LG164" s="188"/>
      <c r="LH164" s="188"/>
      <c r="LI164" s="188"/>
      <c r="LJ164" s="188"/>
      <c r="LK164" s="188"/>
      <c r="LL164" s="188"/>
      <c r="LM164" s="188"/>
      <c r="LN164" s="188"/>
      <c r="LO164" s="188"/>
      <c r="LP164" s="188"/>
      <c r="LQ164" s="189"/>
      <c r="LR164" s="187"/>
      <c r="LS164" s="188"/>
      <c r="LT164" s="188"/>
      <c r="LU164" s="188"/>
      <c r="LV164" s="189"/>
      <c r="MK164" s="12"/>
      <c r="ML164" s="7"/>
      <c r="MM164" s="3"/>
      <c r="MN164" s="3"/>
      <c r="MO164" s="3"/>
      <c r="MP164" s="3"/>
      <c r="MQ164" s="2"/>
      <c r="NE164" s="3"/>
      <c r="NF164" s="3"/>
      <c r="NG164" s="3"/>
      <c r="NH164" s="3"/>
      <c r="NI164" s="3"/>
      <c r="NJ164" s="2"/>
    </row>
    <row r="165" spans="3:374" ht="5.0999999999999996" customHeight="1" x14ac:dyDescent="0.3">
      <c r="C165" s="11"/>
      <c r="D165" s="13"/>
      <c r="Q165" s="187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  <c r="BD165" s="188"/>
      <c r="BE165" s="189"/>
      <c r="BF165" s="187"/>
      <c r="BG165" s="188"/>
      <c r="BH165" s="188"/>
      <c r="BI165" s="188"/>
      <c r="BJ165" s="189"/>
      <c r="CC165" s="187"/>
      <c r="CD165" s="188"/>
      <c r="CE165" s="188"/>
      <c r="CF165" s="188"/>
      <c r="CG165" s="188"/>
      <c r="CH165" s="188"/>
      <c r="CI165" s="188"/>
      <c r="CJ165" s="188"/>
      <c r="CK165" s="188"/>
      <c r="CL165" s="188"/>
      <c r="CM165" s="188"/>
      <c r="CN165" s="188"/>
      <c r="CO165" s="188"/>
      <c r="CP165" s="188"/>
      <c r="CQ165" s="188"/>
      <c r="CR165" s="188"/>
      <c r="CS165" s="188"/>
      <c r="CT165" s="188"/>
      <c r="CU165" s="188"/>
      <c r="CV165" s="188"/>
      <c r="CW165" s="188"/>
      <c r="CX165" s="188"/>
      <c r="CY165" s="188"/>
      <c r="CZ165" s="188"/>
      <c r="DA165" s="188"/>
      <c r="DB165" s="188"/>
      <c r="DC165" s="188"/>
      <c r="DD165" s="188"/>
      <c r="DE165" s="188"/>
      <c r="DF165" s="188"/>
      <c r="DG165" s="188"/>
      <c r="DH165" s="188"/>
      <c r="DI165" s="188"/>
      <c r="DJ165" s="188"/>
      <c r="DK165" s="188"/>
      <c r="DL165" s="188"/>
      <c r="DM165" s="188"/>
      <c r="DN165" s="188"/>
      <c r="DO165" s="188"/>
      <c r="DP165" s="189"/>
      <c r="DQ165" s="187"/>
      <c r="DR165" s="188"/>
      <c r="DS165" s="188"/>
      <c r="DT165" s="188"/>
      <c r="DU165" s="189"/>
      <c r="EA165" s="187"/>
      <c r="EB165" s="188"/>
      <c r="EC165" s="188"/>
      <c r="ED165" s="188"/>
      <c r="EE165" s="188"/>
      <c r="EF165" s="188"/>
      <c r="EG165" s="188"/>
      <c r="EH165" s="188"/>
      <c r="EI165" s="188"/>
      <c r="EJ165" s="188"/>
      <c r="EK165" s="188"/>
      <c r="EL165" s="188"/>
      <c r="EM165" s="188"/>
      <c r="EN165" s="188"/>
      <c r="EO165" s="188"/>
      <c r="EP165" s="188"/>
      <c r="EQ165" s="188"/>
      <c r="ER165" s="188"/>
      <c r="ES165" s="188"/>
      <c r="ET165" s="188"/>
      <c r="EU165" s="188"/>
      <c r="EV165" s="188"/>
      <c r="EW165" s="188"/>
      <c r="EX165" s="188"/>
      <c r="EY165" s="188"/>
      <c r="EZ165" s="188"/>
      <c r="FA165" s="188"/>
      <c r="FB165" s="188"/>
      <c r="FC165" s="188"/>
      <c r="FD165" s="188"/>
      <c r="FE165" s="188"/>
      <c r="FF165" s="188"/>
      <c r="FG165" s="188"/>
      <c r="FH165" s="188"/>
      <c r="FI165" s="188"/>
      <c r="FJ165" s="188"/>
      <c r="FK165" s="188"/>
      <c r="FL165" s="188"/>
      <c r="FM165" s="188"/>
      <c r="FN165" s="189"/>
      <c r="FO165" s="187"/>
      <c r="FP165" s="188"/>
      <c r="FQ165" s="188"/>
      <c r="FR165" s="188"/>
      <c r="FS165" s="189"/>
      <c r="FX165" s="187"/>
      <c r="FY165" s="188"/>
      <c r="FZ165" s="188"/>
      <c r="GA165" s="188"/>
      <c r="GB165" s="188"/>
      <c r="GC165" s="188"/>
      <c r="GD165" s="188"/>
      <c r="GE165" s="188"/>
      <c r="GF165" s="188"/>
      <c r="GG165" s="188"/>
      <c r="GH165" s="188"/>
      <c r="GI165" s="188"/>
      <c r="GJ165" s="188"/>
      <c r="GK165" s="188"/>
      <c r="GL165" s="188"/>
      <c r="GM165" s="188"/>
      <c r="GN165" s="188"/>
      <c r="GO165" s="188"/>
      <c r="GP165" s="188"/>
      <c r="GQ165" s="188"/>
      <c r="GR165" s="188"/>
      <c r="GS165" s="188"/>
      <c r="GT165" s="188"/>
      <c r="GU165" s="188"/>
      <c r="GV165" s="188"/>
      <c r="GW165" s="188"/>
      <c r="GX165" s="188"/>
      <c r="GY165" s="188"/>
      <c r="GZ165" s="188"/>
      <c r="HA165" s="188"/>
      <c r="HB165" s="188"/>
      <c r="HC165" s="188"/>
      <c r="HD165" s="188"/>
      <c r="HE165" s="188"/>
      <c r="HF165" s="188"/>
      <c r="HG165" s="188"/>
      <c r="HH165" s="188"/>
      <c r="HI165" s="188"/>
      <c r="HJ165" s="188"/>
      <c r="HK165" s="189"/>
      <c r="HL165" s="187"/>
      <c r="HM165" s="188"/>
      <c r="HN165" s="188"/>
      <c r="HO165" s="188"/>
      <c r="HP165" s="189"/>
      <c r="HW165" s="198"/>
      <c r="HX165" s="199"/>
      <c r="HY165" s="199"/>
      <c r="HZ165" s="199"/>
      <c r="IA165" s="199"/>
      <c r="IB165" s="199"/>
      <c r="IC165" s="199"/>
      <c r="ID165" s="199"/>
      <c r="IE165" s="199"/>
      <c r="IF165" s="199"/>
      <c r="IG165" s="199"/>
      <c r="IH165" s="199"/>
      <c r="II165" s="199"/>
      <c r="IJ165" s="199"/>
      <c r="IK165" s="199"/>
      <c r="IL165" s="199"/>
      <c r="IM165" s="199"/>
      <c r="IN165" s="199"/>
      <c r="IO165" s="199"/>
      <c r="IP165" s="199"/>
      <c r="IQ165" s="199"/>
      <c r="IR165" s="199"/>
      <c r="IS165" s="199"/>
      <c r="IT165" s="199"/>
      <c r="IU165" s="199"/>
      <c r="IV165" s="199"/>
      <c r="IW165" s="199"/>
      <c r="IX165" s="199"/>
      <c r="IY165" s="199"/>
      <c r="IZ165" s="199"/>
      <c r="JA165" s="199"/>
      <c r="JB165" s="199"/>
      <c r="JC165" s="199"/>
      <c r="JD165" s="199"/>
      <c r="JE165" s="199"/>
      <c r="JF165" s="199"/>
      <c r="JG165" s="199"/>
      <c r="JH165" s="199"/>
      <c r="JI165" s="199"/>
      <c r="JJ165" s="199"/>
      <c r="JK165" s="204"/>
      <c r="JL165" s="204"/>
      <c r="JM165" s="204"/>
      <c r="JN165" s="204"/>
      <c r="JO165" s="204"/>
      <c r="JP165" s="204"/>
      <c r="JQ165" s="19"/>
      <c r="JV165" s="155"/>
      <c r="KA165" s="16"/>
      <c r="KC165" s="187"/>
      <c r="KD165" s="188"/>
      <c r="KE165" s="188"/>
      <c r="KF165" s="188"/>
      <c r="KG165" s="188"/>
      <c r="KH165" s="188"/>
      <c r="KI165" s="188"/>
      <c r="KJ165" s="188"/>
      <c r="KK165" s="188"/>
      <c r="KL165" s="188"/>
      <c r="KM165" s="188"/>
      <c r="KN165" s="188"/>
      <c r="KO165" s="188"/>
      <c r="KP165" s="188"/>
      <c r="KQ165" s="188"/>
      <c r="KR165" s="188"/>
      <c r="KS165" s="188"/>
      <c r="KT165" s="188"/>
      <c r="KU165" s="188"/>
      <c r="KV165" s="188"/>
      <c r="KW165" s="188"/>
      <c r="KX165" s="188"/>
      <c r="KY165" s="188"/>
      <c r="KZ165" s="188"/>
      <c r="LA165" s="188"/>
      <c r="LB165" s="188"/>
      <c r="LC165" s="188"/>
      <c r="LD165" s="188"/>
      <c r="LE165" s="188"/>
      <c r="LF165" s="188"/>
      <c r="LG165" s="188"/>
      <c r="LH165" s="188"/>
      <c r="LI165" s="188"/>
      <c r="LJ165" s="188"/>
      <c r="LK165" s="188"/>
      <c r="LL165" s="188"/>
      <c r="LM165" s="188"/>
      <c r="LN165" s="188"/>
      <c r="LO165" s="188"/>
      <c r="LP165" s="188"/>
      <c r="LQ165" s="189"/>
      <c r="LR165" s="187"/>
      <c r="LS165" s="188"/>
      <c r="LT165" s="188"/>
      <c r="LU165" s="188"/>
      <c r="LV165" s="189"/>
      <c r="MK165" s="12"/>
      <c r="ML165" s="7"/>
      <c r="MM165" s="3"/>
      <c r="MN165" s="3"/>
      <c r="MO165" s="3"/>
      <c r="MP165" s="3"/>
      <c r="MQ165" s="2"/>
      <c r="NE165" s="3"/>
      <c r="NF165" s="3"/>
      <c r="NG165" s="3"/>
      <c r="NH165" s="3"/>
      <c r="NI165" s="3"/>
      <c r="NJ165" s="2"/>
    </row>
    <row r="166" spans="3:374" ht="5.0999999999999996" customHeight="1" x14ac:dyDescent="0.3">
      <c r="C166" s="11"/>
      <c r="D166" s="13"/>
      <c r="Q166" s="187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  <c r="BD166" s="188"/>
      <c r="BE166" s="189"/>
      <c r="BF166" s="187"/>
      <c r="BG166" s="188"/>
      <c r="BH166" s="188"/>
      <c r="BI166" s="188"/>
      <c r="BJ166" s="189"/>
      <c r="CC166" s="187"/>
      <c r="CD166" s="188"/>
      <c r="CE166" s="188"/>
      <c r="CF166" s="188"/>
      <c r="CG166" s="188"/>
      <c r="CH166" s="188"/>
      <c r="CI166" s="188"/>
      <c r="CJ166" s="188"/>
      <c r="CK166" s="188"/>
      <c r="CL166" s="188"/>
      <c r="CM166" s="188"/>
      <c r="CN166" s="188"/>
      <c r="CO166" s="188"/>
      <c r="CP166" s="188"/>
      <c r="CQ166" s="188"/>
      <c r="CR166" s="188"/>
      <c r="CS166" s="188"/>
      <c r="CT166" s="188"/>
      <c r="CU166" s="188"/>
      <c r="CV166" s="188"/>
      <c r="CW166" s="188"/>
      <c r="CX166" s="188"/>
      <c r="CY166" s="188"/>
      <c r="CZ166" s="188"/>
      <c r="DA166" s="188"/>
      <c r="DB166" s="188"/>
      <c r="DC166" s="188"/>
      <c r="DD166" s="188"/>
      <c r="DE166" s="188"/>
      <c r="DF166" s="188"/>
      <c r="DG166" s="188"/>
      <c r="DH166" s="188"/>
      <c r="DI166" s="188"/>
      <c r="DJ166" s="188"/>
      <c r="DK166" s="188"/>
      <c r="DL166" s="188"/>
      <c r="DM166" s="188"/>
      <c r="DN166" s="188"/>
      <c r="DO166" s="188"/>
      <c r="DP166" s="189"/>
      <c r="DQ166" s="187"/>
      <c r="DR166" s="188"/>
      <c r="DS166" s="188"/>
      <c r="DT166" s="188"/>
      <c r="DU166" s="189"/>
      <c r="EA166" s="187"/>
      <c r="EB166" s="188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R166" s="188"/>
      <c r="ES166" s="188"/>
      <c r="ET166" s="188"/>
      <c r="EU166" s="188"/>
      <c r="EV166" s="188"/>
      <c r="EW166" s="188"/>
      <c r="EX166" s="188"/>
      <c r="EY166" s="188"/>
      <c r="EZ166" s="188"/>
      <c r="FA166" s="188"/>
      <c r="FB166" s="188"/>
      <c r="FC166" s="188"/>
      <c r="FD166" s="188"/>
      <c r="FE166" s="188"/>
      <c r="FF166" s="188"/>
      <c r="FG166" s="188"/>
      <c r="FH166" s="188"/>
      <c r="FI166" s="188"/>
      <c r="FJ166" s="188"/>
      <c r="FK166" s="188"/>
      <c r="FL166" s="188"/>
      <c r="FM166" s="188"/>
      <c r="FN166" s="189"/>
      <c r="FO166" s="187"/>
      <c r="FP166" s="188"/>
      <c r="FQ166" s="188"/>
      <c r="FR166" s="188"/>
      <c r="FS166" s="189"/>
      <c r="FX166" s="187"/>
      <c r="FY166" s="188"/>
      <c r="FZ166" s="188"/>
      <c r="GA166" s="188"/>
      <c r="GB166" s="188"/>
      <c r="GC166" s="188"/>
      <c r="GD166" s="188"/>
      <c r="GE166" s="188"/>
      <c r="GF166" s="188"/>
      <c r="GG166" s="188"/>
      <c r="GH166" s="188"/>
      <c r="GI166" s="188"/>
      <c r="GJ166" s="188"/>
      <c r="GK166" s="188"/>
      <c r="GL166" s="188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  <c r="GY166" s="188"/>
      <c r="GZ166" s="188"/>
      <c r="HA166" s="188"/>
      <c r="HB166" s="188"/>
      <c r="HC166" s="188"/>
      <c r="HD166" s="188"/>
      <c r="HE166" s="188"/>
      <c r="HF166" s="188"/>
      <c r="HG166" s="188"/>
      <c r="HH166" s="188"/>
      <c r="HI166" s="188"/>
      <c r="HJ166" s="188"/>
      <c r="HK166" s="189"/>
      <c r="HL166" s="187"/>
      <c r="HM166" s="188"/>
      <c r="HN166" s="188"/>
      <c r="HO166" s="188"/>
      <c r="HP166" s="189"/>
      <c r="HW166" s="198"/>
      <c r="HX166" s="199"/>
      <c r="HY166" s="199"/>
      <c r="HZ166" s="199"/>
      <c r="IA166" s="199"/>
      <c r="IB166" s="199"/>
      <c r="IC166" s="199"/>
      <c r="ID166" s="199"/>
      <c r="IE166" s="199"/>
      <c r="IF166" s="199"/>
      <c r="IG166" s="199"/>
      <c r="IH166" s="199"/>
      <c r="II166" s="199"/>
      <c r="IJ166" s="199"/>
      <c r="IK166" s="199"/>
      <c r="IL166" s="199"/>
      <c r="IM166" s="199"/>
      <c r="IN166" s="199"/>
      <c r="IO166" s="199"/>
      <c r="IP166" s="199"/>
      <c r="IQ166" s="199"/>
      <c r="IR166" s="199"/>
      <c r="IS166" s="199"/>
      <c r="IT166" s="199"/>
      <c r="IU166" s="199"/>
      <c r="IV166" s="199"/>
      <c r="IW166" s="199"/>
      <c r="IX166" s="199"/>
      <c r="IY166" s="199"/>
      <c r="IZ166" s="199"/>
      <c r="JA166" s="199"/>
      <c r="JB166" s="199"/>
      <c r="JC166" s="199"/>
      <c r="JD166" s="199"/>
      <c r="JE166" s="199"/>
      <c r="JF166" s="199"/>
      <c r="JG166" s="199"/>
      <c r="JH166" s="199"/>
      <c r="JI166" s="199"/>
      <c r="JJ166" s="199"/>
      <c r="JK166" s="204"/>
      <c r="JL166" s="204"/>
      <c r="JM166" s="204"/>
      <c r="JN166" s="204"/>
      <c r="JO166" s="204"/>
      <c r="JP166" s="204"/>
      <c r="JQ166" s="19"/>
      <c r="JV166" s="155"/>
      <c r="KA166" s="16"/>
      <c r="KC166" s="187"/>
      <c r="KD166" s="188"/>
      <c r="KE166" s="188"/>
      <c r="KF166" s="188"/>
      <c r="KG166" s="188"/>
      <c r="KH166" s="188"/>
      <c r="KI166" s="188"/>
      <c r="KJ166" s="188"/>
      <c r="KK166" s="188"/>
      <c r="KL166" s="188"/>
      <c r="KM166" s="188"/>
      <c r="KN166" s="188"/>
      <c r="KO166" s="188"/>
      <c r="KP166" s="188"/>
      <c r="KQ166" s="188"/>
      <c r="KR166" s="188"/>
      <c r="KS166" s="188"/>
      <c r="KT166" s="188"/>
      <c r="KU166" s="188"/>
      <c r="KV166" s="188"/>
      <c r="KW166" s="188"/>
      <c r="KX166" s="188"/>
      <c r="KY166" s="188"/>
      <c r="KZ166" s="188"/>
      <c r="LA166" s="188"/>
      <c r="LB166" s="188"/>
      <c r="LC166" s="188"/>
      <c r="LD166" s="188"/>
      <c r="LE166" s="188"/>
      <c r="LF166" s="188"/>
      <c r="LG166" s="188"/>
      <c r="LH166" s="188"/>
      <c r="LI166" s="188"/>
      <c r="LJ166" s="188"/>
      <c r="LK166" s="188"/>
      <c r="LL166" s="188"/>
      <c r="LM166" s="188"/>
      <c r="LN166" s="188"/>
      <c r="LO166" s="188"/>
      <c r="LP166" s="188"/>
      <c r="LQ166" s="189"/>
      <c r="LR166" s="187"/>
      <c r="LS166" s="188"/>
      <c r="LT166" s="188"/>
      <c r="LU166" s="188"/>
      <c r="LV166" s="189"/>
      <c r="MK166" s="12"/>
      <c r="ML166" s="7"/>
      <c r="MM166" s="3"/>
      <c r="MN166" s="3"/>
      <c r="MO166" s="3"/>
      <c r="MP166" s="3"/>
      <c r="MQ166" s="2"/>
      <c r="NE166" s="3"/>
      <c r="NF166" s="3"/>
      <c r="NG166" s="3"/>
      <c r="NH166" s="3"/>
      <c r="NI166" s="3"/>
      <c r="NJ166" s="2"/>
    </row>
    <row r="167" spans="3:374" ht="5.0999999999999996" customHeight="1" x14ac:dyDescent="0.3">
      <c r="C167" s="11"/>
      <c r="D167" s="13"/>
      <c r="Q167" s="187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  <c r="BD167" s="188"/>
      <c r="BE167" s="189"/>
      <c r="BF167" s="187"/>
      <c r="BG167" s="188"/>
      <c r="BH167" s="188"/>
      <c r="BI167" s="188"/>
      <c r="BJ167" s="189"/>
      <c r="CC167" s="187"/>
      <c r="CD167" s="188"/>
      <c r="CE167" s="188"/>
      <c r="CF167" s="188"/>
      <c r="CG167" s="188"/>
      <c r="CH167" s="188"/>
      <c r="CI167" s="188"/>
      <c r="CJ167" s="188"/>
      <c r="CK167" s="188"/>
      <c r="CL167" s="188"/>
      <c r="CM167" s="188"/>
      <c r="CN167" s="188"/>
      <c r="CO167" s="188"/>
      <c r="CP167" s="188"/>
      <c r="CQ167" s="188"/>
      <c r="CR167" s="188"/>
      <c r="CS167" s="188"/>
      <c r="CT167" s="188"/>
      <c r="CU167" s="188"/>
      <c r="CV167" s="188"/>
      <c r="CW167" s="188"/>
      <c r="CX167" s="188"/>
      <c r="CY167" s="188"/>
      <c r="CZ167" s="188"/>
      <c r="DA167" s="188"/>
      <c r="DB167" s="188"/>
      <c r="DC167" s="188"/>
      <c r="DD167" s="188"/>
      <c r="DE167" s="188"/>
      <c r="DF167" s="188"/>
      <c r="DG167" s="188"/>
      <c r="DH167" s="188"/>
      <c r="DI167" s="188"/>
      <c r="DJ167" s="188"/>
      <c r="DK167" s="188"/>
      <c r="DL167" s="188"/>
      <c r="DM167" s="188"/>
      <c r="DN167" s="188"/>
      <c r="DO167" s="188"/>
      <c r="DP167" s="189"/>
      <c r="DQ167" s="187"/>
      <c r="DR167" s="188"/>
      <c r="DS167" s="188"/>
      <c r="DT167" s="188"/>
      <c r="DU167" s="189"/>
      <c r="EA167" s="187"/>
      <c r="EB167" s="188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R167" s="188"/>
      <c r="ES167" s="188"/>
      <c r="ET167" s="188"/>
      <c r="EU167" s="188"/>
      <c r="EV167" s="188"/>
      <c r="EW167" s="188"/>
      <c r="EX167" s="188"/>
      <c r="EY167" s="188"/>
      <c r="EZ167" s="188"/>
      <c r="FA167" s="188"/>
      <c r="FB167" s="188"/>
      <c r="FC167" s="188"/>
      <c r="FD167" s="188"/>
      <c r="FE167" s="188"/>
      <c r="FF167" s="188"/>
      <c r="FG167" s="188"/>
      <c r="FH167" s="188"/>
      <c r="FI167" s="188"/>
      <c r="FJ167" s="188"/>
      <c r="FK167" s="188"/>
      <c r="FL167" s="188"/>
      <c r="FM167" s="188"/>
      <c r="FN167" s="189"/>
      <c r="FO167" s="187"/>
      <c r="FP167" s="188"/>
      <c r="FQ167" s="188"/>
      <c r="FR167" s="188"/>
      <c r="FS167" s="189"/>
      <c r="FX167" s="187"/>
      <c r="FY167" s="188"/>
      <c r="FZ167" s="188"/>
      <c r="GA167" s="188"/>
      <c r="GB167" s="188"/>
      <c r="GC167" s="188"/>
      <c r="GD167" s="188"/>
      <c r="GE167" s="188"/>
      <c r="GF167" s="188"/>
      <c r="GG167" s="188"/>
      <c r="GH167" s="188"/>
      <c r="GI167" s="188"/>
      <c r="GJ167" s="188"/>
      <c r="GK167" s="188"/>
      <c r="GL167" s="188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  <c r="GY167" s="188"/>
      <c r="GZ167" s="188"/>
      <c r="HA167" s="188"/>
      <c r="HB167" s="188"/>
      <c r="HC167" s="188"/>
      <c r="HD167" s="188"/>
      <c r="HE167" s="188"/>
      <c r="HF167" s="188"/>
      <c r="HG167" s="188"/>
      <c r="HH167" s="188"/>
      <c r="HI167" s="188"/>
      <c r="HJ167" s="188"/>
      <c r="HK167" s="189"/>
      <c r="HL167" s="187"/>
      <c r="HM167" s="188"/>
      <c r="HN167" s="188"/>
      <c r="HO167" s="188"/>
      <c r="HP167" s="189"/>
      <c r="HW167" s="198"/>
      <c r="HX167" s="199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  <c r="IW167" s="199"/>
      <c r="IX167" s="199"/>
      <c r="IY167" s="199"/>
      <c r="IZ167" s="199"/>
      <c r="JA167" s="199"/>
      <c r="JB167" s="199"/>
      <c r="JC167" s="199"/>
      <c r="JD167" s="199"/>
      <c r="JE167" s="199"/>
      <c r="JF167" s="199"/>
      <c r="JG167" s="199"/>
      <c r="JH167" s="199"/>
      <c r="JI167" s="199"/>
      <c r="JJ167" s="199"/>
      <c r="JK167" s="204"/>
      <c r="JL167" s="204"/>
      <c r="JM167" s="204"/>
      <c r="JN167" s="204"/>
      <c r="JO167" s="204"/>
      <c r="JP167" s="204"/>
      <c r="JQ167" s="19"/>
      <c r="JV167" s="155"/>
      <c r="KA167" s="16"/>
      <c r="KC167" s="187"/>
      <c r="KD167" s="188"/>
      <c r="KE167" s="188"/>
      <c r="KF167" s="188"/>
      <c r="KG167" s="188"/>
      <c r="KH167" s="188"/>
      <c r="KI167" s="188"/>
      <c r="KJ167" s="188"/>
      <c r="KK167" s="188"/>
      <c r="KL167" s="188"/>
      <c r="KM167" s="188"/>
      <c r="KN167" s="188"/>
      <c r="KO167" s="188"/>
      <c r="KP167" s="188"/>
      <c r="KQ167" s="188"/>
      <c r="KR167" s="188"/>
      <c r="KS167" s="188"/>
      <c r="KT167" s="188"/>
      <c r="KU167" s="188"/>
      <c r="KV167" s="188"/>
      <c r="KW167" s="188"/>
      <c r="KX167" s="188"/>
      <c r="KY167" s="188"/>
      <c r="KZ167" s="188"/>
      <c r="LA167" s="188"/>
      <c r="LB167" s="188"/>
      <c r="LC167" s="188"/>
      <c r="LD167" s="188"/>
      <c r="LE167" s="188"/>
      <c r="LF167" s="188"/>
      <c r="LG167" s="188"/>
      <c r="LH167" s="188"/>
      <c r="LI167" s="188"/>
      <c r="LJ167" s="188"/>
      <c r="LK167" s="188"/>
      <c r="LL167" s="188"/>
      <c r="LM167" s="188"/>
      <c r="LN167" s="188"/>
      <c r="LO167" s="188"/>
      <c r="LP167" s="188"/>
      <c r="LQ167" s="189"/>
      <c r="LR167" s="187"/>
      <c r="LS167" s="188"/>
      <c r="LT167" s="188"/>
      <c r="LU167" s="188"/>
      <c r="LV167" s="189"/>
      <c r="MK167" s="12"/>
      <c r="ML167" s="7"/>
      <c r="MM167" s="3"/>
      <c r="MN167" s="3"/>
      <c r="MO167" s="3"/>
      <c r="MP167" s="3"/>
      <c r="MQ167" s="2"/>
      <c r="NE167" s="3"/>
      <c r="NF167" s="3"/>
      <c r="NG167" s="3"/>
      <c r="NH167" s="3"/>
      <c r="NI167" s="3"/>
      <c r="NJ167" s="2"/>
    </row>
    <row r="168" spans="3:374" ht="5.0999999999999996" customHeight="1" x14ac:dyDescent="0.3">
      <c r="C168" s="11"/>
      <c r="D168" s="13"/>
      <c r="Q168" s="187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  <c r="BD168" s="188"/>
      <c r="BE168" s="189"/>
      <c r="BF168" s="187"/>
      <c r="BG168" s="188"/>
      <c r="BH168" s="188"/>
      <c r="BI168" s="188"/>
      <c r="BJ168" s="189"/>
      <c r="CC168" s="187"/>
      <c r="CD168" s="188"/>
      <c r="CE168" s="188"/>
      <c r="CF168" s="188"/>
      <c r="CG168" s="188"/>
      <c r="CH168" s="188"/>
      <c r="CI168" s="188"/>
      <c r="CJ168" s="188"/>
      <c r="CK168" s="188"/>
      <c r="CL168" s="188"/>
      <c r="CM168" s="188"/>
      <c r="CN168" s="188"/>
      <c r="CO168" s="188"/>
      <c r="CP168" s="188"/>
      <c r="CQ168" s="188"/>
      <c r="CR168" s="188"/>
      <c r="CS168" s="188"/>
      <c r="CT168" s="188"/>
      <c r="CU168" s="188"/>
      <c r="CV168" s="188"/>
      <c r="CW168" s="188"/>
      <c r="CX168" s="188"/>
      <c r="CY168" s="188"/>
      <c r="CZ168" s="188"/>
      <c r="DA168" s="188"/>
      <c r="DB168" s="188"/>
      <c r="DC168" s="188"/>
      <c r="DD168" s="188"/>
      <c r="DE168" s="188"/>
      <c r="DF168" s="188"/>
      <c r="DG168" s="188"/>
      <c r="DH168" s="188"/>
      <c r="DI168" s="188"/>
      <c r="DJ168" s="188"/>
      <c r="DK168" s="188"/>
      <c r="DL168" s="188"/>
      <c r="DM168" s="188"/>
      <c r="DN168" s="188"/>
      <c r="DO168" s="188"/>
      <c r="DP168" s="189"/>
      <c r="DQ168" s="187"/>
      <c r="DR168" s="188"/>
      <c r="DS168" s="188"/>
      <c r="DT168" s="188"/>
      <c r="DU168" s="189"/>
      <c r="EA168" s="187"/>
      <c r="EB168" s="188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R168" s="188"/>
      <c r="ES168" s="188"/>
      <c r="ET168" s="188"/>
      <c r="EU168" s="188"/>
      <c r="EV168" s="188"/>
      <c r="EW168" s="188"/>
      <c r="EX168" s="188"/>
      <c r="EY168" s="188"/>
      <c r="EZ168" s="188"/>
      <c r="FA168" s="188"/>
      <c r="FB168" s="188"/>
      <c r="FC168" s="188"/>
      <c r="FD168" s="188"/>
      <c r="FE168" s="188"/>
      <c r="FF168" s="188"/>
      <c r="FG168" s="188"/>
      <c r="FH168" s="188"/>
      <c r="FI168" s="188"/>
      <c r="FJ168" s="188"/>
      <c r="FK168" s="188"/>
      <c r="FL168" s="188"/>
      <c r="FM168" s="188"/>
      <c r="FN168" s="189"/>
      <c r="FO168" s="187"/>
      <c r="FP168" s="188"/>
      <c r="FQ168" s="188"/>
      <c r="FR168" s="188"/>
      <c r="FS168" s="189"/>
      <c r="FX168" s="187"/>
      <c r="FY168" s="188"/>
      <c r="FZ168" s="188"/>
      <c r="GA168" s="188"/>
      <c r="GB168" s="188"/>
      <c r="GC168" s="188"/>
      <c r="GD168" s="188"/>
      <c r="GE168" s="188"/>
      <c r="GF168" s="188"/>
      <c r="GG168" s="188"/>
      <c r="GH168" s="188"/>
      <c r="GI168" s="188"/>
      <c r="GJ168" s="188"/>
      <c r="GK168" s="188"/>
      <c r="GL168" s="188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  <c r="GY168" s="188"/>
      <c r="GZ168" s="188"/>
      <c r="HA168" s="188"/>
      <c r="HB168" s="188"/>
      <c r="HC168" s="188"/>
      <c r="HD168" s="188"/>
      <c r="HE168" s="188"/>
      <c r="HF168" s="188"/>
      <c r="HG168" s="188"/>
      <c r="HH168" s="188"/>
      <c r="HI168" s="188"/>
      <c r="HJ168" s="188"/>
      <c r="HK168" s="189"/>
      <c r="HL168" s="187"/>
      <c r="HM168" s="188"/>
      <c r="HN168" s="188"/>
      <c r="HO168" s="188"/>
      <c r="HP168" s="189"/>
      <c r="HW168" s="198"/>
      <c r="HX168" s="199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  <c r="IW168" s="199"/>
      <c r="IX168" s="199"/>
      <c r="IY168" s="199"/>
      <c r="IZ168" s="199"/>
      <c r="JA168" s="199"/>
      <c r="JB168" s="199"/>
      <c r="JC168" s="199"/>
      <c r="JD168" s="199"/>
      <c r="JE168" s="199"/>
      <c r="JF168" s="199"/>
      <c r="JG168" s="199"/>
      <c r="JH168" s="199"/>
      <c r="JI168" s="199"/>
      <c r="JJ168" s="199"/>
      <c r="JK168" s="204"/>
      <c r="JL168" s="204"/>
      <c r="JM168" s="204"/>
      <c r="JN168" s="204"/>
      <c r="JO168" s="204"/>
      <c r="JP168" s="204"/>
      <c r="JQ168" s="19"/>
      <c r="JV168" s="155"/>
      <c r="KA168" s="16"/>
      <c r="KC168" s="190"/>
      <c r="KD168" s="191"/>
      <c r="KE168" s="191"/>
      <c r="KF168" s="191"/>
      <c r="KG168" s="191"/>
      <c r="KH168" s="191"/>
      <c r="KI168" s="191"/>
      <c r="KJ168" s="191"/>
      <c r="KK168" s="191"/>
      <c r="KL168" s="191"/>
      <c r="KM168" s="191"/>
      <c r="KN168" s="191"/>
      <c r="KO168" s="191"/>
      <c r="KP168" s="191"/>
      <c r="KQ168" s="191"/>
      <c r="KR168" s="191"/>
      <c r="KS168" s="191"/>
      <c r="KT168" s="191"/>
      <c r="KU168" s="191"/>
      <c r="KV168" s="191"/>
      <c r="KW168" s="191"/>
      <c r="KX168" s="191"/>
      <c r="KY168" s="191"/>
      <c r="KZ168" s="191"/>
      <c r="LA168" s="191"/>
      <c r="LB168" s="191"/>
      <c r="LC168" s="191"/>
      <c r="LD168" s="191"/>
      <c r="LE168" s="191"/>
      <c r="LF168" s="191"/>
      <c r="LG168" s="191"/>
      <c r="LH168" s="191"/>
      <c r="LI168" s="191"/>
      <c r="LJ168" s="191"/>
      <c r="LK168" s="191"/>
      <c r="LL168" s="191"/>
      <c r="LM168" s="191"/>
      <c r="LN168" s="191"/>
      <c r="LO168" s="191"/>
      <c r="LP168" s="191"/>
      <c r="LQ168" s="192"/>
      <c r="LR168" s="190"/>
      <c r="LS168" s="191"/>
      <c r="LT168" s="191"/>
      <c r="LU168" s="191"/>
      <c r="LV168" s="192"/>
      <c r="MK168" s="12"/>
      <c r="ML168" s="7"/>
      <c r="MM168" s="3"/>
      <c r="MN168" s="3"/>
      <c r="MO168" s="3"/>
      <c r="MP168" s="3"/>
      <c r="MQ168" s="2"/>
      <c r="NE168" s="3"/>
      <c r="NF168" s="3"/>
      <c r="NG168" s="3"/>
      <c r="NH168" s="3"/>
      <c r="NI168" s="3"/>
      <c r="NJ168" s="2"/>
    </row>
    <row r="169" spans="3:374" ht="5.0999999999999996" customHeight="1" x14ac:dyDescent="0.3">
      <c r="C169" s="11"/>
      <c r="D169" s="13"/>
      <c r="Q169" s="187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  <c r="BE169" s="189"/>
      <c r="BF169" s="187"/>
      <c r="BG169" s="188"/>
      <c r="BH169" s="188"/>
      <c r="BI169" s="188"/>
      <c r="BJ169" s="189"/>
      <c r="CC169" s="187"/>
      <c r="CD169" s="188"/>
      <c r="CE169" s="188"/>
      <c r="CF169" s="188"/>
      <c r="CG169" s="188"/>
      <c r="CH169" s="188"/>
      <c r="CI169" s="188"/>
      <c r="CJ169" s="188"/>
      <c r="CK169" s="188"/>
      <c r="CL169" s="188"/>
      <c r="CM169" s="188"/>
      <c r="CN169" s="188"/>
      <c r="CO169" s="188"/>
      <c r="CP169" s="188"/>
      <c r="CQ169" s="188"/>
      <c r="CR169" s="188"/>
      <c r="CS169" s="188"/>
      <c r="CT169" s="188"/>
      <c r="CU169" s="188"/>
      <c r="CV169" s="188"/>
      <c r="CW169" s="188"/>
      <c r="CX169" s="188"/>
      <c r="CY169" s="188"/>
      <c r="CZ169" s="188"/>
      <c r="DA169" s="188"/>
      <c r="DB169" s="188"/>
      <c r="DC169" s="188"/>
      <c r="DD169" s="188"/>
      <c r="DE169" s="188"/>
      <c r="DF169" s="188"/>
      <c r="DG169" s="188"/>
      <c r="DH169" s="188"/>
      <c r="DI169" s="188"/>
      <c r="DJ169" s="188"/>
      <c r="DK169" s="188"/>
      <c r="DL169" s="188"/>
      <c r="DM169" s="188"/>
      <c r="DN169" s="188"/>
      <c r="DO169" s="188"/>
      <c r="DP169" s="189"/>
      <c r="DQ169" s="187"/>
      <c r="DR169" s="188"/>
      <c r="DS169" s="188"/>
      <c r="DT169" s="188"/>
      <c r="DU169" s="189"/>
      <c r="EA169" s="187"/>
      <c r="EB169" s="188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R169" s="188"/>
      <c r="ES169" s="188"/>
      <c r="ET169" s="188"/>
      <c r="EU169" s="188"/>
      <c r="EV169" s="188"/>
      <c r="EW169" s="188"/>
      <c r="EX169" s="188"/>
      <c r="EY169" s="188"/>
      <c r="EZ169" s="188"/>
      <c r="FA169" s="188"/>
      <c r="FB169" s="188"/>
      <c r="FC169" s="188"/>
      <c r="FD169" s="188"/>
      <c r="FE169" s="188"/>
      <c r="FF169" s="188"/>
      <c r="FG169" s="188"/>
      <c r="FH169" s="188"/>
      <c r="FI169" s="188"/>
      <c r="FJ169" s="188"/>
      <c r="FK169" s="188"/>
      <c r="FL169" s="188"/>
      <c r="FM169" s="188"/>
      <c r="FN169" s="189"/>
      <c r="FO169" s="187"/>
      <c r="FP169" s="188"/>
      <c r="FQ169" s="188"/>
      <c r="FR169" s="188"/>
      <c r="FS169" s="189"/>
      <c r="FX169" s="187"/>
      <c r="FY169" s="188"/>
      <c r="FZ169" s="188"/>
      <c r="GA169" s="188"/>
      <c r="GB169" s="188"/>
      <c r="GC169" s="188"/>
      <c r="GD169" s="188"/>
      <c r="GE169" s="188"/>
      <c r="GF169" s="188"/>
      <c r="GG169" s="188"/>
      <c r="GH169" s="188"/>
      <c r="GI169" s="188"/>
      <c r="GJ169" s="188"/>
      <c r="GK169" s="188"/>
      <c r="GL169" s="188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  <c r="GY169" s="188"/>
      <c r="GZ169" s="188"/>
      <c r="HA169" s="188"/>
      <c r="HB169" s="188"/>
      <c r="HC169" s="188"/>
      <c r="HD169" s="188"/>
      <c r="HE169" s="188"/>
      <c r="HF169" s="188"/>
      <c r="HG169" s="188"/>
      <c r="HH169" s="188"/>
      <c r="HI169" s="188"/>
      <c r="HJ169" s="188"/>
      <c r="HK169" s="189"/>
      <c r="HL169" s="187"/>
      <c r="HM169" s="188"/>
      <c r="HN169" s="188"/>
      <c r="HO169" s="188"/>
      <c r="HP169" s="189"/>
      <c r="HW169" s="198"/>
      <c r="HX169" s="199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  <c r="IW169" s="199"/>
      <c r="IX169" s="199"/>
      <c r="IY169" s="199"/>
      <c r="IZ169" s="199"/>
      <c r="JA169" s="199"/>
      <c r="JB169" s="199"/>
      <c r="JC169" s="199"/>
      <c r="JD169" s="199"/>
      <c r="JE169" s="199"/>
      <c r="JF169" s="199"/>
      <c r="JG169" s="199"/>
      <c r="JH169" s="199"/>
      <c r="JI169" s="199"/>
      <c r="JJ169" s="199"/>
      <c r="JK169" s="204"/>
      <c r="JL169" s="204"/>
      <c r="JM169" s="204"/>
      <c r="JN169" s="204"/>
      <c r="JO169" s="204"/>
      <c r="JP169" s="204"/>
      <c r="JQ169" s="53"/>
      <c r="JV169" s="155"/>
      <c r="KA169" s="16"/>
      <c r="KC169" s="184" t="s">
        <v>43</v>
      </c>
      <c r="KD169" s="185"/>
      <c r="KE169" s="185"/>
      <c r="KF169" s="185"/>
      <c r="KG169" s="185"/>
      <c r="KH169" s="185"/>
      <c r="KI169" s="185"/>
      <c r="KJ169" s="185"/>
      <c r="KK169" s="185"/>
      <c r="KL169" s="185"/>
      <c r="KM169" s="185"/>
      <c r="KN169" s="185"/>
      <c r="KO169" s="185"/>
      <c r="KP169" s="185"/>
      <c r="KQ169" s="185"/>
      <c r="KR169" s="185"/>
      <c r="KS169" s="185"/>
      <c r="KT169" s="185"/>
      <c r="KU169" s="185"/>
      <c r="KV169" s="185"/>
      <c r="KW169" s="185"/>
      <c r="KX169" s="185"/>
      <c r="KY169" s="185"/>
      <c r="KZ169" s="185"/>
      <c r="LA169" s="185"/>
      <c r="LB169" s="185"/>
      <c r="LC169" s="185"/>
      <c r="LD169" s="185"/>
      <c r="LE169" s="185"/>
      <c r="LF169" s="185"/>
      <c r="LG169" s="185"/>
      <c r="LH169" s="185"/>
      <c r="LI169" s="185"/>
      <c r="LJ169" s="185"/>
      <c r="LK169" s="185"/>
      <c r="LL169" s="185"/>
      <c r="LM169" s="185"/>
      <c r="LN169" s="185"/>
      <c r="LO169" s="185"/>
      <c r="LP169" s="185"/>
      <c r="LQ169" s="186"/>
      <c r="LR169" s="184">
        <v>1</v>
      </c>
      <c r="LS169" s="185"/>
      <c r="LT169" s="185"/>
      <c r="LU169" s="185"/>
      <c r="LV169" s="186"/>
      <c r="MK169" s="12"/>
      <c r="ML169" s="7"/>
      <c r="MM169" s="3"/>
      <c r="MN169" s="3"/>
      <c r="MO169" s="3"/>
      <c r="MP169" s="3"/>
      <c r="MQ169" s="2"/>
      <c r="NE169" s="3"/>
      <c r="NF169" s="3"/>
      <c r="NG169" s="3"/>
      <c r="NH169" s="3"/>
      <c r="NI169" s="3"/>
      <c r="NJ169" s="2"/>
    </row>
    <row r="170" spans="3:374" ht="5.0999999999999996" customHeight="1" thickBot="1" x14ac:dyDescent="0.35">
      <c r="C170" s="11"/>
      <c r="D170" s="13"/>
      <c r="Q170" s="190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2"/>
      <c r="BF170" s="190"/>
      <c r="BG170" s="191"/>
      <c r="BH170" s="191"/>
      <c r="BI170" s="191"/>
      <c r="BJ170" s="192"/>
      <c r="CC170" s="190"/>
      <c r="CD170" s="191"/>
      <c r="CE170" s="191"/>
      <c r="CF170" s="191"/>
      <c r="CG170" s="191"/>
      <c r="CH170" s="191"/>
      <c r="CI170" s="191"/>
      <c r="CJ170" s="191"/>
      <c r="CK170" s="191"/>
      <c r="CL170" s="191"/>
      <c r="CM170" s="191"/>
      <c r="CN170" s="191"/>
      <c r="CO170" s="191"/>
      <c r="CP170" s="191"/>
      <c r="CQ170" s="191"/>
      <c r="CR170" s="191"/>
      <c r="CS170" s="191"/>
      <c r="CT170" s="191"/>
      <c r="CU170" s="191"/>
      <c r="CV170" s="191"/>
      <c r="CW170" s="191"/>
      <c r="CX170" s="191"/>
      <c r="CY170" s="191"/>
      <c r="CZ170" s="191"/>
      <c r="DA170" s="191"/>
      <c r="DB170" s="191"/>
      <c r="DC170" s="191"/>
      <c r="DD170" s="191"/>
      <c r="DE170" s="191"/>
      <c r="DF170" s="191"/>
      <c r="DG170" s="191"/>
      <c r="DH170" s="191"/>
      <c r="DI170" s="191"/>
      <c r="DJ170" s="191"/>
      <c r="DK170" s="191"/>
      <c r="DL170" s="191"/>
      <c r="DM170" s="191"/>
      <c r="DN170" s="191"/>
      <c r="DO170" s="191"/>
      <c r="DP170" s="192"/>
      <c r="DQ170" s="190"/>
      <c r="DR170" s="191"/>
      <c r="DS170" s="191"/>
      <c r="DT170" s="191"/>
      <c r="DU170" s="192"/>
      <c r="EA170" s="190"/>
      <c r="EB170" s="191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1"/>
      <c r="FC170" s="191"/>
      <c r="FD170" s="191"/>
      <c r="FE170" s="191"/>
      <c r="FF170" s="191"/>
      <c r="FG170" s="191"/>
      <c r="FH170" s="191"/>
      <c r="FI170" s="191"/>
      <c r="FJ170" s="191"/>
      <c r="FK170" s="191"/>
      <c r="FL170" s="191"/>
      <c r="FM170" s="191"/>
      <c r="FN170" s="192"/>
      <c r="FO170" s="190"/>
      <c r="FP170" s="191"/>
      <c r="FQ170" s="191"/>
      <c r="FR170" s="191"/>
      <c r="FS170" s="192"/>
      <c r="FX170" s="190"/>
      <c r="FY170" s="191"/>
      <c r="FZ170" s="191"/>
      <c r="GA170" s="191"/>
      <c r="GB170" s="191"/>
      <c r="GC170" s="191"/>
      <c r="GD170" s="191"/>
      <c r="GE170" s="191"/>
      <c r="GF170" s="191"/>
      <c r="GG170" s="191"/>
      <c r="GH170" s="191"/>
      <c r="GI170" s="191"/>
      <c r="GJ170" s="191"/>
      <c r="GK170" s="191"/>
      <c r="GL170" s="191"/>
      <c r="GM170" s="191"/>
      <c r="GN170" s="191"/>
      <c r="GO170" s="191"/>
      <c r="GP170" s="191"/>
      <c r="GQ170" s="191"/>
      <c r="GR170" s="191"/>
      <c r="GS170" s="191"/>
      <c r="GT170" s="191"/>
      <c r="GU170" s="191"/>
      <c r="GV170" s="191"/>
      <c r="GW170" s="191"/>
      <c r="GX170" s="191"/>
      <c r="GY170" s="191"/>
      <c r="GZ170" s="191"/>
      <c r="HA170" s="191"/>
      <c r="HB170" s="191"/>
      <c r="HC170" s="191"/>
      <c r="HD170" s="191"/>
      <c r="HE170" s="191"/>
      <c r="HF170" s="191"/>
      <c r="HG170" s="191"/>
      <c r="HH170" s="191"/>
      <c r="HI170" s="191"/>
      <c r="HJ170" s="191"/>
      <c r="HK170" s="192"/>
      <c r="HL170" s="190"/>
      <c r="HM170" s="191"/>
      <c r="HN170" s="191"/>
      <c r="HO170" s="191"/>
      <c r="HP170" s="192"/>
      <c r="HW170" s="201"/>
      <c r="HX170" s="202"/>
      <c r="HY170" s="202"/>
      <c r="HZ170" s="202"/>
      <c r="IA170" s="202"/>
      <c r="IB170" s="202"/>
      <c r="IC170" s="202"/>
      <c r="ID170" s="202"/>
      <c r="IE170" s="202"/>
      <c r="IF170" s="202"/>
      <c r="IG170" s="202"/>
      <c r="IH170" s="202"/>
      <c r="II170" s="202"/>
      <c r="IJ170" s="202"/>
      <c r="IK170" s="202"/>
      <c r="IL170" s="202"/>
      <c r="IM170" s="202"/>
      <c r="IN170" s="202"/>
      <c r="IO170" s="202"/>
      <c r="IP170" s="202"/>
      <c r="IQ170" s="202"/>
      <c r="IR170" s="202"/>
      <c r="IS170" s="202"/>
      <c r="IT170" s="202"/>
      <c r="IU170" s="202"/>
      <c r="IV170" s="202"/>
      <c r="IW170" s="202"/>
      <c r="IX170" s="202"/>
      <c r="IY170" s="202"/>
      <c r="IZ170" s="202"/>
      <c r="JA170" s="202"/>
      <c r="JB170" s="202"/>
      <c r="JC170" s="202"/>
      <c r="JD170" s="202"/>
      <c r="JE170" s="202"/>
      <c r="JF170" s="202"/>
      <c r="JG170" s="202"/>
      <c r="JH170" s="202"/>
      <c r="JI170" s="202"/>
      <c r="JJ170" s="202"/>
      <c r="JK170" s="204"/>
      <c r="JL170" s="204"/>
      <c r="JM170" s="204"/>
      <c r="JN170" s="204"/>
      <c r="JO170" s="204"/>
      <c r="JP170" s="204"/>
      <c r="JQ170" s="55"/>
      <c r="JV170" s="155"/>
      <c r="KA170" s="16"/>
      <c r="KC170" s="187"/>
      <c r="KD170" s="188"/>
      <c r="KE170" s="188"/>
      <c r="KF170" s="188"/>
      <c r="KG170" s="188"/>
      <c r="KH170" s="188"/>
      <c r="KI170" s="188"/>
      <c r="KJ170" s="188"/>
      <c r="KK170" s="188"/>
      <c r="KL170" s="188"/>
      <c r="KM170" s="188"/>
      <c r="KN170" s="188"/>
      <c r="KO170" s="188"/>
      <c r="KP170" s="188"/>
      <c r="KQ170" s="188"/>
      <c r="KR170" s="188"/>
      <c r="KS170" s="188"/>
      <c r="KT170" s="188"/>
      <c r="KU170" s="188"/>
      <c r="KV170" s="188"/>
      <c r="KW170" s="188"/>
      <c r="KX170" s="188"/>
      <c r="KY170" s="188"/>
      <c r="KZ170" s="188"/>
      <c r="LA170" s="188"/>
      <c r="LB170" s="188"/>
      <c r="LC170" s="188"/>
      <c r="LD170" s="188"/>
      <c r="LE170" s="188"/>
      <c r="LF170" s="188"/>
      <c r="LG170" s="188"/>
      <c r="LH170" s="188"/>
      <c r="LI170" s="188"/>
      <c r="LJ170" s="188"/>
      <c r="LK170" s="188"/>
      <c r="LL170" s="188"/>
      <c r="LM170" s="188"/>
      <c r="LN170" s="188"/>
      <c r="LO170" s="188"/>
      <c r="LP170" s="188"/>
      <c r="LQ170" s="189"/>
      <c r="LR170" s="187"/>
      <c r="LS170" s="188"/>
      <c r="LT170" s="188"/>
      <c r="LU170" s="188"/>
      <c r="LV170" s="189"/>
      <c r="MK170" s="12"/>
      <c r="ML170" s="7"/>
      <c r="MM170" s="3"/>
      <c r="MN170" s="3"/>
      <c r="MO170" s="3"/>
      <c r="MP170" s="3"/>
      <c r="MQ170" s="2"/>
      <c r="NE170" s="3"/>
      <c r="NF170" s="3"/>
      <c r="NG170" s="3"/>
      <c r="NH170" s="3"/>
      <c r="NI170" s="3"/>
      <c r="NJ170" s="2"/>
    </row>
    <row r="171" spans="3:374" ht="5.0999999999999996" customHeight="1" x14ac:dyDescent="0.3">
      <c r="C171" s="11"/>
      <c r="D171" s="13"/>
      <c r="Q171" s="184" t="s">
        <v>43</v>
      </c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6"/>
      <c r="BF171" s="184">
        <v>1</v>
      </c>
      <c r="BG171" s="185"/>
      <c r="BH171" s="185"/>
      <c r="BI171" s="185"/>
      <c r="BJ171" s="186"/>
      <c r="CY171" s="54"/>
      <c r="CZ171" s="18"/>
      <c r="EA171" s="184" t="s">
        <v>52</v>
      </c>
      <c r="EB171" s="185"/>
      <c r="EC171" s="185"/>
      <c r="ED171" s="185"/>
      <c r="EE171" s="185"/>
      <c r="EF171" s="185"/>
      <c r="EG171" s="185"/>
      <c r="EH171" s="185"/>
      <c r="EI171" s="185"/>
      <c r="EJ171" s="185"/>
      <c r="EK171" s="185"/>
      <c r="EL171" s="185"/>
      <c r="EM171" s="185"/>
      <c r="EN171" s="185"/>
      <c r="EO171" s="185"/>
      <c r="EP171" s="185"/>
      <c r="EQ171" s="185"/>
      <c r="ER171" s="185"/>
      <c r="ES171" s="185"/>
      <c r="ET171" s="185"/>
      <c r="EU171" s="185"/>
      <c r="EV171" s="185"/>
      <c r="EW171" s="185"/>
      <c r="EX171" s="185"/>
      <c r="EY171" s="185"/>
      <c r="EZ171" s="185"/>
      <c r="FA171" s="185"/>
      <c r="FB171" s="185"/>
      <c r="FC171" s="185"/>
      <c r="FD171" s="185"/>
      <c r="FE171" s="185"/>
      <c r="FF171" s="185"/>
      <c r="FG171" s="185"/>
      <c r="FH171" s="185"/>
      <c r="FI171" s="185"/>
      <c r="FJ171" s="185"/>
      <c r="FK171" s="185"/>
      <c r="FL171" s="185"/>
      <c r="FM171" s="185">
        <v>1</v>
      </c>
      <c r="FN171" s="186"/>
      <c r="FO171" s="184">
        <v>4</v>
      </c>
      <c r="FP171" s="185"/>
      <c r="FQ171" s="185"/>
      <c r="FR171" s="185"/>
      <c r="FS171" s="186"/>
      <c r="FX171" s="184" t="s">
        <v>53</v>
      </c>
      <c r="FY171" s="185"/>
      <c r="FZ171" s="185"/>
      <c r="GA171" s="185"/>
      <c r="GB171" s="185"/>
      <c r="GC171" s="185"/>
      <c r="GD171" s="185"/>
      <c r="GE171" s="185"/>
      <c r="GF171" s="185"/>
      <c r="GG171" s="185"/>
      <c r="GH171" s="185"/>
      <c r="GI171" s="185"/>
      <c r="GJ171" s="185"/>
      <c r="GK171" s="185"/>
      <c r="GL171" s="185"/>
      <c r="GM171" s="185"/>
      <c r="GN171" s="185"/>
      <c r="GO171" s="185"/>
      <c r="GP171" s="185"/>
      <c r="GQ171" s="185"/>
      <c r="GR171" s="185"/>
      <c r="GS171" s="185"/>
      <c r="GT171" s="185"/>
      <c r="GU171" s="185"/>
      <c r="GV171" s="185"/>
      <c r="GW171" s="185"/>
      <c r="GX171" s="185"/>
      <c r="GY171" s="185"/>
      <c r="GZ171" s="185"/>
      <c r="HA171" s="185"/>
      <c r="HB171" s="185"/>
      <c r="HC171" s="185"/>
      <c r="HD171" s="185"/>
      <c r="HE171" s="185"/>
      <c r="HF171" s="185"/>
      <c r="HG171" s="185"/>
      <c r="HH171" s="185"/>
      <c r="HI171" s="185"/>
      <c r="HJ171" s="185"/>
      <c r="HK171" s="186"/>
      <c r="HL171" s="184">
        <v>1</v>
      </c>
      <c r="HM171" s="185"/>
      <c r="HN171" s="185"/>
      <c r="HO171" s="185"/>
      <c r="HP171" s="186"/>
      <c r="HW171" s="216" t="s">
        <v>37</v>
      </c>
      <c r="HX171" s="217"/>
      <c r="HY171" s="217"/>
      <c r="HZ171" s="217"/>
      <c r="IA171" s="217"/>
      <c r="IB171" s="217"/>
      <c r="IC171" s="217"/>
      <c r="ID171" s="217"/>
      <c r="IE171" s="217"/>
      <c r="IF171" s="217"/>
      <c r="IG171" s="217"/>
      <c r="IH171" s="217"/>
      <c r="II171" s="217"/>
      <c r="IJ171" s="217"/>
      <c r="IK171" s="217"/>
      <c r="IL171" s="217"/>
      <c r="IM171" s="217"/>
      <c r="IN171" s="217"/>
      <c r="IO171" s="217"/>
      <c r="IP171" s="217"/>
      <c r="IQ171" s="217"/>
      <c r="IR171" s="217"/>
      <c r="IS171" s="217"/>
      <c r="IT171" s="217"/>
      <c r="IU171" s="217"/>
      <c r="IV171" s="217"/>
      <c r="IW171" s="217"/>
      <c r="IX171" s="217"/>
      <c r="IY171" s="217"/>
      <c r="IZ171" s="217"/>
      <c r="JA171" s="217"/>
      <c r="JB171" s="217"/>
      <c r="JC171" s="217"/>
      <c r="JD171" s="217"/>
      <c r="JE171" s="217"/>
      <c r="JF171" s="217"/>
      <c r="JG171" s="217"/>
      <c r="JH171" s="217"/>
      <c r="JI171" s="217"/>
      <c r="JJ171" s="217"/>
      <c r="JK171" s="187">
        <v>1</v>
      </c>
      <c r="JL171" s="188"/>
      <c r="JM171" s="188"/>
      <c r="JN171" s="188"/>
      <c r="JO171" s="188"/>
      <c r="JP171" s="189"/>
      <c r="JV171" s="155"/>
      <c r="KA171" s="16"/>
      <c r="KC171" s="187"/>
      <c r="KD171" s="188"/>
      <c r="KE171" s="188"/>
      <c r="KF171" s="188"/>
      <c r="KG171" s="188"/>
      <c r="KH171" s="188"/>
      <c r="KI171" s="188"/>
      <c r="KJ171" s="188"/>
      <c r="KK171" s="188"/>
      <c r="KL171" s="188"/>
      <c r="KM171" s="188"/>
      <c r="KN171" s="188"/>
      <c r="KO171" s="188"/>
      <c r="KP171" s="188"/>
      <c r="KQ171" s="188"/>
      <c r="KR171" s="188"/>
      <c r="KS171" s="188"/>
      <c r="KT171" s="188"/>
      <c r="KU171" s="188"/>
      <c r="KV171" s="188"/>
      <c r="KW171" s="188"/>
      <c r="KX171" s="188"/>
      <c r="KY171" s="188"/>
      <c r="KZ171" s="188"/>
      <c r="LA171" s="188"/>
      <c r="LB171" s="188"/>
      <c r="LC171" s="188"/>
      <c r="LD171" s="188"/>
      <c r="LE171" s="188"/>
      <c r="LF171" s="188"/>
      <c r="LG171" s="188"/>
      <c r="LH171" s="188"/>
      <c r="LI171" s="188"/>
      <c r="LJ171" s="188"/>
      <c r="LK171" s="188"/>
      <c r="LL171" s="188"/>
      <c r="LM171" s="188"/>
      <c r="LN171" s="188"/>
      <c r="LO171" s="188"/>
      <c r="LP171" s="188"/>
      <c r="LQ171" s="189"/>
      <c r="LR171" s="187"/>
      <c r="LS171" s="188"/>
      <c r="LT171" s="188"/>
      <c r="LU171" s="188"/>
      <c r="LV171" s="189"/>
      <c r="MK171" s="12"/>
      <c r="ML171" s="7"/>
      <c r="MM171" s="3"/>
      <c r="MN171" s="3"/>
      <c r="MO171" s="3"/>
      <c r="MP171" s="3"/>
      <c r="MQ171" s="2"/>
      <c r="NE171" s="3"/>
      <c r="NF171" s="3"/>
      <c r="NG171" s="3"/>
      <c r="NH171" s="3"/>
      <c r="NI171" s="3"/>
      <c r="NJ171" s="2"/>
    </row>
    <row r="172" spans="3:374" ht="5.0999999999999996" customHeight="1" x14ac:dyDescent="0.3">
      <c r="C172" s="11"/>
      <c r="D172" s="13"/>
      <c r="Q172" s="187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9"/>
      <c r="BF172" s="187"/>
      <c r="BG172" s="188"/>
      <c r="BH172" s="188"/>
      <c r="BI172" s="188"/>
      <c r="BJ172" s="189"/>
      <c r="CY172" s="19"/>
      <c r="EA172" s="187"/>
      <c r="EB172" s="188"/>
      <c r="EC172" s="188"/>
      <c r="ED172" s="188"/>
      <c r="EE172" s="188"/>
      <c r="EF172" s="188"/>
      <c r="EG172" s="188"/>
      <c r="EH172" s="188"/>
      <c r="EI172" s="188"/>
      <c r="EJ172" s="188"/>
      <c r="EK172" s="188"/>
      <c r="EL172" s="188"/>
      <c r="EM172" s="188"/>
      <c r="EN172" s="188"/>
      <c r="EO172" s="188"/>
      <c r="EP172" s="188"/>
      <c r="EQ172" s="188"/>
      <c r="ER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8"/>
      <c r="FC172" s="188"/>
      <c r="FD172" s="188"/>
      <c r="FE172" s="188"/>
      <c r="FF172" s="188"/>
      <c r="FG172" s="188"/>
      <c r="FH172" s="188"/>
      <c r="FI172" s="188"/>
      <c r="FJ172" s="188"/>
      <c r="FK172" s="188"/>
      <c r="FL172" s="188"/>
      <c r="FM172" s="188"/>
      <c r="FN172" s="189"/>
      <c r="FO172" s="187"/>
      <c r="FP172" s="188"/>
      <c r="FQ172" s="188"/>
      <c r="FR172" s="188"/>
      <c r="FS172" s="189"/>
      <c r="FX172" s="187"/>
      <c r="FY172" s="188"/>
      <c r="FZ172" s="188"/>
      <c r="GA172" s="188"/>
      <c r="GB172" s="188"/>
      <c r="GC172" s="188"/>
      <c r="GD172" s="188"/>
      <c r="GE172" s="188"/>
      <c r="GF172" s="188"/>
      <c r="GG172" s="188"/>
      <c r="GH172" s="188"/>
      <c r="GI172" s="188"/>
      <c r="GJ172" s="188"/>
      <c r="GK172" s="188"/>
      <c r="GL172" s="188"/>
      <c r="GM172" s="188"/>
      <c r="GN172" s="188"/>
      <c r="GO172" s="188"/>
      <c r="GP172" s="188"/>
      <c r="GQ172" s="188"/>
      <c r="GR172" s="188"/>
      <c r="GS172" s="188"/>
      <c r="GT172" s="188"/>
      <c r="GU172" s="188"/>
      <c r="GV172" s="188"/>
      <c r="GW172" s="188"/>
      <c r="GX172" s="188"/>
      <c r="GY172" s="188"/>
      <c r="GZ172" s="188"/>
      <c r="HA172" s="188"/>
      <c r="HB172" s="188"/>
      <c r="HC172" s="188"/>
      <c r="HD172" s="188"/>
      <c r="HE172" s="188"/>
      <c r="HF172" s="188"/>
      <c r="HG172" s="188"/>
      <c r="HH172" s="188"/>
      <c r="HI172" s="188"/>
      <c r="HJ172" s="188"/>
      <c r="HK172" s="189"/>
      <c r="HL172" s="187"/>
      <c r="HM172" s="188"/>
      <c r="HN172" s="188"/>
      <c r="HO172" s="188"/>
      <c r="HP172" s="189"/>
      <c r="HW172" s="219"/>
      <c r="HX172" s="220"/>
      <c r="HY172" s="220"/>
      <c r="HZ172" s="220"/>
      <c r="IA172" s="220"/>
      <c r="IB172" s="220"/>
      <c r="IC172" s="220"/>
      <c r="ID172" s="220"/>
      <c r="IE172" s="220"/>
      <c r="IF172" s="220"/>
      <c r="IG172" s="220"/>
      <c r="IH172" s="220"/>
      <c r="II172" s="220"/>
      <c r="IJ172" s="220"/>
      <c r="IK172" s="220"/>
      <c r="IL172" s="220"/>
      <c r="IM172" s="220"/>
      <c r="IN172" s="220"/>
      <c r="IO172" s="220"/>
      <c r="IP172" s="220"/>
      <c r="IQ172" s="220"/>
      <c r="IR172" s="220"/>
      <c r="IS172" s="220"/>
      <c r="IT172" s="220"/>
      <c r="IU172" s="220"/>
      <c r="IV172" s="220"/>
      <c r="IW172" s="220"/>
      <c r="IX172" s="220"/>
      <c r="IY172" s="220"/>
      <c r="IZ172" s="220"/>
      <c r="JA172" s="220"/>
      <c r="JB172" s="220"/>
      <c r="JC172" s="220"/>
      <c r="JD172" s="220"/>
      <c r="JE172" s="220"/>
      <c r="JF172" s="220"/>
      <c r="JG172" s="220"/>
      <c r="JH172" s="220"/>
      <c r="JI172" s="220"/>
      <c r="JJ172" s="220"/>
      <c r="JK172" s="187"/>
      <c r="JL172" s="188"/>
      <c r="JM172" s="188"/>
      <c r="JN172" s="188"/>
      <c r="JO172" s="188"/>
      <c r="JP172" s="189"/>
      <c r="JV172" s="155"/>
      <c r="KA172" s="16"/>
      <c r="KC172" s="187"/>
      <c r="KD172" s="188"/>
      <c r="KE172" s="188"/>
      <c r="KF172" s="188"/>
      <c r="KG172" s="188"/>
      <c r="KH172" s="188"/>
      <c r="KI172" s="188"/>
      <c r="KJ172" s="188"/>
      <c r="KK172" s="188"/>
      <c r="KL172" s="188"/>
      <c r="KM172" s="188"/>
      <c r="KN172" s="188"/>
      <c r="KO172" s="188"/>
      <c r="KP172" s="188"/>
      <c r="KQ172" s="188"/>
      <c r="KR172" s="188"/>
      <c r="KS172" s="188"/>
      <c r="KT172" s="188"/>
      <c r="KU172" s="188"/>
      <c r="KV172" s="188"/>
      <c r="KW172" s="188"/>
      <c r="KX172" s="188"/>
      <c r="KY172" s="188"/>
      <c r="KZ172" s="188"/>
      <c r="LA172" s="188"/>
      <c r="LB172" s="188"/>
      <c r="LC172" s="188"/>
      <c r="LD172" s="188"/>
      <c r="LE172" s="188"/>
      <c r="LF172" s="188"/>
      <c r="LG172" s="188"/>
      <c r="LH172" s="188"/>
      <c r="LI172" s="188"/>
      <c r="LJ172" s="188"/>
      <c r="LK172" s="188"/>
      <c r="LL172" s="188"/>
      <c r="LM172" s="188"/>
      <c r="LN172" s="188"/>
      <c r="LO172" s="188"/>
      <c r="LP172" s="188"/>
      <c r="LQ172" s="189"/>
      <c r="LR172" s="187"/>
      <c r="LS172" s="188"/>
      <c r="LT172" s="188"/>
      <c r="LU172" s="188"/>
      <c r="LV172" s="189"/>
      <c r="MK172" s="12"/>
      <c r="ML172" s="7"/>
      <c r="MM172" s="3"/>
      <c r="MN172" s="3"/>
      <c r="MO172" s="3"/>
      <c r="MP172" s="3"/>
      <c r="MQ172" s="2"/>
      <c r="NE172" s="3"/>
      <c r="NF172" s="3"/>
      <c r="NG172" s="3"/>
      <c r="NH172" s="3"/>
      <c r="NI172" s="3"/>
      <c r="NJ172" s="2"/>
    </row>
    <row r="173" spans="3:374" ht="5.0999999999999996" customHeight="1" x14ac:dyDescent="0.3">
      <c r="C173" s="11"/>
      <c r="D173" s="13"/>
      <c r="Q173" s="187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  <c r="BD173" s="188"/>
      <c r="BE173" s="189"/>
      <c r="BF173" s="187"/>
      <c r="BG173" s="188"/>
      <c r="BH173" s="188"/>
      <c r="BI173" s="188"/>
      <c r="BJ173" s="189"/>
      <c r="CC173" s="184" t="s">
        <v>49</v>
      </c>
      <c r="CD173" s="185"/>
      <c r="CE173" s="185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5"/>
      <c r="CP173" s="185"/>
      <c r="CQ173" s="185"/>
      <c r="CR173" s="185"/>
      <c r="CS173" s="185"/>
      <c r="CT173" s="185"/>
      <c r="CU173" s="185"/>
      <c r="CV173" s="185"/>
      <c r="CW173" s="185"/>
      <c r="CX173" s="185"/>
      <c r="CY173" s="185"/>
      <c r="CZ173" s="185"/>
      <c r="DA173" s="185"/>
      <c r="DB173" s="185"/>
      <c r="DC173" s="185"/>
      <c r="DD173" s="185"/>
      <c r="DE173" s="185"/>
      <c r="DF173" s="185"/>
      <c r="DG173" s="185"/>
      <c r="DH173" s="185"/>
      <c r="DI173" s="185"/>
      <c r="DJ173" s="185"/>
      <c r="DK173" s="185"/>
      <c r="DL173" s="185"/>
      <c r="DM173" s="185"/>
      <c r="DN173" s="185"/>
      <c r="DO173" s="185">
        <v>1</v>
      </c>
      <c r="DP173" s="186"/>
      <c r="DQ173" s="184">
        <v>6</v>
      </c>
      <c r="DR173" s="185"/>
      <c r="DS173" s="185"/>
      <c r="DT173" s="185"/>
      <c r="DU173" s="186"/>
      <c r="EA173" s="187"/>
      <c r="EB173" s="188"/>
      <c r="EC173" s="188"/>
      <c r="ED173" s="188"/>
      <c r="EE173" s="188"/>
      <c r="EF173" s="188"/>
      <c r="EG173" s="188"/>
      <c r="EH173" s="188"/>
      <c r="EI173" s="188"/>
      <c r="EJ173" s="188"/>
      <c r="EK173" s="188"/>
      <c r="EL173" s="188"/>
      <c r="EM173" s="188"/>
      <c r="EN173" s="188"/>
      <c r="EO173" s="188"/>
      <c r="EP173" s="188"/>
      <c r="EQ173" s="188"/>
      <c r="ER173" s="188"/>
      <c r="ES173" s="188"/>
      <c r="ET173" s="188"/>
      <c r="EU173" s="188"/>
      <c r="EV173" s="188"/>
      <c r="EW173" s="188"/>
      <c r="EX173" s="188"/>
      <c r="EY173" s="188"/>
      <c r="EZ173" s="188"/>
      <c r="FA173" s="188"/>
      <c r="FB173" s="188"/>
      <c r="FC173" s="188"/>
      <c r="FD173" s="188"/>
      <c r="FE173" s="188"/>
      <c r="FF173" s="188"/>
      <c r="FG173" s="188"/>
      <c r="FH173" s="188"/>
      <c r="FI173" s="188"/>
      <c r="FJ173" s="188"/>
      <c r="FK173" s="188"/>
      <c r="FL173" s="188"/>
      <c r="FM173" s="188"/>
      <c r="FN173" s="189"/>
      <c r="FO173" s="187"/>
      <c r="FP173" s="188"/>
      <c r="FQ173" s="188"/>
      <c r="FR173" s="188"/>
      <c r="FS173" s="189"/>
      <c r="FX173" s="187"/>
      <c r="FY173" s="188"/>
      <c r="FZ173" s="188"/>
      <c r="GA173" s="188"/>
      <c r="GB173" s="188"/>
      <c r="GC173" s="188"/>
      <c r="GD173" s="188"/>
      <c r="GE173" s="188"/>
      <c r="GF173" s="188"/>
      <c r="GG173" s="188"/>
      <c r="GH173" s="188"/>
      <c r="GI173" s="188"/>
      <c r="GJ173" s="188"/>
      <c r="GK173" s="188"/>
      <c r="GL173" s="188"/>
      <c r="GM173" s="188"/>
      <c r="GN173" s="188"/>
      <c r="GO173" s="188"/>
      <c r="GP173" s="188"/>
      <c r="GQ173" s="188"/>
      <c r="GR173" s="188"/>
      <c r="GS173" s="188"/>
      <c r="GT173" s="188"/>
      <c r="GU173" s="188"/>
      <c r="GV173" s="188"/>
      <c r="GW173" s="188"/>
      <c r="GX173" s="188"/>
      <c r="GY173" s="188"/>
      <c r="GZ173" s="188"/>
      <c r="HA173" s="188"/>
      <c r="HB173" s="188"/>
      <c r="HC173" s="188"/>
      <c r="HD173" s="188"/>
      <c r="HE173" s="188"/>
      <c r="HF173" s="188"/>
      <c r="HG173" s="188"/>
      <c r="HH173" s="188"/>
      <c r="HI173" s="188"/>
      <c r="HJ173" s="188"/>
      <c r="HK173" s="189"/>
      <c r="HL173" s="187"/>
      <c r="HM173" s="188"/>
      <c r="HN173" s="188"/>
      <c r="HO173" s="188"/>
      <c r="HP173" s="189"/>
      <c r="HU173" s="14"/>
      <c r="HW173" s="219"/>
      <c r="HX173" s="220"/>
      <c r="HY173" s="220"/>
      <c r="HZ173" s="220"/>
      <c r="IA173" s="220"/>
      <c r="IB173" s="220"/>
      <c r="IC173" s="220"/>
      <c r="ID173" s="220"/>
      <c r="IE173" s="220"/>
      <c r="IF173" s="220"/>
      <c r="IG173" s="220"/>
      <c r="IH173" s="220"/>
      <c r="II173" s="220"/>
      <c r="IJ173" s="220"/>
      <c r="IK173" s="220"/>
      <c r="IL173" s="220"/>
      <c r="IM173" s="220"/>
      <c r="IN173" s="220"/>
      <c r="IO173" s="220"/>
      <c r="IP173" s="220"/>
      <c r="IQ173" s="220"/>
      <c r="IR173" s="220"/>
      <c r="IS173" s="220"/>
      <c r="IT173" s="220"/>
      <c r="IU173" s="220"/>
      <c r="IV173" s="220"/>
      <c r="IW173" s="220"/>
      <c r="IX173" s="220"/>
      <c r="IY173" s="220"/>
      <c r="IZ173" s="220"/>
      <c r="JA173" s="220"/>
      <c r="JB173" s="220"/>
      <c r="JC173" s="220"/>
      <c r="JD173" s="220"/>
      <c r="JE173" s="220"/>
      <c r="JF173" s="220"/>
      <c r="JG173" s="220"/>
      <c r="JH173" s="220"/>
      <c r="JI173" s="220"/>
      <c r="JJ173" s="220"/>
      <c r="JK173" s="187"/>
      <c r="JL173" s="188"/>
      <c r="JM173" s="188"/>
      <c r="JN173" s="188"/>
      <c r="JO173" s="188"/>
      <c r="JP173" s="189"/>
      <c r="JV173" s="155"/>
      <c r="KA173" s="16"/>
      <c r="KC173" s="187"/>
      <c r="KD173" s="188"/>
      <c r="KE173" s="188"/>
      <c r="KF173" s="188"/>
      <c r="KG173" s="188"/>
      <c r="KH173" s="188"/>
      <c r="KI173" s="188"/>
      <c r="KJ173" s="188"/>
      <c r="KK173" s="188"/>
      <c r="KL173" s="188"/>
      <c r="KM173" s="188"/>
      <c r="KN173" s="188"/>
      <c r="KO173" s="188"/>
      <c r="KP173" s="188"/>
      <c r="KQ173" s="188"/>
      <c r="KR173" s="188"/>
      <c r="KS173" s="188"/>
      <c r="KT173" s="188"/>
      <c r="KU173" s="188"/>
      <c r="KV173" s="188"/>
      <c r="KW173" s="188"/>
      <c r="KX173" s="188"/>
      <c r="KY173" s="188"/>
      <c r="KZ173" s="188"/>
      <c r="LA173" s="188"/>
      <c r="LB173" s="188"/>
      <c r="LC173" s="188"/>
      <c r="LD173" s="188"/>
      <c r="LE173" s="188"/>
      <c r="LF173" s="188"/>
      <c r="LG173" s="188"/>
      <c r="LH173" s="188"/>
      <c r="LI173" s="188"/>
      <c r="LJ173" s="188"/>
      <c r="LK173" s="188"/>
      <c r="LL173" s="188"/>
      <c r="LM173" s="188"/>
      <c r="LN173" s="188"/>
      <c r="LO173" s="188"/>
      <c r="LP173" s="188"/>
      <c r="LQ173" s="189"/>
      <c r="LR173" s="187"/>
      <c r="LS173" s="188"/>
      <c r="LT173" s="188"/>
      <c r="LU173" s="188"/>
      <c r="LV173" s="189"/>
      <c r="MK173" s="12"/>
      <c r="ML173" s="7"/>
      <c r="MM173" s="3"/>
      <c r="MN173" s="3"/>
      <c r="MO173" s="3"/>
      <c r="MP173" s="3"/>
      <c r="MQ173" s="2"/>
      <c r="NE173" s="3"/>
      <c r="NF173" s="3"/>
      <c r="NG173" s="3"/>
      <c r="NH173" s="3"/>
      <c r="NI173" s="3"/>
      <c r="NJ173" s="2"/>
    </row>
    <row r="174" spans="3:374" ht="5.0999999999999996" customHeight="1" x14ac:dyDescent="0.3">
      <c r="C174" s="11"/>
      <c r="D174" s="13"/>
      <c r="Q174" s="187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  <c r="BD174" s="188"/>
      <c r="BE174" s="189"/>
      <c r="BF174" s="187"/>
      <c r="BG174" s="188"/>
      <c r="BH174" s="188"/>
      <c r="BI174" s="188"/>
      <c r="BJ174" s="189"/>
      <c r="CC174" s="187"/>
      <c r="CD174" s="188"/>
      <c r="CE174" s="188"/>
      <c r="CF174" s="188"/>
      <c r="CG174" s="188"/>
      <c r="CH174" s="188"/>
      <c r="CI174" s="188"/>
      <c r="CJ174" s="188"/>
      <c r="CK174" s="188"/>
      <c r="CL174" s="188"/>
      <c r="CM174" s="188"/>
      <c r="CN174" s="188"/>
      <c r="CO174" s="188"/>
      <c r="CP174" s="188"/>
      <c r="CQ174" s="188"/>
      <c r="CR174" s="188"/>
      <c r="CS174" s="188"/>
      <c r="CT174" s="188"/>
      <c r="CU174" s="188"/>
      <c r="CV174" s="188"/>
      <c r="CW174" s="188"/>
      <c r="CX174" s="188"/>
      <c r="CY174" s="188"/>
      <c r="CZ174" s="188"/>
      <c r="DA174" s="188"/>
      <c r="DB174" s="188"/>
      <c r="DC174" s="188"/>
      <c r="DD174" s="188"/>
      <c r="DE174" s="188"/>
      <c r="DF174" s="188"/>
      <c r="DG174" s="188"/>
      <c r="DH174" s="188"/>
      <c r="DI174" s="188"/>
      <c r="DJ174" s="188"/>
      <c r="DK174" s="188"/>
      <c r="DL174" s="188"/>
      <c r="DM174" s="188"/>
      <c r="DN174" s="188"/>
      <c r="DO174" s="188"/>
      <c r="DP174" s="189"/>
      <c r="DQ174" s="187"/>
      <c r="DR174" s="188"/>
      <c r="DS174" s="188"/>
      <c r="DT174" s="188"/>
      <c r="DU174" s="189"/>
      <c r="EA174" s="187"/>
      <c r="EB174" s="188"/>
      <c r="EC174" s="188"/>
      <c r="ED174" s="188"/>
      <c r="EE174" s="188"/>
      <c r="EF174" s="188"/>
      <c r="EG174" s="188"/>
      <c r="EH174" s="188"/>
      <c r="EI174" s="188"/>
      <c r="EJ174" s="188"/>
      <c r="EK174" s="188"/>
      <c r="EL174" s="188"/>
      <c r="EM174" s="188"/>
      <c r="EN174" s="188"/>
      <c r="EO174" s="188"/>
      <c r="EP174" s="188"/>
      <c r="EQ174" s="188"/>
      <c r="ER174" s="188"/>
      <c r="ES174" s="188"/>
      <c r="ET174" s="188"/>
      <c r="EU174" s="188"/>
      <c r="EV174" s="188"/>
      <c r="EW174" s="188"/>
      <c r="EX174" s="188"/>
      <c r="EY174" s="188"/>
      <c r="EZ174" s="188"/>
      <c r="FA174" s="188"/>
      <c r="FB174" s="188"/>
      <c r="FC174" s="188"/>
      <c r="FD174" s="188"/>
      <c r="FE174" s="188"/>
      <c r="FF174" s="188"/>
      <c r="FG174" s="188"/>
      <c r="FH174" s="188"/>
      <c r="FI174" s="188"/>
      <c r="FJ174" s="188"/>
      <c r="FK174" s="188"/>
      <c r="FL174" s="188"/>
      <c r="FM174" s="188"/>
      <c r="FN174" s="189"/>
      <c r="FO174" s="187"/>
      <c r="FP174" s="188"/>
      <c r="FQ174" s="188"/>
      <c r="FR174" s="188"/>
      <c r="FS174" s="189"/>
      <c r="FX174" s="187"/>
      <c r="FY174" s="188"/>
      <c r="FZ174" s="188"/>
      <c r="GA174" s="188"/>
      <c r="GB174" s="188"/>
      <c r="GC174" s="188"/>
      <c r="GD174" s="188"/>
      <c r="GE174" s="188"/>
      <c r="GF174" s="188"/>
      <c r="GG174" s="188"/>
      <c r="GH174" s="188"/>
      <c r="GI174" s="188"/>
      <c r="GJ174" s="188"/>
      <c r="GK174" s="188"/>
      <c r="GL174" s="188"/>
      <c r="GM174" s="188"/>
      <c r="GN174" s="188"/>
      <c r="GO174" s="188"/>
      <c r="GP174" s="188"/>
      <c r="GQ174" s="188"/>
      <c r="GR174" s="188"/>
      <c r="GS174" s="188"/>
      <c r="GT174" s="188"/>
      <c r="GU174" s="188"/>
      <c r="GV174" s="188"/>
      <c r="GW174" s="188"/>
      <c r="GX174" s="188"/>
      <c r="GY174" s="188"/>
      <c r="GZ174" s="188"/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9"/>
      <c r="HL174" s="187"/>
      <c r="HM174" s="188"/>
      <c r="HN174" s="188"/>
      <c r="HO174" s="188"/>
      <c r="HP174" s="189"/>
      <c r="HU174" s="14"/>
      <c r="HW174" s="219"/>
      <c r="HX174" s="220"/>
      <c r="HY174" s="220"/>
      <c r="HZ174" s="220"/>
      <c r="IA174" s="220"/>
      <c r="IB174" s="220"/>
      <c r="IC174" s="220"/>
      <c r="ID174" s="220"/>
      <c r="IE174" s="220"/>
      <c r="IF174" s="220"/>
      <c r="IG174" s="220"/>
      <c r="IH174" s="220"/>
      <c r="II174" s="220"/>
      <c r="IJ174" s="220"/>
      <c r="IK174" s="220"/>
      <c r="IL174" s="220"/>
      <c r="IM174" s="220"/>
      <c r="IN174" s="220"/>
      <c r="IO174" s="220"/>
      <c r="IP174" s="220"/>
      <c r="IQ174" s="220"/>
      <c r="IR174" s="220"/>
      <c r="IS174" s="220"/>
      <c r="IT174" s="220"/>
      <c r="IU174" s="220"/>
      <c r="IV174" s="220"/>
      <c r="IW174" s="220"/>
      <c r="IX174" s="220"/>
      <c r="IY174" s="220"/>
      <c r="IZ174" s="220"/>
      <c r="JA174" s="220"/>
      <c r="JB174" s="220"/>
      <c r="JC174" s="220"/>
      <c r="JD174" s="220"/>
      <c r="JE174" s="220"/>
      <c r="JF174" s="220"/>
      <c r="JG174" s="220"/>
      <c r="JH174" s="220"/>
      <c r="JI174" s="220"/>
      <c r="JJ174" s="220"/>
      <c r="JK174" s="187"/>
      <c r="JL174" s="188"/>
      <c r="JM174" s="188"/>
      <c r="JN174" s="188"/>
      <c r="JO174" s="188"/>
      <c r="JP174" s="189"/>
      <c r="JV174" s="155"/>
      <c r="KA174" s="16"/>
      <c r="KC174" s="187"/>
      <c r="KD174" s="188"/>
      <c r="KE174" s="188"/>
      <c r="KF174" s="188"/>
      <c r="KG174" s="188"/>
      <c r="KH174" s="188"/>
      <c r="KI174" s="188"/>
      <c r="KJ174" s="188"/>
      <c r="KK174" s="188"/>
      <c r="KL174" s="188"/>
      <c r="KM174" s="188"/>
      <c r="KN174" s="188"/>
      <c r="KO174" s="188"/>
      <c r="KP174" s="188"/>
      <c r="KQ174" s="188"/>
      <c r="KR174" s="188"/>
      <c r="KS174" s="188"/>
      <c r="KT174" s="188"/>
      <c r="KU174" s="188"/>
      <c r="KV174" s="188"/>
      <c r="KW174" s="188"/>
      <c r="KX174" s="188"/>
      <c r="KY174" s="188"/>
      <c r="KZ174" s="188"/>
      <c r="LA174" s="188"/>
      <c r="LB174" s="188"/>
      <c r="LC174" s="188"/>
      <c r="LD174" s="188"/>
      <c r="LE174" s="188"/>
      <c r="LF174" s="188"/>
      <c r="LG174" s="188"/>
      <c r="LH174" s="188"/>
      <c r="LI174" s="188"/>
      <c r="LJ174" s="188"/>
      <c r="LK174" s="188"/>
      <c r="LL174" s="188"/>
      <c r="LM174" s="188"/>
      <c r="LN174" s="188"/>
      <c r="LO174" s="188"/>
      <c r="LP174" s="188"/>
      <c r="LQ174" s="189"/>
      <c r="LR174" s="187"/>
      <c r="LS174" s="188"/>
      <c r="LT174" s="188"/>
      <c r="LU174" s="188"/>
      <c r="LV174" s="189"/>
      <c r="MK174" s="12"/>
      <c r="ML174" s="7"/>
      <c r="MM174" s="3"/>
      <c r="MN174" s="3"/>
      <c r="MO174" s="3"/>
      <c r="MP174" s="3"/>
      <c r="MQ174" s="2"/>
      <c r="NE174" s="3"/>
      <c r="NF174" s="3"/>
      <c r="NG174" s="3"/>
      <c r="NH174" s="3"/>
      <c r="NI174" s="3"/>
      <c r="NJ174" s="2"/>
    </row>
    <row r="175" spans="3:374" ht="5.0999999999999996" customHeight="1" x14ac:dyDescent="0.3">
      <c r="C175" s="11"/>
      <c r="D175" s="13"/>
      <c r="Q175" s="187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9"/>
      <c r="BF175" s="187"/>
      <c r="BG175" s="188"/>
      <c r="BH175" s="188"/>
      <c r="BI175" s="188"/>
      <c r="BJ175" s="189"/>
      <c r="CC175" s="187"/>
      <c r="CD175" s="188"/>
      <c r="CE175" s="188"/>
      <c r="CF175" s="188"/>
      <c r="CG175" s="188"/>
      <c r="CH175" s="188"/>
      <c r="CI175" s="188"/>
      <c r="CJ175" s="188"/>
      <c r="CK175" s="188"/>
      <c r="CL175" s="188"/>
      <c r="CM175" s="188"/>
      <c r="CN175" s="188"/>
      <c r="CO175" s="188"/>
      <c r="CP175" s="188"/>
      <c r="CQ175" s="188"/>
      <c r="CR175" s="188"/>
      <c r="CS175" s="188"/>
      <c r="CT175" s="188"/>
      <c r="CU175" s="188"/>
      <c r="CV175" s="188"/>
      <c r="CW175" s="188"/>
      <c r="CX175" s="188"/>
      <c r="CY175" s="188"/>
      <c r="CZ175" s="188"/>
      <c r="DA175" s="188"/>
      <c r="DB175" s="188"/>
      <c r="DC175" s="188"/>
      <c r="DD175" s="188"/>
      <c r="DE175" s="188"/>
      <c r="DF175" s="188"/>
      <c r="DG175" s="188"/>
      <c r="DH175" s="188"/>
      <c r="DI175" s="188"/>
      <c r="DJ175" s="188"/>
      <c r="DK175" s="188"/>
      <c r="DL175" s="188"/>
      <c r="DM175" s="188"/>
      <c r="DN175" s="188"/>
      <c r="DO175" s="188"/>
      <c r="DP175" s="189"/>
      <c r="DQ175" s="187"/>
      <c r="DR175" s="188"/>
      <c r="DS175" s="188"/>
      <c r="DT175" s="188"/>
      <c r="DU175" s="189"/>
      <c r="EA175" s="187"/>
      <c r="EB175" s="188"/>
      <c r="EC175" s="188"/>
      <c r="ED175" s="188"/>
      <c r="EE175" s="188"/>
      <c r="EF175" s="188"/>
      <c r="EG175" s="188"/>
      <c r="EH175" s="188"/>
      <c r="EI175" s="188"/>
      <c r="EJ175" s="188"/>
      <c r="EK175" s="188"/>
      <c r="EL175" s="188"/>
      <c r="EM175" s="188"/>
      <c r="EN175" s="188"/>
      <c r="EO175" s="188"/>
      <c r="EP175" s="188"/>
      <c r="EQ175" s="188"/>
      <c r="ER175" s="188"/>
      <c r="ES175" s="188"/>
      <c r="ET175" s="188"/>
      <c r="EU175" s="188"/>
      <c r="EV175" s="188"/>
      <c r="EW175" s="188"/>
      <c r="EX175" s="188"/>
      <c r="EY175" s="188"/>
      <c r="EZ175" s="188"/>
      <c r="FA175" s="188"/>
      <c r="FB175" s="188"/>
      <c r="FC175" s="188"/>
      <c r="FD175" s="188"/>
      <c r="FE175" s="188"/>
      <c r="FF175" s="188"/>
      <c r="FG175" s="188"/>
      <c r="FH175" s="188"/>
      <c r="FI175" s="188"/>
      <c r="FJ175" s="188"/>
      <c r="FK175" s="188"/>
      <c r="FL175" s="188"/>
      <c r="FM175" s="188"/>
      <c r="FN175" s="189"/>
      <c r="FO175" s="187"/>
      <c r="FP175" s="188"/>
      <c r="FQ175" s="188"/>
      <c r="FR175" s="188"/>
      <c r="FS175" s="189"/>
      <c r="FX175" s="187"/>
      <c r="FY175" s="188"/>
      <c r="FZ175" s="188"/>
      <c r="GA175" s="188"/>
      <c r="GB175" s="188"/>
      <c r="GC175" s="188"/>
      <c r="GD175" s="188"/>
      <c r="GE175" s="188"/>
      <c r="GF175" s="188"/>
      <c r="GG175" s="188"/>
      <c r="GH175" s="188"/>
      <c r="GI175" s="188"/>
      <c r="GJ175" s="188"/>
      <c r="GK175" s="188"/>
      <c r="GL175" s="188"/>
      <c r="GM175" s="188"/>
      <c r="GN175" s="188"/>
      <c r="GO175" s="188"/>
      <c r="GP175" s="188"/>
      <c r="GQ175" s="188"/>
      <c r="GR175" s="188"/>
      <c r="GS175" s="188"/>
      <c r="GT175" s="188"/>
      <c r="GU175" s="188"/>
      <c r="GV175" s="188"/>
      <c r="GW175" s="188"/>
      <c r="GX175" s="188"/>
      <c r="GY175" s="188"/>
      <c r="GZ175" s="188"/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9"/>
      <c r="HL175" s="187"/>
      <c r="HM175" s="188"/>
      <c r="HN175" s="188"/>
      <c r="HO175" s="188"/>
      <c r="HP175" s="189"/>
      <c r="HU175" s="14"/>
      <c r="HW175" s="219"/>
      <c r="HX175" s="220"/>
      <c r="HY175" s="220"/>
      <c r="HZ175" s="220"/>
      <c r="IA175" s="220"/>
      <c r="IB175" s="220"/>
      <c r="IC175" s="220"/>
      <c r="ID175" s="220"/>
      <c r="IE175" s="220"/>
      <c r="IF175" s="220"/>
      <c r="IG175" s="220"/>
      <c r="IH175" s="220"/>
      <c r="II175" s="220"/>
      <c r="IJ175" s="220"/>
      <c r="IK175" s="220"/>
      <c r="IL175" s="220"/>
      <c r="IM175" s="220"/>
      <c r="IN175" s="220"/>
      <c r="IO175" s="220"/>
      <c r="IP175" s="220"/>
      <c r="IQ175" s="220"/>
      <c r="IR175" s="220"/>
      <c r="IS175" s="220"/>
      <c r="IT175" s="220"/>
      <c r="IU175" s="220"/>
      <c r="IV175" s="220"/>
      <c r="IW175" s="220"/>
      <c r="IX175" s="220"/>
      <c r="IY175" s="220"/>
      <c r="IZ175" s="220"/>
      <c r="JA175" s="220"/>
      <c r="JB175" s="220"/>
      <c r="JC175" s="220"/>
      <c r="JD175" s="220"/>
      <c r="JE175" s="220"/>
      <c r="JF175" s="220"/>
      <c r="JG175" s="220"/>
      <c r="JH175" s="220"/>
      <c r="JI175" s="220"/>
      <c r="JJ175" s="220"/>
      <c r="JK175" s="187"/>
      <c r="JL175" s="188"/>
      <c r="JM175" s="188"/>
      <c r="JN175" s="188"/>
      <c r="JO175" s="188"/>
      <c r="JP175" s="189"/>
      <c r="JV175" s="155"/>
      <c r="KA175" s="16"/>
      <c r="KC175" s="187"/>
      <c r="KD175" s="188"/>
      <c r="KE175" s="188"/>
      <c r="KF175" s="188"/>
      <c r="KG175" s="188"/>
      <c r="KH175" s="188"/>
      <c r="KI175" s="188"/>
      <c r="KJ175" s="188"/>
      <c r="KK175" s="188"/>
      <c r="KL175" s="188"/>
      <c r="KM175" s="188"/>
      <c r="KN175" s="188"/>
      <c r="KO175" s="188"/>
      <c r="KP175" s="188"/>
      <c r="KQ175" s="188"/>
      <c r="KR175" s="188"/>
      <c r="KS175" s="188"/>
      <c r="KT175" s="188"/>
      <c r="KU175" s="188"/>
      <c r="KV175" s="188"/>
      <c r="KW175" s="188"/>
      <c r="KX175" s="188"/>
      <c r="KY175" s="188"/>
      <c r="KZ175" s="188"/>
      <c r="LA175" s="188"/>
      <c r="LB175" s="188"/>
      <c r="LC175" s="188"/>
      <c r="LD175" s="188"/>
      <c r="LE175" s="188"/>
      <c r="LF175" s="188"/>
      <c r="LG175" s="188"/>
      <c r="LH175" s="188"/>
      <c r="LI175" s="188"/>
      <c r="LJ175" s="188"/>
      <c r="LK175" s="188"/>
      <c r="LL175" s="188"/>
      <c r="LM175" s="188"/>
      <c r="LN175" s="188"/>
      <c r="LO175" s="188"/>
      <c r="LP175" s="188"/>
      <c r="LQ175" s="189"/>
      <c r="LR175" s="187"/>
      <c r="LS175" s="188"/>
      <c r="LT175" s="188"/>
      <c r="LU175" s="188"/>
      <c r="LV175" s="189"/>
      <c r="MK175" s="12"/>
      <c r="ML175" s="7"/>
      <c r="MM175" s="3"/>
      <c r="MN175" s="3"/>
      <c r="MO175" s="3"/>
      <c r="MP175" s="3"/>
      <c r="MQ175" s="2"/>
      <c r="NE175" s="3"/>
      <c r="NF175" s="3"/>
      <c r="NG175" s="3"/>
      <c r="NH175" s="3"/>
      <c r="NI175" s="3"/>
      <c r="NJ175" s="2"/>
    </row>
    <row r="176" spans="3:374" ht="5.0999999999999996" customHeight="1" x14ac:dyDescent="0.3">
      <c r="C176" s="11"/>
      <c r="D176" s="13"/>
      <c r="Q176" s="187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9"/>
      <c r="BF176" s="187"/>
      <c r="BG176" s="188"/>
      <c r="BH176" s="188"/>
      <c r="BI176" s="188"/>
      <c r="BJ176" s="189"/>
      <c r="CC176" s="187"/>
      <c r="CD176" s="188"/>
      <c r="CE176" s="188"/>
      <c r="CF176" s="188"/>
      <c r="CG176" s="188"/>
      <c r="CH176" s="188"/>
      <c r="CI176" s="188"/>
      <c r="CJ176" s="188"/>
      <c r="CK176" s="188"/>
      <c r="CL176" s="188"/>
      <c r="CM176" s="188"/>
      <c r="CN176" s="188"/>
      <c r="CO176" s="188"/>
      <c r="CP176" s="188"/>
      <c r="CQ176" s="188"/>
      <c r="CR176" s="188"/>
      <c r="CS176" s="188"/>
      <c r="CT176" s="188"/>
      <c r="CU176" s="188"/>
      <c r="CV176" s="188"/>
      <c r="CW176" s="188"/>
      <c r="CX176" s="188"/>
      <c r="CY176" s="188"/>
      <c r="CZ176" s="188"/>
      <c r="DA176" s="188"/>
      <c r="DB176" s="188"/>
      <c r="DC176" s="188"/>
      <c r="DD176" s="188"/>
      <c r="DE176" s="188"/>
      <c r="DF176" s="188"/>
      <c r="DG176" s="188"/>
      <c r="DH176" s="188"/>
      <c r="DI176" s="188"/>
      <c r="DJ176" s="188"/>
      <c r="DK176" s="188"/>
      <c r="DL176" s="188"/>
      <c r="DM176" s="188"/>
      <c r="DN176" s="188"/>
      <c r="DO176" s="188"/>
      <c r="DP176" s="189"/>
      <c r="DQ176" s="187"/>
      <c r="DR176" s="188"/>
      <c r="DS176" s="188"/>
      <c r="DT176" s="188"/>
      <c r="DU176" s="189"/>
      <c r="EA176" s="187"/>
      <c r="EB176" s="188"/>
      <c r="EC176" s="188"/>
      <c r="ED176" s="188"/>
      <c r="EE176" s="188"/>
      <c r="EF176" s="188"/>
      <c r="EG176" s="188"/>
      <c r="EH176" s="188"/>
      <c r="EI176" s="188"/>
      <c r="EJ176" s="188"/>
      <c r="EK176" s="188"/>
      <c r="EL176" s="188"/>
      <c r="EM176" s="188"/>
      <c r="EN176" s="188"/>
      <c r="EO176" s="188"/>
      <c r="EP176" s="188"/>
      <c r="EQ176" s="188"/>
      <c r="ER176" s="188"/>
      <c r="ES176" s="188"/>
      <c r="ET176" s="188"/>
      <c r="EU176" s="188"/>
      <c r="EV176" s="188"/>
      <c r="EW176" s="188"/>
      <c r="EX176" s="188"/>
      <c r="EY176" s="188"/>
      <c r="EZ176" s="188"/>
      <c r="FA176" s="188"/>
      <c r="FB176" s="188"/>
      <c r="FC176" s="188"/>
      <c r="FD176" s="188"/>
      <c r="FE176" s="188"/>
      <c r="FF176" s="188"/>
      <c r="FG176" s="188"/>
      <c r="FH176" s="188"/>
      <c r="FI176" s="188"/>
      <c r="FJ176" s="188"/>
      <c r="FK176" s="188"/>
      <c r="FL176" s="188"/>
      <c r="FM176" s="188"/>
      <c r="FN176" s="189"/>
      <c r="FO176" s="187"/>
      <c r="FP176" s="188"/>
      <c r="FQ176" s="188"/>
      <c r="FR176" s="188"/>
      <c r="FS176" s="189"/>
      <c r="FX176" s="187"/>
      <c r="FY176" s="188"/>
      <c r="FZ176" s="188"/>
      <c r="GA176" s="188"/>
      <c r="GB176" s="188"/>
      <c r="GC176" s="188"/>
      <c r="GD176" s="188"/>
      <c r="GE176" s="188"/>
      <c r="GF176" s="188"/>
      <c r="GG176" s="188"/>
      <c r="GH176" s="188"/>
      <c r="GI176" s="188"/>
      <c r="GJ176" s="188"/>
      <c r="GK176" s="188"/>
      <c r="GL176" s="188"/>
      <c r="GM176" s="188"/>
      <c r="GN176" s="188"/>
      <c r="GO176" s="188"/>
      <c r="GP176" s="188"/>
      <c r="GQ176" s="188"/>
      <c r="GR176" s="188"/>
      <c r="GS176" s="188"/>
      <c r="GT176" s="188"/>
      <c r="GU176" s="188"/>
      <c r="GV176" s="188"/>
      <c r="GW176" s="188"/>
      <c r="GX176" s="188"/>
      <c r="GY176" s="188"/>
      <c r="GZ176" s="188"/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9"/>
      <c r="HL176" s="187"/>
      <c r="HM176" s="188"/>
      <c r="HN176" s="188"/>
      <c r="HO176" s="188"/>
      <c r="HP176" s="189"/>
      <c r="HU176" s="14"/>
      <c r="HW176" s="219"/>
      <c r="HX176" s="220"/>
      <c r="HY176" s="220"/>
      <c r="HZ176" s="220"/>
      <c r="IA176" s="220"/>
      <c r="IB176" s="220"/>
      <c r="IC176" s="220"/>
      <c r="ID176" s="220"/>
      <c r="IE176" s="220"/>
      <c r="IF176" s="220"/>
      <c r="IG176" s="220"/>
      <c r="IH176" s="220"/>
      <c r="II176" s="220"/>
      <c r="IJ176" s="220"/>
      <c r="IK176" s="220"/>
      <c r="IL176" s="220"/>
      <c r="IM176" s="220"/>
      <c r="IN176" s="220"/>
      <c r="IO176" s="220"/>
      <c r="IP176" s="220"/>
      <c r="IQ176" s="220"/>
      <c r="IR176" s="220"/>
      <c r="IS176" s="220"/>
      <c r="IT176" s="220"/>
      <c r="IU176" s="220"/>
      <c r="IV176" s="220"/>
      <c r="IW176" s="220"/>
      <c r="IX176" s="220"/>
      <c r="IY176" s="220"/>
      <c r="IZ176" s="220"/>
      <c r="JA176" s="220"/>
      <c r="JB176" s="220"/>
      <c r="JC176" s="220"/>
      <c r="JD176" s="220"/>
      <c r="JE176" s="220"/>
      <c r="JF176" s="220"/>
      <c r="JG176" s="220"/>
      <c r="JH176" s="220"/>
      <c r="JI176" s="220"/>
      <c r="JJ176" s="220"/>
      <c r="JK176" s="187"/>
      <c r="JL176" s="188"/>
      <c r="JM176" s="188"/>
      <c r="JN176" s="188"/>
      <c r="JO176" s="188"/>
      <c r="JP176" s="189"/>
      <c r="JV176" s="155"/>
      <c r="KA176" s="16"/>
      <c r="KC176" s="187"/>
      <c r="KD176" s="188"/>
      <c r="KE176" s="188"/>
      <c r="KF176" s="188"/>
      <c r="KG176" s="188"/>
      <c r="KH176" s="188"/>
      <c r="KI176" s="188"/>
      <c r="KJ176" s="188"/>
      <c r="KK176" s="188"/>
      <c r="KL176" s="188"/>
      <c r="KM176" s="188"/>
      <c r="KN176" s="188"/>
      <c r="KO176" s="188"/>
      <c r="KP176" s="188"/>
      <c r="KQ176" s="188"/>
      <c r="KR176" s="188"/>
      <c r="KS176" s="188"/>
      <c r="KT176" s="188"/>
      <c r="KU176" s="188"/>
      <c r="KV176" s="188"/>
      <c r="KW176" s="188"/>
      <c r="KX176" s="188"/>
      <c r="KY176" s="188"/>
      <c r="KZ176" s="188"/>
      <c r="LA176" s="188"/>
      <c r="LB176" s="188"/>
      <c r="LC176" s="188"/>
      <c r="LD176" s="188"/>
      <c r="LE176" s="188"/>
      <c r="LF176" s="188"/>
      <c r="LG176" s="188"/>
      <c r="LH176" s="188"/>
      <c r="LI176" s="188"/>
      <c r="LJ176" s="188"/>
      <c r="LK176" s="188"/>
      <c r="LL176" s="188"/>
      <c r="LM176" s="188"/>
      <c r="LN176" s="188"/>
      <c r="LO176" s="188"/>
      <c r="LP176" s="188"/>
      <c r="LQ176" s="189"/>
      <c r="LR176" s="187"/>
      <c r="LS176" s="188"/>
      <c r="LT176" s="188"/>
      <c r="LU176" s="188"/>
      <c r="LV176" s="189"/>
      <c r="MK176" s="12"/>
      <c r="ML176" s="7"/>
      <c r="MM176" s="3"/>
      <c r="MN176" s="3"/>
      <c r="MO176" s="3"/>
      <c r="MP176" s="3"/>
      <c r="MQ176" s="2"/>
      <c r="NE176" s="3"/>
      <c r="NF176" s="3"/>
      <c r="NG176" s="3"/>
      <c r="NH176" s="3"/>
      <c r="NI176" s="3"/>
      <c r="NJ176" s="2"/>
    </row>
    <row r="177" spans="3:374" ht="5.0999999999999996" customHeight="1" x14ac:dyDescent="0.3">
      <c r="C177" s="11"/>
      <c r="D177" s="13"/>
      <c r="Q177" s="187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  <c r="BE177" s="189"/>
      <c r="BF177" s="187"/>
      <c r="BG177" s="188"/>
      <c r="BH177" s="188"/>
      <c r="BI177" s="188"/>
      <c r="BJ177" s="189"/>
      <c r="CC177" s="187"/>
      <c r="CD177" s="188"/>
      <c r="CE177" s="188"/>
      <c r="CF177" s="188"/>
      <c r="CG177" s="188"/>
      <c r="CH177" s="188"/>
      <c r="CI177" s="188"/>
      <c r="CJ177" s="188"/>
      <c r="CK177" s="188"/>
      <c r="CL177" s="188"/>
      <c r="CM177" s="188"/>
      <c r="CN177" s="188"/>
      <c r="CO177" s="188"/>
      <c r="CP177" s="188"/>
      <c r="CQ177" s="188"/>
      <c r="CR177" s="188"/>
      <c r="CS177" s="188"/>
      <c r="CT177" s="188"/>
      <c r="CU177" s="188"/>
      <c r="CV177" s="188"/>
      <c r="CW177" s="188"/>
      <c r="CX177" s="188"/>
      <c r="CY177" s="188"/>
      <c r="CZ177" s="188"/>
      <c r="DA177" s="188"/>
      <c r="DB177" s="188"/>
      <c r="DC177" s="188"/>
      <c r="DD177" s="188"/>
      <c r="DE177" s="188"/>
      <c r="DF177" s="188"/>
      <c r="DG177" s="188"/>
      <c r="DH177" s="188"/>
      <c r="DI177" s="188"/>
      <c r="DJ177" s="188"/>
      <c r="DK177" s="188"/>
      <c r="DL177" s="188"/>
      <c r="DM177" s="188"/>
      <c r="DN177" s="188"/>
      <c r="DO177" s="188"/>
      <c r="DP177" s="189"/>
      <c r="DQ177" s="187"/>
      <c r="DR177" s="188"/>
      <c r="DS177" s="188"/>
      <c r="DT177" s="188"/>
      <c r="DU177" s="189"/>
      <c r="EA177" s="187"/>
      <c r="EB177" s="188"/>
      <c r="EC177" s="188"/>
      <c r="ED177" s="188"/>
      <c r="EE177" s="188"/>
      <c r="EF177" s="188"/>
      <c r="EG177" s="188"/>
      <c r="EH177" s="188"/>
      <c r="EI177" s="188"/>
      <c r="EJ177" s="188"/>
      <c r="EK177" s="188"/>
      <c r="EL177" s="188"/>
      <c r="EM177" s="188"/>
      <c r="EN177" s="188"/>
      <c r="EO177" s="188"/>
      <c r="EP177" s="188"/>
      <c r="EQ177" s="188"/>
      <c r="ER177" s="188"/>
      <c r="ES177" s="188"/>
      <c r="ET177" s="188"/>
      <c r="EU177" s="188"/>
      <c r="EV177" s="188"/>
      <c r="EW177" s="188"/>
      <c r="EX177" s="188"/>
      <c r="EY177" s="188"/>
      <c r="EZ177" s="188"/>
      <c r="FA177" s="188"/>
      <c r="FB177" s="188"/>
      <c r="FC177" s="188"/>
      <c r="FD177" s="188"/>
      <c r="FE177" s="188"/>
      <c r="FF177" s="188"/>
      <c r="FG177" s="188"/>
      <c r="FH177" s="188"/>
      <c r="FI177" s="188"/>
      <c r="FJ177" s="188"/>
      <c r="FK177" s="188"/>
      <c r="FL177" s="188"/>
      <c r="FM177" s="188"/>
      <c r="FN177" s="189"/>
      <c r="FO177" s="187"/>
      <c r="FP177" s="188"/>
      <c r="FQ177" s="188"/>
      <c r="FR177" s="188"/>
      <c r="FS177" s="189"/>
      <c r="FX177" s="187"/>
      <c r="FY177" s="188"/>
      <c r="FZ177" s="188"/>
      <c r="GA177" s="188"/>
      <c r="GB177" s="188"/>
      <c r="GC177" s="188"/>
      <c r="GD177" s="188"/>
      <c r="GE177" s="188"/>
      <c r="GF177" s="188"/>
      <c r="GG177" s="188"/>
      <c r="GH177" s="188"/>
      <c r="GI177" s="188"/>
      <c r="GJ177" s="188"/>
      <c r="GK177" s="188"/>
      <c r="GL177" s="188"/>
      <c r="GM177" s="188"/>
      <c r="GN177" s="188"/>
      <c r="GO177" s="188"/>
      <c r="GP177" s="188"/>
      <c r="GQ177" s="188"/>
      <c r="GR177" s="188"/>
      <c r="GS177" s="188"/>
      <c r="GT177" s="188"/>
      <c r="GU177" s="188"/>
      <c r="GV177" s="188"/>
      <c r="GW177" s="188"/>
      <c r="GX177" s="188"/>
      <c r="GY177" s="188"/>
      <c r="GZ177" s="188"/>
      <c r="HA177" s="188"/>
      <c r="HB177" s="188"/>
      <c r="HC177" s="188"/>
      <c r="HD177" s="188"/>
      <c r="HE177" s="188"/>
      <c r="HF177" s="188"/>
      <c r="HG177" s="188"/>
      <c r="HH177" s="188"/>
      <c r="HI177" s="188"/>
      <c r="HJ177" s="188"/>
      <c r="HK177" s="189"/>
      <c r="HL177" s="187"/>
      <c r="HM177" s="188"/>
      <c r="HN177" s="188"/>
      <c r="HO177" s="188"/>
      <c r="HP177" s="189"/>
      <c r="HU177" s="14"/>
      <c r="HW177" s="219"/>
      <c r="HX177" s="220"/>
      <c r="HY177" s="220"/>
      <c r="HZ177" s="220"/>
      <c r="IA177" s="220"/>
      <c r="IB177" s="220"/>
      <c r="IC177" s="220"/>
      <c r="ID177" s="220"/>
      <c r="IE177" s="220"/>
      <c r="IF177" s="220"/>
      <c r="IG177" s="220"/>
      <c r="IH177" s="220"/>
      <c r="II177" s="220"/>
      <c r="IJ177" s="220"/>
      <c r="IK177" s="220"/>
      <c r="IL177" s="220"/>
      <c r="IM177" s="220"/>
      <c r="IN177" s="220"/>
      <c r="IO177" s="220"/>
      <c r="IP177" s="220"/>
      <c r="IQ177" s="220"/>
      <c r="IR177" s="220"/>
      <c r="IS177" s="220"/>
      <c r="IT177" s="220"/>
      <c r="IU177" s="220"/>
      <c r="IV177" s="220"/>
      <c r="IW177" s="220"/>
      <c r="IX177" s="220"/>
      <c r="IY177" s="220"/>
      <c r="IZ177" s="220"/>
      <c r="JA177" s="220"/>
      <c r="JB177" s="220"/>
      <c r="JC177" s="220"/>
      <c r="JD177" s="220"/>
      <c r="JE177" s="220"/>
      <c r="JF177" s="220"/>
      <c r="JG177" s="220"/>
      <c r="JH177" s="220"/>
      <c r="JI177" s="220"/>
      <c r="JJ177" s="220"/>
      <c r="JK177" s="187"/>
      <c r="JL177" s="188"/>
      <c r="JM177" s="188"/>
      <c r="JN177" s="188"/>
      <c r="JO177" s="188"/>
      <c r="JP177" s="189"/>
      <c r="JV177" s="155"/>
      <c r="KA177" s="16"/>
      <c r="KC177" s="187"/>
      <c r="KD177" s="188"/>
      <c r="KE177" s="188"/>
      <c r="KF177" s="188"/>
      <c r="KG177" s="188"/>
      <c r="KH177" s="188"/>
      <c r="KI177" s="188"/>
      <c r="KJ177" s="188"/>
      <c r="KK177" s="188"/>
      <c r="KL177" s="188"/>
      <c r="KM177" s="188"/>
      <c r="KN177" s="188"/>
      <c r="KO177" s="188"/>
      <c r="KP177" s="188"/>
      <c r="KQ177" s="188"/>
      <c r="KR177" s="188"/>
      <c r="KS177" s="188"/>
      <c r="KT177" s="188"/>
      <c r="KU177" s="188"/>
      <c r="KV177" s="188"/>
      <c r="KW177" s="188"/>
      <c r="KX177" s="188"/>
      <c r="KY177" s="188"/>
      <c r="KZ177" s="188"/>
      <c r="LA177" s="188"/>
      <c r="LB177" s="188"/>
      <c r="LC177" s="188"/>
      <c r="LD177" s="188"/>
      <c r="LE177" s="188"/>
      <c r="LF177" s="188"/>
      <c r="LG177" s="188"/>
      <c r="LH177" s="188"/>
      <c r="LI177" s="188"/>
      <c r="LJ177" s="188"/>
      <c r="LK177" s="188"/>
      <c r="LL177" s="188"/>
      <c r="LM177" s="188"/>
      <c r="LN177" s="188"/>
      <c r="LO177" s="188"/>
      <c r="LP177" s="188"/>
      <c r="LQ177" s="189"/>
      <c r="LR177" s="187"/>
      <c r="LS177" s="188"/>
      <c r="LT177" s="188"/>
      <c r="LU177" s="188"/>
      <c r="LV177" s="189"/>
      <c r="MK177" s="12"/>
      <c r="ML177" s="7"/>
    </row>
    <row r="178" spans="3:374" ht="5.0999999999999996" customHeight="1" x14ac:dyDescent="0.3">
      <c r="C178" s="11"/>
      <c r="D178" s="13"/>
      <c r="Q178" s="187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  <c r="BD178" s="188"/>
      <c r="BE178" s="189"/>
      <c r="BF178" s="187"/>
      <c r="BG178" s="188"/>
      <c r="BH178" s="188"/>
      <c r="BI178" s="188"/>
      <c r="BJ178" s="189"/>
      <c r="CC178" s="187"/>
      <c r="CD178" s="188"/>
      <c r="CE178" s="188"/>
      <c r="CF178" s="188"/>
      <c r="CG178" s="188"/>
      <c r="CH178" s="188"/>
      <c r="CI178" s="188"/>
      <c r="CJ178" s="188"/>
      <c r="CK178" s="188"/>
      <c r="CL178" s="188"/>
      <c r="CM178" s="188"/>
      <c r="CN178" s="188"/>
      <c r="CO178" s="188"/>
      <c r="CP178" s="188"/>
      <c r="CQ178" s="188"/>
      <c r="CR178" s="188"/>
      <c r="CS178" s="188"/>
      <c r="CT178" s="188"/>
      <c r="CU178" s="188"/>
      <c r="CV178" s="188"/>
      <c r="CW178" s="188"/>
      <c r="CX178" s="188"/>
      <c r="CY178" s="188"/>
      <c r="CZ178" s="188"/>
      <c r="DA178" s="188"/>
      <c r="DB178" s="188"/>
      <c r="DC178" s="188"/>
      <c r="DD178" s="188"/>
      <c r="DE178" s="188"/>
      <c r="DF178" s="188"/>
      <c r="DG178" s="188"/>
      <c r="DH178" s="188"/>
      <c r="DI178" s="188"/>
      <c r="DJ178" s="188"/>
      <c r="DK178" s="188"/>
      <c r="DL178" s="188"/>
      <c r="DM178" s="188"/>
      <c r="DN178" s="188"/>
      <c r="DO178" s="188"/>
      <c r="DP178" s="189"/>
      <c r="DQ178" s="187"/>
      <c r="DR178" s="188"/>
      <c r="DS178" s="188"/>
      <c r="DT178" s="188"/>
      <c r="DU178" s="189"/>
      <c r="EA178" s="187"/>
      <c r="EB178" s="188"/>
      <c r="EC178" s="188"/>
      <c r="ED178" s="188"/>
      <c r="EE178" s="188"/>
      <c r="EF178" s="188"/>
      <c r="EG178" s="188"/>
      <c r="EH178" s="188"/>
      <c r="EI178" s="188"/>
      <c r="EJ178" s="188"/>
      <c r="EK178" s="188"/>
      <c r="EL178" s="188"/>
      <c r="EM178" s="188"/>
      <c r="EN178" s="188"/>
      <c r="EO178" s="188"/>
      <c r="EP178" s="188"/>
      <c r="EQ178" s="188"/>
      <c r="ER178" s="188"/>
      <c r="ES178" s="188"/>
      <c r="ET178" s="188"/>
      <c r="EU178" s="188"/>
      <c r="EV178" s="188"/>
      <c r="EW178" s="188"/>
      <c r="EX178" s="188"/>
      <c r="EY178" s="188"/>
      <c r="EZ178" s="188"/>
      <c r="FA178" s="188"/>
      <c r="FB178" s="188"/>
      <c r="FC178" s="188"/>
      <c r="FD178" s="188"/>
      <c r="FE178" s="188"/>
      <c r="FF178" s="188"/>
      <c r="FG178" s="188"/>
      <c r="FH178" s="188"/>
      <c r="FI178" s="188"/>
      <c r="FJ178" s="188"/>
      <c r="FK178" s="188"/>
      <c r="FL178" s="188"/>
      <c r="FM178" s="188"/>
      <c r="FN178" s="189"/>
      <c r="FO178" s="187"/>
      <c r="FP178" s="188"/>
      <c r="FQ178" s="188"/>
      <c r="FR178" s="188"/>
      <c r="FS178" s="189"/>
      <c r="FX178" s="187"/>
      <c r="FY178" s="188"/>
      <c r="FZ178" s="188"/>
      <c r="GA178" s="188"/>
      <c r="GB178" s="188"/>
      <c r="GC178" s="188"/>
      <c r="GD178" s="188"/>
      <c r="GE178" s="188"/>
      <c r="GF178" s="188"/>
      <c r="GG178" s="188"/>
      <c r="GH178" s="188"/>
      <c r="GI178" s="188"/>
      <c r="GJ178" s="188"/>
      <c r="GK178" s="188"/>
      <c r="GL178" s="188"/>
      <c r="GM178" s="188"/>
      <c r="GN178" s="188"/>
      <c r="GO178" s="188"/>
      <c r="GP178" s="188"/>
      <c r="GQ178" s="188"/>
      <c r="GR178" s="188"/>
      <c r="GS178" s="188"/>
      <c r="GT178" s="188"/>
      <c r="GU178" s="188"/>
      <c r="GV178" s="188"/>
      <c r="GW178" s="188"/>
      <c r="GX178" s="188"/>
      <c r="GY178" s="188"/>
      <c r="GZ178" s="188"/>
      <c r="HA178" s="188"/>
      <c r="HB178" s="188"/>
      <c r="HC178" s="188"/>
      <c r="HD178" s="188"/>
      <c r="HE178" s="188"/>
      <c r="HF178" s="188"/>
      <c r="HG178" s="188"/>
      <c r="HH178" s="188"/>
      <c r="HI178" s="188"/>
      <c r="HJ178" s="188"/>
      <c r="HK178" s="189"/>
      <c r="HL178" s="187"/>
      <c r="HM178" s="188"/>
      <c r="HN178" s="188"/>
      <c r="HO178" s="188"/>
      <c r="HP178" s="189"/>
      <c r="HU178" s="14"/>
      <c r="HW178" s="219"/>
      <c r="HX178" s="220"/>
      <c r="HY178" s="220"/>
      <c r="HZ178" s="220"/>
      <c r="IA178" s="220"/>
      <c r="IB178" s="220"/>
      <c r="IC178" s="220"/>
      <c r="ID178" s="220"/>
      <c r="IE178" s="220"/>
      <c r="IF178" s="220"/>
      <c r="IG178" s="220"/>
      <c r="IH178" s="220"/>
      <c r="II178" s="220"/>
      <c r="IJ178" s="220"/>
      <c r="IK178" s="220"/>
      <c r="IL178" s="220"/>
      <c r="IM178" s="220"/>
      <c r="IN178" s="220"/>
      <c r="IO178" s="220"/>
      <c r="IP178" s="220"/>
      <c r="IQ178" s="220"/>
      <c r="IR178" s="220"/>
      <c r="IS178" s="220"/>
      <c r="IT178" s="220"/>
      <c r="IU178" s="220"/>
      <c r="IV178" s="220"/>
      <c r="IW178" s="220"/>
      <c r="IX178" s="220"/>
      <c r="IY178" s="220"/>
      <c r="IZ178" s="220"/>
      <c r="JA178" s="220"/>
      <c r="JB178" s="220"/>
      <c r="JC178" s="220"/>
      <c r="JD178" s="220"/>
      <c r="JE178" s="220"/>
      <c r="JF178" s="220"/>
      <c r="JG178" s="220"/>
      <c r="JH178" s="220"/>
      <c r="JI178" s="220"/>
      <c r="JJ178" s="220"/>
      <c r="JK178" s="187"/>
      <c r="JL178" s="188"/>
      <c r="JM178" s="188"/>
      <c r="JN178" s="188"/>
      <c r="JO178" s="188"/>
      <c r="JP178" s="189"/>
      <c r="JV178" s="155"/>
      <c r="KA178" s="16"/>
      <c r="KC178" s="190"/>
      <c r="KD178" s="191"/>
      <c r="KE178" s="191"/>
      <c r="KF178" s="191"/>
      <c r="KG178" s="191"/>
      <c r="KH178" s="191"/>
      <c r="KI178" s="191"/>
      <c r="KJ178" s="191"/>
      <c r="KK178" s="191"/>
      <c r="KL178" s="191"/>
      <c r="KM178" s="191"/>
      <c r="KN178" s="191"/>
      <c r="KO178" s="191"/>
      <c r="KP178" s="191"/>
      <c r="KQ178" s="191"/>
      <c r="KR178" s="191"/>
      <c r="KS178" s="191"/>
      <c r="KT178" s="191"/>
      <c r="KU178" s="191"/>
      <c r="KV178" s="191"/>
      <c r="KW178" s="191"/>
      <c r="KX178" s="191"/>
      <c r="KY178" s="191"/>
      <c r="KZ178" s="191"/>
      <c r="LA178" s="191"/>
      <c r="LB178" s="191"/>
      <c r="LC178" s="191"/>
      <c r="LD178" s="191"/>
      <c r="LE178" s="191"/>
      <c r="LF178" s="191"/>
      <c r="LG178" s="191"/>
      <c r="LH178" s="191"/>
      <c r="LI178" s="191"/>
      <c r="LJ178" s="191"/>
      <c r="LK178" s="191"/>
      <c r="LL178" s="191"/>
      <c r="LM178" s="191"/>
      <c r="LN178" s="191"/>
      <c r="LO178" s="191"/>
      <c r="LP178" s="191"/>
      <c r="LQ178" s="192"/>
      <c r="LR178" s="190"/>
      <c r="LS178" s="191"/>
      <c r="LT178" s="191"/>
      <c r="LU178" s="191"/>
      <c r="LV178" s="192"/>
      <c r="MK178" s="12"/>
      <c r="ML178" s="7"/>
    </row>
    <row r="179" spans="3:374" ht="5.0999999999999996" customHeight="1" x14ac:dyDescent="0.3">
      <c r="C179" s="11"/>
      <c r="D179" s="13"/>
      <c r="Q179" s="187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  <c r="BD179" s="188"/>
      <c r="BE179" s="189"/>
      <c r="BF179" s="187"/>
      <c r="BG179" s="188"/>
      <c r="BH179" s="188"/>
      <c r="BI179" s="188"/>
      <c r="BJ179" s="189"/>
      <c r="CC179" s="187"/>
      <c r="CD179" s="188"/>
      <c r="CE179" s="188"/>
      <c r="CF179" s="188"/>
      <c r="CG179" s="188"/>
      <c r="CH179" s="188"/>
      <c r="CI179" s="188"/>
      <c r="CJ179" s="188"/>
      <c r="CK179" s="188"/>
      <c r="CL179" s="188"/>
      <c r="CM179" s="188"/>
      <c r="CN179" s="188"/>
      <c r="CO179" s="188"/>
      <c r="CP179" s="188"/>
      <c r="CQ179" s="188"/>
      <c r="CR179" s="188"/>
      <c r="CS179" s="188"/>
      <c r="CT179" s="188"/>
      <c r="CU179" s="188"/>
      <c r="CV179" s="188"/>
      <c r="CW179" s="188"/>
      <c r="CX179" s="188"/>
      <c r="CY179" s="188"/>
      <c r="CZ179" s="188"/>
      <c r="DA179" s="188"/>
      <c r="DB179" s="188"/>
      <c r="DC179" s="188"/>
      <c r="DD179" s="188"/>
      <c r="DE179" s="188"/>
      <c r="DF179" s="188"/>
      <c r="DG179" s="188"/>
      <c r="DH179" s="188"/>
      <c r="DI179" s="188"/>
      <c r="DJ179" s="188"/>
      <c r="DK179" s="188"/>
      <c r="DL179" s="188"/>
      <c r="DM179" s="188"/>
      <c r="DN179" s="188"/>
      <c r="DO179" s="188"/>
      <c r="DP179" s="189"/>
      <c r="DQ179" s="187"/>
      <c r="DR179" s="188"/>
      <c r="DS179" s="188"/>
      <c r="DT179" s="188"/>
      <c r="DU179" s="189"/>
      <c r="EA179" s="187"/>
      <c r="EB179" s="188"/>
      <c r="EC179" s="188"/>
      <c r="ED179" s="188"/>
      <c r="EE179" s="188"/>
      <c r="EF179" s="188"/>
      <c r="EG179" s="188"/>
      <c r="EH179" s="188"/>
      <c r="EI179" s="188"/>
      <c r="EJ179" s="188"/>
      <c r="EK179" s="188"/>
      <c r="EL179" s="188"/>
      <c r="EM179" s="188"/>
      <c r="EN179" s="188"/>
      <c r="EO179" s="188"/>
      <c r="EP179" s="188"/>
      <c r="EQ179" s="188"/>
      <c r="ER179" s="188"/>
      <c r="ES179" s="188"/>
      <c r="ET179" s="188"/>
      <c r="EU179" s="188"/>
      <c r="EV179" s="188"/>
      <c r="EW179" s="188"/>
      <c r="EX179" s="188"/>
      <c r="EY179" s="188"/>
      <c r="EZ179" s="188"/>
      <c r="FA179" s="188"/>
      <c r="FB179" s="188"/>
      <c r="FC179" s="188"/>
      <c r="FD179" s="188"/>
      <c r="FE179" s="188"/>
      <c r="FF179" s="188"/>
      <c r="FG179" s="188"/>
      <c r="FH179" s="188"/>
      <c r="FI179" s="188"/>
      <c r="FJ179" s="188"/>
      <c r="FK179" s="188"/>
      <c r="FL179" s="188"/>
      <c r="FM179" s="188"/>
      <c r="FN179" s="189"/>
      <c r="FO179" s="187"/>
      <c r="FP179" s="188"/>
      <c r="FQ179" s="188"/>
      <c r="FR179" s="188"/>
      <c r="FS179" s="189"/>
      <c r="FX179" s="187"/>
      <c r="FY179" s="188"/>
      <c r="FZ179" s="188"/>
      <c r="GA179" s="188"/>
      <c r="GB179" s="188"/>
      <c r="GC179" s="188"/>
      <c r="GD179" s="188"/>
      <c r="GE179" s="188"/>
      <c r="GF179" s="188"/>
      <c r="GG179" s="188"/>
      <c r="GH179" s="188"/>
      <c r="GI179" s="188"/>
      <c r="GJ179" s="188"/>
      <c r="GK179" s="188"/>
      <c r="GL179" s="188"/>
      <c r="GM179" s="188"/>
      <c r="GN179" s="188"/>
      <c r="GO179" s="188"/>
      <c r="GP179" s="188"/>
      <c r="GQ179" s="188"/>
      <c r="GR179" s="188"/>
      <c r="GS179" s="188"/>
      <c r="GT179" s="188"/>
      <c r="GU179" s="188"/>
      <c r="GV179" s="188"/>
      <c r="GW179" s="188"/>
      <c r="GX179" s="188"/>
      <c r="GY179" s="188"/>
      <c r="GZ179" s="188"/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9"/>
      <c r="HL179" s="187"/>
      <c r="HM179" s="188"/>
      <c r="HN179" s="188"/>
      <c r="HO179" s="188"/>
      <c r="HP179" s="189"/>
      <c r="HU179" s="14"/>
      <c r="HW179" s="219"/>
      <c r="HX179" s="220"/>
      <c r="HY179" s="220"/>
      <c r="HZ179" s="220"/>
      <c r="IA179" s="220"/>
      <c r="IB179" s="220"/>
      <c r="IC179" s="220"/>
      <c r="ID179" s="220"/>
      <c r="IE179" s="220"/>
      <c r="IF179" s="220"/>
      <c r="IG179" s="220"/>
      <c r="IH179" s="220"/>
      <c r="II179" s="220"/>
      <c r="IJ179" s="220"/>
      <c r="IK179" s="220"/>
      <c r="IL179" s="220"/>
      <c r="IM179" s="220"/>
      <c r="IN179" s="220"/>
      <c r="IO179" s="220"/>
      <c r="IP179" s="220"/>
      <c r="IQ179" s="220"/>
      <c r="IR179" s="220"/>
      <c r="IS179" s="220"/>
      <c r="IT179" s="220"/>
      <c r="IU179" s="220"/>
      <c r="IV179" s="220"/>
      <c r="IW179" s="220"/>
      <c r="IX179" s="220"/>
      <c r="IY179" s="220"/>
      <c r="IZ179" s="220"/>
      <c r="JA179" s="220"/>
      <c r="JB179" s="220"/>
      <c r="JC179" s="220"/>
      <c r="JD179" s="220"/>
      <c r="JE179" s="220"/>
      <c r="JF179" s="220"/>
      <c r="JG179" s="220"/>
      <c r="JH179" s="220"/>
      <c r="JI179" s="220"/>
      <c r="JJ179" s="220"/>
      <c r="JK179" s="187"/>
      <c r="JL179" s="188"/>
      <c r="JM179" s="188"/>
      <c r="JN179" s="188"/>
      <c r="JO179" s="188"/>
      <c r="JP179" s="189"/>
      <c r="JV179" s="155"/>
      <c r="KA179" s="16"/>
      <c r="KC179" s="184" t="s">
        <v>42</v>
      </c>
      <c r="KD179" s="185"/>
      <c r="KE179" s="185"/>
      <c r="KF179" s="185"/>
      <c r="KG179" s="185"/>
      <c r="KH179" s="185"/>
      <c r="KI179" s="185"/>
      <c r="KJ179" s="185"/>
      <c r="KK179" s="185"/>
      <c r="KL179" s="185"/>
      <c r="KM179" s="185"/>
      <c r="KN179" s="185"/>
      <c r="KO179" s="185"/>
      <c r="KP179" s="185"/>
      <c r="KQ179" s="185"/>
      <c r="KR179" s="185"/>
      <c r="KS179" s="185"/>
      <c r="KT179" s="185"/>
      <c r="KU179" s="185"/>
      <c r="KV179" s="185"/>
      <c r="KW179" s="185"/>
      <c r="KX179" s="185"/>
      <c r="KY179" s="185"/>
      <c r="KZ179" s="185"/>
      <c r="LA179" s="185"/>
      <c r="LB179" s="185"/>
      <c r="LC179" s="185"/>
      <c r="LD179" s="185"/>
      <c r="LE179" s="185"/>
      <c r="LF179" s="185"/>
      <c r="LG179" s="185"/>
      <c r="LH179" s="185"/>
      <c r="LI179" s="185"/>
      <c r="LJ179" s="185"/>
      <c r="LK179" s="185"/>
      <c r="LL179" s="185"/>
      <c r="LM179" s="185"/>
      <c r="LN179" s="185"/>
      <c r="LO179" s="185"/>
      <c r="LP179" s="185"/>
      <c r="LQ179" s="186"/>
      <c r="LR179" s="184">
        <v>1</v>
      </c>
      <c r="LS179" s="185"/>
      <c r="LT179" s="185"/>
      <c r="LU179" s="185"/>
      <c r="LV179" s="186"/>
      <c r="MK179" s="12"/>
      <c r="ML179" s="7"/>
    </row>
    <row r="180" spans="3:374" ht="5.0999999999999996" customHeight="1" x14ac:dyDescent="0.3">
      <c r="C180" s="11"/>
      <c r="D180" s="13"/>
      <c r="Q180" s="190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2"/>
      <c r="BF180" s="190"/>
      <c r="BG180" s="191"/>
      <c r="BH180" s="191"/>
      <c r="BI180" s="191"/>
      <c r="BJ180" s="192"/>
      <c r="CC180" s="187"/>
      <c r="CD180" s="188"/>
      <c r="CE180" s="188"/>
      <c r="CF180" s="188"/>
      <c r="CG180" s="188"/>
      <c r="CH180" s="188"/>
      <c r="CI180" s="188"/>
      <c r="CJ180" s="188"/>
      <c r="CK180" s="188"/>
      <c r="CL180" s="188"/>
      <c r="CM180" s="188"/>
      <c r="CN180" s="188"/>
      <c r="CO180" s="188"/>
      <c r="CP180" s="188"/>
      <c r="CQ180" s="188"/>
      <c r="CR180" s="188"/>
      <c r="CS180" s="188"/>
      <c r="CT180" s="188"/>
      <c r="CU180" s="188"/>
      <c r="CV180" s="188"/>
      <c r="CW180" s="188"/>
      <c r="CX180" s="188"/>
      <c r="CY180" s="188"/>
      <c r="CZ180" s="188"/>
      <c r="DA180" s="188"/>
      <c r="DB180" s="188"/>
      <c r="DC180" s="188"/>
      <c r="DD180" s="188"/>
      <c r="DE180" s="188"/>
      <c r="DF180" s="188"/>
      <c r="DG180" s="188"/>
      <c r="DH180" s="188"/>
      <c r="DI180" s="188"/>
      <c r="DJ180" s="188"/>
      <c r="DK180" s="188"/>
      <c r="DL180" s="188"/>
      <c r="DM180" s="188"/>
      <c r="DN180" s="188"/>
      <c r="DO180" s="188"/>
      <c r="DP180" s="189"/>
      <c r="DQ180" s="187"/>
      <c r="DR180" s="188"/>
      <c r="DS180" s="188"/>
      <c r="DT180" s="188"/>
      <c r="DU180" s="189"/>
      <c r="EA180" s="190"/>
      <c r="EB180" s="191"/>
      <c r="EC180" s="191"/>
      <c r="ED180" s="191"/>
      <c r="EE180" s="191"/>
      <c r="EF180" s="191"/>
      <c r="EG180" s="191"/>
      <c r="EH180" s="191"/>
      <c r="EI180" s="191"/>
      <c r="EJ180" s="191"/>
      <c r="EK180" s="191"/>
      <c r="EL180" s="191"/>
      <c r="EM180" s="191"/>
      <c r="EN180" s="191"/>
      <c r="EO180" s="191"/>
      <c r="EP180" s="191"/>
      <c r="EQ180" s="191"/>
      <c r="ER180" s="191"/>
      <c r="ES180" s="191"/>
      <c r="ET180" s="191"/>
      <c r="EU180" s="191"/>
      <c r="EV180" s="191"/>
      <c r="EW180" s="191"/>
      <c r="EX180" s="191"/>
      <c r="EY180" s="191"/>
      <c r="EZ180" s="191"/>
      <c r="FA180" s="191"/>
      <c r="FB180" s="191"/>
      <c r="FC180" s="191"/>
      <c r="FD180" s="191"/>
      <c r="FE180" s="191"/>
      <c r="FF180" s="191"/>
      <c r="FG180" s="191"/>
      <c r="FH180" s="191"/>
      <c r="FI180" s="191"/>
      <c r="FJ180" s="191"/>
      <c r="FK180" s="191"/>
      <c r="FL180" s="191"/>
      <c r="FM180" s="191"/>
      <c r="FN180" s="192"/>
      <c r="FO180" s="190"/>
      <c r="FP180" s="191"/>
      <c r="FQ180" s="191"/>
      <c r="FR180" s="191"/>
      <c r="FS180" s="192"/>
      <c r="FX180" s="190"/>
      <c r="FY180" s="191"/>
      <c r="FZ180" s="191"/>
      <c r="GA180" s="191"/>
      <c r="GB180" s="191"/>
      <c r="GC180" s="191"/>
      <c r="GD180" s="191"/>
      <c r="GE180" s="191"/>
      <c r="GF180" s="191"/>
      <c r="GG180" s="191"/>
      <c r="GH180" s="191"/>
      <c r="GI180" s="191"/>
      <c r="GJ180" s="191"/>
      <c r="GK180" s="191"/>
      <c r="GL180" s="191"/>
      <c r="GM180" s="191"/>
      <c r="GN180" s="191"/>
      <c r="GO180" s="191"/>
      <c r="GP180" s="191"/>
      <c r="GQ180" s="191"/>
      <c r="GR180" s="191"/>
      <c r="GS180" s="191"/>
      <c r="GT180" s="191"/>
      <c r="GU180" s="191"/>
      <c r="GV180" s="191"/>
      <c r="GW180" s="191"/>
      <c r="GX180" s="191"/>
      <c r="GY180" s="191"/>
      <c r="GZ180" s="191"/>
      <c r="HA180" s="191"/>
      <c r="HB180" s="191"/>
      <c r="HC180" s="191"/>
      <c r="HD180" s="191"/>
      <c r="HE180" s="191"/>
      <c r="HF180" s="191"/>
      <c r="HG180" s="191"/>
      <c r="HH180" s="191"/>
      <c r="HI180" s="191"/>
      <c r="HJ180" s="191"/>
      <c r="HK180" s="192"/>
      <c r="HL180" s="190"/>
      <c r="HM180" s="191"/>
      <c r="HN180" s="191"/>
      <c r="HO180" s="191"/>
      <c r="HP180" s="192"/>
      <c r="HU180" s="14"/>
      <c r="HW180" s="222"/>
      <c r="HX180" s="223"/>
      <c r="HY180" s="223"/>
      <c r="HZ180" s="223"/>
      <c r="IA180" s="223"/>
      <c r="IB180" s="223"/>
      <c r="IC180" s="223"/>
      <c r="ID180" s="223"/>
      <c r="IE180" s="223"/>
      <c r="IF180" s="223"/>
      <c r="IG180" s="223"/>
      <c r="IH180" s="223"/>
      <c r="II180" s="223"/>
      <c r="IJ180" s="223"/>
      <c r="IK180" s="223"/>
      <c r="IL180" s="223"/>
      <c r="IM180" s="223"/>
      <c r="IN180" s="223"/>
      <c r="IO180" s="223"/>
      <c r="IP180" s="223"/>
      <c r="IQ180" s="223"/>
      <c r="IR180" s="223"/>
      <c r="IS180" s="223"/>
      <c r="IT180" s="223"/>
      <c r="IU180" s="223"/>
      <c r="IV180" s="223"/>
      <c r="IW180" s="223"/>
      <c r="IX180" s="223"/>
      <c r="IY180" s="223"/>
      <c r="IZ180" s="223"/>
      <c r="JA180" s="223"/>
      <c r="JB180" s="223"/>
      <c r="JC180" s="223"/>
      <c r="JD180" s="223"/>
      <c r="JE180" s="223"/>
      <c r="JF180" s="223"/>
      <c r="JG180" s="223"/>
      <c r="JH180" s="223"/>
      <c r="JI180" s="223"/>
      <c r="JJ180" s="223"/>
      <c r="JK180" s="190"/>
      <c r="JL180" s="191"/>
      <c r="JM180" s="191"/>
      <c r="JN180" s="191"/>
      <c r="JO180" s="191"/>
      <c r="JP180" s="192"/>
      <c r="JV180" s="155"/>
      <c r="KA180" s="16"/>
      <c r="KC180" s="187"/>
      <c r="KD180" s="188"/>
      <c r="KE180" s="188"/>
      <c r="KF180" s="188"/>
      <c r="KG180" s="188"/>
      <c r="KH180" s="188"/>
      <c r="KI180" s="188"/>
      <c r="KJ180" s="188"/>
      <c r="KK180" s="188"/>
      <c r="KL180" s="188"/>
      <c r="KM180" s="188"/>
      <c r="KN180" s="188"/>
      <c r="KO180" s="188"/>
      <c r="KP180" s="188"/>
      <c r="KQ180" s="188"/>
      <c r="KR180" s="188"/>
      <c r="KS180" s="188"/>
      <c r="KT180" s="188"/>
      <c r="KU180" s="188"/>
      <c r="KV180" s="188"/>
      <c r="KW180" s="188"/>
      <c r="KX180" s="188"/>
      <c r="KY180" s="188"/>
      <c r="KZ180" s="188"/>
      <c r="LA180" s="188"/>
      <c r="LB180" s="188"/>
      <c r="LC180" s="188"/>
      <c r="LD180" s="188"/>
      <c r="LE180" s="188"/>
      <c r="LF180" s="188"/>
      <c r="LG180" s="188"/>
      <c r="LH180" s="188"/>
      <c r="LI180" s="188"/>
      <c r="LJ180" s="188"/>
      <c r="LK180" s="188"/>
      <c r="LL180" s="188"/>
      <c r="LM180" s="188"/>
      <c r="LN180" s="188"/>
      <c r="LO180" s="188"/>
      <c r="LP180" s="188"/>
      <c r="LQ180" s="189"/>
      <c r="LR180" s="187"/>
      <c r="LS180" s="188"/>
      <c r="LT180" s="188"/>
      <c r="LU180" s="188"/>
      <c r="LV180" s="189"/>
      <c r="MK180" s="12"/>
      <c r="ML180" s="7"/>
    </row>
    <row r="181" spans="3:374" ht="5.0999999999999996" customHeight="1" x14ac:dyDescent="0.3">
      <c r="C181" s="11"/>
      <c r="D181" s="13"/>
      <c r="Q181" s="184" t="s">
        <v>42</v>
      </c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6"/>
      <c r="BF181" s="184">
        <v>1</v>
      </c>
      <c r="BG181" s="185"/>
      <c r="BH181" s="185"/>
      <c r="BI181" s="185"/>
      <c r="BJ181" s="186"/>
      <c r="CC181" s="187"/>
      <c r="CD181" s="188"/>
      <c r="CE181" s="188"/>
      <c r="CF181" s="188"/>
      <c r="CG181" s="188"/>
      <c r="CH181" s="188"/>
      <c r="CI181" s="188"/>
      <c r="CJ181" s="188"/>
      <c r="CK181" s="188"/>
      <c r="CL181" s="188"/>
      <c r="CM181" s="188"/>
      <c r="CN181" s="188"/>
      <c r="CO181" s="188"/>
      <c r="CP181" s="188"/>
      <c r="CQ181" s="188"/>
      <c r="CR181" s="188"/>
      <c r="CS181" s="188"/>
      <c r="CT181" s="188"/>
      <c r="CU181" s="188"/>
      <c r="CV181" s="188"/>
      <c r="CW181" s="188"/>
      <c r="CX181" s="188"/>
      <c r="CY181" s="188"/>
      <c r="CZ181" s="188"/>
      <c r="DA181" s="188"/>
      <c r="DB181" s="188"/>
      <c r="DC181" s="188"/>
      <c r="DD181" s="188"/>
      <c r="DE181" s="188"/>
      <c r="DF181" s="188"/>
      <c r="DG181" s="188"/>
      <c r="DH181" s="188"/>
      <c r="DI181" s="188"/>
      <c r="DJ181" s="188"/>
      <c r="DK181" s="188"/>
      <c r="DL181" s="188"/>
      <c r="DM181" s="188"/>
      <c r="DN181" s="188"/>
      <c r="DO181" s="188"/>
      <c r="DP181" s="189"/>
      <c r="DQ181" s="187"/>
      <c r="DR181" s="188"/>
      <c r="DS181" s="188"/>
      <c r="DT181" s="188"/>
      <c r="DU181" s="189"/>
      <c r="EA181" s="1" t="s">
        <v>21</v>
      </c>
      <c r="FM181" s="1">
        <v>1</v>
      </c>
      <c r="FO181" s="1">
        <v>4</v>
      </c>
      <c r="FX181" s="184" t="s">
        <v>3</v>
      </c>
      <c r="FY181" s="185"/>
      <c r="FZ181" s="185"/>
      <c r="GA181" s="185"/>
      <c r="GB181" s="185"/>
      <c r="GC181" s="185"/>
      <c r="GD181" s="185"/>
      <c r="GE181" s="185"/>
      <c r="GF181" s="185"/>
      <c r="GG181" s="185"/>
      <c r="GH181" s="185"/>
      <c r="GI181" s="185"/>
      <c r="GJ181" s="185"/>
      <c r="GK181" s="185"/>
      <c r="GL181" s="185"/>
      <c r="GM181" s="185"/>
      <c r="GN181" s="185"/>
      <c r="GO181" s="185"/>
      <c r="GP181" s="185"/>
      <c r="GQ181" s="185"/>
      <c r="GR181" s="185"/>
      <c r="GS181" s="185"/>
      <c r="GT181" s="185"/>
      <c r="GU181" s="185"/>
      <c r="GV181" s="185"/>
      <c r="GW181" s="185"/>
      <c r="GX181" s="185"/>
      <c r="GY181" s="185"/>
      <c r="GZ181" s="185"/>
      <c r="HA181" s="185"/>
      <c r="HB181" s="185"/>
      <c r="HC181" s="185"/>
      <c r="HD181" s="185"/>
      <c r="HE181" s="185"/>
      <c r="HF181" s="185"/>
      <c r="HG181" s="185"/>
      <c r="HH181" s="185"/>
      <c r="HI181" s="185"/>
      <c r="HJ181" s="185"/>
      <c r="HK181" s="186"/>
      <c r="HL181" s="184">
        <v>2</v>
      </c>
      <c r="HM181" s="185"/>
      <c r="HN181" s="185"/>
      <c r="HO181" s="185"/>
      <c r="HP181" s="186"/>
      <c r="JV181" s="155"/>
      <c r="KA181" s="16"/>
      <c r="KC181" s="187"/>
      <c r="KD181" s="188"/>
      <c r="KE181" s="188"/>
      <c r="KF181" s="188"/>
      <c r="KG181" s="188"/>
      <c r="KH181" s="188"/>
      <c r="KI181" s="188"/>
      <c r="KJ181" s="188"/>
      <c r="KK181" s="188"/>
      <c r="KL181" s="188"/>
      <c r="KM181" s="188"/>
      <c r="KN181" s="188"/>
      <c r="KO181" s="188"/>
      <c r="KP181" s="188"/>
      <c r="KQ181" s="188"/>
      <c r="KR181" s="188"/>
      <c r="KS181" s="188"/>
      <c r="KT181" s="188"/>
      <c r="KU181" s="188"/>
      <c r="KV181" s="188"/>
      <c r="KW181" s="188"/>
      <c r="KX181" s="188"/>
      <c r="KY181" s="188"/>
      <c r="KZ181" s="188"/>
      <c r="LA181" s="188"/>
      <c r="LB181" s="188"/>
      <c r="LC181" s="188"/>
      <c r="LD181" s="188"/>
      <c r="LE181" s="188"/>
      <c r="LF181" s="188"/>
      <c r="LG181" s="188"/>
      <c r="LH181" s="188"/>
      <c r="LI181" s="188"/>
      <c r="LJ181" s="188"/>
      <c r="LK181" s="188"/>
      <c r="LL181" s="188"/>
      <c r="LM181" s="188"/>
      <c r="LN181" s="188"/>
      <c r="LO181" s="188"/>
      <c r="LP181" s="188"/>
      <c r="LQ181" s="189"/>
      <c r="LR181" s="187"/>
      <c r="LS181" s="188"/>
      <c r="LT181" s="188"/>
      <c r="LU181" s="188"/>
      <c r="LV181" s="189"/>
      <c r="MK181" s="12"/>
      <c r="ML181" s="7"/>
    </row>
    <row r="182" spans="3:374" ht="5.0999999999999996" customHeight="1" x14ac:dyDescent="0.3">
      <c r="C182" s="11"/>
      <c r="D182" s="13"/>
      <c r="Q182" s="187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  <c r="BD182" s="188"/>
      <c r="BE182" s="189"/>
      <c r="BF182" s="187"/>
      <c r="BG182" s="188"/>
      <c r="BH182" s="188"/>
      <c r="BI182" s="188"/>
      <c r="BJ182" s="189"/>
      <c r="CC182" s="190"/>
      <c r="CD182" s="191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  <c r="CT182" s="191"/>
      <c r="CU182" s="191"/>
      <c r="CV182" s="191"/>
      <c r="CW182" s="191"/>
      <c r="CX182" s="191"/>
      <c r="CY182" s="191"/>
      <c r="CZ182" s="191"/>
      <c r="DA182" s="191"/>
      <c r="DB182" s="191"/>
      <c r="DC182" s="191"/>
      <c r="DD182" s="191"/>
      <c r="DE182" s="191"/>
      <c r="DF182" s="191"/>
      <c r="DG182" s="191"/>
      <c r="DH182" s="191"/>
      <c r="DI182" s="191"/>
      <c r="DJ182" s="191"/>
      <c r="DK182" s="191"/>
      <c r="DL182" s="191"/>
      <c r="DM182" s="191"/>
      <c r="DN182" s="191"/>
      <c r="DO182" s="191"/>
      <c r="DP182" s="192"/>
      <c r="DQ182" s="190"/>
      <c r="DR182" s="191"/>
      <c r="DS182" s="191"/>
      <c r="DT182" s="191"/>
      <c r="DU182" s="192"/>
      <c r="FX182" s="187"/>
      <c r="FY182" s="188"/>
      <c r="FZ182" s="188"/>
      <c r="GA182" s="188"/>
      <c r="GB182" s="188"/>
      <c r="GC182" s="188"/>
      <c r="GD182" s="188"/>
      <c r="GE182" s="188"/>
      <c r="GF182" s="188"/>
      <c r="GG182" s="188"/>
      <c r="GH182" s="188"/>
      <c r="GI182" s="188"/>
      <c r="GJ182" s="188"/>
      <c r="GK182" s="188"/>
      <c r="GL182" s="188"/>
      <c r="GM182" s="188"/>
      <c r="GN182" s="188"/>
      <c r="GO182" s="188"/>
      <c r="GP182" s="188"/>
      <c r="GQ182" s="188"/>
      <c r="GR182" s="188"/>
      <c r="GS182" s="188"/>
      <c r="GT182" s="188"/>
      <c r="GU182" s="188"/>
      <c r="GV182" s="188"/>
      <c r="GW182" s="188"/>
      <c r="GX182" s="188"/>
      <c r="GY182" s="188"/>
      <c r="GZ182" s="188"/>
      <c r="HA182" s="188"/>
      <c r="HB182" s="188"/>
      <c r="HC182" s="188"/>
      <c r="HD182" s="188"/>
      <c r="HE182" s="188"/>
      <c r="HF182" s="188"/>
      <c r="HG182" s="188"/>
      <c r="HH182" s="188"/>
      <c r="HI182" s="188"/>
      <c r="HJ182" s="188"/>
      <c r="HK182" s="189"/>
      <c r="HL182" s="187"/>
      <c r="HM182" s="188"/>
      <c r="HN182" s="188"/>
      <c r="HO182" s="188"/>
      <c r="HP182" s="189"/>
      <c r="JV182" s="155"/>
      <c r="KA182" s="16"/>
      <c r="KC182" s="187"/>
      <c r="KD182" s="188"/>
      <c r="KE182" s="188"/>
      <c r="KF182" s="188"/>
      <c r="KG182" s="188"/>
      <c r="KH182" s="188"/>
      <c r="KI182" s="188"/>
      <c r="KJ182" s="188"/>
      <c r="KK182" s="188"/>
      <c r="KL182" s="188"/>
      <c r="KM182" s="188"/>
      <c r="KN182" s="188"/>
      <c r="KO182" s="188"/>
      <c r="KP182" s="188"/>
      <c r="KQ182" s="188"/>
      <c r="KR182" s="188"/>
      <c r="KS182" s="188"/>
      <c r="KT182" s="188"/>
      <c r="KU182" s="188"/>
      <c r="KV182" s="188"/>
      <c r="KW182" s="188"/>
      <c r="KX182" s="188"/>
      <c r="KY182" s="188"/>
      <c r="KZ182" s="188"/>
      <c r="LA182" s="188"/>
      <c r="LB182" s="188"/>
      <c r="LC182" s="188"/>
      <c r="LD182" s="188"/>
      <c r="LE182" s="188"/>
      <c r="LF182" s="188"/>
      <c r="LG182" s="188"/>
      <c r="LH182" s="188"/>
      <c r="LI182" s="188"/>
      <c r="LJ182" s="188"/>
      <c r="LK182" s="188"/>
      <c r="LL182" s="188"/>
      <c r="LM182" s="188"/>
      <c r="LN182" s="188"/>
      <c r="LO182" s="188"/>
      <c r="LP182" s="188"/>
      <c r="LQ182" s="189"/>
      <c r="LR182" s="187"/>
      <c r="LS182" s="188"/>
      <c r="LT182" s="188"/>
      <c r="LU182" s="188"/>
      <c r="LV182" s="189"/>
      <c r="MK182" s="12"/>
      <c r="ML182" s="7"/>
    </row>
    <row r="183" spans="3:374" ht="5.0999999999999996" customHeight="1" x14ac:dyDescent="0.3">
      <c r="C183" s="11"/>
      <c r="D183" s="13"/>
      <c r="Q183" s="187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  <c r="BE183" s="189"/>
      <c r="BF183" s="187"/>
      <c r="BG183" s="188"/>
      <c r="BH183" s="188"/>
      <c r="BI183" s="188"/>
      <c r="BJ183" s="189"/>
      <c r="FX183" s="187"/>
      <c r="FY183" s="188"/>
      <c r="FZ183" s="188"/>
      <c r="GA183" s="188"/>
      <c r="GB183" s="188"/>
      <c r="GC183" s="188"/>
      <c r="GD183" s="188"/>
      <c r="GE183" s="188"/>
      <c r="GF183" s="188"/>
      <c r="GG183" s="188"/>
      <c r="GH183" s="188"/>
      <c r="GI183" s="188"/>
      <c r="GJ183" s="188"/>
      <c r="GK183" s="188"/>
      <c r="GL183" s="188"/>
      <c r="GM183" s="188"/>
      <c r="GN183" s="188"/>
      <c r="GO183" s="188"/>
      <c r="GP183" s="188"/>
      <c r="GQ183" s="188"/>
      <c r="GR183" s="188"/>
      <c r="GS183" s="188"/>
      <c r="GT183" s="188"/>
      <c r="GU183" s="188"/>
      <c r="GV183" s="188"/>
      <c r="GW183" s="188"/>
      <c r="GX183" s="188"/>
      <c r="GY183" s="188"/>
      <c r="GZ183" s="188"/>
      <c r="HA183" s="188"/>
      <c r="HB183" s="188"/>
      <c r="HC183" s="188"/>
      <c r="HD183" s="188"/>
      <c r="HE183" s="188"/>
      <c r="HF183" s="188"/>
      <c r="HG183" s="188"/>
      <c r="HH183" s="188"/>
      <c r="HI183" s="188"/>
      <c r="HJ183" s="188"/>
      <c r="HK183" s="189"/>
      <c r="HL183" s="187"/>
      <c r="HM183" s="188"/>
      <c r="HN183" s="188"/>
      <c r="HO183" s="188"/>
      <c r="HP183" s="189"/>
      <c r="JV183" s="155"/>
      <c r="KA183" s="16"/>
      <c r="KC183" s="187"/>
      <c r="KD183" s="188"/>
      <c r="KE183" s="188"/>
      <c r="KF183" s="188"/>
      <c r="KG183" s="188"/>
      <c r="KH183" s="188"/>
      <c r="KI183" s="188"/>
      <c r="KJ183" s="188"/>
      <c r="KK183" s="188"/>
      <c r="KL183" s="188"/>
      <c r="KM183" s="188"/>
      <c r="KN183" s="188"/>
      <c r="KO183" s="188"/>
      <c r="KP183" s="188"/>
      <c r="KQ183" s="188"/>
      <c r="KR183" s="188"/>
      <c r="KS183" s="188"/>
      <c r="KT183" s="188"/>
      <c r="KU183" s="188"/>
      <c r="KV183" s="188"/>
      <c r="KW183" s="188"/>
      <c r="KX183" s="188"/>
      <c r="KY183" s="188"/>
      <c r="KZ183" s="188"/>
      <c r="LA183" s="188"/>
      <c r="LB183" s="188"/>
      <c r="LC183" s="188"/>
      <c r="LD183" s="188"/>
      <c r="LE183" s="188"/>
      <c r="LF183" s="188"/>
      <c r="LG183" s="188"/>
      <c r="LH183" s="188"/>
      <c r="LI183" s="188"/>
      <c r="LJ183" s="188"/>
      <c r="LK183" s="188"/>
      <c r="LL183" s="188"/>
      <c r="LM183" s="188"/>
      <c r="LN183" s="188"/>
      <c r="LO183" s="188"/>
      <c r="LP183" s="188"/>
      <c r="LQ183" s="189"/>
      <c r="LR183" s="187"/>
      <c r="LS183" s="188"/>
      <c r="LT183" s="188"/>
      <c r="LU183" s="188"/>
      <c r="LV183" s="189"/>
      <c r="MK183" s="12"/>
      <c r="ML183" s="7"/>
    </row>
    <row r="184" spans="3:374" ht="5.0999999999999996" customHeight="1" x14ac:dyDescent="0.3">
      <c r="C184" s="11"/>
      <c r="D184" s="13"/>
      <c r="Q184" s="187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  <c r="BD184" s="188"/>
      <c r="BE184" s="189"/>
      <c r="BF184" s="187"/>
      <c r="BG184" s="188"/>
      <c r="BH184" s="188"/>
      <c r="BI184" s="188"/>
      <c r="BJ184" s="189"/>
      <c r="FX184" s="187"/>
      <c r="FY184" s="188"/>
      <c r="FZ184" s="188"/>
      <c r="GA184" s="188"/>
      <c r="GB184" s="188"/>
      <c r="GC184" s="188"/>
      <c r="GD184" s="188"/>
      <c r="GE184" s="188"/>
      <c r="GF184" s="188"/>
      <c r="GG184" s="188"/>
      <c r="GH184" s="188"/>
      <c r="GI184" s="188"/>
      <c r="GJ184" s="188"/>
      <c r="GK184" s="188"/>
      <c r="GL184" s="188"/>
      <c r="GM184" s="188"/>
      <c r="GN184" s="188"/>
      <c r="GO184" s="188"/>
      <c r="GP184" s="188"/>
      <c r="GQ184" s="188"/>
      <c r="GR184" s="188"/>
      <c r="GS184" s="188"/>
      <c r="GT184" s="188"/>
      <c r="GU184" s="188"/>
      <c r="GV184" s="188"/>
      <c r="GW184" s="188"/>
      <c r="GX184" s="188"/>
      <c r="GY184" s="188"/>
      <c r="GZ184" s="188"/>
      <c r="HA184" s="188"/>
      <c r="HB184" s="188"/>
      <c r="HC184" s="188"/>
      <c r="HD184" s="188"/>
      <c r="HE184" s="188"/>
      <c r="HF184" s="188"/>
      <c r="HG184" s="188"/>
      <c r="HH184" s="188"/>
      <c r="HI184" s="188"/>
      <c r="HJ184" s="188"/>
      <c r="HK184" s="189"/>
      <c r="HL184" s="187"/>
      <c r="HM184" s="188"/>
      <c r="HN184" s="188"/>
      <c r="HO184" s="188"/>
      <c r="HP184" s="189"/>
      <c r="JV184" s="155"/>
      <c r="KA184" s="16"/>
      <c r="KC184" s="187"/>
      <c r="KD184" s="188"/>
      <c r="KE184" s="188"/>
      <c r="KF184" s="188"/>
      <c r="KG184" s="188"/>
      <c r="KH184" s="188"/>
      <c r="KI184" s="188"/>
      <c r="KJ184" s="188"/>
      <c r="KK184" s="188"/>
      <c r="KL184" s="188"/>
      <c r="KM184" s="188"/>
      <c r="KN184" s="188"/>
      <c r="KO184" s="188"/>
      <c r="KP184" s="188"/>
      <c r="KQ184" s="188"/>
      <c r="KR184" s="188"/>
      <c r="KS184" s="188"/>
      <c r="KT184" s="188"/>
      <c r="KU184" s="188"/>
      <c r="KV184" s="188"/>
      <c r="KW184" s="188"/>
      <c r="KX184" s="188"/>
      <c r="KY184" s="188"/>
      <c r="KZ184" s="188"/>
      <c r="LA184" s="188"/>
      <c r="LB184" s="188"/>
      <c r="LC184" s="188"/>
      <c r="LD184" s="188"/>
      <c r="LE184" s="188"/>
      <c r="LF184" s="188"/>
      <c r="LG184" s="188"/>
      <c r="LH184" s="188"/>
      <c r="LI184" s="188"/>
      <c r="LJ184" s="188"/>
      <c r="LK184" s="188"/>
      <c r="LL184" s="188"/>
      <c r="LM184" s="188"/>
      <c r="LN184" s="188"/>
      <c r="LO184" s="188"/>
      <c r="LP184" s="188"/>
      <c r="LQ184" s="189"/>
      <c r="LR184" s="187"/>
      <c r="LS184" s="188"/>
      <c r="LT184" s="188"/>
      <c r="LU184" s="188"/>
      <c r="LV184" s="189"/>
      <c r="MK184" s="12"/>
      <c r="ML184" s="7"/>
    </row>
    <row r="185" spans="3:374" ht="5.0999999999999996" customHeight="1" x14ac:dyDescent="0.3">
      <c r="C185" s="11"/>
      <c r="D185" s="13"/>
      <c r="Q185" s="187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  <c r="BD185" s="188"/>
      <c r="BE185" s="189"/>
      <c r="BF185" s="187"/>
      <c r="BG185" s="188"/>
      <c r="BH185" s="188"/>
      <c r="BI185" s="188"/>
      <c r="BJ185" s="189"/>
      <c r="FX185" s="187"/>
      <c r="FY185" s="188"/>
      <c r="FZ185" s="188"/>
      <c r="GA185" s="188"/>
      <c r="GB185" s="188"/>
      <c r="GC185" s="188"/>
      <c r="GD185" s="188"/>
      <c r="GE185" s="188"/>
      <c r="GF185" s="188"/>
      <c r="GG185" s="188"/>
      <c r="GH185" s="188"/>
      <c r="GI185" s="188"/>
      <c r="GJ185" s="188"/>
      <c r="GK185" s="188"/>
      <c r="GL185" s="188"/>
      <c r="GM185" s="188"/>
      <c r="GN185" s="188"/>
      <c r="GO185" s="188"/>
      <c r="GP185" s="188"/>
      <c r="GQ185" s="188"/>
      <c r="GR185" s="188"/>
      <c r="GS185" s="188"/>
      <c r="GT185" s="188"/>
      <c r="GU185" s="188"/>
      <c r="GV185" s="188"/>
      <c r="GW185" s="188"/>
      <c r="GX185" s="188"/>
      <c r="GY185" s="188"/>
      <c r="GZ185" s="188"/>
      <c r="HA185" s="188"/>
      <c r="HB185" s="188"/>
      <c r="HC185" s="188"/>
      <c r="HD185" s="188"/>
      <c r="HE185" s="188"/>
      <c r="HF185" s="188"/>
      <c r="HG185" s="188"/>
      <c r="HH185" s="188"/>
      <c r="HI185" s="188"/>
      <c r="HJ185" s="188"/>
      <c r="HK185" s="189"/>
      <c r="HL185" s="187"/>
      <c r="HM185" s="188"/>
      <c r="HN185" s="188"/>
      <c r="HO185" s="188"/>
      <c r="HP185" s="189"/>
      <c r="JV185" s="155"/>
      <c r="KA185" s="16"/>
      <c r="KC185" s="187"/>
      <c r="KD185" s="188"/>
      <c r="KE185" s="188"/>
      <c r="KF185" s="188"/>
      <c r="KG185" s="188"/>
      <c r="KH185" s="188"/>
      <c r="KI185" s="188"/>
      <c r="KJ185" s="188"/>
      <c r="KK185" s="188"/>
      <c r="KL185" s="188"/>
      <c r="KM185" s="188"/>
      <c r="KN185" s="188"/>
      <c r="KO185" s="188"/>
      <c r="KP185" s="188"/>
      <c r="KQ185" s="188"/>
      <c r="KR185" s="188"/>
      <c r="KS185" s="188"/>
      <c r="KT185" s="188"/>
      <c r="KU185" s="188"/>
      <c r="KV185" s="188"/>
      <c r="KW185" s="188"/>
      <c r="KX185" s="188"/>
      <c r="KY185" s="188"/>
      <c r="KZ185" s="188"/>
      <c r="LA185" s="188"/>
      <c r="LB185" s="188"/>
      <c r="LC185" s="188"/>
      <c r="LD185" s="188"/>
      <c r="LE185" s="188"/>
      <c r="LF185" s="188"/>
      <c r="LG185" s="188"/>
      <c r="LH185" s="188"/>
      <c r="LI185" s="188"/>
      <c r="LJ185" s="188"/>
      <c r="LK185" s="188"/>
      <c r="LL185" s="188"/>
      <c r="LM185" s="188"/>
      <c r="LN185" s="188"/>
      <c r="LO185" s="188"/>
      <c r="LP185" s="188"/>
      <c r="LQ185" s="189"/>
      <c r="LR185" s="187"/>
      <c r="LS185" s="188"/>
      <c r="LT185" s="188"/>
      <c r="LU185" s="188"/>
      <c r="LV185" s="189"/>
      <c r="MK185" s="12"/>
      <c r="ML185" s="7"/>
      <c r="MM185" s="3"/>
      <c r="MN185" s="3"/>
      <c r="MO185" s="3"/>
      <c r="MP185" s="3"/>
      <c r="MQ185" s="2"/>
      <c r="NE185" s="3"/>
      <c r="NF185" s="3"/>
      <c r="NG185" s="3"/>
      <c r="NH185" s="3"/>
      <c r="NI185" s="3"/>
      <c r="NJ185" s="2"/>
    </row>
    <row r="186" spans="3:374" ht="5.0999999999999996" customHeight="1" x14ac:dyDescent="0.3">
      <c r="C186" s="11"/>
      <c r="D186" s="13"/>
      <c r="Q186" s="187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  <c r="BD186" s="188"/>
      <c r="BE186" s="189"/>
      <c r="BF186" s="187"/>
      <c r="BG186" s="188"/>
      <c r="BH186" s="188"/>
      <c r="BI186" s="188"/>
      <c r="BJ186" s="189"/>
      <c r="FX186" s="187"/>
      <c r="FY186" s="188"/>
      <c r="FZ186" s="188"/>
      <c r="GA186" s="188"/>
      <c r="GB186" s="188"/>
      <c r="GC186" s="188"/>
      <c r="GD186" s="188"/>
      <c r="GE186" s="188"/>
      <c r="GF186" s="188"/>
      <c r="GG186" s="188"/>
      <c r="GH186" s="188"/>
      <c r="GI186" s="188"/>
      <c r="GJ186" s="188"/>
      <c r="GK186" s="188"/>
      <c r="GL186" s="188"/>
      <c r="GM186" s="188"/>
      <c r="GN186" s="188"/>
      <c r="GO186" s="188"/>
      <c r="GP186" s="188"/>
      <c r="GQ186" s="188"/>
      <c r="GR186" s="188"/>
      <c r="GS186" s="188"/>
      <c r="GT186" s="188"/>
      <c r="GU186" s="188"/>
      <c r="GV186" s="188"/>
      <c r="GW186" s="188"/>
      <c r="GX186" s="188"/>
      <c r="GY186" s="188"/>
      <c r="GZ186" s="188"/>
      <c r="HA186" s="188"/>
      <c r="HB186" s="188"/>
      <c r="HC186" s="188"/>
      <c r="HD186" s="188"/>
      <c r="HE186" s="188"/>
      <c r="HF186" s="188"/>
      <c r="HG186" s="188"/>
      <c r="HH186" s="188"/>
      <c r="HI186" s="188"/>
      <c r="HJ186" s="188"/>
      <c r="HK186" s="189"/>
      <c r="HL186" s="187"/>
      <c r="HM186" s="188"/>
      <c r="HN186" s="188"/>
      <c r="HO186" s="188"/>
      <c r="HP186" s="189"/>
      <c r="JV186" s="155"/>
      <c r="KA186" s="16"/>
      <c r="KC186" s="187"/>
      <c r="KD186" s="188"/>
      <c r="KE186" s="188"/>
      <c r="KF186" s="188"/>
      <c r="KG186" s="188"/>
      <c r="KH186" s="188"/>
      <c r="KI186" s="188"/>
      <c r="KJ186" s="188"/>
      <c r="KK186" s="188"/>
      <c r="KL186" s="188"/>
      <c r="KM186" s="188"/>
      <c r="KN186" s="188"/>
      <c r="KO186" s="188"/>
      <c r="KP186" s="188"/>
      <c r="KQ186" s="188"/>
      <c r="KR186" s="188"/>
      <c r="KS186" s="188"/>
      <c r="KT186" s="188"/>
      <c r="KU186" s="188"/>
      <c r="KV186" s="188"/>
      <c r="KW186" s="188"/>
      <c r="KX186" s="188"/>
      <c r="KY186" s="188"/>
      <c r="KZ186" s="188"/>
      <c r="LA186" s="188"/>
      <c r="LB186" s="188"/>
      <c r="LC186" s="188"/>
      <c r="LD186" s="188"/>
      <c r="LE186" s="188"/>
      <c r="LF186" s="188"/>
      <c r="LG186" s="188"/>
      <c r="LH186" s="188"/>
      <c r="LI186" s="188"/>
      <c r="LJ186" s="188"/>
      <c r="LK186" s="188"/>
      <c r="LL186" s="188"/>
      <c r="LM186" s="188"/>
      <c r="LN186" s="188"/>
      <c r="LO186" s="188"/>
      <c r="LP186" s="188"/>
      <c r="LQ186" s="189"/>
      <c r="LR186" s="187"/>
      <c r="LS186" s="188"/>
      <c r="LT186" s="188"/>
      <c r="LU186" s="188"/>
      <c r="LV186" s="189"/>
      <c r="MK186" s="12"/>
      <c r="ML186" s="7"/>
      <c r="MM186" s="3"/>
      <c r="MN186" s="3"/>
      <c r="MO186" s="3"/>
      <c r="MP186" s="3"/>
      <c r="MQ186" s="2"/>
      <c r="NE186" s="3"/>
      <c r="NF186" s="3"/>
      <c r="NG186" s="3"/>
      <c r="NH186" s="3"/>
      <c r="NI186" s="3"/>
      <c r="NJ186" s="2"/>
    </row>
    <row r="187" spans="3:374" ht="3.75" customHeight="1" x14ac:dyDescent="0.3">
      <c r="C187" s="11"/>
      <c r="D187" s="13"/>
      <c r="Q187" s="187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  <c r="BD187" s="188"/>
      <c r="BE187" s="189"/>
      <c r="BF187" s="187"/>
      <c r="BG187" s="188"/>
      <c r="BH187" s="188"/>
      <c r="BI187" s="188"/>
      <c r="BJ187" s="189"/>
      <c r="FX187" s="187"/>
      <c r="FY187" s="188"/>
      <c r="FZ187" s="188"/>
      <c r="GA187" s="188"/>
      <c r="GB187" s="188"/>
      <c r="GC187" s="188"/>
      <c r="GD187" s="188"/>
      <c r="GE187" s="188"/>
      <c r="GF187" s="188"/>
      <c r="GG187" s="188"/>
      <c r="GH187" s="188"/>
      <c r="GI187" s="188"/>
      <c r="GJ187" s="188"/>
      <c r="GK187" s="188"/>
      <c r="GL187" s="188"/>
      <c r="GM187" s="188"/>
      <c r="GN187" s="188"/>
      <c r="GO187" s="188"/>
      <c r="GP187" s="188"/>
      <c r="GQ187" s="188"/>
      <c r="GR187" s="188"/>
      <c r="GS187" s="188"/>
      <c r="GT187" s="188"/>
      <c r="GU187" s="188"/>
      <c r="GV187" s="188"/>
      <c r="GW187" s="188"/>
      <c r="GX187" s="188"/>
      <c r="GY187" s="188"/>
      <c r="GZ187" s="188"/>
      <c r="HA187" s="188"/>
      <c r="HB187" s="188"/>
      <c r="HC187" s="188"/>
      <c r="HD187" s="188"/>
      <c r="HE187" s="188"/>
      <c r="HF187" s="188"/>
      <c r="HG187" s="188"/>
      <c r="HH187" s="188"/>
      <c r="HI187" s="188"/>
      <c r="HJ187" s="188"/>
      <c r="HK187" s="189"/>
      <c r="HL187" s="187"/>
      <c r="HM187" s="188"/>
      <c r="HN187" s="188"/>
      <c r="HO187" s="188"/>
      <c r="HP187" s="189"/>
      <c r="JV187" s="155"/>
      <c r="KA187" s="16"/>
      <c r="KC187" s="187"/>
      <c r="KD187" s="188"/>
      <c r="KE187" s="188"/>
      <c r="KF187" s="188"/>
      <c r="KG187" s="188"/>
      <c r="KH187" s="188"/>
      <c r="KI187" s="188"/>
      <c r="KJ187" s="188"/>
      <c r="KK187" s="188"/>
      <c r="KL187" s="188"/>
      <c r="KM187" s="188"/>
      <c r="KN187" s="188"/>
      <c r="KO187" s="188"/>
      <c r="KP187" s="188"/>
      <c r="KQ187" s="188"/>
      <c r="KR187" s="188"/>
      <c r="KS187" s="188"/>
      <c r="KT187" s="188"/>
      <c r="KU187" s="188"/>
      <c r="KV187" s="188"/>
      <c r="KW187" s="188"/>
      <c r="KX187" s="188"/>
      <c r="KY187" s="188"/>
      <c r="KZ187" s="188"/>
      <c r="LA187" s="188"/>
      <c r="LB187" s="188"/>
      <c r="LC187" s="188"/>
      <c r="LD187" s="188"/>
      <c r="LE187" s="188"/>
      <c r="LF187" s="188"/>
      <c r="LG187" s="188"/>
      <c r="LH187" s="188"/>
      <c r="LI187" s="188"/>
      <c r="LJ187" s="188"/>
      <c r="LK187" s="188"/>
      <c r="LL187" s="188"/>
      <c r="LM187" s="188"/>
      <c r="LN187" s="188"/>
      <c r="LO187" s="188"/>
      <c r="LP187" s="188"/>
      <c r="LQ187" s="189"/>
      <c r="LR187" s="187"/>
      <c r="LS187" s="188"/>
      <c r="LT187" s="188"/>
      <c r="LU187" s="188"/>
      <c r="LV187" s="189"/>
      <c r="MK187" s="12"/>
      <c r="ML187" s="7"/>
      <c r="MM187" s="3"/>
      <c r="MN187" s="3"/>
      <c r="MO187" s="3"/>
      <c r="MP187" s="3"/>
      <c r="MQ187" s="2"/>
      <c r="NE187" s="3"/>
      <c r="NF187" s="3"/>
      <c r="NG187" s="3"/>
      <c r="NH187" s="3"/>
      <c r="NI187" s="3"/>
      <c r="NJ187" s="2"/>
    </row>
    <row r="188" spans="3:374" ht="5.0999999999999996" customHeight="1" x14ac:dyDescent="0.3">
      <c r="C188" s="11"/>
      <c r="D188" s="13"/>
      <c r="Q188" s="187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  <c r="BD188" s="188"/>
      <c r="BE188" s="189"/>
      <c r="BF188" s="187"/>
      <c r="BG188" s="188"/>
      <c r="BH188" s="188"/>
      <c r="BI188" s="188"/>
      <c r="BJ188" s="189"/>
      <c r="FX188" s="187"/>
      <c r="FY188" s="188"/>
      <c r="FZ188" s="188"/>
      <c r="GA188" s="188"/>
      <c r="GB188" s="188"/>
      <c r="GC188" s="188"/>
      <c r="GD188" s="188"/>
      <c r="GE188" s="188"/>
      <c r="GF188" s="188"/>
      <c r="GG188" s="188"/>
      <c r="GH188" s="188"/>
      <c r="GI188" s="188"/>
      <c r="GJ188" s="188"/>
      <c r="GK188" s="188"/>
      <c r="GL188" s="188"/>
      <c r="GM188" s="188"/>
      <c r="GN188" s="188"/>
      <c r="GO188" s="188"/>
      <c r="GP188" s="188"/>
      <c r="GQ188" s="188"/>
      <c r="GR188" s="188"/>
      <c r="GS188" s="188"/>
      <c r="GT188" s="188"/>
      <c r="GU188" s="188"/>
      <c r="GV188" s="188"/>
      <c r="GW188" s="188"/>
      <c r="GX188" s="188"/>
      <c r="GY188" s="188"/>
      <c r="GZ188" s="188"/>
      <c r="HA188" s="188"/>
      <c r="HB188" s="188"/>
      <c r="HC188" s="188"/>
      <c r="HD188" s="188"/>
      <c r="HE188" s="188"/>
      <c r="HF188" s="188"/>
      <c r="HG188" s="188"/>
      <c r="HH188" s="188"/>
      <c r="HI188" s="188"/>
      <c r="HJ188" s="188"/>
      <c r="HK188" s="189"/>
      <c r="HL188" s="187"/>
      <c r="HM188" s="188"/>
      <c r="HN188" s="188"/>
      <c r="HO188" s="188"/>
      <c r="HP188" s="189"/>
      <c r="JV188" s="155"/>
      <c r="KA188" s="16"/>
      <c r="KC188" s="190"/>
      <c r="KD188" s="191"/>
      <c r="KE188" s="191"/>
      <c r="KF188" s="191"/>
      <c r="KG188" s="191"/>
      <c r="KH188" s="191"/>
      <c r="KI188" s="191"/>
      <c r="KJ188" s="191"/>
      <c r="KK188" s="191"/>
      <c r="KL188" s="191"/>
      <c r="KM188" s="191"/>
      <c r="KN188" s="191"/>
      <c r="KO188" s="191"/>
      <c r="KP188" s="191"/>
      <c r="KQ188" s="191"/>
      <c r="KR188" s="191"/>
      <c r="KS188" s="191"/>
      <c r="KT188" s="191"/>
      <c r="KU188" s="191"/>
      <c r="KV188" s="191"/>
      <c r="KW188" s="191"/>
      <c r="KX188" s="191"/>
      <c r="KY188" s="191"/>
      <c r="KZ188" s="191"/>
      <c r="LA188" s="191"/>
      <c r="LB188" s="191"/>
      <c r="LC188" s="191"/>
      <c r="LD188" s="191"/>
      <c r="LE188" s="191"/>
      <c r="LF188" s="191"/>
      <c r="LG188" s="191"/>
      <c r="LH188" s="191"/>
      <c r="LI188" s="191"/>
      <c r="LJ188" s="191"/>
      <c r="LK188" s="191"/>
      <c r="LL188" s="191"/>
      <c r="LM188" s="191"/>
      <c r="LN188" s="191"/>
      <c r="LO188" s="191"/>
      <c r="LP188" s="191"/>
      <c r="LQ188" s="192"/>
      <c r="LR188" s="190"/>
      <c r="LS188" s="191"/>
      <c r="LT188" s="191"/>
      <c r="LU188" s="191"/>
      <c r="LV188" s="192"/>
      <c r="MK188" s="12"/>
      <c r="ML188" s="7"/>
      <c r="MM188" s="3"/>
      <c r="MN188" s="3"/>
      <c r="MO188" s="3"/>
      <c r="MP188" s="3"/>
      <c r="MQ188" s="2"/>
      <c r="NE188" s="3"/>
      <c r="NF188" s="3"/>
      <c r="NG188" s="3"/>
      <c r="NH188" s="3"/>
      <c r="NI188" s="3"/>
      <c r="NJ188" s="2"/>
    </row>
    <row r="189" spans="3:374" ht="5.0999999999999996" customHeight="1" x14ac:dyDescent="0.3">
      <c r="C189" s="11"/>
      <c r="D189" s="13"/>
      <c r="Q189" s="187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  <c r="BE189" s="189"/>
      <c r="BF189" s="187"/>
      <c r="BG189" s="188"/>
      <c r="BH189" s="188"/>
      <c r="BI189" s="188"/>
      <c r="BJ189" s="189"/>
      <c r="FX189" s="187"/>
      <c r="FY189" s="188"/>
      <c r="FZ189" s="188"/>
      <c r="GA189" s="188"/>
      <c r="GB189" s="188"/>
      <c r="GC189" s="188"/>
      <c r="GD189" s="188"/>
      <c r="GE189" s="188"/>
      <c r="GF189" s="188"/>
      <c r="GG189" s="188"/>
      <c r="GH189" s="188"/>
      <c r="GI189" s="188"/>
      <c r="GJ189" s="188"/>
      <c r="GK189" s="188"/>
      <c r="GL189" s="188"/>
      <c r="GM189" s="188"/>
      <c r="GN189" s="188"/>
      <c r="GO189" s="188"/>
      <c r="GP189" s="188"/>
      <c r="GQ189" s="188"/>
      <c r="GR189" s="188"/>
      <c r="GS189" s="188"/>
      <c r="GT189" s="188"/>
      <c r="GU189" s="188"/>
      <c r="GV189" s="188"/>
      <c r="GW189" s="188"/>
      <c r="GX189" s="188"/>
      <c r="GY189" s="188"/>
      <c r="GZ189" s="188"/>
      <c r="HA189" s="188"/>
      <c r="HB189" s="188"/>
      <c r="HC189" s="188"/>
      <c r="HD189" s="188"/>
      <c r="HE189" s="188"/>
      <c r="HF189" s="188"/>
      <c r="HG189" s="188"/>
      <c r="HH189" s="188"/>
      <c r="HI189" s="188"/>
      <c r="HJ189" s="188"/>
      <c r="HK189" s="189"/>
      <c r="HL189" s="187"/>
      <c r="HM189" s="188"/>
      <c r="HN189" s="188"/>
      <c r="HO189" s="188"/>
      <c r="HP189" s="189"/>
      <c r="JV189" s="155"/>
      <c r="KA189" s="16"/>
      <c r="KC189" s="184" t="s">
        <v>63</v>
      </c>
      <c r="KD189" s="185"/>
      <c r="KE189" s="185"/>
      <c r="KF189" s="185"/>
      <c r="KG189" s="185"/>
      <c r="KH189" s="185"/>
      <c r="KI189" s="185"/>
      <c r="KJ189" s="185"/>
      <c r="KK189" s="185"/>
      <c r="KL189" s="185"/>
      <c r="KM189" s="185"/>
      <c r="KN189" s="185"/>
      <c r="KO189" s="185"/>
      <c r="KP189" s="185"/>
      <c r="KQ189" s="185"/>
      <c r="KR189" s="185"/>
      <c r="KS189" s="185"/>
      <c r="KT189" s="185"/>
      <c r="KU189" s="185"/>
      <c r="KV189" s="185"/>
      <c r="KW189" s="185"/>
      <c r="KX189" s="185"/>
      <c r="KY189" s="185"/>
      <c r="KZ189" s="185"/>
      <c r="LA189" s="185"/>
      <c r="LB189" s="185"/>
      <c r="LC189" s="185"/>
      <c r="LD189" s="185"/>
      <c r="LE189" s="185"/>
      <c r="LF189" s="185"/>
      <c r="LG189" s="185"/>
      <c r="LH189" s="185"/>
      <c r="LI189" s="185"/>
      <c r="LJ189" s="185"/>
      <c r="LK189" s="185"/>
      <c r="LL189" s="185"/>
      <c r="LM189" s="185"/>
      <c r="LN189" s="185"/>
      <c r="LO189" s="185"/>
      <c r="LP189" s="185"/>
      <c r="LQ189" s="186"/>
      <c r="LR189" s="184">
        <v>1</v>
      </c>
      <c r="LS189" s="185"/>
      <c r="LT189" s="185"/>
      <c r="LU189" s="185"/>
      <c r="LV189" s="186"/>
      <c r="MK189" s="12"/>
      <c r="ML189" s="7"/>
      <c r="MM189" s="3"/>
      <c r="MN189" s="3"/>
      <c r="MO189" s="3"/>
      <c r="MP189" s="3"/>
      <c r="MQ189" s="2"/>
      <c r="NE189" s="3"/>
      <c r="NF189" s="3"/>
      <c r="NG189" s="3"/>
      <c r="NH189" s="3"/>
      <c r="NI189" s="3"/>
      <c r="NJ189" s="2"/>
    </row>
    <row r="190" spans="3:374" ht="5.0999999999999996" customHeight="1" x14ac:dyDescent="0.3">
      <c r="C190" s="11"/>
      <c r="D190" s="13"/>
      <c r="Q190" s="190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2"/>
      <c r="BF190" s="190"/>
      <c r="BG190" s="191"/>
      <c r="BH190" s="191"/>
      <c r="BI190" s="191"/>
      <c r="BJ190" s="192"/>
      <c r="FX190" s="190"/>
      <c r="FY190" s="191"/>
      <c r="FZ190" s="191"/>
      <c r="GA190" s="191"/>
      <c r="GB190" s="191"/>
      <c r="GC190" s="191"/>
      <c r="GD190" s="191"/>
      <c r="GE190" s="191"/>
      <c r="GF190" s="191"/>
      <c r="GG190" s="191"/>
      <c r="GH190" s="191"/>
      <c r="GI190" s="191"/>
      <c r="GJ190" s="191"/>
      <c r="GK190" s="191"/>
      <c r="GL190" s="191"/>
      <c r="GM190" s="191"/>
      <c r="GN190" s="191"/>
      <c r="GO190" s="191"/>
      <c r="GP190" s="191"/>
      <c r="GQ190" s="191"/>
      <c r="GR190" s="191"/>
      <c r="GS190" s="191"/>
      <c r="GT190" s="191"/>
      <c r="GU190" s="191"/>
      <c r="GV190" s="191"/>
      <c r="GW190" s="191"/>
      <c r="GX190" s="191"/>
      <c r="GY190" s="191"/>
      <c r="GZ190" s="191"/>
      <c r="HA190" s="191"/>
      <c r="HB190" s="191"/>
      <c r="HC190" s="191"/>
      <c r="HD190" s="191"/>
      <c r="HE190" s="191"/>
      <c r="HF190" s="191"/>
      <c r="HG190" s="191"/>
      <c r="HH190" s="191"/>
      <c r="HI190" s="191"/>
      <c r="HJ190" s="191"/>
      <c r="HK190" s="192"/>
      <c r="HL190" s="190"/>
      <c r="HM190" s="191"/>
      <c r="HN190" s="191"/>
      <c r="HO190" s="191"/>
      <c r="HP190" s="192"/>
      <c r="JV190" s="155"/>
      <c r="KA190" s="16"/>
      <c r="KC190" s="187"/>
      <c r="KD190" s="188"/>
      <c r="KE190" s="188"/>
      <c r="KF190" s="188"/>
      <c r="KG190" s="188"/>
      <c r="KH190" s="188"/>
      <c r="KI190" s="188"/>
      <c r="KJ190" s="188"/>
      <c r="KK190" s="188"/>
      <c r="KL190" s="188"/>
      <c r="KM190" s="188"/>
      <c r="KN190" s="188"/>
      <c r="KO190" s="188"/>
      <c r="KP190" s="188"/>
      <c r="KQ190" s="188"/>
      <c r="KR190" s="188"/>
      <c r="KS190" s="188"/>
      <c r="KT190" s="188"/>
      <c r="KU190" s="188"/>
      <c r="KV190" s="188"/>
      <c r="KW190" s="188"/>
      <c r="KX190" s="188"/>
      <c r="KY190" s="188"/>
      <c r="KZ190" s="188"/>
      <c r="LA190" s="188"/>
      <c r="LB190" s="188"/>
      <c r="LC190" s="188"/>
      <c r="LD190" s="188"/>
      <c r="LE190" s="188"/>
      <c r="LF190" s="188"/>
      <c r="LG190" s="188"/>
      <c r="LH190" s="188"/>
      <c r="LI190" s="188"/>
      <c r="LJ190" s="188"/>
      <c r="LK190" s="188"/>
      <c r="LL190" s="188"/>
      <c r="LM190" s="188"/>
      <c r="LN190" s="188"/>
      <c r="LO190" s="188"/>
      <c r="LP190" s="188"/>
      <c r="LQ190" s="189"/>
      <c r="LR190" s="187"/>
      <c r="LS190" s="188"/>
      <c r="LT190" s="188"/>
      <c r="LU190" s="188"/>
      <c r="LV190" s="189"/>
      <c r="MK190" s="12"/>
      <c r="ML190" s="7"/>
    </row>
    <row r="191" spans="3:374" ht="5.0999999999999996" customHeight="1" x14ac:dyDescent="0.3">
      <c r="C191" s="11"/>
      <c r="D191" s="13"/>
      <c r="Q191" s="184" t="s">
        <v>41</v>
      </c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6"/>
      <c r="BF191" s="184">
        <v>1</v>
      </c>
      <c r="BG191" s="185"/>
      <c r="BH191" s="185"/>
      <c r="BI191" s="185"/>
      <c r="BJ191" s="186"/>
      <c r="EA191" s="1" t="s">
        <v>20</v>
      </c>
      <c r="FM191" s="1">
        <v>1</v>
      </c>
      <c r="FO191" s="1">
        <v>24</v>
      </c>
      <c r="JV191" s="155"/>
      <c r="KA191" s="16"/>
      <c r="KC191" s="187"/>
      <c r="KD191" s="188"/>
      <c r="KE191" s="188"/>
      <c r="KF191" s="188"/>
      <c r="KG191" s="188"/>
      <c r="KH191" s="188"/>
      <c r="KI191" s="188"/>
      <c r="KJ191" s="188"/>
      <c r="KK191" s="188"/>
      <c r="KL191" s="188"/>
      <c r="KM191" s="188"/>
      <c r="KN191" s="188"/>
      <c r="KO191" s="188"/>
      <c r="KP191" s="188"/>
      <c r="KQ191" s="188"/>
      <c r="KR191" s="188"/>
      <c r="KS191" s="188"/>
      <c r="KT191" s="188"/>
      <c r="KU191" s="188"/>
      <c r="KV191" s="188"/>
      <c r="KW191" s="188"/>
      <c r="KX191" s="188"/>
      <c r="KY191" s="188"/>
      <c r="KZ191" s="188"/>
      <c r="LA191" s="188"/>
      <c r="LB191" s="188"/>
      <c r="LC191" s="188"/>
      <c r="LD191" s="188"/>
      <c r="LE191" s="188"/>
      <c r="LF191" s="188"/>
      <c r="LG191" s="188"/>
      <c r="LH191" s="188"/>
      <c r="LI191" s="188"/>
      <c r="LJ191" s="188"/>
      <c r="LK191" s="188"/>
      <c r="LL191" s="188"/>
      <c r="LM191" s="188"/>
      <c r="LN191" s="188"/>
      <c r="LO191" s="188"/>
      <c r="LP191" s="188"/>
      <c r="LQ191" s="189"/>
      <c r="LR191" s="187"/>
      <c r="LS191" s="188"/>
      <c r="LT191" s="188"/>
      <c r="LU191" s="188"/>
      <c r="LV191" s="189"/>
      <c r="MK191" s="12"/>
      <c r="ML191" s="7"/>
    </row>
    <row r="192" spans="3:374" ht="5.0999999999999996" customHeight="1" x14ac:dyDescent="0.3">
      <c r="C192" s="11"/>
      <c r="D192" s="13"/>
      <c r="Q192" s="187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  <c r="BD192" s="188"/>
      <c r="BE192" s="189"/>
      <c r="BF192" s="187"/>
      <c r="BG192" s="188"/>
      <c r="BH192" s="188"/>
      <c r="BI192" s="188"/>
      <c r="BJ192" s="189"/>
      <c r="JV192" s="155"/>
      <c r="KA192" s="16"/>
      <c r="KC192" s="187"/>
      <c r="KD192" s="188"/>
      <c r="KE192" s="188"/>
      <c r="KF192" s="188"/>
      <c r="KG192" s="188"/>
      <c r="KH192" s="188"/>
      <c r="KI192" s="188"/>
      <c r="KJ192" s="188"/>
      <c r="KK192" s="188"/>
      <c r="KL192" s="188"/>
      <c r="KM192" s="188"/>
      <c r="KN192" s="188"/>
      <c r="KO192" s="188"/>
      <c r="KP192" s="188"/>
      <c r="KQ192" s="188"/>
      <c r="KR192" s="188"/>
      <c r="KS192" s="188"/>
      <c r="KT192" s="188"/>
      <c r="KU192" s="188"/>
      <c r="KV192" s="188"/>
      <c r="KW192" s="188"/>
      <c r="KX192" s="188"/>
      <c r="KY192" s="188"/>
      <c r="KZ192" s="188"/>
      <c r="LA192" s="188"/>
      <c r="LB192" s="188"/>
      <c r="LC192" s="188"/>
      <c r="LD192" s="188"/>
      <c r="LE192" s="188"/>
      <c r="LF192" s="188"/>
      <c r="LG192" s="188"/>
      <c r="LH192" s="188"/>
      <c r="LI192" s="188"/>
      <c r="LJ192" s="188"/>
      <c r="LK192" s="188"/>
      <c r="LL192" s="188"/>
      <c r="LM192" s="188"/>
      <c r="LN192" s="188"/>
      <c r="LO192" s="188"/>
      <c r="LP192" s="188"/>
      <c r="LQ192" s="189"/>
      <c r="LR192" s="187"/>
      <c r="LS192" s="188"/>
      <c r="LT192" s="188"/>
      <c r="LU192" s="188"/>
      <c r="LV192" s="189"/>
      <c r="MK192" s="12"/>
      <c r="ML192" s="7"/>
      <c r="MM192" s="3"/>
      <c r="MN192" s="3"/>
      <c r="MO192" s="3"/>
      <c r="MP192" s="3"/>
      <c r="MQ192" s="2"/>
      <c r="NE192" s="3"/>
      <c r="NF192" s="3"/>
      <c r="NG192" s="3"/>
      <c r="NH192" s="3"/>
      <c r="NI192" s="3"/>
      <c r="NJ192" s="2"/>
    </row>
    <row r="193" spans="3:374" ht="5.0999999999999996" customHeight="1" x14ac:dyDescent="0.3">
      <c r="C193" s="11"/>
      <c r="D193" s="13"/>
      <c r="Q193" s="187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  <c r="BE193" s="189"/>
      <c r="BF193" s="187"/>
      <c r="BG193" s="188"/>
      <c r="BH193" s="188"/>
      <c r="BI193" s="188"/>
      <c r="BJ193" s="189"/>
      <c r="JV193" s="155"/>
      <c r="KA193" s="16"/>
      <c r="KC193" s="187"/>
      <c r="KD193" s="188"/>
      <c r="KE193" s="188"/>
      <c r="KF193" s="188"/>
      <c r="KG193" s="188"/>
      <c r="KH193" s="188"/>
      <c r="KI193" s="188"/>
      <c r="KJ193" s="188"/>
      <c r="KK193" s="188"/>
      <c r="KL193" s="188"/>
      <c r="KM193" s="188"/>
      <c r="KN193" s="188"/>
      <c r="KO193" s="188"/>
      <c r="KP193" s="188"/>
      <c r="KQ193" s="188"/>
      <c r="KR193" s="188"/>
      <c r="KS193" s="188"/>
      <c r="KT193" s="188"/>
      <c r="KU193" s="188"/>
      <c r="KV193" s="188"/>
      <c r="KW193" s="188"/>
      <c r="KX193" s="188"/>
      <c r="KY193" s="188"/>
      <c r="KZ193" s="188"/>
      <c r="LA193" s="188"/>
      <c r="LB193" s="188"/>
      <c r="LC193" s="188"/>
      <c r="LD193" s="188"/>
      <c r="LE193" s="188"/>
      <c r="LF193" s="188"/>
      <c r="LG193" s="188"/>
      <c r="LH193" s="188"/>
      <c r="LI193" s="188"/>
      <c r="LJ193" s="188"/>
      <c r="LK193" s="188"/>
      <c r="LL193" s="188"/>
      <c r="LM193" s="188"/>
      <c r="LN193" s="188"/>
      <c r="LO193" s="188"/>
      <c r="LP193" s="188"/>
      <c r="LQ193" s="189"/>
      <c r="LR193" s="187"/>
      <c r="LS193" s="188"/>
      <c r="LT193" s="188"/>
      <c r="LU193" s="188"/>
      <c r="LV193" s="189"/>
      <c r="MK193" s="12"/>
      <c r="ML193" s="7"/>
      <c r="MM193" s="3"/>
      <c r="MN193" s="3"/>
      <c r="MO193" s="3"/>
      <c r="MP193" s="3"/>
      <c r="MQ193" s="2"/>
      <c r="NE193" s="3"/>
      <c r="NF193" s="3"/>
      <c r="NG193" s="3"/>
      <c r="NH193" s="3"/>
      <c r="NI193" s="3"/>
      <c r="NJ193" s="2"/>
    </row>
    <row r="194" spans="3:374" ht="5.0999999999999996" customHeight="1" x14ac:dyDescent="0.3">
      <c r="C194" s="11"/>
      <c r="D194" s="13"/>
      <c r="Q194" s="187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  <c r="BD194" s="188"/>
      <c r="BE194" s="189"/>
      <c r="BF194" s="187"/>
      <c r="BG194" s="188"/>
      <c r="BH194" s="188"/>
      <c r="BI194" s="188"/>
      <c r="BJ194" s="189"/>
      <c r="JV194" s="155"/>
      <c r="KA194" s="16"/>
      <c r="KC194" s="187"/>
      <c r="KD194" s="188"/>
      <c r="KE194" s="188"/>
      <c r="KF194" s="188"/>
      <c r="KG194" s="188"/>
      <c r="KH194" s="188"/>
      <c r="KI194" s="188"/>
      <c r="KJ194" s="188"/>
      <c r="KK194" s="188"/>
      <c r="KL194" s="188"/>
      <c r="KM194" s="188"/>
      <c r="KN194" s="188"/>
      <c r="KO194" s="188"/>
      <c r="KP194" s="188"/>
      <c r="KQ194" s="188"/>
      <c r="KR194" s="188"/>
      <c r="KS194" s="188"/>
      <c r="KT194" s="188"/>
      <c r="KU194" s="188"/>
      <c r="KV194" s="188"/>
      <c r="KW194" s="188"/>
      <c r="KX194" s="188"/>
      <c r="KY194" s="188"/>
      <c r="KZ194" s="188"/>
      <c r="LA194" s="188"/>
      <c r="LB194" s="188"/>
      <c r="LC194" s="188"/>
      <c r="LD194" s="188"/>
      <c r="LE194" s="188"/>
      <c r="LF194" s="188"/>
      <c r="LG194" s="188"/>
      <c r="LH194" s="188"/>
      <c r="LI194" s="188"/>
      <c r="LJ194" s="188"/>
      <c r="LK194" s="188"/>
      <c r="LL194" s="188"/>
      <c r="LM194" s="188"/>
      <c r="LN194" s="188"/>
      <c r="LO194" s="188"/>
      <c r="LP194" s="188"/>
      <c r="LQ194" s="189"/>
      <c r="LR194" s="187"/>
      <c r="LS194" s="188"/>
      <c r="LT194" s="188"/>
      <c r="LU194" s="188"/>
      <c r="LV194" s="189"/>
      <c r="MK194" s="12"/>
      <c r="ML194" s="7"/>
      <c r="MM194" s="3"/>
      <c r="MN194" s="3"/>
      <c r="MO194" s="3"/>
      <c r="MP194" s="3"/>
      <c r="MQ194" s="2"/>
      <c r="NE194" s="3"/>
      <c r="NF194" s="3"/>
      <c r="NG194" s="3"/>
      <c r="NH194" s="3"/>
      <c r="NI194" s="3"/>
      <c r="NJ194" s="2"/>
    </row>
    <row r="195" spans="3:374" ht="5.0999999999999996" customHeight="1" x14ac:dyDescent="0.3">
      <c r="C195" s="11"/>
      <c r="D195" s="13"/>
      <c r="Q195" s="187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9"/>
      <c r="BF195" s="187"/>
      <c r="BG195" s="188"/>
      <c r="BH195" s="188"/>
      <c r="BI195" s="188"/>
      <c r="BJ195" s="189"/>
      <c r="JV195" s="155"/>
      <c r="KA195" s="16"/>
      <c r="KC195" s="187"/>
      <c r="KD195" s="188"/>
      <c r="KE195" s="188"/>
      <c r="KF195" s="188"/>
      <c r="KG195" s="188"/>
      <c r="KH195" s="188"/>
      <c r="KI195" s="188"/>
      <c r="KJ195" s="188"/>
      <c r="KK195" s="188"/>
      <c r="KL195" s="188"/>
      <c r="KM195" s="188"/>
      <c r="KN195" s="188"/>
      <c r="KO195" s="188"/>
      <c r="KP195" s="188"/>
      <c r="KQ195" s="188"/>
      <c r="KR195" s="188"/>
      <c r="KS195" s="188"/>
      <c r="KT195" s="188"/>
      <c r="KU195" s="188"/>
      <c r="KV195" s="188"/>
      <c r="KW195" s="188"/>
      <c r="KX195" s="188"/>
      <c r="KY195" s="188"/>
      <c r="KZ195" s="188"/>
      <c r="LA195" s="188"/>
      <c r="LB195" s="188"/>
      <c r="LC195" s="188"/>
      <c r="LD195" s="188"/>
      <c r="LE195" s="188"/>
      <c r="LF195" s="188"/>
      <c r="LG195" s="188"/>
      <c r="LH195" s="188"/>
      <c r="LI195" s="188"/>
      <c r="LJ195" s="188"/>
      <c r="LK195" s="188"/>
      <c r="LL195" s="188"/>
      <c r="LM195" s="188"/>
      <c r="LN195" s="188"/>
      <c r="LO195" s="188"/>
      <c r="LP195" s="188"/>
      <c r="LQ195" s="189"/>
      <c r="LR195" s="187"/>
      <c r="LS195" s="188"/>
      <c r="LT195" s="188"/>
      <c r="LU195" s="188"/>
      <c r="LV195" s="189"/>
      <c r="MK195" s="12"/>
      <c r="ML195" s="7"/>
      <c r="MM195" s="3"/>
      <c r="MN195" s="3"/>
      <c r="MO195" s="3"/>
      <c r="MP195" s="3"/>
      <c r="MQ195" s="2"/>
      <c r="NE195" s="3"/>
      <c r="NF195" s="3"/>
      <c r="NG195" s="3"/>
      <c r="NH195" s="3"/>
      <c r="NI195" s="3"/>
      <c r="NJ195" s="2"/>
    </row>
    <row r="196" spans="3:374" ht="5.0999999999999996" customHeight="1" x14ac:dyDescent="0.3">
      <c r="C196" s="11"/>
      <c r="D196" s="13"/>
      <c r="Q196" s="187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  <c r="BD196" s="188"/>
      <c r="BE196" s="189"/>
      <c r="BF196" s="187"/>
      <c r="BG196" s="188"/>
      <c r="BH196" s="188"/>
      <c r="BI196" s="188"/>
      <c r="BJ196" s="189"/>
      <c r="JV196" s="155"/>
      <c r="KA196" s="16"/>
      <c r="KC196" s="187"/>
      <c r="KD196" s="188"/>
      <c r="KE196" s="188"/>
      <c r="KF196" s="188"/>
      <c r="KG196" s="188"/>
      <c r="KH196" s="188"/>
      <c r="KI196" s="188"/>
      <c r="KJ196" s="188"/>
      <c r="KK196" s="188"/>
      <c r="KL196" s="188"/>
      <c r="KM196" s="188"/>
      <c r="KN196" s="188"/>
      <c r="KO196" s="188"/>
      <c r="KP196" s="188"/>
      <c r="KQ196" s="188"/>
      <c r="KR196" s="188"/>
      <c r="KS196" s="188"/>
      <c r="KT196" s="188"/>
      <c r="KU196" s="188"/>
      <c r="KV196" s="188"/>
      <c r="KW196" s="188"/>
      <c r="KX196" s="188"/>
      <c r="KY196" s="188"/>
      <c r="KZ196" s="188"/>
      <c r="LA196" s="188"/>
      <c r="LB196" s="188"/>
      <c r="LC196" s="188"/>
      <c r="LD196" s="188"/>
      <c r="LE196" s="188"/>
      <c r="LF196" s="188"/>
      <c r="LG196" s="188"/>
      <c r="LH196" s="188"/>
      <c r="LI196" s="188"/>
      <c r="LJ196" s="188"/>
      <c r="LK196" s="188"/>
      <c r="LL196" s="188"/>
      <c r="LM196" s="188"/>
      <c r="LN196" s="188"/>
      <c r="LO196" s="188"/>
      <c r="LP196" s="188"/>
      <c r="LQ196" s="189"/>
      <c r="LR196" s="187"/>
      <c r="LS196" s="188"/>
      <c r="LT196" s="188"/>
      <c r="LU196" s="188"/>
      <c r="LV196" s="189"/>
      <c r="MK196" s="12"/>
      <c r="ML196" s="7"/>
      <c r="MM196" s="3"/>
      <c r="MN196" s="3"/>
      <c r="MO196" s="3"/>
      <c r="MP196" s="3"/>
      <c r="MQ196" s="2"/>
      <c r="NE196" s="3"/>
      <c r="NF196" s="3"/>
      <c r="NG196" s="3"/>
      <c r="NH196" s="3"/>
      <c r="NI196" s="3"/>
      <c r="NJ196" s="2"/>
    </row>
    <row r="197" spans="3:374" ht="5.0999999999999996" customHeight="1" x14ac:dyDescent="0.3">
      <c r="C197" s="11"/>
      <c r="D197" s="13"/>
      <c r="Q197" s="187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  <c r="BD197" s="188"/>
      <c r="BE197" s="189"/>
      <c r="BF197" s="187"/>
      <c r="BG197" s="188"/>
      <c r="BH197" s="188"/>
      <c r="BI197" s="188"/>
      <c r="BJ197" s="189"/>
      <c r="JV197" s="155"/>
      <c r="KA197" s="16"/>
      <c r="KC197" s="187"/>
      <c r="KD197" s="188"/>
      <c r="KE197" s="188"/>
      <c r="KF197" s="188"/>
      <c r="KG197" s="188"/>
      <c r="KH197" s="188"/>
      <c r="KI197" s="188"/>
      <c r="KJ197" s="188"/>
      <c r="KK197" s="188"/>
      <c r="KL197" s="188"/>
      <c r="KM197" s="188"/>
      <c r="KN197" s="188"/>
      <c r="KO197" s="188"/>
      <c r="KP197" s="188"/>
      <c r="KQ197" s="188"/>
      <c r="KR197" s="188"/>
      <c r="KS197" s="188"/>
      <c r="KT197" s="188"/>
      <c r="KU197" s="188"/>
      <c r="KV197" s="188"/>
      <c r="KW197" s="188"/>
      <c r="KX197" s="188"/>
      <c r="KY197" s="188"/>
      <c r="KZ197" s="188"/>
      <c r="LA197" s="188"/>
      <c r="LB197" s="188"/>
      <c r="LC197" s="188"/>
      <c r="LD197" s="188"/>
      <c r="LE197" s="188"/>
      <c r="LF197" s="188"/>
      <c r="LG197" s="188"/>
      <c r="LH197" s="188"/>
      <c r="LI197" s="188"/>
      <c r="LJ197" s="188"/>
      <c r="LK197" s="188"/>
      <c r="LL197" s="188"/>
      <c r="LM197" s="188"/>
      <c r="LN197" s="188"/>
      <c r="LO197" s="188"/>
      <c r="LP197" s="188"/>
      <c r="LQ197" s="189"/>
      <c r="LR197" s="187"/>
      <c r="LS197" s="188"/>
      <c r="LT197" s="188"/>
      <c r="LU197" s="188"/>
      <c r="LV197" s="189"/>
      <c r="MK197" s="12"/>
      <c r="ML197" s="7"/>
      <c r="MM197" s="3"/>
      <c r="MN197" s="3"/>
      <c r="MO197" s="3"/>
      <c r="MP197" s="3"/>
      <c r="MQ197" s="2"/>
      <c r="NE197" s="3"/>
      <c r="NF197" s="3"/>
      <c r="NG197" s="3"/>
      <c r="NH197" s="3"/>
      <c r="NI197" s="3"/>
      <c r="NJ197" s="2"/>
    </row>
    <row r="198" spans="3:374" ht="5.0999999999999996" customHeight="1" x14ac:dyDescent="0.3">
      <c r="C198" s="11"/>
      <c r="D198" s="13"/>
      <c r="Q198" s="187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9"/>
      <c r="BF198" s="187"/>
      <c r="BG198" s="188"/>
      <c r="BH198" s="188"/>
      <c r="BI198" s="188"/>
      <c r="BJ198" s="189"/>
      <c r="JV198" s="155"/>
      <c r="KA198" s="16"/>
      <c r="KC198" s="190"/>
      <c r="KD198" s="191"/>
      <c r="KE198" s="191"/>
      <c r="KF198" s="191"/>
      <c r="KG198" s="191"/>
      <c r="KH198" s="191"/>
      <c r="KI198" s="191"/>
      <c r="KJ198" s="191"/>
      <c r="KK198" s="191"/>
      <c r="KL198" s="191"/>
      <c r="KM198" s="191"/>
      <c r="KN198" s="191"/>
      <c r="KO198" s="191"/>
      <c r="KP198" s="191"/>
      <c r="KQ198" s="191"/>
      <c r="KR198" s="191"/>
      <c r="KS198" s="191"/>
      <c r="KT198" s="191"/>
      <c r="KU198" s="191"/>
      <c r="KV198" s="191"/>
      <c r="KW198" s="191"/>
      <c r="KX198" s="191"/>
      <c r="KY198" s="191"/>
      <c r="KZ198" s="191"/>
      <c r="LA198" s="191"/>
      <c r="LB198" s="191"/>
      <c r="LC198" s="191"/>
      <c r="LD198" s="191"/>
      <c r="LE198" s="191"/>
      <c r="LF198" s="191"/>
      <c r="LG198" s="191"/>
      <c r="LH198" s="191"/>
      <c r="LI198" s="191"/>
      <c r="LJ198" s="191"/>
      <c r="LK198" s="191"/>
      <c r="LL198" s="191"/>
      <c r="LM198" s="191"/>
      <c r="LN198" s="191"/>
      <c r="LO198" s="191"/>
      <c r="LP198" s="191"/>
      <c r="LQ198" s="192"/>
      <c r="LR198" s="190"/>
      <c r="LS198" s="191"/>
      <c r="LT198" s="191"/>
      <c r="LU198" s="191"/>
      <c r="LV198" s="192"/>
      <c r="MK198" s="12"/>
      <c r="ML198" s="7"/>
      <c r="MM198" s="3"/>
      <c r="MN198" s="3"/>
      <c r="MO198" s="3"/>
      <c r="MP198" s="3"/>
      <c r="MQ198" s="2"/>
      <c r="NE198" s="3"/>
      <c r="NF198" s="3"/>
      <c r="NG198" s="3"/>
      <c r="NH198" s="3"/>
      <c r="NI198" s="3"/>
      <c r="NJ198" s="2"/>
    </row>
    <row r="199" spans="3:374" ht="5.0999999999999996" customHeight="1" x14ac:dyDescent="0.3">
      <c r="C199" s="11"/>
      <c r="D199" s="13"/>
      <c r="Q199" s="187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9"/>
      <c r="BF199" s="187"/>
      <c r="BG199" s="188"/>
      <c r="BH199" s="188"/>
      <c r="BI199" s="188"/>
      <c r="BJ199" s="189"/>
      <c r="JV199" s="155"/>
      <c r="KA199" s="16"/>
      <c r="KC199" s="184" t="s">
        <v>152</v>
      </c>
      <c r="KD199" s="185"/>
      <c r="KE199" s="185"/>
      <c r="KF199" s="185"/>
      <c r="KG199" s="185"/>
      <c r="KH199" s="185"/>
      <c r="KI199" s="185"/>
      <c r="KJ199" s="185"/>
      <c r="KK199" s="185"/>
      <c r="KL199" s="185"/>
      <c r="KM199" s="185"/>
      <c r="KN199" s="185"/>
      <c r="KO199" s="185"/>
      <c r="KP199" s="185"/>
      <c r="KQ199" s="185"/>
      <c r="KR199" s="185"/>
      <c r="KS199" s="185"/>
      <c r="KT199" s="185"/>
      <c r="KU199" s="185"/>
      <c r="KV199" s="185"/>
      <c r="KW199" s="185"/>
      <c r="KX199" s="185"/>
      <c r="KY199" s="185"/>
      <c r="KZ199" s="185"/>
      <c r="LA199" s="185"/>
      <c r="LB199" s="185"/>
      <c r="LC199" s="185"/>
      <c r="LD199" s="185"/>
      <c r="LE199" s="185"/>
      <c r="LF199" s="185"/>
      <c r="LG199" s="185"/>
      <c r="LH199" s="185"/>
      <c r="LI199" s="185"/>
      <c r="LJ199" s="185"/>
      <c r="LK199" s="185"/>
      <c r="LL199" s="185"/>
      <c r="LM199" s="185"/>
      <c r="LN199" s="185"/>
      <c r="LO199" s="185"/>
      <c r="LP199" s="185"/>
      <c r="LQ199" s="186"/>
      <c r="LR199" s="184">
        <v>6</v>
      </c>
      <c r="LS199" s="185"/>
      <c r="LT199" s="185"/>
      <c r="LU199" s="185"/>
      <c r="LV199" s="186"/>
      <c r="MK199" s="12"/>
      <c r="ML199" s="7"/>
      <c r="MM199" s="3"/>
      <c r="MN199" s="3"/>
      <c r="MO199" s="3"/>
      <c r="MP199" s="3"/>
      <c r="MQ199" s="2"/>
      <c r="NE199" s="3"/>
      <c r="NF199" s="3"/>
      <c r="NG199" s="3"/>
      <c r="NH199" s="3"/>
      <c r="NI199" s="3"/>
      <c r="NJ199" s="2"/>
    </row>
    <row r="200" spans="3:374" ht="5.0999999999999996" customHeight="1" x14ac:dyDescent="0.3">
      <c r="C200" s="11"/>
      <c r="D200" s="13"/>
      <c r="Q200" s="190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2"/>
      <c r="BF200" s="190"/>
      <c r="BG200" s="191"/>
      <c r="BH200" s="191"/>
      <c r="BI200" s="191"/>
      <c r="BJ200" s="192"/>
      <c r="JV200" s="155"/>
      <c r="KA200" s="16"/>
      <c r="KC200" s="187"/>
      <c r="KD200" s="188"/>
      <c r="KE200" s="188"/>
      <c r="KF200" s="188"/>
      <c r="KG200" s="188"/>
      <c r="KH200" s="188"/>
      <c r="KI200" s="188"/>
      <c r="KJ200" s="188"/>
      <c r="KK200" s="188"/>
      <c r="KL200" s="188"/>
      <c r="KM200" s="188"/>
      <c r="KN200" s="188"/>
      <c r="KO200" s="188"/>
      <c r="KP200" s="188"/>
      <c r="KQ200" s="188"/>
      <c r="KR200" s="188"/>
      <c r="KS200" s="188"/>
      <c r="KT200" s="188"/>
      <c r="KU200" s="188"/>
      <c r="KV200" s="188"/>
      <c r="KW200" s="188"/>
      <c r="KX200" s="188"/>
      <c r="KY200" s="188"/>
      <c r="KZ200" s="188"/>
      <c r="LA200" s="188"/>
      <c r="LB200" s="188"/>
      <c r="LC200" s="188"/>
      <c r="LD200" s="188"/>
      <c r="LE200" s="188"/>
      <c r="LF200" s="188"/>
      <c r="LG200" s="188"/>
      <c r="LH200" s="188"/>
      <c r="LI200" s="188"/>
      <c r="LJ200" s="188"/>
      <c r="LK200" s="188"/>
      <c r="LL200" s="188"/>
      <c r="LM200" s="188"/>
      <c r="LN200" s="188"/>
      <c r="LO200" s="188"/>
      <c r="LP200" s="188"/>
      <c r="LQ200" s="189"/>
      <c r="LR200" s="187"/>
      <c r="LS200" s="188"/>
      <c r="LT200" s="188"/>
      <c r="LU200" s="188"/>
      <c r="LV200" s="189"/>
      <c r="MK200" s="12"/>
      <c r="ML200" s="7"/>
      <c r="MM200" s="3"/>
      <c r="MN200" s="3"/>
      <c r="MO200" s="3"/>
      <c r="MP200" s="3"/>
      <c r="MQ200" s="2"/>
      <c r="NE200" s="3"/>
      <c r="NF200" s="3"/>
      <c r="NG200" s="3"/>
      <c r="NH200" s="3"/>
      <c r="NI200" s="3"/>
      <c r="NJ200" s="2"/>
    </row>
    <row r="201" spans="3:374" ht="5.0999999999999996" customHeight="1" x14ac:dyDescent="0.3">
      <c r="C201" s="11"/>
      <c r="D201" s="13"/>
      <c r="Q201" s="184" t="s">
        <v>63</v>
      </c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6"/>
      <c r="BF201" s="184">
        <v>2</v>
      </c>
      <c r="BG201" s="185"/>
      <c r="BH201" s="185"/>
      <c r="BI201" s="185"/>
      <c r="BJ201" s="186"/>
      <c r="JV201" s="155"/>
      <c r="KA201" s="16"/>
      <c r="KC201" s="187"/>
      <c r="KD201" s="188"/>
      <c r="KE201" s="188"/>
      <c r="KF201" s="188"/>
      <c r="KG201" s="188"/>
      <c r="KH201" s="188"/>
      <c r="KI201" s="188"/>
      <c r="KJ201" s="188"/>
      <c r="KK201" s="188"/>
      <c r="KL201" s="188"/>
      <c r="KM201" s="188"/>
      <c r="KN201" s="188"/>
      <c r="KO201" s="188"/>
      <c r="KP201" s="188"/>
      <c r="KQ201" s="188"/>
      <c r="KR201" s="188"/>
      <c r="KS201" s="188"/>
      <c r="KT201" s="188"/>
      <c r="KU201" s="188"/>
      <c r="KV201" s="188"/>
      <c r="KW201" s="188"/>
      <c r="KX201" s="188"/>
      <c r="KY201" s="188"/>
      <c r="KZ201" s="188"/>
      <c r="LA201" s="188"/>
      <c r="LB201" s="188"/>
      <c r="LC201" s="188"/>
      <c r="LD201" s="188"/>
      <c r="LE201" s="188"/>
      <c r="LF201" s="188"/>
      <c r="LG201" s="188"/>
      <c r="LH201" s="188"/>
      <c r="LI201" s="188"/>
      <c r="LJ201" s="188"/>
      <c r="LK201" s="188"/>
      <c r="LL201" s="188"/>
      <c r="LM201" s="188"/>
      <c r="LN201" s="188"/>
      <c r="LO201" s="188"/>
      <c r="LP201" s="188"/>
      <c r="LQ201" s="189"/>
      <c r="LR201" s="187"/>
      <c r="LS201" s="188"/>
      <c r="LT201" s="188"/>
      <c r="LU201" s="188"/>
      <c r="LV201" s="189"/>
      <c r="MK201" s="12"/>
      <c r="ML201" s="7"/>
      <c r="MM201" s="3"/>
      <c r="MN201" s="3"/>
      <c r="MO201" s="3"/>
      <c r="MP201" s="3"/>
      <c r="MQ201" s="2"/>
      <c r="NE201" s="3"/>
      <c r="NF201" s="3"/>
      <c r="NG201" s="3"/>
      <c r="NH201" s="3"/>
      <c r="NI201" s="3"/>
      <c r="NJ201" s="2"/>
    </row>
    <row r="202" spans="3:374" ht="5.0999999999999996" customHeight="1" x14ac:dyDescent="0.3">
      <c r="C202" s="11"/>
      <c r="D202" s="13"/>
      <c r="Q202" s="187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9"/>
      <c r="BF202" s="187"/>
      <c r="BG202" s="188"/>
      <c r="BH202" s="188"/>
      <c r="BI202" s="188"/>
      <c r="BJ202" s="189"/>
      <c r="JV202" s="155"/>
      <c r="KA202" s="16"/>
      <c r="KC202" s="187"/>
      <c r="KD202" s="188"/>
      <c r="KE202" s="188"/>
      <c r="KF202" s="188"/>
      <c r="KG202" s="188"/>
      <c r="KH202" s="188"/>
      <c r="KI202" s="188"/>
      <c r="KJ202" s="188"/>
      <c r="KK202" s="188"/>
      <c r="KL202" s="188"/>
      <c r="KM202" s="188"/>
      <c r="KN202" s="188"/>
      <c r="KO202" s="188"/>
      <c r="KP202" s="188"/>
      <c r="KQ202" s="188"/>
      <c r="KR202" s="188"/>
      <c r="KS202" s="188"/>
      <c r="KT202" s="188"/>
      <c r="KU202" s="188"/>
      <c r="KV202" s="188"/>
      <c r="KW202" s="188"/>
      <c r="KX202" s="188"/>
      <c r="KY202" s="188"/>
      <c r="KZ202" s="188"/>
      <c r="LA202" s="188"/>
      <c r="LB202" s="188"/>
      <c r="LC202" s="188"/>
      <c r="LD202" s="188"/>
      <c r="LE202" s="188"/>
      <c r="LF202" s="188"/>
      <c r="LG202" s="188"/>
      <c r="LH202" s="188"/>
      <c r="LI202" s="188"/>
      <c r="LJ202" s="188"/>
      <c r="LK202" s="188"/>
      <c r="LL202" s="188"/>
      <c r="LM202" s="188"/>
      <c r="LN202" s="188"/>
      <c r="LO202" s="188"/>
      <c r="LP202" s="188"/>
      <c r="LQ202" s="189"/>
      <c r="LR202" s="187"/>
      <c r="LS202" s="188"/>
      <c r="LT202" s="188"/>
      <c r="LU202" s="188"/>
      <c r="LV202" s="189"/>
      <c r="MK202" s="12"/>
      <c r="ML202" s="7"/>
      <c r="MM202" s="3"/>
      <c r="MN202" s="3"/>
      <c r="MO202" s="3"/>
      <c r="MP202" s="3"/>
      <c r="MQ202" s="2"/>
      <c r="NE202" s="3"/>
      <c r="NF202" s="3"/>
      <c r="NG202" s="3"/>
      <c r="NH202" s="3"/>
      <c r="NI202" s="3"/>
      <c r="NJ202" s="2"/>
    </row>
    <row r="203" spans="3:374" ht="5.0999999999999996" customHeight="1" x14ac:dyDescent="0.3">
      <c r="C203" s="11"/>
      <c r="D203" s="13"/>
      <c r="Q203" s="187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  <c r="BD203" s="188"/>
      <c r="BE203" s="189"/>
      <c r="BF203" s="187"/>
      <c r="BG203" s="188"/>
      <c r="BH203" s="188"/>
      <c r="BI203" s="188"/>
      <c r="BJ203" s="189"/>
      <c r="JV203" s="155"/>
      <c r="KA203" s="16"/>
      <c r="KC203" s="187"/>
      <c r="KD203" s="188"/>
      <c r="KE203" s="188"/>
      <c r="KF203" s="188"/>
      <c r="KG203" s="188"/>
      <c r="KH203" s="188"/>
      <c r="KI203" s="188"/>
      <c r="KJ203" s="188"/>
      <c r="KK203" s="188"/>
      <c r="KL203" s="188"/>
      <c r="KM203" s="188"/>
      <c r="KN203" s="188"/>
      <c r="KO203" s="188"/>
      <c r="KP203" s="188"/>
      <c r="KQ203" s="188"/>
      <c r="KR203" s="188"/>
      <c r="KS203" s="188"/>
      <c r="KT203" s="188"/>
      <c r="KU203" s="188"/>
      <c r="KV203" s="188"/>
      <c r="KW203" s="188"/>
      <c r="KX203" s="188"/>
      <c r="KY203" s="188"/>
      <c r="KZ203" s="188"/>
      <c r="LA203" s="188"/>
      <c r="LB203" s="188"/>
      <c r="LC203" s="188"/>
      <c r="LD203" s="188"/>
      <c r="LE203" s="188"/>
      <c r="LF203" s="188"/>
      <c r="LG203" s="188"/>
      <c r="LH203" s="188"/>
      <c r="LI203" s="188"/>
      <c r="LJ203" s="188"/>
      <c r="LK203" s="188"/>
      <c r="LL203" s="188"/>
      <c r="LM203" s="188"/>
      <c r="LN203" s="188"/>
      <c r="LO203" s="188"/>
      <c r="LP203" s="188"/>
      <c r="LQ203" s="189"/>
      <c r="LR203" s="187"/>
      <c r="LS203" s="188"/>
      <c r="LT203" s="188"/>
      <c r="LU203" s="188"/>
      <c r="LV203" s="189"/>
      <c r="MK203" s="12"/>
      <c r="ML203" s="7"/>
      <c r="MM203" s="3"/>
      <c r="MN203" s="3"/>
      <c r="MO203" s="3"/>
      <c r="MP203" s="3"/>
      <c r="MQ203" s="2"/>
      <c r="NE203" s="3"/>
      <c r="NF203" s="3"/>
      <c r="NG203" s="3"/>
      <c r="NH203" s="3"/>
      <c r="NI203" s="3"/>
      <c r="NJ203" s="2"/>
    </row>
    <row r="204" spans="3:374" ht="5.0999999999999996" customHeight="1" x14ac:dyDescent="0.3">
      <c r="C204" s="11"/>
      <c r="D204" s="13"/>
      <c r="Q204" s="187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  <c r="BD204" s="188"/>
      <c r="BE204" s="189"/>
      <c r="BF204" s="187"/>
      <c r="BG204" s="188"/>
      <c r="BH204" s="188"/>
      <c r="BI204" s="188"/>
      <c r="BJ204" s="189"/>
      <c r="JV204" s="155"/>
      <c r="KA204" s="16"/>
      <c r="KC204" s="187"/>
      <c r="KD204" s="188"/>
      <c r="KE204" s="188"/>
      <c r="KF204" s="188"/>
      <c r="KG204" s="188"/>
      <c r="KH204" s="188"/>
      <c r="KI204" s="188"/>
      <c r="KJ204" s="188"/>
      <c r="KK204" s="188"/>
      <c r="KL204" s="188"/>
      <c r="KM204" s="188"/>
      <c r="KN204" s="188"/>
      <c r="KO204" s="188"/>
      <c r="KP204" s="188"/>
      <c r="KQ204" s="188"/>
      <c r="KR204" s="188"/>
      <c r="KS204" s="188"/>
      <c r="KT204" s="188"/>
      <c r="KU204" s="188"/>
      <c r="KV204" s="188"/>
      <c r="KW204" s="188"/>
      <c r="KX204" s="188"/>
      <c r="KY204" s="188"/>
      <c r="KZ204" s="188"/>
      <c r="LA204" s="188"/>
      <c r="LB204" s="188"/>
      <c r="LC204" s="188"/>
      <c r="LD204" s="188"/>
      <c r="LE204" s="188"/>
      <c r="LF204" s="188"/>
      <c r="LG204" s="188"/>
      <c r="LH204" s="188"/>
      <c r="LI204" s="188"/>
      <c r="LJ204" s="188"/>
      <c r="LK204" s="188"/>
      <c r="LL204" s="188"/>
      <c r="LM204" s="188"/>
      <c r="LN204" s="188"/>
      <c r="LO204" s="188"/>
      <c r="LP204" s="188"/>
      <c r="LQ204" s="189"/>
      <c r="LR204" s="187"/>
      <c r="LS204" s="188"/>
      <c r="LT204" s="188"/>
      <c r="LU204" s="188"/>
      <c r="LV204" s="189"/>
      <c r="MK204" s="12"/>
      <c r="ML204" s="7"/>
      <c r="MM204" s="3"/>
      <c r="MN204" s="3"/>
      <c r="MO204" s="3"/>
      <c r="MP204" s="3"/>
      <c r="MQ204" s="2"/>
      <c r="NE204" s="3"/>
      <c r="NF204" s="3"/>
      <c r="NG204" s="3"/>
      <c r="NH204" s="3"/>
      <c r="NI204" s="3"/>
      <c r="NJ204" s="2"/>
    </row>
    <row r="205" spans="3:374" ht="5.0999999999999996" customHeight="1" x14ac:dyDescent="0.3">
      <c r="C205" s="11"/>
      <c r="D205" s="13"/>
      <c r="Q205" s="187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  <c r="BE205" s="189"/>
      <c r="BF205" s="187"/>
      <c r="BG205" s="188"/>
      <c r="BH205" s="188"/>
      <c r="BI205" s="188"/>
      <c r="BJ205" s="189"/>
      <c r="JV205" s="155"/>
      <c r="KA205" s="16"/>
      <c r="KC205" s="187"/>
      <c r="KD205" s="188"/>
      <c r="KE205" s="188"/>
      <c r="KF205" s="188"/>
      <c r="KG205" s="188"/>
      <c r="KH205" s="188"/>
      <c r="KI205" s="188"/>
      <c r="KJ205" s="188"/>
      <c r="KK205" s="188"/>
      <c r="KL205" s="188"/>
      <c r="KM205" s="188"/>
      <c r="KN205" s="188"/>
      <c r="KO205" s="188"/>
      <c r="KP205" s="188"/>
      <c r="KQ205" s="188"/>
      <c r="KR205" s="188"/>
      <c r="KS205" s="188"/>
      <c r="KT205" s="188"/>
      <c r="KU205" s="188"/>
      <c r="KV205" s="188"/>
      <c r="KW205" s="188"/>
      <c r="KX205" s="188"/>
      <c r="KY205" s="188"/>
      <c r="KZ205" s="188"/>
      <c r="LA205" s="188"/>
      <c r="LB205" s="188"/>
      <c r="LC205" s="188"/>
      <c r="LD205" s="188"/>
      <c r="LE205" s="188"/>
      <c r="LF205" s="188"/>
      <c r="LG205" s="188"/>
      <c r="LH205" s="188"/>
      <c r="LI205" s="188"/>
      <c r="LJ205" s="188"/>
      <c r="LK205" s="188"/>
      <c r="LL205" s="188"/>
      <c r="LM205" s="188"/>
      <c r="LN205" s="188"/>
      <c r="LO205" s="188"/>
      <c r="LP205" s="188"/>
      <c r="LQ205" s="189"/>
      <c r="LR205" s="187"/>
      <c r="LS205" s="188"/>
      <c r="LT205" s="188"/>
      <c r="LU205" s="188"/>
      <c r="LV205" s="189"/>
      <c r="MK205" s="12"/>
      <c r="ML205" s="7"/>
      <c r="MM205" s="3"/>
      <c r="MN205" s="3"/>
      <c r="MO205" s="3"/>
      <c r="MP205" s="3"/>
      <c r="MQ205" s="2"/>
      <c r="NE205" s="3"/>
      <c r="NF205" s="3"/>
      <c r="NG205" s="3"/>
      <c r="NH205" s="3"/>
      <c r="NI205" s="3"/>
      <c r="NJ205" s="2"/>
    </row>
    <row r="206" spans="3:374" ht="5.0999999999999996" customHeight="1" x14ac:dyDescent="0.3">
      <c r="C206" s="11"/>
      <c r="D206" s="13"/>
      <c r="Q206" s="187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  <c r="BD206" s="188"/>
      <c r="BE206" s="189"/>
      <c r="BF206" s="187"/>
      <c r="BG206" s="188"/>
      <c r="BH206" s="188"/>
      <c r="BI206" s="188"/>
      <c r="BJ206" s="189"/>
      <c r="JV206" s="155"/>
      <c r="KA206" s="16"/>
      <c r="KC206" s="187"/>
      <c r="KD206" s="188"/>
      <c r="KE206" s="188"/>
      <c r="KF206" s="188"/>
      <c r="KG206" s="188"/>
      <c r="KH206" s="188"/>
      <c r="KI206" s="188"/>
      <c r="KJ206" s="188"/>
      <c r="KK206" s="188"/>
      <c r="KL206" s="188"/>
      <c r="KM206" s="188"/>
      <c r="KN206" s="188"/>
      <c r="KO206" s="188"/>
      <c r="KP206" s="188"/>
      <c r="KQ206" s="188"/>
      <c r="KR206" s="188"/>
      <c r="KS206" s="188"/>
      <c r="KT206" s="188"/>
      <c r="KU206" s="188"/>
      <c r="KV206" s="188"/>
      <c r="KW206" s="188"/>
      <c r="KX206" s="188"/>
      <c r="KY206" s="188"/>
      <c r="KZ206" s="188"/>
      <c r="LA206" s="188"/>
      <c r="LB206" s="188"/>
      <c r="LC206" s="188"/>
      <c r="LD206" s="188"/>
      <c r="LE206" s="188"/>
      <c r="LF206" s="188"/>
      <c r="LG206" s="188"/>
      <c r="LH206" s="188"/>
      <c r="LI206" s="188"/>
      <c r="LJ206" s="188"/>
      <c r="LK206" s="188"/>
      <c r="LL206" s="188"/>
      <c r="LM206" s="188"/>
      <c r="LN206" s="188"/>
      <c r="LO206" s="188"/>
      <c r="LP206" s="188"/>
      <c r="LQ206" s="189"/>
      <c r="LR206" s="187"/>
      <c r="LS206" s="188"/>
      <c r="LT206" s="188"/>
      <c r="LU206" s="188"/>
      <c r="LV206" s="189"/>
      <c r="MK206" s="12"/>
      <c r="ML206" s="7"/>
      <c r="MM206" s="3"/>
      <c r="MN206" s="3"/>
      <c r="MO206" s="3"/>
      <c r="MP206" s="3"/>
      <c r="MQ206" s="2"/>
      <c r="NE206" s="3"/>
      <c r="NF206" s="3"/>
      <c r="NG206" s="3"/>
      <c r="NH206" s="3"/>
      <c r="NI206" s="3"/>
      <c r="NJ206" s="2"/>
    </row>
    <row r="207" spans="3:374" ht="5.0999999999999996" customHeight="1" x14ac:dyDescent="0.3">
      <c r="C207" s="11"/>
      <c r="D207" s="13"/>
      <c r="Q207" s="187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E207" s="189"/>
      <c r="BF207" s="187"/>
      <c r="BG207" s="188"/>
      <c r="BH207" s="188"/>
      <c r="BI207" s="188"/>
      <c r="BJ207" s="189"/>
      <c r="JV207" s="155"/>
      <c r="KA207" s="16"/>
      <c r="KC207" s="187"/>
      <c r="KD207" s="188"/>
      <c r="KE207" s="188"/>
      <c r="KF207" s="188"/>
      <c r="KG207" s="188"/>
      <c r="KH207" s="188"/>
      <c r="KI207" s="188"/>
      <c r="KJ207" s="188"/>
      <c r="KK207" s="188"/>
      <c r="KL207" s="188"/>
      <c r="KM207" s="188"/>
      <c r="KN207" s="188"/>
      <c r="KO207" s="188"/>
      <c r="KP207" s="188"/>
      <c r="KQ207" s="188"/>
      <c r="KR207" s="188"/>
      <c r="KS207" s="188"/>
      <c r="KT207" s="188"/>
      <c r="KU207" s="188"/>
      <c r="KV207" s="188"/>
      <c r="KW207" s="188"/>
      <c r="KX207" s="188"/>
      <c r="KY207" s="188"/>
      <c r="KZ207" s="188"/>
      <c r="LA207" s="188"/>
      <c r="LB207" s="188"/>
      <c r="LC207" s="188"/>
      <c r="LD207" s="188"/>
      <c r="LE207" s="188"/>
      <c r="LF207" s="188"/>
      <c r="LG207" s="188"/>
      <c r="LH207" s="188"/>
      <c r="LI207" s="188"/>
      <c r="LJ207" s="188"/>
      <c r="LK207" s="188"/>
      <c r="LL207" s="188"/>
      <c r="LM207" s="188"/>
      <c r="LN207" s="188"/>
      <c r="LO207" s="188"/>
      <c r="LP207" s="188"/>
      <c r="LQ207" s="189"/>
      <c r="LR207" s="187"/>
      <c r="LS207" s="188"/>
      <c r="LT207" s="188"/>
      <c r="LU207" s="188"/>
      <c r="LV207" s="189"/>
      <c r="MK207" s="12"/>
      <c r="ML207" s="7"/>
      <c r="MM207" s="3"/>
      <c r="MN207" s="3"/>
      <c r="MO207" s="3"/>
      <c r="MP207" s="3"/>
      <c r="MQ207" s="2"/>
      <c r="NE207" s="3"/>
      <c r="NF207" s="3"/>
      <c r="NG207" s="3"/>
      <c r="NH207" s="3"/>
      <c r="NI207" s="3"/>
      <c r="NJ207" s="2"/>
    </row>
    <row r="208" spans="3:374" ht="5.0999999999999996" customHeight="1" x14ac:dyDescent="0.3">
      <c r="C208" s="11"/>
      <c r="D208" s="13"/>
      <c r="Q208" s="187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E208" s="189"/>
      <c r="BF208" s="187"/>
      <c r="BG208" s="188"/>
      <c r="BH208" s="188"/>
      <c r="BI208" s="188"/>
      <c r="BJ208" s="189"/>
      <c r="JV208" s="155"/>
      <c r="KA208" s="16"/>
      <c r="KC208" s="190"/>
      <c r="KD208" s="191"/>
      <c r="KE208" s="191"/>
      <c r="KF208" s="191"/>
      <c r="KG208" s="191"/>
      <c r="KH208" s="191"/>
      <c r="KI208" s="191"/>
      <c r="KJ208" s="191"/>
      <c r="KK208" s="191"/>
      <c r="KL208" s="191"/>
      <c r="KM208" s="191"/>
      <c r="KN208" s="191"/>
      <c r="KO208" s="191"/>
      <c r="KP208" s="191"/>
      <c r="KQ208" s="191"/>
      <c r="KR208" s="191"/>
      <c r="KS208" s="191"/>
      <c r="KT208" s="191"/>
      <c r="KU208" s="191"/>
      <c r="KV208" s="191"/>
      <c r="KW208" s="191"/>
      <c r="KX208" s="191"/>
      <c r="KY208" s="191"/>
      <c r="KZ208" s="191"/>
      <c r="LA208" s="191"/>
      <c r="LB208" s="191"/>
      <c r="LC208" s="191"/>
      <c r="LD208" s="191"/>
      <c r="LE208" s="191"/>
      <c r="LF208" s="191"/>
      <c r="LG208" s="191"/>
      <c r="LH208" s="191"/>
      <c r="LI208" s="191"/>
      <c r="LJ208" s="191"/>
      <c r="LK208" s="191"/>
      <c r="LL208" s="191"/>
      <c r="LM208" s="191"/>
      <c r="LN208" s="191"/>
      <c r="LO208" s="191"/>
      <c r="LP208" s="191"/>
      <c r="LQ208" s="192"/>
      <c r="LR208" s="190"/>
      <c r="LS208" s="191"/>
      <c r="LT208" s="191"/>
      <c r="LU208" s="191"/>
      <c r="LV208" s="192"/>
      <c r="MK208" s="12"/>
      <c r="ML208" s="7"/>
    </row>
    <row r="209" spans="3:350" ht="5.0999999999999996" customHeight="1" x14ac:dyDescent="0.3">
      <c r="C209" s="11"/>
      <c r="D209" s="13"/>
      <c r="Q209" s="187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9"/>
      <c r="BF209" s="187"/>
      <c r="BG209" s="188"/>
      <c r="BH209" s="188"/>
      <c r="BI209" s="188"/>
      <c r="BJ209" s="189"/>
      <c r="JV209" s="155"/>
      <c r="KA209" s="16"/>
      <c r="MK209" s="12"/>
      <c r="ML209" s="7"/>
    </row>
    <row r="210" spans="3:350" ht="5.0999999999999996" customHeight="1" x14ac:dyDescent="0.3">
      <c r="C210" s="11"/>
      <c r="D210" s="13"/>
      <c r="Q210" s="190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2"/>
      <c r="BF210" s="190"/>
      <c r="BG210" s="191"/>
      <c r="BH210" s="191"/>
      <c r="BI210" s="191"/>
      <c r="BJ210" s="192"/>
      <c r="JV210" s="155"/>
      <c r="KA210" s="16"/>
      <c r="MK210" s="12"/>
      <c r="ML210" s="7"/>
    </row>
    <row r="211" spans="3:350" ht="5.0999999999999996" customHeight="1" x14ac:dyDescent="0.3">
      <c r="C211" s="11"/>
      <c r="D211" s="13"/>
      <c r="Q211" s="184" t="s">
        <v>71</v>
      </c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6">
        <v>10</v>
      </c>
      <c r="BF211" s="184">
        <v>2</v>
      </c>
      <c r="BG211" s="185"/>
      <c r="BH211" s="185"/>
      <c r="BI211" s="185"/>
      <c r="BJ211" s="186"/>
      <c r="JV211" s="155"/>
      <c r="KA211" s="16"/>
      <c r="KC211" s="184" t="s">
        <v>60</v>
      </c>
      <c r="KD211" s="185"/>
      <c r="KE211" s="185"/>
      <c r="KF211" s="185"/>
      <c r="KG211" s="185"/>
      <c r="KH211" s="185"/>
      <c r="KI211" s="185"/>
      <c r="KJ211" s="185"/>
      <c r="KK211" s="185"/>
      <c r="KL211" s="185"/>
      <c r="KM211" s="185"/>
      <c r="KN211" s="185"/>
      <c r="KO211" s="185"/>
      <c r="KP211" s="185"/>
      <c r="KQ211" s="185"/>
      <c r="KR211" s="185"/>
      <c r="KS211" s="185"/>
      <c r="KT211" s="185"/>
      <c r="KU211" s="185"/>
      <c r="KV211" s="185"/>
      <c r="KW211" s="185"/>
      <c r="KX211" s="185"/>
      <c r="KY211" s="185"/>
      <c r="KZ211" s="185"/>
      <c r="LA211" s="185"/>
      <c r="LB211" s="185"/>
      <c r="LC211" s="185"/>
      <c r="LD211" s="185"/>
      <c r="LE211" s="185"/>
      <c r="LF211" s="185"/>
      <c r="LG211" s="185"/>
      <c r="LH211" s="185"/>
      <c r="LI211" s="185"/>
      <c r="LJ211" s="185"/>
      <c r="LK211" s="185"/>
      <c r="LL211" s="185"/>
      <c r="LM211" s="185"/>
      <c r="LN211" s="185"/>
      <c r="LO211" s="185"/>
      <c r="LP211" s="185"/>
      <c r="LQ211" s="186"/>
      <c r="LR211" s="184">
        <v>1</v>
      </c>
      <c r="LS211" s="185"/>
      <c r="LT211" s="185"/>
      <c r="LU211" s="185"/>
      <c r="LV211" s="186"/>
      <c r="MK211" s="12"/>
      <c r="ML211" s="7"/>
    </row>
    <row r="212" spans="3:350" ht="5.0999999999999996" customHeight="1" x14ac:dyDescent="0.3">
      <c r="C212" s="11"/>
      <c r="D212" s="13"/>
      <c r="Q212" s="187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  <c r="BD212" s="188"/>
      <c r="BE212" s="189"/>
      <c r="BF212" s="187"/>
      <c r="BG212" s="188"/>
      <c r="BH212" s="188"/>
      <c r="BI212" s="188"/>
      <c r="BJ212" s="189"/>
      <c r="JV212" s="155"/>
      <c r="KA212" s="16"/>
      <c r="KC212" s="187"/>
      <c r="KD212" s="188"/>
      <c r="KE212" s="188"/>
      <c r="KF212" s="188"/>
      <c r="KG212" s="188"/>
      <c r="KH212" s="188"/>
      <c r="KI212" s="188"/>
      <c r="KJ212" s="188"/>
      <c r="KK212" s="188"/>
      <c r="KL212" s="188"/>
      <c r="KM212" s="188"/>
      <c r="KN212" s="188"/>
      <c r="KO212" s="188"/>
      <c r="KP212" s="188"/>
      <c r="KQ212" s="188"/>
      <c r="KR212" s="188"/>
      <c r="KS212" s="188"/>
      <c r="KT212" s="188"/>
      <c r="KU212" s="188"/>
      <c r="KV212" s="188"/>
      <c r="KW212" s="188"/>
      <c r="KX212" s="188"/>
      <c r="KY212" s="188"/>
      <c r="KZ212" s="188"/>
      <c r="LA212" s="188"/>
      <c r="LB212" s="188"/>
      <c r="LC212" s="188"/>
      <c r="LD212" s="188"/>
      <c r="LE212" s="188"/>
      <c r="LF212" s="188"/>
      <c r="LG212" s="188"/>
      <c r="LH212" s="188"/>
      <c r="LI212" s="188"/>
      <c r="LJ212" s="188"/>
      <c r="LK212" s="188"/>
      <c r="LL212" s="188"/>
      <c r="LM212" s="188"/>
      <c r="LN212" s="188"/>
      <c r="LO212" s="188"/>
      <c r="LP212" s="188"/>
      <c r="LQ212" s="189"/>
      <c r="LR212" s="187"/>
      <c r="LS212" s="188"/>
      <c r="LT212" s="188"/>
      <c r="LU212" s="188"/>
      <c r="LV212" s="189"/>
      <c r="MK212" s="12"/>
      <c r="ML212" s="7"/>
    </row>
    <row r="213" spans="3:350" ht="5.0999999999999996" customHeight="1" x14ac:dyDescent="0.3">
      <c r="C213" s="11"/>
      <c r="D213" s="13"/>
      <c r="Q213" s="187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  <c r="BE213" s="189"/>
      <c r="BF213" s="187"/>
      <c r="BG213" s="188"/>
      <c r="BH213" s="188"/>
      <c r="BI213" s="188"/>
      <c r="BJ213" s="189"/>
      <c r="JV213" s="155"/>
      <c r="KA213" s="16"/>
      <c r="KC213" s="187"/>
      <c r="KD213" s="188"/>
      <c r="KE213" s="188"/>
      <c r="KF213" s="188"/>
      <c r="KG213" s="188"/>
      <c r="KH213" s="188"/>
      <c r="KI213" s="188"/>
      <c r="KJ213" s="188"/>
      <c r="KK213" s="188"/>
      <c r="KL213" s="188"/>
      <c r="KM213" s="188"/>
      <c r="KN213" s="188"/>
      <c r="KO213" s="188"/>
      <c r="KP213" s="188"/>
      <c r="KQ213" s="188"/>
      <c r="KR213" s="188"/>
      <c r="KS213" s="188"/>
      <c r="KT213" s="188"/>
      <c r="KU213" s="188"/>
      <c r="KV213" s="188"/>
      <c r="KW213" s="188"/>
      <c r="KX213" s="188"/>
      <c r="KY213" s="188"/>
      <c r="KZ213" s="188"/>
      <c r="LA213" s="188"/>
      <c r="LB213" s="188"/>
      <c r="LC213" s="188"/>
      <c r="LD213" s="188"/>
      <c r="LE213" s="188"/>
      <c r="LF213" s="188"/>
      <c r="LG213" s="188"/>
      <c r="LH213" s="188"/>
      <c r="LI213" s="188"/>
      <c r="LJ213" s="188"/>
      <c r="LK213" s="188"/>
      <c r="LL213" s="188"/>
      <c r="LM213" s="188"/>
      <c r="LN213" s="188"/>
      <c r="LO213" s="188"/>
      <c r="LP213" s="188"/>
      <c r="LQ213" s="189"/>
      <c r="LR213" s="187"/>
      <c r="LS213" s="188"/>
      <c r="LT213" s="188"/>
      <c r="LU213" s="188"/>
      <c r="LV213" s="189"/>
      <c r="MK213" s="12"/>
      <c r="ML213" s="7"/>
    </row>
    <row r="214" spans="3:350" ht="5.0999999999999996" customHeight="1" x14ac:dyDescent="0.3">
      <c r="C214" s="11"/>
      <c r="D214" s="13"/>
      <c r="Q214" s="187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  <c r="BD214" s="188"/>
      <c r="BE214" s="189"/>
      <c r="BF214" s="187"/>
      <c r="BG214" s="188"/>
      <c r="BH214" s="188"/>
      <c r="BI214" s="188"/>
      <c r="BJ214" s="189"/>
      <c r="JV214" s="155"/>
      <c r="KA214" s="16"/>
      <c r="KC214" s="187"/>
      <c r="KD214" s="188"/>
      <c r="KE214" s="188"/>
      <c r="KF214" s="188"/>
      <c r="KG214" s="188"/>
      <c r="KH214" s="188"/>
      <c r="KI214" s="188"/>
      <c r="KJ214" s="188"/>
      <c r="KK214" s="188"/>
      <c r="KL214" s="188"/>
      <c r="KM214" s="188"/>
      <c r="KN214" s="188"/>
      <c r="KO214" s="188"/>
      <c r="KP214" s="188"/>
      <c r="KQ214" s="188"/>
      <c r="KR214" s="188"/>
      <c r="KS214" s="188"/>
      <c r="KT214" s="188"/>
      <c r="KU214" s="188"/>
      <c r="KV214" s="188"/>
      <c r="KW214" s="188"/>
      <c r="KX214" s="188"/>
      <c r="KY214" s="188"/>
      <c r="KZ214" s="188"/>
      <c r="LA214" s="188"/>
      <c r="LB214" s="188"/>
      <c r="LC214" s="188"/>
      <c r="LD214" s="188"/>
      <c r="LE214" s="188"/>
      <c r="LF214" s="188"/>
      <c r="LG214" s="188"/>
      <c r="LH214" s="188"/>
      <c r="LI214" s="188"/>
      <c r="LJ214" s="188"/>
      <c r="LK214" s="188"/>
      <c r="LL214" s="188"/>
      <c r="LM214" s="188"/>
      <c r="LN214" s="188"/>
      <c r="LO214" s="188"/>
      <c r="LP214" s="188"/>
      <c r="LQ214" s="189"/>
      <c r="LR214" s="187"/>
      <c r="LS214" s="188"/>
      <c r="LT214" s="188"/>
      <c r="LU214" s="188"/>
      <c r="LV214" s="189"/>
      <c r="MK214" s="12"/>
      <c r="ML214" s="7"/>
    </row>
    <row r="215" spans="3:350" ht="5.0999999999999996" customHeight="1" thickBot="1" x14ac:dyDescent="0.35">
      <c r="C215" s="11"/>
      <c r="D215" s="13"/>
      <c r="Q215" s="187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  <c r="BD215" s="188"/>
      <c r="BE215" s="189"/>
      <c r="BF215" s="187"/>
      <c r="BG215" s="188"/>
      <c r="BH215" s="188"/>
      <c r="BI215" s="188"/>
      <c r="BJ215" s="189"/>
      <c r="JV215" s="155"/>
      <c r="KA215" s="23"/>
      <c r="KB215" s="31"/>
      <c r="KC215" s="187"/>
      <c r="KD215" s="188"/>
      <c r="KE215" s="188"/>
      <c r="KF215" s="188"/>
      <c r="KG215" s="188"/>
      <c r="KH215" s="188"/>
      <c r="KI215" s="188"/>
      <c r="KJ215" s="188"/>
      <c r="KK215" s="188"/>
      <c r="KL215" s="188"/>
      <c r="KM215" s="188"/>
      <c r="KN215" s="188"/>
      <c r="KO215" s="188"/>
      <c r="KP215" s="188"/>
      <c r="KQ215" s="188"/>
      <c r="KR215" s="188"/>
      <c r="KS215" s="188"/>
      <c r="KT215" s="188"/>
      <c r="KU215" s="188"/>
      <c r="KV215" s="188"/>
      <c r="KW215" s="188"/>
      <c r="KX215" s="188"/>
      <c r="KY215" s="188"/>
      <c r="KZ215" s="188"/>
      <c r="LA215" s="188"/>
      <c r="LB215" s="188"/>
      <c r="LC215" s="188"/>
      <c r="LD215" s="188"/>
      <c r="LE215" s="188"/>
      <c r="LF215" s="188"/>
      <c r="LG215" s="188"/>
      <c r="LH215" s="188"/>
      <c r="LI215" s="188"/>
      <c r="LJ215" s="188"/>
      <c r="LK215" s="188"/>
      <c r="LL215" s="188"/>
      <c r="LM215" s="188"/>
      <c r="LN215" s="188"/>
      <c r="LO215" s="188"/>
      <c r="LP215" s="188"/>
      <c r="LQ215" s="189"/>
      <c r="LR215" s="187"/>
      <c r="LS215" s="188"/>
      <c r="LT215" s="188"/>
      <c r="LU215" s="188"/>
      <c r="LV215" s="189"/>
      <c r="MK215" s="12"/>
      <c r="ML215" s="7"/>
    </row>
    <row r="216" spans="3:350" ht="5.0999999999999996" customHeight="1" x14ac:dyDescent="0.3">
      <c r="C216" s="11"/>
      <c r="D216" s="13"/>
      <c r="Q216" s="187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  <c r="BD216" s="188"/>
      <c r="BE216" s="189"/>
      <c r="BF216" s="187"/>
      <c r="BG216" s="188"/>
      <c r="BH216" s="188"/>
      <c r="BI216" s="188"/>
      <c r="BJ216" s="189"/>
      <c r="JV216" s="155"/>
      <c r="KC216" s="187"/>
      <c r="KD216" s="188"/>
      <c r="KE216" s="188"/>
      <c r="KF216" s="188"/>
      <c r="KG216" s="188"/>
      <c r="KH216" s="188"/>
      <c r="KI216" s="188"/>
      <c r="KJ216" s="188"/>
      <c r="KK216" s="188"/>
      <c r="KL216" s="188"/>
      <c r="KM216" s="188"/>
      <c r="KN216" s="188"/>
      <c r="KO216" s="188"/>
      <c r="KP216" s="188"/>
      <c r="KQ216" s="188"/>
      <c r="KR216" s="188"/>
      <c r="KS216" s="188"/>
      <c r="KT216" s="188"/>
      <c r="KU216" s="188"/>
      <c r="KV216" s="188"/>
      <c r="KW216" s="188"/>
      <c r="KX216" s="188"/>
      <c r="KY216" s="188"/>
      <c r="KZ216" s="188"/>
      <c r="LA216" s="188"/>
      <c r="LB216" s="188"/>
      <c r="LC216" s="188"/>
      <c r="LD216" s="188"/>
      <c r="LE216" s="188"/>
      <c r="LF216" s="188"/>
      <c r="LG216" s="188"/>
      <c r="LH216" s="188"/>
      <c r="LI216" s="188"/>
      <c r="LJ216" s="188"/>
      <c r="LK216" s="188"/>
      <c r="LL216" s="188"/>
      <c r="LM216" s="188"/>
      <c r="LN216" s="188"/>
      <c r="LO216" s="188"/>
      <c r="LP216" s="188"/>
      <c r="LQ216" s="189"/>
      <c r="LR216" s="187"/>
      <c r="LS216" s="188"/>
      <c r="LT216" s="188"/>
      <c r="LU216" s="188"/>
      <c r="LV216" s="189"/>
      <c r="MK216" s="12"/>
      <c r="ML216" s="7"/>
    </row>
    <row r="217" spans="3:350" ht="5.0999999999999996" customHeight="1" x14ac:dyDescent="0.3">
      <c r="C217" s="11"/>
      <c r="D217" s="13"/>
      <c r="Q217" s="187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  <c r="BD217" s="188"/>
      <c r="BE217" s="189"/>
      <c r="BF217" s="187"/>
      <c r="BG217" s="188"/>
      <c r="BH217" s="188"/>
      <c r="BI217" s="188"/>
      <c r="BJ217" s="189"/>
      <c r="JV217" s="155"/>
      <c r="KC217" s="187"/>
      <c r="KD217" s="188"/>
      <c r="KE217" s="188"/>
      <c r="KF217" s="188"/>
      <c r="KG217" s="188"/>
      <c r="KH217" s="188"/>
      <c r="KI217" s="188"/>
      <c r="KJ217" s="188"/>
      <c r="KK217" s="188"/>
      <c r="KL217" s="188"/>
      <c r="KM217" s="188"/>
      <c r="KN217" s="188"/>
      <c r="KO217" s="188"/>
      <c r="KP217" s="188"/>
      <c r="KQ217" s="188"/>
      <c r="KR217" s="188"/>
      <c r="KS217" s="188"/>
      <c r="KT217" s="188"/>
      <c r="KU217" s="188"/>
      <c r="KV217" s="188"/>
      <c r="KW217" s="188"/>
      <c r="KX217" s="188"/>
      <c r="KY217" s="188"/>
      <c r="KZ217" s="188"/>
      <c r="LA217" s="188"/>
      <c r="LB217" s="188"/>
      <c r="LC217" s="188"/>
      <c r="LD217" s="188"/>
      <c r="LE217" s="188"/>
      <c r="LF217" s="188"/>
      <c r="LG217" s="188"/>
      <c r="LH217" s="188"/>
      <c r="LI217" s="188"/>
      <c r="LJ217" s="188"/>
      <c r="LK217" s="188"/>
      <c r="LL217" s="188"/>
      <c r="LM217" s="188"/>
      <c r="LN217" s="188"/>
      <c r="LO217" s="188"/>
      <c r="LP217" s="188"/>
      <c r="LQ217" s="189"/>
      <c r="LR217" s="187"/>
      <c r="LS217" s="188"/>
      <c r="LT217" s="188"/>
      <c r="LU217" s="188"/>
      <c r="LV217" s="189"/>
      <c r="MK217" s="12"/>
      <c r="ML217" s="7"/>
    </row>
    <row r="218" spans="3:350" ht="5.0999999999999996" customHeight="1" x14ac:dyDescent="0.3">
      <c r="C218" s="11"/>
      <c r="D218" s="13"/>
      <c r="Q218" s="187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  <c r="BD218" s="188"/>
      <c r="BE218" s="189"/>
      <c r="BF218" s="187"/>
      <c r="BG218" s="188"/>
      <c r="BH218" s="188"/>
      <c r="BI218" s="188"/>
      <c r="BJ218" s="189"/>
      <c r="JV218" s="155"/>
      <c r="KC218" s="187"/>
      <c r="KD218" s="188"/>
      <c r="KE218" s="188"/>
      <c r="KF218" s="188"/>
      <c r="KG218" s="188"/>
      <c r="KH218" s="188"/>
      <c r="KI218" s="188"/>
      <c r="KJ218" s="188"/>
      <c r="KK218" s="188"/>
      <c r="KL218" s="188"/>
      <c r="KM218" s="188"/>
      <c r="KN218" s="188"/>
      <c r="KO218" s="188"/>
      <c r="KP218" s="188"/>
      <c r="KQ218" s="188"/>
      <c r="KR218" s="188"/>
      <c r="KS218" s="188"/>
      <c r="KT218" s="188"/>
      <c r="KU218" s="188"/>
      <c r="KV218" s="188"/>
      <c r="KW218" s="188"/>
      <c r="KX218" s="188"/>
      <c r="KY218" s="188"/>
      <c r="KZ218" s="188"/>
      <c r="LA218" s="188"/>
      <c r="LB218" s="188"/>
      <c r="LC218" s="188"/>
      <c r="LD218" s="188"/>
      <c r="LE218" s="188"/>
      <c r="LF218" s="188"/>
      <c r="LG218" s="188"/>
      <c r="LH218" s="188"/>
      <c r="LI218" s="188"/>
      <c r="LJ218" s="188"/>
      <c r="LK218" s="188"/>
      <c r="LL218" s="188"/>
      <c r="LM218" s="188"/>
      <c r="LN218" s="188"/>
      <c r="LO218" s="188"/>
      <c r="LP218" s="188"/>
      <c r="LQ218" s="189"/>
      <c r="LR218" s="187"/>
      <c r="LS218" s="188"/>
      <c r="LT218" s="188"/>
      <c r="LU218" s="188"/>
      <c r="LV218" s="189"/>
      <c r="MK218" s="12"/>
      <c r="ML218" s="7"/>
    </row>
    <row r="219" spans="3:350" ht="5.0999999999999996" customHeight="1" x14ac:dyDescent="0.3">
      <c r="C219" s="11"/>
      <c r="D219" s="13"/>
      <c r="Q219" s="187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  <c r="BD219" s="188"/>
      <c r="BE219" s="189"/>
      <c r="BF219" s="187"/>
      <c r="BG219" s="188"/>
      <c r="BH219" s="188"/>
      <c r="BI219" s="188"/>
      <c r="BJ219" s="189"/>
      <c r="JV219" s="155"/>
      <c r="KC219" s="187"/>
      <c r="KD219" s="188"/>
      <c r="KE219" s="188"/>
      <c r="KF219" s="188"/>
      <c r="KG219" s="188"/>
      <c r="KH219" s="188"/>
      <c r="KI219" s="188"/>
      <c r="KJ219" s="188"/>
      <c r="KK219" s="188"/>
      <c r="KL219" s="188"/>
      <c r="KM219" s="188"/>
      <c r="KN219" s="188"/>
      <c r="KO219" s="188"/>
      <c r="KP219" s="188"/>
      <c r="KQ219" s="188"/>
      <c r="KR219" s="188"/>
      <c r="KS219" s="188"/>
      <c r="KT219" s="188"/>
      <c r="KU219" s="188"/>
      <c r="KV219" s="188"/>
      <c r="KW219" s="188"/>
      <c r="KX219" s="188"/>
      <c r="KY219" s="188"/>
      <c r="KZ219" s="188"/>
      <c r="LA219" s="188"/>
      <c r="LB219" s="188"/>
      <c r="LC219" s="188"/>
      <c r="LD219" s="188"/>
      <c r="LE219" s="188"/>
      <c r="LF219" s="188"/>
      <c r="LG219" s="188"/>
      <c r="LH219" s="188"/>
      <c r="LI219" s="188"/>
      <c r="LJ219" s="188"/>
      <c r="LK219" s="188"/>
      <c r="LL219" s="188"/>
      <c r="LM219" s="188"/>
      <c r="LN219" s="188"/>
      <c r="LO219" s="188"/>
      <c r="LP219" s="188"/>
      <c r="LQ219" s="189"/>
      <c r="LR219" s="187"/>
      <c r="LS219" s="188"/>
      <c r="LT219" s="188"/>
      <c r="LU219" s="188"/>
      <c r="LV219" s="189"/>
      <c r="MK219" s="12"/>
      <c r="ML219" s="7"/>
    </row>
    <row r="220" spans="3:350" ht="5.0999999999999996" customHeight="1" x14ac:dyDescent="0.3">
      <c r="C220" s="11"/>
      <c r="D220" s="13"/>
      <c r="Q220" s="190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2"/>
      <c r="BF220" s="190"/>
      <c r="BG220" s="191"/>
      <c r="BH220" s="191"/>
      <c r="BI220" s="191"/>
      <c r="BJ220" s="192"/>
      <c r="JV220" s="155"/>
      <c r="KC220" s="190"/>
      <c r="KD220" s="191"/>
      <c r="KE220" s="191"/>
      <c r="KF220" s="191"/>
      <c r="KG220" s="191"/>
      <c r="KH220" s="191"/>
      <c r="KI220" s="191"/>
      <c r="KJ220" s="191"/>
      <c r="KK220" s="191"/>
      <c r="KL220" s="191"/>
      <c r="KM220" s="191"/>
      <c r="KN220" s="191"/>
      <c r="KO220" s="191"/>
      <c r="KP220" s="191"/>
      <c r="KQ220" s="191"/>
      <c r="KR220" s="191"/>
      <c r="KS220" s="191"/>
      <c r="KT220" s="191"/>
      <c r="KU220" s="191"/>
      <c r="KV220" s="191"/>
      <c r="KW220" s="191"/>
      <c r="KX220" s="191"/>
      <c r="KY220" s="191"/>
      <c r="KZ220" s="191"/>
      <c r="LA220" s="191"/>
      <c r="LB220" s="191"/>
      <c r="LC220" s="191"/>
      <c r="LD220" s="191"/>
      <c r="LE220" s="191"/>
      <c r="LF220" s="191"/>
      <c r="LG220" s="191"/>
      <c r="LH220" s="191"/>
      <c r="LI220" s="191"/>
      <c r="LJ220" s="191"/>
      <c r="LK220" s="191"/>
      <c r="LL220" s="191"/>
      <c r="LM220" s="191"/>
      <c r="LN220" s="191"/>
      <c r="LO220" s="191"/>
      <c r="LP220" s="191"/>
      <c r="LQ220" s="192"/>
      <c r="LR220" s="190"/>
      <c r="LS220" s="191"/>
      <c r="LT220" s="191"/>
      <c r="LU220" s="191"/>
      <c r="LV220" s="192"/>
      <c r="MK220" s="12"/>
      <c r="ML220" s="7"/>
    </row>
    <row r="221" spans="3:350" ht="5.0999999999999996" customHeight="1" x14ac:dyDescent="0.3">
      <c r="C221" s="11"/>
      <c r="D221" s="13"/>
      <c r="Q221" s="195" t="s">
        <v>27</v>
      </c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7">
        <v>10</v>
      </c>
      <c r="BF221" s="184"/>
      <c r="BG221" s="185"/>
      <c r="BH221" s="185"/>
      <c r="BI221" s="185"/>
      <c r="BJ221" s="186"/>
      <c r="JV221" s="155"/>
      <c r="KZ221" s="151"/>
      <c r="MK221" s="12"/>
      <c r="ML221" s="7"/>
    </row>
    <row r="222" spans="3:350" ht="5.0999999999999996" customHeight="1" x14ac:dyDescent="0.3">
      <c r="C222" s="11"/>
      <c r="D222" s="13"/>
      <c r="Q222" s="198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199"/>
      <c r="AM222" s="199"/>
      <c r="AN222" s="199"/>
      <c r="AO222" s="199"/>
      <c r="AP222" s="199"/>
      <c r="AQ222" s="199"/>
      <c r="AR222" s="199"/>
      <c r="AS222" s="199"/>
      <c r="AT222" s="199"/>
      <c r="AU222" s="199"/>
      <c r="AV222" s="199"/>
      <c r="AW222" s="199"/>
      <c r="AX222" s="199"/>
      <c r="AY222" s="199"/>
      <c r="AZ222" s="199"/>
      <c r="BA222" s="199"/>
      <c r="BB222" s="199"/>
      <c r="BC222" s="199"/>
      <c r="BD222" s="199"/>
      <c r="BE222" s="200"/>
      <c r="BF222" s="187"/>
      <c r="BG222" s="188"/>
      <c r="BH222" s="188"/>
      <c r="BI222" s="188"/>
      <c r="BJ222" s="189"/>
      <c r="JV222" s="155"/>
      <c r="KC222" s="184" t="s">
        <v>58</v>
      </c>
      <c r="KD222" s="185"/>
      <c r="KE222" s="185"/>
      <c r="KF222" s="185"/>
      <c r="KG222" s="185"/>
      <c r="KH222" s="185"/>
      <c r="KI222" s="185"/>
      <c r="KJ222" s="185"/>
      <c r="KK222" s="185"/>
      <c r="KL222" s="185"/>
      <c r="KM222" s="185"/>
      <c r="KN222" s="185"/>
      <c r="KO222" s="185"/>
      <c r="KP222" s="185"/>
      <c r="KQ222" s="185"/>
      <c r="KR222" s="185"/>
      <c r="KS222" s="185"/>
      <c r="KT222" s="185"/>
      <c r="KU222" s="185"/>
      <c r="KV222" s="185"/>
      <c r="KW222" s="185"/>
      <c r="KX222" s="185"/>
      <c r="KY222" s="185"/>
      <c r="KZ222" s="185"/>
      <c r="LA222" s="185"/>
      <c r="LB222" s="185"/>
      <c r="LC222" s="185"/>
      <c r="LD222" s="185"/>
      <c r="LE222" s="185"/>
      <c r="LF222" s="185"/>
      <c r="LG222" s="185"/>
      <c r="LH222" s="185"/>
      <c r="LI222" s="185"/>
      <c r="LJ222" s="185"/>
      <c r="LK222" s="185"/>
      <c r="LL222" s="185"/>
      <c r="LM222" s="185"/>
      <c r="LN222" s="185"/>
      <c r="LO222" s="185"/>
      <c r="LP222" s="185"/>
      <c r="LQ222" s="186"/>
      <c r="LR222" s="184">
        <v>1</v>
      </c>
      <c r="LS222" s="185"/>
      <c r="LT222" s="185"/>
      <c r="LU222" s="185"/>
      <c r="LV222" s="186"/>
      <c r="MK222" s="12"/>
      <c r="ML222" s="7"/>
    </row>
    <row r="223" spans="3:350" ht="5.0999999999999996" customHeight="1" x14ac:dyDescent="0.3">
      <c r="C223" s="11"/>
      <c r="D223" s="13"/>
      <c r="Q223" s="198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199"/>
      <c r="AM223" s="199"/>
      <c r="AN223" s="199"/>
      <c r="AO223" s="199"/>
      <c r="AP223" s="199"/>
      <c r="AQ223" s="199"/>
      <c r="AR223" s="199"/>
      <c r="AS223" s="199"/>
      <c r="AT223" s="199"/>
      <c r="AU223" s="199"/>
      <c r="AV223" s="199"/>
      <c r="AW223" s="199"/>
      <c r="AX223" s="199"/>
      <c r="AY223" s="199"/>
      <c r="AZ223" s="199"/>
      <c r="BA223" s="199"/>
      <c r="BB223" s="199"/>
      <c r="BC223" s="199"/>
      <c r="BD223" s="199"/>
      <c r="BE223" s="200"/>
      <c r="BF223" s="187"/>
      <c r="BG223" s="188"/>
      <c r="BH223" s="188"/>
      <c r="BI223" s="188"/>
      <c r="BJ223" s="189"/>
      <c r="JV223" s="155"/>
      <c r="KC223" s="187"/>
      <c r="KD223" s="188"/>
      <c r="KE223" s="188"/>
      <c r="KF223" s="188"/>
      <c r="KG223" s="188"/>
      <c r="KH223" s="188"/>
      <c r="KI223" s="188"/>
      <c r="KJ223" s="188"/>
      <c r="KK223" s="188"/>
      <c r="KL223" s="188"/>
      <c r="KM223" s="188"/>
      <c r="KN223" s="188"/>
      <c r="KO223" s="188"/>
      <c r="KP223" s="188"/>
      <c r="KQ223" s="188"/>
      <c r="KR223" s="188"/>
      <c r="KS223" s="188"/>
      <c r="KT223" s="188"/>
      <c r="KU223" s="188"/>
      <c r="KV223" s="188"/>
      <c r="KW223" s="188"/>
      <c r="KX223" s="188"/>
      <c r="KY223" s="188"/>
      <c r="KZ223" s="188"/>
      <c r="LA223" s="188"/>
      <c r="LB223" s="188"/>
      <c r="LC223" s="188"/>
      <c r="LD223" s="188"/>
      <c r="LE223" s="188"/>
      <c r="LF223" s="188"/>
      <c r="LG223" s="188"/>
      <c r="LH223" s="188"/>
      <c r="LI223" s="188"/>
      <c r="LJ223" s="188"/>
      <c r="LK223" s="188"/>
      <c r="LL223" s="188"/>
      <c r="LM223" s="188"/>
      <c r="LN223" s="188"/>
      <c r="LO223" s="188"/>
      <c r="LP223" s="188"/>
      <c r="LQ223" s="189"/>
      <c r="LR223" s="187"/>
      <c r="LS223" s="188"/>
      <c r="LT223" s="188"/>
      <c r="LU223" s="188"/>
      <c r="LV223" s="189"/>
      <c r="MK223" s="12"/>
      <c r="ML223" s="7"/>
    </row>
    <row r="224" spans="3:350" ht="5.0999999999999996" customHeight="1" x14ac:dyDescent="0.3">
      <c r="C224" s="11"/>
      <c r="D224" s="13"/>
      <c r="Q224" s="198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199"/>
      <c r="AM224" s="199"/>
      <c r="AN224" s="199"/>
      <c r="AO224" s="199"/>
      <c r="AP224" s="199"/>
      <c r="AQ224" s="199"/>
      <c r="AR224" s="199"/>
      <c r="AS224" s="199"/>
      <c r="AT224" s="199"/>
      <c r="AU224" s="199"/>
      <c r="AV224" s="199"/>
      <c r="AW224" s="199"/>
      <c r="AX224" s="199"/>
      <c r="AY224" s="199"/>
      <c r="AZ224" s="199"/>
      <c r="BA224" s="199"/>
      <c r="BB224" s="199"/>
      <c r="BC224" s="199"/>
      <c r="BD224" s="199"/>
      <c r="BE224" s="200"/>
      <c r="BF224" s="187"/>
      <c r="BG224" s="188"/>
      <c r="BH224" s="188"/>
      <c r="BI224" s="188"/>
      <c r="BJ224" s="189"/>
      <c r="JV224" s="155"/>
      <c r="KC224" s="187"/>
      <c r="KD224" s="188"/>
      <c r="KE224" s="188"/>
      <c r="KF224" s="188"/>
      <c r="KG224" s="188"/>
      <c r="KH224" s="188"/>
      <c r="KI224" s="188"/>
      <c r="KJ224" s="188"/>
      <c r="KK224" s="188"/>
      <c r="KL224" s="188"/>
      <c r="KM224" s="188"/>
      <c r="KN224" s="188"/>
      <c r="KO224" s="188"/>
      <c r="KP224" s="188"/>
      <c r="KQ224" s="188"/>
      <c r="KR224" s="188"/>
      <c r="KS224" s="188"/>
      <c r="KT224" s="188"/>
      <c r="KU224" s="188"/>
      <c r="KV224" s="188"/>
      <c r="KW224" s="188"/>
      <c r="KX224" s="188"/>
      <c r="KY224" s="188"/>
      <c r="KZ224" s="188"/>
      <c r="LA224" s="188"/>
      <c r="LB224" s="188"/>
      <c r="LC224" s="188"/>
      <c r="LD224" s="188"/>
      <c r="LE224" s="188"/>
      <c r="LF224" s="188"/>
      <c r="LG224" s="188"/>
      <c r="LH224" s="188"/>
      <c r="LI224" s="188"/>
      <c r="LJ224" s="188"/>
      <c r="LK224" s="188"/>
      <c r="LL224" s="188"/>
      <c r="LM224" s="188"/>
      <c r="LN224" s="188"/>
      <c r="LO224" s="188"/>
      <c r="LP224" s="188"/>
      <c r="LQ224" s="189"/>
      <c r="LR224" s="187"/>
      <c r="LS224" s="188"/>
      <c r="LT224" s="188"/>
      <c r="LU224" s="188"/>
      <c r="LV224" s="189"/>
      <c r="MK224" s="12"/>
      <c r="ML224" s="7"/>
    </row>
    <row r="225" spans="3:350" ht="5.0999999999999996" customHeight="1" x14ac:dyDescent="0.3">
      <c r="C225" s="11"/>
      <c r="D225" s="13"/>
      <c r="Q225" s="198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199"/>
      <c r="AM225" s="199"/>
      <c r="AN225" s="199"/>
      <c r="AO225" s="199"/>
      <c r="AP225" s="199"/>
      <c r="AQ225" s="199"/>
      <c r="AR225" s="199"/>
      <c r="AS225" s="199"/>
      <c r="AT225" s="199"/>
      <c r="AU225" s="199"/>
      <c r="AV225" s="199"/>
      <c r="AW225" s="199"/>
      <c r="AX225" s="199"/>
      <c r="AY225" s="199"/>
      <c r="AZ225" s="199"/>
      <c r="BA225" s="199"/>
      <c r="BB225" s="199"/>
      <c r="BC225" s="199"/>
      <c r="BD225" s="199"/>
      <c r="BE225" s="200"/>
      <c r="BF225" s="187"/>
      <c r="BG225" s="188"/>
      <c r="BH225" s="188"/>
      <c r="BI225" s="188"/>
      <c r="BJ225" s="189"/>
      <c r="JV225" s="155"/>
      <c r="KC225" s="187"/>
      <c r="KD225" s="188"/>
      <c r="KE225" s="188"/>
      <c r="KF225" s="188"/>
      <c r="KG225" s="188"/>
      <c r="KH225" s="188"/>
      <c r="KI225" s="188"/>
      <c r="KJ225" s="188"/>
      <c r="KK225" s="188"/>
      <c r="KL225" s="188"/>
      <c r="KM225" s="188"/>
      <c r="KN225" s="188"/>
      <c r="KO225" s="188"/>
      <c r="KP225" s="188"/>
      <c r="KQ225" s="188"/>
      <c r="KR225" s="188"/>
      <c r="KS225" s="188"/>
      <c r="KT225" s="188"/>
      <c r="KU225" s="188"/>
      <c r="KV225" s="188"/>
      <c r="KW225" s="188"/>
      <c r="KX225" s="188"/>
      <c r="KY225" s="188"/>
      <c r="KZ225" s="188"/>
      <c r="LA225" s="188"/>
      <c r="LB225" s="188"/>
      <c r="LC225" s="188"/>
      <c r="LD225" s="188"/>
      <c r="LE225" s="188"/>
      <c r="LF225" s="188"/>
      <c r="LG225" s="188"/>
      <c r="LH225" s="188"/>
      <c r="LI225" s="188"/>
      <c r="LJ225" s="188"/>
      <c r="LK225" s="188"/>
      <c r="LL225" s="188"/>
      <c r="LM225" s="188"/>
      <c r="LN225" s="188"/>
      <c r="LO225" s="188"/>
      <c r="LP225" s="188"/>
      <c r="LQ225" s="189"/>
      <c r="LR225" s="187"/>
      <c r="LS225" s="188"/>
      <c r="LT225" s="188"/>
      <c r="LU225" s="188"/>
      <c r="LV225" s="189"/>
      <c r="MK225" s="12"/>
      <c r="ML225" s="7"/>
    </row>
    <row r="226" spans="3:350" ht="5.0999999999999996" customHeight="1" x14ac:dyDescent="0.3">
      <c r="C226" s="11"/>
      <c r="D226" s="13"/>
      <c r="Q226" s="198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199"/>
      <c r="AU226" s="199"/>
      <c r="AV226" s="199"/>
      <c r="AW226" s="199"/>
      <c r="AX226" s="199"/>
      <c r="AY226" s="199"/>
      <c r="AZ226" s="199"/>
      <c r="BA226" s="199"/>
      <c r="BB226" s="199"/>
      <c r="BC226" s="199"/>
      <c r="BD226" s="199"/>
      <c r="BE226" s="200"/>
      <c r="BF226" s="187"/>
      <c r="BG226" s="188"/>
      <c r="BH226" s="188"/>
      <c r="BI226" s="188"/>
      <c r="BJ226" s="189"/>
      <c r="JV226" s="155"/>
      <c r="KC226" s="187"/>
      <c r="KD226" s="188"/>
      <c r="KE226" s="188"/>
      <c r="KF226" s="188"/>
      <c r="KG226" s="188"/>
      <c r="KH226" s="188"/>
      <c r="KI226" s="188"/>
      <c r="KJ226" s="188"/>
      <c r="KK226" s="188"/>
      <c r="KL226" s="188"/>
      <c r="KM226" s="188"/>
      <c r="KN226" s="188"/>
      <c r="KO226" s="188"/>
      <c r="KP226" s="188"/>
      <c r="KQ226" s="188"/>
      <c r="KR226" s="188"/>
      <c r="KS226" s="188"/>
      <c r="KT226" s="188"/>
      <c r="KU226" s="188"/>
      <c r="KV226" s="188"/>
      <c r="KW226" s="188"/>
      <c r="KX226" s="188"/>
      <c r="KY226" s="188"/>
      <c r="KZ226" s="188"/>
      <c r="LA226" s="188"/>
      <c r="LB226" s="188"/>
      <c r="LC226" s="188"/>
      <c r="LD226" s="188"/>
      <c r="LE226" s="188"/>
      <c r="LF226" s="188"/>
      <c r="LG226" s="188"/>
      <c r="LH226" s="188"/>
      <c r="LI226" s="188"/>
      <c r="LJ226" s="188"/>
      <c r="LK226" s="188"/>
      <c r="LL226" s="188"/>
      <c r="LM226" s="188"/>
      <c r="LN226" s="188"/>
      <c r="LO226" s="188"/>
      <c r="LP226" s="188"/>
      <c r="LQ226" s="189"/>
      <c r="LR226" s="187"/>
      <c r="LS226" s="188"/>
      <c r="LT226" s="188"/>
      <c r="LU226" s="188"/>
      <c r="LV226" s="189"/>
      <c r="MK226" s="12"/>
      <c r="ML226" s="7"/>
    </row>
    <row r="227" spans="3:350" ht="5.0999999999999996" customHeight="1" x14ac:dyDescent="0.3">
      <c r="C227" s="11"/>
      <c r="D227" s="13"/>
      <c r="Q227" s="198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  <c r="AS227" s="199"/>
      <c r="AT227" s="199"/>
      <c r="AU227" s="199"/>
      <c r="AV227" s="199"/>
      <c r="AW227" s="199"/>
      <c r="AX227" s="199"/>
      <c r="AY227" s="199"/>
      <c r="AZ227" s="199"/>
      <c r="BA227" s="199"/>
      <c r="BB227" s="199"/>
      <c r="BC227" s="199"/>
      <c r="BD227" s="199"/>
      <c r="BE227" s="200"/>
      <c r="BF227" s="187"/>
      <c r="BG227" s="188"/>
      <c r="BH227" s="188"/>
      <c r="BI227" s="188"/>
      <c r="BJ227" s="189"/>
      <c r="JV227" s="155"/>
      <c r="KC227" s="187"/>
      <c r="KD227" s="188"/>
      <c r="KE227" s="188"/>
      <c r="KF227" s="188"/>
      <c r="KG227" s="188"/>
      <c r="KH227" s="188"/>
      <c r="KI227" s="188"/>
      <c r="KJ227" s="188"/>
      <c r="KK227" s="188"/>
      <c r="KL227" s="188"/>
      <c r="KM227" s="188"/>
      <c r="KN227" s="188"/>
      <c r="KO227" s="188"/>
      <c r="KP227" s="188"/>
      <c r="KQ227" s="188"/>
      <c r="KR227" s="188"/>
      <c r="KS227" s="188"/>
      <c r="KT227" s="188"/>
      <c r="KU227" s="188"/>
      <c r="KV227" s="188"/>
      <c r="KW227" s="188"/>
      <c r="KX227" s="188"/>
      <c r="KY227" s="188"/>
      <c r="KZ227" s="188"/>
      <c r="LA227" s="188"/>
      <c r="LB227" s="188"/>
      <c r="LC227" s="188"/>
      <c r="LD227" s="188"/>
      <c r="LE227" s="188"/>
      <c r="LF227" s="188"/>
      <c r="LG227" s="188"/>
      <c r="LH227" s="188"/>
      <c r="LI227" s="188"/>
      <c r="LJ227" s="188"/>
      <c r="LK227" s="188"/>
      <c r="LL227" s="188"/>
      <c r="LM227" s="188"/>
      <c r="LN227" s="188"/>
      <c r="LO227" s="188"/>
      <c r="LP227" s="188"/>
      <c r="LQ227" s="189"/>
      <c r="LR227" s="187"/>
      <c r="LS227" s="188"/>
      <c r="LT227" s="188"/>
      <c r="LU227" s="188"/>
      <c r="LV227" s="189"/>
      <c r="MK227" s="12"/>
      <c r="ML227" s="7"/>
    </row>
    <row r="228" spans="3:350" ht="5.0999999999999996" customHeight="1" x14ac:dyDescent="0.3">
      <c r="C228" s="11"/>
      <c r="D228" s="13"/>
      <c r="Q228" s="198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199"/>
      <c r="AM228" s="199"/>
      <c r="AN228" s="199"/>
      <c r="AO228" s="199"/>
      <c r="AP228" s="199"/>
      <c r="AQ228" s="199"/>
      <c r="AR228" s="199"/>
      <c r="AS228" s="199"/>
      <c r="AT228" s="199"/>
      <c r="AU228" s="199"/>
      <c r="AV228" s="199"/>
      <c r="AW228" s="199"/>
      <c r="AX228" s="199"/>
      <c r="AY228" s="199"/>
      <c r="AZ228" s="199"/>
      <c r="BA228" s="199"/>
      <c r="BB228" s="199"/>
      <c r="BC228" s="199"/>
      <c r="BD228" s="199"/>
      <c r="BE228" s="200"/>
      <c r="BF228" s="187"/>
      <c r="BG228" s="188"/>
      <c r="BH228" s="188"/>
      <c r="BI228" s="188"/>
      <c r="BJ228" s="189"/>
      <c r="JV228" s="155"/>
      <c r="KC228" s="187"/>
      <c r="KD228" s="188"/>
      <c r="KE228" s="188"/>
      <c r="KF228" s="188"/>
      <c r="KG228" s="188"/>
      <c r="KH228" s="188"/>
      <c r="KI228" s="188"/>
      <c r="KJ228" s="188"/>
      <c r="KK228" s="188"/>
      <c r="KL228" s="188"/>
      <c r="KM228" s="188"/>
      <c r="KN228" s="188"/>
      <c r="KO228" s="188"/>
      <c r="KP228" s="188"/>
      <c r="KQ228" s="188"/>
      <c r="KR228" s="188"/>
      <c r="KS228" s="188"/>
      <c r="KT228" s="188"/>
      <c r="KU228" s="188"/>
      <c r="KV228" s="188"/>
      <c r="KW228" s="188"/>
      <c r="KX228" s="188"/>
      <c r="KY228" s="188"/>
      <c r="KZ228" s="188"/>
      <c r="LA228" s="188"/>
      <c r="LB228" s="188"/>
      <c r="LC228" s="188"/>
      <c r="LD228" s="188"/>
      <c r="LE228" s="188"/>
      <c r="LF228" s="188"/>
      <c r="LG228" s="188"/>
      <c r="LH228" s="188"/>
      <c r="LI228" s="188"/>
      <c r="LJ228" s="188"/>
      <c r="LK228" s="188"/>
      <c r="LL228" s="188"/>
      <c r="LM228" s="188"/>
      <c r="LN228" s="188"/>
      <c r="LO228" s="188"/>
      <c r="LP228" s="188"/>
      <c r="LQ228" s="189"/>
      <c r="LR228" s="187"/>
      <c r="LS228" s="188"/>
      <c r="LT228" s="188"/>
      <c r="LU228" s="188"/>
      <c r="LV228" s="189"/>
      <c r="MK228" s="12"/>
      <c r="ML228" s="7"/>
    </row>
    <row r="229" spans="3:350" ht="5.0999999999999996" customHeight="1" x14ac:dyDescent="0.3">
      <c r="C229" s="11"/>
      <c r="D229" s="13"/>
      <c r="Q229" s="198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199"/>
      <c r="AM229" s="199"/>
      <c r="AN229" s="199"/>
      <c r="AO229" s="199"/>
      <c r="AP229" s="199"/>
      <c r="AQ229" s="199"/>
      <c r="AR229" s="199"/>
      <c r="AS229" s="199"/>
      <c r="AT229" s="199"/>
      <c r="AU229" s="199"/>
      <c r="AV229" s="199"/>
      <c r="AW229" s="199"/>
      <c r="AX229" s="199"/>
      <c r="AY229" s="199"/>
      <c r="AZ229" s="199"/>
      <c r="BA229" s="199"/>
      <c r="BB229" s="199"/>
      <c r="BC229" s="199"/>
      <c r="BD229" s="199"/>
      <c r="BE229" s="200"/>
      <c r="BF229" s="187"/>
      <c r="BG229" s="188"/>
      <c r="BH229" s="188"/>
      <c r="BI229" s="188"/>
      <c r="BJ229" s="189"/>
      <c r="JV229" s="155"/>
      <c r="KC229" s="187"/>
      <c r="KD229" s="188"/>
      <c r="KE229" s="188"/>
      <c r="KF229" s="188"/>
      <c r="KG229" s="188"/>
      <c r="KH229" s="188"/>
      <c r="KI229" s="188"/>
      <c r="KJ229" s="188"/>
      <c r="KK229" s="188"/>
      <c r="KL229" s="188"/>
      <c r="KM229" s="188"/>
      <c r="KN229" s="188"/>
      <c r="KO229" s="188"/>
      <c r="KP229" s="188"/>
      <c r="KQ229" s="188"/>
      <c r="KR229" s="188"/>
      <c r="KS229" s="188"/>
      <c r="KT229" s="188"/>
      <c r="KU229" s="188"/>
      <c r="KV229" s="188"/>
      <c r="KW229" s="188"/>
      <c r="KX229" s="188"/>
      <c r="KY229" s="188"/>
      <c r="KZ229" s="188"/>
      <c r="LA229" s="188"/>
      <c r="LB229" s="188"/>
      <c r="LC229" s="188"/>
      <c r="LD229" s="188"/>
      <c r="LE229" s="188"/>
      <c r="LF229" s="188"/>
      <c r="LG229" s="188"/>
      <c r="LH229" s="188"/>
      <c r="LI229" s="188"/>
      <c r="LJ229" s="188"/>
      <c r="LK229" s="188"/>
      <c r="LL229" s="188"/>
      <c r="LM229" s="188"/>
      <c r="LN229" s="188"/>
      <c r="LO229" s="188"/>
      <c r="LP229" s="188"/>
      <c r="LQ229" s="189"/>
      <c r="LR229" s="187"/>
      <c r="LS229" s="188"/>
      <c r="LT229" s="188"/>
      <c r="LU229" s="188"/>
      <c r="LV229" s="189"/>
      <c r="MK229" s="12"/>
      <c r="ML229" s="7"/>
    </row>
    <row r="230" spans="3:350" ht="5.0999999999999996" customHeight="1" x14ac:dyDescent="0.3">
      <c r="C230" s="11"/>
      <c r="D230" s="13"/>
      <c r="Q230" s="201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3"/>
      <c r="BF230" s="190"/>
      <c r="BG230" s="191"/>
      <c r="BH230" s="191"/>
      <c r="BI230" s="191"/>
      <c r="BJ230" s="192"/>
      <c r="JV230" s="155"/>
      <c r="KC230" s="187"/>
      <c r="KD230" s="188"/>
      <c r="KE230" s="188"/>
      <c r="KF230" s="188"/>
      <c r="KG230" s="188"/>
      <c r="KH230" s="188"/>
      <c r="KI230" s="188"/>
      <c r="KJ230" s="188"/>
      <c r="KK230" s="188"/>
      <c r="KL230" s="188"/>
      <c r="KM230" s="188"/>
      <c r="KN230" s="188"/>
      <c r="KO230" s="188"/>
      <c r="KP230" s="188"/>
      <c r="KQ230" s="188"/>
      <c r="KR230" s="188"/>
      <c r="KS230" s="188"/>
      <c r="KT230" s="188"/>
      <c r="KU230" s="188"/>
      <c r="KV230" s="188"/>
      <c r="KW230" s="188"/>
      <c r="KX230" s="188"/>
      <c r="KY230" s="188"/>
      <c r="KZ230" s="188"/>
      <c r="LA230" s="188"/>
      <c r="LB230" s="188"/>
      <c r="LC230" s="188"/>
      <c r="LD230" s="188"/>
      <c r="LE230" s="188"/>
      <c r="LF230" s="188"/>
      <c r="LG230" s="188"/>
      <c r="LH230" s="188"/>
      <c r="LI230" s="188"/>
      <c r="LJ230" s="188"/>
      <c r="LK230" s="188"/>
      <c r="LL230" s="188"/>
      <c r="LM230" s="188"/>
      <c r="LN230" s="188"/>
      <c r="LO230" s="188"/>
      <c r="LP230" s="188"/>
      <c r="LQ230" s="189"/>
      <c r="LR230" s="187"/>
      <c r="LS230" s="188"/>
      <c r="LT230" s="188"/>
      <c r="LU230" s="188"/>
      <c r="LV230" s="189"/>
      <c r="MK230" s="12"/>
      <c r="ML230" s="7"/>
    </row>
    <row r="231" spans="3:350" ht="5.0999999999999996" customHeight="1" x14ac:dyDescent="0.3">
      <c r="C231" s="11"/>
      <c r="D231" s="13"/>
      <c r="Q231" s="195" t="s">
        <v>28</v>
      </c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  <c r="AY231" s="196"/>
      <c r="AZ231" s="196"/>
      <c r="BA231" s="196"/>
      <c r="BB231" s="196"/>
      <c r="BC231" s="196"/>
      <c r="BD231" s="196"/>
      <c r="BE231" s="197">
        <v>10</v>
      </c>
      <c r="BF231" s="216"/>
      <c r="BG231" s="217"/>
      <c r="BH231" s="217"/>
      <c r="BI231" s="217"/>
      <c r="BJ231" s="218"/>
      <c r="JV231" s="155"/>
      <c r="KC231" s="190"/>
      <c r="KD231" s="191"/>
      <c r="KE231" s="191"/>
      <c r="KF231" s="191"/>
      <c r="KG231" s="191"/>
      <c r="KH231" s="191"/>
      <c r="KI231" s="191"/>
      <c r="KJ231" s="191"/>
      <c r="KK231" s="191"/>
      <c r="KL231" s="191"/>
      <c r="KM231" s="191"/>
      <c r="KN231" s="191"/>
      <c r="KO231" s="191"/>
      <c r="KP231" s="191"/>
      <c r="KQ231" s="191"/>
      <c r="KR231" s="191"/>
      <c r="KS231" s="191"/>
      <c r="KT231" s="191"/>
      <c r="KU231" s="191"/>
      <c r="KV231" s="191"/>
      <c r="KW231" s="191"/>
      <c r="KX231" s="191"/>
      <c r="KY231" s="191"/>
      <c r="KZ231" s="191"/>
      <c r="LA231" s="191"/>
      <c r="LB231" s="191"/>
      <c r="LC231" s="191"/>
      <c r="LD231" s="191"/>
      <c r="LE231" s="191"/>
      <c r="LF231" s="191"/>
      <c r="LG231" s="191"/>
      <c r="LH231" s="191"/>
      <c r="LI231" s="191"/>
      <c r="LJ231" s="191"/>
      <c r="LK231" s="191"/>
      <c r="LL231" s="191"/>
      <c r="LM231" s="191"/>
      <c r="LN231" s="191"/>
      <c r="LO231" s="191"/>
      <c r="LP231" s="191"/>
      <c r="LQ231" s="192"/>
      <c r="LR231" s="190"/>
      <c r="LS231" s="191"/>
      <c r="LT231" s="191"/>
      <c r="LU231" s="191"/>
      <c r="LV231" s="192"/>
      <c r="MK231" s="12"/>
      <c r="ML231" s="7"/>
    </row>
    <row r="232" spans="3:350" ht="5.0999999999999996" customHeight="1" x14ac:dyDescent="0.3">
      <c r="C232" s="11"/>
      <c r="D232" s="13"/>
      <c r="Q232" s="198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  <c r="AS232" s="199"/>
      <c r="AT232" s="199"/>
      <c r="AU232" s="199"/>
      <c r="AV232" s="199"/>
      <c r="AW232" s="199"/>
      <c r="AX232" s="199"/>
      <c r="AY232" s="199"/>
      <c r="AZ232" s="199"/>
      <c r="BA232" s="199"/>
      <c r="BB232" s="199"/>
      <c r="BC232" s="199"/>
      <c r="BD232" s="199"/>
      <c r="BE232" s="200"/>
      <c r="BF232" s="219"/>
      <c r="BG232" s="220"/>
      <c r="BH232" s="220"/>
      <c r="BI232" s="220"/>
      <c r="BJ232" s="221"/>
      <c r="JV232" s="155"/>
      <c r="MK232" s="12"/>
      <c r="ML232" s="7"/>
    </row>
    <row r="233" spans="3:350" ht="5.0999999999999996" customHeight="1" x14ac:dyDescent="0.3">
      <c r="C233" s="11"/>
      <c r="D233" s="13"/>
      <c r="Q233" s="198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  <c r="AD233" s="199"/>
      <c r="AE233" s="199"/>
      <c r="AF233" s="199"/>
      <c r="AG233" s="199"/>
      <c r="AH233" s="199"/>
      <c r="AI233" s="199"/>
      <c r="AJ233" s="199"/>
      <c r="AK233" s="199"/>
      <c r="AL233" s="199"/>
      <c r="AM233" s="199"/>
      <c r="AN233" s="199"/>
      <c r="AO233" s="199"/>
      <c r="AP233" s="199"/>
      <c r="AQ233" s="199"/>
      <c r="AR233" s="199"/>
      <c r="AS233" s="199"/>
      <c r="AT233" s="199"/>
      <c r="AU233" s="199"/>
      <c r="AV233" s="199"/>
      <c r="AW233" s="199"/>
      <c r="AX233" s="199"/>
      <c r="AY233" s="199"/>
      <c r="AZ233" s="199"/>
      <c r="BA233" s="199"/>
      <c r="BB233" s="199"/>
      <c r="BC233" s="199"/>
      <c r="BD233" s="199"/>
      <c r="BE233" s="200"/>
      <c r="BF233" s="219"/>
      <c r="BG233" s="220"/>
      <c r="BH233" s="220"/>
      <c r="BI233" s="220"/>
      <c r="BJ233" s="221"/>
      <c r="JV233" s="155"/>
      <c r="MK233" s="12"/>
      <c r="ML233" s="7"/>
    </row>
    <row r="234" spans="3:350" ht="5.0999999999999996" customHeight="1" x14ac:dyDescent="0.3">
      <c r="C234" s="11"/>
      <c r="D234" s="13"/>
      <c r="Q234" s="198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  <c r="AD234" s="199"/>
      <c r="AE234" s="199"/>
      <c r="AF234" s="199"/>
      <c r="AG234" s="199"/>
      <c r="AH234" s="199"/>
      <c r="AI234" s="199"/>
      <c r="AJ234" s="199"/>
      <c r="AK234" s="199"/>
      <c r="AL234" s="199"/>
      <c r="AM234" s="199"/>
      <c r="AN234" s="199"/>
      <c r="AO234" s="199"/>
      <c r="AP234" s="199"/>
      <c r="AQ234" s="199"/>
      <c r="AR234" s="199"/>
      <c r="AS234" s="199"/>
      <c r="AT234" s="199"/>
      <c r="AU234" s="199"/>
      <c r="AV234" s="199"/>
      <c r="AW234" s="199"/>
      <c r="AX234" s="199"/>
      <c r="AY234" s="199"/>
      <c r="AZ234" s="199"/>
      <c r="BA234" s="199"/>
      <c r="BB234" s="199"/>
      <c r="BC234" s="199"/>
      <c r="BD234" s="199"/>
      <c r="BE234" s="200"/>
      <c r="BF234" s="219"/>
      <c r="BG234" s="220"/>
      <c r="BH234" s="220"/>
      <c r="BI234" s="220"/>
      <c r="BJ234" s="221"/>
      <c r="MK234" s="12"/>
      <c r="ML234" s="7"/>
    </row>
    <row r="235" spans="3:350" ht="5.0999999999999996" customHeight="1" x14ac:dyDescent="0.3">
      <c r="C235" s="11"/>
      <c r="D235" s="13"/>
      <c r="Q235" s="198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  <c r="AS235" s="199"/>
      <c r="AT235" s="199"/>
      <c r="AU235" s="199"/>
      <c r="AV235" s="199"/>
      <c r="AW235" s="199"/>
      <c r="AX235" s="199"/>
      <c r="AY235" s="199"/>
      <c r="AZ235" s="199"/>
      <c r="BA235" s="199"/>
      <c r="BB235" s="199"/>
      <c r="BC235" s="199"/>
      <c r="BD235" s="199"/>
      <c r="BE235" s="200"/>
      <c r="BF235" s="219"/>
      <c r="BG235" s="220"/>
      <c r="BH235" s="220"/>
      <c r="BI235" s="220"/>
      <c r="BJ235" s="221"/>
      <c r="MK235" s="12"/>
      <c r="ML235" s="7"/>
    </row>
    <row r="236" spans="3:350" ht="5.0999999999999996" customHeight="1" x14ac:dyDescent="0.3">
      <c r="C236" s="11"/>
      <c r="D236" s="13"/>
      <c r="Q236" s="198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199"/>
      <c r="AM236" s="199"/>
      <c r="AN236" s="199"/>
      <c r="AO236" s="199"/>
      <c r="AP236" s="199"/>
      <c r="AQ236" s="199"/>
      <c r="AR236" s="199"/>
      <c r="AS236" s="199"/>
      <c r="AT236" s="199"/>
      <c r="AU236" s="199"/>
      <c r="AV236" s="199"/>
      <c r="AW236" s="199"/>
      <c r="AX236" s="199"/>
      <c r="AY236" s="199"/>
      <c r="AZ236" s="199"/>
      <c r="BA236" s="199"/>
      <c r="BB236" s="199"/>
      <c r="BC236" s="199"/>
      <c r="BD236" s="199"/>
      <c r="BE236" s="200"/>
      <c r="BF236" s="219"/>
      <c r="BG236" s="220"/>
      <c r="BH236" s="220"/>
      <c r="BI236" s="220"/>
      <c r="BJ236" s="221"/>
      <c r="MK236" s="12"/>
      <c r="ML236" s="7"/>
    </row>
    <row r="237" spans="3:350" ht="5.0999999999999996" customHeight="1" x14ac:dyDescent="0.3">
      <c r="C237" s="11"/>
      <c r="D237" s="13"/>
      <c r="Q237" s="198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  <c r="AD237" s="199"/>
      <c r="AE237" s="199"/>
      <c r="AF237" s="199"/>
      <c r="AG237" s="199"/>
      <c r="AH237" s="199"/>
      <c r="AI237" s="199"/>
      <c r="AJ237" s="199"/>
      <c r="AK237" s="199"/>
      <c r="AL237" s="199"/>
      <c r="AM237" s="199"/>
      <c r="AN237" s="199"/>
      <c r="AO237" s="199"/>
      <c r="AP237" s="199"/>
      <c r="AQ237" s="199"/>
      <c r="AR237" s="199"/>
      <c r="AS237" s="199"/>
      <c r="AT237" s="199"/>
      <c r="AU237" s="199"/>
      <c r="AV237" s="199"/>
      <c r="AW237" s="199"/>
      <c r="AX237" s="199"/>
      <c r="AY237" s="199"/>
      <c r="AZ237" s="199"/>
      <c r="BA237" s="199"/>
      <c r="BB237" s="199"/>
      <c r="BC237" s="199"/>
      <c r="BD237" s="199"/>
      <c r="BE237" s="200"/>
      <c r="BF237" s="219"/>
      <c r="BG237" s="220"/>
      <c r="BH237" s="220"/>
      <c r="BI237" s="220"/>
      <c r="BJ237" s="221"/>
      <c r="MK237" s="12"/>
      <c r="ML237" s="7"/>
    </row>
    <row r="238" spans="3:350" ht="5.0999999999999996" customHeight="1" x14ac:dyDescent="0.3">
      <c r="C238" s="11"/>
      <c r="D238" s="13"/>
      <c r="Q238" s="198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  <c r="AD238" s="199"/>
      <c r="AE238" s="199"/>
      <c r="AF238" s="199"/>
      <c r="AG238" s="199"/>
      <c r="AH238" s="199"/>
      <c r="AI238" s="199"/>
      <c r="AJ238" s="199"/>
      <c r="AK238" s="199"/>
      <c r="AL238" s="199"/>
      <c r="AM238" s="199"/>
      <c r="AN238" s="199"/>
      <c r="AO238" s="199"/>
      <c r="AP238" s="199"/>
      <c r="AQ238" s="199"/>
      <c r="AR238" s="199"/>
      <c r="AS238" s="199"/>
      <c r="AT238" s="199"/>
      <c r="AU238" s="199"/>
      <c r="AV238" s="199"/>
      <c r="AW238" s="199"/>
      <c r="AX238" s="199"/>
      <c r="AY238" s="199"/>
      <c r="AZ238" s="199"/>
      <c r="BA238" s="199"/>
      <c r="BB238" s="199"/>
      <c r="BC238" s="199"/>
      <c r="BD238" s="199"/>
      <c r="BE238" s="200"/>
      <c r="BF238" s="219"/>
      <c r="BG238" s="220"/>
      <c r="BH238" s="220"/>
      <c r="BI238" s="220"/>
      <c r="BJ238" s="221"/>
      <c r="MK238" s="12"/>
      <c r="ML238" s="7"/>
    </row>
    <row r="239" spans="3:350" ht="5.0999999999999996" customHeight="1" x14ac:dyDescent="0.3">
      <c r="C239" s="11"/>
      <c r="D239" s="13"/>
      <c r="Q239" s="198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  <c r="AS239" s="199"/>
      <c r="AT239" s="199"/>
      <c r="AU239" s="199"/>
      <c r="AV239" s="199"/>
      <c r="AW239" s="199"/>
      <c r="AX239" s="199"/>
      <c r="AY239" s="199"/>
      <c r="AZ239" s="199"/>
      <c r="BA239" s="199"/>
      <c r="BB239" s="199"/>
      <c r="BC239" s="199"/>
      <c r="BD239" s="199"/>
      <c r="BE239" s="200"/>
      <c r="BF239" s="219"/>
      <c r="BG239" s="220"/>
      <c r="BH239" s="220"/>
      <c r="BI239" s="220"/>
      <c r="BJ239" s="221"/>
      <c r="MK239" s="12"/>
      <c r="ML239" s="7"/>
    </row>
    <row r="240" spans="3:350" ht="5.0999999999999996" customHeight="1" x14ac:dyDescent="0.3">
      <c r="C240" s="11"/>
      <c r="D240" s="13"/>
      <c r="Q240" s="201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  <c r="AV240" s="202"/>
      <c r="AW240" s="202"/>
      <c r="AX240" s="202"/>
      <c r="AY240" s="202"/>
      <c r="AZ240" s="202"/>
      <c r="BA240" s="202"/>
      <c r="BB240" s="202"/>
      <c r="BC240" s="202"/>
      <c r="BD240" s="202"/>
      <c r="BE240" s="203"/>
      <c r="BF240" s="222"/>
      <c r="BG240" s="223"/>
      <c r="BH240" s="223"/>
      <c r="BI240" s="223"/>
      <c r="BJ240" s="224"/>
      <c r="MK240" s="12"/>
      <c r="ML240" s="7"/>
    </row>
    <row r="241" spans="3:350" ht="5.0999999999999996" customHeight="1" thickBot="1" x14ac:dyDescent="0.35">
      <c r="C241" s="11"/>
      <c r="D241" s="13"/>
      <c r="MK241" s="12"/>
      <c r="ML241" s="7"/>
    </row>
    <row r="242" spans="3:350" ht="5.0999999999999996" customHeight="1" x14ac:dyDescent="0.3">
      <c r="C242" s="11"/>
      <c r="D242" s="13"/>
      <c r="JX242" s="329" t="s">
        <v>154</v>
      </c>
      <c r="JY242" s="330"/>
      <c r="JZ242" s="330"/>
      <c r="KA242" s="330"/>
      <c r="KB242" s="330"/>
      <c r="KC242" s="330"/>
      <c r="KD242" s="330"/>
      <c r="KE242" s="330"/>
      <c r="KF242" s="330"/>
      <c r="KG242" s="330"/>
      <c r="KH242" s="330"/>
      <c r="KI242" s="330"/>
      <c r="KJ242" s="330"/>
      <c r="KK242" s="330"/>
      <c r="KL242" s="330"/>
      <c r="KM242" s="330"/>
      <c r="KN242" s="330"/>
      <c r="KO242" s="330"/>
      <c r="KP242" s="330"/>
      <c r="KQ242" s="330"/>
      <c r="KR242" s="330"/>
      <c r="KS242" s="330"/>
      <c r="KT242" s="330"/>
      <c r="KU242" s="330"/>
      <c r="KV242" s="330"/>
      <c r="KW242" s="330"/>
      <c r="KX242" s="330"/>
      <c r="KY242" s="330"/>
      <c r="KZ242" s="330"/>
      <c r="LA242" s="330"/>
      <c r="LB242" s="330"/>
      <c r="LC242" s="330"/>
      <c r="LD242" s="330"/>
      <c r="LE242" s="330"/>
      <c r="LF242" s="330"/>
      <c r="LG242" s="330"/>
      <c r="LH242" s="330"/>
      <c r="LI242" s="330"/>
      <c r="LJ242" s="330"/>
      <c r="LK242" s="330"/>
      <c r="LL242" s="330"/>
      <c r="LM242" s="330"/>
      <c r="LN242" s="330"/>
      <c r="LO242" s="330"/>
      <c r="LP242" s="330"/>
      <c r="LQ242" s="330"/>
      <c r="LR242" s="330"/>
      <c r="LS242" s="330"/>
      <c r="LT242" s="330"/>
      <c r="LU242" s="331"/>
      <c r="LV242" s="285">
        <f>LR116</f>
        <v>15</v>
      </c>
      <c r="LW242" s="285"/>
      <c r="LX242" s="285"/>
      <c r="LY242" s="285"/>
      <c r="LZ242" s="285"/>
      <c r="MA242" s="285"/>
      <c r="MB242" s="285"/>
      <c r="MC242" s="285"/>
      <c r="MD242" s="285"/>
      <c r="ME242" s="285"/>
      <c r="MF242" s="285"/>
      <c r="MG242" s="286"/>
      <c r="MK242" s="12"/>
      <c r="ML242" s="7"/>
    </row>
    <row r="243" spans="3:350" ht="5.0999999999999996" customHeight="1" x14ac:dyDescent="0.3">
      <c r="C243" s="11"/>
      <c r="D243" s="13"/>
      <c r="JX243" s="332"/>
      <c r="JY243" s="333"/>
      <c r="JZ243" s="333"/>
      <c r="KA243" s="333"/>
      <c r="KB243" s="333"/>
      <c r="KC243" s="333"/>
      <c r="KD243" s="333"/>
      <c r="KE243" s="333"/>
      <c r="KF243" s="333"/>
      <c r="KG243" s="333"/>
      <c r="KH243" s="333"/>
      <c r="KI243" s="333"/>
      <c r="KJ243" s="333"/>
      <c r="KK243" s="333"/>
      <c r="KL243" s="333"/>
      <c r="KM243" s="333"/>
      <c r="KN243" s="333"/>
      <c r="KO243" s="333"/>
      <c r="KP243" s="333"/>
      <c r="KQ243" s="333"/>
      <c r="KR243" s="333"/>
      <c r="KS243" s="333"/>
      <c r="KT243" s="333"/>
      <c r="KU243" s="333"/>
      <c r="KV243" s="333"/>
      <c r="KW243" s="333"/>
      <c r="KX243" s="333"/>
      <c r="KY243" s="333"/>
      <c r="KZ243" s="333"/>
      <c r="LA243" s="333"/>
      <c r="LB243" s="333"/>
      <c r="LC243" s="333"/>
      <c r="LD243" s="333"/>
      <c r="LE243" s="333"/>
      <c r="LF243" s="333"/>
      <c r="LG243" s="333"/>
      <c r="LH243" s="333"/>
      <c r="LI243" s="333"/>
      <c r="LJ243" s="333"/>
      <c r="LK243" s="333"/>
      <c r="LL243" s="333"/>
      <c r="LM243" s="333"/>
      <c r="LN243" s="333"/>
      <c r="LO243" s="333"/>
      <c r="LP243" s="333"/>
      <c r="LQ243" s="333"/>
      <c r="LR243" s="333"/>
      <c r="LS243" s="333"/>
      <c r="LT243" s="333"/>
      <c r="LU243" s="334"/>
      <c r="LV243" s="288"/>
      <c r="LW243" s="288"/>
      <c r="LX243" s="288"/>
      <c r="LY243" s="288"/>
      <c r="LZ243" s="288"/>
      <c r="MA243" s="288"/>
      <c r="MB243" s="288"/>
      <c r="MC243" s="288"/>
      <c r="MD243" s="288"/>
      <c r="ME243" s="288"/>
      <c r="MF243" s="288"/>
      <c r="MG243" s="289"/>
      <c r="MK243" s="12"/>
      <c r="ML243" s="7"/>
    </row>
    <row r="244" spans="3:350" ht="5.0999999999999996" customHeight="1" x14ac:dyDescent="0.3">
      <c r="C244" s="11"/>
      <c r="D244" s="13"/>
      <c r="JX244" s="332"/>
      <c r="JY244" s="333"/>
      <c r="JZ244" s="333"/>
      <c r="KA244" s="333"/>
      <c r="KB244" s="333"/>
      <c r="KC244" s="333"/>
      <c r="KD244" s="333"/>
      <c r="KE244" s="333"/>
      <c r="KF244" s="333"/>
      <c r="KG244" s="333"/>
      <c r="KH244" s="333"/>
      <c r="KI244" s="333"/>
      <c r="KJ244" s="333"/>
      <c r="KK244" s="333"/>
      <c r="KL244" s="333"/>
      <c r="KM244" s="333"/>
      <c r="KN244" s="333"/>
      <c r="KO244" s="333"/>
      <c r="KP244" s="333"/>
      <c r="KQ244" s="333"/>
      <c r="KR244" s="333"/>
      <c r="KS244" s="333"/>
      <c r="KT244" s="333"/>
      <c r="KU244" s="333"/>
      <c r="KV244" s="333"/>
      <c r="KW244" s="333"/>
      <c r="KX244" s="333"/>
      <c r="KY244" s="333"/>
      <c r="KZ244" s="333"/>
      <c r="LA244" s="333"/>
      <c r="LB244" s="333"/>
      <c r="LC244" s="333"/>
      <c r="LD244" s="333"/>
      <c r="LE244" s="333"/>
      <c r="LF244" s="333"/>
      <c r="LG244" s="333"/>
      <c r="LH244" s="333"/>
      <c r="LI244" s="333"/>
      <c r="LJ244" s="333"/>
      <c r="LK244" s="333"/>
      <c r="LL244" s="333"/>
      <c r="LM244" s="333"/>
      <c r="LN244" s="333"/>
      <c r="LO244" s="333"/>
      <c r="LP244" s="333"/>
      <c r="LQ244" s="333"/>
      <c r="LR244" s="333"/>
      <c r="LS244" s="333"/>
      <c r="LT244" s="333"/>
      <c r="LU244" s="334"/>
      <c r="LV244" s="288"/>
      <c r="LW244" s="288"/>
      <c r="LX244" s="288"/>
      <c r="LY244" s="288"/>
      <c r="LZ244" s="288"/>
      <c r="MA244" s="288"/>
      <c r="MB244" s="288"/>
      <c r="MC244" s="288"/>
      <c r="MD244" s="288"/>
      <c r="ME244" s="288"/>
      <c r="MF244" s="288"/>
      <c r="MG244" s="289"/>
      <c r="MK244" s="12"/>
      <c r="ML244" s="7"/>
    </row>
    <row r="245" spans="3:350" ht="4.5" customHeight="1" x14ac:dyDescent="0.3">
      <c r="C245" s="11"/>
      <c r="D245" s="13"/>
      <c r="JX245" s="332"/>
      <c r="JY245" s="333"/>
      <c r="JZ245" s="333"/>
      <c r="KA245" s="333"/>
      <c r="KB245" s="333"/>
      <c r="KC245" s="333"/>
      <c r="KD245" s="333"/>
      <c r="KE245" s="333"/>
      <c r="KF245" s="333"/>
      <c r="KG245" s="333"/>
      <c r="KH245" s="333"/>
      <c r="KI245" s="333"/>
      <c r="KJ245" s="333"/>
      <c r="KK245" s="333"/>
      <c r="KL245" s="333"/>
      <c r="KM245" s="333"/>
      <c r="KN245" s="333"/>
      <c r="KO245" s="333"/>
      <c r="KP245" s="333"/>
      <c r="KQ245" s="333"/>
      <c r="KR245" s="333"/>
      <c r="KS245" s="333"/>
      <c r="KT245" s="333"/>
      <c r="KU245" s="333"/>
      <c r="KV245" s="333"/>
      <c r="KW245" s="333"/>
      <c r="KX245" s="333"/>
      <c r="KY245" s="333"/>
      <c r="KZ245" s="333"/>
      <c r="LA245" s="333"/>
      <c r="LB245" s="333"/>
      <c r="LC245" s="333"/>
      <c r="LD245" s="333"/>
      <c r="LE245" s="333"/>
      <c r="LF245" s="333"/>
      <c r="LG245" s="333"/>
      <c r="LH245" s="333"/>
      <c r="LI245" s="333"/>
      <c r="LJ245" s="333"/>
      <c r="LK245" s="333"/>
      <c r="LL245" s="333"/>
      <c r="LM245" s="333"/>
      <c r="LN245" s="333"/>
      <c r="LO245" s="333"/>
      <c r="LP245" s="333"/>
      <c r="LQ245" s="333"/>
      <c r="LR245" s="333"/>
      <c r="LS245" s="333"/>
      <c r="LT245" s="333"/>
      <c r="LU245" s="334"/>
      <c r="LV245" s="288"/>
      <c r="LW245" s="288"/>
      <c r="LX245" s="288"/>
      <c r="LY245" s="288"/>
      <c r="LZ245" s="288"/>
      <c r="MA245" s="288"/>
      <c r="MB245" s="288"/>
      <c r="MC245" s="288"/>
      <c r="MD245" s="288"/>
      <c r="ME245" s="288"/>
      <c r="MF245" s="288"/>
      <c r="MG245" s="289"/>
      <c r="MK245" s="12"/>
      <c r="ML245" s="7"/>
    </row>
    <row r="246" spans="3:350" ht="5.0999999999999996" customHeight="1" x14ac:dyDescent="0.3">
      <c r="C246" s="11"/>
      <c r="D246" s="13"/>
      <c r="JX246" s="332"/>
      <c r="JY246" s="333"/>
      <c r="JZ246" s="333"/>
      <c r="KA246" s="333"/>
      <c r="KB246" s="333"/>
      <c r="KC246" s="333"/>
      <c r="KD246" s="333"/>
      <c r="KE246" s="333"/>
      <c r="KF246" s="333"/>
      <c r="KG246" s="333"/>
      <c r="KH246" s="333"/>
      <c r="KI246" s="333"/>
      <c r="KJ246" s="333"/>
      <c r="KK246" s="333"/>
      <c r="KL246" s="333"/>
      <c r="KM246" s="333"/>
      <c r="KN246" s="333"/>
      <c r="KO246" s="333"/>
      <c r="KP246" s="333"/>
      <c r="KQ246" s="333"/>
      <c r="KR246" s="333"/>
      <c r="KS246" s="333"/>
      <c r="KT246" s="333"/>
      <c r="KU246" s="333"/>
      <c r="KV246" s="333"/>
      <c r="KW246" s="333"/>
      <c r="KX246" s="333"/>
      <c r="KY246" s="333"/>
      <c r="KZ246" s="333"/>
      <c r="LA246" s="333"/>
      <c r="LB246" s="333"/>
      <c r="LC246" s="333"/>
      <c r="LD246" s="333"/>
      <c r="LE246" s="333"/>
      <c r="LF246" s="333"/>
      <c r="LG246" s="333"/>
      <c r="LH246" s="333"/>
      <c r="LI246" s="333"/>
      <c r="LJ246" s="333"/>
      <c r="LK246" s="333"/>
      <c r="LL246" s="333"/>
      <c r="LM246" s="333"/>
      <c r="LN246" s="333"/>
      <c r="LO246" s="333"/>
      <c r="LP246" s="333"/>
      <c r="LQ246" s="333"/>
      <c r="LR246" s="333"/>
      <c r="LS246" s="333"/>
      <c r="LT246" s="333"/>
      <c r="LU246" s="334"/>
      <c r="LV246" s="288"/>
      <c r="LW246" s="288"/>
      <c r="LX246" s="288"/>
      <c r="LY246" s="288"/>
      <c r="LZ246" s="288"/>
      <c r="MA246" s="288"/>
      <c r="MB246" s="288"/>
      <c r="MC246" s="288"/>
      <c r="MD246" s="288"/>
      <c r="ME246" s="288"/>
      <c r="MF246" s="288"/>
      <c r="MG246" s="289"/>
      <c r="MK246" s="12"/>
      <c r="ML246" s="7"/>
    </row>
    <row r="247" spans="3:350" ht="5.0999999999999996" customHeight="1" x14ac:dyDescent="0.3">
      <c r="C247" s="11"/>
      <c r="D247" s="13"/>
      <c r="JX247" s="332"/>
      <c r="JY247" s="333"/>
      <c r="JZ247" s="333"/>
      <c r="KA247" s="333"/>
      <c r="KB247" s="333"/>
      <c r="KC247" s="333"/>
      <c r="KD247" s="333"/>
      <c r="KE247" s="333"/>
      <c r="KF247" s="333"/>
      <c r="KG247" s="333"/>
      <c r="KH247" s="333"/>
      <c r="KI247" s="333"/>
      <c r="KJ247" s="333"/>
      <c r="KK247" s="333"/>
      <c r="KL247" s="333"/>
      <c r="KM247" s="333"/>
      <c r="KN247" s="333"/>
      <c r="KO247" s="333"/>
      <c r="KP247" s="333"/>
      <c r="KQ247" s="333"/>
      <c r="KR247" s="333"/>
      <c r="KS247" s="333"/>
      <c r="KT247" s="333"/>
      <c r="KU247" s="333"/>
      <c r="KV247" s="333"/>
      <c r="KW247" s="333"/>
      <c r="KX247" s="333"/>
      <c r="KY247" s="333"/>
      <c r="KZ247" s="333"/>
      <c r="LA247" s="333"/>
      <c r="LB247" s="333"/>
      <c r="LC247" s="333"/>
      <c r="LD247" s="333"/>
      <c r="LE247" s="333"/>
      <c r="LF247" s="333"/>
      <c r="LG247" s="333"/>
      <c r="LH247" s="333"/>
      <c r="LI247" s="333"/>
      <c r="LJ247" s="333"/>
      <c r="LK247" s="333"/>
      <c r="LL247" s="333"/>
      <c r="LM247" s="333"/>
      <c r="LN247" s="333"/>
      <c r="LO247" s="333"/>
      <c r="LP247" s="333"/>
      <c r="LQ247" s="333"/>
      <c r="LR247" s="333"/>
      <c r="LS247" s="333"/>
      <c r="LT247" s="333"/>
      <c r="LU247" s="334"/>
      <c r="LV247" s="288"/>
      <c r="LW247" s="288"/>
      <c r="LX247" s="288"/>
      <c r="LY247" s="288"/>
      <c r="LZ247" s="288"/>
      <c r="MA247" s="288"/>
      <c r="MB247" s="288"/>
      <c r="MC247" s="288"/>
      <c r="MD247" s="288"/>
      <c r="ME247" s="288"/>
      <c r="MF247" s="288"/>
      <c r="MG247" s="289"/>
      <c r="MK247" s="12"/>
      <c r="ML247" s="7"/>
    </row>
    <row r="248" spans="3:350" ht="5.0999999999999996" customHeight="1" thickBot="1" x14ac:dyDescent="0.35">
      <c r="C248" s="11"/>
      <c r="D248" s="13"/>
      <c r="JX248" s="335"/>
      <c r="JY248" s="336"/>
      <c r="JZ248" s="336"/>
      <c r="KA248" s="336"/>
      <c r="KB248" s="336"/>
      <c r="KC248" s="336"/>
      <c r="KD248" s="336"/>
      <c r="KE248" s="336"/>
      <c r="KF248" s="336"/>
      <c r="KG248" s="336"/>
      <c r="KH248" s="336"/>
      <c r="KI248" s="336"/>
      <c r="KJ248" s="336"/>
      <c r="KK248" s="336"/>
      <c r="KL248" s="336"/>
      <c r="KM248" s="336"/>
      <c r="KN248" s="336"/>
      <c r="KO248" s="336"/>
      <c r="KP248" s="336"/>
      <c r="KQ248" s="336"/>
      <c r="KR248" s="336"/>
      <c r="KS248" s="336"/>
      <c r="KT248" s="336"/>
      <c r="KU248" s="336"/>
      <c r="KV248" s="336"/>
      <c r="KW248" s="336"/>
      <c r="KX248" s="336"/>
      <c r="KY248" s="336"/>
      <c r="KZ248" s="336"/>
      <c r="LA248" s="336"/>
      <c r="LB248" s="336"/>
      <c r="LC248" s="336"/>
      <c r="LD248" s="336"/>
      <c r="LE248" s="336"/>
      <c r="LF248" s="336"/>
      <c r="LG248" s="336"/>
      <c r="LH248" s="336"/>
      <c r="LI248" s="336"/>
      <c r="LJ248" s="336"/>
      <c r="LK248" s="336"/>
      <c r="LL248" s="336"/>
      <c r="LM248" s="336"/>
      <c r="LN248" s="336"/>
      <c r="LO248" s="336"/>
      <c r="LP248" s="336"/>
      <c r="LQ248" s="336"/>
      <c r="LR248" s="336"/>
      <c r="LS248" s="336"/>
      <c r="LT248" s="336"/>
      <c r="LU248" s="337"/>
      <c r="LV248" s="291"/>
      <c r="LW248" s="291"/>
      <c r="LX248" s="291"/>
      <c r="LY248" s="291"/>
      <c r="LZ248" s="291"/>
      <c r="MA248" s="291"/>
      <c r="MB248" s="291"/>
      <c r="MC248" s="291"/>
      <c r="MD248" s="291"/>
      <c r="ME248" s="291"/>
      <c r="MF248" s="291"/>
      <c r="MG248" s="292"/>
      <c r="MK248" s="12"/>
      <c r="ML248" s="7"/>
    </row>
    <row r="249" spans="3:350" ht="5.0999999999999996" customHeight="1" x14ac:dyDescent="0.3">
      <c r="C249" s="11"/>
      <c r="D249" s="13"/>
      <c r="JX249" s="329" t="s">
        <v>153</v>
      </c>
      <c r="JY249" s="330"/>
      <c r="JZ249" s="330"/>
      <c r="KA249" s="330"/>
      <c r="KB249" s="330"/>
      <c r="KC249" s="330"/>
      <c r="KD249" s="330"/>
      <c r="KE249" s="330"/>
      <c r="KF249" s="330"/>
      <c r="KG249" s="330"/>
      <c r="KH249" s="330"/>
      <c r="KI249" s="330"/>
      <c r="KJ249" s="330"/>
      <c r="KK249" s="330"/>
      <c r="KL249" s="330"/>
      <c r="KM249" s="330"/>
      <c r="KN249" s="330"/>
      <c r="KO249" s="330"/>
      <c r="KP249" s="330"/>
      <c r="KQ249" s="330"/>
      <c r="KR249" s="330"/>
      <c r="KS249" s="330"/>
      <c r="KT249" s="330"/>
      <c r="KU249" s="330"/>
      <c r="KV249" s="330"/>
      <c r="KW249" s="330"/>
      <c r="KX249" s="330"/>
      <c r="KY249" s="330"/>
      <c r="KZ249" s="330"/>
      <c r="LA249" s="330"/>
      <c r="LB249" s="330"/>
      <c r="LC249" s="330"/>
      <c r="LD249" s="330"/>
      <c r="LE249" s="330"/>
      <c r="LF249" s="330"/>
      <c r="LG249" s="330"/>
      <c r="LH249" s="330"/>
      <c r="LI249" s="330"/>
      <c r="LJ249" s="330"/>
      <c r="LK249" s="330"/>
      <c r="LL249" s="330"/>
      <c r="LM249" s="330"/>
      <c r="LN249" s="330"/>
      <c r="LO249" s="330"/>
      <c r="LP249" s="330"/>
      <c r="LQ249" s="330"/>
      <c r="LR249" s="330"/>
      <c r="LS249" s="330"/>
      <c r="LT249" s="330"/>
      <c r="LU249" s="331"/>
      <c r="LV249" s="285">
        <f>SUM(FS18,FS36,IJ37,BF50,DG97,HL92,HL102,FN117,BF117,JK161)</f>
        <v>43</v>
      </c>
      <c r="LW249" s="285"/>
      <c r="LX249" s="285"/>
      <c r="LY249" s="285"/>
      <c r="LZ249" s="285"/>
      <c r="MA249" s="285"/>
      <c r="MB249" s="285"/>
      <c r="MC249" s="285"/>
      <c r="MD249" s="285"/>
      <c r="ME249" s="285"/>
      <c r="MF249" s="285"/>
      <c r="MG249" s="286"/>
      <c r="MK249" s="12"/>
      <c r="ML249" s="7"/>
    </row>
    <row r="250" spans="3:350" ht="5.0999999999999996" customHeight="1" x14ac:dyDescent="0.3">
      <c r="C250" s="11"/>
      <c r="D250" s="13"/>
      <c r="JX250" s="332"/>
      <c r="JY250" s="333"/>
      <c r="JZ250" s="333"/>
      <c r="KA250" s="333"/>
      <c r="KB250" s="333"/>
      <c r="KC250" s="333"/>
      <c r="KD250" s="333"/>
      <c r="KE250" s="333"/>
      <c r="KF250" s="333"/>
      <c r="KG250" s="333"/>
      <c r="KH250" s="333"/>
      <c r="KI250" s="333"/>
      <c r="KJ250" s="333"/>
      <c r="KK250" s="333"/>
      <c r="KL250" s="333"/>
      <c r="KM250" s="333"/>
      <c r="KN250" s="333"/>
      <c r="KO250" s="333"/>
      <c r="KP250" s="333"/>
      <c r="KQ250" s="333"/>
      <c r="KR250" s="333"/>
      <c r="KS250" s="333"/>
      <c r="KT250" s="333"/>
      <c r="KU250" s="333"/>
      <c r="KV250" s="333"/>
      <c r="KW250" s="333"/>
      <c r="KX250" s="333"/>
      <c r="KY250" s="333"/>
      <c r="KZ250" s="333"/>
      <c r="LA250" s="333"/>
      <c r="LB250" s="333"/>
      <c r="LC250" s="333"/>
      <c r="LD250" s="333"/>
      <c r="LE250" s="333"/>
      <c r="LF250" s="333"/>
      <c r="LG250" s="333"/>
      <c r="LH250" s="333"/>
      <c r="LI250" s="333"/>
      <c r="LJ250" s="333"/>
      <c r="LK250" s="333"/>
      <c r="LL250" s="333"/>
      <c r="LM250" s="333"/>
      <c r="LN250" s="333"/>
      <c r="LO250" s="333"/>
      <c r="LP250" s="333"/>
      <c r="LQ250" s="333"/>
      <c r="LR250" s="333"/>
      <c r="LS250" s="333"/>
      <c r="LT250" s="333"/>
      <c r="LU250" s="334"/>
      <c r="LV250" s="288"/>
      <c r="LW250" s="288"/>
      <c r="LX250" s="288"/>
      <c r="LY250" s="288"/>
      <c r="LZ250" s="288"/>
      <c r="MA250" s="288"/>
      <c r="MB250" s="288"/>
      <c r="MC250" s="288"/>
      <c r="MD250" s="288"/>
      <c r="ME250" s="288"/>
      <c r="MF250" s="288"/>
      <c r="MG250" s="289"/>
      <c r="MK250" s="12"/>
      <c r="ML250" s="7"/>
    </row>
    <row r="251" spans="3:350" ht="5.0999999999999996" customHeight="1" x14ac:dyDescent="0.3">
      <c r="C251" s="11"/>
      <c r="D251" s="13"/>
      <c r="JX251" s="332"/>
      <c r="JY251" s="333"/>
      <c r="JZ251" s="333"/>
      <c r="KA251" s="333"/>
      <c r="KB251" s="333"/>
      <c r="KC251" s="333"/>
      <c r="KD251" s="333"/>
      <c r="KE251" s="333"/>
      <c r="KF251" s="333"/>
      <c r="KG251" s="333"/>
      <c r="KH251" s="333"/>
      <c r="KI251" s="333"/>
      <c r="KJ251" s="333"/>
      <c r="KK251" s="333"/>
      <c r="KL251" s="333"/>
      <c r="KM251" s="333"/>
      <c r="KN251" s="333"/>
      <c r="KO251" s="333"/>
      <c r="KP251" s="333"/>
      <c r="KQ251" s="333"/>
      <c r="KR251" s="333"/>
      <c r="KS251" s="333"/>
      <c r="KT251" s="333"/>
      <c r="KU251" s="333"/>
      <c r="KV251" s="333"/>
      <c r="KW251" s="333"/>
      <c r="KX251" s="333"/>
      <c r="KY251" s="333"/>
      <c r="KZ251" s="333"/>
      <c r="LA251" s="333"/>
      <c r="LB251" s="333"/>
      <c r="LC251" s="333"/>
      <c r="LD251" s="333"/>
      <c r="LE251" s="333"/>
      <c r="LF251" s="333"/>
      <c r="LG251" s="333"/>
      <c r="LH251" s="333"/>
      <c r="LI251" s="333"/>
      <c r="LJ251" s="333"/>
      <c r="LK251" s="333"/>
      <c r="LL251" s="333"/>
      <c r="LM251" s="333"/>
      <c r="LN251" s="333"/>
      <c r="LO251" s="333"/>
      <c r="LP251" s="333"/>
      <c r="LQ251" s="333"/>
      <c r="LR251" s="333"/>
      <c r="LS251" s="333"/>
      <c r="LT251" s="333"/>
      <c r="LU251" s="334"/>
      <c r="LV251" s="288"/>
      <c r="LW251" s="288"/>
      <c r="LX251" s="288"/>
      <c r="LY251" s="288"/>
      <c r="LZ251" s="288"/>
      <c r="MA251" s="288"/>
      <c r="MB251" s="288"/>
      <c r="MC251" s="288"/>
      <c r="MD251" s="288"/>
      <c r="ME251" s="288"/>
      <c r="MF251" s="288"/>
      <c r="MG251" s="289"/>
      <c r="MK251" s="12"/>
      <c r="ML251" s="7"/>
    </row>
    <row r="252" spans="3:350" ht="5.0999999999999996" customHeight="1" x14ac:dyDescent="0.3">
      <c r="C252" s="11"/>
      <c r="D252" s="13"/>
      <c r="JX252" s="332"/>
      <c r="JY252" s="333"/>
      <c r="JZ252" s="333"/>
      <c r="KA252" s="333"/>
      <c r="KB252" s="333"/>
      <c r="KC252" s="333"/>
      <c r="KD252" s="333"/>
      <c r="KE252" s="333"/>
      <c r="KF252" s="333"/>
      <c r="KG252" s="333"/>
      <c r="KH252" s="333"/>
      <c r="KI252" s="333"/>
      <c r="KJ252" s="333"/>
      <c r="KK252" s="333"/>
      <c r="KL252" s="333"/>
      <c r="KM252" s="333"/>
      <c r="KN252" s="333"/>
      <c r="KO252" s="333"/>
      <c r="KP252" s="333"/>
      <c r="KQ252" s="333"/>
      <c r="KR252" s="333"/>
      <c r="KS252" s="333"/>
      <c r="KT252" s="333"/>
      <c r="KU252" s="333"/>
      <c r="KV252" s="333"/>
      <c r="KW252" s="333"/>
      <c r="KX252" s="333"/>
      <c r="KY252" s="333"/>
      <c r="KZ252" s="333"/>
      <c r="LA252" s="333"/>
      <c r="LB252" s="333"/>
      <c r="LC252" s="333"/>
      <c r="LD252" s="333"/>
      <c r="LE252" s="333"/>
      <c r="LF252" s="333"/>
      <c r="LG252" s="333"/>
      <c r="LH252" s="333"/>
      <c r="LI252" s="333"/>
      <c r="LJ252" s="333"/>
      <c r="LK252" s="333"/>
      <c r="LL252" s="333"/>
      <c r="LM252" s="333"/>
      <c r="LN252" s="333"/>
      <c r="LO252" s="333"/>
      <c r="LP252" s="333"/>
      <c r="LQ252" s="333"/>
      <c r="LR252" s="333"/>
      <c r="LS252" s="333"/>
      <c r="LT252" s="333"/>
      <c r="LU252" s="334"/>
      <c r="LV252" s="288"/>
      <c r="LW252" s="288"/>
      <c r="LX252" s="288"/>
      <c r="LY252" s="288"/>
      <c r="LZ252" s="288"/>
      <c r="MA252" s="288"/>
      <c r="MB252" s="288"/>
      <c r="MC252" s="288"/>
      <c r="MD252" s="288"/>
      <c r="ME252" s="288"/>
      <c r="MF252" s="288"/>
      <c r="MG252" s="289"/>
      <c r="MK252" s="12"/>
      <c r="ML252" s="7"/>
    </row>
    <row r="253" spans="3:350" ht="5.0999999999999996" customHeight="1" x14ac:dyDescent="0.3">
      <c r="C253" s="11"/>
      <c r="D253" s="13"/>
      <c r="JX253" s="332"/>
      <c r="JY253" s="333"/>
      <c r="JZ253" s="333"/>
      <c r="KA253" s="333"/>
      <c r="KB253" s="333"/>
      <c r="KC253" s="333"/>
      <c r="KD253" s="333"/>
      <c r="KE253" s="333"/>
      <c r="KF253" s="333"/>
      <c r="KG253" s="333"/>
      <c r="KH253" s="333"/>
      <c r="KI253" s="333"/>
      <c r="KJ253" s="333"/>
      <c r="KK253" s="333"/>
      <c r="KL253" s="333"/>
      <c r="KM253" s="333"/>
      <c r="KN253" s="333"/>
      <c r="KO253" s="333"/>
      <c r="KP253" s="333"/>
      <c r="KQ253" s="333"/>
      <c r="KR253" s="333"/>
      <c r="KS253" s="333"/>
      <c r="KT253" s="333"/>
      <c r="KU253" s="333"/>
      <c r="KV253" s="333"/>
      <c r="KW253" s="333"/>
      <c r="KX253" s="333"/>
      <c r="KY253" s="333"/>
      <c r="KZ253" s="333"/>
      <c r="LA253" s="333"/>
      <c r="LB253" s="333"/>
      <c r="LC253" s="333"/>
      <c r="LD253" s="333"/>
      <c r="LE253" s="333"/>
      <c r="LF253" s="333"/>
      <c r="LG253" s="333"/>
      <c r="LH253" s="333"/>
      <c r="LI253" s="333"/>
      <c r="LJ253" s="333"/>
      <c r="LK253" s="333"/>
      <c r="LL253" s="333"/>
      <c r="LM253" s="333"/>
      <c r="LN253" s="333"/>
      <c r="LO253" s="333"/>
      <c r="LP253" s="333"/>
      <c r="LQ253" s="333"/>
      <c r="LR253" s="333"/>
      <c r="LS253" s="333"/>
      <c r="LT253" s="333"/>
      <c r="LU253" s="334"/>
      <c r="LV253" s="288"/>
      <c r="LW253" s="288"/>
      <c r="LX253" s="288"/>
      <c r="LY253" s="288"/>
      <c r="LZ253" s="288"/>
      <c r="MA253" s="288"/>
      <c r="MB253" s="288"/>
      <c r="MC253" s="288"/>
      <c r="MD253" s="288"/>
      <c r="ME253" s="288"/>
      <c r="MF253" s="288"/>
      <c r="MG253" s="289"/>
      <c r="MK253" s="12"/>
      <c r="ML253" s="7"/>
    </row>
    <row r="254" spans="3:350" ht="5.0999999999999996" customHeight="1" x14ac:dyDescent="0.3">
      <c r="C254" s="11"/>
      <c r="D254" s="13"/>
      <c r="JX254" s="332"/>
      <c r="JY254" s="333"/>
      <c r="JZ254" s="333"/>
      <c r="KA254" s="333"/>
      <c r="KB254" s="333"/>
      <c r="KC254" s="333"/>
      <c r="KD254" s="333"/>
      <c r="KE254" s="333"/>
      <c r="KF254" s="333"/>
      <c r="KG254" s="333"/>
      <c r="KH254" s="333"/>
      <c r="KI254" s="333"/>
      <c r="KJ254" s="333"/>
      <c r="KK254" s="333"/>
      <c r="KL254" s="333"/>
      <c r="KM254" s="333"/>
      <c r="KN254" s="333"/>
      <c r="KO254" s="333"/>
      <c r="KP254" s="333"/>
      <c r="KQ254" s="333"/>
      <c r="KR254" s="333"/>
      <c r="KS254" s="333"/>
      <c r="KT254" s="333"/>
      <c r="KU254" s="333"/>
      <c r="KV254" s="333"/>
      <c r="KW254" s="333"/>
      <c r="KX254" s="333"/>
      <c r="KY254" s="333"/>
      <c r="KZ254" s="333"/>
      <c r="LA254" s="333"/>
      <c r="LB254" s="333"/>
      <c r="LC254" s="333"/>
      <c r="LD254" s="333"/>
      <c r="LE254" s="333"/>
      <c r="LF254" s="333"/>
      <c r="LG254" s="333"/>
      <c r="LH254" s="333"/>
      <c r="LI254" s="333"/>
      <c r="LJ254" s="333"/>
      <c r="LK254" s="333"/>
      <c r="LL254" s="333"/>
      <c r="LM254" s="333"/>
      <c r="LN254" s="333"/>
      <c r="LO254" s="333"/>
      <c r="LP254" s="333"/>
      <c r="LQ254" s="333"/>
      <c r="LR254" s="333"/>
      <c r="LS254" s="333"/>
      <c r="LT254" s="333"/>
      <c r="LU254" s="334"/>
      <c r="LV254" s="288"/>
      <c r="LW254" s="288"/>
      <c r="LX254" s="288"/>
      <c r="LY254" s="288"/>
      <c r="LZ254" s="288"/>
      <c r="MA254" s="288"/>
      <c r="MB254" s="288"/>
      <c r="MC254" s="288"/>
      <c r="MD254" s="288"/>
      <c r="ME254" s="288"/>
      <c r="MF254" s="288"/>
      <c r="MG254" s="289"/>
      <c r="MK254" s="12"/>
      <c r="ML254" s="7"/>
    </row>
    <row r="255" spans="3:350" ht="5.0999999999999996" customHeight="1" thickBot="1" x14ac:dyDescent="0.35">
      <c r="C255" s="11"/>
      <c r="D255" s="13"/>
      <c r="JX255" s="335"/>
      <c r="JY255" s="336"/>
      <c r="JZ255" s="336"/>
      <c r="KA255" s="336"/>
      <c r="KB255" s="336"/>
      <c r="KC255" s="336"/>
      <c r="KD255" s="336"/>
      <c r="KE255" s="336"/>
      <c r="KF255" s="336"/>
      <c r="KG255" s="336"/>
      <c r="KH255" s="336"/>
      <c r="KI255" s="336"/>
      <c r="KJ255" s="336"/>
      <c r="KK255" s="336"/>
      <c r="KL255" s="336"/>
      <c r="KM255" s="336"/>
      <c r="KN255" s="336"/>
      <c r="KO255" s="336"/>
      <c r="KP255" s="336"/>
      <c r="KQ255" s="336"/>
      <c r="KR255" s="336"/>
      <c r="KS255" s="336"/>
      <c r="KT255" s="336"/>
      <c r="KU255" s="336"/>
      <c r="KV255" s="336"/>
      <c r="KW255" s="336"/>
      <c r="KX255" s="336"/>
      <c r="KY255" s="336"/>
      <c r="KZ255" s="336"/>
      <c r="LA255" s="336"/>
      <c r="LB255" s="336"/>
      <c r="LC255" s="336"/>
      <c r="LD255" s="336"/>
      <c r="LE255" s="336"/>
      <c r="LF255" s="336"/>
      <c r="LG255" s="336"/>
      <c r="LH255" s="336"/>
      <c r="LI255" s="336"/>
      <c r="LJ255" s="336"/>
      <c r="LK255" s="336"/>
      <c r="LL255" s="336"/>
      <c r="LM255" s="336"/>
      <c r="LN255" s="336"/>
      <c r="LO255" s="336"/>
      <c r="LP255" s="336"/>
      <c r="LQ255" s="336"/>
      <c r="LR255" s="336"/>
      <c r="LS255" s="336"/>
      <c r="LT255" s="336"/>
      <c r="LU255" s="337"/>
      <c r="LV255" s="291"/>
      <c r="LW255" s="291"/>
      <c r="LX255" s="291"/>
      <c r="LY255" s="291"/>
      <c r="LZ255" s="291"/>
      <c r="MA255" s="291"/>
      <c r="MB255" s="291"/>
      <c r="MC255" s="291"/>
      <c r="MD255" s="291"/>
      <c r="ME255" s="291"/>
      <c r="MF255" s="291"/>
      <c r="MG255" s="292"/>
      <c r="MK255" s="12"/>
      <c r="ML255" s="7"/>
    </row>
    <row r="256" spans="3:350" ht="5.0999999999999996" customHeight="1" x14ac:dyDescent="0.3">
      <c r="C256" s="11"/>
      <c r="D256" s="13"/>
      <c r="JX256" s="329" t="s">
        <v>2</v>
      </c>
      <c r="JY256" s="330"/>
      <c r="JZ256" s="330"/>
      <c r="KA256" s="330"/>
      <c r="KB256" s="330"/>
      <c r="KC256" s="330"/>
      <c r="KD256" s="330"/>
      <c r="KE256" s="330"/>
      <c r="KF256" s="330"/>
      <c r="KG256" s="330"/>
      <c r="KH256" s="330"/>
      <c r="KI256" s="330"/>
      <c r="KJ256" s="330"/>
      <c r="KK256" s="330"/>
      <c r="KL256" s="330"/>
      <c r="KM256" s="330"/>
      <c r="KN256" s="330"/>
      <c r="KO256" s="330"/>
      <c r="KP256" s="330"/>
      <c r="KQ256" s="330"/>
      <c r="KR256" s="330"/>
      <c r="KS256" s="330"/>
      <c r="KT256" s="330"/>
      <c r="KU256" s="330"/>
      <c r="KV256" s="330"/>
      <c r="KW256" s="330"/>
      <c r="KX256" s="330"/>
      <c r="KY256" s="330"/>
      <c r="KZ256" s="330"/>
      <c r="LA256" s="330"/>
      <c r="LB256" s="330"/>
      <c r="LC256" s="330"/>
      <c r="LD256" s="330"/>
      <c r="LE256" s="330"/>
      <c r="LF256" s="330"/>
      <c r="LG256" s="330"/>
      <c r="LH256" s="330"/>
      <c r="LI256" s="330"/>
      <c r="LJ256" s="330"/>
      <c r="LK256" s="330"/>
      <c r="LL256" s="330"/>
      <c r="LM256" s="330"/>
      <c r="LN256" s="330"/>
      <c r="LO256" s="330"/>
      <c r="LP256" s="330"/>
      <c r="LQ256" s="330"/>
      <c r="LR256" s="330"/>
      <c r="LS256" s="330"/>
      <c r="LT256" s="330"/>
      <c r="LU256" s="331"/>
      <c r="LV256" s="284">
        <f>JK117</f>
        <v>10</v>
      </c>
      <c r="LW256" s="285"/>
      <c r="LX256" s="285"/>
      <c r="LY256" s="285"/>
      <c r="LZ256" s="285"/>
      <c r="MA256" s="285">
        <f>HM109</f>
        <v>0</v>
      </c>
      <c r="MB256" s="285"/>
      <c r="MC256" s="285"/>
      <c r="MD256" s="285"/>
      <c r="ME256" s="285"/>
      <c r="MF256" s="285"/>
      <c r="MG256" s="286"/>
      <c r="MK256" s="12"/>
      <c r="ML256" s="7"/>
    </row>
    <row r="257" spans="3:350" ht="5.0999999999999996" customHeight="1" x14ac:dyDescent="0.3">
      <c r="C257" s="11"/>
      <c r="D257" s="13"/>
      <c r="JX257" s="332"/>
      <c r="JY257" s="333"/>
      <c r="JZ257" s="333"/>
      <c r="KA257" s="333"/>
      <c r="KB257" s="333"/>
      <c r="KC257" s="333"/>
      <c r="KD257" s="333"/>
      <c r="KE257" s="333"/>
      <c r="KF257" s="333"/>
      <c r="KG257" s="333"/>
      <c r="KH257" s="333"/>
      <c r="KI257" s="333"/>
      <c r="KJ257" s="333"/>
      <c r="KK257" s="333"/>
      <c r="KL257" s="333"/>
      <c r="KM257" s="333"/>
      <c r="KN257" s="333"/>
      <c r="KO257" s="333"/>
      <c r="KP257" s="333"/>
      <c r="KQ257" s="333"/>
      <c r="KR257" s="333"/>
      <c r="KS257" s="333"/>
      <c r="KT257" s="333"/>
      <c r="KU257" s="333"/>
      <c r="KV257" s="333"/>
      <c r="KW257" s="333"/>
      <c r="KX257" s="333"/>
      <c r="KY257" s="333"/>
      <c r="KZ257" s="333"/>
      <c r="LA257" s="333"/>
      <c r="LB257" s="333"/>
      <c r="LC257" s="333"/>
      <c r="LD257" s="333"/>
      <c r="LE257" s="333"/>
      <c r="LF257" s="333"/>
      <c r="LG257" s="333"/>
      <c r="LH257" s="333"/>
      <c r="LI257" s="333"/>
      <c r="LJ257" s="333"/>
      <c r="LK257" s="333"/>
      <c r="LL257" s="333"/>
      <c r="LM257" s="333"/>
      <c r="LN257" s="333"/>
      <c r="LO257" s="333"/>
      <c r="LP257" s="333"/>
      <c r="LQ257" s="333"/>
      <c r="LR257" s="333"/>
      <c r="LS257" s="333"/>
      <c r="LT257" s="333"/>
      <c r="LU257" s="334"/>
      <c r="LV257" s="287"/>
      <c r="LW257" s="288"/>
      <c r="LX257" s="288"/>
      <c r="LY257" s="288"/>
      <c r="LZ257" s="288"/>
      <c r="MA257" s="288"/>
      <c r="MB257" s="288"/>
      <c r="MC257" s="288"/>
      <c r="MD257" s="288"/>
      <c r="ME257" s="288"/>
      <c r="MF257" s="288"/>
      <c r="MG257" s="289"/>
      <c r="MK257" s="12"/>
      <c r="ML257" s="7"/>
    </row>
    <row r="258" spans="3:350" ht="5.0999999999999996" customHeight="1" x14ac:dyDescent="0.3">
      <c r="C258" s="11"/>
      <c r="D258" s="13"/>
      <c r="JX258" s="332"/>
      <c r="JY258" s="333"/>
      <c r="JZ258" s="333"/>
      <c r="KA258" s="333"/>
      <c r="KB258" s="333"/>
      <c r="KC258" s="333"/>
      <c r="KD258" s="333"/>
      <c r="KE258" s="333"/>
      <c r="KF258" s="333"/>
      <c r="KG258" s="333"/>
      <c r="KH258" s="333"/>
      <c r="KI258" s="333"/>
      <c r="KJ258" s="333"/>
      <c r="KK258" s="333"/>
      <c r="KL258" s="333"/>
      <c r="KM258" s="333"/>
      <c r="KN258" s="333"/>
      <c r="KO258" s="333"/>
      <c r="KP258" s="333"/>
      <c r="KQ258" s="333"/>
      <c r="KR258" s="333"/>
      <c r="KS258" s="333"/>
      <c r="KT258" s="333"/>
      <c r="KU258" s="333"/>
      <c r="KV258" s="333"/>
      <c r="KW258" s="333"/>
      <c r="KX258" s="333"/>
      <c r="KY258" s="333"/>
      <c r="KZ258" s="333"/>
      <c r="LA258" s="333"/>
      <c r="LB258" s="333"/>
      <c r="LC258" s="333"/>
      <c r="LD258" s="333"/>
      <c r="LE258" s="333"/>
      <c r="LF258" s="333"/>
      <c r="LG258" s="333"/>
      <c r="LH258" s="333"/>
      <c r="LI258" s="333"/>
      <c r="LJ258" s="333"/>
      <c r="LK258" s="333"/>
      <c r="LL258" s="333"/>
      <c r="LM258" s="333"/>
      <c r="LN258" s="333"/>
      <c r="LO258" s="333"/>
      <c r="LP258" s="333"/>
      <c r="LQ258" s="333"/>
      <c r="LR258" s="333"/>
      <c r="LS258" s="333"/>
      <c r="LT258" s="333"/>
      <c r="LU258" s="334"/>
      <c r="LV258" s="287"/>
      <c r="LW258" s="288"/>
      <c r="LX258" s="288"/>
      <c r="LY258" s="288"/>
      <c r="LZ258" s="288"/>
      <c r="MA258" s="288"/>
      <c r="MB258" s="288"/>
      <c r="MC258" s="288"/>
      <c r="MD258" s="288"/>
      <c r="ME258" s="288"/>
      <c r="MF258" s="288"/>
      <c r="MG258" s="289"/>
      <c r="MK258" s="12"/>
      <c r="ML258" s="7"/>
    </row>
    <row r="259" spans="3:350" ht="5.0999999999999996" customHeight="1" x14ac:dyDescent="0.3">
      <c r="C259" s="11"/>
      <c r="D259" s="13"/>
      <c r="JX259" s="332"/>
      <c r="JY259" s="333"/>
      <c r="JZ259" s="333"/>
      <c r="KA259" s="333"/>
      <c r="KB259" s="333"/>
      <c r="KC259" s="333"/>
      <c r="KD259" s="333"/>
      <c r="KE259" s="333"/>
      <c r="KF259" s="333"/>
      <c r="KG259" s="333"/>
      <c r="KH259" s="333"/>
      <c r="KI259" s="333"/>
      <c r="KJ259" s="333"/>
      <c r="KK259" s="333"/>
      <c r="KL259" s="333"/>
      <c r="KM259" s="333"/>
      <c r="KN259" s="333"/>
      <c r="KO259" s="333"/>
      <c r="KP259" s="333"/>
      <c r="KQ259" s="333"/>
      <c r="KR259" s="333"/>
      <c r="KS259" s="333"/>
      <c r="KT259" s="333"/>
      <c r="KU259" s="333"/>
      <c r="KV259" s="333"/>
      <c r="KW259" s="333"/>
      <c r="KX259" s="333"/>
      <c r="KY259" s="333"/>
      <c r="KZ259" s="333"/>
      <c r="LA259" s="333"/>
      <c r="LB259" s="333"/>
      <c r="LC259" s="333"/>
      <c r="LD259" s="333"/>
      <c r="LE259" s="333"/>
      <c r="LF259" s="333"/>
      <c r="LG259" s="333"/>
      <c r="LH259" s="333"/>
      <c r="LI259" s="333"/>
      <c r="LJ259" s="333"/>
      <c r="LK259" s="333"/>
      <c r="LL259" s="333"/>
      <c r="LM259" s="333"/>
      <c r="LN259" s="333"/>
      <c r="LO259" s="333"/>
      <c r="LP259" s="333"/>
      <c r="LQ259" s="333"/>
      <c r="LR259" s="333"/>
      <c r="LS259" s="333"/>
      <c r="LT259" s="333"/>
      <c r="LU259" s="334"/>
      <c r="LV259" s="287"/>
      <c r="LW259" s="288"/>
      <c r="LX259" s="288"/>
      <c r="LY259" s="288"/>
      <c r="LZ259" s="288"/>
      <c r="MA259" s="288"/>
      <c r="MB259" s="288"/>
      <c r="MC259" s="288"/>
      <c r="MD259" s="288"/>
      <c r="ME259" s="288"/>
      <c r="MF259" s="288"/>
      <c r="MG259" s="289"/>
      <c r="MK259" s="12"/>
      <c r="ML259" s="7"/>
    </row>
    <row r="260" spans="3:350" ht="5.0999999999999996" customHeight="1" x14ac:dyDescent="0.3">
      <c r="C260" s="11"/>
      <c r="D260" s="13"/>
      <c r="JX260" s="332"/>
      <c r="JY260" s="333"/>
      <c r="JZ260" s="333"/>
      <c r="KA260" s="333"/>
      <c r="KB260" s="333"/>
      <c r="KC260" s="333"/>
      <c r="KD260" s="333"/>
      <c r="KE260" s="333"/>
      <c r="KF260" s="333"/>
      <c r="KG260" s="333"/>
      <c r="KH260" s="333"/>
      <c r="KI260" s="333"/>
      <c r="KJ260" s="333"/>
      <c r="KK260" s="333"/>
      <c r="KL260" s="333"/>
      <c r="KM260" s="333"/>
      <c r="KN260" s="333"/>
      <c r="KO260" s="333"/>
      <c r="KP260" s="333"/>
      <c r="KQ260" s="333"/>
      <c r="KR260" s="333"/>
      <c r="KS260" s="333"/>
      <c r="KT260" s="333"/>
      <c r="KU260" s="333"/>
      <c r="KV260" s="333"/>
      <c r="KW260" s="333"/>
      <c r="KX260" s="333"/>
      <c r="KY260" s="333"/>
      <c r="KZ260" s="333"/>
      <c r="LA260" s="333"/>
      <c r="LB260" s="333"/>
      <c r="LC260" s="333"/>
      <c r="LD260" s="333"/>
      <c r="LE260" s="333"/>
      <c r="LF260" s="333"/>
      <c r="LG260" s="333"/>
      <c r="LH260" s="333"/>
      <c r="LI260" s="333"/>
      <c r="LJ260" s="333"/>
      <c r="LK260" s="333"/>
      <c r="LL260" s="333"/>
      <c r="LM260" s="333"/>
      <c r="LN260" s="333"/>
      <c r="LO260" s="333"/>
      <c r="LP260" s="333"/>
      <c r="LQ260" s="333"/>
      <c r="LR260" s="333"/>
      <c r="LS260" s="333"/>
      <c r="LT260" s="333"/>
      <c r="LU260" s="334"/>
      <c r="LV260" s="287"/>
      <c r="LW260" s="288"/>
      <c r="LX260" s="288"/>
      <c r="LY260" s="288"/>
      <c r="LZ260" s="288"/>
      <c r="MA260" s="288"/>
      <c r="MB260" s="288"/>
      <c r="MC260" s="288"/>
      <c r="MD260" s="288"/>
      <c r="ME260" s="288"/>
      <c r="MF260" s="288"/>
      <c r="MG260" s="289"/>
      <c r="MK260" s="12"/>
      <c r="ML260" s="7"/>
    </row>
    <row r="261" spans="3:350" ht="5.0999999999999996" customHeight="1" x14ac:dyDescent="0.3">
      <c r="C261" s="11"/>
      <c r="D261" s="13"/>
      <c r="JX261" s="332"/>
      <c r="JY261" s="333"/>
      <c r="JZ261" s="333"/>
      <c r="KA261" s="333"/>
      <c r="KB261" s="333"/>
      <c r="KC261" s="333"/>
      <c r="KD261" s="333"/>
      <c r="KE261" s="333"/>
      <c r="KF261" s="333"/>
      <c r="KG261" s="333"/>
      <c r="KH261" s="333"/>
      <c r="KI261" s="333"/>
      <c r="KJ261" s="333"/>
      <c r="KK261" s="333"/>
      <c r="KL261" s="333"/>
      <c r="KM261" s="333"/>
      <c r="KN261" s="333"/>
      <c r="KO261" s="333"/>
      <c r="KP261" s="333"/>
      <c r="KQ261" s="333"/>
      <c r="KR261" s="333"/>
      <c r="KS261" s="333"/>
      <c r="KT261" s="333"/>
      <c r="KU261" s="333"/>
      <c r="KV261" s="333"/>
      <c r="KW261" s="333"/>
      <c r="KX261" s="333"/>
      <c r="KY261" s="333"/>
      <c r="KZ261" s="333"/>
      <c r="LA261" s="333"/>
      <c r="LB261" s="333"/>
      <c r="LC261" s="333"/>
      <c r="LD261" s="333"/>
      <c r="LE261" s="333"/>
      <c r="LF261" s="333"/>
      <c r="LG261" s="333"/>
      <c r="LH261" s="333"/>
      <c r="LI261" s="333"/>
      <c r="LJ261" s="333"/>
      <c r="LK261" s="333"/>
      <c r="LL261" s="333"/>
      <c r="LM261" s="333"/>
      <c r="LN261" s="333"/>
      <c r="LO261" s="333"/>
      <c r="LP261" s="333"/>
      <c r="LQ261" s="333"/>
      <c r="LR261" s="333"/>
      <c r="LS261" s="333"/>
      <c r="LT261" s="333"/>
      <c r="LU261" s="334"/>
      <c r="LV261" s="287"/>
      <c r="LW261" s="288"/>
      <c r="LX261" s="288"/>
      <c r="LY261" s="288"/>
      <c r="LZ261" s="288"/>
      <c r="MA261" s="288"/>
      <c r="MB261" s="288"/>
      <c r="MC261" s="288"/>
      <c r="MD261" s="288"/>
      <c r="ME261" s="288"/>
      <c r="MF261" s="288"/>
      <c r="MG261" s="289"/>
      <c r="MK261" s="12"/>
      <c r="ML261" s="7"/>
    </row>
    <row r="262" spans="3:350" ht="5.0999999999999996" customHeight="1" thickBot="1" x14ac:dyDescent="0.35">
      <c r="C262" s="11"/>
      <c r="D262" s="13"/>
      <c r="JX262" s="335"/>
      <c r="JY262" s="336"/>
      <c r="JZ262" s="336"/>
      <c r="KA262" s="336"/>
      <c r="KB262" s="336"/>
      <c r="KC262" s="336"/>
      <c r="KD262" s="336"/>
      <c r="KE262" s="336"/>
      <c r="KF262" s="336"/>
      <c r="KG262" s="336"/>
      <c r="KH262" s="336"/>
      <c r="KI262" s="336"/>
      <c r="KJ262" s="336"/>
      <c r="KK262" s="336"/>
      <c r="KL262" s="336"/>
      <c r="KM262" s="336"/>
      <c r="KN262" s="336"/>
      <c r="KO262" s="336"/>
      <c r="KP262" s="336"/>
      <c r="KQ262" s="336"/>
      <c r="KR262" s="336"/>
      <c r="KS262" s="336"/>
      <c r="KT262" s="336"/>
      <c r="KU262" s="336"/>
      <c r="KV262" s="336"/>
      <c r="KW262" s="336"/>
      <c r="KX262" s="336"/>
      <c r="KY262" s="336"/>
      <c r="KZ262" s="336"/>
      <c r="LA262" s="336"/>
      <c r="LB262" s="336"/>
      <c r="LC262" s="336"/>
      <c r="LD262" s="336"/>
      <c r="LE262" s="336"/>
      <c r="LF262" s="336"/>
      <c r="LG262" s="336"/>
      <c r="LH262" s="336"/>
      <c r="LI262" s="336"/>
      <c r="LJ262" s="336"/>
      <c r="LK262" s="336"/>
      <c r="LL262" s="336"/>
      <c r="LM262" s="336"/>
      <c r="LN262" s="336"/>
      <c r="LO262" s="336"/>
      <c r="LP262" s="336"/>
      <c r="LQ262" s="336"/>
      <c r="LR262" s="336"/>
      <c r="LS262" s="336"/>
      <c r="LT262" s="336"/>
      <c r="LU262" s="337"/>
      <c r="LV262" s="290"/>
      <c r="LW262" s="291"/>
      <c r="LX262" s="291"/>
      <c r="LY262" s="291"/>
      <c r="LZ262" s="291"/>
      <c r="MA262" s="291"/>
      <c r="MB262" s="291"/>
      <c r="MC262" s="291"/>
      <c r="MD262" s="291"/>
      <c r="ME262" s="291"/>
      <c r="MF262" s="291"/>
      <c r="MG262" s="292"/>
      <c r="MK262" s="12"/>
      <c r="ML262" s="7"/>
    </row>
    <row r="263" spans="3:350" ht="5.0999999999999996" customHeight="1" x14ac:dyDescent="0.3">
      <c r="C263" s="11"/>
      <c r="D263" s="13"/>
      <c r="JX263" s="329" t="s">
        <v>1</v>
      </c>
      <c r="JY263" s="330"/>
      <c r="JZ263" s="330"/>
      <c r="KA263" s="330"/>
      <c r="KB263" s="330"/>
      <c r="KC263" s="330"/>
      <c r="KD263" s="330"/>
      <c r="KE263" s="330"/>
      <c r="KF263" s="330"/>
      <c r="KG263" s="330"/>
      <c r="KH263" s="330"/>
      <c r="KI263" s="330"/>
      <c r="KJ263" s="330"/>
      <c r="KK263" s="330"/>
      <c r="KL263" s="330"/>
      <c r="KM263" s="330"/>
      <c r="KN263" s="330"/>
      <c r="KO263" s="330"/>
      <c r="KP263" s="330"/>
      <c r="KQ263" s="330"/>
      <c r="KR263" s="330"/>
      <c r="KS263" s="330"/>
      <c r="KT263" s="330"/>
      <c r="KU263" s="330"/>
      <c r="KV263" s="330"/>
      <c r="KW263" s="330"/>
      <c r="KX263" s="330"/>
      <c r="KY263" s="330"/>
      <c r="KZ263" s="330"/>
      <c r="LA263" s="330"/>
      <c r="LB263" s="330"/>
      <c r="LC263" s="330"/>
      <c r="LD263" s="330"/>
      <c r="LE263" s="330"/>
      <c r="LF263" s="330"/>
      <c r="LG263" s="330"/>
      <c r="LH263" s="330"/>
      <c r="LI263" s="330"/>
      <c r="LJ263" s="330"/>
      <c r="LK263" s="330"/>
      <c r="LL263" s="330"/>
      <c r="LM263" s="330"/>
      <c r="LN263" s="330"/>
      <c r="LO263" s="330"/>
      <c r="LP263" s="330"/>
      <c r="LQ263" s="330"/>
      <c r="LR263" s="330"/>
      <c r="LS263" s="330"/>
      <c r="LT263" s="330"/>
      <c r="LU263" s="331"/>
      <c r="LV263" s="284">
        <f>JK139</f>
        <v>32</v>
      </c>
      <c r="LW263" s="285"/>
      <c r="LX263" s="285"/>
      <c r="LY263" s="285"/>
      <c r="LZ263" s="285"/>
      <c r="MA263" s="285">
        <f>HM131</f>
        <v>0</v>
      </c>
      <c r="MB263" s="285"/>
      <c r="MC263" s="285"/>
      <c r="MD263" s="285"/>
      <c r="ME263" s="285"/>
      <c r="MF263" s="285"/>
      <c r="MG263" s="286"/>
      <c r="MK263" s="12"/>
      <c r="ML263" s="7"/>
    </row>
    <row r="264" spans="3:350" ht="5.0999999999999996" customHeight="1" x14ac:dyDescent="0.3">
      <c r="C264" s="11"/>
      <c r="D264" s="13"/>
      <c r="JX264" s="332"/>
      <c r="JY264" s="333"/>
      <c r="JZ264" s="333"/>
      <c r="KA264" s="333"/>
      <c r="KB264" s="333"/>
      <c r="KC264" s="333"/>
      <c r="KD264" s="333"/>
      <c r="KE264" s="333"/>
      <c r="KF264" s="333"/>
      <c r="KG264" s="333"/>
      <c r="KH264" s="333"/>
      <c r="KI264" s="333"/>
      <c r="KJ264" s="333"/>
      <c r="KK264" s="333"/>
      <c r="KL264" s="333"/>
      <c r="KM264" s="333"/>
      <c r="KN264" s="333"/>
      <c r="KO264" s="333"/>
      <c r="KP264" s="333"/>
      <c r="KQ264" s="333"/>
      <c r="KR264" s="333"/>
      <c r="KS264" s="333"/>
      <c r="KT264" s="333"/>
      <c r="KU264" s="333"/>
      <c r="KV264" s="333"/>
      <c r="KW264" s="333"/>
      <c r="KX264" s="333"/>
      <c r="KY264" s="333"/>
      <c r="KZ264" s="333"/>
      <c r="LA264" s="333"/>
      <c r="LB264" s="333"/>
      <c r="LC264" s="333"/>
      <c r="LD264" s="333"/>
      <c r="LE264" s="333"/>
      <c r="LF264" s="333"/>
      <c r="LG264" s="333"/>
      <c r="LH264" s="333"/>
      <c r="LI264" s="333"/>
      <c r="LJ264" s="333"/>
      <c r="LK264" s="333"/>
      <c r="LL264" s="333"/>
      <c r="LM264" s="333"/>
      <c r="LN264" s="333"/>
      <c r="LO264" s="333"/>
      <c r="LP264" s="333"/>
      <c r="LQ264" s="333"/>
      <c r="LR264" s="333"/>
      <c r="LS264" s="333"/>
      <c r="LT264" s="333"/>
      <c r="LU264" s="334"/>
      <c r="LV264" s="287"/>
      <c r="LW264" s="288"/>
      <c r="LX264" s="288"/>
      <c r="LY264" s="288"/>
      <c r="LZ264" s="288"/>
      <c r="MA264" s="288"/>
      <c r="MB264" s="288"/>
      <c r="MC264" s="288"/>
      <c r="MD264" s="288"/>
      <c r="ME264" s="288"/>
      <c r="MF264" s="288"/>
      <c r="MG264" s="289"/>
      <c r="MK264" s="12"/>
      <c r="ML264" s="7"/>
    </row>
    <row r="265" spans="3:350" ht="5.0999999999999996" customHeight="1" x14ac:dyDescent="0.3">
      <c r="C265" s="11"/>
      <c r="D265" s="13"/>
      <c r="JX265" s="332"/>
      <c r="JY265" s="333"/>
      <c r="JZ265" s="333"/>
      <c r="KA265" s="333"/>
      <c r="KB265" s="333"/>
      <c r="KC265" s="333"/>
      <c r="KD265" s="333"/>
      <c r="KE265" s="333"/>
      <c r="KF265" s="333"/>
      <c r="KG265" s="333"/>
      <c r="KH265" s="333"/>
      <c r="KI265" s="333"/>
      <c r="KJ265" s="333"/>
      <c r="KK265" s="333"/>
      <c r="KL265" s="333"/>
      <c r="KM265" s="333"/>
      <c r="KN265" s="333"/>
      <c r="KO265" s="333"/>
      <c r="KP265" s="333"/>
      <c r="KQ265" s="333"/>
      <c r="KR265" s="333"/>
      <c r="KS265" s="333"/>
      <c r="KT265" s="333"/>
      <c r="KU265" s="333"/>
      <c r="KV265" s="333"/>
      <c r="KW265" s="333"/>
      <c r="KX265" s="333"/>
      <c r="KY265" s="333"/>
      <c r="KZ265" s="333"/>
      <c r="LA265" s="333"/>
      <c r="LB265" s="333"/>
      <c r="LC265" s="333"/>
      <c r="LD265" s="333"/>
      <c r="LE265" s="333"/>
      <c r="LF265" s="333"/>
      <c r="LG265" s="333"/>
      <c r="LH265" s="333"/>
      <c r="LI265" s="333"/>
      <c r="LJ265" s="333"/>
      <c r="LK265" s="333"/>
      <c r="LL265" s="333"/>
      <c r="LM265" s="333"/>
      <c r="LN265" s="333"/>
      <c r="LO265" s="333"/>
      <c r="LP265" s="333"/>
      <c r="LQ265" s="333"/>
      <c r="LR265" s="333"/>
      <c r="LS265" s="333"/>
      <c r="LT265" s="333"/>
      <c r="LU265" s="334"/>
      <c r="LV265" s="287"/>
      <c r="LW265" s="288"/>
      <c r="LX265" s="288"/>
      <c r="LY265" s="288"/>
      <c r="LZ265" s="288"/>
      <c r="MA265" s="288"/>
      <c r="MB265" s="288"/>
      <c r="MC265" s="288"/>
      <c r="MD265" s="288"/>
      <c r="ME265" s="288"/>
      <c r="MF265" s="288"/>
      <c r="MG265" s="289"/>
      <c r="MK265" s="12"/>
      <c r="ML265" s="7"/>
    </row>
    <row r="266" spans="3:350" ht="5.0999999999999996" customHeight="1" x14ac:dyDescent="0.3">
      <c r="C266" s="11"/>
      <c r="D266" s="13"/>
      <c r="JX266" s="332"/>
      <c r="JY266" s="333"/>
      <c r="JZ266" s="333"/>
      <c r="KA266" s="333"/>
      <c r="KB266" s="333"/>
      <c r="KC266" s="333"/>
      <c r="KD266" s="333"/>
      <c r="KE266" s="333"/>
      <c r="KF266" s="333"/>
      <c r="KG266" s="333"/>
      <c r="KH266" s="333"/>
      <c r="KI266" s="333"/>
      <c r="KJ266" s="333"/>
      <c r="KK266" s="333"/>
      <c r="KL266" s="333"/>
      <c r="KM266" s="333"/>
      <c r="KN266" s="333"/>
      <c r="KO266" s="333"/>
      <c r="KP266" s="333"/>
      <c r="KQ266" s="333"/>
      <c r="KR266" s="333"/>
      <c r="KS266" s="333"/>
      <c r="KT266" s="333"/>
      <c r="KU266" s="333"/>
      <c r="KV266" s="333"/>
      <c r="KW266" s="333"/>
      <c r="KX266" s="333"/>
      <c r="KY266" s="333"/>
      <c r="KZ266" s="333"/>
      <c r="LA266" s="333"/>
      <c r="LB266" s="333"/>
      <c r="LC266" s="333"/>
      <c r="LD266" s="333"/>
      <c r="LE266" s="333"/>
      <c r="LF266" s="333"/>
      <c r="LG266" s="333"/>
      <c r="LH266" s="333"/>
      <c r="LI266" s="333"/>
      <c r="LJ266" s="333"/>
      <c r="LK266" s="333"/>
      <c r="LL266" s="333"/>
      <c r="LM266" s="333"/>
      <c r="LN266" s="333"/>
      <c r="LO266" s="333"/>
      <c r="LP266" s="333"/>
      <c r="LQ266" s="333"/>
      <c r="LR266" s="333"/>
      <c r="LS266" s="333"/>
      <c r="LT266" s="333"/>
      <c r="LU266" s="334"/>
      <c r="LV266" s="287"/>
      <c r="LW266" s="288"/>
      <c r="LX266" s="288"/>
      <c r="LY266" s="288"/>
      <c r="LZ266" s="288"/>
      <c r="MA266" s="288"/>
      <c r="MB266" s="288"/>
      <c r="MC266" s="288"/>
      <c r="MD266" s="288"/>
      <c r="ME266" s="288"/>
      <c r="MF266" s="288"/>
      <c r="MG266" s="289"/>
      <c r="MK266" s="12"/>
      <c r="ML266" s="7"/>
    </row>
    <row r="267" spans="3:350" ht="5.0999999999999996" customHeight="1" x14ac:dyDescent="0.3">
      <c r="C267" s="11"/>
      <c r="D267" s="13"/>
      <c r="JX267" s="332"/>
      <c r="JY267" s="333"/>
      <c r="JZ267" s="333"/>
      <c r="KA267" s="333"/>
      <c r="KB267" s="333"/>
      <c r="KC267" s="333"/>
      <c r="KD267" s="333"/>
      <c r="KE267" s="333"/>
      <c r="KF267" s="333"/>
      <c r="KG267" s="333"/>
      <c r="KH267" s="333"/>
      <c r="KI267" s="333"/>
      <c r="KJ267" s="333"/>
      <c r="KK267" s="333"/>
      <c r="KL267" s="333"/>
      <c r="KM267" s="333"/>
      <c r="KN267" s="333"/>
      <c r="KO267" s="333"/>
      <c r="KP267" s="333"/>
      <c r="KQ267" s="333"/>
      <c r="KR267" s="333"/>
      <c r="KS267" s="333"/>
      <c r="KT267" s="333"/>
      <c r="KU267" s="333"/>
      <c r="KV267" s="333"/>
      <c r="KW267" s="333"/>
      <c r="KX267" s="333"/>
      <c r="KY267" s="333"/>
      <c r="KZ267" s="333"/>
      <c r="LA267" s="333"/>
      <c r="LB267" s="333"/>
      <c r="LC267" s="333"/>
      <c r="LD267" s="333"/>
      <c r="LE267" s="333"/>
      <c r="LF267" s="333"/>
      <c r="LG267" s="333"/>
      <c r="LH267" s="333"/>
      <c r="LI267" s="333"/>
      <c r="LJ267" s="333"/>
      <c r="LK267" s="333"/>
      <c r="LL267" s="333"/>
      <c r="LM267" s="333"/>
      <c r="LN267" s="333"/>
      <c r="LO267" s="333"/>
      <c r="LP267" s="333"/>
      <c r="LQ267" s="333"/>
      <c r="LR267" s="333"/>
      <c r="LS267" s="333"/>
      <c r="LT267" s="333"/>
      <c r="LU267" s="334"/>
      <c r="LV267" s="287"/>
      <c r="LW267" s="288"/>
      <c r="LX267" s="288"/>
      <c r="LY267" s="288"/>
      <c r="LZ267" s="288"/>
      <c r="MA267" s="288"/>
      <c r="MB267" s="288"/>
      <c r="MC267" s="288"/>
      <c r="MD267" s="288"/>
      <c r="ME267" s="288"/>
      <c r="MF267" s="288"/>
      <c r="MG267" s="289"/>
      <c r="MK267" s="12"/>
      <c r="ML267" s="7"/>
    </row>
    <row r="268" spans="3:350" ht="5.0999999999999996" customHeight="1" x14ac:dyDescent="0.3">
      <c r="C268" s="11"/>
      <c r="D268" s="13"/>
      <c r="JX268" s="332"/>
      <c r="JY268" s="333"/>
      <c r="JZ268" s="333"/>
      <c r="KA268" s="333"/>
      <c r="KB268" s="333"/>
      <c r="KC268" s="333"/>
      <c r="KD268" s="333"/>
      <c r="KE268" s="333"/>
      <c r="KF268" s="333"/>
      <c r="KG268" s="333"/>
      <c r="KH268" s="333"/>
      <c r="KI268" s="333"/>
      <c r="KJ268" s="333"/>
      <c r="KK268" s="333"/>
      <c r="KL268" s="333"/>
      <c r="KM268" s="333"/>
      <c r="KN268" s="333"/>
      <c r="KO268" s="333"/>
      <c r="KP268" s="333"/>
      <c r="KQ268" s="333"/>
      <c r="KR268" s="333"/>
      <c r="KS268" s="333"/>
      <c r="KT268" s="333"/>
      <c r="KU268" s="333"/>
      <c r="KV268" s="333"/>
      <c r="KW268" s="333"/>
      <c r="KX268" s="333"/>
      <c r="KY268" s="333"/>
      <c r="KZ268" s="333"/>
      <c r="LA268" s="333"/>
      <c r="LB268" s="333"/>
      <c r="LC268" s="333"/>
      <c r="LD268" s="333"/>
      <c r="LE268" s="333"/>
      <c r="LF268" s="333"/>
      <c r="LG268" s="333"/>
      <c r="LH268" s="333"/>
      <c r="LI268" s="333"/>
      <c r="LJ268" s="333"/>
      <c r="LK268" s="333"/>
      <c r="LL268" s="333"/>
      <c r="LM268" s="333"/>
      <c r="LN268" s="333"/>
      <c r="LO268" s="333"/>
      <c r="LP268" s="333"/>
      <c r="LQ268" s="333"/>
      <c r="LR268" s="333"/>
      <c r="LS268" s="333"/>
      <c r="LT268" s="333"/>
      <c r="LU268" s="334"/>
      <c r="LV268" s="287"/>
      <c r="LW268" s="288"/>
      <c r="LX268" s="288"/>
      <c r="LY268" s="288"/>
      <c r="LZ268" s="288"/>
      <c r="MA268" s="288"/>
      <c r="MB268" s="288"/>
      <c r="MC268" s="288"/>
      <c r="MD268" s="288"/>
      <c r="ME268" s="288"/>
      <c r="MF268" s="288"/>
      <c r="MG268" s="289"/>
      <c r="MK268" s="12"/>
      <c r="ML268" s="7"/>
    </row>
    <row r="269" spans="3:350" ht="5.0999999999999996" customHeight="1" thickBot="1" x14ac:dyDescent="0.35">
      <c r="C269" s="11"/>
      <c r="D269" s="13"/>
      <c r="JX269" s="335"/>
      <c r="JY269" s="336"/>
      <c r="JZ269" s="336"/>
      <c r="KA269" s="336"/>
      <c r="KB269" s="336"/>
      <c r="KC269" s="336"/>
      <c r="KD269" s="336"/>
      <c r="KE269" s="336"/>
      <c r="KF269" s="336"/>
      <c r="KG269" s="336"/>
      <c r="KH269" s="336"/>
      <c r="KI269" s="336"/>
      <c r="KJ269" s="336"/>
      <c r="KK269" s="336"/>
      <c r="KL269" s="336"/>
      <c r="KM269" s="336"/>
      <c r="KN269" s="336"/>
      <c r="KO269" s="336"/>
      <c r="KP269" s="336"/>
      <c r="KQ269" s="336"/>
      <c r="KR269" s="336"/>
      <c r="KS269" s="336"/>
      <c r="KT269" s="336"/>
      <c r="KU269" s="336"/>
      <c r="KV269" s="336"/>
      <c r="KW269" s="336"/>
      <c r="KX269" s="336"/>
      <c r="KY269" s="336"/>
      <c r="KZ269" s="336"/>
      <c r="LA269" s="336"/>
      <c r="LB269" s="336"/>
      <c r="LC269" s="336"/>
      <c r="LD269" s="336"/>
      <c r="LE269" s="336"/>
      <c r="LF269" s="336"/>
      <c r="LG269" s="336"/>
      <c r="LH269" s="336"/>
      <c r="LI269" s="336"/>
      <c r="LJ269" s="336"/>
      <c r="LK269" s="336"/>
      <c r="LL269" s="336"/>
      <c r="LM269" s="336"/>
      <c r="LN269" s="336"/>
      <c r="LO269" s="336"/>
      <c r="LP269" s="336"/>
      <c r="LQ269" s="336"/>
      <c r="LR269" s="336"/>
      <c r="LS269" s="336"/>
      <c r="LT269" s="336"/>
      <c r="LU269" s="337"/>
      <c r="LV269" s="290"/>
      <c r="LW269" s="291"/>
      <c r="LX269" s="291"/>
      <c r="LY269" s="291"/>
      <c r="LZ269" s="291"/>
      <c r="MA269" s="291"/>
      <c r="MB269" s="291"/>
      <c r="MC269" s="291"/>
      <c r="MD269" s="291"/>
      <c r="ME269" s="291"/>
      <c r="MF269" s="291"/>
      <c r="MG269" s="292"/>
      <c r="MK269" s="12"/>
      <c r="ML269" s="7"/>
    </row>
    <row r="270" spans="3:350" ht="5.0999999999999996" customHeight="1" x14ac:dyDescent="0.3">
      <c r="C270" s="11"/>
      <c r="D270" s="13"/>
      <c r="JX270" s="329" t="s">
        <v>0</v>
      </c>
      <c r="JY270" s="330"/>
      <c r="JZ270" s="330"/>
      <c r="KA270" s="330"/>
      <c r="KB270" s="330"/>
      <c r="KC270" s="330"/>
      <c r="KD270" s="330"/>
      <c r="KE270" s="330"/>
      <c r="KF270" s="330"/>
      <c r="KG270" s="330"/>
      <c r="KH270" s="330"/>
      <c r="KI270" s="330"/>
      <c r="KJ270" s="330"/>
      <c r="KK270" s="330"/>
      <c r="KL270" s="330"/>
      <c r="KM270" s="330"/>
      <c r="KN270" s="330"/>
      <c r="KO270" s="330"/>
      <c r="KP270" s="330"/>
      <c r="KQ270" s="330"/>
      <c r="KR270" s="330"/>
      <c r="KS270" s="330"/>
      <c r="KT270" s="330"/>
      <c r="KU270" s="330"/>
      <c r="KV270" s="330"/>
      <c r="KW270" s="330"/>
      <c r="KX270" s="330"/>
      <c r="KY270" s="330"/>
      <c r="KZ270" s="330"/>
      <c r="LA270" s="330"/>
      <c r="LB270" s="330"/>
      <c r="LC270" s="330"/>
      <c r="LD270" s="330"/>
      <c r="LE270" s="330"/>
      <c r="LF270" s="330"/>
      <c r="LG270" s="330"/>
      <c r="LH270" s="330"/>
      <c r="LI270" s="330"/>
      <c r="LJ270" s="330"/>
      <c r="LK270" s="330"/>
      <c r="LL270" s="330"/>
      <c r="LM270" s="330"/>
      <c r="LN270" s="330"/>
      <c r="LO270" s="330"/>
      <c r="LP270" s="330"/>
      <c r="LQ270" s="330"/>
      <c r="LR270" s="330"/>
      <c r="LS270" s="330"/>
      <c r="LT270" s="330"/>
      <c r="LU270" s="331"/>
      <c r="LV270" s="284">
        <f>SUM(LV249,LV256,LV263)</f>
        <v>85</v>
      </c>
      <c r="LW270" s="285"/>
      <c r="LX270" s="285"/>
      <c r="LY270" s="285"/>
      <c r="LZ270" s="285"/>
      <c r="MA270" s="285">
        <f>SUM(LV249,MA256,MA263)</f>
        <v>43</v>
      </c>
      <c r="MB270" s="285"/>
      <c r="MC270" s="285"/>
      <c r="MD270" s="285"/>
      <c r="ME270" s="285"/>
      <c r="MF270" s="285"/>
      <c r="MG270" s="286"/>
      <c r="MK270" s="12"/>
      <c r="ML270" s="7"/>
    </row>
    <row r="271" spans="3:350" ht="5.0999999999999996" customHeight="1" x14ac:dyDescent="0.3">
      <c r="C271" s="11"/>
      <c r="D271" s="13"/>
      <c r="JX271" s="332"/>
      <c r="JY271" s="333"/>
      <c r="JZ271" s="333"/>
      <c r="KA271" s="333"/>
      <c r="KB271" s="333"/>
      <c r="KC271" s="333"/>
      <c r="KD271" s="333"/>
      <c r="KE271" s="333"/>
      <c r="KF271" s="333"/>
      <c r="KG271" s="333"/>
      <c r="KH271" s="333"/>
      <c r="KI271" s="333"/>
      <c r="KJ271" s="333"/>
      <c r="KK271" s="333"/>
      <c r="KL271" s="333"/>
      <c r="KM271" s="333"/>
      <c r="KN271" s="333"/>
      <c r="KO271" s="333"/>
      <c r="KP271" s="333"/>
      <c r="KQ271" s="333"/>
      <c r="KR271" s="333"/>
      <c r="KS271" s="333"/>
      <c r="KT271" s="333"/>
      <c r="KU271" s="333"/>
      <c r="KV271" s="333"/>
      <c r="KW271" s="333"/>
      <c r="KX271" s="333"/>
      <c r="KY271" s="333"/>
      <c r="KZ271" s="333"/>
      <c r="LA271" s="333"/>
      <c r="LB271" s="333"/>
      <c r="LC271" s="333"/>
      <c r="LD271" s="333"/>
      <c r="LE271" s="333"/>
      <c r="LF271" s="333"/>
      <c r="LG271" s="333"/>
      <c r="LH271" s="333"/>
      <c r="LI271" s="333"/>
      <c r="LJ271" s="333"/>
      <c r="LK271" s="333"/>
      <c r="LL271" s="333"/>
      <c r="LM271" s="333"/>
      <c r="LN271" s="333"/>
      <c r="LO271" s="333"/>
      <c r="LP271" s="333"/>
      <c r="LQ271" s="333"/>
      <c r="LR271" s="333"/>
      <c r="LS271" s="333"/>
      <c r="LT271" s="333"/>
      <c r="LU271" s="334"/>
      <c r="LV271" s="287"/>
      <c r="LW271" s="288"/>
      <c r="LX271" s="288"/>
      <c r="LY271" s="288"/>
      <c r="LZ271" s="288"/>
      <c r="MA271" s="288"/>
      <c r="MB271" s="288"/>
      <c r="MC271" s="288"/>
      <c r="MD271" s="288"/>
      <c r="ME271" s="288"/>
      <c r="MF271" s="288"/>
      <c r="MG271" s="289"/>
      <c r="MK271" s="12"/>
      <c r="ML271" s="7"/>
    </row>
    <row r="272" spans="3:350" ht="5.0999999999999996" customHeight="1" x14ac:dyDescent="0.3">
      <c r="C272" s="11"/>
      <c r="D272" s="13"/>
      <c r="JX272" s="332"/>
      <c r="JY272" s="333"/>
      <c r="JZ272" s="333"/>
      <c r="KA272" s="333"/>
      <c r="KB272" s="333"/>
      <c r="KC272" s="333"/>
      <c r="KD272" s="333"/>
      <c r="KE272" s="333"/>
      <c r="KF272" s="333"/>
      <c r="KG272" s="333"/>
      <c r="KH272" s="333"/>
      <c r="KI272" s="333"/>
      <c r="KJ272" s="333"/>
      <c r="KK272" s="333"/>
      <c r="KL272" s="333"/>
      <c r="KM272" s="333"/>
      <c r="KN272" s="333"/>
      <c r="KO272" s="333"/>
      <c r="KP272" s="333"/>
      <c r="KQ272" s="333"/>
      <c r="KR272" s="333"/>
      <c r="KS272" s="333"/>
      <c r="KT272" s="333"/>
      <c r="KU272" s="333"/>
      <c r="KV272" s="333"/>
      <c r="KW272" s="333"/>
      <c r="KX272" s="333"/>
      <c r="KY272" s="333"/>
      <c r="KZ272" s="333"/>
      <c r="LA272" s="333"/>
      <c r="LB272" s="333"/>
      <c r="LC272" s="333"/>
      <c r="LD272" s="333"/>
      <c r="LE272" s="333"/>
      <c r="LF272" s="333"/>
      <c r="LG272" s="333"/>
      <c r="LH272" s="333"/>
      <c r="LI272" s="333"/>
      <c r="LJ272" s="333"/>
      <c r="LK272" s="333"/>
      <c r="LL272" s="333"/>
      <c r="LM272" s="333"/>
      <c r="LN272" s="333"/>
      <c r="LO272" s="333"/>
      <c r="LP272" s="333"/>
      <c r="LQ272" s="333"/>
      <c r="LR272" s="333"/>
      <c r="LS272" s="333"/>
      <c r="LT272" s="333"/>
      <c r="LU272" s="334"/>
      <c r="LV272" s="287"/>
      <c r="LW272" s="288"/>
      <c r="LX272" s="288"/>
      <c r="LY272" s="288"/>
      <c r="LZ272" s="288"/>
      <c r="MA272" s="288"/>
      <c r="MB272" s="288"/>
      <c r="MC272" s="288"/>
      <c r="MD272" s="288"/>
      <c r="ME272" s="288"/>
      <c r="MF272" s="288"/>
      <c r="MG272" s="289"/>
      <c r="MK272" s="12"/>
      <c r="ML272" s="7"/>
    </row>
    <row r="273" spans="3:350" ht="5.0999999999999996" customHeight="1" thickBot="1" x14ac:dyDescent="0.35">
      <c r="C273" s="11"/>
      <c r="D273" s="13"/>
      <c r="JX273" s="332"/>
      <c r="JY273" s="333"/>
      <c r="JZ273" s="333"/>
      <c r="KA273" s="333"/>
      <c r="KB273" s="333"/>
      <c r="KC273" s="333"/>
      <c r="KD273" s="333"/>
      <c r="KE273" s="333"/>
      <c r="KF273" s="333"/>
      <c r="KG273" s="333"/>
      <c r="KH273" s="333"/>
      <c r="KI273" s="333"/>
      <c r="KJ273" s="333"/>
      <c r="KK273" s="333"/>
      <c r="KL273" s="333"/>
      <c r="KM273" s="333"/>
      <c r="KN273" s="333"/>
      <c r="KO273" s="333"/>
      <c r="KP273" s="333"/>
      <c r="KQ273" s="333"/>
      <c r="KR273" s="333"/>
      <c r="KS273" s="333"/>
      <c r="KT273" s="333"/>
      <c r="KU273" s="333"/>
      <c r="KV273" s="333"/>
      <c r="KW273" s="333"/>
      <c r="KX273" s="333"/>
      <c r="KY273" s="333"/>
      <c r="KZ273" s="333"/>
      <c r="LA273" s="333"/>
      <c r="LB273" s="333"/>
      <c r="LC273" s="333"/>
      <c r="LD273" s="333"/>
      <c r="LE273" s="333"/>
      <c r="LF273" s="333"/>
      <c r="LG273" s="333"/>
      <c r="LH273" s="333"/>
      <c r="LI273" s="333"/>
      <c r="LJ273" s="333"/>
      <c r="LK273" s="333"/>
      <c r="LL273" s="333"/>
      <c r="LM273" s="333"/>
      <c r="LN273" s="333"/>
      <c r="LO273" s="333"/>
      <c r="LP273" s="333"/>
      <c r="LQ273" s="333"/>
      <c r="LR273" s="333"/>
      <c r="LS273" s="333"/>
      <c r="LT273" s="333"/>
      <c r="LU273" s="334"/>
      <c r="LV273" s="287"/>
      <c r="LW273" s="288"/>
      <c r="LX273" s="288"/>
      <c r="LY273" s="288"/>
      <c r="LZ273" s="288"/>
      <c r="MA273" s="288"/>
      <c r="MB273" s="288"/>
      <c r="MC273" s="288"/>
      <c r="MD273" s="288"/>
      <c r="ME273" s="288"/>
      <c r="MF273" s="288"/>
      <c r="MG273" s="289"/>
      <c r="MK273" s="12"/>
      <c r="ML273" s="7"/>
    </row>
    <row r="274" spans="3:350" ht="5.0999999999999996" customHeight="1" x14ac:dyDescent="0.3">
      <c r="C274" s="11"/>
      <c r="D274" s="13"/>
      <c r="E274" s="267" t="s">
        <v>22</v>
      </c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  <c r="AA274" s="268"/>
      <c r="AB274" s="268"/>
      <c r="AC274" s="268"/>
      <c r="AD274" s="268"/>
      <c r="AE274" s="268"/>
      <c r="AF274" s="269"/>
      <c r="AG274" s="267" t="s">
        <v>23</v>
      </c>
      <c r="AH274" s="268"/>
      <c r="AI274" s="268"/>
      <c r="AJ274" s="268"/>
      <c r="AK274" s="268"/>
      <c r="AL274" s="268"/>
      <c r="AM274" s="268"/>
      <c r="AN274" s="268"/>
      <c r="AO274" s="268"/>
      <c r="AP274" s="268"/>
      <c r="AQ274" s="268"/>
      <c r="AR274" s="268"/>
      <c r="AS274" s="268"/>
      <c r="AT274" s="268"/>
      <c r="AU274" s="268"/>
      <c r="AV274" s="268"/>
      <c r="AW274" s="268"/>
      <c r="AX274" s="268"/>
      <c r="AY274" s="268"/>
      <c r="AZ274" s="268"/>
      <c r="BA274" s="268"/>
      <c r="BB274" s="268"/>
      <c r="BC274" s="268"/>
      <c r="BD274" s="268"/>
      <c r="BE274" s="268"/>
      <c r="BF274" s="268"/>
      <c r="BG274" s="268"/>
      <c r="BH274" s="269"/>
      <c r="BI274" s="267" t="s">
        <v>24</v>
      </c>
      <c r="BJ274" s="268"/>
      <c r="BK274" s="268"/>
      <c r="BL274" s="268"/>
      <c r="BM274" s="268"/>
      <c r="BN274" s="268"/>
      <c r="BO274" s="268"/>
      <c r="BP274" s="268"/>
      <c r="BQ274" s="268"/>
      <c r="BR274" s="268"/>
      <c r="BS274" s="268"/>
      <c r="BT274" s="268"/>
      <c r="BU274" s="268"/>
      <c r="BV274" s="268"/>
      <c r="BW274" s="268"/>
      <c r="BX274" s="268"/>
      <c r="BY274" s="268"/>
      <c r="BZ274" s="268"/>
      <c r="CA274" s="268"/>
      <c r="CB274" s="268"/>
      <c r="CC274" s="268"/>
      <c r="CD274" s="268"/>
      <c r="CE274" s="268"/>
      <c r="CF274" s="268"/>
      <c r="CG274" s="268"/>
      <c r="CH274" s="268"/>
      <c r="CI274" s="268"/>
      <c r="CJ274" s="269"/>
      <c r="JX274" s="332"/>
      <c r="JY274" s="333"/>
      <c r="JZ274" s="333"/>
      <c r="KA274" s="333"/>
      <c r="KB274" s="333"/>
      <c r="KC274" s="333"/>
      <c r="KD274" s="333"/>
      <c r="KE274" s="333"/>
      <c r="KF274" s="333"/>
      <c r="KG274" s="333"/>
      <c r="KH274" s="333"/>
      <c r="KI274" s="333"/>
      <c r="KJ274" s="333"/>
      <c r="KK274" s="333"/>
      <c r="KL274" s="333"/>
      <c r="KM274" s="333"/>
      <c r="KN274" s="333"/>
      <c r="KO274" s="333"/>
      <c r="KP274" s="333"/>
      <c r="KQ274" s="333"/>
      <c r="KR274" s="333"/>
      <c r="KS274" s="333"/>
      <c r="KT274" s="333"/>
      <c r="KU274" s="333"/>
      <c r="KV274" s="333"/>
      <c r="KW274" s="333"/>
      <c r="KX274" s="333"/>
      <c r="KY274" s="333"/>
      <c r="KZ274" s="333"/>
      <c r="LA274" s="333"/>
      <c r="LB274" s="333"/>
      <c r="LC274" s="333"/>
      <c r="LD274" s="333"/>
      <c r="LE274" s="333"/>
      <c r="LF274" s="333"/>
      <c r="LG274" s="333"/>
      <c r="LH274" s="333"/>
      <c r="LI274" s="333"/>
      <c r="LJ274" s="333"/>
      <c r="LK274" s="333"/>
      <c r="LL274" s="333"/>
      <c r="LM274" s="333"/>
      <c r="LN274" s="333"/>
      <c r="LO274" s="333"/>
      <c r="LP274" s="333"/>
      <c r="LQ274" s="333"/>
      <c r="LR274" s="333"/>
      <c r="LS274" s="333"/>
      <c r="LT274" s="333"/>
      <c r="LU274" s="334"/>
      <c r="LV274" s="287"/>
      <c r="LW274" s="288"/>
      <c r="LX274" s="288"/>
      <c r="LY274" s="288"/>
      <c r="LZ274" s="288"/>
      <c r="MA274" s="288"/>
      <c r="MB274" s="288"/>
      <c r="MC274" s="288"/>
      <c r="MD274" s="288"/>
      <c r="ME274" s="288"/>
      <c r="MF274" s="288"/>
      <c r="MG274" s="289"/>
      <c r="MK274" s="12"/>
      <c r="ML274" s="7"/>
    </row>
    <row r="275" spans="3:350" ht="5.0999999999999996" customHeight="1" x14ac:dyDescent="0.3">
      <c r="C275" s="11"/>
      <c r="D275" s="13"/>
      <c r="E275" s="2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271"/>
      <c r="AG275" s="270"/>
      <c r="AH275" s="170"/>
      <c r="AI275" s="170"/>
      <c r="AJ275" s="170"/>
      <c r="AK275" s="170"/>
      <c r="AL275" s="170"/>
      <c r="AM275" s="170"/>
      <c r="AN275" s="170"/>
      <c r="AO275" s="170"/>
      <c r="AP275" s="170"/>
      <c r="AQ275" s="170"/>
      <c r="AR275" s="170"/>
      <c r="AS275" s="170"/>
      <c r="AT275" s="170"/>
      <c r="AU275" s="170"/>
      <c r="AV275" s="170"/>
      <c r="AW275" s="170"/>
      <c r="AX275" s="170"/>
      <c r="AY275" s="170"/>
      <c r="AZ275" s="170"/>
      <c r="BA275" s="170"/>
      <c r="BB275" s="170"/>
      <c r="BC275" s="170"/>
      <c r="BD275" s="170"/>
      <c r="BE275" s="170"/>
      <c r="BF275" s="170"/>
      <c r="BG275" s="170"/>
      <c r="BH275" s="271"/>
      <c r="BI275" s="270"/>
      <c r="BJ275" s="170"/>
      <c r="BK275" s="170"/>
      <c r="BL275" s="170"/>
      <c r="BM275" s="170"/>
      <c r="BN275" s="170"/>
      <c r="BO275" s="170"/>
      <c r="BP275" s="170"/>
      <c r="BQ275" s="170"/>
      <c r="BR275" s="170"/>
      <c r="BS275" s="170"/>
      <c r="BT275" s="170"/>
      <c r="BU275" s="170"/>
      <c r="BV275" s="170"/>
      <c r="BW275" s="170"/>
      <c r="BX275" s="170"/>
      <c r="BY275" s="170"/>
      <c r="BZ275" s="170"/>
      <c r="CA275" s="170"/>
      <c r="CB275" s="170"/>
      <c r="CC275" s="170"/>
      <c r="CD275" s="170"/>
      <c r="CE275" s="170"/>
      <c r="CF275" s="170"/>
      <c r="CG275" s="170"/>
      <c r="CH275" s="170"/>
      <c r="CI275" s="170"/>
      <c r="CJ275" s="271"/>
      <c r="JX275" s="332"/>
      <c r="JY275" s="333"/>
      <c r="JZ275" s="333"/>
      <c r="KA275" s="333"/>
      <c r="KB275" s="333"/>
      <c r="KC275" s="333"/>
      <c r="KD275" s="333"/>
      <c r="KE275" s="333"/>
      <c r="KF275" s="333"/>
      <c r="KG275" s="333"/>
      <c r="KH275" s="333"/>
      <c r="KI275" s="333"/>
      <c r="KJ275" s="333"/>
      <c r="KK275" s="333"/>
      <c r="KL275" s="333"/>
      <c r="KM275" s="333"/>
      <c r="KN275" s="333"/>
      <c r="KO275" s="333"/>
      <c r="KP275" s="333"/>
      <c r="KQ275" s="333"/>
      <c r="KR275" s="333"/>
      <c r="KS275" s="333"/>
      <c r="KT275" s="333"/>
      <c r="KU275" s="333"/>
      <c r="KV275" s="333"/>
      <c r="KW275" s="333"/>
      <c r="KX275" s="333"/>
      <c r="KY275" s="333"/>
      <c r="KZ275" s="333"/>
      <c r="LA275" s="333"/>
      <c r="LB275" s="333"/>
      <c r="LC275" s="333"/>
      <c r="LD275" s="333"/>
      <c r="LE275" s="333"/>
      <c r="LF275" s="333"/>
      <c r="LG275" s="333"/>
      <c r="LH275" s="333"/>
      <c r="LI275" s="333"/>
      <c r="LJ275" s="333"/>
      <c r="LK275" s="333"/>
      <c r="LL275" s="333"/>
      <c r="LM275" s="333"/>
      <c r="LN275" s="333"/>
      <c r="LO275" s="333"/>
      <c r="LP275" s="333"/>
      <c r="LQ275" s="333"/>
      <c r="LR275" s="333"/>
      <c r="LS275" s="333"/>
      <c r="LT275" s="333"/>
      <c r="LU275" s="334"/>
      <c r="LV275" s="287"/>
      <c r="LW275" s="288"/>
      <c r="LX275" s="288"/>
      <c r="LY275" s="288"/>
      <c r="LZ275" s="288"/>
      <c r="MA275" s="288"/>
      <c r="MB275" s="288"/>
      <c r="MC275" s="288"/>
      <c r="MD275" s="288"/>
      <c r="ME275" s="288"/>
      <c r="MF275" s="288"/>
      <c r="MG275" s="289"/>
      <c r="MK275" s="12"/>
      <c r="ML275" s="7"/>
    </row>
    <row r="276" spans="3:350" ht="5.0999999999999996" customHeight="1" thickBot="1" x14ac:dyDescent="0.35">
      <c r="C276" s="11"/>
      <c r="D276" s="13"/>
      <c r="E276" s="2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  <c r="AF276" s="271"/>
      <c r="AG276" s="270"/>
      <c r="AH276" s="170"/>
      <c r="AI276" s="170"/>
      <c r="AJ276" s="170"/>
      <c r="AK276" s="170"/>
      <c r="AL276" s="170"/>
      <c r="AM276" s="170"/>
      <c r="AN276" s="170"/>
      <c r="AO276" s="170"/>
      <c r="AP276" s="170"/>
      <c r="AQ276" s="170"/>
      <c r="AR276" s="170"/>
      <c r="AS276" s="170"/>
      <c r="AT276" s="170"/>
      <c r="AU276" s="170"/>
      <c r="AV276" s="170"/>
      <c r="AW276" s="170"/>
      <c r="AX276" s="170"/>
      <c r="AY276" s="170"/>
      <c r="AZ276" s="170"/>
      <c r="BA276" s="170"/>
      <c r="BB276" s="170"/>
      <c r="BC276" s="170"/>
      <c r="BD276" s="170"/>
      <c r="BE276" s="170"/>
      <c r="BF276" s="170"/>
      <c r="BG276" s="170"/>
      <c r="BH276" s="271"/>
      <c r="BI276" s="270"/>
      <c r="BJ276" s="170"/>
      <c r="BK276" s="170"/>
      <c r="BL276" s="170"/>
      <c r="BM276" s="170"/>
      <c r="BN276" s="170"/>
      <c r="BO276" s="170"/>
      <c r="BP276" s="170"/>
      <c r="BQ276" s="170"/>
      <c r="BR276" s="170"/>
      <c r="BS276" s="170"/>
      <c r="BT276" s="170"/>
      <c r="BU276" s="170"/>
      <c r="BV276" s="170"/>
      <c r="BW276" s="170"/>
      <c r="BX276" s="170"/>
      <c r="BY276" s="170"/>
      <c r="BZ276" s="170"/>
      <c r="CA276" s="170"/>
      <c r="CB276" s="170"/>
      <c r="CC276" s="170"/>
      <c r="CD276" s="170"/>
      <c r="CE276" s="170"/>
      <c r="CF276" s="170"/>
      <c r="CG276" s="170"/>
      <c r="CH276" s="170"/>
      <c r="CI276" s="170"/>
      <c r="CJ276" s="271"/>
      <c r="JX276" s="335"/>
      <c r="JY276" s="336"/>
      <c r="JZ276" s="336"/>
      <c r="KA276" s="336"/>
      <c r="KB276" s="336"/>
      <c r="KC276" s="336"/>
      <c r="KD276" s="336"/>
      <c r="KE276" s="336"/>
      <c r="KF276" s="336"/>
      <c r="KG276" s="336"/>
      <c r="KH276" s="336"/>
      <c r="KI276" s="336"/>
      <c r="KJ276" s="336"/>
      <c r="KK276" s="336"/>
      <c r="KL276" s="336"/>
      <c r="KM276" s="336"/>
      <c r="KN276" s="336"/>
      <c r="KO276" s="336"/>
      <c r="KP276" s="336"/>
      <c r="KQ276" s="336"/>
      <c r="KR276" s="336"/>
      <c r="KS276" s="336"/>
      <c r="KT276" s="336"/>
      <c r="KU276" s="336"/>
      <c r="KV276" s="336"/>
      <c r="KW276" s="336"/>
      <c r="KX276" s="336"/>
      <c r="KY276" s="336"/>
      <c r="KZ276" s="336"/>
      <c r="LA276" s="336"/>
      <c r="LB276" s="336"/>
      <c r="LC276" s="336"/>
      <c r="LD276" s="336"/>
      <c r="LE276" s="336"/>
      <c r="LF276" s="336"/>
      <c r="LG276" s="336"/>
      <c r="LH276" s="336"/>
      <c r="LI276" s="336"/>
      <c r="LJ276" s="336"/>
      <c r="LK276" s="336"/>
      <c r="LL276" s="336"/>
      <c r="LM276" s="336"/>
      <c r="LN276" s="336"/>
      <c r="LO276" s="336"/>
      <c r="LP276" s="336"/>
      <c r="LQ276" s="336"/>
      <c r="LR276" s="336"/>
      <c r="LS276" s="336"/>
      <c r="LT276" s="336"/>
      <c r="LU276" s="337"/>
      <c r="LV276" s="290"/>
      <c r="LW276" s="291"/>
      <c r="LX276" s="291"/>
      <c r="LY276" s="291"/>
      <c r="LZ276" s="291"/>
      <c r="MA276" s="291"/>
      <c r="MB276" s="291"/>
      <c r="MC276" s="291"/>
      <c r="MD276" s="291"/>
      <c r="ME276" s="291"/>
      <c r="MF276" s="291"/>
      <c r="MG276" s="292"/>
      <c r="MK276" s="12"/>
      <c r="ML276" s="7"/>
    </row>
    <row r="277" spans="3:350" ht="5.0999999999999996" customHeight="1" x14ac:dyDescent="0.3">
      <c r="C277" s="11"/>
      <c r="D277" s="13"/>
      <c r="E277" s="2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  <c r="AF277" s="271"/>
      <c r="AG277" s="270"/>
      <c r="AH277" s="170"/>
      <c r="AI277" s="170"/>
      <c r="AJ277" s="170"/>
      <c r="AK277" s="170"/>
      <c r="AL277" s="170"/>
      <c r="AM277" s="170"/>
      <c r="AN277" s="170"/>
      <c r="AO277" s="170"/>
      <c r="AP277" s="170"/>
      <c r="AQ277" s="170"/>
      <c r="AR277" s="170"/>
      <c r="AS277" s="170"/>
      <c r="AT277" s="170"/>
      <c r="AU277" s="170"/>
      <c r="AV277" s="170"/>
      <c r="AW277" s="170"/>
      <c r="AX277" s="170"/>
      <c r="AY277" s="170"/>
      <c r="AZ277" s="170"/>
      <c r="BA277" s="170"/>
      <c r="BB277" s="170"/>
      <c r="BC277" s="170"/>
      <c r="BD277" s="170"/>
      <c r="BE277" s="170"/>
      <c r="BF277" s="170"/>
      <c r="BG277" s="170"/>
      <c r="BH277" s="271"/>
      <c r="BI277" s="270"/>
      <c r="BJ277" s="170"/>
      <c r="BK277" s="170"/>
      <c r="BL277" s="170"/>
      <c r="BM277" s="170"/>
      <c r="BN277" s="170"/>
      <c r="BO277" s="170"/>
      <c r="BP277" s="170"/>
      <c r="BQ277" s="170"/>
      <c r="BR277" s="170"/>
      <c r="BS277" s="170"/>
      <c r="BT277" s="170"/>
      <c r="BU277" s="170"/>
      <c r="BV277" s="170"/>
      <c r="BW277" s="170"/>
      <c r="BX277" s="170"/>
      <c r="BY277" s="170"/>
      <c r="BZ277" s="170"/>
      <c r="CA277" s="170"/>
      <c r="CB277" s="170"/>
      <c r="CC277" s="170"/>
      <c r="CD277" s="170"/>
      <c r="CE277" s="170"/>
      <c r="CF277" s="170"/>
      <c r="CG277" s="170"/>
      <c r="CH277" s="170"/>
      <c r="CI277" s="170"/>
      <c r="CJ277" s="271"/>
      <c r="MK277" s="12"/>
      <c r="ML277" s="7"/>
    </row>
    <row r="278" spans="3:350" ht="5.0999999999999996" customHeight="1" thickBot="1" x14ac:dyDescent="0.35">
      <c r="C278" s="11"/>
      <c r="D278" s="13"/>
      <c r="E278" s="272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4"/>
      <c r="AG278" s="272"/>
      <c r="AH278" s="273"/>
      <c r="AI278" s="273"/>
      <c r="AJ278" s="273"/>
      <c r="AK278" s="273"/>
      <c r="AL278" s="273"/>
      <c r="AM278" s="273"/>
      <c r="AN278" s="273"/>
      <c r="AO278" s="273"/>
      <c r="AP278" s="273"/>
      <c r="AQ278" s="273"/>
      <c r="AR278" s="273"/>
      <c r="AS278" s="273"/>
      <c r="AT278" s="273"/>
      <c r="AU278" s="273"/>
      <c r="AV278" s="273"/>
      <c r="AW278" s="273"/>
      <c r="AX278" s="273"/>
      <c r="AY278" s="273"/>
      <c r="AZ278" s="273"/>
      <c r="BA278" s="273"/>
      <c r="BB278" s="273"/>
      <c r="BC278" s="273"/>
      <c r="BD278" s="273"/>
      <c r="BE278" s="273"/>
      <c r="BF278" s="273"/>
      <c r="BG278" s="273"/>
      <c r="BH278" s="274"/>
      <c r="BI278" s="272"/>
      <c r="BJ278" s="273"/>
      <c r="BK278" s="273"/>
      <c r="BL278" s="273"/>
      <c r="BM278" s="273"/>
      <c r="BN278" s="273"/>
      <c r="BO278" s="273"/>
      <c r="BP278" s="273"/>
      <c r="BQ278" s="273"/>
      <c r="BR278" s="273"/>
      <c r="BS278" s="273"/>
      <c r="BT278" s="273"/>
      <c r="BU278" s="273"/>
      <c r="BV278" s="273"/>
      <c r="BW278" s="273"/>
      <c r="BX278" s="273"/>
      <c r="BY278" s="273"/>
      <c r="BZ278" s="273"/>
      <c r="CA278" s="273"/>
      <c r="CB278" s="273"/>
      <c r="CC278" s="273"/>
      <c r="CD278" s="273"/>
      <c r="CE278" s="273"/>
      <c r="CF278" s="273"/>
      <c r="CG278" s="273"/>
      <c r="CH278" s="273"/>
      <c r="CI278" s="273"/>
      <c r="CJ278" s="274"/>
      <c r="MK278" s="12"/>
      <c r="ML278" s="7"/>
    </row>
    <row r="279" spans="3:350" ht="5.0999999999999996" customHeight="1" x14ac:dyDescent="0.3">
      <c r="C279" s="11"/>
      <c r="D279" s="13"/>
      <c r="E279" s="267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  <c r="AA279" s="268"/>
      <c r="AB279" s="268"/>
      <c r="AC279" s="268"/>
      <c r="AD279" s="268"/>
      <c r="AE279" s="268"/>
      <c r="AF279" s="269"/>
      <c r="AG279" s="267"/>
      <c r="AH279" s="268"/>
      <c r="AI279" s="268"/>
      <c r="AJ279" s="268"/>
      <c r="AK279" s="268"/>
      <c r="AL279" s="268"/>
      <c r="AM279" s="268"/>
      <c r="AN279" s="268"/>
      <c r="AO279" s="268"/>
      <c r="AP279" s="268"/>
      <c r="AQ279" s="268"/>
      <c r="AR279" s="268"/>
      <c r="AS279" s="268"/>
      <c r="AT279" s="268"/>
      <c r="AU279" s="268"/>
      <c r="AV279" s="268"/>
      <c r="AW279" s="268"/>
      <c r="AX279" s="268"/>
      <c r="AY279" s="268"/>
      <c r="AZ279" s="268"/>
      <c r="BA279" s="268"/>
      <c r="BB279" s="268"/>
      <c r="BC279" s="268"/>
      <c r="BD279" s="268"/>
      <c r="BE279" s="268"/>
      <c r="BF279" s="268"/>
      <c r="BG279" s="268"/>
      <c r="BH279" s="269"/>
      <c r="BI279" s="267"/>
      <c r="BJ279" s="268"/>
      <c r="BK279" s="268"/>
      <c r="BL279" s="268"/>
      <c r="BM279" s="268"/>
      <c r="BN279" s="268"/>
      <c r="BO279" s="268"/>
      <c r="BP279" s="268"/>
      <c r="BQ279" s="268"/>
      <c r="BR279" s="268"/>
      <c r="BS279" s="268"/>
      <c r="BT279" s="268"/>
      <c r="BU279" s="268"/>
      <c r="BV279" s="268"/>
      <c r="BW279" s="268"/>
      <c r="BX279" s="268"/>
      <c r="BY279" s="268"/>
      <c r="BZ279" s="268"/>
      <c r="CA279" s="268"/>
      <c r="CB279" s="268"/>
      <c r="CC279" s="268"/>
      <c r="CD279" s="268"/>
      <c r="CE279" s="268"/>
      <c r="CF279" s="268"/>
      <c r="CG279" s="268"/>
      <c r="CH279" s="268"/>
      <c r="CI279" s="268"/>
      <c r="CJ279" s="269"/>
      <c r="MK279" s="12"/>
      <c r="ML279" s="7"/>
    </row>
    <row r="280" spans="3:350" ht="5.0999999999999996" customHeight="1" thickBot="1" x14ac:dyDescent="0.35">
      <c r="C280" s="11"/>
      <c r="D280" s="13"/>
      <c r="E280" s="2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  <c r="AF280" s="271"/>
      <c r="AG280" s="270"/>
      <c r="AH280" s="170"/>
      <c r="AI280" s="170"/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70"/>
      <c r="AV280" s="170"/>
      <c r="AW280" s="170"/>
      <c r="AX280" s="170"/>
      <c r="AY280" s="170"/>
      <c r="AZ280" s="170"/>
      <c r="BA280" s="170"/>
      <c r="BB280" s="170"/>
      <c r="BC280" s="170"/>
      <c r="BD280" s="170"/>
      <c r="BE280" s="170"/>
      <c r="BF280" s="170"/>
      <c r="BG280" s="170"/>
      <c r="BH280" s="271"/>
      <c r="BI280" s="270"/>
      <c r="BJ280" s="170"/>
      <c r="BK280" s="170"/>
      <c r="BL280" s="170"/>
      <c r="BM280" s="170"/>
      <c r="BN280" s="170"/>
      <c r="BO280" s="170"/>
      <c r="BP280" s="170"/>
      <c r="BQ280" s="170"/>
      <c r="BR280" s="170"/>
      <c r="BS280" s="170"/>
      <c r="BT280" s="170"/>
      <c r="BU280" s="170"/>
      <c r="BV280" s="170"/>
      <c r="BW280" s="170"/>
      <c r="BX280" s="170"/>
      <c r="BY280" s="170"/>
      <c r="BZ280" s="170"/>
      <c r="CA280" s="170"/>
      <c r="CB280" s="170"/>
      <c r="CC280" s="170"/>
      <c r="CD280" s="170"/>
      <c r="CE280" s="170"/>
      <c r="CF280" s="170"/>
      <c r="CG280" s="170"/>
      <c r="CH280" s="170"/>
      <c r="CI280" s="170"/>
      <c r="CJ280" s="271"/>
      <c r="MK280" s="12"/>
      <c r="ML280" s="7"/>
    </row>
    <row r="281" spans="3:350" ht="5.0999999999999996" customHeight="1" x14ac:dyDescent="0.3">
      <c r="C281" s="11"/>
      <c r="D281" s="13"/>
      <c r="E281" s="2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  <c r="AF281" s="271"/>
      <c r="AG281" s="270"/>
      <c r="AH281" s="170"/>
      <c r="AI281" s="170"/>
      <c r="AJ281" s="170"/>
      <c r="AK281" s="170"/>
      <c r="AL281" s="170"/>
      <c r="AM281" s="170"/>
      <c r="AN281" s="170"/>
      <c r="AO281" s="170"/>
      <c r="AP281" s="170"/>
      <c r="AQ281" s="170"/>
      <c r="AR281" s="170"/>
      <c r="AS281" s="170"/>
      <c r="AT281" s="170"/>
      <c r="AU281" s="170"/>
      <c r="AV281" s="170"/>
      <c r="AW281" s="170"/>
      <c r="AX281" s="170"/>
      <c r="AY281" s="170"/>
      <c r="AZ281" s="170"/>
      <c r="BA281" s="170"/>
      <c r="BB281" s="170"/>
      <c r="BC281" s="170"/>
      <c r="BD281" s="170"/>
      <c r="BE281" s="170"/>
      <c r="BF281" s="170"/>
      <c r="BG281" s="170"/>
      <c r="BH281" s="271"/>
      <c r="BI281" s="270"/>
      <c r="BJ281" s="170"/>
      <c r="BK281" s="170"/>
      <c r="BL281" s="170"/>
      <c r="BM281" s="170"/>
      <c r="BN281" s="170"/>
      <c r="BO281" s="170"/>
      <c r="BP281" s="170"/>
      <c r="BQ281" s="170"/>
      <c r="BR281" s="170"/>
      <c r="BS281" s="170"/>
      <c r="BT281" s="170"/>
      <c r="BU281" s="170"/>
      <c r="BV281" s="170"/>
      <c r="BW281" s="170"/>
      <c r="BX281" s="170"/>
      <c r="BY281" s="170"/>
      <c r="BZ281" s="170"/>
      <c r="CA281" s="170"/>
      <c r="CB281" s="170"/>
      <c r="CC281" s="170"/>
      <c r="CD281" s="170"/>
      <c r="CE281" s="170"/>
      <c r="CF281" s="170"/>
      <c r="CG281" s="170"/>
      <c r="CH281" s="170"/>
      <c r="CI281" s="170"/>
      <c r="CJ281" s="271"/>
      <c r="JB281" s="267" t="s">
        <v>25</v>
      </c>
      <c r="JC281" s="268"/>
      <c r="JD281" s="268"/>
      <c r="JE281" s="268"/>
      <c r="JF281" s="268"/>
      <c r="JG281" s="268"/>
      <c r="JH281" s="268"/>
      <c r="JI281" s="268"/>
      <c r="JJ281" s="268"/>
      <c r="JK281" s="268"/>
      <c r="JL281" s="268"/>
      <c r="JM281" s="268"/>
      <c r="JN281" s="268"/>
      <c r="JO281" s="268"/>
      <c r="JP281" s="268"/>
      <c r="JQ281" s="268"/>
      <c r="JR281" s="268"/>
      <c r="JS281" s="268"/>
      <c r="JT281" s="268"/>
      <c r="JU281" s="268"/>
      <c r="JV281" s="268"/>
      <c r="JW281" s="268"/>
      <c r="JX281" s="268"/>
      <c r="JY281" s="268"/>
      <c r="JZ281" s="268"/>
      <c r="KA281" s="268"/>
      <c r="KB281" s="268"/>
      <c r="KC281" s="269"/>
      <c r="KD281" s="267" t="s">
        <v>151</v>
      </c>
      <c r="KE281" s="268"/>
      <c r="KF281" s="268"/>
      <c r="KG281" s="268"/>
      <c r="KH281" s="268"/>
      <c r="KI281" s="268"/>
      <c r="KJ281" s="268"/>
      <c r="KK281" s="268"/>
      <c r="KL281" s="268"/>
      <c r="KM281" s="268"/>
      <c r="KN281" s="268"/>
      <c r="KO281" s="268"/>
      <c r="KP281" s="268"/>
      <c r="KQ281" s="268"/>
      <c r="KR281" s="268"/>
      <c r="KS281" s="268"/>
      <c r="KT281" s="268"/>
      <c r="KU281" s="268"/>
      <c r="KV281" s="268"/>
      <c r="KW281" s="268"/>
      <c r="KX281" s="268"/>
      <c r="KY281" s="268"/>
      <c r="KZ281" s="268"/>
      <c r="LA281" s="268"/>
      <c r="LB281" s="268"/>
      <c r="LC281" s="268"/>
      <c r="LD281" s="268"/>
      <c r="LE281" s="269"/>
      <c r="LF281" s="267" t="s">
        <v>150</v>
      </c>
      <c r="LG281" s="268"/>
      <c r="LH281" s="268"/>
      <c r="LI281" s="268"/>
      <c r="LJ281" s="268"/>
      <c r="LK281" s="268"/>
      <c r="LL281" s="268"/>
      <c r="LM281" s="268"/>
      <c r="LN281" s="268"/>
      <c r="LO281" s="268"/>
      <c r="LP281" s="268"/>
      <c r="LQ281" s="268"/>
      <c r="LR281" s="268"/>
      <c r="LS281" s="268"/>
      <c r="LT281" s="268"/>
      <c r="LU281" s="268"/>
      <c r="LV281" s="268"/>
      <c r="LW281" s="268"/>
      <c r="LX281" s="268"/>
      <c r="LY281" s="268"/>
      <c r="LZ281" s="268"/>
      <c r="MA281" s="268"/>
      <c r="MB281" s="268"/>
      <c r="MC281" s="268"/>
      <c r="MD281" s="268"/>
      <c r="ME281" s="268"/>
      <c r="MF281" s="268"/>
      <c r="MG281" s="269"/>
      <c r="MK281" s="12"/>
      <c r="ML281" s="7"/>
    </row>
    <row r="282" spans="3:350" ht="5.0999999999999996" customHeight="1" x14ac:dyDescent="0.3">
      <c r="C282" s="11"/>
      <c r="D282" s="13"/>
      <c r="E282" s="2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  <c r="AF282" s="271"/>
      <c r="AG282" s="270"/>
      <c r="AH282" s="170"/>
      <c r="AI282" s="170"/>
      <c r="AJ282" s="170"/>
      <c r="AK282" s="170"/>
      <c r="AL282" s="170"/>
      <c r="AM282" s="170"/>
      <c r="AN282" s="170"/>
      <c r="AO282" s="170"/>
      <c r="AP282" s="170"/>
      <c r="AQ282" s="170"/>
      <c r="AR282" s="170"/>
      <c r="AS282" s="170"/>
      <c r="AT282" s="170"/>
      <c r="AU282" s="170"/>
      <c r="AV282" s="170"/>
      <c r="AW282" s="170"/>
      <c r="AX282" s="170"/>
      <c r="AY282" s="170"/>
      <c r="AZ282" s="170"/>
      <c r="BA282" s="170"/>
      <c r="BB282" s="170"/>
      <c r="BC282" s="170"/>
      <c r="BD282" s="170"/>
      <c r="BE282" s="170"/>
      <c r="BF282" s="170"/>
      <c r="BG282" s="170"/>
      <c r="BH282" s="271"/>
      <c r="BI282" s="270"/>
      <c r="BJ282" s="170"/>
      <c r="BK282" s="170"/>
      <c r="BL282" s="170"/>
      <c r="BM282" s="170"/>
      <c r="BN282" s="170"/>
      <c r="BO282" s="170"/>
      <c r="BP282" s="170"/>
      <c r="BQ282" s="170"/>
      <c r="BR282" s="170"/>
      <c r="BS282" s="170"/>
      <c r="BT282" s="170"/>
      <c r="BU282" s="170"/>
      <c r="BV282" s="170"/>
      <c r="BW282" s="170"/>
      <c r="BX282" s="170"/>
      <c r="BY282" s="170"/>
      <c r="BZ282" s="170"/>
      <c r="CA282" s="170"/>
      <c r="CB282" s="170"/>
      <c r="CC282" s="170"/>
      <c r="CD282" s="170"/>
      <c r="CE282" s="170"/>
      <c r="CF282" s="170"/>
      <c r="CG282" s="170"/>
      <c r="CH282" s="170"/>
      <c r="CI282" s="170"/>
      <c r="CJ282" s="271"/>
      <c r="JB282" s="270"/>
      <c r="JC282" s="170"/>
      <c r="JD282" s="170"/>
      <c r="JE282" s="170"/>
      <c r="JF282" s="170"/>
      <c r="JG282" s="170"/>
      <c r="JH282" s="170"/>
      <c r="JI282" s="170"/>
      <c r="JJ282" s="170"/>
      <c r="JK282" s="170"/>
      <c r="JL282" s="170"/>
      <c r="JM282" s="170"/>
      <c r="JN282" s="170"/>
      <c r="JO282" s="170"/>
      <c r="JP282" s="170"/>
      <c r="JQ282" s="170"/>
      <c r="JR282" s="170"/>
      <c r="JS282" s="170"/>
      <c r="JT282" s="170"/>
      <c r="JU282" s="170"/>
      <c r="JV282" s="170"/>
      <c r="JW282" s="170"/>
      <c r="JX282" s="170"/>
      <c r="JY282" s="170"/>
      <c r="JZ282" s="170"/>
      <c r="KA282" s="170"/>
      <c r="KB282" s="170"/>
      <c r="KC282" s="271"/>
      <c r="KD282" s="270"/>
      <c r="KE282" s="170"/>
      <c r="KF282" s="170"/>
      <c r="KG282" s="170"/>
      <c r="KH282" s="170"/>
      <c r="KI282" s="170"/>
      <c r="KJ282" s="170"/>
      <c r="KK282" s="170"/>
      <c r="KL282" s="170"/>
      <c r="KM282" s="170"/>
      <c r="KN282" s="170"/>
      <c r="KO282" s="170"/>
      <c r="KP282" s="170"/>
      <c r="KQ282" s="170"/>
      <c r="KR282" s="170"/>
      <c r="KS282" s="170"/>
      <c r="KT282" s="170"/>
      <c r="KU282" s="170"/>
      <c r="KV282" s="170"/>
      <c r="KW282" s="170"/>
      <c r="KX282" s="170"/>
      <c r="KY282" s="170"/>
      <c r="KZ282" s="170"/>
      <c r="LA282" s="170"/>
      <c r="LB282" s="170"/>
      <c r="LC282" s="170"/>
      <c r="LD282" s="170"/>
      <c r="LE282" s="271"/>
      <c r="LF282" s="270"/>
      <c r="LG282" s="170"/>
      <c r="LH282" s="170"/>
      <c r="LI282" s="170"/>
      <c r="LJ282" s="170"/>
      <c r="LK282" s="170"/>
      <c r="LL282" s="170"/>
      <c r="LM282" s="170"/>
      <c r="LN282" s="170"/>
      <c r="LO282" s="170"/>
      <c r="LP282" s="170"/>
      <c r="LQ282" s="170"/>
      <c r="LR282" s="170"/>
      <c r="LS282" s="170"/>
      <c r="LT282" s="170"/>
      <c r="LU282" s="170"/>
      <c r="LV282" s="170"/>
      <c r="LW282" s="170"/>
      <c r="LX282" s="170"/>
      <c r="LY282" s="170"/>
      <c r="LZ282" s="170"/>
      <c r="MA282" s="170"/>
      <c r="MB282" s="170"/>
      <c r="MC282" s="170"/>
      <c r="MD282" s="170"/>
      <c r="ME282" s="170"/>
      <c r="MF282" s="170"/>
      <c r="MG282" s="271"/>
      <c r="MK282" s="12"/>
      <c r="ML282" s="7"/>
    </row>
    <row r="283" spans="3:350" ht="5.0999999999999996" customHeight="1" thickBot="1" x14ac:dyDescent="0.35">
      <c r="C283" s="11"/>
      <c r="D283" s="13"/>
      <c r="E283" s="272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74"/>
      <c r="AG283" s="272"/>
      <c r="AH283" s="273"/>
      <c r="AI283" s="273"/>
      <c r="AJ283" s="273"/>
      <c r="AK283" s="273"/>
      <c r="AL283" s="273"/>
      <c r="AM283" s="273"/>
      <c r="AN283" s="273"/>
      <c r="AO283" s="273"/>
      <c r="AP283" s="273"/>
      <c r="AQ283" s="273"/>
      <c r="AR283" s="273"/>
      <c r="AS283" s="273"/>
      <c r="AT283" s="273"/>
      <c r="AU283" s="273"/>
      <c r="AV283" s="273"/>
      <c r="AW283" s="273"/>
      <c r="AX283" s="273"/>
      <c r="AY283" s="273"/>
      <c r="AZ283" s="273"/>
      <c r="BA283" s="273"/>
      <c r="BB283" s="273"/>
      <c r="BC283" s="273"/>
      <c r="BD283" s="273"/>
      <c r="BE283" s="273"/>
      <c r="BF283" s="273"/>
      <c r="BG283" s="273"/>
      <c r="BH283" s="274"/>
      <c r="BI283" s="272"/>
      <c r="BJ283" s="273"/>
      <c r="BK283" s="273"/>
      <c r="BL283" s="273"/>
      <c r="BM283" s="273"/>
      <c r="BN283" s="273"/>
      <c r="BO283" s="273"/>
      <c r="BP283" s="273"/>
      <c r="BQ283" s="273"/>
      <c r="BR283" s="273"/>
      <c r="BS283" s="273"/>
      <c r="BT283" s="273"/>
      <c r="BU283" s="273"/>
      <c r="BV283" s="273"/>
      <c r="BW283" s="273"/>
      <c r="BX283" s="273"/>
      <c r="BY283" s="273"/>
      <c r="BZ283" s="273"/>
      <c r="CA283" s="273"/>
      <c r="CB283" s="273"/>
      <c r="CC283" s="273"/>
      <c r="CD283" s="273"/>
      <c r="CE283" s="273"/>
      <c r="CF283" s="273"/>
      <c r="CG283" s="273"/>
      <c r="CH283" s="273"/>
      <c r="CI283" s="273"/>
      <c r="CJ283" s="274"/>
      <c r="JB283" s="270"/>
      <c r="JC283" s="170"/>
      <c r="JD283" s="170"/>
      <c r="JE283" s="170"/>
      <c r="JF283" s="170"/>
      <c r="JG283" s="170"/>
      <c r="JH283" s="170"/>
      <c r="JI283" s="170"/>
      <c r="JJ283" s="170"/>
      <c r="JK283" s="170"/>
      <c r="JL283" s="170"/>
      <c r="JM283" s="170"/>
      <c r="JN283" s="170"/>
      <c r="JO283" s="170"/>
      <c r="JP283" s="170"/>
      <c r="JQ283" s="170"/>
      <c r="JR283" s="170"/>
      <c r="JS283" s="170"/>
      <c r="JT283" s="170"/>
      <c r="JU283" s="170"/>
      <c r="JV283" s="170"/>
      <c r="JW283" s="170"/>
      <c r="JX283" s="170"/>
      <c r="JY283" s="170"/>
      <c r="JZ283" s="170"/>
      <c r="KA283" s="170"/>
      <c r="KB283" s="170"/>
      <c r="KC283" s="271"/>
      <c r="KD283" s="270"/>
      <c r="KE283" s="170"/>
      <c r="KF283" s="170"/>
      <c r="KG283" s="170"/>
      <c r="KH283" s="170"/>
      <c r="KI283" s="170"/>
      <c r="KJ283" s="170"/>
      <c r="KK283" s="170"/>
      <c r="KL283" s="170"/>
      <c r="KM283" s="170"/>
      <c r="KN283" s="170"/>
      <c r="KO283" s="170"/>
      <c r="KP283" s="170"/>
      <c r="KQ283" s="170"/>
      <c r="KR283" s="170"/>
      <c r="KS283" s="170"/>
      <c r="KT283" s="170"/>
      <c r="KU283" s="170"/>
      <c r="KV283" s="170"/>
      <c r="KW283" s="170"/>
      <c r="KX283" s="170"/>
      <c r="KY283" s="170"/>
      <c r="KZ283" s="170"/>
      <c r="LA283" s="170"/>
      <c r="LB283" s="170"/>
      <c r="LC283" s="170"/>
      <c r="LD283" s="170"/>
      <c r="LE283" s="271"/>
      <c r="LF283" s="270"/>
      <c r="LG283" s="170"/>
      <c r="LH283" s="170"/>
      <c r="LI283" s="170"/>
      <c r="LJ283" s="170"/>
      <c r="LK283" s="170"/>
      <c r="LL283" s="170"/>
      <c r="LM283" s="170"/>
      <c r="LN283" s="170"/>
      <c r="LO283" s="170"/>
      <c r="LP283" s="170"/>
      <c r="LQ283" s="170"/>
      <c r="LR283" s="170"/>
      <c r="LS283" s="170"/>
      <c r="LT283" s="170"/>
      <c r="LU283" s="170"/>
      <c r="LV283" s="170"/>
      <c r="LW283" s="170"/>
      <c r="LX283" s="170"/>
      <c r="LY283" s="170"/>
      <c r="LZ283" s="170"/>
      <c r="MA283" s="170"/>
      <c r="MB283" s="170"/>
      <c r="MC283" s="170"/>
      <c r="MD283" s="170"/>
      <c r="ME283" s="170"/>
      <c r="MF283" s="170"/>
      <c r="MG283" s="271"/>
      <c r="MK283" s="12"/>
      <c r="ML283" s="7"/>
    </row>
    <row r="284" spans="3:350" ht="5.0999999999999996" customHeight="1" x14ac:dyDescent="0.3">
      <c r="C284" s="11"/>
      <c r="D284" s="13"/>
      <c r="E284" s="267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  <c r="AA284" s="268"/>
      <c r="AB284" s="268"/>
      <c r="AC284" s="268"/>
      <c r="AD284" s="268"/>
      <c r="AE284" s="268"/>
      <c r="AF284" s="269"/>
      <c r="AG284" s="267"/>
      <c r="AH284" s="268"/>
      <c r="AI284" s="268"/>
      <c r="AJ284" s="268"/>
      <c r="AK284" s="268"/>
      <c r="AL284" s="268"/>
      <c r="AM284" s="268"/>
      <c r="AN284" s="268"/>
      <c r="AO284" s="268"/>
      <c r="AP284" s="268"/>
      <c r="AQ284" s="268"/>
      <c r="AR284" s="268"/>
      <c r="AS284" s="268"/>
      <c r="AT284" s="268"/>
      <c r="AU284" s="268"/>
      <c r="AV284" s="268"/>
      <c r="AW284" s="268"/>
      <c r="AX284" s="268"/>
      <c r="AY284" s="268"/>
      <c r="AZ284" s="268"/>
      <c r="BA284" s="268"/>
      <c r="BB284" s="268"/>
      <c r="BC284" s="268"/>
      <c r="BD284" s="268"/>
      <c r="BE284" s="268"/>
      <c r="BF284" s="268"/>
      <c r="BG284" s="268"/>
      <c r="BH284" s="269"/>
      <c r="BI284" s="267"/>
      <c r="BJ284" s="268"/>
      <c r="BK284" s="268"/>
      <c r="BL284" s="268"/>
      <c r="BM284" s="268"/>
      <c r="BN284" s="268"/>
      <c r="BO284" s="268"/>
      <c r="BP284" s="268"/>
      <c r="BQ284" s="268"/>
      <c r="BR284" s="268"/>
      <c r="BS284" s="268"/>
      <c r="BT284" s="268"/>
      <c r="BU284" s="268"/>
      <c r="BV284" s="268"/>
      <c r="BW284" s="268"/>
      <c r="BX284" s="268"/>
      <c r="BY284" s="268"/>
      <c r="BZ284" s="268"/>
      <c r="CA284" s="268"/>
      <c r="CB284" s="268"/>
      <c r="CC284" s="268"/>
      <c r="CD284" s="268"/>
      <c r="CE284" s="268"/>
      <c r="CF284" s="268"/>
      <c r="CG284" s="268"/>
      <c r="CH284" s="268"/>
      <c r="CI284" s="268"/>
      <c r="CJ284" s="269"/>
      <c r="JB284" s="270"/>
      <c r="JC284" s="170"/>
      <c r="JD284" s="170"/>
      <c r="JE284" s="170"/>
      <c r="JF284" s="170"/>
      <c r="JG284" s="170"/>
      <c r="JH284" s="170"/>
      <c r="JI284" s="170"/>
      <c r="JJ284" s="170"/>
      <c r="JK284" s="170"/>
      <c r="JL284" s="170"/>
      <c r="JM284" s="170"/>
      <c r="JN284" s="170"/>
      <c r="JO284" s="170"/>
      <c r="JP284" s="170"/>
      <c r="JQ284" s="170"/>
      <c r="JR284" s="170"/>
      <c r="JS284" s="170"/>
      <c r="JT284" s="170"/>
      <c r="JU284" s="170"/>
      <c r="JV284" s="170"/>
      <c r="JW284" s="170"/>
      <c r="JX284" s="170"/>
      <c r="JY284" s="170"/>
      <c r="JZ284" s="170"/>
      <c r="KA284" s="170"/>
      <c r="KB284" s="170"/>
      <c r="KC284" s="271"/>
      <c r="KD284" s="270"/>
      <c r="KE284" s="170"/>
      <c r="KF284" s="170"/>
      <c r="KG284" s="170"/>
      <c r="KH284" s="170"/>
      <c r="KI284" s="170"/>
      <c r="KJ284" s="170"/>
      <c r="KK284" s="170"/>
      <c r="KL284" s="170"/>
      <c r="KM284" s="170"/>
      <c r="KN284" s="170"/>
      <c r="KO284" s="170"/>
      <c r="KP284" s="170"/>
      <c r="KQ284" s="170"/>
      <c r="KR284" s="170"/>
      <c r="KS284" s="170"/>
      <c r="KT284" s="170"/>
      <c r="KU284" s="170"/>
      <c r="KV284" s="170"/>
      <c r="KW284" s="170"/>
      <c r="KX284" s="170"/>
      <c r="KY284" s="170"/>
      <c r="KZ284" s="170"/>
      <c r="LA284" s="170"/>
      <c r="LB284" s="170"/>
      <c r="LC284" s="170"/>
      <c r="LD284" s="170"/>
      <c r="LE284" s="271"/>
      <c r="LF284" s="270"/>
      <c r="LG284" s="170"/>
      <c r="LH284" s="170"/>
      <c r="LI284" s="170"/>
      <c r="LJ284" s="170"/>
      <c r="LK284" s="170"/>
      <c r="LL284" s="170"/>
      <c r="LM284" s="170"/>
      <c r="LN284" s="170"/>
      <c r="LO284" s="170"/>
      <c r="LP284" s="170"/>
      <c r="LQ284" s="170"/>
      <c r="LR284" s="170"/>
      <c r="LS284" s="170"/>
      <c r="LT284" s="170"/>
      <c r="LU284" s="170"/>
      <c r="LV284" s="170"/>
      <c r="LW284" s="170"/>
      <c r="LX284" s="170"/>
      <c r="LY284" s="170"/>
      <c r="LZ284" s="170"/>
      <c r="MA284" s="170"/>
      <c r="MB284" s="170"/>
      <c r="MC284" s="170"/>
      <c r="MD284" s="170"/>
      <c r="ME284" s="170"/>
      <c r="MF284" s="170"/>
      <c r="MG284" s="271"/>
      <c r="MK284" s="12"/>
      <c r="ML284" s="7"/>
    </row>
    <row r="285" spans="3:350" ht="5.0999999999999996" customHeight="1" thickBot="1" x14ac:dyDescent="0.35">
      <c r="C285" s="11"/>
      <c r="D285" s="13"/>
      <c r="E285" s="2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271"/>
      <c r="AG285" s="270"/>
      <c r="AH285" s="170"/>
      <c r="AI285" s="170"/>
      <c r="AJ285" s="170"/>
      <c r="AK285" s="170"/>
      <c r="AL285" s="170"/>
      <c r="AM285" s="170"/>
      <c r="AN285" s="170"/>
      <c r="AO285" s="170"/>
      <c r="AP285" s="170"/>
      <c r="AQ285" s="170"/>
      <c r="AR285" s="170"/>
      <c r="AS285" s="170"/>
      <c r="AT285" s="170"/>
      <c r="AU285" s="170"/>
      <c r="AV285" s="170"/>
      <c r="AW285" s="170"/>
      <c r="AX285" s="170"/>
      <c r="AY285" s="170"/>
      <c r="AZ285" s="170"/>
      <c r="BA285" s="170"/>
      <c r="BB285" s="170"/>
      <c r="BC285" s="170"/>
      <c r="BD285" s="170"/>
      <c r="BE285" s="170"/>
      <c r="BF285" s="170"/>
      <c r="BG285" s="170"/>
      <c r="BH285" s="271"/>
      <c r="BI285" s="270"/>
      <c r="BJ285" s="170"/>
      <c r="BK285" s="170"/>
      <c r="BL285" s="170"/>
      <c r="BM285" s="170"/>
      <c r="BN285" s="170"/>
      <c r="BO285" s="170"/>
      <c r="BP285" s="170"/>
      <c r="BQ285" s="170"/>
      <c r="BR285" s="170"/>
      <c r="BS285" s="170"/>
      <c r="BT285" s="170"/>
      <c r="BU285" s="170"/>
      <c r="BV285" s="170"/>
      <c r="BW285" s="170"/>
      <c r="BX285" s="170"/>
      <c r="BY285" s="170"/>
      <c r="BZ285" s="170"/>
      <c r="CA285" s="170"/>
      <c r="CB285" s="170"/>
      <c r="CC285" s="170"/>
      <c r="CD285" s="170"/>
      <c r="CE285" s="170"/>
      <c r="CF285" s="170"/>
      <c r="CG285" s="170"/>
      <c r="CH285" s="170"/>
      <c r="CI285" s="170"/>
      <c r="CJ285" s="271"/>
      <c r="JB285" s="272"/>
      <c r="JC285" s="273"/>
      <c r="JD285" s="273"/>
      <c r="JE285" s="273"/>
      <c r="JF285" s="273"/>
      <c r="JG285" s="273"/>
      <c r="JH285" s="273"/>
      <c r="JI285" s="273"/>
      <c r="JJ285" s="273"/>
      <c r="JK285" s="273"/>
      <c r="JL285" s="273"/>
      <c r="JM285" s="273"/>
      <c r="JN285" s="273"/>
      <c r="JO285" s="273"/>
      <c r="JP285" s="273"/>
      <c r="JQ285" s="273"/>
      <c r="JR285" s="273"/>
      <c r="JS285" s="273"/>
      <c r="JT285" s="273"/>
      <c r="JU285" s="273"/>
      <c r="JV285" s="273"/>
      <c r="JW285" s="273"/>
      <c r="JX285" s="273"/>
      <c r="JY285" s="273"/>
      <c r="JZ285" s="273"/>
      <c r="KA285" s="273"/>
      <c r="KB285" s="273"/>
      <c r="KC285" s="274"/>
      <c r="KD285" s="272"/>
      <c r="KE285" s="273"/>
      <c r="KF285" s="273"/>
      <c r="KG285" s="273"/>
      <c r="KH285" s="273"/>
      <c r="KI285" s="273"/>
      <c r="KJ285" s="273"/>
      <c r="KK285" s="273"/>
      <c r="KL285" s="273"/>
      <c r="KM285" s="273"/>
      <c r="KN285" s="273"/>
      <c r="KO285" s="273"/>
      <c r="KP285" s="273"/>
      <c r="KQ285" s="273"/>
      <c r="KR285" s="273"/>
      <c r="KS285" s="273"/>
      <c r="KT285" s="273"/>
      <c r="KU285" s="273"/>
      <c r="KV285" s="273"/>
      <c r="KW285" s="273"/>
      <c r="KX285" s="273"/>
      <c r="KY285" s="273"/>
      <c r="KZ285" s="273"/>
      <c r="LA285" s="273"/>
      <c r="LB285" s="273"/>
      <c r="LC285" s="273"/>
      <c r="LD285" s="273"/>
      <c r="LE285" s="274"/>
      <c r="LF285" s="272"/>
      <c r="LG285" s="273"/>
      <c r="LH285" s="273"/>
      <c r="LI285" s="273"/>
      <c r="LJ285" s="273"/>
      <c r="LK285" s="273"/>
      <c r="LL285" s="273"/>
      <c r="LM285" s="273"/>
      <c r="LN285" s="273"/>
      <c r="LO285" s="273"/>
      <c r="LP285" s="273"/>
      <c r="LQ285" s="273"/>
      <c r="LR285" s="273"/>
      <c r="LS285" s="273"/>
      <c r="LT285" s="273"/>
      <c r="LU285" s="273"/>
      <c r="LV285" s="273"/>
      <c r="LW285" s="273"/>
      <c r="LX285" s="273"/>
      <c r="LY285" s="273"/>
      <c r="LZ285" s="273"/>
      <c r="MA285" s="273"/>
      <c r="MB285" s="273"/>
      <c r="MC285" s="273"/>
      <c r="MD285" s="273"/>
      <c r="ME285" s="273"/>
      <c r="MF285" s="273"/>
      <c r="MG285" s="274"/>
      <c r="MK285" s="12"/>
      <c r="ML285" s="7"/>
    </row>
    <row r="286" spans="3:350" ht="5.0999999999999996" customHeight="1" x14ac:dyDescent="0.3">
      <c r="C286" s="11"/>
      <c r="D286" s="13"/>
      <c r="E286" s="2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  <c r="AF286" s="271"/>
      <c r="AG286" s="270"/>
      <c r="AH286" s="170"/>
      <c r="AI286" s="170"/>
      <c r="AJ286" s="170"/>
      <c r="AK286" s="170"/>
      <c r="AL286" s="170"/>
      <c r="AM286" s="170"/>
      <c r="AN286" s="170"/>
      <c r="AO286" s="170"/>
      <c r="AP286" s="170"/>
      <c r="AQ286" s="170"/>
      <c r="AR286" s="170"/>
      <c r="AS286" s="170"/>
      <c r="AT286" s="170"/>
      <c r="AU286" s="170"/>
      <c r="AV286" s="170"/>
      <c r="AW286" s="170"/>
      <c r="AX286" s="170"/>
      <c r="AY286" s="170"/>
      <c r="AZ286" s="170"/>
      <c r="BA286" s="170"/>
      <c r="BB286" s="170"/>
      <c r="BC286" s="170"/>
      <c r="BD286" s="170"/>
      <c r="BE286" s="170"/>
      <c r="BF286" s="170"/>
      <c r="BG286" s="170"/>
      <c r="BH286" s="271"/>
      <c r="BI286" s="270"/>
      <c r="BJ286" s="170"/>
      <c r="BK286" s="170"/>
      <c r="BL286" s="170"/>
      <c r="BM286" s="170"/>
      <c r="BN286" s="170"/>
      <c r="BO286" s="170"/>
      <c r="BP286" s="170"/>
      <c r="BQ286" s="170"/>
      <c r="BR286" s="170"/>
      <c r="BS286" s="170"/>
      <c r="BT286" s="170"/>
      <c r="BU286" s="170"/>
      <c r="BV286" s="170"/>
      <c r="BW286" s="170"/>
      <c r="BX286" s="170"/>
      <c r="BY286" s="170"/>
      <c r="BZ286" s="170"/>
      <c r="CA286" s="170"/>
      <c r="CB286" s="170"/>
      <c r="CC286" s="170"/>
      <c r="CD286" s="170"/>
      <c r="CE286" s="170"/>
      <c r="CF286" s="170"/>
      <c r="CG286" s="170"/>
      <c r="CH286" s="170"/>
      <c r="CI286" s="170"/>
      <c r="CJ286" s="271"/>
      <c r="MK286" s="12"/>
      <c r="ML286" s="7"/>
    </row>
    <row r="287" spans="3:350" ht="5.0999999999999996" customHeight="1" x14ac:dyDescent="0.3">
      <c r="C287" s="11"/>
      <c r="D287" s="13"/>
      <c r="E287" s="2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  <c r="AF287" s="271"/>
      <c r="AG287" s="270"/>
      <c r="AH287" s="170"/>
      <c r="AI287" s="170"/>
      <c r="AJ287" s="170"/>
      <c r="AK287" s="170"/>
      <c r="AL287" s="170"/>
      <c r="AM287" s="170"/>
      <c r="AN287" s="170"/>
      <c r="AO287" s="170"/>
      <c r="AP287" s="170"/>
      <c r="AQ287" s="170"/>
      <c r="AR287" s="170"/>
      <c r="AS287" s="170"/>
      <c r="AT287" s="170"/>
      <c r="AU287" s="170"/>
      <c r="AV287" s="170"/>
      <c r="AW287" s="170"/>
      <c r="AX287" s="170"/>
      <c r="AY287" s="170"/>
      <c r="AZ287" s="170"/>
      <c r="BA287" s="170"/>
      <c r="BB287" s="170"/>
      <c r="BC287" s="170"/>
      <c r="BD287" s="170"/>
      <c r="BE287" s="170"/>
      <c r="BF287" s="170"/>
      <c r="BG287" s="170"/>
      <c r="BH287" s="271"/>
      <c r="BI287" s="270"/>
      <c r="BJ287" s="170"/>
      <c r="BK287" s="170"/>
      <c r="BL287" s="170"/>
      <c r="BM287" s="170"/>
      <c r="BN287" s="170"/>
      <c r="BO287" s="170"/>
      <c r="BP287" s="170"/>
      <c r="BQ287" s="170"/>
      <c r="BR287" s="170"/>
      <c r="BS287" s="170"/>
      <c r="BT287" s="170"/>
      <c r="BU287" s="170"/>
      <c r="BV287" s="170"/>
      <c r="BW287" s="170"/>
      <c r="BX287" s="170"/>
      <c r="BY287" s="170"/>
      <c r="BZ287" s="170"/>
      <c r="CA287" s="170"/>
      <c r="CB287" s="170"/>
      <c r="CC287" s="170"/>
      <c r="CD287" s="170"/>
      <c r="CE287" s="170"/>
      <c r="CF287" s="170"/>
      <c r="CG287" s="170"/>
      <c r="CH287" s="170"/>
      <c r="CI287" s="170"/>
      <c r="CJ287" s="271"/>
      <c r="MK287" s="12"/>
      <c r="ML287" s="7"/>
    </row>
    <row r="288" spans="3:350" ht="5.0999999999999996" customHeight="1" thickBot="1" x14ac:dyDescent="0.35">
      <c r="C288" s="11"/>
      <c r="D288" s="13"/>
      <c r="E288" s="272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4"/>
      <c r="AG288" s="272"/>
      <c r="AH288" s="273"/>
      <c r="AI288" s="273"/>
      <c r="AJ288" s="273"/>
      <c r="AK288" s="273"/>
      <c r="AL288" s="273"/>
      <c r="AM288" s="273"/>
      <c r="AN288" s="273"/>
      <c r="AO288" s="273"/>
      <c r="AP288" s="273"/>
      <c r="AQ288" s="273"/>
      <c r="AR288" s="273"/>
      <c r="AS288" s="273"/>
      <c r="AT288" s="273"/>
      <c r="AU288" s="273"/>
      <c r="AV288" s="273"/>
      <c r="AW288" s="273"/>
      <c r="AX288" s="273"/>
      <c r="AY288" s="273"/>
      <c r="AZ288" s="273"/>
      <c r="BA288" s="273"/>
      <c r="BB288" s="273"/>
      <c r="BC288" s="273"/>
      <c r="BD288" s="273"/>
      <c r="BE288" s="273"/>
      <c r="BF288" s="273"/>
      <c r="BG288" s="273"/>
      <c r="BH288" s="274"/>
      <c r="BI288" s="272"/>
      <c r="BJ288" s="273"/>
      <c r="BK288" s="273"/>
      <c r="BL288" s="273"/>
      <c r="BM288" s="273"/>
      <c r="BN288" s="273"/>
      <c r="BO288" s="273"/>
      <c r="BP288" s="273"/>
      <c r="BQ288" s="273"/>
      <c r="BR288" s="273"/>
      <c r="BS288" s="273"/>
      <c r="BT288" s="273"/>
      <c r="BU288" s="273"/>
      <c r="BV288" s="273"/>
      <c r="BW288" s="273"/>
      <c r="BX288" s="273"/>
      <c r="BY288" s="273"/>
      <c r="BZ288" s="273"/>
      <c r="CA288" s="273"/>
      <c r="CB288" s="273"/>
      <c r="CC288" s="273"/>
      <c r="CD288" s="273"/>
      <c r="CE288" s="273"/>
      <c r="CF288" s="273"/>
      <c r="CG288" s="273"/>
      <c r="CH288" s="273"/>
      <c r="CI288" s="273"/>
      <c r="CJ288" s="274"/>
      <c r="MK288" s="12"/>
      <c r="ML288" s="7"/>
    </row>
    <row r="289" spans="3:374" ht="5.0999999999999996" customHeight="1" x14ac:dyDescent="0.3">
      <c r="C289" s="11"/>
      <c r="D289" s="13"/>
      <c r="MK289" s="12"/>
      <c r="ML289" s="7"/>
    </row>
    <row r="290" spans="3:374" ht="5.0999999999999996" customHeight="1" x14ac:dyDescent="0.3">
      <c r="C290" s="11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8"/>
      <c r="ML290" s="7"/>
    </row>
    <row r="291" spans="3:374" ht="3" customHeight="1" thickBot="1" x14ac:dyDescent="0.35"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4"/>
    </row>
    <row r="292" spans="3:374" ht="5.0999999999999996" customHeight="1" thickTop="1" x14ac:dyDescent="0.3"/>
    <row r="293" spans="3:374" ht="5.0999999999999996" customHeight="1" x14ac:dyDescent="0.3"/>
    <row r="294" spans="3:374" ht="5.0999999999999996" customHeight="1" x14ac:dyDescent="0.3"/>
    <row r="295" spans="3:374" ht="5.0999999999999996" customHeight="1" x14ac:dyDescent="0.3"/>
    <row r="296" spans="3:374" ht="5.0999999999999996" customHeight="1" x14ac:dyDescent="0.3">
      <c r="N296" s="3"/>
      <c r="O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EU296" s="3"/>
      <c r="EV296" s="3"/>
      <c r="EW296" s="3"/>
      <c r="EX296" s="3"/>
      <c r="EY296" s="3"/>
      <c r="EZ296" s="3"/>
      <c r="FA296" s="3"/>
      <c r="FB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MM296" s="3"/>
      <c r="MN296" s="3"/>
      <c r="MO296" s="3"/>
      <c r="MP296" s="3"/>
      <c r="NE296" s="3"/>
      <c r="NF296" s="3"/>
      <c r="NG296" s="3"/>
      <c r="NH296" s="3"/>
      <c r="NI296" s="3"/>
    </row>
    <row r="297" spans="3:374" ht="5.0999999999999996" customHeight="1" x14ac:dyDescent="0.3">
      <c r="N297" s="3"/>
      <c r="O297" s="3"/>
      <c r="P297" s="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MM297" s="3"/>
      <c r="MN297" s="3"/>
      <c r="MO297" s="3"/>
      <c r="MP297" s="3"/>
      <c r="MQ297" s="2"/>
      <c r="NE297" s="3"/>
      <c r="NF297" s="3"/>
      <c r="NG297" s="3"/>
      <c r="NH297" s="3"/>
      <c r="NI297" s="3"/>
      <c r="NJ297" s="2"/>
    </row>
    <row r="298" spans="3:374" ht="5.0999999999999996" customHeight="1" x14ac:dyDescent="0.3"/>
    <row r="299" spans="3:374" ht="5.0999999999999996" customHeight="1" x14ac:dyDescent="0.3"/>
    <row r="300" spans="3:374" ht="5.0999999999999996" customHeight="1" x14ac:dyDescent="0.3"/>
    <row r="301" spans="3:374" ht="5.0999999999999996" customHeight="1" x14ac:dyDescent="0.3"/>
    <row r="302" spans="3:374" ht="5.0999999999999996" customHeight="1" x14ac:dyDescent="0.3"/>
    <row r="303" spans="3:374" ht="5.0999999999999996" customHeight="1" x14ac:dyDescent="0.3">
      <c r="N303" s="3"/>
      <c r="O303" s="3"/>
      <c r="P303" s="2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MM303" s="3"/>
      <c r="MN303" s="3"/>
      <c r="MO303" s="3"/>
      <c r="MP303" s="3"/>
      <c r="MQ303" s="2"/>
      <c r="NE303" s="3"/>
      <c r="NF303" s="3"/>
      <c r="NG303" s="3"/>
      <c r="NH303" s="3"/>
      <c r="NI303" s="3"/>
      <c r="NJ303" s="2"/>
    </row>
    <row r="304" spans="3:374" ht="5.0999999999999996" customHeight="1" x14ac:dyDescent="0.3">
      <c r="N304" s="3"/>
      <c r="O304" s="3"/>
      <c r="P304" s="2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MM304" s="3"/>
      <c r="MN304" s="3"/>
      <c r="MO304" s="3"/>
      <c r="MP304" s="3"/>
      <c r="MQ304" s="2"/>
      <c r="NE304" s="3"/>
      <c r="NF304" s="3"/>
      <c r="NG304" s="3"/>
      <c r="NH304" s="3"/>
      <c r="NI304" s="3"/>
      <c r="NJ304" s="2"/>
    </row>
    <row r="305" ht="5.0999999999999996" customHeight="1" x14ac:dyDescent="0.3"/>
    <row r="306" ht="5.0999999999999996" customHeight="1" x14ac:dyDescent="0.3"/>
    <row r="307" ht="5.0999999999999996" customHeight="1" x14ac:dyDescent="0.3"/>
    <row r="308" ht="5.0999999999999996" customHeight="1" x14ac:dyDescent="0.3"/>
    <row r="309" ht="5.0999999999999996" customHeight="1" x14ac:dyDescent="0.3"/>
    <row r="310" ht="5.0999999999999996" customHeight="1" x14ac:dyDescent="0.3"/>
    <row r="311" ht="5.0999999999999996" customHeight="1" x14ac:dyDescent="0.3"/>
  </sheetData>
  <mergeCells count="127">
    <mergeCell ref="KC128:LQ137"/>
    <mergeCell ref="LR128:LV137"/>
    <mergeCell ref="JB281:KC285"/>
    <mergeCell ref="KD281:LE285"/>
    <mergeCell ref="LF281:MG285"/>
    <mergeCell ref="KC116:LQ125"/>
    <mergeCell ref="LR116:LV125"/>
    <mergeCell ref="KC169:LQ178"/>
    <mergeCell ref="LR169:LV178"/>
    <mergeCell ref="KC179:LQ188"/>
    <mergeCell ref="LR179:LV188"/>
    <mergeCell ref="KC139:LQ148"/>
    <mergeCell ref="LR139:LV148"/>
    <mergeCell ref="KC149:LQ158"/>
    <mergeCell ref="LR149:LV158"/>
    <mergeCell ref="KC159:LQ168"/>
    <mergeCell ref="LR159:LV168"/>
    <mergeCell ref="KC189:LQ198"/>
    <mergeCell ref="LR189:LV198"/>
    <mergeCell ref="KC199:LQ208"/>
    <mergeCell ref="LR199:LV208"/>
    <mergeCell ref="KC211:LQ220"/>
    <mergeCell ref="LR211:LV220"/>
    <mergeCell ref="KC222:LQ231"/>
    <mergeCell ref="LR222:LV231"/>
    <mergeCell ref="JX270:LU276"/>
    <mergeCell ref="LV270:MG276"/>
    <mergeCell ref="Q201:BE210"/>
    <mergeCell ref="BF201:BJ210"/>
    <mergeCell ref="Q171:BE180"/>
    <mergeCell ref="BF171:BJ180"/>
    <mergeCell ref="FX181:HK190"/>
    <mergeCell ref="HL181:HP190"/>
    <mergeCell ref="Q181:BE190"/>
    <mergeCell ref="BF181:BJ190"/>
    <mergeCell ref="Q211:BE220"/>
    <mergeCell ref="BF211:BJ220"/>
    <mergeCell ref="Q221:BE230"/>
    <mergeCell ref="BF221:BJ230"/>
    <mergeCell ref="Q231:BE240"/>
    <mergeCell ref="BF231:BJ240"/>
    <mergeCell ref="JX242:LU248"/>
    <mergeCell ref="LV242:MG248"/>
    <mergeCell ref="JX249:LU255"/>
    <mergeCell ref="LV249:MG255"/>
    <mergeCell ref="JX256:LU262"/>
    <mergeCell ref="LV256:MG262"/>
    <mergeCell ref="JX263:LU269"/>
    <mergeCell ref="LV263:MG269"/>
    <mergeCell ref="E284:AF288"/>
    <mergeCell ref="AG284:BH288"/>
    <mergeCell ref="BI284:CJ288"/>
    <mergeCell ref="E274:AF278"/>
    <mergeCell ref="AG274:BH278"/>
    <mergeCell ref="BI274:CJ278"/>
    <mergeCell ref="E279:AF283"/>
    <mergeCell ref="AG279:BH283"/>
    <mergeCell ref="BI279:CJ283"/>
    <mergeCell ref="HW139:JJ148"/>
    <mergeCell ref="Q191:BE200"/>
    <mergeCell ref="BF191:BJ200"/>
    <mergeCell ref="JK139:JP148"/>
    <mergeCell ref="Q141:BE150"/>
    <mergeCell ref="BF141:BJ150"/>
    <mergeCell ref="CC147:DP156"/>
    <mergeCell ref="DQ147:DU156"/>
    <mergeCell ref="EA147:FN156"/>
    <mergeCell ref="FO147:FS156"/>
    <mergeCell ref="FX147:HK156"/>
    <mergeCell ref="HL147:HP156"/>
    <mergeCell ref="HW149:JJ158"/>
    <mergeCell ref="JK149:JP158"/>
    <mergeCell ref="Q151:BE160"/>
    <mergeCell ref="BF151:BJ160"/>
    <mergeCell ref="HW161:JJ170"/>
    <mergeCell ref="JK161:JP170"/>
    <mergeCell ref="HW171:JJ180"/>
    <mergeCell ref="JK171:JP180"/>
    <mergeCell ref="Q161:BE170"/>
    <mergeCell ref="BF161:BJ170"/>
    <mergeCell ref="CC161:DP170"/>
    <mergeCell ref="DQ161:DU170"/>
    <mergeCell ref="HW127:JJ136"/>
    <mergeCell ref="JK127:JP136"/>
    <mergeCell ref="Q129:BE138"/>
    <mergeCell ref="BF129:BJ138"/>
    <mergeCell ref="EA129:FM138"/>
    <mergeCell ref="FN129:FR138"/>
    <mergeCell ref="Q117:BE126"/>
    <mergeCell ref="BF117:BJ126"/>
    <mergeCell ref="EA117:FM126"/>
    <mergeCell ref="FN117:FR126"/>
    <mergeCell ref="HW117:JJ126"/>
    <mergeCell ref="JK117:JP126"/>
    <mergeCell ref="FX92:HK101"/>
    <mergeCell ref="HL92:HP101"/>
    <mergeCell ref="FX102:HK111"/>
    <mergeCell ref="HL102:HP111"/>
    <mergeCell ref="Q61:BE70"/>
    <mergeCell ref="BF61:BJ70"/>
    <mergeCell ref="GU48:II56"/>
    <mergeCell ref="IJ48:IO56"/>
    <mergeCell ref="Q72:BE81"/>
    <mergeCell ref="BF72:BJ81"/>
    <mergeCell ref="BR97:DF106"/>
    <mergeCell ref="DG97:DK106"/>
    <mergeCell ref="E5:MJ8"/>
    <mergeCell ref="E9:MJ11"/>
    <mergeCell ref="E12:MJ15"/>
    <mergeCell ref="ED18:FR26"/>
    <mergeCell ref="FS18:FV26"/>
    <mergeCell ref="Q50:BE59"/>
    <mergeCell ref="BF50:BJ59"/>
    <mergeCell ref="GU37:II46"/>
    <mergeCell ref="IJ37:IO46"/>
    <mergeCell ref="ED36:FR44"/>
    <mergeCell ref="FS36:FV44"/>
    <mergeCell ref="EA161:FN170"/>
    <mergeCell ref="FO161:FS170"/>
    <mergeCell ref="FX161:HK170"/>
    <mergeCell ref="HL161:HP170"/>
    <mergeCell ref="CC173:DP182"/>
    <mergeCell ref="DQ173:DU182"/>
    <mergeCell ref="EA171:FN180"/>
    <mergeCell ref="FO171:FS180"/>
    <mergeCell ref="FX171:HK180"/>
    <mergeCell ref="HL171:HP180"/>
  </mergeCells>
  <printOptions horizontalCentered="1" verticalCentered="1"/>
  <pageMargins left="0" right="0" top="0" bottom="0" header="0.31496062992125984" footer="0.31496062992125984"/>
  <pageSetup paperSize="8"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86A9-7121-4E9F-8569-8BA60BEA5B55}">
  <sheetPr codeName="Sheet5">
    <pageSetUpPr fitToPage="1"/>
  </sheetPr>
  <dimension ref="C1:MV326"/>
  <sheetViews>
    <sheetView showGridLines="0" view="pageBreakPreview" topLeftCell="A119" zoomScaleNormal="70" zoomScaleSheetLayoutView="100" workbookViewId="0">
      <selection activeCell="DG190" sqref="DG190"/>
    </sheetView>
  </sheetViews>
  <sheetFormatPr defaultColWidth="9.109375" defaultRowHeight="17.399999999999999" x14ac:dyDescent="0.3"/>
  <cols>
    <col min="1" max="1" width="1.88671875" style="1" customWidth="1"/>
    <col min="2" max="2" width="1.33203125" style="1" customWidth="1"/>
    <col min="3" max="4" width="0.5546875" style="1" customWidth="1"/>
    <col min="5" max="70" width="0.88671875" style="1" customWidth="1"/>
    <col min="71" max="71" width="1" style="1" customWidth="1"/>
    <col min="72" max="73" width="0.88671875" style="1" hidden="1" customWidth="1"/>
    <col min="74" max="220" width="0.88671875" style="1" customWidth="1"/>
    <col min="221" max="221" width="0.6640625" style="1" customWidth="1"/>
    <col min="222" max="261" width="0.88671875" style="1" customWidth="1"/>
    <col min="262" max="262" width="0.6640625" style="1" customWidth="1"/>
    <col min="263" max="334" width="0.88671875" style="1" customWidth="1"/>
    <col min="335" max="336" width="0.5546875" style="1" customWidth="1"/>
    <col min="337" max="337" width="0.88671875" style="1" customWidth="1"/>
    <col min="338" max="338" width="0.6640625" style="1" customWidth="1"/>
    <col min="339" max="341" width="0.88671875" style="1" hidden="1" customWidth="1"/>
    <col min="342" max="342" width="8.33203125" style="1" hidden="1" customWidth="1"/>
    <col min="343" max="358" width="0.88671875" style="1" customWidth="1"/>
    <col min="359" max="359" width="1" style="1" customWidth="1"/>
    <col min="360" max="370" width="0.88671875" style="1" customWidth="1"/>
    <col min="371" max="16384" width="9.109375" style="1"/>
  </cols>
  <sheetData>
    <row r="1" spans="3:360" ht="18.75" customHeight="1" x14ac:dyDescent="0.3"/>
    <row r="2" spans="3:360" ht="9" customHeight="1" thickBot="1" x14ac:dyDescent="0.35"/>
    <row r="3" spans="3:360" s="35" customFormat="1" ht="3" customHeight="1" thickTop="1" x14ac:dyDescent="0.3">
      <c r="C3" s="47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5"/>
    </row>
    <row r="4" spans="3:360" s="35" customFormat="1" ht="3" customHeight="1" thickBot="1" x14ac:dyDescent="0.35">
      <c r="C4" s="39"/>
      <c r="D4" s="4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2"/>
      <c r="LX4" s="36"/>
    </row>
    <row r="5" spans="3:360" s="35" customFormat="1" ht="6.75" customHeight="1" x14ac:dyDescent="0.3">
      <c r="C5" s="39"/>
      <c r="D5" s="38"/>
      <c r="E5" s="243" t="s">
        <v>30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4"/>
      <c r="DM5" s="244"/>
      <c r="DN5" s="244"/>
      <c r="DO5" s="244"/>
      <c r="DP5" s="244"/>
      <c r="DQ5" s="244"/>
      <c r="DR5" s="244"/>
      <c r="DS5" s="244"/>
      <c r="DT5" s="244"/>
      <c r="DU5" s="244"/>
      <c r="DV5" s="244"/>
      <c r="DW5" s="244"/>
      <c r="DX5" s="244"/>
      <c r="DY5" s="244"/>
      <c r="DZ5" s="244"/>
      <c r="EA5" s="244"/>
      <c r="EB5" s="244"/>
      <c r="EC5" s="244"/>
      <c r="ED5" s="244"/>
      <c r="EE5" s="244"/>
      <c r="EF5" s="244"/>
      <c r="EG5" s="244"/>
      <c r="EH5" s="244"/>
      <c r="EI5" s="244"/>
      <c r="EJ5" s="244"/>
      <c r="EK5" s="244"/>
      <c r="EL5" s="244"/>
      <c r="EM5" s="244"/>
      <c r="EN5" s="244"/>
      <c r="EO5" s="244"/>
      <c r="EP5" s="244"/>
      <c r="EQ5" s="244"/>
      <c r="ER5" s="244"/>
      <c r="ES5" s="244"/>
      <c r="ET5" s="244"/>
      <c r="EU5" s="244"/>
      <c r="EV5" s="244"/>
      <c r="EW5" s="244"/>
      <c r="EX5" s="244"/>
      <c r="EY5" s="244"/>
      <c r="EZ5" s="244"/>
      <c r="FA5" s="244"/>
      <c r="FB5" s="244"/>
      <c r="FC5" s="244"/>
      <c r="FD5" s="244"/>
      <c r="FE5" s="244"/>
      <c r="FF5" s="244"/>
      <c r="FG5" s="244"/>
      <c r="FH5" s="244"/>
      <c r="FI5" s="244"/>
      <c r="FJ5" s="244"/>
      <c r="FK5" s="244"/>
      <c r="FL5" s="244"/>
      <c r="FM5" s="244"/>
      <c r="FN5" s="244"/>
      <c r="FO5" s="244"/>
      <c r="FP5" s="244"/>
      <c r="FQ5" s="244"/>
      <c r="FR5" s="244"/>
      <c r="FS5" s="244"/>
      <c r="FT5" s="244"/>
      <c r="FU5" s="244"/>
      <c r="FV5" s="244"/>
      <c r="FW5" s="244"/>
      <c r="FX5" s="244"/>
      <c r="FY5" s="244"/>
      <c r="FZ5" s="244"/>
      <c r="GA5" s="244"/>
      <c r="GB5" s="244"/>
      <c r="GC5" s="244"/>
      <c r="GD5" s="244"/>
      <c r="GE5" s="244"/>
      <c r="GF5" s="244"/>
      <c r="GG5" s="244"/>
      <c r="GH5" s="244"/>
      <c r="GI5" s="244"/>
      <c r="GJ5" s="244"/>
      <c r="GK5" s="244"/>
      <c r="GL5" s="244"/>
      <c r="GM5" s="244"/>
      <c r="GN5" s="244"/>
      <c r="GO5" s="244"/>
      <c r="GP5" s="244"/>
      <c r="GQ5" s="244"/>
      <c r="GR5" s="244"/>
      <c r="GS5" s="244"/>
      <c r="GT5" s="244"/>
      <c r="GU5" s="244"/>
      <c r="GV5" s="244"/>
      <c r="GW5" s="244"/>
      <c r="GX5" s="244"/>
      <c r="GY5" s="244"/>
      <c r="GZ5" s="244"/>
      <c r="HA5" s="244"/>
      <c r="HB5" s="244"/>
      <c r="HC5" s="244"/>
      <c r="HD5" s="244"/>
      <c r="HE5" s="244"/>
      <c r="HF5" s="244"/>
      <c r="HG5" s="244"/>
      <c r="HH5" s="244"/>
      <c r="HI5" s="244"/>
      <c r="HJ5" s="244"/>
      <c r="HK5" s="244"/>
      <c r="HL5" s="244"/>
      <c r="HM5" s="244"/>
      <c r="HN5" s="244"/>
      <c r="HO5" s="244"/>
      <c r="HP5" s="244"/>
      <c r="HQ5" s="244"/>
      <c r="HR5" s="244"/>
      <c r="HS5" s="244"/>
      <c r="HT5" s="244"/>
      <c r="HU5" s="244"/>
      <c r="HV5" s="244"/>
      <c r="HW5" s="244"/>
      <c r="HX5" s="244"/>
      <c r="HY5" s="244"/>
      <c r="HZ5" s="244"/>
      <c r="IA5" s="244"/>
      <c r="IB5" s="244"/>
      <c r="IC5" s="244"/>
      <c r="ID5" s="244"/>
      <c r="IE5" s="244"/>
      <c r="IF5" s="244"/>
      <c r="IG5" s="244"/>
      <c r="IH5" s="244"/>
      <c r="II5" s="244"/>
      <c r="IJ5" s="244"/>
      <c r="IK5" s="244"/>
      <c r="IL5" s="244"/>
      <c r="IM5" s="244"/>
      <c r="IN5" s="244"/>
      <c r="IO5" s="244"/>
      <c r="IP5" s="244"/>
      <c r="IQ5" s="244"/>
      <c r="IR5" s="244"/>
      <c r="IS5" s="244"/>
      <c r="IT5" s="244"/>
      <c r="IU5" s="244"/>
      <c r="IV5" s="244"/>
      <c r="IW5" s="244"/>
      <c r="IX5" s="244"/>
      <c r="IY5" s="244"/>
      <c r="IZ5" s="244"/>
      <c r="JA5" s="244"/>
      <c r="JB5" s="244"/>
      <c r="JC5" s="244"/>
      <c r="JD5" s="244"/>
      <c r="JE5" s="244"/>
      <c r="JF5" s="244"/>
      <c r="JG5" s="244"/>
      <c r="JH5" s="244"/>
      <c r="JI5" s="244"/>
      <c r="JJ5" s="244"/>
      <c r="JK5" s="244"/>
      <c r="JL5" s="244"/>
      <c r="JM5" s="244"/>
      <c r="JN5" s="244"/>
      <c r="JO5" s="244"/>
      <c r="JP5" s="244"/>
      <c r="JQ5" s="244"/>
      <c r="JR5" s="244"/>
      <c r="JS5" s="244"/>
      <c r="JT5" s="244"/>
      <c r="JU5" s="244"/>
      <c r="JV5" s="244"/>
      <c r="JW5" s="244"/>
      <c r="JX5" s="244"/>
      <c r="JY5" s="244"/>
      <c r="JZ5" s="244"/>
      <c r="KA5" s="244"/>
      <c r="KB5" s="244"/>
      <c r="KC5" s="244"/>
      <c r="KD5" s="244"/>
      <c r="KE5" s="244"/>
      <c r="KF5" s="244"/>
      <c r="KG5" s="244"/>
      <c r="KH5" s="244"/>
      <c r="KI5" s="244"/>
      <c r="KJ5" s="244"/>
      <c r="KK5" s="244"/>
      <c r="KL5" s="244"/>
      <c r="KM5" s="244"/>
      <c r="KN5" s="244"/>
      <c r="KO5" s="244"/>
      <c r="KP5" s="244"/>
      <c r="KQ5" s="244"/>
      <c r="KR5" s="244"/>
      <c r="KS5" s="244"/>
      <c r="KT5" s="244"/>
      <c r="KU5" s="244"/>
      <c r="KV5" s="244"/>
      <c r="KW5" s="244"/>
      <c r="KX5" s="244"/>
      <c r="KY5" s="244"/>
      <c r="KZ5" s="244"/>
      <c r="LA5" s="244"/>
      <c r="LB5" s="244"/>
      <c r="LC5" s="244"/>
      <c r="LD5" s="244"/>
      <c r="LE5" s="244"/>
      <c r="LF5" s="244"/>
      <c r="LG5" s="244"/>
      <c r="LH5" s="244"/>
      <c r="LI5" s="244"/>
      <c r="LJ5" s="244"/>
      <c r="LK5" s="244"/>
      <c r="LL5" s="244"/>
      <c r="LM5" s="244"/>
      <c r="LN5" s="244"/>
      <c r="LO5" s="244"/>
      <c r="LP5" s="244"/>
      <c r="LQ5" s="244"/>
      <c r="LR5" s="244"/>
      <c r="LS5" s="244"/>
      <c r="LT5" s="244"/>
      <c r="LU5" s="244"/>
      <c r="LV5" s="245"/>
      <c r="LW5" s="37"/>
      <c r="LX5" s="36"/>
    </row>
    <row r="6" spans="3:360" s="35" customFormat="1" ht="6.75" customHeight="1" x14ac:dyDescent="0.3">
      <c r="C6" s="39"/>
      <c r="D6" s="38"/>
      <c r="E6" s="246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7"/>
      <c r="LQ6" s="247"/>
      <c r="LR6" s="247"/>
      <c r="LS6" s="247"/>
      <c r="LT6" s="247"/>
      <c r="LU6" s="247"/>
      <c r="LV6" s="248"/>
      <c r="LW6" s="37"/>
      <c r="LX6" s="36"/>
    </row>
    <row r="7" spans="3:360" s="35" customFormat="1" ht="6.75" customHeight="1" x14ac:dyDescent="0.3">
      <c r="C7" s="39"/>
      <c r="D7" s="38"/>
      <c r="E7" s="246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7"/>
      <c r="LQ7" s="247"/>
      <c r="LR7" s="247"/>
      <c r="LS7" s="247"/>
      <c r="LT7" s="247"/>
      <c r="LU7" s="247"/>
      <c r="LV7" s="248"/>
      <c r="LW7" s="37"/>
      <c r="LX7" s="36"/>
    </row>
    <row r="8" spans="3:360" s="35" customFormat="1" ht="6.75" customHeight="1" x14ac:dyDescent="0.3">
      <c r="C8" s="39"/>
      <c r="D8" s="38"/>
      <c r="E8" s="24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8"/>
      <c r="LW8" s="37"/>
      <c r="LX8" s="36"/>
      <c r="LY8" s="41"/>
      <c r="LZ8" s="41"/>
      <c r="MA8" s="41"/>
      <c r="MB8" s="41"/>
      <c r="MQ8" s="41"/>
      <c r="MR8" s="41"/>
      <c r="MS8" s="41"/>
      <c r="MT8" s="41"/>
      <c r="MU8" s="41"/>
    </row>
    <row r="9" spans="3:360" s="35" customFormat="1" ht="6.75" customHeight="1" x14ac:dyDescent="0.3">
      <c r="C9" s="39"/>
      <c r="D9" s="38"/>
      <c r="E9" s="246" t="s">
        <v>18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8"/>
      <c r="LW9" s="37"/>
      <c r="LX9" s="36"/>
      <c r="LY9" s="41"/>
      <c r="LZ9" s="41"/>
      <c r="MA9" s="41"/>
      <c r="MB9" s="41"/>
      <c r="MC9" s="40"/>
      <c r="MQ9" s="41"/>
      <c r="MR9" s="41"/>
      <c r="MS9" s="41"/>
      <c r="MT9" s="41"/>
      <c r="MU9" s="41"/>
      <c r="MV9" s="40"/>
    </row>
    <row r="10" spans="3:360" s="35" customFormat="1" ht="6.75" customHeight="1" x14ac:dyDescent="0.3">
      <c r="C10" s="39"/>
      <c r="D10" s="38"/>
      <c r="E10" s="24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7"/>
      <c r="LQ10" s="247"/>
      <c r="LR10" s="247"/>
      <c r="LS10" s="247"/>
      <c r="LT10" s="247"/>
      <c r="LU10" s="247"/>
      <c r="LV10" s="248"/>
      <c r="LW10" s="37"/>
      <c r="LX10" s="36"/>
      <c r="LY10" s="41"/>
      <c r="LZ10" s="41"/>
      <c r="MA10" s="41"/>
      <c r="MB10" s="41"/>
      <c r="MC10" s="40"/>
      <c r="MQ10" s="41"/>
      <c r="MR10" s="41"/>
      <c r="MS10" s="41"/>
      <c r="MT10" s="41"/>
      <c r="MU10" s="41"/>
      <c r="MV10" s="40"/>
    </row>
    <row r="11" spans="3:360" s="35" customFormat="1" ht="6.75" customHeight="1" x14ac:dyDescent="0.3">
      <c r="C11" s="39"/>
      <c r="D11" s="38"/>
      <c r="E11" s="246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7"/>
      <c r="LQ11" s="247"/>
      <c r="LR11" s="247"/>
      <c r="LS11" s="247"/>
      <c r="LT11" s="247"/>
      <c r="LU11" s="247"/>
      <c r="LV11" s="248"/>
      <c r="LW11" s="37"/>
      <c r="LX11" s="36"/>
    </row>
    <row r="12" spans="3:360" s="35" customFormat="1" ht="6.75" customHeight="1" x14ac:dyDescent="0.3">
      <c r="C12" s="39"/>
      <c r="D12" s="38"/>
      <c r="E12" s="246" t="s">
        <v>17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7"/>
      <c r="LQ12" s="247"/>
      <c r="LR12" s="247"/>
      <c r="LS12" s="247"/>
      <c r="LT12" s="247"/>
      <c r="LU12" s="247"/>
      <c r="LV12" s="248"/>
      <c r="LW12" s="37"/>
      <c r="LX12" s="36"/>
    </row>
    <row r="13" spans="3:360" s="35" customFormat="1" ht="6.75" customHeight="1" x14ac:dyDescent="0.3">
      <c r="C13" s="39"/>
      <c r="D13" s="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7"/>
      <c r="LQ13" s="247"/>
      <c r="LR13" s="247"/>
      <c r="LS13" s="247"/>
      <c r="LT13" s="247"/>
      <c r="LU13" s="247"/>
      <c r="LV13" s="248"/>
      <c r="LW13" s="37"/>
      <c r="LX13" s="36"/>
    </row>
    <row r="14" spans="3:360" s="35" customFormat="1" ht="6.75" customHeight="1" x14ac:dyDescent="0.3">
      <c r="C14" s="39"/>
      <c r="D14" s="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7"/>
      <c r="LQ14" s="247"/>
      <c r="LR14" s="247"/>
      <c r="LS14" s="247"/>
      <c r="LT14" s="247"/>
      <c r="LU14" s="247"/>
      <c r="LV14" s="248"/>
      <c r="LW14" s="37"/>
      <c r="LX14" s="36"/>
    </row>
    <row r="15" spans="3:360" s="35" customFormat="1" ht="6.75" customHeight="1" thickBot="1" x14ac:dyDescent="0.35">
      <c r="C15" s="39"/>
      <c r="D15" s="38"/>
      <c r="E15" s="249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  <c r="HK15" s="250"/>
      <c r="HL15" s="250"/>
      <c r="HM15" s="250"/>
      <c r="HN15" s="250"/>
      <c r="HO15" s="250"/>
      <c r="HP15" s="250"/>
      <c r="HQ15" s="250"/>
      <c r="HR15" s="250"/>
      <c r="HS15" s="250"/>
      <c r="HT15" s="250"/>
      <c r="HU15" s="250"/>
      <c r="HV15" s="250"/>
      <c r="HW15" s="250"/>
      <c r="HX15" s="250"/>
      <c r="HY15" s="250"/>
      <c r="HZ15" s="250"/>
      <c r="IA15" s="250"/>
      <c r="IB15" s="250"/>
      <c r="IC15" s="250"/>
      <c r="ID15" s="250"/>
      <c r="IE15" s="250"/>
      <c r="IF15" s="250"/>
      <c r="IG15" s="250"/>
      <c r="IH15" s="250"/>
      <c r="II15" s="250"/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F15" s="250"/>
      <c r="KG15" s="250"/>
      <c r="KH15" s="250"/>
      <c r="KI15" s="250"/>
      <c r="KJ15" s="250"/>
      <c r="KK15" s="250"/>
      <c r="KL15" s="250"/>
      <c r="KM15" s="250"/>
      <c r="KN15" s="250"/>
      <c r="KO15" s="250"/>
      <c r="KP15" s="250"/>
      <c r="KQ15" s="250"/>
      <c r="KR15" s="250"/>
      <c r="KS15" s="250"/>
      <c r="KT15" s="250"/>
      <c r="KU15" s="250"/>
      <c r="KV15" s="250"/>
      <c r="KW15" s="250"/>
      <c r="KX15" s="250"/>
      <c r="KY15" s="250"/>
      <c r="KZ15" s="250"/>
      <c r="LA15" s="250"/>
      <c r="LB15" s="250"/>
      <c r="LC15" s="250"/>
      <c r="LD15" s="250"/>
      <c r="LE15" s="250"/>
      <c r="LF15" s="250"/>
      <c r="LG15" s="250"/>
      <c r="LH15" s="250"/>
      <c r="LI15" s="250"/>
      <c r="LJ15" s="250"/>
      <c r="LK15" s="250"/>
      <c r="LL15" s="250"/>
      <c r="LM15" s="250"/>
      <c r="LN15" s="250"/>
      <c r="LO15" s="250"/>
      <c r="LP15" s="250"/>
      <c r="LQ15" s="250"/>
      <c r="LR15" s="250"/>
      <c r="LS15" s="250"/>
      <c r="LT15" s="250"/>
      <c r="LU15" s="250"/>
      <c r="LV15" s="251"/>
      <c r="LW15" s="37"/>
      <c r="LX15" s="36"/>
    </row>
    <row r="16" spans="3:360" ht="5.0999999999999996" customHeight="1" x14ac:dyDescent="0.3">
      <c r="C16" s="11"/>
      <c r="D16" s="1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12"/>
      <c r="LX16" s="7"/>
    </row>
    <row r="17" spans="3:336" ht="5.0999999999999996" customHeight="1" x14ac:dyDescent="0.3">
      <c r="C17" s="11"/>
      <c r="D17" s="1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12"/>
      <c r="LX17" s="7"/>
    </row>
    <row r="18" spans="3:336" ht="5.0999999999999996" customHeight="1" x14ac:dyDescent="0.3">
      <c r="C18" s="11"/>
      <c r="D18" s="1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R18" s="216" t="s">
        <v>61</v>
      </c>
      <c r="DS18" s="217"/>
      <c r="DT18" s="217"/>
      <c r="DU18" s="217"/>
      <c r="DV18" s="217"/>
      <c r="DW18" s="217"/>
      <c r="DX18" s="217"/>
      <c r="DY18" s="217"/>
      <c r="DZ18" s="217"/>
      <c r="EA18" s="217"/>
      <c r="EB18" s="217"/>
      <c r="EC18" s="217"/>
      <c r="ED18" s="217"/>
      <c r="EE18" s="217"/>
      <c r="EF18" s="217"/>
      <c r="EG18" s="217"/>
      <c r="EH18" s="217"/>
      <c r="EI18" s="217"/>
      <c r="EJ18" s="217"/>
      <c r="EK18" s="217"/>
      <c r="EL18" s="217"/>
      <c r="EM18" s="217"/>
      <c r="EN18" s="217"/>
      <c r="EO18" s="217"/>
      <c r="EP18" s="217"/>
      <c r="EQ18" s="217"/>
      <c r="ER18" s="217"/>
      <c r="ES18" s="217"/>
      <c r="ET18" s="217"/>
      <c r="EU18" s="217"/>
      <c r="EV18" s="217"/>
      <c r="EW18" s="217"/>
      <c r="EX18" s="217"/>
      <c r="EY18" s="217"/>
      <c r="EZ18" s="217"/>
      <c r="FA18" s="217"/>
      <c r="FB18" s="217"/>
      <c r="FC18" s="217"/>
      <c r="FD18" s="217"/>
      <c r="FE18" s="217"/>
      <c r="FF18" s="252"/>
      <c r="FG18" s="255">
        <v>1</v>
      </c>
      <c r="FH18" s="255"/>
      <c r="FI18" s="255"/>
      <c r="FJ18" s="255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12"/>
      <c r="LX18" s="7"/>
    </row>
    <row r="19" spans="3:336" ht="5.0999999999999996" customHeight="1" x14ac:dyDescent="0.3">
      <c r="C19" s="11"/>
      <c r="D19" s="1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R19" s="219"/>
      <c r="DS19" s="220"/>
      <c r="DT19" s="220"/>
      <c r="DU19" s="220"/>
      <c r="DV19" s="220"/>
      <c r="DW19" s="220"/>
      <c r="DX19" s="220"/>
      <c r="DY19" s="220"/>
      <c r="DZ19" s="220"/>
      <c r="EA19" s="220"/>
      <c r="EB19" s="220"/>
      <c r="EC19" s="220"/>
      <c r="ED19" s="220"/>
      <c r="EE19" s="220"/>
      <c r="EF19" s="220"/>
      <c r="EG19" s="220"/>
      <c r="EH19" s="220"/>
      <c r="EI19" s="220"/>
      <c r="EJ19" s="220"/>
      <c r="EK19" s="220"/>
      <c r="EL19" s="220"/>
      <c r="EM19" s="220"/>
      <c r="EN19" s="220"/>
      <c r="EO19" s="220"/>
      <c r="EP19" s="220"/>
      <c r="EQ19" s="220"/>
      <c r="ER19" s="220"/>
      <c r="ES19" s="220"/>
      <c r="ET19" s="220"/>
      <c r="EU19" s="220"/>
      <c r="EV19" s="220"/>
      <c r="EW19" s="220"/>
      <c r="EX19" s="220"/>
      <c r="EY19" s="220"/>
      <c r="EZ19" s="220"/>
      <c r="FA19" s="220"/>
      <c r="FB19" s="220"/>
      <c r="FC19" s="220"/>
      <c r="FD19" s="220"/>
      <c r="FE19" s="220"/>
      <c r="FF19" s="253"/>
      <c r="FG19" s="255"/>
      <c r="FH19" s="255"/>
      <c r="FI19" s="255"/>
      <c r="FJ19" s="255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156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12"/>
      <c r="LX19" s="7"/>
    </row>
    <row r="20" spans="3:336" ht="5.0999999999999996" customHeight="1" x14ac:dyDescent="0.3">
      <c r="C20" s="11"/>
      <c r="D20" s="1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R20" s="219"/>
      <c r="DS20" s="220"/>
      <c r="DT20" s="220"/>
      <c r="DU20" s="220"/>
      <c r="DV20" s="220"/>
      <c r="DW20" s="220"/>
      <c r="DX20" s="220"/>
      <c r="DY20" s="220"/>
      <c r="DZ20" s="220"/>
      <c r="EA20" s="220"/>
      <c r="EB20" s="220"/>
      <c r="EC20" s="220"/>
      <c r="ED20" s="220"/>
      <c r="EE20" s="220"/>
      <c r="EF20" s="220"/>
      <c r="EG20" s="220"/>
      <c r="EH20" s="220"/>
      <c r="EI20" s="220"/>
      <c r="EJ20" s="220"/>
      <c r="EK20" s="220"/>
      <c r="EL20" s="220"/>
      <c r="EM20" s="220"/>
      <c r="EN20" s="220"/>
      <c r="EO20" s="220"/>
      <c r="EP20" s="220"/>
      <c r="EQ20" s="220"/>
      <c r="ER20" s="220"/>
      <c r="ES20" s="220"/>
      <c r="ET20" s="220"/>
      <c r="EU20" s="220"/>
      <c r="EV20" s="220"/>
      <c r="EW20" s="220"/>
      <c r="EX20" s="220"/>
      <c r="EY20" s="220"/>
      <c r="EZ20" s="220"/>
      <c r="FA20" s="220"/>
      <c r="FB20" s="220"/>
      <c r="FC20" s="220"/>
      <c r="FD20" s="220"/>
      <c r="FE20" s="220"/>
      <c r="FF20" s="253"/>
      <c r="FG20" s="255"/>
      <c r="FH20" s="255"/>
      <c r="FI20" s="255"/>
      <c r="FJ20" s="255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156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12"/>
      <c r="LX20" s="7"/>
    </row>
    <row r="21" spans="3:336" ht="5.0999999999999996" customHeight="1" x14ac:dyDescent="0.3">
      <c r="C21" s="11"/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R21" s="219"/>
      <c r="DS21" s="220"/>
      <c r="DT21" s="220"/>
      <c r="DU21" s="220"/>
      <c r="DV21" s="220"/>
      <c r="DW21" s="220"/>
      <c r="DX21" s="220"/>
      <c r="DY21" s="220"/>
      <c r="DZ21" s="220"/>
      <c r="EA21" s="220"/>
      <c r="EB21" s="220"/>
      <c r="EC21" s="220"/>
      <c r="ED21" s="220"/>
      <c r="EE21" s="220"/>
      <c r="EF21" s="220"/>
      <c r="EG21" s="220"/>
      <c r="EH21" s="220"/>
      <c r="EI21" s="220"/>
      <c r="EJ21" s="220"/>
      <c r="EK21" s="220"/>
      <c r="EL21" s="220"/>
      <c r="EM21" s="220"/>
      <c r="EN21" s="220"/>
      <c r="EO21" s="220"/>
      <c r="EP21" s="220"/>
      <c r="EQ21" s="220"/>
      <c r="ER21" s="220"/>
      <c r="ES21" s="220"/>
      <c r="ET21" s="220"/>
      <c r="EU21" s="220"/>
      <c r="EV21" s="220"/>
      <c r="EW21" s="220"/>
      <c r="EX21" s="220"/>
      <c r="EY21" s="220"/>
      <c r="EZ21" s="220"/>
      <c r="FA21" s="220"/>
      <c r="FB21" s="220"/>
      <c r="FC21" s="220"/>
      <c r="FD21" s="220"/>
      <c r="FE21" s="220"/>
      <c r="FF21" s="253"/>
      <c r="FG21" s="255"/>
      <c r="FH21" s="255"/>
      <c r="FI21" s="255"/>
      <c r="FJ21" s="255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156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12"/>
      <c r="LX21" s="7"/>
    </row>
    <row r="22" spans="3:336" ht="5.0999999999999996" customHeight="1" x14ac:dyDescent="0.3">
      <c r="C22" s="11"/>
      <c r="D22" s="1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R22" s="219"/>
      <c r="DS22" s="220"/>
      <c r="DT22" s="220"/>
      <c r="DU22" s="220"/>
      <c r="DV22" s="220"/>
      <c r="DW22" s="220"/>
      <c r="DX22" s="220"/>
      <c r="DY22" s="220"/>
      <c r="DZ22" s="220"/>
      <c r="EA22" s="220"/>
      <c r="EB22" s="220"/>
      <c r="EC22" s="220"/>
      <c r="ED22" s="220"/>
      <c r="EE22" s="220"/>
      <c r="EF22" s="220"/>
      <c r="EG22" s="220"/>
      <c r="EH22" s="220"/>
      <c r="EI22" s="220"/>
      <c r="EJ22" s="220"/>
      <c r="EK22" s="220"/>
      <c r="EL22" s="220"/>
      <c r="EM22" s="220"/>
      <c r="EN22" s="220"/>
      <c r="EO22" s="220"/>
      <c r="EP22" s="220"/>
      <c r="EQ22" s="220"/>
      <c r="ER22" s="220"/>
      <c r="ES22" s="220"/>
      <c r="ET22" s="220"/>
      <c r="EU22" s="220"/>
      <c r="EV22" s="220"/>
      <c r="EW22" s="220"/>
      <c r="EX22" s="220"/>
      <c r="EY22" s="220"/>
      <c r="EZ22" s="220"/>
      <c r="FA22" s="220"/>
      <c r="FB22" s="220"/>
      <c r="FC22" s="220"/>
      <c r="FD22" s="220"/>
      <c r="FE22" s="220"/>
      <c r="FF22" s="253"/>
      <c r="FG22" s="255"/>
      <c r="FH22" s="255"/>
      <c r="FI22" s="255"/>
      <c r="FJ22" s="255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156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12"/>
      <c r="LX22" s="7"/>
    </row>
    <row r="23" spans="3:336" ht="5.0999999999999996" customHeight="1" x14ac:dyDescent="0.3">
      <c r="C23" s="11"/>
      <c r="D23" s="1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R23" s="219"/>
      <c r="DS23" s="220"/>
      <c r="DT23" s="220"/>
      <c r="DU23" s="220"/>
      <c r="DV23" s="220"/>
      <c r="DW23" s="220"/>
      <c r="DX23" s="220"/>
      <c r="DY23" s="220"/>
      <c r="DZ23" s="220"/>
      <c r="EA23" s="220"/>
      <c r="EB23" s="220"/>
      <c r="EC23" s="220"/>
      <c r="ED23" s="220"/>
      <c r="EE23" s="220"/>
      <c r="EF23" s="220"/>
      <c r="EG23" s="220"/>
      <c r="EH23" s="220"/>
      <c r="EI23" s="220"/>
      <c r="EJ23" s="220"/>
      <c r="EK23" s="220"/>
      <c r="EL23" s="220"/>
      <c r="EM23" s="220"/>
      <c r="EN23" s="220"/>
      <c r="EO23" s="220"/>
      <c r="EP23" s="220"/>
      <c r="EQ23" s="220"/>
      <c r="ER23" s="220"/>
      <c r="ES23" s="220"/>
      <c r="ET23" s="220"/>
      <c r="EU23" s="220"/>
      <c r="EV23" s="220"/>
      <c r="EW23" s="220"/>
      <c r="EX23" s="220"/>
      <c r="EY23" s="220"/>
      <c r="EZ23" s="220"/>
      <c r="FA23" s="220"/>
      <c r="FB23" s="220"/>
      <c r="FC23" s="220"/>
      <c r="FD23" s="220"/>
      <c r="FE23" s="220"/>
      <c r="FF23" s="253"/>
      <c r="FG23" s="255"/>
      <c r="FH23" s="255"/>
      <c r="FI23" s="255"/>
      <c r="FJ23" s="255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156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12"/>
      <c r="LX23" s="7"/>
    </row>
    <row r="24" spans="3:336" ht="5.0999999999999996" customHeight="1" x14ac:dyDescent="0.3">
      <c r="C24" s="11"/>
      <c r="D24" s="1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R24" s="219"/>
      <c r="DS24" s="220"/>
      <c r="DT24" s="220"/>
      <c r="DU24" s="220"/>
      <c r="DV24" s="220"/>
      <c r="DW24" s="220"/>
      <c r="DX24" s="220"/>
      <c r="DY24" s="220"/>
      <c r="DZ24" s="220"/>
      <c r="EA24" s="220"/>
      <c r="EB24" s="220"/>
      <c r="EC24" s="220"/>
      <c r="ED24" s="220"/>
      <c r="EE24" s="220"/>
      <c r="EF24" s="220"/>
      <c r="EG24" s="220"/>
      <c r="EH24" s="220"/>
      <c r="EI24" s="220"/>
      <c r="EJ24" s="220"/>
      <c r="EK24" s="220"/>
      <c r="EL24" s="220"/>
      <c r="EM24" s="220"/>
      <c r="EN24" s="220"/>
      <c r="EO24" s="220"/>
      <c r="EP24" s="220"/>
      <c r="EQ24" s="220"/>
      <c r="ER24" s="220"/>
      <c r="ES24" s="220"/>
      <c r="ET24" s="220"/>
      <c r="EU24" s="220"/>
      <c r="EV24" s="220"/>
      <c r="EW24" s="220"/>
      <c r="EX24" s="220"/>
      <c r="EY24" s="220"/>
      <c r="EZ24" s="220"/>
      <c r="FA24" s="220"/>
      <c r="FB24" s="220"/>
      <c r="FC24" s="220"/>
      <c r="FD24" s="220"/>
      <c r="FE24" s="220"/>
      <c r="FF24" s="253"/>
      <c r="FG24" s="255"/>
      <c r="FH24" s="255"/>
      <c r="FI24" s="255"/>
      <c r="FJ24" s="255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156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12"/>
      <c r="LX24" s="7"/>
    </row>
    <row r="25" spans="3:336" ht="5.0999999999999996" customHeight="1" x14ac:dyDescent="0.3">
      <c r="C25" s="11"/>
      <c r="D25" s="1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DR25" s="219"/>
      <c r="DS25" s="220"/>
      <c r="DT25" s="220"/>
      <c r="DU25" s="220"/>
      <c r="DV25" s="220"/>
      <c r="DW25" s="220"/>
      <c r="DX25" s="220"/>
      <c r="DY25" s="220"/>
      <c r="DZ25" s="220"/>
      <c r="EA25" s="220"/>
      <c r="EB25" s="220"/>
      <c r="EC25" s="220"/>
      <c r="ED25" s="220"/>
      <c r="EE25" s="220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D25" s="220"/>
      <c r="FE25" s="220"/>
      <c r="FF25" s="253"/>
      <c r="FG25" s="255"/>
      <c r="FH25" s="255"/>
      <c r="FI25" s="255"/>
      <c r="FJ25" s="255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156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12"/>
      <c r="LX25" s="7"/>
    </row>
    <row r="26" spans="3:336" ht="5.0999999999999996" customHeight="1" x14ac:dyDescent="0.3">
      <c r="C26" s="11"/>
      <c r="D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DR26" s="222"/>
      <c r="DS26" s="223"/>
      <c r="DT26" s="223"/>
      <c r="DU26" s="223"/>
      <c r="DV26" s="223"/>
      <c r="DW26" s="223"/>
      <c r="DX26" s="223"/>
      <c r="DY26" s="223"/>
      <c r="DZ26" s="223"/>
      <c r="EA26" s="223"/>
      <c r="EB26" s="223"/>
      <c r="EC26" s="223"/>
      <c r="ED26" s="223"/>
      <c r="EE26" s="223"/>
      <c r="EF26" s="223"/>
      <c r="EG26" s="223"/>
      <c r="EH26" s="223"/>
      <c r="EI26" s="223"/>
      <c r="EJ26" s="223"/>
      <c r="EK26" s="223"/>
      <c r="EL26" s="223"/>
      <c r="EM26" s="223"/>
      <c r="EN26" s="223"/>
      <c r="EO26" s="223"/>
      <c r="EP26" s="223"/>
      <c r="EQ26" s="223"/>
      <c r="ER26" s="223"/>
      <c r="ES26" s="223"/>
      <c r="ET26" s="223"/>
      <c r="EU26" s="223"/>
      <c r="EV26" s="223"/>
      <c r="EW26" s="223"/>
      <c r="EX26" s="223"/>
      <c r="EY26" s="223"/>
      <c r="EZ26" s="223"/>
      <c r="FA26" s="223"/>
      <c r="FB26" s="223"/>
      <c r="FC26" s="223"/>
      <c r="FD26" s="223"/>
      <c r="FE26" s="223"/>
      <c r="FF26" s="254"/>
      <c r="FG26" s="255"/>
      <c r="FH26" s="255"/>
      <c r="FI26" s="255"/>
      <c r="FJ26" s="255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156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12"/>
      <c r="LX26" s="7"/>
    </row>
    <row r="27" spans="3:336" ht="5.0999999999999996" customHeight="1" x14ac:dyDescent="0.3">
      <c r="C27" s="11"/>
      <c r="D27" s="1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EL27" s="34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156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12"/>
      <c r="LX27" s="7"/>
    </row>
    <row r="28" spans="3:336" ht="5.0999999999999996" customHeight="1" x14ac:dyDescent="0.3">
      <c r="C28" s="11"/>
      <c r="D28" s="13"/>
      <c r="E28" s="33"/>
      <c r="F28" s="33"/>
      <c r="G28" s="33"/>
      <c r="H28" s="33"/>
      <c r="I28" s="33"/>
      <c r="J28" s="33"/>
      <c r="K28" s="33"/>
      <c r="L28" s="33"/>
      <c r="M28" s="33"/>
      <c r="EL28" s="34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156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12"/>
      <c r="LX28" s="7"/>
    </row>
    <row r="29" spans="3:336" ht="5.0999999999999996" customHeight="1" x14ac:dyDescent="0.3">
      <c r="C29" s="11"/>
      <c r="D29" s="13"/>
      <c r="EL29" s="16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Y29" s="32"/>
      <c r="FZ29" s="32"/>
      <c r="JN29" s="155"/>
      <c r="LW29" s="12"/>
      <c r="LX29" s="7"/>
    </row>
    <row r="30" spans="3:336" ht="5.0999999999999996" customHeight="1" x14ac:dyDescent="0.3">
      <c r="C30" s="11"/>
      <c r="D30" s="13"/>
      <c r="EL30" s="16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Y30" s="32"/>
      <c r="FZ30" s="32"/>
      <c r="JN30" s="155"/>
      <c r="LW30" s="12"/>
      <c r="LX30" s="7"/>
    </row>
    <row r="31" spans="3:336" ht="5.0999999999999996" customHeight="1" x14ac:dyDescent="0.3">
      <c r="C31" s="11"/>
      <c r="D31" s="13"/>
      <c r="EL31" s="16"/>
      <c r="JN31" s="155"/>
      <c r="LW31" s="12"/>
      <c r="LX31" s="7"/>
    </row>
    <row r="32" spans="3:336" ht="5.0999999999999996" customHeight="1" thickBot="1" x14ac:dyDescent="0.35">
      <c r="C32" s="11"/>
      <c r="D32" s="13"/>
      <c r="EL32" s="23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JN32" s="155"/>
      <c r="LW32" s="12"/>
      <c r="LX32" s="7"/>
    </row>
    <row r="33" spans="3:336" ht="5.0999999999999996" customHeight="1" x14ac:dyDescent="0.3">
      <c r="C33" s="11"/>
      <c r="D33" s="13"/>
      <c r="EL33" s="22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0"/>
      <c r="JN33" s="155"/>
      <c r="LW33" s="12"/>
      <c r="LX33" s="7"/>
    </row>
    <row r="34" spans="3:336" ht="5.0999999999999996" customHeight="1" x14ac:dyDescent="0.3">
      <c r="C34" s="11"/>
      <c r="D34" s="13"/>
      <c r="EL34" s="16"/>
      <c r="HE34" s="19"/>
      <c r="JN34" s="155"/>
      <c r="LW34" s="12"/>
      <c r="LX34" s="7"/>
    </row>
    <row r="35" spans="3:336" ht="5.0999999999999996" customHeight="1" x14ac:dyDescent="0.3">
      <c r="C35" s="11"/>
      <c r="D35" s="13"/>
      <c r="DR35" s="184" t="s">
        <v>78</v>
      </c>
      <c r="DS35" s="185"/>
      <c r="DT35" s="185"/>
      <c r="DU35" s="185"/>
      <c r="DV35" s="185"/>
      <c r="DW35" s="185"/>
      <c r="DX35" s="185"/>
      <c r="DY35" s="185"/>
      <c r="DZ35" s="185"/>
      <c r="EA35" s="185"/>
      <c r="EB35" s="185"/>
      <c r="EC35" s="185"/>
      <c r="ED35" s="185"/>
      <c r="EE35" s="185"/>
      <c r="EF35" s="185"/>
      <c r="EG35" s="185"/>
      <c r="EH35" s="185"/>
      <c r="EI35" s="185"/>
      <c r="EJ35" s="185"/>
      <c r="EK35" s="185"/>
      <c r="EL35" s="185"/>
      <c r="EM35" s="185"/>
      <c r="EN35" s="185"/>
      <c r="EO35" s="185"/>
      <c r="EP35" s="185"/>
      <c r="EQ35" s="185"/>
      <c r="ER35" s="185"/>
      <c r="ES35" s="185"/>
      <c r="ET35" s="185"/>
      <c r="EU35" s="185"/>
      <c r="EV35" s="185"/>
      <c r="EW35" s="185"/>
      <c r="EX35" s="185"/>
      <c r="EY35" s="185"/>
      <c r="EZ35" s="185"/>
      <c r="FA35" s="185"/>
      <c r="FB35" s="185"/>
      <c r="FC35" s="185"/>
      <c r="FD35" s="185"/>
      <c r="FE35" s="185"/>
      <c r="FF35" s="263"/>
      <c r="FG35" s="256">
        <v>1</v>
      </c>
      <c r="FH35" s="257"/>
      <c r="FI35" s="257"/>
      <c r="FJ35" s="258"/>
      <c r="HE35" s="19"/>
      <c r="JN35" s="155"/>
      <c r="LW35" s="12"/>
      <c r="LX35" s="7"/>
    </row>
    <row r="36" spans="3:336" ht="3.75" customHeight="1" x14ac:dyDescent="0.3">
      <c r="C36" s="11"/>
      <c r="D36" s="13"/>
      <c r="DR36" s="187"/>
      <c r="DS36" s="188"/>
      <c r="DT36" s="188"/>
      <c r="DU36" s="188"/>
      <c r="DV36" s="188"/>
      <c r="DW36" s="188"/>
      <c r="DX36" s="188"/>
      <c r="DY36" s="188"/>
      <c r="DZ36" s="188"/>
      <c r="EA36" s="188"/>
      <c r="EB36" s="188"/>
      <c r="EC36" s="188"/>
      <c r="ED36" s="188"/>
      <c r="EE36" s="188"/>
      <c r="EF36" s="188"/>
      <c r="EG36" s="188"/>
      <c r="EH36" s="188"/>
      <c r="EI36" s="188"/>
      <c r="EJ36" s="188"/>
      <c r="EK36" s="188"/>
      <c r="EL36" s="188"/>
      <c r="EM36" s="188"/>
      <c r="EN36" s="188"/>
      <c r="EO36" s="188"/>
      <c r="EP36" s="188"/>
      <c r="EQ36" s="188"/>
      <c r="ER36" s="188"/>
      <c r="ES36" s="188"/>
      <c r="ET36" s="188"/>
      <c r="EU36" s="188"/>
      <c r="EV36" s="188"/>
      <c r="EW36" s="188"/>
      <c r="EX36" s="188"/>
      <c r="EY36" s="188"/>
      <c r="EZ36" s="188"/>
      <c r="FA36" s="188"/>
      <c r="FB36" s="188"/>
      <c r="FC36" s="188"/>
      <c r="FD36" s="188"/>
      <c r="FE36" s="188"/>
      <c r="FF36" s="238"/>
      <c r="FG36" s="259"/>
      <c r="FH36" s="220"/>
      <c r="FI36" s="220"/>
      <c r="FJ36" s="253"/>
      <c r="HE36" s="19"/>
      <c r="JN36" s="155"/>
      <c r="LW36" s="12"/>
      <c r="LX36" s="7"/>
    </row>
    <row r="37" spans="3:336" ht="5.0999999999999996" customHeight="1" x14ac:dyDescent="0.3">
      <c r="C37" s="11"/>
      <c r="D37" s="13"/>
      <c r="DR37" s="187"/>
      <c r="DS37" s="188"/>
      <c r="DT37" s="188"/>
      <c r="DU37" s="188"/>
      <c r="DV37" s="188"/>
      <c r="DW37" s="188"/>
      <c r="DX37" s="188"/>
      <c r="DY37" s="188"/>
      <c r="DZ37" s="188"/>
      <c r="EA37" s="188"/>
      <c r="EB37" s="188"/>
      <c r="EC37" s="188"/>
      <c r="ED37" s="188"/>
      <c r="EE37" s="188"/>
      <c r="EF37" s="188"/>
      <c r="EG37" s="188"/>
      <c r="EH37" s="188"/>
      <c r="EI37" s="188"/>
      <c r="EJ37" s="188"/>
      <c r="EK37" s="188"/>
      <c r="EL37" s="188"/>
      <c r="EM37" s="188"/>
      <c r="EN37" s="188"/>
      <c r="EO37" s="188"/>
      <c r="EP37" s="188"/>
      <c r="EQ37" s="188"/>
      <c r="ER37" s="188"/>
      <c r="ES37" s="188"/>
      <c r="ET37" s="188"/>
      <c r="EU37" s="188"/>
      <c r="EV37" s="188"/>
      <c r="EW37" s="188"/>
      <c r="EX37" s="188"/>
      <c r="EY37" s="188"/>
      <c r="EZ37" s="188"/>
      <c r="FA37" s="188"/>
      <c r="FB37" s="188"/>
      <c r="FC37" s="188"/>
      <c r="FD37" s="188"/>
      <c r="FE37" s="188"/>
      <c r="FF37" s="238"/>
      <c r="FG37" s="259"/>
      <c r="FH37" s="220"/>
      <c r="FI37" s="220"/>
      <c r="FJ37" s="253"/>
      <c r="GH37" s="256" t="s">
        <v>15</v>
      </c>
      <c r="GI37" s="257"/>
      <c r="GJ37" s="257"/>
      <c r="GK37" s="257"/>
      <c r="GL37" s="257"/>
      <c r="GM37" s="257"/>
      <c r="GN37" s="257"/>
      <c r="GO37" s="257"/>
      <c r="GP37" s="257"/>
      <c r="GQ37" s="257"/>
      <c r="GR37" s="257"/>
      <c r="GS37" s="257"/>
      <c r="GT37" s="257"/>
      <c r="GU37" s="257"/>
      <c r="GV37" s="257"/>
      <c r="GW37" s="257"/>
      <c r="GX37" s="257"/>
      <c r="GY37" s="257"/>
      <c r="GZ37" s="257"/>
      <c r="HA37" s="257"/>
      <c r="HB37" s="257"/>
      <c r="HC37" s="257"/>
      <c r="HD37" s="257"/>
      <c r="HE37" s="257"/>
      <c r="HF37" s="257"/>
      <c r="HG37" s="257"/>
      <c r="HH37" s="257"/>
      <c r="HI37" s="257"/>
      <c r="HJ37" s="257"/>
      <c r="HK37" s="257"/>
      <c r="HL37" s="257"/>
      <c r="HM37" s="257"/>
      <c r="HN37" s="257"/>
      <c r="HO37" s="257"/>
      <c r="HP37" s="257"/>
      <c r="HQ37" s="257"/>
      <c r="HR37" s="257"/>
      <c r="HS37" s="257"/>
      <c r="HT37" s="257"/>
      <c r="HU37" s="257"/>
      <c r="HV37" s="258"/>
      <c r="HW37" s="255">
        <f>SUM(HW48)</f>
        <v>1</v>
      </c>
      <c r="HX37" s="255"/>
      <c r="HY37" s="255"/>
      <c r="HZ37" s="255"/>
      <c r="IA37" s="255"/>
      <c r="IB37" s="255"/>
      <c r="JN37" s="155"/>
      <c r="LW37" s="12"/>
      <c r="LX37" s="7"/>
    </row>
    <row r="38" spans="3:336" ht="5.0999999999999996" customHeight="1" x14ac:dyDescent="0.3">
      <c r="C38" s="11"/>
      <c r="D38" s="13"/>
      <c r="DR38" s="187"/>
      <c r="DS38" s="188"/>
      <c r="DT38" s="188"/>
      <c r="DU38" s="188"/>
      <c r="DV38" s="188"/>
      <c r="DW38" s="188"/>
      <c r="DX38" s="188"/>
      <c r="DY38" s="188"/>
      <c r="DZ38" s="188"/>
      <c r="EA38" s="188"/>
      <c r="EB38" s="188"/>
      <c r="EC38" s="188"/>
      <c r="ED38" s="188"/>
      <c r="EE38" s="188"/>
      <c r="EF38" s="188"/>
      <c r="EG38" s="188"/>
      <c r="EH38" s="188"/>
      <c r="EI38" s="188"/>
      <c r="EJ38" s="188"/>
      <c r="EK38" s="188"/>
      <c r="EL38" s="188"/>
      <c r="EM38" s="188"/>
      <c r="EN38" s="188"/>
      <c r="EO38" s="188"/>
      <c r="EP38" s="188"/>
      <c r="EQ38" s="188"/>
      <c r="ER38" s="188"/>
      <c r="ES38" s="188"/>
      <c r="ET38" s="188"/>
      <c r="EU38" s="188"/>
      <c r="EV38" s="188"/>
      <c r="EW38" s="188"/>
      <c r="EX38" s="188"/>
      <c r="EY38" s="188"/>
      <c r="EZ38" s="188"/>
      <c r="FA38" s="188"/>
      <c r="FB38" s="188"/>
      <c r="FC38" s="188"/>
      <c r="FD38" s="188"/>
      <c r="FE38" s="188"/>
      <c r="FF38" s="238"/>
      <c r="FG38" s="259"/>
      <c r="FH38" s="220"/>
      <c r="FI38" s="220"/>
      <c r="FJ38" s="253"/>
      <c r="GH38" s="259"/>
      <c r="GI38" s="220"/>
      <c r="GJ38" s="220"/>
      <c r="GK38" s="220"/>
      <c r="GL38" s="220"/>
      <c r="GM38" s="220"/>
      <c r="GN38" s="220"/>
      <c r="GO38" s="220"/>
      <c r="GP38" s="220"/>
      <c r="GQ38" s="220"/>
      <c r="GR38" s="220"/>
      <c r="GS38" s="220"/>
      <c r="GT38" s="220"/>
      <c r="GU38" s="220"/>
      <c r="GV38" s="220"/>
      <c r="GW38" s="220"/>
      <c r="GX38" s="220"/>
      <c r="GY38" s="220"/>
      <c r="GZ38" s="220"/>
      <c r="HA38" s="220"/>
      <c r="HB38" s="220"/>
      <c r="HC38" s="220"/>
      <c r="HD38" s="220"/>
      <c r="HE38" s="220"/>
      <c r="HF38" s="220"/>
      <c r="HG38" s="220"/>
      <c r="HH38" s="220"/>
      <c r="HI38" s="220"/>
      <c r="HJ38" s="220"/>
      <c r="HK38" s="220"/>
      <c r="HL38" s="220"/>
      <c r="HM38" s="220"/>
      <c r="HN38" s="220"/>
      <c r="HO38" s="220"/>
      <c r="HP38" s="220"/>
      <c r="HQ38" s="220"/>
      <c r="HR38" s="220"/>
      <c r="HS38" s="220"/>
      <c r="HT38" s="220"/>
      <c r="HU38" s="220"/>
      <c r="HV38" s="253"/>
      <c r="HW38" s="255"/>
      <c r="HX38" s="255"/>
      <c r="HY38" s="255"/>
      <c r="HZ38" s="255"/>
      <c r="IA38" s="255"/>
      <c r="IB38" s="255"/>
      <c r="JN38" s="155"/>
      <c r="LW38" s="12"/>
      <c r="LX38" s="7"/>
    </row>
    <row r="39" spans="3:336" ht="5.0999999999999996" customHeight="1" x14ac:dyDescent="0.3">
      <c r="C39" s="11"/>
      <c r="D39" s="13"/>
      <c r="DR39" s="187"/>
      <c r="DS39" s="188"/>
      <c r="DT39" s="188"/>
      <c r="DU39" s="188"/>
      <c r="DV39" s="188"/>
      <c r="DW39" s="188"/>
      <c r="DX39" s="188"/>
      <c r="DY39" s="188"/>
      <c r="DZ39" s="188"/>
      <c r="EA39" s="188"/>
      <c r="EB39" s="188"/>
      <c r="EC39" s="188"/>
      <c r="ED39" s="188"/>
      <c r="EE39" s="188"/>
      <c r="EF39" s="188"/>
      <c r="EG39" s="188"/>
      <c r="EH39" s="188"/>
      <c r="EI39" s="188"/>
      <c r="EJ39" s="188"/>
      <c r="EK39" s="188"/>
      <c r="EL39" s="188"/>
      <c r="EM39" s="188"/>
      <c r="EN39" s="188"/>
      <c r="EO39" s="188"/>
      <c r="EP39" s="188"/>
      <c r="EQ39" s="188"/>
      <c r="ER39" s="188"/>
      <c r="ES39" s="188"/>
      <c r="ET39" s="188"/>
      <c r="EU39" s="188"/>
      <c r="EV39" s="188"/>
      <c r="EW39" s="188"/>
      <c r="EX39" s="188"/>
      <c r="EY39" s="188"/>
      <c r="EZ39" s="188"/>
      <c r="FA39" s="188"/>
      <c r="FB39" s="188"/>
      <c r="FC39" s="188"/>
      <c r="FD39" s="188"/>
      <c r="FE39" s="188"/>
      <c r="FF39" s="238"/>
      <c r="FG39" s="259"/>
      <c r="FH39" s="220"/>
      <c r="FI39" s="220"/>
      <c r="FJ39" s="253"/>
      <c r="GH39" s="259"/>
      <c r="GI39" s="220"/>
      <c r="GJ39" s="220"/>
      <c r="GK39" s="220"/>
      <c r="GL39" s="220"/>
      <c r="GM39" s="220"/>
      <c r="GN39" s="220"/>
      <c r="GO39" s="220"/>
      <c r="GP39" s="220"/>
      <c r="GQ39" s="220"/>
      <c r="GR39" s="220"/>
      <c r="GS39" s="220"/>
      <c r="GT39" s="220"/>
      <c r="GU39" s="220"/>
      <c r="GV39" s="220"/>
      <c r="GW39" s="220"/>
      <c r="GX39" s="220"/>
      <c r="GY39" s="220"/>
      <c r="GZ39" s="220"/>
      <c r="HA39" s="220"/>
      <c r="HB39" s="220"/>
      <c r="HC39" s="220"/>
      <c r="HD39" s="220"/>
      <c r="HE39" s="220"/>
      <c r="HF39" s="220"/>
      <c r="HG39" s="220"/>
      <c r="HH39" s="220"/>
      <c r="HI39" s="220"/>
      <c r="HJ39" s="220"/>
      <c r="HK39" s="220"/>
      <c r="HL39" s="220"/>
      <c r="HM39" s="220"/>
      <c r="HN39" s="220"/>
      <c r="HO39" s="220"/>
      <c r="HP39" s="220"/>
      <c r="HQ39" s="220"/>
      <c r="HR39" s="220"/>
      <c r="HS39" s="220"/>
      <c r="HT39" s="220"/>
      <c r="HU39" s="220"/>
      <c r="HV39" s="253"/>
      <c r="HW39" s="255"/>
      <c r="HX39" s="255"/>
      <c r="HY39" s="255"/>
      <c r="HZ39" s="255"/>
      <c r="IA39" s="255"/>
      <c r="IB39" s="255"/>
      <c r="JN39" s="155"/>
      <c r="LW39" s="12"/>
      <c r="LX39" s="7"/>
    </row>
    <row r="40" spans="3:336" ht="5.0999999999999996" customHeight="1" x14ac:dyDescent="0.3">
      <c r="C40" s="11"/>
      <c r="D40" s="13"/>
      <c r="DR40" s="187"/>
      <c r="DS40" s="188"/>
      <c r="DT40" s="188"/>
      <c r="DU40" s="188"/>
      <c r="DV40" s="188"/>
      <c r="DW40" s="188"/>
      <c r="DX40" s="188"/>
      <c r="DY40" s="188"/>
      <c r="DZ40" s="188"/>
      <c r="EA40" s="188"/>
      <c r="EB40" s="188"/>
      <c r="EC40" s="188"/>
      <c r="ED40" s="188"/>
      <c r="EE40" s="188"/>
      <c r="EF40" s="188"/>
      <c r="EG40" s="188"/>
      <c r="EH40" s="188"/>
      <c r="EI40" s="188"/>
      <c r="EJ40" s="188"/>
      <c r="EK40" s="188"/>
      <c r="EL40" s="188"/>
      <c r="EM40" s="188"/>
      <c r="EN40" s="188"/>
      <c r="EO40" s="188"/>
      <c r="EP40" s="188"/>
      <c r="EQ40" s="188"/>
      <c r="ER40" s="188"/>
      <c r="ES40" s="188"/>
      <c r="ET40" s="188"/>
      <c r="EU40" s="188"/>
      <c r="EV40" s="188"/>
      <c r="EW40" s="188"/>
      <c r="EX40" s="188"/>
      <c r="EY40" s="188"/>
      <c r="EZ40" s="188"/>
      <c r="FA40" s="188"/>
      <c r="FB40" s="188"/>
      <c r="FC40" s="188"/>
      <c r="FD40" s="188"/>
      <c r="FE40" s="188"/>
      <c r="FF40" s="238"/>
      <c r="FG40" s="259"/>
      <c r="FH40" s="220"/>
      <c r="FI40" s="220"/>
      <c r="FJ40" s="253"/>
      <c r="GH40" s="259"/>
      <c r="GI40" s="220"/>
      <c r="GJ40" s="220"/>
      <c r="GK40" s="220"/>
      <c r="GL40" s="220"/>
      <c r="GM40" s="220"/>
      <c r="GN40" s="220"/>
      <c r="GO40" s="220"/>
      <c r="GP40" s="220"/>
      <c r="GQ40" s="220"/>
      <c r="GR40" s="220"/>
      <c r="GS40" s="220"/>
      <c r="GT40" s="220"/>
      <c r="GU40" s="220"/>
      <c r="GV40" s="220"/>
      <c r="GW40" s="220"/>
      <c r="GX40" s="220"/>
      <c r="GY40" s="220"/>
      <c r="GZ40" s="220"/>
      <c r="HA40" s="220"/>
      <c r="HB40" s="220"/>
      <c r="HC40" s="220"/>
      <c r="HD40" s="220"/>
      <c r="HE40" s="220"/>
      <c r="HF40" s="220"/>
      <c r="HG40" s="220"/>
      <c r="HH40" s="220"/>
      <c r="HI40" s="220"/>
      <c r="HJ40" s="220"/>
      <c r="HK40" s="220"/>
      <c r="HL40" s="220"/>
      <c r="HM40" s="220"/>
      <c r="HN40" s="220"/>
      <c r="HO40" s="220"/>
      <c r="HP40" s="220"/>
      <c r="HQ40" s="220"/>
      <c r="HR40" s="220"/>
      <c r="HS40" s="220"/>
      <c r="HT40" s="220"/>
      <c r="HU40" s="220"/>
      <c r="HV40" s="253"/>
      <c r="HW40" s="255"/>
      <c r="HX40" s="255"/>
      <c r="HY40" s="255"/>
      <c r="HZ40" s="255"/>
      <c r="IA40" s="255"/>
      <c r="IB40" s="255"/>
      <c r="JN40" s="155"/>
      <c r="LW40" s="12"/>
      <c r="LX40" s="7"/>
    </row>
    <row r="41" spans="3:336" ht="5.0999999999999996" customHeight="1" x14ac:dyDescent="0.3">
      <c r="C41" s="11"/>
      <c r="D41" s="13"/>
      <c r="DR41" s="187"/>
      <c r="DS41" s="188"/>
      <c r="DT41" s="188"/>
      <c r="DU41" s="188"/>
      <c r="DV41" s="188"/>
      <c r="DW41" s="188"/>
      <c r="DX41" s="188"/>
      <c r="DY41" s="188"/>
      <c r="DZ41" s="188"/>
      <c r="EA41" s="188"/>
      <c r="EB41" s="188"/>
      <c r="EC41" s="188"/>
      <c r="ED41" s="188"/>
      <c r="EE41" s="188"/>
      <c r="EF41" s="188"/>
      <c r="EG41" s="188"/>
      <c r="EH41" s="188"/>
      <c r="EI41" s="188"/>
      <c r="EJ41" s="188"/>
      <c r="EK41" s="188"/>
      <c r="EL41" s="188"/>
      <c r="EM41" s="188"/>
      <c r="EN41" s="188"/>
      <c r="EO41" s="188"/>
      <c r="EP41" s="188"/>
      <c r="EQ41" s="188"/>
      <c r="ER41" s="188"/>
      <c r="ES41" s="188"/>
      <c r="ET41" s="188"/>
      <c r="EU41" s="188"/>
      <c r="EV41" s="188"/>
      <c r="EW41" s="188"/>
      <c r="EX41" s="188"/>
      <c r="EY41" s="188"/>
      <c r="EZ41" s="188"/>
      <c r="FA41" s="188"/>
      <c r="FB41" s="188"/>
      <c r="FC41" s="188"/>
      <c r="FD41" s="188"/>
      <c r="FE41" s="188"/>
      <c r="FF41" s="238"/>
      <c r="FG41" s="259"/>
      <c r="FH41" s="220"/>
      <c r="FI41" s="220"/>
      <c r="FJ41" s="253"/>
      <c r="GH41" s="259"/>
      <c r="GI41" s="220"/>
      <c r="GJ41" s="220"/>
      <c r="GK41" s="220"/>
      <c r="GL41" s="220"/>
      <c r="GM41" s="220"/>
      <c r="GN41" s="220"/>
      <c r="GO41" s="220"/>
      <c r="GP41" s="220"/>
      <c r="GQ41" s="220"/>
      <c r="GR41" s="220"/>
      <c r="GS41" s="220"/>
      <c r="GT41" s="220"/>
      <c r="GU41" s="220"/>
      <c r="GV41" s="220"/>
      <c r="GW41" s="220"/>
      <c r="GX41" s="220"/>
      <c r="GY41" s="220"/>
      <c r="GZ41" s="220"/>
      <c r="HA41" s="220"/>
      <c r="HB41" s="220"/>
      <c r="HC41" s="220"/>
      <c r="HD41" s="220"/>
      <c r="HE41" s="220"/>
      <c r="HF41" s="220"/>
      <c r="HG41" s="220"/>
      <c r="HH41" s="220"/>
      <c r="HI41" s="220"/>
      <c r="HJ41" s="220"/>
      <c r="HK41" s="220"/>
      <c r="HL41" s="220"/>
      <c r="HM41" s="220"/>
      <c r="HN41" s="220"/>
      <c r="HO41" s="220"/>
      <c r="HP41" s="220"/>
      <c r="HQ41" s="220"/>
      <c r="HR41" s="220"/>
      <c r="HS41" s="220"/>
      <c r="HT41" s="220"/>
      <c r="HU41" s="220"/>
      <c r="HV41" s="253"/>
      <c r="HW41" s="255"/>
      <c r="HX41" s="255"/>
      <c r="HY41" s="255"/>
      <c r="HZ41" s="255"/>
      <c r="IA41" s="255"/>
      <c r="IB41" s="255"/>
      <c r="JN41" s="155"/>
      <c r="LW41" s="12"/>
      <c r="LX41" s="7"/>
    </row>
    <row r="42" spans="3:336" ht="5.0999999999999996" customHeight="1" x14ac:dyDescent="0.3">
      <c r="C42" s="11"/>
      <c r="D42" s="13"/>
      <c r="DR42" s="187"/>
      <c r="DS42" s="188"/>
      <c r="DT42" s="188"/>
      <c r="DU42" s="188"/>
      <c r="DV42" s="188"/>
      <c r="DW42" s="188"/>
      <c r="DX42" s="188"/>
      <c r="DY42" s="188"/>
      <c r="DZ42" s="188"/>
      <c r="EA42" s="188"/>
      <c r="EB42" s="188"/>
      <c r="EC42" s="188"/>
      <c r="ED42" s="188"/>
      <c r="EE42" s="188"/>
      <c r="EF42" s="188"/>
      <c r="EG42" s="188"/>
      <c r="EH42" s="188"/>
      <c r="EI42" s="188"/>
      <c r="EJ42" s="188"/>
      <c r="EK42" s="188"/>
      <c r="EL42" s="188"/>
      <c r="EM42" s="188"/>
      <c r="EN42" s="188"/>
      <c r="EO42" s="188"/>
      <c r="EP42" s="188"/>
      <c r="EQ42" s="188"/>
      <c r="ER42" s="188"/>
      <c r="ES42" s="188"/>
      <c r="ET42" s="188"/>
      <c r="EU42" s="188"/>
      <c r="EV42" s="188"/>
      <c r="EW42" s="188"/>
      <c r="EX42" s="188"/>
      <c r="EY42" s="188"/>
      <c r="EZ42" s="188"/>
      <c r="FA42" s="188"/>
      <c r="FB42" s="188"/>
      <c r="FC42" s="188"/>
      <c r="FD42" s="188"/>
      <c r="FE42" s="188"/>
      <c r="FF42" s="238"/>
      <c r="FG42" s="259"/>
      <c r="FH42" s="220"/>
      <c r="FI42" s="220"/>
      <c r="FJ42" s="253"/>
      <c r="GH42" s="259"/>
      <c r="GI42" s="220"/>
      <c r="GJ42" s="220"/>
      <c r="GK42" s="220"/>
      <c r="GL42" s="220"/>
      <c r="GM42" s="220"/>
      <c r="GN42" s="220"/>
      <c r="GO42" s="220"/>
      <c r="GP42" s="220"/>
      <c r="GQ42" s="220"/>
      <c r="GR42" s="220"/>
      <c r="GS42" s="220"/>
      <c r="GT42" s="220"/>
      <c r="GU42" s="220"/>
      <c r="GV42" s="220"/>
      <c r="GW42" s="220"/>
      <c r="GX42" s="220"/>
      <c r="GY42" s="220"/>
      <c r="GZ42" s="220"/>
      <c r="HA42" s="220"/>
      <c r="HB42" s="220"/>
      <c r="HC42" s="220"/>
      <c r="HD42" s="220"/>
      <c r="HE42" s="220"/>
      <c r="HF42" s="220"/>
      <c r="HG42" s="220"/>
      <c r="HH42" s="220"/>
      <c r="HI42" s="220"/>
      <c r="HJ42" s="220"/>
      <c r="HK42" s="220"/>
      <c r="HL42" s="220"/>
      <c r="HM42" s="220"/>
      <c r="HN42" s="220"/>
      <c r="HO42" s="220"/>
      <c r="HP42" s="220"/>
      <c r="HQ42" s="220"/>
      <c r="HR42" s="220"/>
      <c r="HS42" s="220"/>
      <c r="HT42" s="220"/>
      <c r="HU42" s="220"/>
      <c r="HV42" s="253"/>
      <c r="HW42" s="255"/>
      <c r="HX42" s="255"/>
      <c r="HY42" s="255"/>
      <c r="HZ42" s="255"/>
      <c r="IA42" s="255"/>
      <c r="IB42" s="255"/>
      <c r="JN42" s="155"/>
      <c r="LW42" s="12"/>
      <c r="LX42" s="7"/>
    </row>
    <row r="43" spans="3:336" ht="5.0999999999999996" customHeight="1" x14ac:dyDescent="0.3">
      <c r="C43" s="11"/>
      <c r="D43" s="13"/>
      <c r="DR43" s="190"/>
      <c r="DS43" s="191"/>
      <c r="DT43" s="191"/>
      <c r="DU43" s="191"/>
      <c r="DV43" s="191"/>
      <c r="DW43" s="191"/>
      <c r="DX43" s="191"/>
      <c r="DY43" s="191"/>
      <c r="DZ43" s="191"/>
      <c r="EA43" s="191"/>
      <c r="EB43" s="191"/>
      <c r="EC43" s="191"/>
      <c r="ED43" s="191"/>
      <c r="EE43" s="191"/>
      <c r="EF43" s="191"/>
      <c r="EG43" s="191"/>
      <c r="EH43" s="191"/>
      <c r="EI43" s="191"/>
      <c r="EJ43" s="191"/>
      <c r="EK43" s="191"/>
      <c r="EL43" s="191"/>
      <c r="EM43" s="191"/>
      <c r="EN43" s="191"/>
      <c r="EO43" s="191"/>
      <c r="EP43" s="191"/>
      <c r="EQ43" s="191"/>
      <c r="ER43" s="191"/>
      <c r="ES43" s="191"/>
      <c r="ET43" s="191"/>
      <c r="EU43" s="191"/>
      <c r="EV43" s="191"/>
      <c r="EW43" s="191"/>
      <c r="EX43" s="191"/>
      <c r="EY43" s="191"/>
      <c r="EZ43" s="191"/>
      <c r="FA43" s="191"/>
      <c r="FB43" s="191"/>
      <c r="FC43" s="191"/>
      <c r="FD43" s="191"/>
      <c r="FE43" s="191"/>
      <c r="FF43" s="264"/>
      <c r="FG43" s="260"/>
      <c r="FH43" s="261"/>
      <c r="FI43" s="261"/>
      <c r="FJ43" s="262"/>
      <c r="GH43" s="259"/>
      <c r="GI43" s="220"/>
      <c r="GJ43" s="220"/>
      <c r="GK43" s="220"/>
      <c r="GL43" s="220"/>
      <c r="GM43" s="220"/>
      <c r="GN43" s="220"/>
      <c r="GO43" s="220"/>
      <c r="GP43" s="220"/>
      <c r="GQ43" s="220"/>
      <c r="GR43" s="220"/>
      <c r="GS43" s="220"/>
      <c r="GT43" s="220"/>
      <c r="GU43" s="220"/>
      <c r="GV43" s="220"/>
      <c r="GW43" s="220"/>
      <c r="GX43" s="220"/>
      <c r="GY43" s="220"/>
      <c r="GZ43" s="220"/>
      <c r="HA43" s="220"/>
      <c r="HB43" s="220"/>
      <c r="HC43" s="220"/>
      <c r="HD43" s="220"/>
      <c r="HE43" s="220"/>
      <c r="HF43" s="220"/>
      <c r="HG43" s="220"/>
      <c r="HH43" s="220"/>
      <c r="HI43" s="220"/>
      <c r="HJ43" s="220"/>
      <c r="HK43" s="220"/>
      <c r="HL43" s="220"/>
      <c r="HM43" s="220"/>
      <c r="HN43" s="220"/>
      <c r="HO43" s="220"/>
      <c r="HP43" s="220"/>
      <c r="HQ43" s="220"/>
      <c r="HR43" s="220"/>
      <c r="HS43" s="220"/>
      <c r="HT43" s="220"/>
      <c r="HU43" s="220"/>
      <c r="HV43" s="253"/>
      <c r="HW43" s="255"/>
      <c r="HX43" s="255"/>
      <c r="HY43" s="255"/>
      <c r="HZ43" s="255"/>
      <c r="IA43" s="255"/>
      <c r="IB43" s="255"/>
      <c r="JN43" s="155"/>
      <c r="LW43" s="12"/>
      <c r="LX43" s="7"/>
    </row>
    <row r="44" spans="3:336" ht="5.0999999999999996" customHeight="1" x14ac:dyDescent="0.3">
      <c r="C44" s="11"/>
      <c r="D44" s="13"/>
      <c r="EL44" s="16"/>
      <c r="GH44" s="259"/>
      <c r="GI44" s="220"/>
      <c r="GJ44" s="220"/>
      <c r="GK44" s="220"/>
      <c r="GL44" s="220"/>
      <c r="GM44" s="220"/>
      <c r="GN44" s="220"/>
      <c r="GO44" s="220"/>
      <c r="GP44" s="220"/>
      <c r="GQ44" s="220"/>
      <c r="GR44" s="220"/>
      <c r="GS44" s="220"/>
      <c r="GT44" s="220"/>
      <c r="GU44" s="220"/>
      <c r="GV44" s="220"/>
      <c r="GW44" s="220"/>
      <c r="GX44" s="220"/>
      <c r="GY44" s="220"/>
      <c r="GZ44" s="220"/>
      <c r="HA44" s="220"/>
      <c r="HB44" s="220"/>
      <c r="HC44" s="220"/>
      <c r="HD44" s="220"/>
      <c r="HE44" s="220"/>
      <c r="HF44" s="220"/>
      <c r="HG44" s="220"/>
      <c r="HH44" s="220"/>
      <c r="HI44" s="220"/>
      <c r="HJ44" s="220"/>
      <c r="HK44" s="220"/>
      <c r="HL44" s="220"/>
      <c r="HM44" s="220"/>
      <c r="HN44" s="220"/>
      <c r="HO44" s="220"/>
      <c r="HP44" s="220"/>
      <c r="HQ44" s="220"/>
      <c r="HR44" s="220"/>
      <c r="HS44" s="220"/>
      <c r="HT44" s="220"/>
      <c r="HU44" s="220"/>
      <c r="HV44" s="253"/>
      <c r="HW44" s="255"/>
      <c r="HX44" s="255"/>
      <c r="HY44" s="255"/>
      <c r="HZ44" s="255"/>
      <c r="IA44" s="255"/>
      <c r="IB44" s="255"/>
      <c r="JN44" s="155"/>
      <c r="LW44" s="12"/>
      <c r="LX44" s="7"/>
    </row>
    <row r="45" spans="3:336" ht="5.0999999999999996" customHeight="1" x14ac:dyDescent="0.3">
      <c r="C45" s="11"/>
      <c r="D45" s="13"/>
      <c r="EL45" s="16"/>
      <c r="GH45" s="259"/>
      <c r="GI45" s="220"/>
      <c r="GJ45" s="220"/>
      <c r="GK45" s="220"/>
      <c r="GL45" s="220"/>
      <c r="GM45" s="220"/>
      <c r="GN45" s="220"/>
      <c r="GO45" s="220"/>
      <c r="GP45" s="220"/>
      <c r="GQ45" s="220"/>
      <c r="GR45" s="220"/>
      <c r="GS45" s="220"/>
      <c r="GT45" s="220"/>
      <c r="GU45" s="220"/>
      <c r="GV45" s="220"/>
      <c r="GW45" s="220"/>
      <c r="GX45" s="220"/>
      <c r="GY45" s="220"/>
      <c r="GZ45" s="220"/>
      <c r="HA45" s="220"/>
      <c r="HB45" s="220"/>
      <c r="HC45" s="220"/>
      <c r="HD45" s="220"/>
      <c r="HE45" s="220"/>
      <c r="HF45" s="220"/>
      <c r="HG45" s="220"/>
      <c r="HH45" s="220"/>
      <c r="HI45" s="220"/>
      <c r="HJ45" s="220"/>
      <c r="HK45" s="220"/>
      <c r="HL45" s="220"/>
      <c r="HM45" s="220"/>
      <c r="HN45" s="220"/>
      <c r="HO45" s="220"/>
      <c r="HP45" s="220"/>
      <c r="HQ45" s="220"/>
      <c r="HR45" s="220"/>
      <c r="HS45" s="220"/>
      <c r="HT45" s="220"/>
      <c r="HU45" s="220"/>
      <c r="HV45" s="253"/>
      <c r="HW45" s="255"/>
      <c r="HX45" s="255"/>
      <c r="HY45" s="255"/>
      <c r="HZ45" s="255"/>
      <c r="IA45" s="255"/>
      <c r="IB45" s="255"/>
      <c r="JN45" s="155"/>
      <c r="LW45" s="12"/>
      <c r="LX45" s="7"/>
    </row>
    <row r="46" spans="3:336" ht="5.0999999999999996" customHeight="1" x14ac:dyDescent="0.3">
      <c r="C46" s="11"/>
      <c r="D46" s="13"/>
      <c r="EL46" s="16"/>
      <c r="GH46" s="260"/>
      <c r="GI46" s="261"/>
      <c r="GJ46" s="261"/>
      <c r="GK46" s="261"/>
      <c r="GL46" s="261"/>
      <c r="GM46" s="261"/>
      <c r="GN46" s="261"/>
      <c r="GO46" s="261"/>
      <c r="GP46" s="261"/>
      <c r="GQ46" s="261"/>
      <c r="GR46" s="261"/>
      <c r="GS46" s="261"/>
      <c r="GT46" s="261"/>
      <c r="GU46" s="261"/>
      <c r="GV46" s="261"/>
      <c r="GW46" s="261"/>
      <c r="GX46" s="261"/>
      <c r="GY46" s="261"/>
      <c r="GZ46" s="261"/>
      <c r="HA46" s="261"/>
      <c r="HB46" s="261"/>
      <c r="HC46" s="261"/>
      <c r="HD46" s="261"/>
      <c r="HE46" s="261"/>
      <c r="HF46" s="261"/>
      <c r="HG46" s="261"/>
      <c r="HH46" s="261"/>
      <c r="HI46" s="261"/>
      <c r="HJ46" s="261"/>
      <c r="HK46" s="261"/>
      <c r="HL46" s="261"/>
      <c r="HM46" s="261"/>
      <c r="HN46" s="261"/>
      <c r="HO46" s="261"/>
      <c r="HP46" s="261"/>
      <c r="HQ46" s="261"/>
      <c r="HR46" s="261"/>
      <c r="HS46" s="261"/>
      <c r="HT46" s="261"/>
      <c r="HU46" s="261"/>
      <c r="HV46" s="262"/>
      <c r="HW46" s="255"/>
      <c r="HX46" s="255"/>
      <c r="HY46" s="255"/>
      <c r="HZ46" s="255"/>
      <c r="IA46" s="255"/>
      <c r="IB46" s="255"/>
      <c r="JN46" s="155"/>
      <c r="LW46" s="12"/>
      <c r="LX46" s="7"/>
    </row>
    <row r="47" spans="3:336" ht="5.0999999999999996" customHeight="1" thickBot="1" x14ac:dyDescent="0.35">
      <c r="C47" s="11"/>
      <c r="D47" s="13"/>
      <c r="EL47" s="16"/>
      <c r="HF47" s="28"/>
      <c r="JN47" s="155"/>
      <c r="LW47" s="12"/>
      <c r="LX47" s="7"/>
    </row>
    <row r="48" spans="3:336" ht="5.0999999999999996" customHeight="1" x14ac:dyDescent="0.3">
      <c r="C48" s="11"/>
      <c r="D48" s="13"/>
      <c r="AN48" s="22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0"/>
      <c r="EL48" s="16"/>
      <c r="GH48" s="234" t="s">
        <v>62</v>
      </c>
      <c r="GI48" s="235"/>
      <c r="GJ48" s="235"/>
      <c r="GK48" s="235"/>
      <c r="GL48" s="235"/>
      <c r="GM48" s="235"/>
      <c r="GN48" s="235"/>
      <c r="GO48" s="235"/>
      <c r="GP48" s="235"/>
      <c r="GQ48" s="235"/>
      <c r="GR48" s="235"/>
      <c r="GS48" s="235"/>
      <c r="GT48" s="235"/>
      <c r="GU48" s="235"/>
      <c r="GV48" s="235"/>
      <c r="GW48" s="235"/>
      <c r="GX48" s="235"/>
      <c r="GY48" s="235"/>
      <c r="GZ48" s="235"/>
      <c r="HA48" s="235"/>
      <c r="HB48" s="235"/>
      <c r="HC48" s="235"/>
      <c r="HD48" s="235"/>
      <c r="HE48" s="235"/>
      <c r="HF48" s="235"/>
      <c r="HG48" s="235"/>
      <c r="HH48" s="235"/>
      <c r="HI48" s="235"/>
      <c r="HJ48" s="235"/>
      <c r="HK48" s="235"/>
      <c r="HL48" s="235"/>
      <c r="HM48" s="235"/>
      <c r="HN48" s="235"/>
      <c r="HO48" s="235"/>
      <c r="HP48" s="235"/>
      <c r="HQ48" s="235"/>
      <c r="HR48" s="235"/>
      <c r="HS48" s="235"/>
      <c r="HT48" s="235"/>
      <c r="HU48" s="235"/>
      <c r="HV48" s="236"/>
      <c r="HW48" s="242">
        <v>1</v>
      </c>
      <c r="HX48" s="242"/>
      <c r="HY48" s="242"/>
      <c r="HZ48" s="242"/>
      <c r="IA48" s="242"/>
      <c r="IB48" s="242"/>
      <c r="JN48" s="155"/>
      <c r="LW48" s="12"/>
      <c r="LX48" s="7"/>
    </row>
    <row r="49" spans="3:341" ht="5.0999999999999996" customHeight="1" x14ac:dyDescent="0.3">
      <c r="C49" s="11"/>
      <c r="D49" s="13"/>
      <c r="AN49" s="16"/>
      <c r="EK49" s="19"/>
      <c r="EL49" s="16"/>
      <c r="GH49" s="237"/>
      <c r="GI49" s="188"/>
      <c r="GJ49" s="188"/>
      <c r="GK49" s="188"/>
      <c r="GL49" s="188"/>
      <c r="GM49" s="188"/>
      <c r="GN49" s="188"/>
      <c r="GO49" s="188"/>
      <c r="GP49" s="188"/>
      <c r="GQ49" s="188"/>
      <c r="GR49" s="188"/>
      <c r="GS49" s="188"/>
      <c r="GT49" s="188"/>
      <c r="GU49" s="188"/>
      <c r="GV49" s="188"/>
      <c r="GW49" s="188"/>
      <c r="GX49" s="188"/>
      <c r="GY49" s="188"/>
      <c r="GZ49" s="188"/>
      <c r="HA49" s="188"/>
      <c r="HB49" s="188"/>
      <c r="HC49" s="188"/>
      <c r="HD49" s="188"/>
      <c r="HE49" s="188"/>
      <c r="HF49" s="188"/>
      <c r="HG49" s="188"/>
      <c r="HH49" s="188"/>
      <c r="HI49" s="188"/>
      <c r="HJ49" s="188"/>
      <c r="HK49" s="188"/>
      <c r="HL49" s="188"/>
      <c r="HM49" s="188"/>
      <c r="HN49" s="188"/>
      <c r="HO49" s="188"/>
      <c r="HP49" s="188"/>
      <c r="HQ49" s="188"/>
      <c r="HR49" s="188"/>
      <c r="HS49" s="188"/>
      <c r="HT49" s="188"/>
      <c r="HU49" s="188"/>
      <c r="HV49" s="238"/>
      <c r="HW49" s="242"/>
      <c r="HX49" s="242"/>
      <c r="HY49" s="242"/>
      <c r="HZ49" s="242"/>
      <c r="IA49" s="242"/>
      <c r="IB49" s="242"/>
      <c r="JN49" s="155"/>
      <c r="LW49" s="12"/>
      <c r="LX49" s="7"/>
    </row>
    <row r="50" spans="3:341" ht="5.0999999999999996" customHeight="1" x14ac:dyDescent="0.3">
      <c r="C50" s="11"/>
      <c r="D50" s="13"/>
      <c r="AN50" s="16"/>
      <c r="EK50" s="19"/>
      <c r="EL50" s="16"/>
      <c r="GH50" s="237"/>
      <c r="GI50" s="188"/>
      <c r="GJ50" s="188"/>
      <c r="GK50" s="188"/>
      <c r="GL50" s="188"/>
      <c r="GM50" s="188"/>
      <c r="GN50" s="188"/>
      <c r="GO50" s="188"/>
      <c r="GP50" s="188"/>
      <c r="GQ50" s="188"/>
      <c r="GR50" s="188"/>
      <c r="GS50" s="188"/>
      <c r="GT50" s="188"/>
      <c r="GU50" s="188"/>
      <c r="GV50" s="188"/>
      <c r="GW50" s="188"/>
      <c r="GX50" s="188"/>
      <c r="GY50" s="188"/>
      <c r="GZ50" s="188"/>
      <c r="HA50" s="188"/>
      <c r="HB50" s="188"/>
      <c r="HC50" s="188"/>
      <c r="HD50" s="188"/>
      <c r="HE50" s="188"/>
      <c r="HF50" s="188"/>
      <c r="HG50" s="188"/>
      <c r="HH50" s="188"/>
      <c r="HI50" s="188"/>
      <c r="HJ50" s="188"/>
      <c r="HK50" s="188"/>
      <c r="HL50" s="188"/>
      <c r="HM50" s="188"/>
      <c r="HN50" s="188"/>
      <c r="HO50" s="188"/>
      <c r="HP50" s="188"/>
      <c r="HQ50" s="188"/>
      <c r="HR50" s="188"/>
      <c r="HS50" s="188"/>
      <c r="HT50" s="188"/>
      <c r="HU50" s="188"/>
      <c r="HV50" s="238"/>
      <c r="HW50" s="242"/>
      <c r="HX50" s="242"/>
      <c r="HY50" s="242"/>
      <c r="HZ50" s="242"/>
      <c r="IA50" s="242"/>
      <c r="IB50" s="242"/>
      <c r="JN50" s="155"/>
      <c r="LW50" s="12"/>
      <c r="LX50" s="7"/>
    </row>
    <row r="51" spans="3:341" ht="5.0999999999999996" customHeight="1" x14ac:dyDescent="0.3">
      <c r="C51" s="11"/>
      <c r="D51" s="13"/>
      <c r="AN51" s="16"/>
      <c r="EL51" s="16"/>
      <c r="GH51" s="237"/>
      <c r="GI51" s="188"/>
      <c r="GJ51" s="188"/>
      <c r="GK51" s="188"/>
      <c r="GL51" s="188"/>
      <c r="GM51" s="188"/>
      <c r="GN51" s="188"/>
      <c r="GO51" s="188"/>
      <c r="GP51" s="188"/>
      <c r="GQ51" s="188"/>
      <c r="GR51" s="188"/>
      <c r="GS51" s="188"/>
      <c r="GT51" s="188"/>
      <c r="GU51" s="188"/>
      <c r="GV51" s="188"/>
      <c r="GW51" s="188"/>
      <c r="GX51" s="188"/>
      <c r="GY51" s="188"/>
      <c r="GZ51" s="188"/>
      <c r="HA51" s="188"/>
      <c r="HB51" s="188"/>
      <c r="HC51" s="188"/>
      <c r="HD51" s="188"/>
      <c r="HE51" s="188"/>
      <c r="HF51" s="188"/>
      <c r="HG51" s="188"/>
      <c r="HH51" s="188"/>
      <c r="HI51" s="188"/>
      <c r="HJ51" s="188"/>
      <c r="HK51" s="188"/>
      <c r="HL51" s="188"/>
      <c r="HM51" s="188"/>
      <c r="HN51" s="188"/>
      <c r="HO51" s="188"/>
      <c r="HP51" s="188"/>
      <c r="HQ51" s="188"/>
      <c r="HR51" s="188"/>
      <c r="HS51" s="188"/>
      <c r="HT51" s="188"/>
      <c r="HU51" s="188"/>
      <c r="HV51" s="238"/>
      <c r="HW51" s="242"/>
      <c r="HX51" s="242"/>
      <c r="HY51" s="242"/>
      <c r="HZ51" s="242"/>
      <c r="IA51" s="242"/>
      <c r="IB51" s="242"/>
      <c r="JN51" s="155"/>
      <c r="LW51" s="12"/>
      <c r="LX51" s="7"/>
    </row>
    <row r="52" spans="3:341" ht="5.0999999999999996" customHeight="1" x14ac:dyDescent="0.3">
      <c r="C52" s="11"/>
      <c r="D52" s="13"/>
      <c r="AN52" s="16"/>
      <c r="EL52" s="16"/>
      <c r="GH52" s="237"/>
      <c r="GI52" s="188"/>
      <c r="GJ52" s="188"/>
      <c r="GK52" s="188"/>
      <c r="GL52" s="188"/>
      <c r="GM52" s="188"/>
      <c r="GN52" s="188"/>
      <c r="GO52" s="188"/>
      <c r="GP52" s="188"/>
      <c r="GQ52" s="188"/>
      <c r="GR52" s="188"/>
      <c r="GS52" s="188"/>
      <c r="GT52" s="188"/>
      <c r="GU52" s="188"/>
      <c r="GV52" s="188"/>
      <c r="GW52" s="188"/>
      <c r="GX52" s="188"/>
      <c r="GY52" s="188"/>
      <c r="GZ52" s="188"/>
      <c r="HA52" s="188"/>
      <c r="HB52" s="188"/>
      <c r="HC52" s="188"/>
      <c r="HD52" s="188"/>
      <c r="HE52" s="188"/>
      <c r="HF52" s="188"/>
      <c r="HG52" s="188"/>
      <c r="HH52" s="188"/>
      <c r="HI52" s="188"/>
      <c r="HJ52" s="188"/>
      <c r="HK52" s="188"/>
      <c r="HL52" s="188"/>
      <c r="HM52" s="188"/>
      <c r="HN52" s="188"/>
      <c r="HO52" s="188"/>
      <c r="HP52" s="188"/>
      <c r="HQ52" s="188"/>
      <c r="HR52" s="188"/>
      <c r="HS52" s="188"/>
      <c r="HT52" s="188"/>
      <c r="HU52" s="188"/>
      <c r="HV52" s="238"/>
      <c r="HW52" s="242"/>
      <c r="HX52" s="242"/>
      <c r="HY52" s="242"/>
      <c r="HZ52" s="242"/>
      <c r="IA52" s="242"/>
      <c r="IB52" s="242"/>
      <c r="JN52" s="155"/>
      <c r="LW52" s="12"/>
      <c r="LX52" s="7"/>
    </row>
    <row r="53" spans="3:341" ht="5.0999999999999996" customHeight="1" x14ac:dyDescent="0.3">
      <c r="C53" s="11"/>
      <c r="D53" s="13"/>
      <c r="AN53" s="16"/>
      <c r="EL53" s="16"/>
      <c r="GH53" s="237"/>
      <c r="GI53" s="188"/>
      <c r="GJ53" s="188"/>
      <c r="GK53" s="188"/>
      <c r="GL53" s="188"/>
      <c r="GM53" s="188"/>
      <c r="GN53" s="188"/>
      <c r="GO53" s="188"/>
      <c r="GP53" s="188"/>
      <c r="GQ53" s="188"/>
      <c r="GR53" s="188"/>
      <c r="GS53" s="188"/>
      <c r="GT53" s="188"/>
      <c r="GU53" s="188"/>
      <c r="GV53" s="188"/>
      <c r="GW53" s="188"/>
      <c r="GX53" s="188"/>
      <c r="GY53" s="188"/>
      <c r="GZ53" s="188"/>
      <c r="HA53" s="188"/>
      <c r="HB53" s="188"/>
      <c r="HC53" s="188"/>
      <c r="HD53" s="188"/>
      <c r="HE53" s="188"/>
      <c r="HF53" s="188"/>
      <c r="HG53" s="188"/>
      <c r="HH53" s="188"/>
      <c r="HI53" s="188"/>
      <c r="HJ53" s="188"/>
      <c r="HK53" s="188"/>
      <c r="HL53" s="188"/>
      <c r="HM53" s="188"/>
      <c r="HN53" s="188"/>
      <c r="HO53" s="188"/>
      <c r="HP53" s="188"/>
      <c r="HQ53" s="188"/>
      <c r="HR53" s="188"/>
      <c r="HS53" s="188"/>
      <c r="HT53" s="188"/>
      <c r="HU53" s="188"/>
      <c r="HV53" s="238"/>
      <c r="HW53" s="242"/>
      <c r="HX53" s="242"/>
      <c r="HY53" s="242"/>
      <c r="HZ53" s="242"/>
      <c r="IA53" s="242"/>
      <c r="IB53" s="242"/>
      <c r="JN53" s="155"/>
      <c r="LW53" s="12"/>
      <c r="LX53" s="7"/>
    </row>
    <row r="54" spans="3:341" ht="5.0999999999999996" customHeight="1" x14ac:dyDescent="0.3">
      <c r="C54" s="11"/>
      <c r="D54" s="13"/>
      <c r="Q54" s="255" t="s">
        <v>16</v>
      </c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255"/>
      <c r="AN54" s="255"/>
      <c r="AO54" s="255"/>
      <c r="AP54" s="255"/>
      <c r="AQ54" s="255"/>
      <c r="AR54" s="255"/>
      <c r="AS54" s="255"/>
      <c r="AT54" s="255"/>
      <c r="AU54" s="255"/>
      <c r="AV54" s="255"/>
      <c r="AW54" s="255"/>
      <c r="AX54" s="255"/>
      <c r="AY54" s="255"/>
      <c r="AZ54" s="255"/>
      <c r="BA54" s="255"/>
      <c r="BB54" s="255"/>
      <c r="BC54" s="255"/>
      <c r="BD54" s="255"/>
      <c r="BE54" s="255"/>
      <c r="BF54" s="255">
        <f>SUM(BF65:BJ95)</f>
        <v>6</v>
      </c>
      <c r="BG54" s="255"/>
      <c r="BH54" s="255"/>
      <c r="BI54" s="255"/>
      <c r="BJ54" s="255"/>
      <c r="EL54" s="16"/>
      <c r="GH54" s="237"/>
      <c r="GI54" s="188"/>
      <c r="GJ54" s="188"/>
      <c r="GK54" s="188"/>
      <c r="GL54" s="188"/>
      <c r="GM54" s="188"/>
      <c r="GN54" s="188"/>
      <c r="GO54" s="188"/>
      <c r="GP54" s="188"/>
      <c r="GQ54" s="188"/>
      <c r="GR54" s="188"/>
      <c r="GS54" s="188"/>
      <c r="GT54" s="188"/>
      <c r="GU54" s="188"/>
      <c r="GV54" s="188"/>
      <c r="GW54" s="188"/>
      <c r="GX54" s="188"/>
      <c r="GY54" s="188"/>
      <c r="GZ54" s="188"/>
      <c r="HA54" s="188"/>
      <c r="HB54" s="188"/>
      <c r="HC54" s="188"/>
      <c r="HD54" s="188"/>
      <c r="HE54" s="188"/>
      <c r="HF54" s="188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238"/>
      <c r="HW54" s="242"/>
      <c r="HX54" s="242"/>
      <c r="HY54" s="242"/>
      <c r="HZ54" s="242"/>
      <c r="IA54" s="242"/>
      <c r="IB54" s="242"/>
      <c r="JN54" s="155"/>
      <c r="LW54" s="12"/>
      <c r="LX54" s="7"/>
    </row>
    <row r="55" spans="3:341" ht="5.0999999999999996" customHeight="1" x14ac:dyDescent="0.3">
      <c r="C55" s="11"/>
      <c r="D55" s="13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  <c r="EL55" s="16"/>
      <c r="GH55" s="237"/>
      <c r="GI55" s="188"/>
      <c r="GJ55" s="188"/>
      <c r="GK55" s="188"/>
      <c r="GL55" s="188"/>
      <c r="GM55" s="188"/>
      <c r="GN55" s="188"/>
      <c r="GO55" s="188"/>
      <c r="GP55" s="188"/>
      <c r="GQ55" s="188"/>
      <c r="GR55" s="188"/>
      <c r="GS55" s="188"/>
      <c r="GT55" s="188"/>
      <c r="GU55" s="188"/>
      <c r="GV55" s="188"/>
      <c r="GW55" s="188"/>
      <c r="GX55" s="188"/>
      <c r="GY55" s="188"/>
      <c r="GZ55" s="188"/>
      <c r="HA55" s="188"/>
      <c r="HB55" s="188"/>
      <c r="HC55" s="188"/>
      <c r="HD55" s="188"/>
      <c r="HE55" s="188"/>
      <c r="HF55" s="188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238"/>
      <c r="HW55" s="242"/>
      <c r="HX55" s="242"/>
      <c r="HY55" s="242"/>
      <c r="HZ55" s="242"/>
      <c r="IA55" s="242"/>
      <c r="IB55" s="242"/>
      <c r="JN55" s="155"/>
      <c r="LW55" s="12"/>
      <c r="LX55" s="7"/>
    </row>
    <row r="56" spans="3:341" ht="5.0999999999999996" customHeight="1" x14ac:dyDescent="0.3">
      <c r="C56" s="11"/>
      <c r="D56" s="13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  <c r="EL56" s="16"/>
      <c r="GH56" s="239"/>
      <c r="GI56" s="240"/>
      <c r="GJ56" s="240"/>
      <c r="GK56" s="240"/>
      <c r="GL56" s="240"/>
      <c r="GM56" s="240"/>
      <c r="GN56" s="240"/>
      <c r="GO56" s="240"/>
      <c r="GP56" s="240"/>
      <c r="GQ56" s="240"/>
      <c r="GR56" s="240"/>
      <c r="GS56" s="240"/>
      <c r="GT56" s="240"/>
      <c r="GU56" s="240"/>
      <c r="GV56" s="240"/>
      <c r="GW56" s="240"/>
      <c r="GX56" s="240"/>
      <c r="GY56" s="240"/>
      <c r="GZ56" s="240"/>
      <c r="HA56" s="240"/>
      <c r="HB56" s="240"/>
      <c r="HC56" s="240"/>
      <c r="HD56" s="240"/>
      <c r="HE56" s="240"/>
      <c r="HF56" s="240"/>
      <c r="HG56" s="240"/>
      <c r="HH56" s="240"/>
      <c r="HI56" s="240"/>
      <c r="HJ56" s="240"/>
      <c r="HK56" s="240"/>
      <c r="HL56" s="240"/>
      <c r="HM56" s="240"/>
      <c r="HN56" s="240"/>
      <c r="HO56" s="240"/>
      <c r="HP56" s="240"/>
      <c r="HQ56" s="240"/>
      <c r="HR56" s="240"/>
      <c r="HS56" s="240"/>
      <c r="HT56" s="240"/>
      <c r="HU56" s="240"/>
      <c r="HV56" s="241"/>
      <c r="HW56" s="242"/>
      <c r="HX56" s="242"/>
      <c r="HY56" s="242"/>
      <c r="HZ56" s="242"/>
      <c r="IA56" s="242"/>
      <c r="IB56" s="242"/>
      <c r="JN56" s="155"/>
      <c r="LW56" s="12"/>
      <c r="LX56" s="7"/>
    </row>
    <row r="57" spans="3:341" ht="5.0999999999999996" customHeight="1" x14ac:dyDescent="0.3">
      <c r="C57" s="11"/>
      <c r="D57" s="13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255"/>
      <c r="BH57" s="255"/>
      <c r="BI57" s="255"/>
      <c r="BJ57" s="255"/>
      <c r="EL57" s="16"/>
      <c r="JN57" s="155"/>
      <c r="LW57" s="12"/>
      <c r="LX57" s="7"/>
    </row>
    <row r="58" spans="3:341" ht="5.0999999999999996" customHeight="1" x14ac:dyDescent="0.3">
      <c r="C58" s="11"/>
      <c r="D58" s="13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5"/>
      <c r="EL58" s="16"/>
      <c r="JN58" s="155"/>
      <c r="LW58" s="12"/>
      <c r="LX58" s="7"/>
    </row>
    <row r="59" spans="3:341" ht="5.0999999999999996" customHeight="1" x14ac:dyDescent="0.3">
      <c r="C59" s="11"/>
      <c r="D59" s="13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  <c r="EL59" s="16"/>
      <c r="JN59" s="155"/>
      <c r="LW59" s="12"/>
      <c r="LX59" s="7"/>
      <c r="LZ59" s="3"/>
      <c r="MA59" s="3"/>
      <c r="MB59" s="3"/>
      <c r="MC59" s="2"/>
    </row>
    <row r="60" spans="3:341" ht="5.0999999999999996" customHeight="1" x14ac:dyDescent="0.3">
      <c r="C60" s="11"/>
      <c r="D60" s="13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5"/>
      <c r="BE60" s="255"/>
      <c r="BF60" s="255"/>
      <c r="BG60" s="255"/>
      <c r="BH60" s="255"/>
      <c r="BI60" s="255"/>
      <c r="BJ60" s="255"/>
      <c r="EL60" s="16"/>
      <c r="JN60" s="155"/>
      <c r="LW60" s="12"/>
      <c r="LX60" s="7"/>
    </row>
    <row r="61" spans="3:341" ht="5.0999999999999996" customHeight="1" x14ac:dyDescent="0.3">
      <c r="C61" s="11"/>
      <c r="D61" s="13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  <c r="AO61" s="255"/>
      <c r="AP61" s="255"/>
      <c r="AQ61" s="255"/>
      <c r="AR61" s="255"/>
      <c r="AS61" s="255"/>
      <c r="AT61" s="255"/>
      <c r="AU61" s="255"/>
      <c r="AV61" s="255"/>
      <c r="AW61" s="255"/>
      <c r="AX61" s="255"/>
      <c r="AY61" s="255"/>
      <c r="AZ61" s="255"/>
      <c r="BA61" s="255"/>
      <c r="BB61" s="255"/>
      <c r="BC61" s="255"/>
      <c r="BD61" s="255"/>
      <c r="BE61" s="255"/>
      <c r="BF61" s="255"/>
      <c r="BG61" s="255"/>
      <c r="BH61" s="255"/>
      <c r="BI61" s="255"/>
      <c r="BJ61" s="255"/>
      <c r="EL61" s="16"/>
      <c r="JN61" s="155"/>
      <c r="LW61" s="12"/>
      <c r="LX61" s="7"/>
    </row>
    <row r="62" spans="3:341" ht="5.0999999999999996" customHeight="1" x14ac:dyDescent="0.3">
      <c r="C62" s="11"/>
      <c r="D62" s="13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55"/>
      <c r="AQ62" s="255"/>
      <c r="AR62" s="255"/>
      <c r="AS62" s="255"/>
      <c r="AT62" s="255"/>
      <c r="AU62" s="255"/>
      <c r="AV62" s="255"/>
      <c r="AW62" s="255"/>
      <c r="AX62" s="255"/>
      <c r="AY62" s="255"/>
      <c r="AZ62" s="255"/>
      <c r="BA62" s="255"/>
      <c r="BB62" s="255"/>
      <c r="BC62" s="255"/>
      <c r="BD62" s="255"/>
      <c r="BE62" s="255"/>
      <c r="BF62" s="255"/>
      <c r="BG62" s="255"/>
      <c r="BH62" s="255"/>
      <c r="BI62" s="255"/>
      <c r="BJ62" s="255"/>
      <c r="EL62" s="16"/>
      <c r="JN62" s="155"/>
      <c r="LW62" s="12"/>
      <c r="LX62" s="7"/>
    </row>
    <row r="63" spans="3:341" ht="5.0999999999999996" customHeight="1" x14ac:dyDescent="0.3">
      <c r="C63" s="11"/>
      <c r="D63" s="13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  <c r="AX63" s="255"/>
      <c r="AY63" s="255"/>
      <c r="AZ63" s="255"/>
      <c r="BA63" s="255"/>
      <c r="BB63" s="255"/>
      <c r="BC63" s="255"/>
      <c r="BD63" s="255"/>
      <c r="BE63" s="255"/>
      <c r="BF63" s="255"/>
      <c r="BG63" s="255"/>
      <c r="BH63" s="255"/>
      <c r="BI63" s="255"/>
      <c r="BJ63" s="255"/>
      <c r="EL63" s="16"/>
      <c r="JN63" s="155"/>
      <c r="LW63" s="12"/>
      <c r="LX63" s="7"/>
    </row>
    <row r="64" spans="3:341" ht="5.0999999999999996" customHeight="1" x14ac:dyDescent="0.3">
      <c r="C64" s="11"/>
      <c r="D64" s="13"/>
      <c r="AH64" s="15"/>
      <c r="EL64" s="16"/>
      <c r="JN64" s="155"/>
      <c r="LW64" s="12"/>
      <c r="LX64" s="7"/>
    </row>
    <row r="65" spans="3:341" ht="5.0999999999999996" customHeight="1" x14ac:dyDescent="0.3">
      <c r="C65" s="11"/>
      <c r="D65" s="13"/>
      <c r="Q65" s="184" t="s">
        <v>60</v>
      </c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185"/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6"/>
      <c r="BF65" s="225">
        <v>1</v>
      </c>
      <c r="BG65" s="226"/>
      <c r="BH65" s="226"/>
      <c r="BI65" s="226"/>
      <c r="BJ65" s="227"/>
      <c r="EL65" s="16"/>
      <c r="JN65" s="155"/>
      <c r="LW65" s="12"/>
      <c r="LX65" s="7"/>
    </row>
    <row r="66" spans="3:341" ht="5.0999999999999996" customHeight="1" x14ac:dyDescent="0.3">
      <c r="C66" s="11"/>
      <c r="D66" s="13"/>
      <c r="Q66" s="187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9"/>
      <c r="BF66" s="228"/>
      <c r="BG66" s="229"/>
      <c r="BH66" s="229"/>
      <c r="BI66" s="229"/>
      <c r="BJ66" s="230"/>
      <c r="EL66" s="16"/>
      <c r="JN66" s="155"/>
      <c r="LW66" s="12"/>
      <c r="LX66" s="7"/>
    </row>
    <row r="67" spans="3:341" ht="5.0999999999999996" customHeight="1" x14ac:dyDescent="0.3">
      <c r="C67" s="11"/>
      <c r="D67" s="13"/>
      <c r="Q67" s="187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9"/>
      <c r="BF67" s="228"/>
      <c r="BG67" s="229"/>
      <c r="BH67" s="229"/>
      <c r="BI67" s="229"/>
      <c r="BJ67" s="230"/>
      <c r="EL67" s="16"/>
      <c r="JN67" s="155"/>
      <c r="LW67" s="12"/>
      <c r="LX67" s="7"/>
    </row>
    <row r="68" spans="3:341" ht="5.0999999999999996" customHeight="1" x14ac:dyDescent="0.3">
      <c r="C68" s="11"/>
      <c r="D68" s="13"/>
      <c r="Q68" s="187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9"/>
      <c r="BF68" s="228"/>
      <c r="BG68" s="229"/>
      <c r="BH68" s="229"/>
      <c r="BI68" s="229"/>
      <c r="BJ68" s="230"/>
      <c r="EL68" s="16"/>
      <c r="JN68" s="155"/>
      <c r="LW68" s="12"/>
      <c r="LX68" s="7"/>
    </row>
    <row r="69" spans="3:341" ht="5.0999999999999996" customHeight="1" x14ac:dyDescent="0.3">
      <c r="C69" s="11"/>
      <c r="D69" s="13"/>
      <c r="Q69" s="187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9"/>
      <c r="BF69" s="228"/>
      <c r="BG69" s="229"/>
      <c r="BH69" s="229"/>
      <c r="BI69" s="229"/>
      <c r="BJ69" s="230"/>
      <c r="EL69" s="16"/>
      <c r="JN69" s="155"/>
      <c r="LW69" s="12"/>
      <c r="LX69" s="7"/>
      <c r="LZ69" s="3"/>
      <c r="MA69" s="3"/>
      <c r="MB69" s="3"/>
      <c r="MC69" s="2"/>
    </row>
    <row r="70" spans="3:341" ht="5.0999999999999996" customHeight="1" x14ac:dyDescent="0.3">
      <c r="C70" s="11"/>
      <c r="D70" s="13"/>
      <c r="Q70" s="187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E70" s="189"/>
      <c r="BF70" s="228"/>
      <c r="BG70" s="229"/>
      <c r="BH70" s="229"/>
      <c r="BI70" s="229"/>
      <c r="BJ70" s="230"/>
      <c r="EL70" s="16"/>
      <c r="JN70" s="155"/>
      <c r="LW70" s="12"/>
      <c r="LX70" s="7"/>
    </row>
    <row r="71" spans="3:341" ht="5.0999999999999996" customHeight="1" x14ac:dyDescent="0.3">
      <c r="C71" s="11"/>
      <c r="D71" s="13"/>
      <c r="Q71" s="187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E71" s="189"/>
      <c r="BF71" s="228"/>
      <c r="BG71" s="229"/>
      <c r="BH71" s="229"/>
      <c r="BI71" s="229"/>
      <c r="BJ71" s="230"/>
      <c r="EL71" s="16"/>
      <c r="JN71" s="155"/>
      <c r="LW71" s="12"/>
      <c r="LX71" s="7"/>
    </row>
    <row r="72" spans="3:341" ht="5.0999999999999996" customHeight="1" x14ac:dyDescent="0.3">
      <c r="C72" s="11"/>
      <c r="D72" s="13"/>
      <c r="Q72" s="187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E72" s="189"/>
      <c r="BF72" s="228"/>
      <c r="BG72" s="229"/>
      <c r="BH72" s="229"/>
      <c r="BI72" s="229"/>
      <c r="BJ72" s="230"/>
      <c r="EL72" s="16"/>
      <c r="JN72" s="155"/>
      <c r="LW72" s="12"/>
      <c r="LX72" s="7"/>
    </row>
    <row r="73" spans="3:341" ht="5.0999999999999996" customHeight="1" x14ac:dyDescent="0.3">
      <c r="C73" s="11"/>
      <c r="D73" s="13"/>
      <c r="Q73" s="187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9"/>
      <c r="BF73" s="228"/>
      <c r="BG73" s="229"/>
      <c r="BH73" s="229"/>
      <c r="BI73" s="229"/>
      <c r="BJ73" s="230"/>
      <c r="EL73" s="16"/>
      <c r="JN73" s="155"/>
      <c r="LW73" s="12"/>
      <c r="LX73" s="7"/>
    </row>
    <row r="74" spans="3:341" ht="5.0999999999999996" customHeight="1" x14ac:dyDescent="0.3">
      <c r="C74" s="11"/>
      <c r="D74" s="13"/>
      <c r="Q74" s="190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  <c r="BD74" s="191"/>
      <c r="BE74" s="192"/>
      <c r="BF74" s="231"/>
      <c r="BG74" s="232"/>
      <c r="BH74" s="232"/>
      <c r="BI74" s="232"/>
      <c r="BJ74" s="233"/>
      <c r="EL74" s="16"/>
      <c r="JN74" s="155"/>
      <c r="LW74" s="12"/>
      <c r="LX74" s="7"/>
    </row>
    <row r="75" spans="3:341" ht="5.0999999999999996" customHeight="1" x14ac:dyDescent="0.3">
      <c r="C75" s="11"/>
      <c r="D75" s="13"/>
      <c r="AF75" s="27"/>
      <c r="AG75" s="26"/>
      <c r="EL75" s="16"/>
      <c r="JN75" s="155"/>
      <c r="LW75" s="12"/>
      <c r="LX75" s="7"/>
    </row>
    <row r="76" spans="3:341" ht="5.0999999999999996" customHeight="1" x14ac:dyDescent="0.3">
      <c r="C76" s="11"/>
      <c r="D76" s="13"/>
      <c r="Q76" s="184" t="s">
        <v>147</v>
      </c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6"/>
      <c r="BF76" s="225">
        <v>1</v>
      </c>
      <c r="BG76" s="226"/>
      <c r="BH76" s="226"/>
      <c r="BI76" s="226"/>
      <c r="BJ76" s="227"/>
      <c r="EL76" s="16"/>
      <c r="JN76" s="155"/>
      <c r="LW76" s="12"/>
      <c r="LX76" s="7"/>
    </row>
    <row r="77" spans="3:341" ht="5.0999999999999996" customHeight="1" x14ac:dyDescent="0.3">
      <c r="C77" s="11"/>
      <c r="D77" s="13"/>
      <c r="Q77" s="187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9"/>
      <c r="BF77" s="228"/>
      <c r="BG77" s="229"/>
      <c r="BH77" s="229"/>
      <c r="BI77" s="229"/>
      <c r="BJ77" s="230"/>
      <c r="EL77" s="16"/>
      <c r="JN77" s="155"/>
      <c r="LW77" s="12"/>
      <c r="LX77" s="7"/>
    </row>
    <row r="78" spans="3:341" ht="5.0999999999999996" customHeight="1" x14ac:dyDescent="0.3">
      <c r="C78" s="11"/>
      <c r="D78" s="13"/>
      <c r="Q78" s="187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9"/>
      <c r="BF78" s="228"/>
      <c r="BG78" s="229"/>
      <c r="BH78" s="229"/>
      <c r="BI78" s="229"/>
      <c r="BJ78" s="230"/>
      <c r="EL78" s="16"/>
      <c r="JN78" s="155"/>
      <c r="LW78" s="12"/>
      <c r="LX78" s="7"/>
    </row>
    <row r="79" spans="3:341" ht="5.0999999999999996" customHeight="1" x14ac:dyDescent="0.3">
      <c r="C79" s="11"/>
      <c r="D79" s="13"/>
      <c r="Q79" s="187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9"/>
      <c r="BF79" s="228"/>
      <c r="BG79" s="229"/>
      <c r="BH79" s="229"/>
      <c r="BI79" s="229"/>
      <c r="BJ79" s="230"/>
      <c r="EL79" s="16"/>
      <c r="JN79" s="155"/>
      <c r="LW79" s="12"/>
      <c r="LX79" s="7"/>
    </row>
    <row r="80" spans="3:341" ht="5.0999999999999996" customHeight="1" x14ac:dyDescent="0.3">
      <c r="C80" s="11"/>
      <c r="D80" s="13"/>
      <c r="Q80" s="187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9"/>
      <c r="BF80" s="228"/>
      <c r="BG80" s="229"/>
      <c r="BH80" s="229"/>
      <c r="BI80" s="229"/>
      <c r="BJ80" s="230"/>
      <c r="EL80" s="16"/>
      <c r="JN80" s="155"/>
      <c r="LW80" s="12"/>
      <c r="LX80" s="7"/>
    </row>
    <row r="81" spans="3:336" ht="5.0999999999999996" customHeight="1" x14ac:dyDescent="0.3">
      <c r="C81" s="11"/>
      <c r="D81" s="13"/>
      <c r="Q81" s="187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E81" s="189"/>
      <c r="BF81" s="228"/>
      <c r="BG81" s="229"/>
      <c r="BH81" s="229"/>
      <c r="BI81" s="229"/>
      <c r="BJ81" s="230"/>
      <c r="EL81" s="16"/>
      <c r="JN81" s="155"/>
      <c r="LW81" s="12"/>
      <c r="LX81" s="7"/>
    </row>
    <row r="82" spans="3:336" ht="5.0999999999999996" customHeight="1" x14ac:dyDescent="0.3">
      <c r="C82" s="11"/>
      <c r="D82" s="13"/>
      <c r="Q82" s="187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E82" s="189"/>
      <c r="BF82" s="228"/>
      <c r="BG82" s="229"/>
      <c r="BH82" s="229"/>
      <c r="BI82" s="229"/>
      <c r="BJ82" s="230"/>
      <c r="EL82" s="16"/>
      <c r="JN82" s="155"/>
      <c r="LW82" s="12"/>
      <c r="LX82" s="7"/>
    </row>
    <row r="83" spans="3:336" ht="5.0999999999999996" customHeight="1" x14ac:dyDescent="0.3">
      <c r="C83" s="11"/>
      <c r="D83" s="13"/>
      <c r="Q83" s="187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E83" s="189"/>
      <c r="BF83" s="228"/>
      <c r="BG83" s="229"/>
      <c r="BH83" s="229"/>
      <c r="BI83" s="229"/>
      <c r="BJ83" s="230"/>
      <c r="EL83" s="16"/>
      <c r="JN83" s="155"/>
      <c r="LW83" s="12"/>
      <c r="LX83" s="7"/>
    </row>
    <row r="84" spans="3:336" ht="5.0999999999999996" customHeight="1" x14ac:dyDescent="0.3">
      <c r="C84" s="11"/>
      <c r="D84" s="13"/>
      <c r="Q84" s="187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E84" s="189"/>
      <c r="BF84" s="228"/>
      <c r="BG84" s="229"/>
      <c r="BH84" s="229"/>
      <c r="BI84" s="229"/>
      <c r="BJ84" s="230"/>
      <c r="BS84" s="184" t="s">
        <v>59</v>
      </c>
      <c r="BT84" s="185"/>
      <c r="BU84" s="185"/>
      <c r="BV84" s="185"/>
      <c r="BW84" s="185"/>
      <c r="BX84" s="185"/>
      <c r="BY84" s="185"/>
      <c r="BZ84" s="185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85"/>
      <c r="CQ84" s="185"/>
      <c r="CR84" s="185"/>
      <c r="CS84" s="185"/>
      <c r="CT84" s="185"/>
      <c r="CU84" s="185"/>
      <c r="CV84" s="185"/>
      <c r="CW84" s="185"/>
      <c r="CX84" s="185"/>
      <c r="CY84" s="185"/>
      <c r="CZ84" s="185"/>
      <c r="DA84" s="185"/>
      <c r="DB84" s="185"/>
      <c r="DC84" s="185"/>
      <c r="DD84" s="185"/>
      <c r="DE84" s="185"/>
      <c r="DF84" s="186"/>
      <c r="DG84" s="184">
        <v>1</v>
      </c>
      <c r="DH84" s="185"/>
      <c r="DI84" s="185"/>
      <c r="DJ84" s="185"/>
      <c r="DK84" s="186"/>
      <c r="EL84" s="16"/>
      <c r="JN84" s="155"/>
      <c r="LW84" s="12"/>
      <c r="LX84" s="7"/>
    </row>
    <row r="85" spans="3:336" ht="5.0999999999999996" customHeight="1" x14ac:dyDescent="0.3">
      <c r="C85" s="11"/>
      <c r="D85" s="13"/>
      <c r="Q85" s="190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2"/>
      <c r="BF85" s="231"/>
      <c r="BG85" s="232"/>
      <c r="BH85" s="232"/>
      <c r="BI85" s="232"/>
      <c r="BJ85" s="233"/>
      <c r="BS85" s="187"/>
      <c r="BT85" s="188"/>
      <c r="BU85" s="188"/>
      <c r="BV85" s="188"/>
      <c r="BW85" s="188"/>
      <c r="BX85" s="188"/>
      <c r="BY85" s="188"/>
      <c r="BZ85" s="188"/>
      <c r="CA85" s="188"/>
      <c r="CB85" s="188"/>
      <c r="CC85" s="188"/>
      <c r="CD85" s="188"/>
      <c r="CE85" s="188"/>
      <c r="CF85" s="188"/>
      <c r="CG85" s="188"/>
      <c r="CH85" s="188"/>
      <c r="CI85" s="188"/>
      <c r="CJ85" s="188"/>
      <c r="CK85" s="188"/>
      <c r="CL85" s="188"/>
      <c r="CM85" s="188"/>
      <c r="CN85" s="188"/>
      <c r="CO85" s="188"/>
      <c r="CP85" s="188"/>
      <c r="CQ85" s="188"/>
      <c r="CR85" s="188"/>
      <c r="CS85" s="188"/>
      <c r="CT85" s="188"/>
      <c r="CU85" s="188"/>
      <c r="CV85" s="188"/>
      <c r="CW85" s="188"/>
      <c r="CX85" s="188"/>
      <c r="CY85" s="188"/>
      <c r="CZ85" s="188"/>
      <c r="DA85" s="188"/>
      <c r="DB85" s="188"/>
      <c r="DC85" s="188"/>
      <c r="DD85" s="188"/>
      <c r="DE85" s="188"/>
      <c r="DF85" s="189"/>
      <c r="DG85" s="187"/>
      <c r="DH85" s="188"/>
      <c r="DI85" s="188"/>
      <c r="DJ85" s="188"/>
      <c r="DK85" s="189"/>
      <c r="EL85" s="16"/>
      <c r="JN85" s="155"/>
      <c r="LW85" s="12"/>
      <c r="LX85" s="7"/>
    </row>
    <row r="86" spans="3:336" ht="5.0999999999999996" customHeight="1" x14ac:dyDescent="0.3">
      <c r="C86" s="11"/>
      <c r="D86" s="13"/>
      <c r="AF86" s="27"/>
      <c r="AG86" s="26"/>
      <c r="BS86" s="187"/>
      <c r="BT86" s="188"/>
      <c r="BU86" s="188"/>
      <c r="BV86" s="188"/>
      <c r="BW86" s="188"/>
      <c r="BX86" s="188"/>
      <c r="BY86" s="188"/>
      <c r="BZ86" s="188"/>
      <c r="CA86" s="188"/>
      <c r="CB86" s="188"/>
      <c r="CC86" s="188"/>
      <c r="CD86" s="188"/>
      <c r="CE86" s="188"/>
      <c r="CF86" s="188"/>
      <c r="CG86" s="188"/>
      <c r="CH86" s="188"/>
      <c r="CI86" s="188"/>
      <c r="CJ86" s="188"/>
      <c r="CK86" s="188"/>
      <c r="CL86" s="188"/>
      <c r="CM86" s="188"/>
      <c r="CN86" s="188"/>
      <c r="CO86" s="188"/>
      <c r="CP86" s="188"/>
      <c r="CQ86" s="188"/>
      <c r="CR86" s="188"/>
      <c r="CS86" s="188"/>
      <c r="CT86" s="188"/>
      <c r="CU86" s="188"/>
      <c r="CV86" s="188"/>
      <c r="CW86" s="188"/>
      <c r="CX86" s="188"/>
      <c r="CY86" s="188"/>
      <c r="CZ86" s="188"/>
      <c r="DA86" s="188"/>
      <c r="DB86" s="188"/>
      <c r="DC86" s="188"/>
      <c r="DD86" s="188"/>
      <c r="DE86" s="188"/>
      <c r="DF86" s="189"/>
      <c r="DG86" s="187"/>
      <c r="DH86" s="188"/>
      <c r="DI86" s="188"/>
      <c r="DJ86" s="188"/>
      <c r="DK86" s="189"/>
      <c r="EL86" s="16"/>
      <c r="JN86" s="155"/>
      <c r="LW86" s="12"/>
      <c r="LX86" s="7"/>
    </row>
    <row r="87" spans="3:336" ht="5.0999999999999996" customHeight="1" x14ac:dyDescent="0.3">
      <c r="C87" s="11"/>
      <c r="D87" s="13"/>
      <c r="Q87" s="184" t="s">
        <v>79</v>
      </c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6"/>
      <c r="BF87" s="225">
        <v>4</v>
      </c>
      <c r="BG87" s="226"/>
      <c r="BH87" s="226"/>
      <c r="BI87" s="226"/>
      <c r="BJ87" s="227"/>
      <c r="BS87" s="187"/>
      <c r="BT87" s="188"/>
      <c r="BU87" s="188"/>
      <c r="BV87" s="188"/>
      <c r="BW87" s="188"/>
      <c r="BX87" s="188"/>
      <c r="BY87" s="188"/>
      <c r="BZ87" s="188"/>
      <c r="CA87" s="188"/>
      <c r="CB87" s="188"/>
      <c r="CC87" s="188"/>
      <c r="CD87" s="188"/>
      <c r="CE87" s="188"/>
      <c r="CF87" s="188"/>
      <c r="CG87" s="188"/>
      <c r="CH87" s="188"/>
      <c r="CI87" s="188"/>
      <c r="CJ87" s="188"/>
      <c r="CK87" s="188"/>
      <c r="CL87" s="188"/>
      <c r="CM87" s="188"/>
      <c r="CN87" s="188"/>
      <c r="CO87" s="188"/>
      <c r="CP87" s="188"/>
      <c r="CQ87" s="188"/>
      <c r="CR87" s="188"/>
      <c r="CS87" s="188"/>
      <c r="CT87" s="188"/>
      <c r="CU87" s="188"/>
      <c r="CV87" s="188"/>
      <c r="CW87" s="188"/>
      <c r="CX87" s="188"/>
      <c r="CY87" s="188"/>
      <c r="CZ87" s="188"/>
      <c r="DA87" s="188"/>
      <c r="DB87" s="188"/>
      <c r="DC87" s="188"/>
      <c r="DD87" s="188"/>
      <c r="DE87" s="188"/>
      <c r="DF87" s="189"/>
      <c r="DG87" s="187"/>
      <c r="DH87" s="188"/>
      <c r="DI87" s="188"/>
      <c r="DJ87" s="188"/>
      <c r="DK87" s="189"/>
      <c r="EL87" s="16"/>
      <c r="JN87" s="155"/>
      <c r="LW87" s="12"/>
      <c r="LX87" s="7"/>
    </row>
    <row r="88" spans="3:336" ht="5.0999999999999996" customHeight="1" thickBot="1" x14ac:dyDescent="0.35">
      <c r="C88" s="11"/>
      <c r="D88" s="13"/>
      <c r="Q88" s="187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E88" s="189"/>
      <c r="BF88" s="228"/>
      <c r="BG88" s="229"/>
      <c r="BH88" s="229"/>
      <c r="BI88" s="229"/>
      <c r="BJ88" s="230"/>
      <c r="BS88" s="187"/>
      <c r="BT88" s="188"/>
      <c r="BU88" s="188"/>
      <c r="BV88" s="188"/>
      <c r="BW88" s="188"/>
      <c r="BX88" s="188"/>
      <c r="BY88" s="188"/>
      <c r="BZ88" s="188"/>
      <c r="CA88" s="188"/>
      <c r="CB88" s="188"/>
      <c r="CC88" s="188"/>
      <c r="CD88" s="188"/>
      <c r="CE88" s="188"/>
      <c r="CF88" s="188"/>
      <c r="CG88" s="188"/>
      <c r="CH88" s="188"/>
      <c r="CI88" s="188"/>
      <c r="CJ88" s="188"/>
      <c r="CK88" s="188"/>
      <c r="CL88" s="188"/>
      <c r="CM88" s="188"/>
      <c r="CN88" s="188"/>
      <c r="CO88" s="188"/>
      <c r="CP88" s="188"/>
      <c r="CQ88" s="188"/>
      <c r="CR88" s="188"/>
      <c r="CS88" s="188"/>
      <c r="CT88" s="188"/>
      <c r="CU88" s="188"/>
      <c r="CV88" s="188"/>
      <c r="CW88" s="188"/>
      <c r="CX88" s="188"/>
      <c r="CY88" s="188"/>
      <c r="CZ88" s="188"/>
      <c r="DA88" s="188"/>
      <c r="DB88" s="188"/>
      <c r="DC88" s="188"/>
      <c r="DD88" s="188"/>
      <c r="DE88" s="188"/>
      <c r="DF88" s="189"/>
      <c r="DG88" s="187"/>
      <c r="DH88" s="188"/>
      <c r="DI88" s="188"/>
      <c r="DJ88" s="188"/>
      <c r="DK88" s="189"/>
      <c r="EL88" s="16"/>
      <c r="JN88" s="155"/>
      <c r="LW88" s="12"/>
      <c r="LX88" s="7"/>
    </row>
    <row r="89" spans="3:336" ht="5.0999999999999996" customHeight="1" x14ac:dyDescent="0.3">
      <c r="C89" s="11"/>
      <c r="D89" s="13"/>
      <c r="Q89" s="187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9"/>
      <c r="BF89" s="228"/>
      <c r="BG89" s="229"/>
      <c r="BH89" s="229"/>
      <c r="BI89" s="229"/>
      <c r="BJ89" s="230"/>
      <c r="BS89" s="187"/>
      <c r="BT89" s="188"/>
      <c r="BU89" s="188"/>
      <c r="BV89" s="188"/>
      <c r="BW89" s="188"/>
      <c r="BX89" s="188"/>
      <c r="BY89" s="188"/>
      <c r="BZ89" s="188"/>
      <c r="CA89" s="188"/>
      <c r="CB89" s="188"/>
      <c r="CC89" s="188"/>
      <c r="CD89" s="188"/>
      <c r="CE89" s="188"/>
      <c r="CF89" s="188"/>
      <c r="CG89" s="188"/>
      <c r="CH89" s="188"/>
      <c r="CI89" s="188"/>
      <c r="CJ89" s="188"/>
      <c r="CK89" s="188"/>
      <c r="CL89" s="188"/>
      <c r="CM89" s="188"/>
      <c r="CN89" s="188"/>
      <c r="CO89" s="188"/>
      <c r="CP89" s="188"/>
      <c r="CQ89" s="188"/>
      <c r="CR89" s="188"/>
      <c r="CS89" s="188"/>
      <c r="CT89" s="188"/>
      <c r="CU89" s="188"/>
      <c r="CV89" s="188"/>
      <c r="CW89" s="188"/>
      <c r="CX89" s="188"/>
      <c r="CY89" s="188"/>
      <c r="CZ89" s="188"/>
      <c r="DA89" s="188"/>
      <c r="DB89" s="188"/>
      <c r="DC89" s="188"/>
      <c r="DD89" s="188"/>
      <c r="DE89" s="188"/>
      <c r="DF89" s="189"/>
      <c r="DG89" s="187"/>
      <c r="DH89" s="188"/>
      <c r="DI89" s="188"/>
      <c r="DJ89" s="188"/>
      <c r="DK89" s="189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0"/>
      <c r="EL89" s="16"/>
      <c r="JN89" s="155"/>
      <c r="LW89" s="12"/>
      <c r="LX89" s="7"/>
    </row>
    <row r="90" spans="3:336" ht="5.0999999999999996" customHeight="1" x14ac:dyDescent="0.3">
      <c r="C90" s="11"/>
      <c r="D90" s="13"/>
      <c r="Q90" s="187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E90" s="189"/>
      <c r="BF90" s="228"/>
      <c r="BG90" s="229"/>
      <c r="BH90" s="229"/>
      <c r="BI90" s="229"/>
      <c r="BJ90" s="230"/>
      <c r="BS90" s="187"/>
      <c r="BT90" s="188"/>
      <c r="BU90" s="188"/>
      <c r="BV90" s="188"/>
      <c r="BW90" s="188"/>
      <c r="BX90" s="188"/>
      <c r="BY90" s="188"/>
      <c r="BZ90" s="188"/>
      <c r="CA90" s="188"/>
      <c r="CB90" s="188"/>
      <c r="CC90" s="188"/>
      <c r="CD90" s="188"/>
      <c r="CE90" s="188"/>
      <c r="CF90" s="188"/>
      <c r="CG90" s="188"/>
      <c r="CH90" s="188"/>
      <c r="CI90" s="188"/>
      <c r="CJ90" s="188"/>
      <c r="CK90" s="188"/>
      <c r="CL90" s="188"/>
      <c r="CM90" s="188"/>
      <c r="CN90" s="188"/>
      <c r="CO90" s="188"/>
      <c r="CP90" s="188"/>
      <c r="CQ90" s="188"/>
      <c r="CR90" s="188"/>
      <c r="CS90" s="188"/>
      <c r="CT90" s="188"/>
      <c r="CU90" s="188"/>
      <c r="CV90" s="188"/>
      <c r="CW90" s="188"/>
      <c r="CX90" s="188"/>
      <c r="CY90" s="188"/>
      <c r="CZ90" s="188"/>
      <c r="DA90" s="188"/>
      <c r="DB90" s="188"/>
      <c r="DC90" s="188"/>
      <c r="DD90" s="188"/>
      <c r="DE90" s="188"/>
      <c r="DF90" s="189"/>
      <c r="DG90" s="187"/>
      <c r="DH90" s="188"/>
      <c r="DI90" s="188"/>
      <c r="DJ90" s="188"/>
      <c r="DK90" s="189"/>
      <c r="EK90" s="19"/>
      <c r="EL90" s="16"/>
      <c r="JN90" s="155"/>
      <c r="LW90" s="12"/>
      <c r="LX90" s="7"/>
    </row>
    <row r="91" spans="3:336" ht="5.0999999999999996" customHeight="1" x14ac:dyDescent="0.3">
      <c r="C91" s="11"/>
      <c r="D91" s="13"/>
      <c r="Q91" s="187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E91" s="189"/>
      <c r="BF91" s="228"/>
      <c r="BG91" s="229"/>
      <c r="BH91" s="229"/>
      <c r="BI91" s="229"/>
      <c r="BJ91" s="230"/>
      <c r="BS91" s="187"/>
      <c r="BT91" s="188"/>
      <c r="BU91" s="188"/>
      <c r="BV91" s="188"/>
      <c r="BW91" s="188"/>
      <c r="BX91" s="188"/>
      <c r="BY91" s="188"/>
      <c r="BZ91" s="188"/>
      <c r="CA91" s="188"/>
      <c r="CB91" s="188"/>
      <c r="CC91" s="188"/>
      <c r="CD91" s="188"/>
      <c r="CE91" s="188"/>
      <c r="CF91" s="188"/>
      <c r="CG91" s="188"/>
      <c r="CH91" s="188"/>
      <c r="CI91" s="188"/>
      <c r="CJ91" s="188"/>
      <c r="CK91" s="188"/>
      <c r="CL91" s="188"/>
      <c r="CM91" s="188"/>
      <c r="CN91" s="188"/>
      <c r="CO91" s="188"/>
      <c r="CP91" s="188"/>
      <c r="CQ91" s="188"/>
      <c r="CR91" s="188"/>
      <c r="CS91" s="188"/>
      <c r="CT91" s="188"/>
      <c r="CU91" s="188"/>
      <c r="CV91" s="188"/>
      <c r="CW91" s="188"/>
      <c r="CX91" s="188"/>
      <c r="CY91" s="188"/>
      <c r="CZ91" s="188"/>
      <c r="DA91" s="188"/>
      <c r="DB91" s="188"/>
      <c r="DC91" s="188"/>
      <c r="DD91" s="188"/>
      <c r="DE91" s="188"/>
      <c r="DF91" s="189"/>
      <c r="DG91" s="187"/>
      <c r="DH91" s="188"/>
      <c r="DI91" s="188"/>
      <c r="DJ91" s="188"/>
      <c r="DK91" s="189"/>
      <c r="EL91" s="16"/>
      <c r="JN91" s="155"/>
      <c r="LW91" s="12"/>
      <c r="LX91" s="7"/>
    </row>
    <row r="92" spans="3:336" ht="5.0999999999999996" customHeight="1" x14ac:dyDescent="0.3">
      <c r="C92" s="11"/>
      <c r="D92" s="13"/>
      <c r="Q92" s="187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E92" s="189"/>
      <c r="BF92" s="228"/>
      <c r="BG92" s="229"/>
      <c r="BH92" s="229"/>
      <c r="BI92" s="229"/>
      <c r="BJ92" s="230"/>
      <c r="BS92" s="187"/>
      <c r="BT92" s="188"/>
      <c r="BU92" s="188"/>
      <c r="BV92" s="188"/>
      <c r="BW92" s="188"/>
      <c r="BX92" s="188"/>
      <c r="BY92" s="188"/>
      <c r="BZ92" s="188"/>
      <c r="CA92" s="188"/>
      <c r="CB92" s="188"/>
      <c r="CC92" s="188"/>
      <c r="CD92" s="188"/>
      <c r="CE92" s="188"/>
      <c r="CF92" s="188"/>
      <c r="CG92" s="188"/>
      <c r="CH92" s="188"/>
      <c r="CI92" s="188"/>
      <c r="CJ92" s="188"/>
      <c r="CK92" s="188"/>
      <c r="CL92" s="188"/>
      <c r="CM92" s="188"/>
      <c r="CN92" s="188"/>
      <c r="CO92" s="188"/>
      <c r="CP92" s="188"/>
      <c r="CQ92" s="188"/>
      <c r="CR92" s="188"/>
      <c r="CS92" s="188"/>
      <c r="CT92" s="188"/>
      <c r="CU92" s="188"/>
      <c r="CV92" s="188"/>
      <c r="CW92" s="188"/>
      <c r="CX92" s="188"/>
      <c r="CY92" s="188"/>
      <c r="CZ92" s="188"/>
      <c r="DA92" s="188"/>
      <c r="DB92" s="188"/>
      <c r="DC92" s="188"/>
      <c r="DD92" s="188"/>
      <c r="DE92" s="188"/>
      <c r="DF92" s="189"/>
      <c r="DG92" s="187"/>
      <c r="DH92" s="188"/>
      <c r="DI92" s="188"/>
      <c r="DJ92" s="188"/>
      <c r="DK92" s="189"/>
      <c r="EL92" s="16"/>
      <c r="FL92" s="184" t="s">
        <v>56</v>
      </c>
      <c r="FM92" s="185"/>
      <c r="FN92" s="185"/>
      <c r="FO92" s="185"/>
      <c r="FP92" s="185"/>
      <c r="FQ92" s="185"/>
      <c r="FR92" s="185"/>
      <c r="FS92" s="185"/>
      <c r="FT92" s="185"/>
      <c r="FU92" s="185"/>
      <c r="FV92" s="185"/>
      <c r="FW92" s="185"/>
      <c r="FX92" s="185"/>
      <c r="FY92" s="185"/>
      <c r="FZ92" s="185"/>
      <c r="GA92" s="185"/>
      <c r="GB92" s="185"/>
      <c r="GC92" s="185"/>
      <c r="GD92" s="185"/>
      <c r="GE92" s="185"/>
      <c r="GF92" s="185"/>
      <c r="GG92" s="185"/>
      <c r="GH92" s="185"/>
      <c r="GI92" s="185"/>
      <c r="GJ92" s="185"/>
      <c r="GK92" s="185"/>
      <c r="GL92" s="185"/>
      <c r="GM92" s="185"/>
      <c r="GN92" s="185"/>
      <c r="GO92" s="185"/>
      <c r="GP92" s="185"/>
      <c r="GQ92" s="185"/>
      <c r="GR92" s="185"/>
      <c r="GS92" s="185"/>
      <c r="GT92" s="185"/>
      <c r="GU92" s="185"/>
      <c r="GV92" s="185"/>
      <c r="GW92" s="185"/>
      <c r="GX92" s="185"/>
      <c r="GY92" s="186"/>
      <c r="GZ92" s="184">
        <v>1</v>
      </c>
      <c r="HA92" s="185"/>
      <c r="HB92" s="185"/>
      <c r="HC92" s="185"/>
      <c r="HD92" s="186"/>
      <c r="JN92" s="155"/>
      <c r="LW92" s="12"/>
      <c r="LX92" s="7"/>
    </row>
    <row r="93" spans="3:336" ht="5.0999999999999996" customHeight="1" x14ac:dyDescent="0.3">
      <c r="C93" s="11"/>
      <c r="D93" s="13"/>
      <c r="Q93" s="187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E93" s="189"/>
      <c r="BF93" s="228"/>
      <c r="BG93" s="229"/>
      <c r="BH93" s="229"/>
      <c r="BI93" s="229"/>
      <c r="BJ93" s="230"/>
      <c r="BS93" s="190"/>
      <c r="BT93" s="191"/>
      <c r="BU93" s="191"/>
      <c r="BV93" s="191"/>
      <c r="BW93" s="191"/>
      <c r="BX93" s="191"/>
      <c r="BY93" s="191"/>
      <c r="BZ93" s="191"/>
      <c r="CA93" s="191"/>
      <c r="CB93" s="191"/>
      <c r="CC93" s="191"/>
      <c r="CD93" s="191"/>
      <c r="CE93" s="191"/>
      <c r="CF93" s="191"/>
      <c r="CG93" s="191"/>
      <c r="CH93" s="191"/>
      <c r="CI93" s="191"/>
      <c r="CJ93" s="191"/>
      <c r="CK93" s="191"/>
      <c r="CL93" s="191"/>
      <c r="CM93" s="191"/>
      <c r="CN93" s="191"/>
      <c r="CO93" s="191"/>
      <c r="CP93" s="191"/>
      <c r="CQ93" s="191"/>
      <c r="CR93" s="191"/>
      <c r="CS93" s="191"/>
      <c r="CT93" s="191"/>
      <c r="CU93" s="191"/>
      <c r="CV93" s="191"/>
      <c r="CW93" s="191"/>
      <c r="CX93" s="191"/>
      <c r="CY93" s="191"/>
      <c r="CZ93" s="191"/>
      <c r="DA93" s="191"/>
      <c r="DB93" s="191"/>
      <c r="DC93" s="191"/>
      <c r="DD93" s="191"/>
      <c r="DE93" s="191"/>
      <c r="DF93" s="192"/>
      <c r="DG93" s="190"/>
      <c r="DH93" s="191"/>
      <c r="DI93" s="191"/>
      <c r="DJ93" s="191"/>
      <c r="DK93" s="192"/>
      <c r="EL93" s="16"/>
      <c r="FL93" s="187"/>
      <c r="FM93" s="188"/>
      <c r="FN93" s="188"/>
      <c r="FO93" s="188"/>
      <c r="FP93" s="188"/>
      <c r="FQ93" s="188"/>
      <c r="FR93" s="188"/>
      <c r="FS93" s="188"/>
      <c r="FT93" s="188"/>
      <c r="FU93" s="188"/>
      <c r="FV93" s="188"/>
      <c r="FW93" s="188"/>
      <c r="FX93" s="188"/>
      <c r="FY93" s="188"/>
      <c r="FZ93" s="188"/>
      <c r="GA93" s="188"/>
      <c r="GB93" s="188"/>
      <c r="GC93" s="188"/>
      <c r="GD93" s="188"/>
      <c r="GE93" s="188"/>
      <c r="GF93" s="188"/>
      <c r="GG93" s="188"/>
      <c r="GH93" s="188"/>
      <c r="GI93" s="188"/>
      <c r="GJ93" s="188"/>
      <c r="GK93" s="188"/>
      <c r="GL93" s="188"/>
      <c r="GM93" s="188"/>
      <c r="GN93" s="188"/>
      <c r="GO93" s="188"/>
      <c r="GP93" s="188"/>
      <c r="GQ93" s="188"/>
      <c r="GR93" s="188"/>
      <c r="GS93" s="188"/>
      <c r="GT93" s="188"/>
      <c r="GU93" s="188"/>
      <c r="GV93" s="188"/>
      <c r="GW93" s="188"/>
      <c r="GX93" s="188"/>
      <c r="GY93" s="189"/>
      <c r="GZ93" s="187"/>
      <c r="HA93" s="188"/>
      <c r="HB93" s="188"/>
      <c r="HC93" s="188"/>
      <c r="HD93" s="189"/>
      <c r="JN93" s="155"/>
      <c r="LW93" s="12"/>
      <c r="LX93" s="7"/>
    </row>
    <row r="94" spans="3:336" ht="5.0999999999999996" customHeight="1" x14ac:dyDescent="0.3">
      <c r="C94" s="11"/>
      <c r="D94" s="13"/>
      <c r="Q94" s="187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E94" s="189"/>
      <c r="BF94" s="228"/>
      <c r="BG94" s="229"/>
      <c r="BH94" s="229"/>
      <c r="BI94" s="229"/>
      <c r="BJ94" s="230"/>
      <c r="EL94" s="16"/>
      <c r="FL94" s="187"/>
      <c r="FM94" s="188"/>
      <c r="FN94" s="188"/>
      <c r="FO94" s="188"/>
      <c r="FP94" s="188"/>
      <c r="FQ94" s="188"/>
      <c r="FR94" s="188"/>
      <c r="FS94" s="188"/>
      <c r="FT94" s="188"/>
      <c r="FU94" s="188"/>
      <c r="FV94" s="188"/>
      <c r="FW94" s="188"/>
      <c r="FX94" s="188"/>
      <c r="FY94" s="188"/>
      <c r="FZ94" s="188"/>
      <c r="GA94" s="188"/>
      <c r="GB94" s="188"/>
      <c r="GC94" s="188"/>
      <c r="GD94" s="188"/>
      <c r="GE94" s="188"/>
      <c r="GF94" s="188"/>
      <c r="GG94" s="188"/>
      <c r="GH94" s="188"/>
      <c r="GI94" s="188"/>
      <c r="GJ94" s="188"/>
      <c r="GK94" s="188"/>
      <c r="GL94" s="188"/>
      <c r="GM94" s="188"/>
      <c r="GN94" s="188"/>
      <c r="GO94" s="188"/>
      <c r="GP94" s="188"/>
      <c r="GQ94" s="188"/>
      <c r="GR94" s="188"/>
      <c r="GS94" s="188"/>
      <c r="GT94" s="188"/>
      <c r="GU94" s="188"/>
      <c r="GV94" s="188"/>
      <c r="GW94" s="188"/>
      <c r="GX94" s="188"/>
      <c r="GY94" s="189"/>
      <c r="GZ94" s="187"/>
      <c r="HA94" s="188"/>
      <c r="HB94" s="188"/>
      <c r="HC94" s="188"/>
      <c r="HD94" s="189"/>
      <c r="JN94" s="155"/>
      <c r="LW94" s="12"/>
      <c r="LX94" s="7"/>
    </row>
    <row r="95" spans="3:336" ht="5.0999999999999996" customHeight="1" x14ac:dyDescent="0.3">
      <c r="C95" s="11"/>
      <c r="D95" s="13"/>
      <c r="Q95" s="190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  <c r="BD95" s="191"/>
      <c r="BE95" s="192"/>
      <c r="BF95" s="231"/>
      <c r="BG95" s="232"/>
      <c r="BH95" s="232"/>
      <c r="BI95" s="232"/>
      <c r="BJ95" s="233"/>
      <c r="EL95" s="16"/>
      <c r="FL95" s="187"/>
      <c r="FM95" s="188"/>
      <c r="FN95" s="188"/>
      <c r="FO95" s="188"/>
      <c r="FP95" s="188"/>
      <c r="FQ95" s="188"/>
      <c r="FR95" s="188"/>
      <c r="FS95" s="188"/>
      <c r="FT95" s="188"/>
      <c r="FU95" s="188"/>
      <c r="FV95" s="188"/>
      <c r="FW95" s="188"/>
      <c r="FX95" s="188"/>
      <c r="FY95" s="188"/>
      <c r="FZ95" s="188"/>
      <c r="GA95" s="188"/>
      <c r="GB95" s="188"/>
      <c r="GC95" s="188"/>
      <c r="GD95" s="188"/>
      <c r="GE95" s="188"/>
      <c r="GF95" s="188"/>
      <c r="GG95" s="188"/>
      <c r="GH95" s="188"/>
      <c r="GI95" s="188"/>
      <c r="GJ95" s="188"/>
      <c r="GK95" s="188"/>
      <c r="GL95" s="188"/>
      <c r="GM95" s="188"/>
      <c r="GN95" s="188"/>
      <c r="GO95" s="188"/>
      <c r="GP95" s="188"/>
      <c r="GQ95" s="188"/>
      <c r="GR95" s="188"/>
      <c r="GS95" s="188"/>
      <c r="GT95" s="188"/>
      <c r="GU95" s="188"/>
      <c r="GV95" s="188"/>
      <c r="GW95" s="188"/>
      <c r="GX95" s="188"/>
      <c r="GY95" s="189"/>
      <c r="GZ95" s="187"/>
      <c r="HA95" s="188"/>
      <c r="HB95" s="188"/>
      <c r="HC95" s="188"/>
      <c r="HD95" s="189"/>
      <c r="JN95" s="155"/>
      <c r="LW95" s="12"/>
      <c r="LX95" s="7"/>
    </row>
    <row r="96" spans="3:336" ht="5.0999999999999996" customHeight="1" x14ac:dyDescent="0.3">
      <c r="C96" s="11"/>
      <c r="D96" s="13"/>
      <c r="EL96" s="16"/>
      <c r="FL96" s="187"/>
      <c r="FM96" s="188"/>
      <c r="FN96" s="188"/>
      <c r="FO96" s="188"/>
      <c r="FP96" s="188"/>
      <c r="FQ96" s="188"/>
      <c r="FR96" s="188"/>
      <c r="FS96" s="188"/>
      <c r="FT96" s="188"/>
      <c r="FU96" s="188"/>
      <c r="FV96" s="188"/>
      <c r="FW96" s="188"/>
      <c r="FX96" s="188"/>
      <c r="FY96" s="188"/>
      <c r="FZ96" s="188"/>
      <c r="GA96" s="188"/>
      <c r="GB96" s="188"/>
      <c r="GC96" s="188"/>
      <c r="GD96" s="188"/>
      <c r="GE96" s="188"/>
      <c r="GF96" s="188"/>
      <c r="GG96" s="188"/>
      <c r="GH96" s="188"/>
      <c r="GI96" s="188"/>
      <c r="GJ96" s="188"/>
      <c r="GK96" s="188"/>
      <c r="GL96" s="188"/>
      <c r="GM96" s="188"/>
      <c r="GN96" s="188"/>
      <c r="GO96" s="188"/>
      <c r="GP96" s="188"/>
      <c r="GQ96" s="188"/>
      <c r="GR96" s="188"/>
      <c r="GS96" s="188"/>
      <c r="GT96" s="188"/>
      <c r="GU96" s="188"/>
      <c r="GV96" s="188"/>
      <c r="GW96" s="188"/>
      <c r="GX96" s="188"/>
      <c r="GY96" s="189"/>
      <c r="GZ96" s="187"/>
      <c r="HA96" s="188"/>
      <c r="HB96" s="188"/>
      <c r="HC96" s="188"/>
      <c r="HD96" s="189"/>
      <c r="JN96" s="155"/>
      <c r="LW96" s="12"/>
      <c r="LX96" s="7"/>
    </row>
    <row r="97" spans="3:341" ht="5.0999999999999996" customHeight="1" x14ac:dyDescent="0.3">
      <c r="C97" s="11"/>
      <c r="D97" s="13"/>
      <c r="BS97" s="184" t="s">
        <v>70</v>
      </c>
      <c r="BT97" s="185"/>
      <c r="BU97" s="185"/>
      <c r="BV97" s="185"/>
      <c r="BW97" s="185"/>
      <c r="BX97" s="185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6"/>
      <c r="DG97" s="184">
        <v>1</v>
      </c>
      <c r="DH97" s="185"/>
      <c r="DI97" s="185"/>
      <c r="DJ97" s="185"/>
      <c r="DK97" s="186"/>
      <c r="EL97" s="16"/>
      <c r="FL97" s="187"/>
      <c r="FM97" s="188"/>
      <c r="FN97" s="188"/>
      <c r="FO97" s="188"/>
      <c r="FP97" s="188"/>
      <c r="FQ97" s="188"/>
      <c r="FR97" s="188"/>
      <c r="FS97" s="188"/>
      <c r="FT97" s="188"/>
      <c r="FU97" s="188"/>
      <c r="FV97" s="188"/>
      <c r="FW97" s="188"/>
      <c r="FX97" s="188"/>
      <c r="FY97" s="188"/>
      <c r="FZ97" s="188"/>
      <c r="GA97" s="188"/>
      <c r="GB97" s="188"/>
      <c r="GC97" s="188"/>
      <c r="GD97" s="188"/>
      <c r="GE97" s="188"/>
      <c r="GF97" s="188"/>
      <c r="GG97" s="188"/>
      <c r="GH97" s="188"/>
      <c r="GI97" s="188"/>
      <c r="GJ97" s="188"/>
      <c r="GK97" s="188"/>
      <c r="GL97" s="188"/>
      <c r="GM97" s="188"/>
      <c r="GN97" s="188"/>
      <c r="GO97" s="188"/>
      <c r="GP97" s="188"/>
      <c r="GQ97" s="188"/>
      <c r="GR97" s="188"/>
      <c r="GS97" s="188"/>
      <c r="GT97" s="188"/>
      <c r="GU97" s="188"/>
      <c r="GV97" s="188"/>
      <c r="GW97" s="188"/>
      <c r="GX97" s="188"/>
      <c r="GY97" s="189"/>
      <c r="GZ97" s="187"/>
      <c r="HA97" s="188"/>
      <c r="HB97" s="188"/>
      <c r="HC97" s="188"/>
      <c r="HD97" s="189"/>
      <c r="JN97" s="155"/>
      <c r="LW97" s="12"/>
      <c r="LX97" s="7"/>
    </row>
    <row r="98" spans="3:341" ht="5.0999999999999996" customHeight="1" x14ac:dyDescent="0.3">
      <c r="C98" s="11"/>
      <c r="D98" s="13"/>
      <c r="BS98" s="187"/>
      <c r="BT98" s="188"/>
      <c r="BU98" s="188"/>
      <c r="BV98" s="188"/>
      <c r="BW98" s="188"/>
      <c r="BX98" s="188"/>
      <c r="BY98" s="188"/>
      <c r="BZ98" s="188"/>
      <c r="CA98" s="188"/>
      <c r="CB98" s="188"/>
      <c r="CC98" s="188"/>
      <c r="CD98" s="188"/>
      <c r="CE98" s="188"/>
      <c r="CF98" s="188"/>
      <c r="CG98" s="188"/>
      <c r="CH98" s="188"/>
      <c r="CI98" s="188"/>
      <c r="CJ98" s="188"/>
      <c r="CK98" s="188"/>
      <c r="CL98" s="188"/>
      <c r="CM98" s="188"/>
      <c r="CN98" s="188"/>
      <c r="CO98" s="188"/>
      <c r="CP98" s="188"/>
      <c r="CQ98" s="188"/>
      <c r="CR98" s="188"/>
      <c r="CS98" s="188"/>
      <c r="CT98" s="188"/>
      <c r="CU98" s="188"/>
      <c r="CV98" s="188"/>
      <c r="CW98" s="188"/>
      <c r="CX98" s="188"/>
      <c r="CY98" s="188"/>
      <c r="CZ98" s="188"/>
      <c r="DA98" s="188"/>
      <c r="DB98" s="188"/>
      <c r="DC98" s="188"/>
      <c r="DD98" s="188"/>
      <c r="DE98" s="188"/>
      <c r="DF98" s="189"/>
      <c r="DG98" s="187"/>
      <c r="DH98" s="188"/>
      <c r="DI98" s="188"/>
      <c r="DJ98" s="188"/>
      <c r="DK98" s="189"/>
      <c r="EL98" s="16"/>
      <c r="FL98" s="187"/>
      <c r="FM98" s="188"/>
      <c r="FN98" s="188"/>
      <c r="FO98" s="188"/>
      <c r="FP98" s="188"/>
      <c r="FQ98" s="188"/>
      <c r="FR98" s="188"/>
      <c r="FS98" s="188"/>
      <c r="FT98" s="188"/>
      <c r="FU98" s="188"/>
      <c r="FV98" s="188"/>
      <c r="FW98" s="188"/>
      <c r="FX98" s="188"/>
      <c r="FY98" s="188"/>
      <c r="FZ98" s="188"/>
      <c r="GA98" s="188"/>
      <c r="GB98" s="188"/>
      <c r="GC98" s="188"/>
      <c r="GD98" s="188"/>
      <c r="GE98" s="188"/>
      <c r="GF98" s="188"/>
      <c r="GG98" s="188"/>
      <c r="GH98" s="188"/>
      <c r="GI98" s="188"/>
      <c r="GJ98" s="188"/>
      <c r="GK98" s="188"/>
      <c r="GL98" s="188"/>
      <c r="GM98" s="188"/>
      <c r="GN98" s="188"/>
      <c r="GO98" s="188"/>
      <c r="GP98" s="188"/>
      <c r="GQ98" s="188"/>
      <c r="GR98" s="188"/>
      <c r="GS98" s="188"/>
      <c r="GT98" s="188"/>
      <c r="GU98" s="188"/>
      <c r="GV98" s="188"/>
      <c r="GW98" s="188"/>
      <c r="GX98" s="188"/>
      <c r="GY98" s="189"/>
      <c r="GZ98" s="187"/>
      <c r="HA98" s="188"/>
      <c r="HB98" s="188"/>
      <c r="HC98" s="188"/>
      <c r="HD98" s="189"/>
      <c r="JN98" s="155"/>
      <c r="LW98" s="12"/>
      <c r="LX98" s="7"/>
    </row>
    <row r="99" spans="3:341" ht="5.0999999999999996" customHeight="1" x14ac:dyDescent="0.3">
      <c r="C99" s="11"/>
      <c r="D99" s="13"/>
      <c r="BS99" s="187"/>
      <c r="BT99" s="188"/>
      <c r="BU99" s="188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8"/>
      <c r="CG99" s="188"/>
      <c r="CH99" s="188"/>
      <c r="CI99" s="188"/>
      <c r="CJ99" s="188"/>
      <c r="CK99" s="188"/>
      <c r="CL99" s="188"/>
      <c r="CM99" s="188"/>
      <c r="CN99" s="188"/>
      <c r="CO99" s="188"/>
      <c r="CP99" s="188"/>
      <c r="CQ99" s="188"/>
      <c r="CR99" s="188"/>
      <c r="CS99" s="188"/>
      <c r="CT99" s="188"/>
      <c r="CU99" s="188"/>
      <c r="CV99" s="188"/>
      <c r="CW99" s="188"/>
      <c r="CX99" s="188"/>
      <c r="CY99" s="188"/>
      <c r="CZ99" s="188"/>
      <c r="DA99" s="188"/>
      <c r="DB99" s="188"/>
      <c r="DC99" s="188"/>
      <c r="DD99" s="188"/>
      <c r="DE99" s="188"/>
      <c r="DF99" s="189"/>
      <c r="DG99" s="187"/>
      <c r="DH99" s="188"/>
      <c r="DI99" s="188"/>
      <c r="DJ99" s="188"/>
      <c r="DK99" s="189"/>
      <c r="EL99" s="16"/>
      <c r="FL99" s="187"/>
      <c r="FM99" s="188"/>
      <c r="FN99" s="188"/>
      <c r="FO99" s="188"/>
      <c r="FP99" s="188"/>
      <c r="FQ99" s="188"/>
      <c r="FR99" s="188"/>
      <c r="FS99" s="188"/>
      <c r="FT99" s="188"/>
      <c r="FU99" s="188"/>
      <c r="FV99" s="188"/>
      <c r="FW99" s="188"/>
      <c r="FX99" s="188"/>
      <c r="FY99" s="188"/>
      <c r="FZ99" s="188"/>
      <c r="GA99" s="188"/>
      <c r="GB99" s="188"/>
      <c r="GC99" s="188"/>
      <c r="GD99" s="188"/>
      <c r="GE99" s="188"/>
      <c r="GF99" s="188"/>
      <c r="GG99" s="188"/>
      <c r="GH99" s="188"/>
      <c r="GI99" s="188"/>
      <c r="GJ99" s="188"/>
      <c r="GK99" s="188"/>
      <c r="GL99" s="188"/>
      <c r="GM99" s="188"/>
      <c r="GN99" s="188"/>
      <c r="GO99" s="188"/>
      <c r="GP99" s="188"/>
      <c r="GQ99" s="188"/>
      <c r="GR99" s="188"/>
      <c r="GS99" s="188"/>
      <c r="GT99" s="188"/>
      <c r="GU99" s="188"/>
      <c r="GV99" s="188"/>
      <c r="GW99" s="188"/>
      <c r="GX99" s="188"/>
      <c r="GY99" s="189"/>
      <c r="GZ99" s="187"/>
      <c r="HA99" s="188"/>
      <c r="HB99" s="188"/>
      <c r="HC99" s="188"/>
      <c r="HD99" s="189"/>
      <c r="JN99" s="155"/>
      <c r="LW99" s="12"/>
      <c r="LX99" s="7"/>
    </row>
    <row r="100" spans="3:341" ht="5.0999999999999996" customHeight="1" x14ac:dyDescent="0.3">
      <c r="C100" s="11"/>
      <c r="D100" s="13"/>
      <c r="BS100" s="187"/>
      <c r="BT100" s="188"/>
      <c r="BU100" s="188"/>
      <c r="BV100" s="188"/>
      <c r="BW100" s="188"/>
      <c r="BX100" s="188"/>
      <c r="BY100" s="188"/>
      <c r="BZ100" s="188"/>
      <c r="CA100" s="188"/>
      <c r="CB100" s="188"/>
      <c r="CC100" s="188"/>
      <c r="CD100" s="188"/>
      <c r="CE100" s="188"/>
      <c r="CF100" s="188"/>
      <c r="CG100" s="188"/>
      <c r="CH100" s="188"/>
      <c r="CI100" s="188"/>
      <c r="CJ100" s="188"/>
      <c r="CK100" s="188"/>
      <c r="CL100" s="188"/>
      <c r="CM100" s="188"/>
      <c r="CN100" s="188"/>
      <c r="CO100" s="188"/>
      <c r="CP100" s="188"/>
      <c r="CQ100" s="188"/>
      <c r="CR100" s="188"/>
      <c r="CS100" s="188"/>
      <c r="CT100" s="188"/>
      <c r="CU100" s="188"/>
      <c r="CV100" s="188"/>
      <c r="CW100" s="188"/>
      <c r="CX100" s="188"/>
      <c r="CY100" s="188"/>
      <c r="CZ100" s="188"/>
      <c r="DA100" s="188"/>
      <c r="DB100" s="188"/>
      <c r="DC100" s="188"/>
      <c r="DD100" s="188"/>
      <c r="DE100" s="188"/>
      <c r="DF100" s="189"/>
      <c r="DG100" s="187"/>
      <c r="DH100" s="188"/>
      <c r="DI100" s="188"/>
      <c r="DJ100" s="188"/>
      <c r="DK100" s="189"/>
      <c r="EL100" s="16"/>
      <c r="FL100" s="187"/>
      <c r="FM100" s="188"/>
      <c r="FN100" s="188"/>
      <c r="FO100" s="188"/>
      <c r="FP100" s="188"/>
      <c r="FQ100" s="188"/>
      <c r="FR100" s="188"/>
      <c r="FS100" s="188"/>
      <c r="FT100" s="188"/>
      <c r="FU100" s="188"/>
      <c r="FV100" s="188"/>
      <c r="FW100" s="188"/>
      <c r="FX100" s="188"/>
      <c r="FY100" s="188"/>
      <c r="FZ100" s="188"/>
      <c r="GA100" s="188"/>
      <c r="GB100" s="188"/>
      <c r="GC100" s="188"/>
      <c r="GD100" s="188"/>
      <c r="GE100" s="188"/>
      <c r="GF100" s="188"/>
      <c r="GG100" s="188"/>
      <c r="GH100" s="188"/>
      <c r="GI100" s="188"/>
      <c r="GJ100" s="188"/>
      <c r="GK100" s="188"/>
      <c r="GL100" s="188"/>
      <c r="GM100" s="188"/>
      <c r="GN100" s="188"/>
      <c r="GO100" s="188"/>
      <c r="GP100" s="188"/>
      <c r="GQ100" s="188"/>
      <c r="GR100" s="188"/>
      <c r="GS100" s="188"/>
      <c r="GT100" s="188"/>
      <c r="GU100" s="188"/>
      <c r="GV100" s="188"/>
      <c r="GW100" s="188"/>
      <c r="GX100" s="188"/>
      <c r="GY100" s="189"/>
      <c r="GZ100" s="187"/>
      <c r="HA100" s="188"/>
      <c r="HB100" s="188"/>
      <c r="HC100" s="188"/>
      <c r="HD100" s="189"/>
      <c r="JN100" s="155"/>
      <c r="LW100" s="12"/>
      <c r="LX100" s="7"/>
    </row>
    <row r="101" spans="3:341" ht="5.0999999999999996" customHeight="1" thickBot="1" x14ac:dyDescent="0.35">
      <c r="C101" s="11"/>
      <c r="D101" s="13"/>
      <c r="BS101" s="187"/>
      <c r="BT101" s="188"/>
      <c r="BU101" s="188"/>
      <c r="BV101" s="188"/>
      <c r="BW101" s="188"/>
      <c r="BX101" s="188"/>
      <c r="BY101" s="188"/>
      <c r="BZ101" s="188"/>
      <c r="CA101" s="188"/>
      <c r="CB101" s="188"/>
      <c r="CC101" s="188"/>
      <c r="CD101" s="188"/>
      <c r="CE101" s="188"/>
      <c r="CF101" s="188"/>
      <c r="CG101" s="188"/>
      <c r="CH101" s="188"/>
      <c r="CI101" s="188"/>
      <c r="CJ101" s="188"/>
      <c r="CK101" s="188"/>
      <c r="CL101" s="188"/>
      <c r="CM101" s="188"/>
      <c r="CN101" s="188"/>
      <c r="CO101" s="188"/>
      <c r="CP101" s="188"/>
      <c r="CQ101" s="188"/>
      <c r="CR101" s="188"/>
      <c r="CS101" s="188"/>
      <c r="CT101" s="188"/>
      <c r="CU101" s="188"/>
      <c r="CV101" s="188"/>
      <c r="CW101" s="188"/>
      <c r="CX101" s="188"/>
      <c r="CY101" s="188"/>
      <c r="CZ101" s="188"/>
      <c r="DA101" s="188"/>
      <c r="DB101" s="188"/>
      <c r="DC101" s="188"/>
      <c r="DD101" s="188"/>
      <c r="DE101" s="188"/>
      <c r="DF101" s="189"/>
      <c r="DG101" s="187"/>
      <c r="DH101" s="188"/>
      <c r="DI101" s="188"/>
      <c r="DJ101" s="188"/>
      <c r="DK101" s="189"/>
      <c r="EL101" s="16"/>
      <c r="FL101" s="190"/>
      <c r="FM101" s="191"/>
      <c r="FN101" s="191"/>
      <c r="FO101" s="191"/>
      <c r="FP101" s="191"/>
      <c r="FQ101" s="191"/>
      <c r="FR101" s="191"/>
      <c r="FS101" s="191"/>
      <c r="FT101" s="191"/>
      <c r="FU101" s="191"/>
      <c r="FV101" s="191"/>
      <c r="FW101" s="191"/>
      <c r="FX101" s="191"/>
      <c r="FY101" s="191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/>
      <c r="GL101" s="191"/>
      <c r="GM101" s="191"/>
      <c r="GN101" s="191"/>
      <c r="GO101" s="191"/>
      <c r="GP101" s="191"/>
      <c r="GQ101" s="191"/>
      <c r="GR101" s="191"/>
      <c r="GS101" s="191"/>
      <c r="GT101" s="191"/>
      <c r="GU101" s="191"/>
      <c r="GV101" s="191"/>
      <c r="GW101" s="191"/>
      <c r="GX101" s="191"/>
      <c r="GY101" s="192"/>
      <c r="GZ101" s="190"/>
      <c r="HA101" s="191"/>
      <c r="HB101" s="191"/>
      <c r="HC101" s="191"/>
      <c r="HD101" s="192"/>
      <c r="JN101" s="155"/>
      <c r="LW101" s="12"/>
      <c r="LX101" s="7"/>
    </row>
    <row r="102" spans="3:341" ht="5.0999999999999996" customHeight="1" x14ac:dyDescent="0.3">
      <c r="C102" s="11"/>
      <c r="D102" s="13"/>
      <c r="BS102" s="187"/>
      <c r="BT102" s="188"/>
      <c r="BU102" s="188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8"/>
      <c r="CH102" s="188"/>
      <c r="CI102" s="188"/>
      <c r="CJ102" s="188"/>
      <c r="CK102" s="188"/>
      <c r="CL102" s="188"/>
      <c r="CM102" s="188"/>
      <c r="CN102" s="188"/>
      <c r="CO102" s="188"/>
      <c r="CP102" s="188"/>
      <c r="CQ102" s="188"/>
      <c r="CR102" s="188"/>
      <c r="CS102" s="188"/>
      <c r="CT102" s="188"/>
      <c r="CU102" s="188"/>
      <c r="CV102" s="188"/>
      <c r="CW102" s="188"/>
      <c r="CX102" s="188"/>
      <c r="CY102" s="188"/>
      <c r="CZ102" s="188"/>
      <c r="DA102" s="188"/>
      <c r="DB102" s="188"/>
      <c r="DC102" s="188"/>
      <c r="DD102" s="188"/>
      <c r="DE102" s="188"/>
      <c r="DF102" s="189"/>
      <c r="DG102" s="187"/>
      <c r="DH102" s="188"/>
      <c r="DI102" s="188"/>
      <c r="DJ102" s="188"/>
      <c r="DK102" s="189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0"/>
      <c r="EL102" s="22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48"/>
      <c r="FL102" s="184" t="s">
        <v>77</v>
      </c>
      <c r="FM102" s="185"/>
      <c r="FN102" s="185"/>
      <c r="FO102" s="185"/>
      <c r="FP102" s="185"/>
      <c r="FQ102" s="185"/>
      <c r="FR102" s="185"/>
      <c r="FS102" s="185"/>
      <c r="FT102" s="185"/>
      <c r="FU102" s="185"/>
      <c r="FV102" s="185"/>
      <c r="FW102" s="185"/>
      <c r="FX102" s="185"/>
      <c r="FY102" s="185"/>
      <c r="FZ102" s="185"/>
      <c r="GA102" s="185"/>
      <c r="GB102" s="185"/>
      <c r="GC102" s="185"/>
      <c r="GD102" s="185"/>
      <c r="GE102" s="185"/>
      <c r="GF102" s="185"/>
      <c r="GG102" s="185"/>
      <c r="GH102" s="185"/>
      <c r="GI102" s="185"/>
      <c r="GJ102" s="185"/>
      <c r="GK102" s="185"/>
      <c r="GL102" s="185"/>
      <c r="GM102" s="185"/>
      <c r="GN102" s="185"/>
      <c r="GO102" s="185"/>
      <c r="GP102" s="185"/>
      <c r="GQ102" s="185"/>
      <c r="GR102" s="185"/>
      <c r="GS102" s="185"/>
      <c r="GT102" s="185"/>
      <c r="GU102" s="185"/>
      <c r="GV102" s="185"/>
      <c r="GW102" s="185"/>
      <c r="GX102" s="185"/>
      <c r="GY102" s="186"/>
      <c r="GZ102" s="184">
        <v>2</v>
      </c>
      <c r="HA102" s="185"/>
      <c r="HB102" s="185"/>
      <c r="HC102" s="185"/>
      <c r="HD102" s="186"/>
      <c r="JN102" s="155"/>
      <c r="LW102" s="12"/>
      <c r="LX102" s="7"/>
    </row>
    <row r="103" spans="3:341" ht="5.0999999999999996" customHeight="1" x14ac:dyDescent="0.3">
      <c r="C103" s="11"/>
      <c r="D103" s="13"/>
      <c r="BS103" s="187"/>
      <c r="BT103" s="188"/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8"/>
      <c r="CH103" s="188"/>
      <c r="CI103" s="188"/>
      <c r="CJ103" s="188"/>
      <c r="CK103" s="188"/>
      <c r="CL103" s="188"/>
      <c r="CM103" s="188"/>
      <c r="CN103" s="188"/>
      <c r="CO103" s="188"/>
      <c r="CP103" s="188"/>
      <c r="CQ103" s="188"/>
      <c r="CR103" s="188"/>
      <c r="CS103" s="188"/>
      <c r="CT103" s="188"/>
      <c r="CU103" s="188"/>
      <c r="CV103" s="188"/>
      <c r="CW103" s="188"/>
      <c r="CX103" s="188"/>
      <c r="CY103" s="188"/>
      <c r="CZ103" s="188"/>
      <c r="DA103" s="188"/>
      <c r="DB103" s="188"/>
      <c r="DC103" s="188"/>
      <c r="DD103" s="188"/>
      <c r="DE103" s="188"/>
      <c r="DF103" s="189"/>
      <c r="DG103" s="187"/>
      <c r="DH103" s="188"/>
      <c r="DI103" s="188"/>
      <c r="DJ103" s="188"/>
      <c r="DK103" s="189"/>
      <c r="EK103" s="19"/>
      <c r="EL103" s="16"/>
      <c r="FL103" s="187"/>
      <c r="FM103" s="188"/>
      <c r="FN103" s="188"/>
      <c r="FO103" s="188"/>
      <c r="FP103" s="188"/>
      <c r="FQ103" s="188"/>
      <c r="FR103" s="188"/>
      <c r="FS103" s="188"/>
      <c r="FT103" s="188"/>
      <c r="FU103" s="188"/>
      <c r="FV103" s="188"/>
      <c r="FW103" s="188"/>
      <c r="FX103" s="188"/>
      <c r="FY103" s="188"/>
      <c r="FZ103" s="188"/>
      <c r="GA103" s="188"/>
      <c r="GB103" s="188"/>
      <c r="GC103" s="188"/>
      <c r="GD103" s="188"/>
      <c r="GE103" s="188"/>
      <c r="GF103" s="188"/>
      <c r="GG103" s="188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8"/>
      <c r="GW103" s="188"/>
      <c r="GX103" s="188"/>
      <c r="GY103" s="189"/>
      <c r="GZ103" s="187"/>
      <c r="HA103" s="188"/>
      <c r="HB103" s="188"/>
      <c r="HC103" s="188"/>
      <c r="HD103" s="189"/>
      <c r="HN103" s="1" t="s">
        <v>14</v>
      </c>
      <c r="JN103" s="155"/>
      <c r="LW103" s="12"/>
      <c r="LX103" s="7"/>
    </row>
    <row r="104" spans="3:341" ht="5.0999999999999996" customHeight="1" x14ac:dyDescent="0.3">
      <c r="C104" s="11"/>
      <c r="D104" s="13"/>
      <c r="BS104" s="187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8"/>
      <c r="CH104" s="188"/>
      <c r="CI104" s="188"/>
      <c r="CJ104" s="188"/>
      <c r="CK104" s="188"/>
      <c r="CL104" s="188"/>
      <c r="CM104" s="188"/>
      <c r="CN104" s="188"/>
      <c r="CO104" s="188"/>
      <c r="CP104" s="188"/>
      <c r="CQ104" s="188"/>
      <c r="CR104" s="188"/>
      <c r="CS104" s="188"/>
      <c r="CT104" s="188"/>
      <c r="CU104" s="188"/>
      <c r="CV104" s="188"/>
      <c r="CW104" s="188"/>
      <c r="CX104" s="188"/>
      <c r="CY104" s="188"/>
      <c r="CZ104" s="188"/>
      <c r="DA104" s="188"/>
      <c r="DB104" s="188"/>
      <c r="DC104" s="188"/>
      <c r="DD104" s="188"/>
      <c r="DE104" s="188"/>
      <c r="DF104" s="189"/>
      <c r="DG104" s="187"/>
      <c r="DH104" s="188"/>
      <c r="DI104" s="188"/>
      <c r="DJ104" s="188"/>
      <c r="DK104" s="189"/>
      <c r="EL104" s="16"/>
      <c r="FL104" s="187"/>
      <c r="FM104" s="188"/>
      <c r="FN104" s="188"/>
      <c r="FO104" s="188"/>
      <c r="FP104" s="188"/>
      <c r="FQ104" s="188"/>
      <c r="FR104" s="188"/>
      <c r="FS104" s="188"/>
      <c r="FT104" s="188"/>
      <c r="FU104" s="188"/>
      <c r="FV104" s="188"/>
      <c r="FW104" s="188"/>
      <c r="FX104" s="188"/>
      <c r="FY104" s="188"/>
      <c r="FZ104" s="188"/>
      <c r="GA104" s="188"/>
      <c r="GB104" s="188"/>
      <c r="GC104" s="188"/>
      <c r="GD104" s="188"/>
      <c r="GE104" s="188"/>
      <c r="GF104" s="188"/>
      <c r="GG104" s="188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8"/>
      <c r="GW104" s="188"/>
      <c r="GX104" s="188"/>
      <c r="GY104" s="189"/>
      <c r="GZ104" s="187"/>
      <c r="HA104" s="188"/>
      <c r="HB104" s="188"/>
      <c r="HC104" s="188"/>
      <c r="HD104" s="189"/>
      <c r="JN104" s="155"/>
      <c r="LW104" s="12"/>
      <c r="LX104" s="7"/>
    </row>
    <row r="105" spans="3:341" ht="5.0999999999999996" customHeight="1" x14ac:dyDescent="0.3">
      <c r="C105" s="11"/>
      <c r="D105" s="13"/>
      <c r="BS105" s="187"/>
      <c r="BT105" s="188"/>
      <c r="BU105" s="188"/>
      <c r="BV105" s="188"/>
      <c r="BW105" s="188"/>
      <c r="BX105" s="188"/>
      <c r="BY105" s="188"/>
      <c r="BZ105" s="188"/>
      <c r="CA105" s="188"/>
      <c r="CB105" s="188"/>
      <c r="CC105" s="188"/>
      <c r="CD105" s="188"/>
      <c r="CE105" s="188"/>
      <c r="CF105" s="188"/>
      <c r="CG105" s="188"/>
      <c r="CH105" s="188"/>
      <c r="CI105" s="188"/>
      <c r="CJ105" s="188"/>
      <c r="CK105" s="188"/>
      <c r="CL105" s="188"/>
      <c r="CM105" s="188"/>
      <c r="CN105" s="188"/>
      <c r="CO105" s="188"/>
      <c r="CP105" s="188"/>
      <c r="CQ105" s="188"/>
      <c r="CR105" s="188"/>
      <c r="CS105" s="188"/>
      <c r="CT105" s="188"/>
      <c r="CU105" s="188"/>
      <c r="CV105" s="188"/>
      <c r="CW105" s="188"/>
      <c r="CX105" s="188"/>
      <c r="CY105" s="188"/>
      <c r="CZ105" s="188"/>
      <c r="DA105" s="188"/>
      <c r="DB105" s="188"/>
      <c r="DC105" s="188"/>
      <c r="DD105" s="188"/>
      <c r="DE105" s="188"/>
      <c r="DF105" s="189"/>
      <c r="DG105" s="187"/>
      <c r="DH105" s="188"/>
      <c r="DI105" s="188"/>
      <c r="DJ105" s="188"/>
      <c r="DK105" s="189"/>
      <c r="EL105" s="16"/>
      <c r="FL105" s="187"/>
      <c r="FM105" s="188"/>
      <c r="FN105" s="188"/>
      <c r="FO105" s="188"/>
      <c r="FP105" s="188"/>
      <c r="FQ105" s="188"/>
      <c r="FR105" s="188"/>
      <c r="FS105" s="188"/>
      <c r="FT105" s="188"/>
      <c r="FU105" s="188"/>
      <c r="FV105" s="188"/>
      <c r="FW105" s="188"/>
      <c r="FX105" s="188"/>
      <c r="FY105" s="188"/>
      <c r="FZ105" s="188"/>
      <c r="GA105" s="188"/>
      <c r="GB105" s="188"/>
      <c r="GC105" s="188"/>
      <c r="GD105" s="188"/>
      <c r="GE105" s="188"/>
      <c r="GF105" s="188"/>
      <c r="GG105" s="188"/>
      <c r="GH105" s="188"/>
      <c r="GI105" s="188"/>
      <c r="GJ105" s="188"/>
      <c r="GK105" s="188"/>
      <c r="GL105" s="188"/>
      <c r="GM105" s="188"/>
      <c r="GN105" s="188"/>
      <c r="GO105" s="188"/>
      <c r="GP105" s="188"/>
      <c r="GQ105" s="188"/>
      <c r="GR105" s="188"/>
      <c r="GS105" s="188"/>
      <c r="GT105" s="188"/>
      <c r="GU105" s="188"/>
      <c r="GV105" s="188"/>
      <c r="GW105" s="188"/>
      <c r="GX105" s="188"/>
      <c r="GY105" s="189"/>
      <c r="GZ105" s="187"/>
      <c r="HA105" s="188"/>
      <c r="HB105" s="188"/>
      <c r="HC105" s="188"/>
      <c r="HD105" s="189"/>
      <c r="JN105" s="155"/>
      <c r="LW105" s="12"/>
      <c r="LX105" s="7"/>
    </row>
    <row r="106" spans="3:341" ht="5.0999999999999996" customHeight="1" x14ac:dyDescent="0.3">
      <c r="C106" s="11"/>
      <c r="D106" s="13"/>
      <c r="BS106" s="190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2"/>
      <c r="DG106" s="190"/>
      <c r="DH106" s="191"/>
      <c r="DI106" s="191"/>
      <c r="DJ106" s="191"/>
      <c r="DK106" s="192"/>
      <c r="EL106" s="16"/>
      <c r="FL106" s="187"/>
      <c r="FM106" s="188"/>
      <c r="FN106" s="188"/>
      <c r="FO106" s="188"/>
      <c r="FP106" s="188"/>
      <c r="FQ106" s="188"/>
      <c r="FR106" s="188"/>
      <c r="FS106" s="188"/>
      <c r="FT106" s="188"/>
      <c r="FU106" s="188"/>
      <c r="FV106" s="188"/>
      <c r="FW106" s="188"/>
      <c r="FX106" s="188"/>
      <c r="FY106" s="188"/>
      <c r="FZ106" s="188"/>
      <c r="GA106" s="188"/>
      <c r="GB106" s="188"/>
      <c r="GC106" s="188"/>
      <c r="GD106" s="188"/>
      <c r="GE106" s="188"/>
      <c r="GF106" s="188"/>
      <c r="GG106" s="188"/>
      <c r="GH106" s="188"/>
      <c r="GI106" s="188"/>
      <c r="GJ106" s="188"/>
      <c r="GK106" s="188"/>
      <c r="GL106" s="188"/>
      <c r="GM106" s="188"/>
      <c r="GN106" s="188"/>
      <c r="GO106" s="188"/>
      <c r="GP106" s="188"/>
      <c r="GQ106" s="188"/>
      <c r="GR106" s="188"/>
      <c r="GS106" s="188"/>
      <c r="GT106" s="188"/>
      <c r="GU106" s="188"/>
      <c r="GV106" s="188"/>
      <c r="GW106" s="188"/>
      <c r="GX106" s="188"/>
      <c r="GY106" s="189"/>
      <c r="GZ106" s="187"/>
      <c r="HA106" s="188"/>
      <c r="HB106" s="188"/>
      <c r="HC106" s="188"/>
      <c r="HD106" s="189"/>
      <c r="JN106" s="155"/>
      <c r="LW106" s="12"/>
      <c r="LX106" s="7"/>
    </row>
    <row r="107" spans="3:341" ht="5.0999999999999996" customHeight="1" x14ac:dyDescent="0.3">
      <c r="C107" s="11"/>
      <c r="D107" s="13"/>
      <c r="EL107" s="16"/>
      <c r="FL107" s="187"/>
      <c r="FM107" s="188"/>
      <c r="FN107" s="188"/>
      <c r="FO107" s="188"/>
      <c r="FP107" s="188"/>
      <c r="FQ107" s="188"/>
      <c r="FR107" s="188"/>
      <c r="FS107" s="188"/>
      <c r="FT107" s="188"/>
      <c r="FU107" s="188"/>
      <c r="FV107" s="188"/>
      <c r="FW107" s="188"/>
      <c r="FX107" s="188"/>
      <c r="FY107" s="188"/>
      <c r="FZ107" s="188"/>
      <c r="GA107" s="188"/>
      <c r="GB107" s="188"/>
      <c r="GC107" s="188"/>
      <c r="GD107" s="188"/>
      <c r="GE107" s="188"/>
      <c r="GF107" s="188"/>
      <c r="GG107" s="188"/>
      <c r="GH107" s="188"/>
      <c r="GI107" s="188"/>
      <c r="GJ107" s="188"/>
      <c r="GK107" s="188"/>
      <c r="GL107" s="188"/>
      <c r="GM107" s="188"/>
      <c r="GN107" s="188"/>
      <c r="GO107" s="188"/>
      <c r="GP107" s="188"/>
      <c r="GQ107" s="188"/>
      <c r="GR107" s="188"/>
      <c r="GS107" s="188"/>
      <c r="GT107" s="188"/>
      <c r="GU107" s="188"/>
      <c r="GV107" s="188"/>
      <c r="GW107" s="188"/>
      <c r="GX107" s="188"/>
      <c r="GY107" s="189"/>
      <c r="GZ107" s="187"/>
      <c r="HA107" s="188"/>
      <c r="HB107" s="188"/>
      <c r="HC107" s="188"/>
      <c r="HD107" s="189"/>
      <c r="JN107" s="155"/>
      <c r="LW107" s="12"/>
      <c r="LX107" s="7"/>
    </row>
    <row r="108" spans="3:341" ht="5.0999999999999996" customHeight="1" x14ac:dyDescent="0.3">
      <c r="C108" s="11"/>
      <c r="D108" s="13"/>
      <c r="EL108" s="16"/>
      <c r="FL108" s="187"/>
      <c r="FM108" s="188"/>
      <c r="FN108" s="188"/>
      <c r="FO108" s="188"/>
      <c r="FP108" s="188"/>
      <c r="FQ108" s="188"/>
      <c r="FR108" s="188"/>
      <c r="FS108" s="188"/>
      <c r="FT108" s="188"/>
      <c r="FU108" s="188"/>
      <c r="FV108" s="188"/>
      <c r="FW108" s="188"/>
      <c r="FX108" s="188"/>
      <c r="FY108" s="188"/>
      <c r="FZ108" s="188"/>
      <c r="GA108" s="188"/>
      <c r="GB108" s="188"/>
      <c r="GC108" s="188"/>
      <c r="GD108" s="188"/>
      <c r="GE108" s="188"/>
      <c r="GF108" s="188"/>
      <c r="GG108" s="188"/>
      <c r="GH108" s="188"/>
      <c r="GI108" s="188"/>
      <c r="GJ108" s="188"/>
      <c r="GK108" s="188"/>
      <c r="GL108" s="188"/>
      <c r="GM108" s="188"/>
      <c r="GN108" s="188"/>
      <c r="GO108" s="188"/>
      <c r="GP108" s="188"/>
      <c r="GQ108" s="188"/>
      <c r="GR108" s="188"/>
      <c r="GS108" s="188"/>
      <c r="GT108" s="188"/>
      <c r="GU108" s="188"/>
      <c r="GV108" s="188"/>
      <c r="GW108" s="188"/>
      <c r="GX108" s="188"/>
      <c r="GY108" s="189"/>
      <c r="GZ108" s="187"/>
      <c r="HA108" s="188"/>
      <c r="HB108" s="188"/>
      <c r="HC108" s="188"/>
      <c r="HD108" s="189"/>
      <c r="JN108" s="155"/>
      <c r="LW108" s="12"/>
      <c r="LX108" s="7"/>
    </row>
    <row r="109" spans="3:341" ht="5.0999999999999996" customHeight="1" x14ac:dyDescent="0.3">
      <c r="C109" s="11"/>
      <c r="D109" s="13"/>
      <c r="EL109" s="16"/>
      <c r="FL109" s="187"/>
      <c r="FM109" s="188"/>
      <c r="FN109" s="188"/>
      <c r="FO109" s="188"/>
      <c r="FP109" s="188"/>
      <c r="FQ109" s="188"/>
      <c r="FR109" s="188"/>
      <c r="FS109" s="188"/>
      <c r="FT109" s="188"/>
      <c r="FU109" s="188"/>
      <c r="FV109" s="188"/>
      <c r="FW109" s="188"/>
      <c r="FX109" s="188"/>
      <c r="FY109" s="188"/>
      <c r="FZ109" s="188"/>
      <c r="GA109" s="188"/>
      <c r="GB109" s="188"/>
      <c r="GC109" s="188"/>
      <c r="GD109" s="188"/>
      <c r="GE109" s="188"/>
      <c r="GF109" s="188"/>
      <c r="GG109" s="188"/>
      <c r="GH109" s="188"/>
      <c r="GI109" s="188"/>
      <c r="GJ109" s="188"/>
      <c r="GK109" s="188"/>
      <c r="GL109" s="188"/>
      <c r="GM109" s="188"/>
      <c r="GN109" s="188"/>
      <c r="GO109" s="188"/>
      <c r="GP109" s="188"/>
      <c r="GQ109" s="188"/>
      <c r="GR109" s="188"/>
      <c r="GS109" s="188"/>
      <c r="GT109" s="188"/>
      <c r="GU109" s="188"/>
      <c r="GV109" s="188"/>
      <c r="GW109" s="188"/>
      <c r="GX109" s="188"/>
      <c r="GY109" s="189"/>
      <c r="GZ109" s="187"/>
      <c r="HA109" s="188"/>
      <c r="HB109" s="188"/>
      <c r="HC109" s="188"/>
      <c r="HD109" s="189"/>
      <c r="JN109" s="155"/>
      <c r="LW109" s="12"/>
      <c r="LX109" s="7"/>
    </row>
    <row r="110" spans="3:341" ht="5.0999999999999996" customHeight="1" x14ac:dyDescent="0.3">
      <c r="C110" s="11"/>
      <c r="D110" s="13"/>
      <c r="EL110" s="16"/>
      <c r="FL110" s="187"/>
      <c r="FM110" s="188"/>
      <c r="FN110" s="188"/>
      <c r="FO110" s="188"/>
      <c r="FP110" s="188"/>
      <c r="FQ110" s="188"/>
      <c r="FR110" s="188"/>
      <c r="FS110" s="188"/>
      <c r="FT110" s="188"/>
      <c r="FU110" s="188"/>
      <c r="FV110" s="188"/>
      <c r="FW110" s="188"/>
      <c r="FX110" s="188"/>
      <c r="FY110" s="188"/>
      <c r="FZ110" s="188"/>
      <c r="GA110" s="188"/>
      <c r="GB110" s="188"/>
      <c r="GC110" s="188"/>
      <c r="GD110" s="188"/>
      <c r="GE110" s="188"/>
      <c r="GF110" s="188"/>
      <c r="GG110" s="188"/>
      <c r="GH110" s="188"/>
      <c r="GI110" s="188"/>
      <c r="GJ110" s="188"/>
      <c r="GK110" s="188"/>
      <c r="GL110" s="188"/>
      <c r="GM110" s="188"/>
      <c r="GN110" s="188"/>
      <c r="GO110" s="188"/>
      <c r="GP110" s="188"/>
      <c r="GQ110" s="188"/>
      <c r="GR110" s="188"/>
      <c r="GS110" s="188"/>
      <c r="GT110" s="188"/>
      <c r="GU110" s="188"/>
      <c r="GV110" s="188"/>
      <c r="GW110" s="188"/>
      <c r="GX110" s="188"/>
      <c r="GY110" s="189"/>
      <c r="GZ110" s="187"/>
      <c r="HA110" s="188"/>
      <c r="HB110" s="188"/>
      <c r="HC110" s="188"/>
      <c r="HD110" s="189"/>
      <c r="JN110" s="155"/>
      <c r="LW110" s="12"/>
      <c r="LX110" s="7"/>
    </row>
    <row r="111" spans="3:341" ht="5.0999999999999996" customHeight="1" x14ac:dyDescent="0.3">
      <c r="C111" s="11"/>
      <c r="D111" s="13"/>
      <c r="EL111" s="16"/>
      <c r="FL111" s="190"/>
      <c r="FM111" s="191"/>
      <c r="FN111" s="191"/>
      <c r="FO111" s="191"/>
      <c r="FP111" s="191"/>
      <c r="FQ111" s="191"/>
      <c r="FR111" s="191"/>
      <c r="FS111" s="191"/>
      <c r="FT111" s="191"/>
      <c r="FU111" s="191"/>
      <c r="FV111" s="191"/>
      <c r="FW111" s="191"/>
      <c r="FX111" s="191"/>
      <c r="FY111" s="191"/>
      <c r="FZ111" s="191"/>
      <c r="GA111" s="191"/>
      <c r="GB111" s="191"/>
      <c r="GC111" s="191"/>
      <c r="GD111" s="191"/>
      <c r="GE111" s="191"/>
      <c r="GF111" s="191"/>
      <c r="GG111" s="191"/>
      <c r="GH111" s="191"/>
      <c r="GI111" s="191"/>
      <c r="GJ111" s="191"/>
      <c r="GK111" s="191"/>
      <c r="GL111" s="191"/>
      <c r="GM111" s="191"/>
      <c r="GN111" s="191"/>
      <c r="GO111" s="191"/>
      <c r="GP111" s="191"/>
      <c r="GQ111" s="191"/>
      <c r="GR111" s="191"/>
      <c r="GS111" s="191"/>
      <c r="GT111" s="191"/>
      <c r="GU111" s="191"/>
      <c r="GV111" s="191"/>
      <c r="GW111" s="191"/>
      <c r="GX111" s="191"/>
      <c r="GY111" s="192"/>
      <c r="GZ111" s="190"/>
      <c r="HA111" s="191"/>
      <c r="HB111" s="191"/>
      <c r="HC111" s="191"/>
      <c r="HD111" s="192"/>
      <c r="JN111" s="155"/>
      <c r="LW111" s="12"/>
      <c r="LX111" s="7"/>
    </row>
    <row r="112" spans="3:341" ht="5.0999999999999996" customHeight="1" x14ac:dyDescent="0.3">
      <c r="C112" s="11"/>
      <c r="D112" s="13"/>
      <c r="EL112" s="16"/>
      <c r="JN112" s="155"/>
      <c r="LW112" s="12"/>
      <c r="LX112" s="7"/>
      <c r="LY112" s="3"/>
      <c r="LZ112" s="3"/>
      <c r="MA112" s="3"/>
      <c r="MB112" s="3"/>
      <c r="MC112" s="2"/>
    </row>
    <row r="113" spans="3:360" ht="5.0999999999999996" customHeight="1" x14ac:dyDescent="0.3">
      <c r="C113" s="11"/>
      <c r="D113" s="13"/>
      <c r="EL113" s="16"/>
      <c r="JN113" s="155"/>
      <c r="LW113" s="12"/>
      <c r="LX113" s="7"/>
      <c r="LY113" s="3"/>
      <c r="LZ113" s="3"/>
      <c r="MA113" s="3"/>
      <c r="MB113" s="3"/>
      <c r="MC113" s="2"/>
    </row>
    <row r="114" spans="3:360" ht="5.0999999999999996" customHeight="1" thickBot="1" x14ac:dyDescent="0.35">
      <c r="C114" s="11"/>
      <c r="D114" s="13"/>
      <c r="EL114" s="16"/>
      <c r="JN114" s="155"/>
      <c r="LW114" s="12"/>
      <c r="LX114" s="7"/>
      <c r="LY114" s="3"/>
      <c r="LZ114" s="3"/>
      <c r="MA114" s="3"/>
      <c r="MB114" s="3"/>
      <c r="MC114" s="2"/>
    </row>
    <row r="115" spans="3:360" ht="5.0999999999999996" customHeight="1" x14ac:dyDescent="0.3">
      <c r="C115" s="11"/>
      <c r="D115" s="13"/>
      <c r="AN115" s="22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2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0"/>
      <c r="JN115" s="155"/>
      <c r="LW115" s="12"/>
      <c r="LX115" s="7"/>
      <c r="LY115" s="3"/>
      <c r="LZ115" s="3"/>
      <c r="MA115" s="3"/>
      <c r="MB115" s="3"/>
      <c r="MC115" s="2"/>
    </row>
    <row r="116" spans="3:360" ht="5.0999999999999996" customHeight="1" x14ac:dyDescent="0.3">
      <c r="C116" s="11"/>
      <c r="D116" s="13"/>
      <c r="AH116" s="9"/>
      <c r="AI116" s="9"/>
      <c r="AJ116" s="9"/>
      <c r="AK116" s="9"/>
      <c r="AL116" s="9"/>
      <c r="AM116" s="9"/>
      <c r="AN116" s="15"/>
      <c r="AO116" s="9"/>
      <c r="AP116" s="9"/>
      <c r="EL116" s="15"/>
      <c r="IJ116" s="19"/>
      <c r="JN116" s="155"/>
      <c r="LW116" s="12"/>
      <c r="LX116" s="7"/>
      <c r="LY116" s="3"/>
      <c r="LZ116" s="3"/>
      <c r="MA116" s="3"/>
      <c r="MB116" s="3"/>
      <c r="MC116" s="2"/>
      <c r="MQ116" s="3"/>
      <c r="MR116" s="3"/>
      <c r="MS116" s="3"/>
      <c r="MT116" s="3"/>
      <c r="MU116" s="3"/>
      <c r="MV116" s="2"/>
    </row>
    <row r="117" spans="3:360" ht="5.0999999999999996" customHeight="1" x14ac:dyDescent="0.3">
      <c r="C117" s="11"/>
      <c r="D117" s="13"/>
      <c r="Q117" s="206" t="s">
        <v>13</v>
      </c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8"/>
      <c r="BF117" s="206">
        <f>SUM(BF129,BF141:BJ240)</f>
        <v>16</v>
      </c>
      <c r="BG117" s="207"/>
      <c r="BH117" s="207"/>
      <c r="BI117" s="207"/>
      <c r="BJ117" s="208"/>
      <c r="DO117" s="265" t="s">
        <v>12</v>
      </c>
      <c r="DP117" s="265"/>
      <c r="DQ117" s="265"/>
      <c r="DR117" s="265"/>
      <c r="DS117" s="265"/>
      <c r="DT117" s="265"/>
      <c r="DU117" s="265"/>
      <c r="DV117" s="265"/>
      <c r="DW117" s="265"/>
      <c r="DX117" s="265"/>
      <c r="DY117" s="265"/>
      <c r="DZ117" s="265"/>
      <c r="EA117" s="265"/>
      <c r="EB117" s="265"/>
      <c r="EC117" s="265"/>
      <c r="ED117" s="265"/>
      <c r="EE117" s="265"/>
      <c r="EF117" s="265"/>
      <c r="EG117" s="265"/>
      <c r="EH117" s="265"/>
      <c r="EI117" s="265"/>
      <c r="EJ117" s="265"/>
      <c r="EK117" s="265"/>
      <c r="EL117" s="265"/>
      <c r="EM117" s="265"/>
      <c r="EN117" s="265"/>
      <c r="EO117" s="265"/>
      <c r="EP117" s="265"/>
      <c r="EQ117" s="265"/>
      <c r="ER117" s="265"/>
      <c r="ES117" s="265"/>
      <c r="ET117" s="265"/>
      <c r="EU117" s="265"/>
      <c r="EV117" s="265"/>
      <c r="EW117" s="265"/>
      <c r="EX117" s="265"/>
      <c r="EY117" s="265"/>
      <c r="EZ117" s="265"/>
      <c r="FA117" s="265"/>
      <c r="FB117" s="302">
        <f>SUM(DE147,FC147,GZ147,FB129)</f>
        <v>29</v>
      </c>
      <c r="FC117" s="303"/>
      <c r="FD117" s="303"/>
      <c r="FE117" s="303"/>
      <c r="FF117" s="304"/>
      <c r="HL117" s="14"/>
      <c r="HN117" s="195" t="s">
        <v>11</v>
      </c>
      <c r="HO117" s="196"/>
      <c r="HP117" s="196"/>
      <c r="HQ117" s="196"/>
      <c r="HR117" s="196"/>
      <c r="HS117" s="196"/>
      <c r="HT117" s="196"/>
      <c r="HU117" s="196"/>
      <c r="HV117" s="196"/>
      <c r="HW117" s="196"/>
      <c r="HX117" s="196"/>
      <c r="HY117" s="196"/>
      <c r="HZ117" s="196"/>
      <c r="IA117" s="196"/>
      <c r="IB117" s="196"/>
      <c r="IC117" s="196"/>
      <c r="ID117" s="196"/>
      <c r="IE117" s="196"/>
      <c r="IF117" s="196"/>
      <c r="IG117" s="196"/>
      <c r="IH117" s="196"/>
      <c r="II117" s="196"/>
      <c r="IJ117" s="196"/>
      <c r="IK117" s="196"/>
      <c r="IL117" s="196"/>
      <c r="IM117" s="196"/>
      <c r="IN117" s="196"/>
      <c r="IO117" s="196"/>
      <c r="IP117" s="196"/>
      <c r="IQ117" s="196"/>
      <c r="IR117" s="196"/>
      <c r="IS117" s="196"/>
      <c r="IT117" s="196"/>
      <c r="IU117" s="196"/>
      <c r="IV117" s="196"/>
      <c r="IW117" s="196"/>
      <c r="IX117" s="196"/>
      <c r="IY117" s="196"/>
      <c r="IZ117" s="196"/>
      <c r="JA117" s="196"/>
      <c r="JB117" s="204">
        <f>JB127</f>
        <v>10</v>
      </c>
      <c r="JC117" s="204"/>
      <c r="JD117" s="204"/>
      <c r="JE117" s="204"/>
      <c r="JF117" s="204"/>
      <c r="JG117" s="204"/>
      <c r="JN117" s="155"/>
      <c r="JU117" s="311" t="s">
        <v>34</v>
      </c>
      <c r="JV117" s="312"/>
      <c r="JW117" s="312"/>
      <c r="JX117" s="312"/>
      <c r="JY117" s="312"/>
      <c r="JZ117" s="312"/>
      <c r="KA117" s="312"/>
      <c r="KB117" s="312"/>
      <c r="KC117" s="312"/>
      <c r="KD117" s="312"/>
      <c r="KE117" s="312"/>
      <c r="KF117" s="312"/>
      <c r="KG117" s="312"/>
      <c r="KH117" s="312"/>
      <c r="KI117" s="312"/>
      <c r="KJ117" s="312"/>
      <c r="KK117" s="312"/>
      <c r="KL117" s="312"/>
      <c r="KM117" s="312"/>
      <c r="KN117" s="312"/>
      <c r="KO117" s="312"/>
      <c r="KP117" s="312"/>
      <c r="KQ117" s="312"/>
      <c r="KR117" s="312"/>
      <c r="KS117" s="312"/>
      <c r="KT117" s="312"/>
      <c r="KU117" s="312"/>
      <c r="KV117" s="312"/>
      <c r="KW117" s="312"/>
      <c r="KX117" s="312"/>
      <c r="KY117" s="312"/>
      <c r="KZ117" s="312"/>
      <c r="LA117" s="312"/>
      <c r="LB117" s="312"/>
      <c r="LC117" s="312"/>
      <c r="LD117" s="312"/>
      <c r="LE117" s="312"/>
      <c r="LF117" s="312"/>
      <c r="LG117" s="312"/>
      <c r="LH117" s="312"/>
      <c r="LI117" s="313"/>
      <c r="LJ117" s="320">
        <f>SUM(LJ128:LN288)</f>
        <v>34</v>
      </c>
      <c r="LK117" s="321"/>
      <c r="LL117" s="321"/>
      <c r="LM117" s="321"/>
      <c r="LN117" s="322"/>
      <c r="LW117" s="12"/>
      <c r="LX117" s="7"/>
      <c r="LY117" s="3"/>
      <c r="LZ117" s="3"/>
      <c r="MA117" s="3"/>
      <c r="MB117" s="3"/>
      <c r="MC117" s="2"/>
      <c r="MQ117" s="3"/>
      <c r="MR117" s="3"/>
      <c r="MS117" s="3"/>
      <c r="MT117" s="3"/>
      <c r="MU117" s="3"/>
      <c r="MV117" s="2"/>
    </row>
    <row r="118" spans="3:360" ht="5.0999999999999996" customHeight="1" x14ac:dyDescent="0.3">
      <c r="C118" s="11"/>
      <c r="D118" s="13"/>
      <c r="Q118" s="209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1"/>
      <c r="BF118" s="209"/>
      <c r="BG118" s="210"/>
      <c r="BH118" s="210"/>
      <c r="BI118" s="210"/>
      <c r="BJ118" s="211"/>
      <c r="DO118" s="265"/>
      <c r="DP118" s="265"/>
      <c r="DQ118" s="265"/>
      <c r="DR118" s="265"/>
      <c r="DS118" s="265"/>
      <c r="DT118" s="265"/>
      <c r="DU118" s="265"/>
      <c r="DV118" s="265"/>
      <c r="DW118" s="265"/>
      <c r="DX118" s="265"/>
      <c r="DY118" s="265"/>
      <c r="DZ118" s="265"/>
      <c r="EA118" s="265"/>
      <c r="EB118" s="265"/>
      <c r="EC118" s="265"/>
      <c r="ED118" s="265"/>
      <c r="EE118" s="265"/>
      <c r="EF118" s="265"/>
      <c r="EG118" s="265"/>
      <c r="EH118" s="265"/>
      <c r="EI118" s="265"/>
      <c r="EJ118" s="265"/>
      <c r="EK118" s="265"/>
      <c r="EL118" s="265"/>
      <c r="EM118" s="265"/>
      <c r="EN118" s="265"/>
      <c r="EO118" s="265"/>
      <c r="EP118" s="265"/>
      <c r="EQ118" s="265"/>
      <c r="ER118" s="265"/>
      <c r="ES118" s="265"/>
      <c r="ET118" s="265"/>
      <c r="EU118" s="265"/>
      <c r="EV118" s="265"/>
      <c r="EW118" s="265"/>
      <c r="EX118" s="265"/>
      <c r="EY118" s="265"/>
      <c r="EZ118" s="265"/>
      <c r="FA118" s="265"/>
      <c r="FB118" s="305"/>
      <c r="FC118" s="306"/>
      <c r="FD118" s="306"/>
      <c r="FE118" s="306"/>
      <c r="FF118" s="307"/>
      <c r="HL118" s="14"/>
      <c r="HN118" s="198"/>
      <c r="HO118" s="199"/>
      <c r="HP118" s="199"/>
      <c r="HQ118" s="199"/>
      <c r="HR118" s="199"/>
      <c r="HS118" s="199"/>
      <c r="HT118" s="199"/>
      <c r="HU118" s="199"/>
      <c r="HV118" s="199"/>
      <c r="HW118" s="199"/>
      <c r="HX118" s="199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  <c r="IW118" s="199"/>
      <c r="IX118" s="199"/>
      <c r="IY118" s="199"/>
      <c r="IZ118" s="199"/>
      <c r="JA118" s="199"/>
      <c r="JB118" s="204"/>
      <c r="JC118" s="204"/>
      <c r="JD118" s="204"/>
      <c r="JE118" s="204"/>
      <c r="JF118" s="204"/>
      <c r="JG118" s="204"/>
      <c r="JN118" s="155"/>
      <c r="JU118" s="314"/>
      <c r="JV118" s="315"/>
      <c r="JW118" s="315"/>
      <c r="JX118" s="315"/>
      <c r="JY118" s="315"/>
      <c r="JZ118" s="315"/>
      <c r="KA118" s="315"/>
      <c r="KB118" s="315"/>
      <c r="KC118" s="315"/>
      <c r="KD118" s="315"/>
      <c r="KE118" s="315"/>
      <c r="KF118" s="315"/>
      <c r="KG118" s="315"/>
      <c r="KH118" s="315"/>
      <c r="KI118" s="315"/>
      <c r="KJ118" s="315"/>
      <c r="KK118" s="315"/>
      <c r="KL118" s="315"/>
      <c r="KM118" s="315"/>
      <c r="KN118" s="315"/>
      <c r="KO118" s="315"/>
      <c r="KP118" s="315"/>
      <c r="KQ118" s="315"/>
      <c r="KR118" s="315"/>
      <c r="KS118" s="315"/>
      <c r="KT118" s="315"/>
      <c r="KU118" s="315"/>
      <c r="KV118" s="315"/>
      <c r="KW118" s="315"/>
      <c r="KX118" s="315"/>
      <c r="KY118" s="315"/>
      <c r="KZ118" s="315"/>
      <c r="LA118" s="315"/>
      <c r="LB118" s="315"/>
      <c r="LC118" s="315"/>
      <c r="LD118" s="315"/>
      <c r="LE118" s="315"/>
      <c r="LF118" s="315"/>
      <c r="LG118" s="315"/>
      <c r="LH118" s="315"/>
      <c r="LI118" s="316"/>
      <c r="LJ118" s="323"/>
      <c r="LK118" s="324"/>
      <c r="LL118" s="324"/>
      <c r="LM118" s="324"/>
      <c r="LN118" s="325"/>
      <c r="LW118" s="12"/>
      <c r="LX118" s="7"/>
      <c r="LY118" s="3"/>
      <c r="LZ118" s="3"/>
      <c r="MA118" s="3"/>
      <c r="MB118" s="3"/>
      <c r="MC118" s="2"/>
      <c r="MQ118" s="3"/>
      <c r="MR118" s="3"/>
      <c r="MS118" s="3"/>
      <c r="MT118" s="3"/>
      <c r="MU118" s="3"/>
      <c r="MV118" s="2"/>
    </row>
    <row r="119" spans="3:360" ht="5.0999999999999996" customHeight="1" x14ac:dyDescent="0.3">
      <c r="C119" s="11"/>
      <c r="D119" s="13"/>
      <c r="Q119" s="209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1"/>
      <c r="BF119" s="209"/>
      <c r="BG119" s="210"/>
      <c r="BH119" s="210"/>
      <c r="BI119" s="210"/>
      <c r="BJ119" s="211"/>
      <c r="DO119" s="265"/>
      <c r="DP119" s="265"/>
      <c r="DQ119" s="265"/>
      <c r="DR119" s="265"/>
      <c r="DS119" s="265"/>
      <c r="DT119" s="265"/>
      <c r="DU119" s="265"/>
      <c r="DV119" s="265"/>
      <c r="DW119" s="265"/>
      <c r="DX119" s="265"/>
      <c r="DY119" s="265"/>
      <c r="DZ119" s="265"/>
      <c r="EA119" s="265"/>
      <c r="EB119" s="265"/>
      <c r="EC119" s="265"/>
      <c r="ED119" s="265"/>
      <c r="EE119" s="265"/>
      <c r="EF119" s="265"/>
      <c r="EG119" s="265"/>
      <c r="EH119" s="265"/>
      <c r="EI119" s="265"/>
      <c r="EJ119" s="265"/>
      <c r="EK119" s="265"/>
      <c r="EL119" s="265"/>
      <c r="EM119" s="265"/>
      <c r="EN119" s="265"/>
      <c r="EO119" s="265"/>
      <c r="EP119" s="265"/>
      <c r="EQ119" s="265"/>
      <c r="ER119" s="265"/>
      <c r="ES119" s="265"/>
      <c r="ET119" s="265"/>
      <c r="EU119" s="265"/>
      <c r="EV119" s="265"/>
      <c r="EW119" s="265"/>
      <c r="EX119" s="265"/>
      <c r="EY119" s="265"/>
      <c r="EZ119" s="265"/>
      <c r="FA119" s="265"/>
      <c r="FB119" s="305"/>
      <c r="FC119" s="306"/>
      <c r="FD119" s="306"/>
      <c r="FE119" s="306"/>
      <c r="FF119" s="307"/>
      <c r="HL119" s="14"/>
      <c r="HN119" s="198"/>
      <c r="HO119" s="199"/>
      <c r="HP119" s="199"/>
      <c r="HQ119" s="199"/>
      <c r="HR119" s="199"/>
      <c r="HS119" s="199"/>
      <c r="HT119" s="199"/>
      <c r="HU119" s="199"/>
      <c r="HV119" s="199"/>
      <c r="HW119" s="199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  <c r="IW119" s="199"/>
      <c r="IX119" s="199"/>
      <c r="IY119" s="199"/>
      <c r="IZ119" s="199"/>
      <c r="JA119" s="199"/>
      <c r="JB119" s="204"/>
      <c r="JC119" s="204"/>
      <c r="JD119" s="204"/>
      <c r="JE119" s="204"/>
      <c r="JF119" s="204"/>
      <c r="JG119" s="204"/>
      <c r="JN119" s="155"/>
      <c r="JU119" s="314"/>
      <c r="JV119" s="315"/>
      <c r="JW119" s="315"/>
      <c r="JX119" s="315"/>
      <c r="JY119" s="315"/>
      <c r="JZ119" s="315"/>
      <c r="KA119" s="315"/>
      <c r="KB119" s="315"/>
      <c r="KC119" s="315"/>
      <c r="KD119" s="315"/>
      <c r="KE119" s="315"/>
      <c r="KF119" s="315"/>
      <c r="KG119" s="315"/>
      <c r="KH119" s="315"/>
      <c r="KI119" s="315"/>
      <c r="KJ119" s="315"/>
      <c r="KK119" s="315"/>
      <c r="KL119" s="315"/>
      <c r="KM119" s="315"/>
      <c r="KN119" s="315"/>
      <c r="KO119" s="315"/>
      <c r="KP119" s="315"/>
      <c r="KQ119" s="315"/>
      <c r="KR119" s="315"/>
      <c r="KS119" s="315"/>
      <c r="KT119" s="315"/>
      <c r="KU119" s="315"/>
      <c r="KV119" s="315"/>
      <c r="KW119" s="315"/>
      <c r="KX119" s="315"/>
      <c r="KY119" s="315"/>
      <c r="KZ119" s="315"/>
      <c r="LA119" s="315"/>
      <c r="LB119" s="315"/>
      <c r="LC119" s="315"/>
      <c r="LD119" s="315"/>
      <c r="LE119" s="315"/>
      <c r="LF119" s="315"/>
      <c r="LG119" s="315"/>
      <c r="LH119" s="315"/>
      <c r="LI119" s="316"/>
      <c r="LJ119" s="323"/>
      <c r="LK119" s="324"/>
      <c r="LL119" s="324"/>
      <c r="LM119" s="324"/>
      <c r="LN119" s="325"/>
      <c r="LW119" s="12"/>
      <c r="LX119" s="7"/>
      <c r="LY119" s="3"/>
      <c r="LZ119" s="3"/>
      <c r="MA119" s="3"/>
      <c r="MB119" s="3"/>
      <c r="MC119" s="2"/>
      <c r="MQ119" s="3"/>
      <c r="MR119" s="3"/>
      <c r="MS119" s="3"/>
      <c r="MT119" s="3"/>
      <c r="MU119" s="3"/>
      <c r="MV119" s="2"/>
    </row>
    <row r="120" spans="3:360" ht="5.0999999999999996" customHeight="1" x14ac:dyDescent="0.3">
      <c r="C120" s="11"/>
      <c r="D120" s="13"/>
      <c r="Q120" s="209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1"/>
      <c r="BF120" s="209"/>
      <c r="BG120" s="210"/>
      <c r="BH120" s="210"/>
      <c r="BI120" s="210"/>
      <c r="BJ120" s="211"/>
      <c r="DO120" s="265"/>
      <c r="DP120" s="265"/>
      <c r="DQ120" s="265"/>
      <c r="DR120" s="265"/>
      <c r="DS120" s="265"/>
      <c r="DT120" s="265"/>
      <c r="DU120" s="265"/>
      <c r="DV120" s="265"/>
      <c r="DW120" s="265"/>
      <c r="DX120" s="265"/>
      <c r="DY120" s="265"/>
      <c r="DZ120" s="265"/>
      <c r="EA120" s="265"/>
      <c r="EB120" s="265"/>
      <c r="EC120" s="265"/>
      <c r="ED120" s="265"/>
      <c r="EE120" s="265"/>
      <c r="EF120" s="265"/>
      <c r="EG120" s="265"/>
      <c r="EH120" s="265"/>
      <c r="EI120" s="265"/>
      <c r="EJ120" s="265"/>
      <c r="EK120" s="265"/>
      <c r="EL120" s="265"/>
      <c r="EM120" s="265"/>
      <c r="EN120" s="265"/>
      <c r="EO120" s="265"/>
      <c r="EP120" s="265"/>
      <c r="EQ120" s="265"/>
      <c r="ER120" s="265"/>
      <c r="ES120" s="265"/>
      <c r="ET120" s="265"/>
      <c r="EU120" s="265"/>
      <c r="EV120" s="265"/>
      <c r="EW120" s="265"/>
      <c r="EX120" s="265"/>
      <c r="EY120" s="265"/>
      <c r="EZ120" s="265"/>
      <c r="FA120" s="265"/>
      <c r="FB120" s="305"/>
      <c r="FC120" s="306"/>
      <c r="FD120" s="306"/>
      <c r="FE120" s="306"/>
      <c r="FF120" s="307"/>
      <c r="HL120" s="14"/>
      <c r="HN120" s="198"/>
      <c r="HO120" s="199"/>
      <c r="HP120" s="199"/>
      <c r="HQ120" s="199"/>
      <c r="HR120" s="199"/>
      <c r="HS120" s="199"/>
      <c r="HT120" s="199"/>
      <c r="HU120" s="199"/>
      <c r="HV120" s="199"/>
      <c r="HW120" s="199"/>
      <c r="HX120" s="199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  <c r="IW120" s="199"/>
      <c r="IX120" s="199"/>
      <c r="IY120" s="199"/>
      <c r="IZ120" s="199"/>
      <c r="JA120" s="199"/>
      <c r="JB120" s="204"/>
      <c r="JC120" s="204"/>
      <c r="JD120" s="204"/>
      <c r="JE120" s="204"/>
      <c r="JF120" s="204"/>
      <c r="JG120" s="204"/>
      <c r="JN120" s="155"/>
      <c r="JU120" s="314"/>
      <c r="JV120" s="315"/>
      <c r="JW120" s="315"/>
      <c r="JX120" s="315"/>
      <c r="JY120" s="315"/>
      <c r="JZ120" s="315"/>
      <c r="KA120" s="315"/>
      <c r="KB120" s="315"/>
      <c r="KC120" s="315"/>
      <c r="KD120" s="315"/>
      <c r="KE120" s="315"/>
      <c r="KF120" s="315"/>
      <c r="KG120" s="315"/>
      <c r="KH120" s="315"/>
      <c r="KI120" s="315"/>
      <c r="KJ120" s="315"/>
      <c r="KK120" s="315"/>
      <c r="KL120" s="315"/>
      <c r="KM120" s="315"/>
      <c r="KN120" s="315"/>
      <c r="KO120" s="315"/>
      <c r="KP120" s="315"/>
      <c r="KQ120" s="315"/>
      <c r="KR120" s="315"/>
      <c r="KS120" s="315"/>
      <c r="KT120" s="315"/>
      <c r="KU120" s="315"/>
      <c r="KV120" s="315"/>
      <c r="KW120" s="315"/>
      <c r="KX120" s="315"/>
      <c r="KY120" s="315"/>
      <c r="KZ120" s="315"/>
      <c r="LA120" s="315"/>
      <c r="LB120" s="315"/>
      <c r="LC120" s="315"/>
      <c r="LD120" s="315"/>
      <c r="LE120" s="315"/>
      <c r="LF120" s="315"/>
      <c r="LG120" s="315"/>
      <c r="LH120" s="315"/>
      <c r="LI120" s="316"/>
      <c r="LJ120" s="323"/>
      <c r="LK120" s="324"/>
      <c r="LL120" s="324"/>
      <c r="LM120" s="324"/>
      <c r="LN120" s="325"/>
      <c r="LW120" s="12"/>
      <c r="LX120" s="7"/>
      <c r="LY120" s="3"/>
      <c r="LZ120" s="3"/>
      <c r="MA120" s="3"/>
      <c r="MB120" s="3"/>
      <c r="MC120" s="2"/>
      <c r="MQ120" s="3"/>
      <c r="MR120" s="3"/>
      <c r="MS120" s="3"/>
      <c r="MT120" s="3"/>
      <c r="MU120" s="3"/>
      <c r="MV120" s="2"/>
    </row>
    <row r="121" spans="3:360" ht="5.0999999999999996" customHeight="1" thickBot="1" x14ac:dyDescent="0.35">
      <c r="C121" s="11"/>
      <c r="D121" s="13"/>
      <c r="Q121" s="209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1"/>
      <c r="BF121" s="209"/>
      <c r="BG121" s="210"/>
      <c r="BH121" s="210"/>
      <c r="BI121" s="210"/>
      <c r="BJ121" s="211"/>
      <c r="DO121" s="265"/>
      <c r="DP121" s="265"/>
      <c r="DQ121" s="265"/>
      <c r="DR121" s="265"/>
      <c r="DS121" s="265"/>
      <c r="DT121" s="265"/>
      <c r="DU121" s="265"/>
      <c r="DV121" s="265"/>
      <c r="DW121" s="265"/>
      <c r="DX121" s="265"/>
      <c r="DY121" s="265"/>
      <c r="DZ121" s="265"/>
      <c r="EA121" s="265"/>
      <c r="EB121" s="265"/>
      <c r="EC121" s="265"/>
      <c r="ED121" s="265"/>
      <c r="EE121" s="265"/>
      <c r="EF121" s="265"/>
      <c r="EG121" s="265"/>
      <c r="EH121" s="265"/>
      <c r="EI121" s="265"/>
      <c r="EJ121" s="265"/>
      <c r="EK121" s="265"/>
      <c r="EL121" s="265"/>
      <c r="EM121" s="265"/>
      <c r="EN121" s="265"/>
      <c r="EO121" s="265"/>
      <c r="EP121" s="265"/>
      <c r="EQ121" s="265"/>
      <c r="ER121" s="265"/>
      <c r="ES121" s="265"/>
      <c r="ET121" s="265"/>
      <c r="EU121" s="265"/>
      <c r="EV121" s="265"/>
      <c r="EW121" s="265"/>
      <c r="EX121" s="265"/>
      <c r="EY121" s="265"/>
      <c r="EZ121" s="265"/>
      <c r="FA121" s="265"/>
      <c r="FB121" s="305"/>
      <c r="FC121" s="306"/>
      <c r="FD121" s="306"/>
      <c r="FE121" s="306"/>
      <c r="FF121" s="307"/>
      <c r="HL121" s="14"/>
      <c r="HN121" s="198"/>
      <c r="HO121" s="199"/>
      <c r="HP121" s="199"/>
      <c r="HQ121" s="199"/>
      <c r="HR121" s="199"/>
      <c r="HS121" s="199"/>
      <c r="HT121" s="199"/>
      <c r="HU121" s="199"/>
      <c r="HV121" s="199"/>
      <c r="HW121" s="199"/>
      <c r="HX121" s="199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  <c r="IW121" s="199"/>
      <c r="IX121" s="199"/>
      <c r="IY121" s="199"/>
      <c r="IZ121" s="199"/>
      <c r="JA121" s="199"/>
      <c r="JB121" s="204"/>
      <c r="JC121" s="204"/>
      <c r="JD121" s="204"/>
      <c r="JE121" s="204"/>
      <c r="JF121" s="204"/>
      <c r="JG121" s="204"/>
      <c r="JN121" s="155"/>
      <c r="JU121" s="314"/>
      <c r="JV121" s="315"/>
      <c r="JW121" s="315"/>
      <c r="JX121" s="315"/>
      <c r="JY121" s="315"/>
      <c r="JZ121" s="315"/>
      <c r="KA121" s="315"/>
      <c r="KB121" s="315"/>
      <c r="KC121" s="315"/>
      <c r="KD121" s="315"/>
      <c r="KE121" s="315"/>
      <c r="KF121" s="315"/>
      <c r="KG121" s="315"/>
      <c r="KH121" s="315"/>
      <c r="KI121" s="315"/>
      <c r="KJ121" s="315"/>
      <c r="KK121" s="315"/>
      <c r="KL121" s="315"/>
      <c r="KM121" s="315"/>
      <c r="KN121" s="315"/>
      <c r="KO121" s="315"/>
      <c r="KP121" s="315"/>
      <c r="KQ121" s="315"/>
      <c r="KR121" s="315"/>
      <c r="KS121" s="315"/>
      <c r="KT121" s="315"/>
      <c r="KU121" s="315"/>
      <c r="KV121" s="315"/>
      <c r="KW121" s="315"/>
      <c r="KX121" s="315"/>
      <c r="KY121" s="315"/>
      <c r="KZ121" s="315"/>
      <c r="LA121" s="315"/>
      <c r="LB121" s="315"/>
      <c r="LC121" s="315"/>
      <c r="LD121" s="315"/>
      <c r="LE121" s="315"/>
      <c r="LF121" s="315"/>
      <c r="LG121" s="315"/>
      <c r="LH121" s="315"/>
      <c r="LI121" s="316"/>
      <c r="LJ121" s="323"/>
      <c r="LK121" s="324"/>
      <c r="LL121" s="324"/>
      <c r="LM121" s="324"/>
      <c r="LN121" s="325"/>
      <c r="LW121" s="12"/>
      <c r="LX121" s="7"/>
      <c r="LY121" s="3"/>
      <c r="LZ121" s="3"/>
      <c r="MA121" s="3"/>
      <c r="MB121" s="3"/>
      <c r="MC121" s="2"/>
      <c r="MQ121" s="3"/>
      <c r="MR121" s="3"/>
      <c r="MS121" s="3"/>
      <c r="MT121" s="3"/>
      <c r="MU121" s="3"/>
      <c r="MV121" s="2"/>
    </row>
    <row r="122" spans="3:360" ht="5.0999999999999996" customHeight="1" x14ac:dyDescent="0.3">
      <c r="C122" s="11"/>
      <c r="D122" s="13"/>
      <c r="Q122" s="209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1"/>
      <c r="BF122" s="209"/>
      <c r="BG122" s="210"/>
      <c r="BH122" s="210"/>
      <c r="BI122" s="210"/>
      <c r="BJ122" s="211"/>
      <c r="DO122" s="265"/>
      <c r="DP122" s="265"/>
      <c r="DQ122" s="265"/>
      <c r="DR122" s="265"/>
      <c r="DS122" s="265"/>
      <c r="DT122" s="265"/>
      <c r="DU122" s="265"/>
      <c r="DV122" s="265"/>
      <c r="DW122" s="265"/>
      <c r="DX122" s="265"/>
      <c r="DY122" s="265"/>
      <c r="DZ122" s="265"/>
      <c r="EA122" s="265"/>
      <c r="EB122" s="265"/>
      <c r="EC122" s="265"/>
      <c r="ED122" s="265"/>
      <c r="EE122" s="265"/>
      <c r="EF122" s="265"/>
      <c r="EG122" s="265"/>
      <c r="EH122" s="265"/>
      <c r="EI122" s="265"/>
      <c r="EJ122" s="265"/>
      <c r="EK122" s="265"/>
      <c r="EL122" s="265"/>
      <c r="EM122" s="265"/>
      <c r="EN122" s="265"/>
      <c r="EO122" s="265"/>
      <c r="EP122" s="265"/>
      <c r="EQ122" s="265"/>
      <c r="ER122" s="265"/>
      <c r="ES122" s="265"/>
      <c r="ET122" s="265"/>
      <c r="EU122" s="265"/>
      <c r="EV122" s="265"/>
      <c r="EW122" s="265"/>
      <c r="EX122" s="265"/>
      <c r="EY122" s="265"/>
      <c r="EZ122" s="265"/>
      <c r="FA122" s="265"/>
      <c r="FB122" s="305"/>
      <c r="FC122" s="306"/>
      <c r="FD122" s="306"/>
      <c r="FE122" s="306"/>
      <c r="FF122" s="307"/>
      <c r="HL122" s="14"/>
      <c r="HN122" s="198"/>
      <c r="HO122" s="199"/>
      <c r="HP122" s="199"/>
      <c r="HQ122" s="199"/>
      <c r="HR122" s="199"/>
      <c r="HS122" s="199"/>
      <c r="HT122" s="199"/>
      <c r="HU122" s="199"/>
      <c r="HV122" s="199"/>
      <c r="HW122" s="199"/>
      <c r="HX122" s="199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  <c r="IW122" s="199"/>
      <c r="IX122" s="199"/>
      <c r="IY122" s="199"/>
      <c r="IZ122" s="199"/>
      <c r="JA122" s="199"/>
      <c r="JB122" s="204"/>
      <c r="JC122" s="204"/>
      <c r="JD122" s="204"/>
      <c r="JE122" s="204"/>
      <c r="JF122" s="204"/>
      <c r="JG122" s="204"/>
      <c r="JN122" s="155"/>
      <c r="JR122" s="22"/>
      <c r="JS122" s="21"/>
      <c r="JT122" s="21"/>
      <c r="JU122" s="314"/>
      <c r="JV122" s="315"/>
      <c r="JW122" s="315"/>
      <c r="JX122" s="315"/>
      <c r="JY122" s="315"/>
      <c r="JZ122" s="315"/>
      <c r="KA122" s="315"/>
      <c r="KB122" s="315"/>
      <c r="KC122" s="315"/>
      <c r="KD122" s="315"/>
      <c r="KE122" s="315"/>
      <c r="KF122" s="315"/>
      <c r="KG122" s="315"/>
      <c r="KH122" s="315"/>
      <c r="KI122" s="315"/>
      <c r="KJ122" s="315"/>
      <c r="KK122" s="315"/>
      <c r="KL122" s="315"/>
      <c r="KM122" s="315"/>
      <c r="KN122" s="315"/>
      <c r="KO122" s="315"/>
      <c r="KP122" s="315"/>
      <c r="KQ122" s="315"/>
      <c r="KR122" s="315"/>
      <c r="KS122" s="315"/>
      <c r="KT122" s="315"/>
      <c r="KU122" s="315"/>
      <c r="KV122" s="315"/>
      <c r="KW122" s="315"/>
      <c r="KX122" s="315"/>
      <c r="KY122" s="315"/>
      <c r="KZ122" s="315"/>
      <c r="LA122" s="315"/>
      <c r="LB122" s="315"/>
      <c r="LC122" s="315"/>
      <c r="LD122" s="315"/>
      <c r="LE122" s="315"/>
      <c r="LF122" s="315"/>
      <c r="LG122" s="315"/>
      <c r="LH122" s="315"/>
      <c r="LI122" s="316"/>
      <c r="LJ122" s="323"/>
      <c r="LK122" s="324"/>
      <c r="LL122" s="324"/>
      <c r="LM122" s="324"/>
      <c r="LN122" s="325"/>
      <c r="LW122" s="12"/>
      <c r="LX122" s="7"/>
      <c r="LY122" s="3"/>
      <c r="LZ122" s="3"/>
      <c r="MA122" s="3"/>
      <c r="MB122" s="3"/>
      <c r="MC122" s="2"/>
      <c r="MQ122" s="3"/>
      <c r="MR122" s="3"/>
      <c r="MS122" s="3"/>
      <c r="MT122" s="3"/>
      <c r="MU122" s="3"/>
      <c r="MV122" s="2"/>
    </row>
    <row r="123" spans="3:360" ht="5.0999999999999996" customHeight="1" x14ac:dyDescent="0.3">
      <c r="C123" s="11"/>
      <c r="D123" s="13"/>
      <c r="Q123" s="209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  <c r="AW123" s="210"/>
      <c r="AX123" s="210"/>
      <c r="AY123" s="210"/>
      <c r="AZ123" s="210"/>
      <c r="BA123" s="210"/>
      <c r="BB123" s="210"/>
      <c r="BC123" s="210"/>
      <c r="BD123" s="210"/>
      <c r="BE123" s="211"/>
      <c r="BF123" s="209"/>
      <c r="BG123" s="210"/>
      <c r="BH123" s="210"/>
      <c r="BI123" s="210"/>
      <c r="BJ123" s="211"/>
      <c r="DO123" s="265"/>
      <c r="DP123" s="265"/>
      <c r="DQ123" s="265"/>
      <c r="DR123" s="265"/>
      <c r="DS123" s="265"/>
      <c r="DT123" s="265"/>
      <c r="DU123" s="265"/>
      <c r="DV123" s="265"/>
      <c r="DW123" s="265"/>
      <c r="DX123" s="265"/>
      <c r="DY123" s="265"/>
      <c r="DZ123" s="265"/>
      <c r="EA123" s="265"/>
      <c r="EB123" s="265"/>
      <c r="EC123" s="265"/>
      <c r="ED123" s="265"/>
      <c r="EE123" s="265"/>
      <c r="EF123" s="265"/>
      <c r="EG123" s="265"/>
      <c r="EH123" s="265"/>
      <c r="EI123" s="265"/>
      <c r="EJ123" s="265"/>
      <c r="EK123" s="265"/>
      <c r="EL123" s="265"/>
      <c r="EM123" s="265"/>
      <c r="EN123" s="265"/>
      <c r="EO123" s="265"/>
      <c r="EP123" s="265"/>
      <c r="EQ123" s="265"/>
      <c r="ER123" s="265"/>
      <c r="ES123" s="265"/>
      <c r="ET123" s="265"/>
      <c r="EU123" s="265"/>
      <c r="EV123" s="265"/>
      <c r="EW123" s="265"/>
      <c r="EX123" s="265"/>
      <c r="EY123" s="265"/>
      <c r="EZ123" s="265"/>
      <c r="FA123" s="265"/>
      <c r="FB123" s="305"/>
      <c r="FC123" s="306"/>
      <c r="FD123" s="306"/>
      <c r="FE123" s="306"/>
      <c r="FF123" s="307"/>
      <c r="HL123" s="14"/>
      <c r="HN123" s="198"/>
      <c r="HO123" s="199"/>
      <c r="HP123" s="199"/>
      <c r="HQ123" s="199"/>
      <c r="HR123" s="199"/>
      <c r="HS123" s="199"/>
      <c r="HT123" s="199"/>
      <c r="HU123" s="199"/>
      <c r="HV123" s="199"/>
      <c r="HW123" s="199"/>
      <c r="HX123" s="199"/>
      <c r="HY123" s="199"/>
      <c r="HZ123" s="199"/>
      <c r="IA123" s="199"/>
      <c r="IB123" s="199"/>
      <c r="IC123" s="199"/>
      <c r="ID123" s="199"/>
      <c r="IE123" s="199"/>
      <c r="IF123" s="199"/>
      <c r="IG123" s="199"/>
      <c r="IH123" s="199"/>
      <c r="II123" s="199"/>
      <c r="IJ123" s="199"/>
      <c r="IK123" s="199"/>
      <c r="IL123" s="199"/>
      <c r="IM123" s="199"/>
      <c r="IN123" s="199"/>
      <c r="IO123" s="199"/>
      <c r="IP123" s="199"/>
      <c r="IQ123" s="199"/>
      <c r="IR123" s="199"/>
      <c r="IS123" s="199"/>
      <c r="IT123" s="199"/>
      <c r="IU123" s="199"/>
      <c r="IV123" s="199"/>
      <c r="IW123" s="199"/>
      <c r="IX123" s="199"/>
      <c r="IY123" s="199"/>
      <c r="IZ123" s="199"/>
      <c r="JA123" s="199"/>
      <c r="JB123" s="204"/>
      <c r="JC123" s="204"/>
      <c r="JD123" s="204"/>
      <c r="JE123" s="204"/>
      <c r="JF123" s="204"/>
      <c r="JG123" s="204"/>
      <c r="JN123" s="155"/>
      <c r="JR123" s="16"/>
      <c r="JU123" s="314"/>
      <c r="JV123" s="315"/>
      <c r="JW123" s="315"/>
      <c r="JX123" s="315"/>
      <c r="JY123" s="315"/>
      <c r="JZ123" s="315"/>
      <c r="KA123" s="315"/>
      <c r="KB123" s="315"/>
      <c r="KC123" s="315"/>
      <c r="KD123" s="315"/>
      <c r="KE123" s="315"/>
      <c r="KF123" s="315"/>
      <c r="KG123" s="315"/>
      <c r="KH123" s="315"/>
      <c r="KI123" s="315"/>
      <c r="KJ123" s="315"/>
      <c r="KK123" s="315"/>
      <c r="KL123" s="315"/>
      <c r="KM123" s="315"/>
      <c r="KN123" s="315"/>
      <c r="KO123" s="315"/>
      <c r="KP123" s="315"/>
      <c r="KQ123" s="315"/>
      <c r="KR123" s="315"/>
      <c r="KS123" s="315"/>
      <c r="KT123" s="315"/>
      <c r="KU123" s="315"/>
      <c r="KV123" s="315"/>
      <c r="KW123" s="315"/>
      <c r="KX123" s="315"/>
      <c r="KY123" s="315"/>
      <c r="KZ123" s="315"/>
      <c r="LA123" s="315"/>
      <c r="LB123" s="315"/>
      <c r="LC123" s="315"/>
      <c r="LD123" s="315"/>
      <c r="LE123" s="315"/>
      <c r="LF123" s="315"/>
      <c r="LG123" s="315"/>
      <c r="LH123" s="315"/>
      <c r="LI123" s="316"/>
      <c r="LJ123" s="323"/>
      <c r="LK123" s="324"/>
      <c r="LL123" s="324"/>
      <c r="LM123" s="324"/>
      <c r="LN123" s="325"/>
      <c r="LW123" s="12"/>
      <c r="LX123" s="7"/>
      <c r="LY123" s="3"/>
      <c r="LZ123" s="3"/>
      <c r="MA123" s="3"/>
      <c r="MB123" s="3"/>
      <c r="MC123" s="2"/>
      <c r="MQ123" s="3"/>
      <c r="MR123" s="3"/>
      <c r="MS123" s="3"/>
      <c r="MT123" s="3"/>
      <c r="MU123" s="3"/>
      <c r="MV123" s="2"/>
    </row>
    <row r="124" spans="3:360" ht="5.0999999999999996" customHeight="1" x14ac:dyDescent="0.3">
      <c r="C124" s="11"/>
      <c r="D124" s="13"/>
      <c r="Q124" s="209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  <c r="BD124" s="210"/>
      <c r="BE124" s="211"/>
      <c r="BF124" s="209"/>
      <c r="BG124" s="210"/>
      <c r="BH124" s="210"/>
      <c r="BI124" s="210"/>
      <c r="BJ124" s="211"/>
      <c r="DO124" s="265"/>
      <c r="DP124" s="265"/>
      <c r="DQ124" s="265"/>
      <c r="DR124" s="265"/>
      <c r="DS124" s="265"/>
      <c r="DT124" s="265"/>
      <c r="DU124" s="265"/>
      <c r="DV124" s="265"/>
      <c r="DW124" s="265"/>
      <c r="DX124" s="265"/>
      <c r="DY124" s="265"/>
      <c r="DZ124" s="265"/>
      <c r="EA124" s="265"/>
      <c r="EB124" s="265"/>
      <c r="EC124" s="265"/>
      <c r="ED124" s="265"/>
      <c r="EE124" s="265"/>
      <c r="EF124" s="265"/>
      <c r="EG124" s="265"/>
      <c r="EH124" s="265"/>
      <c r="EI124" s="265"/>
      <c r="EJ124" s="265"/>
      <c r="EK124" s="265"/>
      <c r="EL124" s="265"/>
      <c r="EM124" s="265"/>
      <c r="EN124" s="265"/>
      <c r="EO124" s="265"/>
      <c r="EP124" s="265"/>
      <c r="EQ124" s="265"/>
      <c r="ER124" s="265"/>
      <c r="ES124" s="265"/>
      <c r="ET124" s="265"/>
      <c r="EU124" s="265"/>
      <c r="EV124" s="265"/>
      <c r="EW124" s="265"/>
      <c r="EX124" s="265"/>
      <c r="EY124" s="265"/>
      <c r="EZ124" s="265"/>
      <c r="FA124" s="265"/>
      <c r="FB124" s="305"/>
      <c r="FC124" s="306"/>
      <c r="FD124" s="306"/>
      <c r="FE124" s="306"/>
      <c r="FF124" s="307"/>
      <c r="HN124" s="198"/>
      <c r="HO124" s="199"/>
      <c r="HP124" s="199"/>
      <c r="HQ124" s="199"/>
      <c r="HR124" s="199"/>
      <c r="HS124" s="199"/>
      <c r="HT124" s="199"/>
      <c r="HU124" s="199"/>
      <c r="HV124" s="199"/>
      <c r="HW124" s="199"/>
      <c r="HX124" s="199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  <c r="IW124" s="199"/>
      <c r="IX124" s="199"/>
      <c r="IY124" s="199"/>
      <c r="IZ124" s="199"/>
      <c r="JA124" s="199"/>
      <c r="JB124" s="204"/>
      <c r="JC124" s="204"/>
      <c r="JD124" s="204"/>
      <c r="JE124" s="204"/>
      <c r="JF124" s="204"/>
      <c r="JG124" s="204"/>
      <c r="JN124" s="155"/>
      <c r="JR124" s="16"/>
      <c r="JU124" s="314"/>
      <c r="JV124" s="315"/>
      <c r="JW124" s="315"/>
      <c r="JX124" s="315"/>
      <c r="JY124" s="315"/>
      <c r="JZ124" s="315"/>
      <c r="KA124" s="315"/>
      <c r="KB124" s="315"/>
      <c r="KC124" s="315"/>
      <c r="KD124" s="315"/>
      <c r="KE124" s="315"/>
      <c r="KF124" s="315"/>
      <c r="KG124" s="315"/>
      <c r="KH124" s="315"/>
      <c r="KI124" s="315"/>
      <c r="KJ124" s="315"/>
      <c r="KK124" s="315"/>
      <c r="KL124" s="315"/>
      <c r="KM124" s="315"/>
      <c r="KN124" s="315"/>
      <c r="KO124" s="315"/>
      <c r="KP124" s="315"/>
      <c r="KQ124" s="315"/>
      <c r="KR124" s="315"/>
      <c r="KS124" s="315"/>
      <c r="KT124" s="315"/>
      <c r="KU124" s="315"/>
      <c r="KV124" s="315"/>
      <c r="KW124" s="315"/>
      <c r="KX124" s="315"/>
      <c r="KY124" s="315"/>
      <c r="KZ124" s="315"/>
      <c r="LA124" s="315"/>
      <c r="LB124" s="315"/>
      <c r="LC124" s="315"/>
      <c r="LD124" s="315"/>
      <c r="LE124" s="315"/>
      <c r="LF124" s="315"/>
      <c r="LG124" s="315"/>
      <c r="LH124" s="315"/>
      <c r="LI124" s="316"/>
      <c r="LJ124" s="323"/>
      <c r="LK124" s="324"/>
      <c r="LL124" s="324"/>
      <c r="LM124" s="324"/>
      <c r="LN124" s="325"/>
      <c r="LW124" s="12"/>
      <c r="LX124" s="7"/>
      <c r="LY124" s="3"/>
      <c r="LZ124" s="3"/>
      <c r="MA124" s="3"/>
      <c r="MB124" s="3"/>
      <c r="MC124" s="2"/>
      <c r="MQ124" s="3"/>
      <c r="MR124" s="3"/>
      <c r="MS124" s="3"/>
      <c r="MT124" s="3"/>
      <c r="MU124" s="3"/>
      <c r="MV124" s="2"/>
    </row>
    <row r="125" spans="3:360" ht="5.0999999999999996" customHeight="1" x14ac:dyDescent="0.3">
      <c r="C125" s="11"/>
      <c r="D125" s="13"/>
      <c r="Q125" s="209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  <c r="BD125" s="210"/>
      <c r="BE125" s="211"/>
      <c r="BF125" s="209"/>
      <c r="BG125" s="210"/>
      <c r="BH125" s="210"/>
      <c r="BI125" s="210"/>
      <c r="BJ125" s="211"/>
      <c r="DO125" s="265"/>
      <c r="DP125" s="265"/>
      <c r="DQ125" s="265"/>
      <c r="DR125" s="265"/>
      <c r="DS125" s="265"/>
      <c r="DT125" s="265"/>
      <c r="DU125" s="265"/>
      <c r="DV125" s="265"/>
      <c r="DW125" s="265"/>
      <c r="DX125" s="265"/>
      <c r="DY125" s="265"/>
      <c r="DZ125" s="265"/>
      <c r="EA125" s="265"/>
      <c r="EB125" s="265"/>
      <c r="EC125" s="265"/>
      <c r="ED125" s="265"/>
      <c r="EE125" s="265"/>
      <c r="EF125" s="265"/>
      <c r="EG125" s="265"/>
      <c r="EH125" s="265"/>
      <c r="EI125" s="265"/>
      <c r="EJ125" s="265"/>
      <c r="EK125" s="265"/>
      <c r="EL125" s="265"/>
      <c r="EM125" s="265"/>
      <c r="EN125" s="265"/>
      <c r="EO125" s="265"/>
      <c r="EP125" s="265"/>
      <c r="EQ125" s="265"/>
      <c r="ER125" s="265"/>
      <c r="ES125" s="265"/>
      <c r="ET125" s="265"/>
      <c r="EU125" s="265"/>
      <c r="EV125" s="265"/>
      <c r="EW125" s="265"/>
      <c r="EX125" s="265"/>
      <c r="EY125" s="265"/>
      <c r="EZ125" s="265"/>
      <c r="FA125" s="265"/>
      <c r="FB125" s="305"/>
      <c r="FC125" s="306"/>
      <c r="FD125" s="306"/>
      <c r="FE125" s="306"/>
      <c r="FF125" s="307"/>
      <c r="HN125" s="198"/>
      <c r="HO125" s="199"/>
      <c r="HP125" s="199"/>
      <c r="HQ125" s="199"/>
      <c r="HR125" s="199"/>
      <c r="HS125" s="199"/>
      <c r="HT125" s="199"/>
      <c r="HU125" s="199"/>
      <c r="HV125" s="199"/>
      <c r="HW125" s="199"/>
      <c r="HX125" s="199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  <c r="IW125" s="199"/>
      <c r="IX125" s="199"/>
      <c r="IY125" s="199"/>
      <c r="IZ125" s="199"/>
      <c r="JA125" s="199"/>
      <c r="JB125" s="204"/>
      <c r="JC125" s="204"/>
      <c r="JD125" s="204"/>
      <c r="JE125" s="204"/>
      <c r="JF125" s="204"/>
      <c r="JG125" s="204"/>
      <c r="JN125" s="155"/>
      <c r="JR125" s="16"/>
      <c r="JU125" s="314"/>
      <c r="JV125" s="315"/>
      <c r="JW125" s="315"/>
      <c r="JX125" s="315"/>
      <c r="JY125" s="315"/>
      <c r="JZ125" s="315"/>
      <c r="KA125" s="315"/>
      <c r="KB125" s="315"/>
      <c r="KC125" s="315"/>
      <c r="KD125" s="315"/>
      <c r="KE125" s="315"/>
      <c r="KF125" s="315"/>
      <c r="KG125" s="315"/>
      <c r="KH125" s="315"/>
      <c r="KI125" s="315"/>
      <c r="KJ125" s="315"/>
      <c r="KK125" s="315"/>
      <c r="KL125" s="315"/>
      <c r="KM125" s="315"/>
      <c r="KN125" s="315"/>
      <c r="KO125" s="315"/>
      <c r="KP125" s="315"/>
      <c r="KQ125" s="315"/>
      <c r="KR125" s="315"/>
      <c r="KS125" s="315"/>
      <c r="KT125" s="315"/>
      <c r="KU125" s="315"/>
      <c r="KV125" s="315"/>
      <c r="KW125" s="315"/>
      <c r="KX125" s="315"/>
      <c r="KY125" s="315"/>
      <c r="KZ125" s="315"/>
      <c r="LA125" s="315"/>
      <c r="LB125" s="315"/>
      <c r="LC125" s="315"/>
      <c r="LD125" s="315"/>
      <c r="LE125" s="315"/>
      <c r="LF125" s="315"/>
      <c r="LG125" s="315"/>
      <c r="LH125" s="315"/>
      <c r="LI125" s="316"/>
      <c r="LJ125" s="323"/>
      <c r="LK125" s="324"/>
      <c r="LL125" s="324"/>
      <c r="LM125" s="324"/>
      <c r="LN125" s="325"/>
      <c r="LW125" s="12"/>
      <c r="LX125" s="7"/>
      <c r="LY125" s="3"/>
      <c r="LZ125" s="3"/>
      <c r="MA125" s="3"/>
      <c r="MB125" s="3"/>
      <c r="MC125" s="2"/>
      <c r="MQ125" s="3"/>
      <c r="MR125" s="3"/>
      <c r="MS125" s="3"/>
      <c r="MT125" s="3"/>
      <c r="MU125" s="3"/>
      <c r="MV125" s="2"/>
    </row>
    <row r="126" spans="3:360" ht="5.0999999999999996" customHeight="1" thickBot="1" x14ac:dyDescent="0.35">
      <c r="C126" s="11"/>
      <c r="D126" s="13"/>
      <c r="Q126" s="212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4"/>
      <c r="BF126" s="212"/>
      <c r="BG126" s="213"/>
      <c r="BH126" s="213"/>
      <c r="BI126" s="213"/>
      <c r="BJ126" s="214"/>
      <c r="DO126" s="265"/>
      <c r="DP126" s="265"/>
      <c r="DQ126" s="265"/>
      <c r="DR126" s="265"/>
      <c r="DS126" s="265"/>
      <c r="DT126" s="265"/>
      <c r="DU126" s="265"/>
      <c r="DV126" s="265"/>
      <c r="DW126" s="265"/>
      <c r="DX126" s="265"/>
      <c r="DY126" s="265"/>
      <c r="DZ126" s="265"/>
      <c r="EA126" s="265"/>
      <c r="EB126" s="265"/>
      <c r="EC126" s="265"/>
      <c r="ED126" s="265"/>
      <c r="EE126" s="265"/>
      <c r="EF126" s="265"/>
      <c r="EG126" s="265"/>
      <c r="EH126" s="265"/>
      <c r="EI126" s="265"/>
      <c r="EJ126" s="265"/>
      <c r="EK126" s="265"/>
      <c r="EL126" s="265"/>
      <c r="EM126" s="265"/>
      <c r="EN126" s="265"/>
      <c r="EO126" s="265"/>
      <c r="EP126" s="265"/>
      <c r="EQ126" s="265"/>
      <c r="ER126" s="265"/>
      <c r="ES126" s="265"/>
      <c r="ET126" s="265"/>
      <c r="EU126" s="265"/>
      <c r="EV126" s="265"/>
      <c r="EW126" s="265"/>
      <c r="EX126" s="265"/>
      <c r="EY126" s="265"/>
      <c r="EZ126" s="265"/>
      <c r="FA126" s="265"/>
      <c r="FB126" s="308"/>
      <c r="FC126" s="309"/>
      <c r="FD126" s="309"/>
      <c r="FE126" s="309"/>
      <c r="FF126" s="310"/>
      <c r="HN126" s="201"/>
      <c r="HO126" s="202"/>
      <c r="HP126" s="202"/>
      <c r="HQ126" s="202"/>
      <c r="HR126" s="202"/>
      <c r="HS126" s="202"/>
      <c r="HT126" s="202"/>
      <c r="HU126" s="202"/>
      <c r="HV126" s="202"/>
      <c r="HW126" s="202"/>
      <c r="HX126" s="202"/>
      <c r="HY126" s="202"/>
      <c r="HZ126" s="202"/>
      <c r="IA126" s="202"/>
      <c r="IB126" s="202"/>
      <c r="IC126" s="202"/>
      <c r="ID126" s="202"/>
      <c r="IE126" s="202"/>
      <c r="IF126" s="202"/>
      <c r="IG126" s="202"/>
      <c r="IH126" s="202"/>
      <c r="II126" s="202"/>
      <c r="IJ126" s="202"/>
      <c r="IK126" s="202"/>
      <c r="IL126" s="202"/>
      <c r="IM126" s="202"/>
      <c r="IN126" s="202"/>
      <c r="IO126" s="202"/>
      <c r="IP126" s="202"/>
      <c r="IQ126" s="202"/>
      <c r="IR126" s="202"/>
      <c r="IS126" s="202"/>
      <c r="IT126" s="202"/>
      <c r="IU126" s="202"/>
      <c r="IV126" s="202"/>
      <c r="IW126" s="202"/>
      <c r="IX126" s="202"/>
      <c r="IY126" s="202"/>
      <c r="IZ126" s="202"/>
      <c r="JA126" s="202"/>
      <c r="JB126" s="204"/>
      <c r="JC126" s="204"/>
      <c r="JD126" s="204"/>
      <c r="JE126" s="204"/>
      <c r="JF126" s="204"/>
      <c r="JG126" s="204"/>
      <c r="JN126" s="155"/>
      <c r="JR126" s="16"/>
      <c r="JU126" s="317"/>
      <c r="JV126" s="318"/>
      <c r="JW126" s="318"/>
      <c r="JX126" s="318"/>
      <c r="JY126" s="318"/>
      <c r="JZ126" s="318"/>
      <c r="KA126" s="318"/>
      <c r="KB126" s="318"/>
      <c r="KC126" s="318"/>
      <c r="KD126" s="318"/>
      <c r="KE126" s="318"/>
      <c r="KF126" s="318"/>
      <c r="KG126" s="318"/>
      <c r="KH126" s="318"/>
      <c r="KI126" s="318"/>
      <c r="KJ126" s="318"/>
      <c r="KK126" s="318"/>
      <c r="KL126" s="318"/>
      <c r="KM126" s="318"/>
      <c r="KN126" s="318"/>
      <c r="KO126" s="318"/>
      <c r="KP126" s="318"/>
      <c r="KQ126" s="318"/>
      <c r="KR126" s="318"/>
      <c r="KS126" s="318"/>
      <c r="KT126" s="318"/>
      <c r="KU126" s="318"/>
      <c r="KV126" s="318"/>
      <c r="KW126" s="318"/>
      <c r="KX126" s="318"/>
      <c r="KY126" s="318"/>
      <c r="KZ126" s="318"/>
      <c r="LA126" s="318"/>
      <c r="LB126" s="318"/>
      <c r="LC126" s="318"/>
      <c r="LD126" s="318"/>
      <c r="LE126" s="318"/>
      <c r="LF126" s="318"/>
      <c r="LG126" s="318"/>
      <c r="LH126" s="318"/>
      <c r="LI126" s="319"/>
      <c r="LJ126" s="326"/>
      <c r="LK126" s="327"/>
      <c r="LL126" s="327"/>
      <c r="LM126" s="327"/>
      <c r="LN126" s="328"/>
      <c r="LW126" s="12"/>
      <c r="LX126" s="7"/>
      <c r="LY126" s="3"/>
      <c r="LZ126" s="3"/>
      <c r="MA126" s="3"/>
      <c r="MB126" s="3"/>
      <c r="MC126" s="2"/>
      <c r="MQ126" s="3"/>
      <c r="MR126" s="3"/>
      <c r="MS126" s="3"/>
      <c r="MT126" s="3"/>
      <c r="MU126" s="3"/>
      <c r="MV126" s="2"/>
    </row>
    <row r="127" spans="3:360" ht="5.0999999999999996" customHeight="1" x14ac:dyDescent="0.3">
      <c r="C127" s="11"/>
      <c r="D127" s="13"/>
      <c r="AN127" s="25"/>
      <c r="EL127" s="16"/>
      <c r="HN127" s="184" t="s">
        <v>10</v>
      </c>
      <c r="HO127" s="185"/>
      <c r="HP127" s="185"/>
      <c r="HQ127" s="185"/>
      <c r="HR127" s="185"/>
      <c r="HS127" s="185"/>
      <c r="HT127" s="185"/>
      <c r="HU127" s="185"/>
      <c r="HV127" s="185"/>
      <c r="HW127" s="185"/>
      <c r="HX127" s="185"/>
      <c r="HY127" s="185"/>
      <c r="HZ127" s="185"/>
      <c r="IA127" s="185"/>
      <c r="IB127" s="185"/>
      <c r="IC127" s="185"/>
      <c r="ID127" s="185"/>
      <c r="IE127" s="185"/>
      <c r="IF127" s="185"/>
      <c r="IG127" s="185"/>
      <c r="IH127" s="185"/>
      <c r="II127" s="185"/>
      <c r="IJ127" s="185"/>
      <c r="IK127" s="185"/>
      <c r="IL127" s="185"/>
      <c r="IM127" s="185"/>
      <c r="IN127" s="185"/>
      <c r="IO127" s="185"/>
      <c r="IP127" s="185"/>
      <c r="IQ127" s="185"/>
      <c r="IR127" s="185"/>
      <c r="IS127" s="185"/>
      <c r="IT127" s="185"/>
      <c r="IU127" s="185"/>
      <c r="IV127" s="185"/>
      <c r="IW127" s="185"/>
      <c r="IX127" s="185"/>
      <c r="IY127" s="185"/>
      <c r="IZ127" s="185"/>
      <c r="JA127" s="185"/>
      <c r="JB127" s="187">
        <v>10</v>
      </c>
      <c r="JC127" s="188"/>
      <c r="JD127" s="188"/>
      <c r="JE127" s="188"/>
      <c r="JF127" s="188"/>
      <c r="JG127" s="189"/>
      <c r="JH127" s="52"/>
      <c r="JN127" s="155"/>
      <c r="JR127" s="16"/>
      <c r="LW127" s="12"/>
      <c r="LX127" s="7"/>
      <c r="LY127" s="3"/>
      <c r="LZ127" s="3"/>
      <c r="MA127" s="3"/>
      <c r="MB127" s="3"/>
      <c r="MC127" s="2"/>
      <c r="MQ127" s="3"/>
      <c r="MR127" s="3"/>
      <c r="MS127" s="3"/>
      <c r="MT127" s="3"/>
      <c r="MU127" s="3"/>
      <c r="MV127" s="2"/>
    </row>
    <row r="128" spans="3:360" ht="5.0999999999999996" customHeight="1" x14ac:dyDescent="0.3">
      <c r="C128" s="11"/>
      <c r="D128" s="13"/>
      <c r="AN128" s="24"/>
      <c r="EL128" s="16"/>
      <c r="HN128" s="187"/>
      <c r="HO128" s="188"/>
      <c r="HP128" s="188"/>
      <c r="HQ128" s="188"/>
      <c r="HR128" s="188"/>
      <c r="HS128" s="188"/>
      <c r="HT128" s="188"/>
      <c r="HU128" s="188"/>
      <c r="HV128" s="188"/>
      <c r="HW128" s="188"/>
      <c r="HX128" s="188"/>
      <c r="HY128" s="188"/>
      <c r="HZ128" s="188"/>
      <c r="IA128" s="188"/>
      <c r="IB128" s="188"/>
      <c r="IC128" s="188"/>
      <c r="ID128" s="188"/>
      <c r="IE128" s="188"/>
      <c r="IF128" s="188"/>
      <c r="IG128" s="188"/>
      <c r="IH128" s="188"/>
      <c r="II128" s="188"/>
      <c r="IJ128" s="188"/>
      <c r="IK128" s="188"/>
      <c r="IL128" s="188"/>
      <c r="IM128" s="188"/>
      <c r="IN128" s="188"/>
      <c r="IO128" s="188"/>
      <c r="IP128" s="188"/>
      <c r="IQ128" s="188"/>
      <c r="IR128" s="188"/>
      <c r="IS128" s="188"/>
      <c r="IT128" s="188"/>
      <c r="IU128" s="188"/>
      <c r="IV128" s="188"/>
      <c r="IW128" s="188"/>
      <c r="IX128" s="188"/>
      <c r="IY128" s="188"/>
      <c r="IZ128" s="188"/>
      <c r="JA128" s="188"/>
      <c r="JB128" s="187"/>
      <c r="JC128" s="188"/>
      <c r="JD128" s="188"/>
      <c r="JE128" s="188"/>
      <c r="JF128" s="188"/>
      <c r="JG128" s="189"/>
      <c r="JH128" s="53"/>
      <c r="JN128" s="155"/>
      <c r="JR128" s="16"/>
      <c r="JU128" s="184" t="s">
        <v>57</v>
      </c>
      <c r="JV128" s="185"/>
      <c r="JW128" s="185"/>
      <c r="JX128" s="185"/>
      <c r="JY128" s="185"/>
      <c r="JZ128" s="185"/>
      <c r="KA128" s="185"/>
      <c r="KB128" s="185"/>
      <c r="KC128" s="185"/>
      <c r="KD128" s="185"/>
      <c r="KE128" s="185"/>
      <c r="KF128" s="185"/>
      <c r="KG128" s="185"/>
      <c r="KH128" s="185"/>
      <c r="KI128" s="185"/>
      <c r="KJ128" s="185"/>
      <c r="KK128" s="185"/>
      <c r="KL128" s="185"/>
      <c r="KM128" s="185"/>
      <c r="KN128" s="185"/>
      <c r="KO128" s="185"/>
      <c r="KP128" s="185"/>
      <c r="KQ128" s="185"/>
      <c r="KR128" s="185"/>
      <c r="KS128" s="185"/>
      <c r="KT128" s="185"/>
      <c r="KU128" s="185"/>
      <c r="KV128" s="185"/>
      <c r="KW128" s="185"/>
      <c r="KX128" s="185"/>
      <c r="KY128" s="185"/>
      <c r="KZ128" s="185"/>
      <c r="LA128" s="185"/>
      <c r="LB128" s="185"/>
      <c r="LC128" s="185"/>
      <c r="LD128" s="185"/>
      <c r="LE128" s="185"/>
      <c r="LF128" s="185"/>
      <c r="LG128" s="185"/>
      <c r="LH128" s="185"/>
      <c r="LI128" s="186"/>
      <c r="LJ128" s="184">
        <v>1</v>
      </c>
      <c r="LK128" s="185"/>
      <c r="LL128" s="185"/>
      <c r="LM128" s="185"/>
      <c r="LN128" s="186"/>
      <c r="LW128" s="12"/>
      <c r="LX128" s="7"/>
      <c r="LY128" s="3"/>
      <c r="LZ128" s="3"/>
      <c r="MA128" s="3"/>
      <c r="MB128" s="3"/>
      <c r="MC128" s="2"/>
      <c r="MQ128" s="3"/>
      <c r="MR128" s="3"/>
      <c r="MS128" s="3"/>
      <c r="MT128" s="3"/>
      <c r="MU128" s="3"/>
      <c r="MV128" s="2"/>
    </row>
    <row r="129" spans="3:360" ht="5.0999999999999996" customHeight="1" x14ac:dyDescent="0.3">
      <c r="C129" s="11"/>
      <c r="D129" s="13"/>
      <c r="Q129" s="184" t="s">
        <v>47</v>
      </c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6"/>
      <c r="BF129" s="184">
        <v>1</v>
      </c>
      <c r="BG129" s="185"/>
      <c r="BH129" s="185"/>
      <c r="BI129" s="185"/>
      <c r="BJ129" s="186"/>
      <c r="DO129" s="215" t="s">
        <v>9</v>
      </c>
      <c r="DP129" s="215"/>
      <c r="DQ129" s="215"/>
      <c r="DR129" s="215"/>
      <c r="DS129" s="215"/>
      <c r="DT129" s="215"/>
      <c r="DU129" s="215"/>
      <c r="DV129" s="215"/>
      <c r="DW129" s="215"/>
      <c r="DX129" s="215"/>
      <c r="DY129" s="215"/>
      <c r="DZ129" s="215"/>
      <c r="EA129" s="215"/>
      <c r="EB129" s="215"/>
      <c r="EC129" s="215"/>
      <c r="ED129" s="215"/>
      <c r="EE129" s="215"/>
      <c r="EF129" s="215"/>
      <c r="EG129" s="215"/>
      <c r="EH129" s="215"/>
      <c r="EI129" s="215"/>
      <c r="EJ129" s="215"/>
      <c r="EK129" s="215"/>
      <c r="EL129" s="215"/>
      <c r="EM129" s="215"/>
      <c r="EN129" s="215"/>
      <c r="EO129" s="215"/>
      <c r="EP129" s="215"/>
      <c r="EQ129" s="215"/>
      <c r="ER129" s="215"/>
      <c r="ES129" s="215"/>
      <c r="ET129" s="215"/>
      <c r="EU129" s="215"/>
      <c r="EV129" s="215"/>
      <c r="EW129" s="215"/>
      <c r="EX129" s="215"/>
      <c r="EY129" s="215"/>
      <c r="EZ129" s="215"/>
      <c r="FA129" s="215"/>
      <c r="FB129" s="215">
        <v>1</v>
      </c>
      <c r="FC129" s="215"/>
      <c r="FD129" s="215"/>
      <c r="FE129" s="215"/>
      <c r="FF129" s="215"/>
      <c r="HN129" s="187"/>
      <c r="HO129" s="188"/>
      <c r="HP129" s="188"/>
      <c r="HQ129" s="188"/>
      <c r="HR129" s="188"/>
      <c r="HS129" s="188"/>
      <c r="HT129" s="188"/>
      <c r="HU129" s="188"/>
      <c r="HV129" s="188"/>
      <c r="HW129" s="188"/>
      <c r="HX129" s="188"/>
      <c r="HY129" s="188"/>
      <c r="HZ129" s="188"/>
      <c r="IA129" s="188"/>
      <c r="IB129" s="188"/>
      <c r="IC129" s="188"/>
      <c r="ID129" s="188"/>
      <c r="IE129" s="188"/>
      <c r="IF129" s="188"/>
      <c r="IG129" s="188"/>
      <c r="IH129" s="188"/>
      <c r="II129" s="188"/>
      <c r="IJ129" s="188"/>
      <c r="IK129" s="188"/>
      <c r="IL129" s="188"/>
      <c r="IM129" s="188"/>
      <c r="IN129" s="188"/>
      <c r="IO129" s="188"/>
      <c r="IP129" s="188"/>
      <c r="IQ129" s="188"/>
      <c r="IR129" s="188"/>
      <c r="IS129" s="188"/>
      <c r="IT129" s="188"/>
      <c r="IU129" s="188"/>
      <c r="IV129" s="188"/>
      <c r="IW129" s="188"/>
      <c r="IX129" s="188"/>
      <c r="IY129" s="188"/>
      <c r="IZ129" s="188"/>
      <c r="JA129" s="188"/>
      <c r="JB129" s="187"/>
      <c r="JC129" s="188"/>
      <c r="JD129" s="188"/>
      <c r="JE129" s="188"/>
      <c r="JF129" s="188"/>
      <c r="JG129" s="189"/>
      <c r="JH129" s="53"/>
      <c r="JN129" s="155"/>
      <c r="JR129" s="16"/>
      <c r="JU129" s="187"/>
      <c r="JV129" s="188"/>
      <c r="JW129" s="188"/>
      <c r="JX129" s="188"/>
      <c r="JY129" s="188"/>
      <c r="JZ129" s="188"/>
      <c r="KA129" s="188"/>
      <c r="KB129" s="188"/>
      <c r="KC129" s="188"/>
      <c r="KD129" s="188"/>
      <c r="KE129" s="188"/>
      <c r="KF129" s="188"/>
      <c r="KG129" s="188"/>
      <c r="KH129" s="188"/>
      <c r="KI129" s="188"/>
      <c r="KJ129" s="188"/>
      <c r="KK129" s="188"/>
      <c r="KL129" s="188"/>
      <c r="KM129" s="188"/>
      <c r="KN129" s="188"/>
      <c r="KO129" s="188"/>
      <c r="KP129" s="188"/>
      <c r="KQ129" s="188"/>
      <c r="KR129" s="188"/>
      <c r="KS129" s="188"/>
      <c r="KT129" s="188"/>
      <c r="KU129" s="188"/>
      <c r="KV129" s="188"/>
      <c r="KW129" s="188"/>
      <c r="KX129" s="188"/>
      <c r="KY129" s="188"/>
      <c r="KZ129" s="188"/>
      <c r="LA129" s="188"/>
      <c r="LB129" s="188"/>
      <c r="LC129" s="188"/>
      <c r="LD129" s="188"/>
      <c r="LE129" s="188"/>
      <c r="LF129" s="188"/>
      <c r="LG129" s="188"/>
      <c r="LH129" s="188"/>
      <c r="LI129" s="189"/>
      <c r="LJ129" s="187"/>
      <c r="LK129" s="188"/>
      <c r="LL129" s="188"/>
      <c r="LM129" s="188"/>
      <c r="LN129" s="189"/>
      <c r="LW129" s="12"/>
      <c r="LX129" s="7"/>
      <c r="LY129" s="3"/>
      <c r="LZ129" s="3"/>
      <c r="MA129" s="3"/>
      <c r="MB129" s="3"/>
      <c r="MC129" s="2"/>
      <c r="MQ129" s="3"/>
      <c r="MR129" s="3"/>
      <c r="MS129" s="3"/>
      <c r="MT129" s="3"/>
      <c r="MU129" s="3"/>
      <c r="MV129" s="2"/>
    </row>
    <row r="130" spans="3:360" ht="5.0999999999999996" customHeight="1" x14ac:dyDescent="0.3">
      <c r="C130" s="11"/>
      <c r="D130" s="13"/>
      <c r="Q130" s="187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9"/>
      <c r="BF130" s="187"/>
      <c r="BG130" s="188"/>
      <c r="BH130" s="188"/>
      <c r="BI130" s="188"/>
      <c r="BJ130" s="189"/>
      <c r="DO130" s="215"/>
      <c r="DP130" s="215"/>
      <c r="DQ130" s="215"/>
      <c r="DR130" s="215"/>
      <c r="DS130" s="215"/>
      <c r="DT130" s="215"/>
      <c r="DU130" s="215"/>
      <c r="DV130" s="215"/>
      <c r="DW130" s="215"/>
      <c r="DX130" s="215"/>
      <c r="DY130" s="215"/>
      <c r="DZ130" s="215"/>
      <c r="EA130" s="215"/>
      <c r="EB130" s="215"/>
      <c r="EC130" s="215"/>
      <c r="ED130" s="215"/>
      <c r="EE130" s="215"/>
      <c r="EF130" s="215"/>
      <c r="EG130" s="215"/>
      <c r="EH130" s="215"/>
      <c r="EI130" s="215"/>
      <c r="EJ130" s="215"/>
      <c r="EK130" s="215"/>
      <c r="EL130" s="215"/>
      <c r="EM130" s="215"/>
      <c r="EN130" s="215"/>
      <c r="EO130" s="215"/>
      <c r="EP130" s="215"/>
      <c r="EQ130" s="215"/>
      <c r="ER130" s="215"/>
      <c r="ES130" s="215"/>
      <c r="ET130" s="215"/>
      <c r="EU130" s="215"/>
      <c r="EV130" s="215"/>
      <c r="EW130" s="215"/>
      <c r="EX130" s="215"/>
      <c r="EY130" s="215"/>
      <c r="EZ130" s="215"/>
      <c r="FA130" s="215"/>
      <c r="FB130" s="215"/>
      <c r="FC130" s="215"/>
      <c r="FD130" s="215"/>
      <c r="FE130" s="215"/>
      <c r="FF130" s="215"/>
      <c r="HN130" s="187"/>
      <c r="HO130" s="188"/>
      <c r="HP130" s="188"/>
      <c r="HQ130" s="188"/>
      <c r="HR130" s="188"/>
      <c r="HS130" s="188"/>
      <c r="HT130" s="188"/>
      <c r="HU130" s="188"/>
      <c r="HV130" s="188"/>
      <c r="HW130" s="188"/>
      <c r="HX130" s="188"/>
      <c r="HY130" s="188"/>
      <c r="HZ130" s="188"/>
      <c r="IA130" s="188"/>
      <c r="IB130" s="188"/>
      <c r="IC130" s="188"/>
      <c r="ID130" s="188"/>
      <c r="IE130" s="188"/>
      <c r="IF130" s="188"/>
      <c r="IG130" s="188"/>
      <c r="IH130" s="188"/>
      <c r="II130" s="188"/>
      <c r="IJ130" s="188"/>
      <c r="IK130" s="188"/>
      <c r="IL130" s="188"/>
      <c r="IM130" s="188"/>
      <c r="IN130" s="188"/>
      <c r="IO130" s="188"/>
      <c r="IP130" s="188"/>
      <c r="IQ130" s="188"/>
      <c r="IR130" s="188"/>
      <c r="IS130" s="188"/>
      <c r="IT130" s="188"/>
      <c r="IU130" s="188"/>
      <c r="IV130" s="188"/>
      <c r="IW130" s="188"/>
      <c r="IX130" s="188"/>
      <c r="IY130" s="188"/>
      <c r="IZ130" s="188"/>
      <c r="JA130" s="188"/>
      <c r="JB130" s="187"/>
      <c r="JC130" s="188"/>
      <c r="JD130" s="188"/>
      <c r="JE130" s="188"/>
      <c r="JF130" s="188"/>
      <c r="JG130" s="189"/>
      <c r="JH130" s="19"/>
      <c r="JN130" s="155"/>
      <c r="JR130" s="16"/>
      <c r="JU130" s="187"/>
      <c r="JV130" s="188"/>
      <c r="JW130" s="188"/>
      <c r="JX130" s="188"/>
      <c r="JY130" s="188"/>
      <c r="JZ130" s="188"/>
      <c r="KA130" s="188"/>
      <c r="KB130" s="188"/>
      <c r="KC130" s="188"/>
      <c r="KD130" s="188"/>
      <c r="KE130" s="188"/>
      <c r="KF130" s="188"/>
      <c r="KG130" s="188"/>
      <c r="KH130" s="188"/>
      <c r="KI130" s="188"/>
      <c r="KJ130" s="188"/>
      <c r="KK130" s="188"/>
      <c r="KL130" s="188"/>
      <c r="KM130" s="188"/>
      <c r="KN130" s="188"/>
      <c r="KO130" s="188"/>
      <c r="KP130" s="188"/>
      <c r="KQ130" s="188"/>
      <c r="KR130" s="188"/>
      <c r="KS130" s="188"/>
      <c r="KT130" s="188"/>
      <c r="KU130" s="188"/>
      <c r="KV130" s="188"/>
      <c r="KW130" s="188"/>
      <c r="KX130" s="188"/>
      <c r="KY130" s="188"/>
      <c r="KZ130" s="188"/>
      <c r="LA130" s="188"/>
      <c r="LB130" s="188"/>
      <c r="LC130" s="188"/>
      <c r="LD130" s="188"/>
      <c r="LE130" s="188"/>
      <c r="LF130" s="188"/>
      <c r="LG130" s="188"/>
      <c r="LH130" s="188"/>
      <c r="LI130" s="189"/>
      <c r="LJ130" s="187"/>
      <c r="LK130" s="188"/>
      <c r="LL130" s="188"/>
      <c r="LM130" s="188"/>
      <c r="LN130" s="189"/>
      <c r="LW130" s="12"/>
      <c r="LX130" s="7"/>
      <c r="LY130" s="3"/>
      <c r="LZ130" s="3"/>
      <c r="MA130" s="3"/>
      <c r="MB130" s="3"/>
      <c r="MC130" s="2"/>
      <c r="MQ130" s="3"/>
      <c r="MR130" s="3"/>
      <c r="MS130" s="3"/>
      <c r="MT130" s="3"/>
      <c r="MU130" s="3"/>
      <c r="MV130" s="2"/>
    </row>
    <row r="131" spans="3:360" ht="5.0999999999999996" customHeight="1" x14ac:dyDescent="0.3">
      <c r="C131" s="11"/>
      <c r="D131" s="13"/>
      <c r="Q131" s="187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9"/>
      <c r="BF131" s="187"/>
      <c r="BG131" s="188"/>
      <c r="BH131" s="188"/>
      <c r="BI131" s="188"/>
      <c r="BJ131" s="189"/>
      <c r="DO131" s="215"/>
      <c r="DP131" s="215"/>
      <c r="DQ131" s="215"/>
      <c r="DR131" s="215"/>
      <c r="DS131" s="215"/>
      <c r="DT131" s="215"/>
      <c r="DU131" s="215"/>
      <c r="DV131" s="215"/>
      <c r="DW131" s="215"/>
      <c r="DX131" s="215"/>
      <c r="DY131" s="215"/>
      <c r="DZ131" s="215"/>
      <c r="EA131" s="215"/>
      <c r="EB131" s="215"/>
      <c r="EC131" s="215"/>
      <c r="ED131" s="215"/>
      <c r="EE131" s="215"/>
      <c r="EF131" s="215"/>
      <c r="EG131" s="215"/>
      <c r="EH131" s="215"/>
      <c r="EI131" s="215"/>
      <c r="EJ131" s="215"/>
      <c r="EK131" s="215"/>
      <c r="EL131" s="215"/>
      <c r="EM131" s="215"/>
      <c r="EN131" s="215"/>
      <c r="EO131" s="215"/>
      <c r="EP131" s="215"/>
      <c r="EQ131" s="215"/>
      <c r="ER131" s="215"/>
      <c r="ES131" s="215"/>
      <c r="ET131" s="215"/>
      <c r="EU131" s="215"/>
      <c r="EV131" s="215"/>
      <c r="EW131" s="215"/>
      <c r="EX131" s="215"/>
      <c r="EY131" s="215"/>
      <c r="EZ131" s="215"/>
      <c r="FA131" s="215"/>
      <c r="FB131" s="215"/>
      <c r="FC131" s="215"/>
      <c r="FD131" s="215"/>
      <c r="FE131" s="215"/>
      <c r="FF131" s="215"/>
      <c r="HN131" s="187"/>
      <c r="HO131" s="188"/>
      <c r="HP131" s="188"/>
      <c r="HQ131" s="188"/>
      <c r="HR131" s="188"/>
      <c r="HS131" s="188"/>
      <c r="HT131" s="188"/>
      <c r="HU131" s="188"/>
      <c r="HV131" s="188"/>
      <c r="HW131" s="188"/>
      <c r="HX131" s="188"/>
      <c r="HY131" s="188"/>
      <c r="HZ131" s="188"/>
      <c r="IA131" s="188"/>
      <c r="IB131" s="188"/>
      <c r="IC131" s="188"/>
      <c r="ID131" s="188"/>
      <c r="IE131" s="188"/>
      <c r="IF131" s="188"/>
      <c r="IG131" s="188"/>
      <c r="IH131" s="188"/>
      <c r="II131" s="188"/>
      <c r="IJ131" s="188"/>
      <c r="IK131" s="188"/>
      <c r="IL131" s="188"/>
      <c r="IM131" s="188"/>
      <c r="IN131" s="188"/>
      <c r="IO131" s="188"/>
      <c r="IP131" s="188"/>
      <c r="IQ131" s="188"/>
      <c r="IR131" s="188"/>
      <c r="IS131" s="188"/>
      <c r="IT131" s="188"/>
      <c r="IU131" s="188"/>
      <c r="IV131" s="188"/>
      <c r="IW131" s="188"/>
      <c r="IX131" s="188"/>
      <c r="IY131" s="188"/>
      <c r="IZ131" s="188"/>
      <c r="JA131" s="188"/>
      <c r="JB131" s="187"/>
      <c r="JC131" s="188"/>
      <c r="JD131" s="188"/>
      <c r="JE131" s="188"/>
      <c r="JF131" s="188"/>
      <c r="JG131" s="189"/>
      <c r="JH131" s="19"/>
      <c r="JN131" s="155"/>
      <c r="JR131" s="16"/>
      <c r="JU131" s="187"/>
      <c r="JV131" s="188"/>
      <c r="JW131" s="188"/>
      <c r="JX131" s="188"/>
      <c r="JY131" s="188"/>
      <c r="JZ131" s="188"/>
      <c r="KA131" s="188"/>
      <c r="KB131" s="188"/>
      <c r="KC131" s="188"/>
      <c r="KD131" s="188"/>
      <c r="KE131" s="188"/>
      <c r="KF131" s="188"/>
      <c r="KG131" s="188"/>
      <c r="KH131" s="188"/>
      <c r="KI131" s="188"/>
      <c r="KJ131" s="188"/>
      <c r="KK131" s="188"/>
      <c r="KL131" s="188"/>
      <c r="KM131" s="188"/>
      <c r="KN131" s="188"/>
      <c r="KO131" s="188"/>
      <c r="KP131" s="188"/>
      <c r="KQ131" s="188"/>
      <c r="KR131" s="188"/>
      <c r="KS131" s="188"/>
      <c r="KT131" s="188"/>
      <c r="KU131" s="188"/>
      <c r="KV131" s="188"/>
      <c r="KW131" s="188"/>
      <c r="KX131" s="188"/>
      <c r="KY131" s="188"/>
      <c r="KZ131" s="188"/>
      <c r="LA131" s="188"/>
      <c r="LB131" s="188"/>
      <c r="LC131" s="188"/>
      <c r="LD131" s="188"/>
      <c r="LE131" s="188"/>
      <c r="LF131" s="188"/>
      <c r="LG131" s="188"/>
      <c r="LH131" s="188"/>
      <c r="LI131" s="189"/>
      <c r="LJ131" s="187"/>
      <c r="LK131" s="188"/>
      <c r="LL131" s="188"/>
      <c r="LM131" s="188"/>
      <c r="LN131" s="189"/>
      <c r="LW131" s="12"/>
      <c r="LX131" s="7"/>
      <c r="LY131" s="3"/>
      <c r="LZ131" s="3"/>
      <c r="MA131" s="3"/>
      <c r="MB131" s="3"/>
      <c r="MC131" s="2"/>
      <c r="MQ131" s="3"/>
      <c r="MR131" s="3"/>
      <c r="MS131" s="3"/>
      <c r="MT131" s="3"/>
      <c r="MU131" s="3"/>
      <c r="MV131" s="2"/>
    </row>
    <row r="132" spans="3:360" ht="5.0999999999999996" customHeight="1" thickBot="1" x14ac:dyDescent="0.35">
      <c r="C132" s="11"/>
      <c r="D132" s="13"/>
      <c r="Q132" s="187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9"/>
      <c r="BF132" s="187"/>
      <c r="BG132" s="188"/>
      <c r="BH132" s="188"/>
      <c r="BI132" s="188"/>
      <c r="BJ132" s="189"/>
      <c r="DO132" s="215"/>
      <c r="DP132" s="215"/>
      <c r="DQ132" s="215"/>
      <c r="DR132" s="215"/>
      <c r="DS132" s="215"/>
      <c r="DT132" s="215"/>
      <c r="DU132" s="215"/>
      <c r="DV132" s="215"/>
      <c r="DW132" s="215"/>
      <c r="DX132" s="215"/>
      <c r="DY132" s="215"/>
      <c r="DZ132" s="215"/>
      <c r="EA132" s="215"/>
      <c r="EB132" s="215"/>
      <c r="EC132" s="215"/>
      <c r="ED132" s="215"/>
      <c r="EE132" s="215"/>
      <c r="EF132" s="215"/>
      <c r="EG132" s="215"/>
      <c r="EH132" s="215"/>
      <c r="EI132" s="215"/>
      <c r="EJ132" s="215"/>
      <c r="EK132" s="215"/>
      <c r="EL132" s="215"/>
      <c r="EM132" s="215"/>
      <c r="EN132" s="215"/>
      <c r="EO132" s="215"/>
      <c r="EP132" s="215"/>
      <c r="EQ132" s="215"/>
      <c r="ER132" s="215"/>
      <c r="ES132" s="215"/>
      <c r="ET132" s="215"/>
      <c r="EU132" s="215"/>
      <c r="EV132" s="215"/>
      <c r="EW132" s="215"/>
      <c r="EX132" s="215"/>
      <c r="EY132" s="215"/>
      <c r="EZ132" s="215"/>
      <c r="FA132" s="215"/>
      <c r="FB132" s="215"/>
      <c r="FC132" s="215"/>
      <c r="FD132" s="215"/>
      <c r="FE132" s="215"/>
      <c r="FF132" s="215"/>
      <c r="HN132" s="187"/>
      <c r="HO132" s="188"/>
      <c r="HP132" s="188"/>
      <c r="HQ132" s="188"/>
      <c r="HR132" s="188"/>
      <c r="HS132" s="188"/>
      <c r="HT132" s="188"/>
      <c r="HU132" s="188"/>
      <c r="HV132" s="188"/>
      <c r="HW132" s="188"/>
      <c r="HX132" s="188"/>
      <c r="HY132" s="188"/>
      <c r="HZ132" s="188"/>
      <c r="IA132" s="188"/>
      <c r="IB132" s="188"/>
      <c r="IC132" s="188"/>
      <c r="ID132" s="188"/>
      <c r="IE132" s="188"/>
      <c r="IF132" s="188"/>
      <c r="IG132" s="188"/>
      <c r="IH132" s="188"/>
      <c r="II132" s="188"/>
      <c r="IJ132" s="188"/>
      <c r="IK132" s="188"/>
      <c r="IL132" s="188"/>
      <c r="IM132" s="188"/>
      <c r="IN132" s="188"/>
      <c r="IO132" s="188"/>
      <c r="IP132" s="188"/>
      <c r="IQ132" s="188"/>
      <c r="IR132" s="188"/>
      <c r="IS132" s="188"/>
      <c r="IT132" s="188"/>
      <c r="IU132" s="188"/>
      <c r="IV132" s="188"/>
      <c r="IW132" s="188"/>
      <c r="IX132" s="188"/>
      <c r="IY132" s="188"/>
      <c r="IZ132" s="188"/>
      <c r="JA132" s="188"/>
      <c r="JB132" s="187"/>
      <c r="JC132" s="188"/>
      <c r="JD132" s="188"/>
      <c r="JE132" s="188"/>
      <c r="JF132" s="188"/>
      <c r="JG132" s="189"/>
      <c r="JH132" s="19"/>
      <c r="JN132" s="155"/>
      <c r="JR132" s="23"/>
      <c r="JS132" s="31"/>
      <c r="JT132" s="153"/>
      <c r="JU132" s="187"/>
      <c r="JV132" s="188"/>
      <c r="JW132" s="188"/>
      <c r="JX132" s="188"/>
      <c r="JY132" s="188"/>
      <c r="JZ132" s="188"/>
      <c r="KA132" s="188"/>
      <c r="KB132" s="188"/>
      <c r="KC132" s="188"/>
      <c r="KD132" s="188"/>
      <c r="KE132" s="188"/>
      <c r="KF132" s="188"/>
      <c r="KG132" s="188"/>
      <c r="KH132" s="188"/>
      <c r="KI132" s="188"/>
      <c r="KJ132" s="188"/>
      <c r="KK132" s="188"/>
      <c r="KL132" s="188"/>
      <c r="KM132" s="188"/>
      <c r="KN132" s="188"/>
      <c r="KO132" s="188"/>
      <c r="KP132" s="188"/>
      <c r="KQ132" s="188"/>
      <c r="KR132" s="188"/>
      <c r="KS132" s="188"/>
      <c r="KT132" s="188"/>
      <c r="KU132" s="188"/>
      <c r="KV132" s="188"/>
      <c r="KW132" s="188"/>
      <c r="KX132" s="188"/>
      <c r="KY132" s="188"/>
      <c r="KZ132" s="188"/>
      <c r="LA132" s="188"/>
      <c r="LB132" s="188"/>
      <c r="LC132" s="188"/>
      <c r="LD132" s="188"/>
      <c r="LE132" s="188"/>
      <c r="LF132" s="188"/>
      <c r="LG132" s="188"/>
      <c r="LH132" s="188"/>
      <c r="LI132" s="189"/>
      <c r="LJ132" s="187"/>
      <c r="LK132" s="188"/>
      <c r="LL132" s="188"/>
      <c r="LM132" s="188"/>
      <c r="LN132" s="189"/>
      <c r="LW132" s="12"/>
      <c r="LX132" s="7"/>
      <c r="LY132" s="3"/>
      <c r="LZ132" s="3"/>
      <c r="MA132" s="3"/>
      <c r="MB132" s="3"/>
      <c r="MC132" s="2"/>
      <c r="MQ132" s="3"/>
      <c r="MR132" s="3"/>
      <c r="MS132" s="3"/>
      <c r="MT132" s="3"/>
      <c r="MU132" s="3"/>
      <c r="MV132" s="2"/>
    </row>
    <row r="133" spans="3:360" ht="5.0999999999999996" customHeight="1" x14ac:dyDescent="0.3">
      <c r="C133" s="11"/>
      <c r="D133" s="13"/>
      <c r="Q133" s="187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9"/>
      <c r="BF133" s="187"/>
      <c r="BG133" s="188"/>
      <c r="BH133" s="188"/>
      <c r="BI133" s="188"/>
      <c r="BJ133" s="189"/>
      <c r="DO133" s="215"/>
      <c r="DP133" s="215"/>
      <c r="DQ133" s="215"/>
      <c r="DR133" s="215"/>
      <c r="DS133" s="215"/>
      <c r="DT133" s="215"/>
      <c r="DU133" s="215"/>
      <c r="DV133" s="215"/>
      <c r="DW133" s="215"/>
      <c r="DX133" s="215"/>
      <c r="DY133" s="215"/>
      <c r="DZ133" s="215"/>
      <c r="EA133" s="215"/>
      <c r="EB133" s="215"/>
      <c r="EC133" s="215"/>
      <c r="ED133" s="215"/>
      <c r="EE133" s="215"/>
      <c r="EF133" s="215"/>
      <c r="EG133" s="215"/>
      <c r="EH133" s="215"/>
      <c r="EI133" s="215"/>
      <c r="EJ133" s="215"/>
      <c r="EK133" s="215"/>
      <c r="EL133" s="215"/>
      <c r="EM133" s="215"/>
      <c r="EN133" s="215"/>
      <c r="EO133" s="215"/>
      <c r="EP133" s="215"/>
      <c r="EQ133" s="215"/>
      <c r="ER133" s="215"/>
      <c r="ES133" s="215"/>
      <c r="ET133" s="215"/>
      <c r="EU133" s="215"/>
      <c r="EV133" s="215"/>
      <c r="EW133" s="215"/>
      <c r="EX133" s="215"/>
      <c r="EY133" s="215"/>
      <c r="EZ133" s="215"/>
      <c r="FA133" s="215"/>
      <c r="FB133" s="215"/>
      <c r="FC133" s="215"/>
      <c r="FD133" s="215"/>
      <c r="FE133" s="215"/>
      <c r="FF133" s="215"/>
      <c r="HN133" s="187"/>
      <c r="HO133" s="188"/>
      <c r="HP133" s="188"/>
      <c r="HQ133" s="188"/>
      <c r="HR133" s="188"/>
      <c r="HS133" s="188"/>
      <c r="HT133" s="188"/>
      <c r="HU133" s="188"/>
      <c r="HV133" s="188"/>
      <c r="HW133" s="188"/>
      <c r="HX133" s="188"/>
      <c r="HY133" s="188"/>
      <c r="HZ133" s="188"/>
      <c r="IA133" s="188"/>
      <c r="IB133" s="188"/>
      <c r="IC133" s="188"/>
      <c r="ID133" s="188"/>
      <c r="IE133" s="188"/>
      <c r="IF133" s="188"/>
      <c r="IG133" s="188"/>
      <c r="IH133" s="188"/>
      <c r="II133" s="188"/>
      <c r="IJ133" s="188"/>
      <c r="IK133" s="188"/>
      <c r="IL133" s="188"/>
      <c r="IM133" s="188"/>
      <c r="IN133" s="188"/>
      <c r="IO133" s="188"/>
      <c r="IP133" s="188"/>
      <c r="IQ133" s="188"/>
      <c r="IR133" s="188"/>
      <c r="IS133" s="188"/>
      <c r="IT133" s="188"/>
      <c r="IU133" s="188"/>
      <c r="IV133" s="188"/>
      <c r="IW133" s="188"/>
      <c r="IX133" s="188"/>
      <c r="IY133" s="188"/>
      <c r="IZ133" s="188"/>
      <c r="JA133" s="188"/>
      <c r="JB133" s="187"/>
      <c r="JC133" s="188"/>
      <c r="JD133" s="188"/>
      <c r="JE133" s="188"/>
      <c r="JF133" s="188"/>
      <c r="JG133" s="189"/>
      <c r="JH133" s="19"/>
      <c r="JN133" s="155"/>
      <c r="JR133" s="22"/>
      <c r="JS133" s="21"/>
      <c r="JT133" s="48"/>
      <c r="JU133" s="187"/>
      <c r="JV133" s="188"/>
      <c r="JW133" s="188"/>
      <c r="JX133" s="188"/>
      <c r="JY133" s="188"/>
      <c r="JZ133" s="188"/>
      <c r="KA133" s="188"/>
      <c r="KB133" s="188"/>
      <c r="KC133" s="188"/>
      <c r="KD133" s="188"/>
      <c r="KE133" s="188"/>
      <c r="KF133" s="188"/>
      <c r="KG133" s="188"/>
      <c r="KH133" s="188"/>
      <c r="KI133" s="188"/>
      <c r="KJ133" s="188"/>
      <c r="KK133" s="188"/>
      <c r="KL133" s="188"/>
      <c r="KM133" s="188"/>
      <c r="KN133" s="188"/>
      <c r="KO133" s="188"/>
      <c r="KP133" s="188"/>
      <c r="KQ133" s="188"/>
      <c r="KR133" s="188"/>
      <c r="KS133" s="188"/>
      <c r="KT133" s="188"/>
      <c r="KU133" s="188"/>
      <c r="KV133" s="188"/>
      <c r="KW133" s="188"/>
      <c r="KX133" s="188"/>
      <c r="KY133" s="188"/>
      <c r="KZ133" s="188"/>
      <c r="LA133" s="188"/>
      <c r="LB133" s="188"/>
      <c r="LC133" s="188"/>
      <c r="LD133" s="188"/>
      <c r="LE133" s="188"/>
      <c r="LF133" s="188"/>
      <c r="LG133" s="188"/>
      <c r="LH133" s="188"/>
      <c r="LI133" s="189"/>
      <c r="LJ133" s="187"/>
      <c r="LK133" s="188"/>
      <c r="LL133" s="188"/>
      <c r="LM133" s="188"/>
      <c r="LN133" s="189"/>
      <c r="LW133" s="12"/>
      <c r="LX133" s="7"/>
      <c r="LY133" s="3"/>
      <c r="LZ133" s="3"/>
      <c r="MA133" s="3"/>
      <c r="MB133" s="3"/>
      <c r="MC133" s="2"/>
      <c r="MQ133" s="3"/>
      <c r="MR133" s="3"/>
      <c r="MS133" s="3"/>
      <c r="MT133" s="3"/>
      <c r="MU133" s="3"/>
      <c r="MV133" s="2"/>
    </row>
    <row r="134" spans="3:360" ht="5.0999999999999996" customHeight="1" x14ac:dyDescent="0.3">
      <c r="C134" s="11"/>
      <c r="D134" s="13"/>
      <c r="Q134" s="187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9"/>
      <c r="BF134" s="187"/>
      <c r="BG134" s="188"/>
      <c r="BH134" s="188"/>
      <c r="BI134" s="188"/>
      <c r="BJ134" s="189"/>
      <c r="DO134" s="215"/>
      <c r="DP134" s="215"/>
      <c r="DQ134" s="215"/>
      <c r="DR134" s="215"/>
      <c r="DS134" s="215"/>
      <c r="DT134" s="215"/>
      <c r="DU134" s="215"/>
      <c r="DV134" s="215"/>
      <c r="DW134" s="215"/>
      <c r="DX134" s="215"/>
      <c r="DY134" s="215"/>
      <c r="DZ134" s="215"/>
      <c r="EA134" s="215"/>
      <c r="EB134" s="215"/>
      <c r="EC134" s="215"/>
      <c r="ED134" s="215"/>
      <c r="EE134" s="215"/>
      <c r="EF134" s="215"/>
      <c r="EG134" s="215"/>
      <c r="EH134" s="215"/>
      <c r="EI134" s="215"/>
      <c r="EJ134" s="215"/>
      <c r="EK134" s="215"/>
      <c r="EL134" s="215"/>
      <c r="EM134" s="215"/>
      <c r="EN134" s="215"/>
      <c r="EO134" s="215"/>
      <c r="EP134" s="215"/>
      <c r="EQ134" s="215"/>
      <c r="ER134" s="215"/>
      <c r="ES134" s="215"/>
      <c r="ET134" s="215"/>
      <c r="EU134" s="215"/>
      <c r="EV134" s="215"/>
      <c r="EW134" s="215"/>
      <c r="EX134" s="215"/>
      <c r="EY134" s="215"/>
      <c r="EZ134" s="215"/>
      <c r="FA134" s="215"/>
      <c r="FB134" s="215"/>
      <c r="FC134" s="215"/>
      <c r="FD134" s="215"/>
      <c r="FE134" s="215"/>
      <c r="FF134" s="215"/>
      <c r="HN134" s="187"/>
      <c r="HO134" s="188"/>
      <c r="HP134" s="188"/>
      <c r="HQ134" s="188"/>
      <c r="HR134" s="188"/>
      <c r="HS134" s="188"/>
      <c r="HT134" s="188"/>
      <c r="HU134" s="188"/>
      <c r="HV134" s="188"/>
      <c r="HW134" s="188"/>
      <c r="HX134" s="188"/>
      <c r="HY134" s="188"/>
      <c r="HZ134" s="188"/>
      <c r="IA134" s="188"/>
      <c r="IB134" s="188"/>
      <c r="IC134" s="188"/>
      <c r="ID134" s="188"/>
      <c r="IE134" s="188"/>
      <c r="IF134" s="188"/>
      <c r="IG134" s="188"/>
      <c r="IH134" s="188"/>
      <c r="II134" s="188"/>
      <c r="IJ134" s="188"/>
      <c r="IK134" s="188"/>
      <c r="IL134" s="188"/>
      <c r="IM134" s="188"/>
      <c r="IN134" s="188"/>
      <c r="IO134" s="188"/>
      <c r="IP134" s="188"/>
      <c r="IQ134" s="188"/>
      <c r="IR134" s="188"/>
      <c r="IS134" s="188"/>
      <c r="IT134" s="188"/>
      <c r="IU134" s="188"/>
      <c r="IV134" s="188"/>
      <c r="IW134" s="188"/>
      <c r="IX134" s="188"/>
      <c r="IY134" s="188"/>
      <c r="IZ134" s="188"/>
      <c r="JA134" s="188"/>
      <c r="JB134" s="187"/>
      <c r="JC134" s="188"/>
      <c r="JD134" s="188"/>
      <c r="JE134" s="188"/>
      <c r="JF134" s="188"/>
      <c r="JG134" s="189"/>
      <c r="JH134" s="19"/>
      <c r="JN134" s="155"/>
      <c r="JR134" s="16"/>
      <c r="JU134" s="187"/>
      <c r="JV134" s="188"/>
      <c r="JW134" s="188"/>
      <c r="JX134" s="188"/>
      <c r="JY134" s="188"/>
      <c r="JZ134" s="188"/>
      <c r="KA134" s="188"/>
      <c r="KB134" s="188"/>
      <c r="KC134" s="188"/>
      <c r="KD134" s="188"/>
      <c r="KE134" s="188"/>
      <c r="KF134" s="188"/>
      <c r="KG134" s="188"/>
      <c r="KH134" s="188"/>
      <c r="KI134" s="188"/>
      <c r="KJ134" s="188"/>
      <c r="KK134" s="188"/>
      <c r="KL134" s="188"/>
      <c r="KM134" s="188"/>
      <c r="KN134" s="188"/>
      <c r="KO134" s="188"/>
      <c r="KP134" s="188"/>
      <c r="KQ134" s="188"/>
      <c r="KR134" s="188"/>
      <c r="KS134" s="188"/>
      <c r="KT134" s="188"/>
      <c r="KU134" s="188"/>
      <c r="KV134" s="188"/>
      <c r="KW134" s="188"/>
      <c r="KX134" s="188"/>
      <c r="KY134" s="188"/>
      <c r="KZ134" s="188"/>
      <c r="LA134" s="188"/>
      <c r="LB134" s="188"/>
      <c r="LC134" s="188"/>
      <c r="LD134" s="188"/>
      <c r="LE134" s="188"/>
      <c r="LF134" s="188"/>
      <c r="LG134" s="188"/>
      <c r="LH134" s="188"/>
      <c r="LI134" s="189"/>
      <c r="LJ134" s="187"/>
      <c r="LK134" s="188"/>
      <c r="LL134" s="188"/>
      <c r="LM134" s="188"/>
      <c r="LN134" s="189"/>
      <c r="LW134" s="12"/>
      <c r="LX134" s="7"/>
      <c r="LY134" s="3"/>
      <c r="LZ134" s="3"/>
      <c r="MA134" s="3"/>
      <c r="MB134" s="3"/>
      <c r="MC134" s="2"/>
      <c r="MQ134" s="3"/>
      <c r="MR134" s="3"/>
      <c r="MS134" s="3"/>
      <c r="MT134" s="3"/>
      <c r="MU134" s="3"/>
      <c r="MV134" s="2"/>
    </row>
    <row r="135" spans="3:360" ht="5.0999999999999996" customHeight="1" x14ac:dyDescent="0.3">
      <c r="C135" s="11"/>
      <c r="D135" s="13"/>
      <c r="Q135" s="187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9"/>
      <c r="BF135" s="187"/>
      <c r="BG135" s="188"/>
      <c r="BH135" s="188"/>
      <c r="BI135" s="188"/>
      <c r="BJ135" s="189"/>
      <c r="DO135" s="215"/>
      <c r="DP135" s="215"/>
      <c r="DQ135" s="215"/>
      <c r="DR135" s="215"/>
      <c r="DS135" s="215"/>
      <c r="DT135" s="215"/>
      <c r="DU135" s="215"/>
      <c r="DV135" s="215"/>
      <c r="DW135" s="215"/>
      <c r="DX135" s="215"/>
      <c r="DY135" s="215"/>
      <c r="DZ135" s="215"/>
      <c r="EA135" s="215"/>
      <c r="EB135" s="215"/>
      <c r="EC135" s="215"/>
      <c r="ED135" s="215"/>
      <c r="EE135" s="215"/>
      <c r="EF135" s="215"/>
      <c r="EG135" s="215"/>
      <c r="EH135" s="215"/>
      <c r="EI135" s="215"/>
      <c r="EJ135" s="215"/>
      <c r="EK135" s="215"/>
      <c r="EL135" s="215"/>
      <c r="EM135" s="215"/>
      <c r="EN135" s="215"/>
      <c r="EO135" s="215"/>
      <c r="EP135" s="215"/>
      <c r="EQ135" s="215"/>
      <c r="ER135" s="215"/>
      <c r="ES135" s="215"/>
      <c r="ET135" s="215"/>
      <c r="EU135" s="215"/>
      <c r="EV135" s="215"/>
      <c r="EW135" s="215"/>
      <c r="EX135" s="215"/>
      <c r="EY135" s="215"/>
      <c r="EZ135" s="215"/>
      <c r="FA135" s="215"/>
      <c r="FB135" s="215"/>
      <c r="FC135" s="215"/>
      <c r="FD135" s="215"/>
      <c r="FE135" s="215"/>
      <c r="FF135" s="215"/>
      <c r="HN135" s="187"/>
      <c r="HO135" s="188"/>
      <c r="HP135" s="188"/>
      <c r="HQ135" s="188"/>
      <c r="HR135" s="188"/>
      <c r="HS135" s="188"/>
      <c r="HT135" s="188"/>
      <c r="HU135" s="188"/>
      <c r="HV135" s="188"/>
      <c r="HW135" s="188"/>
      <c r="HX135" s="188"/>
      <c r="HY135" s="188"/>
      <c r="HZ135" s="188"/>
      <c r="IA135" s="188"/>
      <c r="IB135" s="188"/>
      <c r="IC135" s="188"/>
      <c r="ID135" s="188"/>
      <c r="IE135" s="188"/>
      <c r="IF135" s="188"/>
      <c r="IG135" s="188"/>
      <c r="IH135" s="188"/>
      <c r="II135" s="188"/>
      <c r="IJ135" s="188"/>
      <c r="IK135" s="188"/>
      <c r="IL135" s="188"/>
      <c r="IM135" s="188"/>
      <c r="IN135" s="188"/>
      <c r="IO135" s="188"/>
      <c r="IP135" s="188"/>
      <c r="IQ135" s="188"/>
      <c r="IR135" s="188"/>
      <c r="IS135" s="188"/>
      <c r="IT135" s="188"/>
      <c r="IU135" s="188"/>
      <c r="IV135" s="188"/>
      <c r="IW135" s="188"/>
      <c r="IX135" s="188"/>
      <c r="IY135" s="188"/>
      <c r="IZ135" s="188"/>
      <c r="JA135" s="188"/>
      <c r="JB135" s="187"/>
      <c r="JC135" s="188"/>
      <c r="JD135" s="188"/>
      <c r="JE135" s="188"/>
      <c r="JF135" s="188"/>
      <c r="JG135" s="189"/>
      <c r="JH135" s="19"/>
      <c r="JN135" s="155"/>
      <c r="JR135" s="16"/>
      <c r="JU135" s="187"/>
      <c r="JV135" s="188"/>
      <c r="JW135" s="188"/>
      <c r="JX135" s="188"/>
      <c r="JY135" s="188"/>
      <c r="JZ135" s="188"/>
      <c r="KA135" s="188"/>
      <c r="KB135" s="188"/>
      <c r="KC135" s="188"/>
      <c r="KD135" s="188"/>
      <c r="KE135" s="188"/>
      <c r="KF135" s="188"/>
      <c r="KG135" s="188"/>
      <c r="KH135" s="188"/>
      <c r="KI135" s="188"/>
      <c r="KJ135" s="188"/>
      <c r="KK135" s="188"/>
      <c r="KL135" s="188"/>
      <c r="KM135" s="188"/>
      <c r="KN135" s="188"/>
      <c r="KO135" s="188"/>
      <c r="KP135" s="188"/>
      <c r="KQ135" s="188"/>
      <c r="KR135" s="188"/>
      <c r="KS135" s="188"/>
      <c r="KT135" s="188"/>
      <c r="KU135" s="188"/>
      <c r="KV135" s="188"/>
      <c r="KW135" s="188"/>
      <c r="KX135" s="188"/>
      <c r="KY135" s="188"/>
      <c r="KZ135" s="188"/>
      <c r="LA135" s="188"/>
      <c r="LB135" s="188"/>
      <c r="LC135" s="188"/>
      <c r="LD135" s="188"/>
      <c r="LE135" s="188"/>
      <c r="LF135" s="188"/>
      <c r="LG135" s="188"/>
      <c r="LH135" s="188"/>
      <c r="LI135" s="189"/>
      <c r="LJ135" s="187"/>
      <c r="LK135" s="188"/>
      <c r="LL135" s="188"/>
      <c r="LM135" s="188"/>
      <c r="LN135" s="189"/>
      <c r="LW135" s="12"/>
      <c r="LX135" s="7"/>
      <c r="LY135" s="3"/>
      <c r="LZ135" s="3"/>
      <c r="MA135" s="3"/>
      <c r="MB135" s="3"/>
      <c r="MC135" s="2"/>
      <c r="MQ135" s="3"/>
      <c r="MR135" s="3"/>
      <c r="MS135" s="3"/>
      <c r="MT135" s="3"/>
      <c r="MU135" s="3"/>
      <c r="MV135" s="2"/>
    </row>
    <row r="136" spans="3:360" ht="5.0999999999999996" customHeight="1" x14ac:dyDescent="0.3">
      <c r="C136" s="11"/>
      <c r="D136" s="13"/>
      <c r="Q136" s="187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9"/>
      <c r="BF136" s="187"/>
      <c r="BG136" s="188"/>
      <c r="BH136" s="188"/>
      <c r="BI136" s="188"/>
      <c r="BJ136" s="189"/>
      <c r="DO136" s="215"/>
      <c r="DP136" s="215"/>
      <c r="DQ136" s="215"/>
      <c r="DR136" s="215"/>
      <c r="DS136" s="215"/>
      <c r="DT136" s="215"/>
      <c r="DU136" s="215"/>
      <c r="DV136" s="215"/>
      <c r="DW136" s="215"/>
      <c r="DX136" s="215"/>
      <c r="DY136" s="215"/>
      <c r="DZ136" s="215"/>
      <c r="EA136" s="215"/>
      <c r="EB136" s="215"/>
      <c r="EC136" s="215"/>
      <c r="ED136" s="215"/>
      <c r="EE136" s="215"/>
      <c r="EF136" s="215"/>
      <c r="EG136" s="215"/>
      <c r="EH136" s="215"/>
      <c r="EI136" s="215"/>
      <c r="EJ136" s="215"/>
      <c r="EK136" s="215"/>
      <c r="EL136" s="215"/>
      <c r="EM136" s="215"/>
      <c r="EN136" s="215"/>
      <c r="EO136" s="215"/>
      <c r="EP136" s="215"/>
      <c r="EQ136" s="215"/>
      <c r="ER136" s="215"/>
      <c r="ES136" s="215"/>
      <c r="ET136" s="215"/>
      <c r="EU136" s="215"/>
      <c r="EV136" s="215"/>
      <c r="EW136" s="215"/>
      <c r="EX136" s="215"/>
      <c r="EY136" s="215"/>
      <c r="EZ136" s="215"/>
      <c r="FA136" s="215"/>
      <c r="FB136" s="215"/>
      <c r="FC136" s="215"/>
      <c r="FD136" s="215"/>
      <c r="FE136" s="215"/>
      <c r="FF136" s="215"/>
      <c r="HN136" s="190"/>
      <c r="HO136" s="191"/>
      <c r="HP136" s="191"/>
      <c r="HQ136" s="191"/>
      <c r="HR136" s="191"/>
      <c r="HS136" s="191"/>
      <c r="HT136" s="191"/>
      <c r="HU136" s="191"/>
      <c r="HV136" s="191"/>
      <c r="HW136" s="191"/>
      <c r="HX136" s="191"/>
      <c r="HY136" s="191"/>
      <c r="HZ136" s="191"/>
      <c r="IA136" s="191"/>
      <c r="IB136" s="191"/>
      <c r="IC136" s="191"/>
      <c r="ID136" s="191"/>
      <c r="IE136" s="191"/>
      <c r="IF136" s="191"/>
      <c r="IG136" s="191"/>
      <c r="IH136" s="191"/>
      <c r="II136" s="191"/>
      <c r="IJ136" s="191"/>
      <c r="IK136" s="191"/>
      <c r="IL136" s="191"/>
      <c r="IM136" s="191"/>
      <c r="IN136" s="191"/>
      <c r="IO136" s="191"/>
      <c r="IP136" s="191"/>
      <c r="IQ136" s="191"/>
      <c r="IR136" s="191"/>
      <c r="IS136" s="191"/>
      <c r="IT136" s="191"/>
      <c r="IU136" s="191"/>
      <c r="IV136" s="191"/>
      <c r="IW136" s="191"/>
      <c r="IX136" s="191"/>
      <c r="IY136" s="191"/>
      <c r="IZ136" s="191"/>
      <c r="JA136" s="191"/>
      <c r="JB136" s="190"/>
      <c r="JC136" s="191"/>
      <c r="JD136" s="191"/>
      <c r="JE136" s="191"/>
      <c r="JF136" s="191"/>
      <c r="JG136" s="192"/>
      <c r="JH136" s="19"/>
      <c r="JN136" s="155"/>
      <c r="JR136" s="16"/>
      <c r="JU136" s="187"/>
      <c r="JV136" s="188"/>
      <c r="JW136" s="188"/>
      <c r="JX136" s="188"/>
      <c r="JY136" s="188"/>
      <c r="JZ136" s="188"/>
      <c r="KA136" s="188"/>
      <c r="KB136" s="188"/>
      <c r="KC136" s="188"/>
      <c r="KD136" s="188"/>
      <c r="KE136" s="188"/>
      <c r="KF136" s="188"/>
      <c r="KG136" s="188"/>
      <c r="KH136" s="188"/>
      <c r="KI136" s="188"/>
      <c r="KJ136" s="188"/>
      <c r="KK136" s="188"/>
      <c r="KL136" s="188"/>
      <c r="KM136" s="188"/>
      <c r="KN136" s="188"/>
      <c r="KO136" s="188"/>
      <c r="KP136" s="188"/>
      <c r="KQ136" s="188"/>
      <c r="KR136" s="188"/>
      <c r="KS136" s="188"/>
      <c r="KT136" s="188"/>
      <c r="KU136" s="188"/>
      <c r="KV136" s="188"/>
      <c r="KW136" s="188"/>
      <c r="KX136" s="188"/>
      <c r="KY136" s="188"/>
      <c r="KZ136" s="188"/>
      <c r="LA136" s="188"/>
      <c r="LB136" s="188"/>
      <c r="LC136" s="188"/>
      <c r="LD136" s="188"/>
      <c r="LE136" s="188"/>
      <c r="LF136" s="188"/>
      <c r="LG136" s="188"/>
      <c r="LH136" s="188"/>
      <c r="LI136" s="189"/>
      <c r="LJ136" s="187"/>
      <c r="LK136" s="188"/>
      <c r="LL136" s="188"/>
      <c r="LM136" s="188"/>
      <c r="LN136" s="189"/>
      <c r="LW136" s="12"/>
      <c r="LX136" s="7"/>
      <c r="LY136" s="3"/>
      <c r="LZ136" s="3"/>
      <c r="MA136" s="3"/>
      <c r="MB136" s="3"/>
      <c r="MC136" s="2"/>
      <c r="MQ136" s="3"/>
      <c r="MR136" s="3"/>
      <c r="MS136" s="3"/>
      <c r="MT136" s="3"/>
      <c r="MU136" s="3"/>
      <c r="MV136" s="2"/>
    </row>
    <row r="137" spans="3:360" ht="5.0999999999999996" customHeight="1" x14ac:dyDescent="0.3">
      <c r="C137" s="11"/>
      <c r="D137" s="13"/>
      <c r="Q137" s="187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9"/>
      <c r="BF137" s="187"/>
      <c r="BG137" s="188"/>
      <c r="BH137" s="188"/>
      <c r="BI137" s="188"/>
      <c r="BJ137" s="189"/>
      <c r="DO137" s="215"/>
      <c r="DP137" s="215"/>
      <c r="DQ137" s="215"/>
      <c r="DR137" s="215"/>
      <c r="DS137" s="215"/>
      <c r="DT137" s="215"/>
      <c r="DU137" s="215"/>
      <c r="DV137" s="215"/>
      <c r="DW137" s="215"/>
      <c r="DX137" s="215"/>
      <c r="DY137" s="215"/>
      <c r="DZ137" s="215"/>
      <c r="EA137" s="215"/>
      <c r="EB137" s="215"/>
      <c r="EC137" s="215"/>
      <c r="ED137" s="215"/>
      <c r="EE137" s="215"/>
      <c r="EF137" s="215"/>
      <c r="EG137" s="215"/>
      <c r="EH137" s="215"/>
      <c r="EI137" s="215"/>
      <c r="EJ137" s="215"/>
      <c r="EK137" s="215"/>
      <c r="EL137" s="215"/>
      <c r="EM137" s="215"/>
      <c r="EN137" s="215"/>
      <c r="EO137" s="215"/>
      <c r="EP137" s="215"/>
      <c r="EQ137" s="215"/>
      <c r="ER137" s="215"/>
      <c r="ES137" s="215"/>
      <c r="ET137" s="215"/>
      <c r="EU137" s="215"/>
      <c r="EV137" s="215"/>
      <c r="EW137" s="215"/>
      <c r="EX137" s="215"/>
      <c r="EY137" s="215"/>
      <c r="EZ137" s="215"/>
      <c r="FA137" s="215"/>
      <c r="FB137" s="215"/>
      <c r="FC137" s="215"/>
      <c r="FD137" s="215"/>
      <c r="FE137" s="215"/>
      <c r="FF137" s="215"/>
      <c r="JH137" s="19"/>
      <c r="JN137" s="155"/>
      <c r="JR137" s="16"/>
      <c r="JU137" s="190"/>
      <c r="JV137" s="191"/>
      <c r="JW137" s="191"/>
      <c r="JX137" s="191"/>
      <c r="JY137" s="191"/>
      <c r="JZ137" s="191"/>
      <c r="KA137" s="191"/>
      <c r="KB137" s="191"/>
      <c r="KC137" s="191"/>
      <c r="KD137" s="191"/>
      <c r="KE137" s="191"/>
      <c r="KF137" s="191"/>
      <c r="KG137" s="191"/>
      <c r="KH137" s="191"/>
      <c r="KI137" s="191"/>
      <c r="KJ137" s="191"/>
      <c r="KK137" s="191"/>
      <c r="KL137" s="191"/>
      <c r="KM137" s="191"/>
      <c r="KN137" s="191"/>
      <c r="KO137" s="191"/>
      <c r="KP137" s="191"/>
      <c r="KQ137" s="191"/>
      <c r="KR137" s="191"/>
      <c r="KS137" s="191"/>
      <c r="KT137" s="191"/>
      <c r="KU137" s="191"/>
      <c r="KV137" s="191"/>
      <c r="KW137" s="191"/>
      <c r="KX137" s="191"/>
      <c r="KY137" s="191"/>
      <c r="KZ137" s="191"/>
      <c r="LA137" s="191"/>
      <c r="LB137" s="191"/>
      <c r="LC137" s="191"/>
      <c r="LD137" s="191"/>
      <c r="LE137" s="191"/>
      <c r="LF137" s="191"/>
      <c r="LG137" s="191"/>
      <c r="LH137" s="191"/>
      <c r="LI137" s="192"/>
      <c r="LJ137" s="190"/>
      <c r="LK137" s="191"/>
      <c r="LL137" s="191"/>
      <c r="LM137" s="191"/>
      <c r="LN137" s="192"/>
      <c r="LW137" s="12"/>
      <c r="LX137" s="7"/>
      <c r="LY137" s="3"/>
      <c r="LZ137" s="3"/>
      <c r="MA137" s="3"/>
      <c r="MB137" s="3"/>
      <c r="MC137" s="2"/>
      <c r="MQ137" s="3"/>
      <c r="MR137" s="3"/>
      <c r="MS137" s="3"/>
      <c r="MT137" s="3"/>
      <c r="MU137" s="3"/>
      <c r="MV137" s="2"/>
    </row>
    <row r="138" spans="3:360" ht="5.0999999999999996" customHeight="1" x14ac:dyDescent="0.3">
      <c r="C138" s="11"/>
      <c r="D138" s="13"/>
      <c r="Q138" s="190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2"/>
      <c r="BF138" s="190"/>
      <c r="BG138" s="191"/>
      <c r="BH138" s="191"/>
      <c r="BI138" s="191"/>
      <c r="BJ138" s="192"/>
      <c r="DO138" s="215"/>
      <c r="DP138" s="215"/>
      <c r="DQ138" s="215"/>
      <c r="DR138" s="215"/>
      <c r="DS138" s="215"/>
      <c r="DT138" s="215"/>
      <c r="DU138" s="215"/>
      <c r="DV138" s="215"/>
      <c r="DW138" s="215"/>
      <c r="DX138" s="215"/>
      <c r="DY138" s="215"/>
      <c r="DZ138" s="215"/>
      <c r="EA138" s="215"/>
      <c r="EB138" s="215"/>
      <c r="EC138" s="215"/>
      <c r="ED138" s="215"/>
      <c r="EE138" s="215"/>
      <c r="EF138" s="215"/>
      <c r="EG138" s="215"/>
      <c r="EH138" s="215"/>
      <c r="EI138" s="215"/>
      <c r="EJ138" s="215"/>
      <c r="EK138" s="215"/>
      <c r="EL138" s="215"/>
      <c r="EM138" s="215"/>
      <c r="EN138" s="215"/>
      <c r="EO138" s="215"/>
      <c r="EP138" s="215"/>
      <c r="EQ138" s="215"/>
      <c r="ER138" s="215"/>
      <c r="ES138" s="215"/>
      <c r="ET138" s="215"/>
      <c r="EU138" s="215"/>
      <c r="EV138" s="215"/>
      <c r="EW138" s="215"/>
      <c r="EX138" s="215"/>
      <c r="EY138" s="215"/>
      <c r="EZ138" s="215"/>
      <c r="FA138" s="215"/>
      <c r="FB138" s="215"/>
      <c r="FC138" s="215"/>
      <c r="FD138" s="215"/>
      <c r="FE138" s="215"/>
      <c r="FF138" s="215"/>
      <c r="JH138" s="19"/>
      <c r="JN138" s="155"/>
      <c r="JR138" s="16"/>
      <c r="LW138" s="12"/>
      <c r="LX138" s="7"/>
      <c r="LY138" s="3"/>
      <c r="LZ138" s="3"/>
      <c r="MA138" s="3"/>
      <c r="MB138" s="3"/>
      <c r="MC138" s="2"/>
      <c r="MQ138" s="3"/>
      <c r="MR138" s="3"/>
      <c r="MS138" s="3"/>
      <c r="MT138" s="3"/>
      <c r="MU138" s="3"/>
      <c r="MV138" s="2"/>
    </row>
    <row r="139" spans="3:360" ht="5.0999999999999996" customHeight="1" x14ac:dyDescent="0.3">
      <c r="C139" s="11"/>
      <c r="D139" s="13"/>
      <c r="AN139" s="16"/>
      <c r="EL139" s="17"/>
      <c r="HN139" s="195" t="s">
        <v>8</v>
      </c>
      <c r="HO139" s="196"/>
      <c r="HP139" s="196"/>
      <c r="HQ139" s="196"/>
      <c r="HR139" s="196"/>
      <c r="HS139" s="196"/>
      <c r="HT139" s="196"/>
      <c r="HU139" s="196"/>
      <c r="HV139" s="196"/>
      <c r="HW139" s="196"/>
      <c r="HX139" s="196"/>
      <c r="HY139" s="196"/>
      <c r="HZ139" s="196"/>
      <c r="IA139" s="196"/>
      <c r="IB139" s="196"/>
      <c r="IC139" s="196"/>
      <c r="ID139" s="196"/>
      <c r="IE139" s="196"/>
      <c r="IF139" s="196"/>
      <c r="IG139" s="196"/>
      <c r="IH139" s="196"/>
      <c r="II139" s="196"/>
      <c r="IJ139" s="196"/>
      <c r="IK139" s="196"/>
      <c r="IL139" s="196"/>
      <c r="IM139" s="196"/>
      <c r="IN139" s="196"/>
      <c r="IO139" s="196"/>
      <c r="IP139" s="196"/>
      <c r="IQ139" s="196"/>
      <c r="IR139" s="196"/>
      <c r="IS139" s="196"/>
      <c r="IT139" s="196"/>
      <c r="IU139" s="196"/>
      <c r="IV139" s="196"/>
      <c r="IW139" s="196"/>
      <c r="IX139" s="196"/>
      <c r="IY139" s="196"/>
      <c r="IZ139" s="196"/>
      <c r="JA139" s="197"/>
      <c r="JB139" s="204">
        <f>JB149</f>
        <v>50</v>
      </c>
      <c r="JC139" s="204"/>
      <c r="JD139" s="204"/>
      <c r="JE139" s="204"/>
      <c r="JF139" s="204"/>
      <c r="JG139" s="204"/>
      <c r="JH139" s="19"/>
      <c r="JN139" s="155"/>
      <c r="JR139" s="16"/>
      <c r="JU139" s="184" t="s">
        <v>47</v>
      </c>
      <c r="JV139" s="185"/>
      <c r="JW139" s="185"/>
      <c r="JX139" s="185"/>
      <c r="JY139" s="185"/>
      <c r="JZ139" s="185"/>
      <c r="KA139" s="185"/>
      <c r="KB139" s="185"/>
      <c r="KC139" s="185"/>
      <c r="KD139" s="185"/>
      <c r="KE139" s="185"/>
      <c r="KF139" s="185"/>
      <c r="KG139" s="185"/>
      <c r="KH139" s="185"/>
      <c r="KI139" s="185"/>
      <c r="KJ139" s="185"/>
      <c r="KK139" s="185"/>
      <c r="KL139" s="185"/>
      <c r="KM139" s="185"/>
      <c r="KN139" s="185"/>
      <c r="KO139" s="185"/>
      <c r="KP139" s="185"/>
      <c r="KQ139" s="185"/>
      <c r="KR139" s="185"/>
      <c r="KS139" s="185"/>
      <c r="KT139" s="185"/>
      <c r="KU139" s="185"/>
      <c r="KV139" s="185"/>
      <c r="KW139" s="185"/>
      <c r="KX139" s="185"/>
      <c r="KY139" s="185"/>
      <c r="KZ139" s="185"/>
      <c r="LA139" s="185"/>
      <c r="LB139" s="185"/>
      <c r="LC139" s="185"/>
      <c r="LD139" s="185"/>
      <c r="LE139" s="185"/>
      <c r="LF139" s="185"/>
      <c r="LG139" s="185"/>
      <c r="LH139" s="185"/>
      <c r="LI139" s="186"/>
      <c r="LJ139" s="184">
        <v>1</v>
      </c>
      <c r="LK139" s="185"/>
      <c r="LL139" s="185"/>
      <c r="LM139" s="185"/>
      <c r="LN139" s="186"/>
      <c r="LW139" s="12"/>
      <c r="LX139" s="7"/>
      <c r="LY139" s="3"/>
      <c r="LZ139" s="3"/>
      <c r="MA139" s="3"/>
      <c r="MB139" s="3"/>
      <c r="MC139" s="2"/>
      <c r="MQ139" s="3"/>
      <c r="MR139" s="3"/>
      <c r="MS139" s="3"/>
      <c r="MT139" s="3"/>
      <c r="MU139" s="3"/>
      <c r="MV139" s="2"/>
    </row>
    <row r="140" spans="3:360" ht="5.0999999999999996" customHeight="1" x14ac:dyDescent="0.3">
      <c r="C140" s="11"/>
      <c r="D140" s="13"/>
      <c r="AN140" s="15"/>
      <c r="AO140" s="9"/>
      <c r="EL140" s="16"/>
      <c r="HN140" s="198"/>
      <c r="HO140" s="199"/>
      <c r="HP140" s="199"/>
      <c r="HQ140" s="199"/>
      <c r="HR140" s="199"/>
      <c r="HS140" s="199"/>
      <c r="HT140" s="199"/>
      <c r="HU140" s="199"/>
      <c r="HV140" s="199"/>
      <c r="HW140" s="199"/>
      <c r="HX140" s="199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199"/>
      <c r="IW140" s="199"/>
      <c r="IX140" s="199"/>
      <c r="IY140" s="199"/>
      <c r="IZ140" s="199"/>
      <c r="JA140" s="200"/>
      <c r="JB140" s="204"/>
      <c r="JC140" s="204"/>
      <c r="JD140" s="204"/>
      <c r="JE140" s="204"/>
      <c r="JF140" s="204"/>
      <c r="JG140" s="204"/>
      <c r="JH140" s="19"/>
      <c r="JN140" s="155"/>
      <c r="JR140" s="16"/>
      <c r="JU140" s="187"/>
      <c r="JV140" s="188"/>
      <c r="JW140" s="188"/>
      <c r="JX140" s="188"/>
      <c r="JY140" s="188"/>
      <c r="JZ140" s="188"/>
      <c r="KA140" s="188"/>
      <c r="KB140" s="188"/>
      <c r="KC140" s="188"/>
      <c r="KD140" s="188"/>
      <c r="KE140" s="188"/>
      <c r="KF140" s="188"/>
      <c r="KG140" s="188"/>
      <c r="KH140" s="188"/>
      <c r="KI140" s="188"/>
      <c r="KJ140" s="188"/>
      <c r="KK140" s="188"/>
      <c r="KL140" s="188"/>
      <c r="KM140" s="188"/>
      <c r="KN140" s="188"/>
      <c r="KO140" s="188"/>
      <c r="KP140" s="188"/>
      <c r="KQ140" s="188"/>
      <c r="KR140" s="188"/>
      <c r="KS140" s="188"/>
      <c r="KT140" s="188"/>
      <c r="KU140" s="188"/>
      <c r="KV140" s="188"/>
      <c r="KW140" s="188"/>
      <c r="KX140" s="188"/>
      <c r="KY140" s="188"/>
      <c r="KZ140" s="188"/>
      <c r="LA140" s="188"/>
      <c r="LB140" s="188"/>
      <c r="LC140" s="188"/>
      <c r="LD140" s="188"/>
      <c r="LE140" s="188"/>
      <c r="LF140" s="188"/>
      <c r="LG140" s="188"/>
      <c r="LH140" s="188"/>
      <c r="LI140" s="189"/>
      <c r="LJ140" s="187"/>
      <c r="LK140" s="188"/>
      <c r="LL140" s="188"/>
      <c r="LM140" s="188"/>
      <c r="LN140" s="189"/>
      <c r="LW140" s="12"/>
      <c r="LX140" s="7"/>
      <c r="LY140" s="3"/>
      <c r="LZ140" s="3"/>
      <c r="MA140" s="3"/>
      <c r="MB140" s="3"/>
      <c r="MC140" s="2"/>
      <c r="MQ140" s="3"/>
      <c r="MR140" s="3"/>
      <c r="MS140" s="3"/>
      <c r="MT140" s="3"/>
      <c r="MU140" s="3"/>
      <c r="MV140" s="2"/>
    </row>
    <row r="141" spans="3:360" ht="5.0999999999999996" customHeight="1" x14ac:dyDescent="0.3">
      <c r="C141" s="11"/>
      <c r="D141" s="13"/>
      <c r="Q141" s="184" t="s">
        <v>46</v>
      </c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6"/>
      <c r="BF141" s="184">
        <v>2</v>
      </c>
      <c r="BG141" s="185"/>
      <c r="BH141" s="185"/>
      <c r="BI141" s="185"/>
      <c r="BJ141" s="186"/>
      <c r="EL141" s="16"/>
      <c r="HN141" s="198"/>
      <c r="HO141" s="199"/>
      <c r="HP141" s="199"/>
      <c r="HQ141" s="199"/>
      <c r="HR141" s="199"/>
      <c r="HS141" s="199"/>
      <c r="HT141" s="199"/>
      <c r="HU141" s="199"/>
      <c r="HV141" s="199"/>
      <c r="HW141" s="199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  <c r="IW141" s="199"/>
      <c r="IX141" s="199"/>
      <c r="IY141" s="199"/>
      <c r="IZ141" s="199"/>
      <c r="JA141" s="200"/>
      <c r="JB141" s="204"/>
      <c r="JC141" s="204"/>
      <c r="JD141" s="204"/>
      <c r="JE141" s="204"/>
      <c r="JF141" s="204"/>
      <c r="JG141" s="204"/>
      <c r="JH141" s="19"/>
      <c r="JN141" s="155"/>
      <c r="JR141" s="16"/>
      <c r="JU141" s="187"/>
      <c r="JV141" s="188"/>
      <c r="JW141" s="188"/>
      <c r="JX141" s="188"/>
      <c r="JY141" s="188"/>
      <c r="JZ141" s="188"/>
      <c r="KA141" s="188"/>
      <c r="KB141" s="188"/>
      <c r="KC141" s="188"/>
      <c r="KD141" s="188"/>
      <c r="KE141" s="188"/>
      <c r="KF141" s="188"/>
      <c r="KG141" s="188"/>
      <c r="KH141" s="188"/>
      <c r="KI141" s="188"/>
      <c r="KJ141" s="188"/>
      <c r="KK141" s="188"/>
      <c r="KL141" s="188"/>
      <c r="KM141" s="188"/>
      <c r="KN141" s="188"/>
      <c r="KO141" s="188"/>
      <c r="KP141" s="188"/>
      <c r="KQ141" s="188"/>
      <c r="KR141" s="188"/>
      <c r="KS141" s="188"/>
      <c r="KT141" s="188"/>
      <c r="KU141" s="188"/>
      <c r="KV141" s="188"/>
      <c r="KW141" s="188"/>
      <c r="KX141" s="188"/>
      <c r="KY141" s="188"/>
      <c r="KZ141" s="188"/>
      <c r="LA141" s="188"/>
      <c r="LB141" s="188"/>
      <c r="LC141" s="188"/>
      <c r="LD141" s="188"/>
      <c r="LE141" s="188"/>
      <c r="LF141" s="188"/>
      <c r="LG141" s="188"/>
      <c r="LH141" s="188"/>
      <c r="LI141" s="189"/>
      <c r="LJ141" s="187"/>
      <c r="LK141" s="188"/>
      <c r="LL141" s="188"/>
      <c r="LM141" s="188"/>
      <c r="LN141" s="189"/>
      <c r="LW141" s="12"/>
      <c r="LX141" s="7"/>
      <c r="LY141" s="3"/>
      <c r="LZ141" s="3"/>
      <c r="MA141" s="3"/>
      <c r="MB141" s="3"/>
      <c r="MC141" s="2"/>
      <c r="MQ141" s="3"/>
      <c r="MR141" s="3"/>
      <c r="MS141" s="3"/>
      <c r="MT141" s="3"/>
      <c r="MU141" s="3"/>
      <c r="MV141" s="2"/>
    </row>
    <row r="142" spans="3:360" ht="5.0999999999999996" customHeight="1" x14ac:dyDescent="0.3">
      <c r="C142" s="11"/>
      <c r="D142" s="13"/>
      <c r="Q142" s="187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9"/>
      <c r="BF142" s="187"/>
      <c r="BG142" s="188"/>
      <c r="BH142" s="188"/>
      <c r="BI142" s="188"/>
      <c r="BJ142" s="189"/>
      <c r="EL142" s="16"/>
      <c r="FJ142" s="49"/>
      <c r="FK142" s="49"/>
      <c r="FL142" s="49"/>
      <c r="HN142" s="198"/>
      <c r="HO142" s="199"/>
      <c r="HP142" s="199"/>
      <c r="HQ142" s="199"/>
      <c r="HR142" s="199"/>
      <c r="HS142" s="199"/>
      <c r="HT142" s="199"/>
      <c r="HU142" s="199"/>
      <c r="HV142" s="199"/>
      <c r="HW142" s="199"/>
      <c r="HX142" s="199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199"/>
      <c r="IW142" s="199"/>
      <c r="IX142" s="199"/>
      <c r="IY142" s="199"/>
      <c r="IZ142" s="199"/>
      <c r="JA142" s="200"/>
      <c r="JB142" s="204"/>
      <c r="JC142" s="204"/>
      <c r="JD142" s="204"/>
      <c r="JE142" s="204"/>
      <c r="JF142" s="204"/>
      <c r="JG142" s="204"/>
      <c r="JH142" s="19"/>
      <c r="JN142" s="155"/>
      <c r="JR142" s="16"/>
      <c r="JU142" s="187"/>
      <c r="JV142" s="188"/>
      <c r="JW142" s="188"/>
      <c r="JX142" s="188"/>
      <c r="JY142" s="188"/>
      <c r="JZ142" s="188"/>
      <c r="KA142" s="188"/>
      <c r="KB142" s="188"/>
      <c r="KC142" s="188"/>
      <c r="KD142" s="188"/>
      <c r="KE142" s="188"/>
      <c r="KF142" s="188"/>
      <c r="KG142" s="188"/>
      <c r="KH142" s="188"/>
      <c r="KI142" s="188"/>
      <c r="KJ142" s="188"/>
      <c r="KK142" s="188"/>
      <c r="KL142" s="188"/>
      <c r="KM142" s="188"/>
      <c r="KN142" s="188"/>
      <c r="KO142" s="188"/>
      <c r="KP142" s="188"/>
      <c r="KQ142" s="188"/>
      <c r="KR142" s="188"/>
      <c r="KS142" s="188"/>
      <c r="KT142" s="188"/>
      <c r="KU142" s="188"/>
      <c r="KV142" s="188"/>
      <c r="KW142" s="188"/>
      <c r="KX142" s="188"/>
      <c r="KY142" s="188"/>
      <c r="KZ142" s="188"/>
      <c r="LA142" s="188"/>
      <c r="LB142" s="188"/>
      <c r="LC142" s="188"/>
      <c r="LD142" s="188"/>
      <c r="LE142" s="188"/>
      <c r="LF142" s="188"/>
      <c r="LG142" s="188"/>
      <c r="LH142" s="188"/>
      <c r="LI142" s="189"/>
      <c r="LJ142" s="187"/>
      <c r="LK142" s="188"/>
      <c r="LL142" s="188"/>
      <c r="LM142" s="188"/>
      <c r="LN142" s="189"/>
      <c r="LW142" s="12"/>
      <c r="LX142" s="7"/>
      <c r="LY142" s="3"/>
      <c r="LZ142" s="3"/>
      <c r="MA142" s="3"/>
      <c r="MB142" s="3"/>
      <c r="MC142" s="2"/>
      <c r="MQ142" s="3"/>
      <c r="MR142" s="3"/>
      <c r="MS142" s="3"/>
      <c r="MT142" s="3"/>
      <c r="MU142" s="3"/>
      <c r="MV142" s="2"/>
    </row>
    <row r="143" spans="3:360" ht="5.0999999999999996" customHeight="1" thickBot="1" x14ac:dyDescent="0.35">
      <c r="C143" s="11"/>
      <c r="D143" s="13"/>
      <c r="Q143" s="187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9"/>
      <c r="BF143" s="187"/>
      <c r="BG143" s="188"/>
      <c r="BH143" s="188"/>
      <c r="BI143" s="188"/>
      <c r="BJ143" s="189"/>
      <c r="EL143" s="16"/>
      <c r="FK143" s="49"/>
      <c r="FL143" s="49"/>
      <c r="FM143" s="49"/>
      <c r="GY143" s="49"/>
      <c r="HN143" s="198"/>
      <c r="HO143" s="199"/>
      <c r="HP143" s="199"/>
      <c r="HQ143" s="199"/>
      <c r="HR143" s="199"/>
      <c r="HS143" s="199"/>
      <c r="HT143" s="199"/>
      <c r="HU143" s="199"/>
      <c r="HV143" s="199"/>
      <c r="HW143" s="199"/>
      <c r="HX143" s="199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199"/>
      <c r="IW143" s="199"/>
      <c r="IX143" s="199"/>
      <c r="IY143" s="199"/>
      <c r="IZ143" s="199"/>
      <c r="JA143" s="200"/>
      <c r="JB143" s="204"/>
      <c r="JC143" s="204"/>
      <c r="JD143" s="204"/>
      <c r="JE143" s="204"/>
      <c r="JF143" s="204"/>
      <c r="JG143" s="204"/>
      <c r="JH143" s="19"/>
      <c r="JN143" s="155"/>
      <c r="JR143" s="23"/>
      <c r="JS143" s="31"/>
      <c r="JT143" s="31"/>
      <c r="JU143" s="187"/>
      <c r="JV143" s="188"/>
      <c r="JW143" s="188"/>
      <c r="JX143" s="188"/>
      <c r="JY143" s="188"/>
      <c r="JZ143" s="188"/>
      <c r="KA143" s="188"/>
      <c r="KB143" s="188"/>
      <c r="KC143" s="188"/>
      <c r="KD143" s="188"/>
      <c r="KE143" s="188"/>
      <c r="KF143" s="188"/>
      <c r="KG143" s="188"/>
      <c r="KH143" s="188"/>
      <c r="KI143" s="188"/>
      <c r="KJ143" s="188"/>
      <c r="KK143" s="188"/>
      <c r="KL143" s="188"/>
      <c r="KM143" s="188"/>
      <c r="KN143" s="188"/>
      <c r="KO143" s="188"/>
      <c r="KP143" s="188"/>
      <c r="KQ143" s="188"/>
      <c r="KR143" s="188"/>
      <c r="KS143" s="188"/>
      <c r="KT143" s="188"/>
      <c r="KU143" s="188"/>
      <c r="KV143" s="188"/>
      <c r="KW143" s="188"/>
      <c r="KX143" s="188"/>
      <c r="KY143" s="188"/>
      <c r="KZ143" s="188"/>
      <c r="LA143" s="188"/>
      <c r="LB143" s="188"/>
      <c r="LC143" s="188"/>
      <c r="LD143" s="188"/>
      <c r="LE143" s="188"/>
      <c r="LF143" s="188"/>
      <c r="LG143" s="188"/>
      <c r="LH143" s="188"/>
      <c r="LI143" s="189"/>
      <c r="LJ143" s="187"/>
      <c r="LK143" s="188"/>
      <c r="LL143" s="188"/>
      <c r="LM143" s="188"/>
      <c r="LN143" s="189"/>
      <c r="LW143" s="12"/>
      <c r="LX143" s="7"/>
      <c r="LY143" s="3"/>
      <c r="LZ143" s="3"/>
      <c r="MA143" s="3"/>
      <c r="MB143" s="3"/>
      <c r="MC143" s="2"/>
      <c r="MQ143" s="3"/>
      <c r="MR143" s="3"/>
      <c r="MS143" s="3"/>
      <c r="MT143" s="3"/>
      <c r="MU143" s="3"/>
      <c r="MV143" s="2"/>
    </row>
    <row r="144" spans="3:360" ht="5.0999999999999996" customHeight="1" thickBot="1" x14ac:dyDescent="0.35">
      <c r="C144" s="11"/>
      <c r="D144" s="13"/>
      <c r="Q144" s="187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9"/>
      <c r="BF144" s="187"/>
      <c r="BG144" s="188"/>
      <c r="BH144" s="188"/>
      <c r="BI144" s="188"/>
      <c r="BJ144" s="189"/>
      <c r="EL144" s="23"/>
      <c r="FK144" s="49"/>
      <c r="FL144" s="49"/>
      <c r="FM144" s="49"/>
      <c r="HN144" s="198"/>
      <c r="HO144" s="199"/>
      <c r="HP144" s="199"/>
      <c r="HQ144" s="199"/>
      <c r="HR144" s="199"/>
      <c r="HS144" s="199"/>
      <c r="HT144" s="199"/>
      <c r="HU144" s="199"/>
      <c r="HV144" s="199"/>
      <c r="HW144" s="199"/>
      <c r="HX144" s="199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199"/>
      <c r="IW144" s="199"/>
      <c r="IX144" s="199"/>
      <c r="IY144" s="199"/>
      <c r="IZ144" s="199"/>
      <c r="JA144" s="200"/>
      <c r="JB144" s="204"/>
      <c r="JC144" s="204"/>
      <c r="JD144" s="204"/>
      <c r="JE144" s="204"/>
      <c r="JF144" s="204"/>
      <c r="JG144" s="204"/>
      <c r="JH144" s="19"/>
      <c r="JN144" s="155"/>
      <c r="JR144" s="16"/>
      <c r="JU144" s="187"/>
      <c r="JV144" s="188"/>
      <c r="JW144" s="188"/>
      <c r="JX144" s="188"/>
      <c r="JY144" s="188"/>
      <c r="JZ144" s="188"/>
      <c r="KA144" s="188"/>
      <c r="KB144" s="188"/>
      <c r="KC144" s="188"/>
      <c r="KD144" s="188"/>
      <c r="KE144" s="188"/>
      <c r="KF144" s="188"/>
      <c r="KG144" s="188"/>
      <c r="KH144" s="188"/>
      <c r="KI144" s="188"/>
      <c r="KJ144" s="188"/>
      <c r="KK144" s="188"/>
      <c r="KL144" s="188"/>
      <c r="KM144" s="188"/>
      <c r="KN144" s="188"/>
      <c r="KO144" s="188"/>
      <c r="KP144" s="188"/>
      <c r="KQ144" s="188"/>
      <c r="KR144" s="188"/>
      <c r="KS144" s="188"/>
      <c r="KT144" s="188"/>
      <c r="KU144" s="188"/>
      <c r="KV144" s="188"/>
      <c r="KW144" s="188"/>
      <c r="KX144" s="188"/>
      <c r="KY144" s="188"/>
      <c r="KZ144" s="188"/>
      <c r="LA144" s="188"/>
      <c r="LB144" s="188"/>
      <c r="LC144" s="188"/>
      <c r="LD144" s="188"/>
      <c r="LE144" s="188"/>
      <c r="LF144" s="188"/>
      <c r="LG144" s="188"/>
      <c r="LH144" s="188"/>
      <c r="LI144" s="189"/>
      <c r="LJ144" s="187"/>
      <c r="LK144" s="188"/>
      <c r="LL144" s="188"/>
      <c r="LM144" s="188"/>
      <c r="LN144" s="189"/>
      <c r="LW144" s="12"/>
      <c r="LX144" s="7"/>
      <c r="LY144" s="3"/>
      <c r="LZ144" s="3"/>
      <c r="MA144" s="3"/>
      <c r="MB144" s="3"/>
      <c r="MC144" s="2"/>
      <c r="MQ144" s="3"/>
      <c r="MR144" s="3"/>
      <c r="MS144" s="3"/>
      <c r="MT144" s="3"/>
      <c r="MU144" s="3"/>
      <c r="MV144" s="2"/>
    </row>
    <row r="145" spans="3:360" ht="5.0999999999999996" customHeight="1" x14ac:dyDescent="0.3">
      <c r="C145" s="11"/>
      <c r="D145" s="13"/>
      <c r="Q145" s="187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9"/>
      <c r="BF145" s="187"/>
      <c r="BG145" s="188"/>
      <c r="BH145" s="188"/>
      <c r="BI145" s="188"/>
      <c r="BJ145" s="189"/>
      <c r="CL145" s="22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0"/>
      <c r="EL145" s="22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0"/>
      <c r="HN145" s="198"/>
      <c r="HO145" s="199"/>
      <c r="HP145" s="199"/>
      <c r="HQ145" s="199"/>
      <c r="HR145" s="199"/>
      <c r="HS145" s="199"/>
      <c r="HT145" s="199"/>
      <c r="HU145" s="199"/>
      <c r="HV145" s="199"/>
      <c r="HW145" s="199"/>
      <c r="HX145" s="199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199"/>
      <c r="IW145" s="199"/>
      <c r="IX145" s="199"/>
      <c r="IY145" s="199"/>
      <c r="IZ145" s="199"/>
      <c r="JA145" s="200"/>
      <c r="JB145" s="204"/>
      <c r="JC145" s="204"/>
      <c r="JD145" s="204"/>
      <c r="JE145" s="204"/>
      <c r="JF145" s="204"/>
      <c r="JG145" s="204"/>
      <c r="JH145" s="19"/>
      <c r="JN145" s="155"/>
      <c r="JR145" s="16"/>
      <c r="JU145" s="187"/>
      <c r="JV145" s="188"/>
      <c r="JW145" s="188"/>
      <c r="JX145" s="188"/>
      <c r="JY145" s="188"/>
      <c r="JZ145" s="188"/>
      <c r="KA145" s="188"/>
      <c r="KB145" s="188"/>
      <c r="KC145" s="188"/>
      <c r="KD145" s="188"/>
      <c r="KE145" s="188"/>
      <c r="KF145" s="188"/>
      <c r="KG145" s="188"/>
      <c r="KH145" s="188"/>
      <c r="KI145" s="188"/>
      <c r="KJ145" s="188"/>
      <c r="KK145" s="188"/>
      <c r="KL145" s="188"/>
      <c r="KM145" s="188"/>
      <c r="KN145" s="188"/>
      <c r="KO145" s="188"/>
      <c r="KP145" s="188"/>
      <c r="KQ145" s="188"/>
      <c r="KR145" s="188"/>
      <c r="KS145" s="188"/>
      <c r="KT145" s="188"/>
      <c r="KU145" s="188"/>
      <c r="KV145" s="188"/>
      <c r="KW145" s="188"/>
      <c r="KX145" s="188"/>
      <c r="KY145" s="188"/>
      <c r="KZ145" s="188"/>
      <c r="LA145" s="188"/>
      <c r="LB145" s="188"/>
      <c r="LC145" s="188"/>
      <c r="LD145" s="188"/>
      <c r="LE145" s="188"/>
      <c r="LF145" s="188"/>
      <c r="LG145" s="188"/>
      <c r="LH145" s="188"/>
      <c r="LI145" s="189"/>
      <c r="LJ145" s="187"/>
      <c r="LK145" s="188"/>
      <c r="LL145" s="188"/>
      <c r="LM145" s="188"/>
      <c r="LN145" s="189"/>
      <c r="LW145" s="12"/>
      <c r="LX145" s="7"/>
      <c r="LY145" s="3"/>
      <c r="LZ145" s="3"/>
      <c r="MA145" s="3"/>
      <c r="MB145" s="3"/>
      <c r="MC145" s="2"/>
      <c r="MQ145" s="3"/>
      <c r="MR145" s="3"/>
      <c r="MS145" s="3"/>
      <c r="MT145" s="3"/>
      <c r="MU145" s="3"/>
      <c r="MV145" s="2"/>
    </row>
    <row r="146" spans="3:360" ht="5.0999999999999996" customHeight="1" x14ac:dyDescent="0.3">
      <c r="C146" s="11"/>
      <c r="D146" s="13"/>
      <c r="Q146" s="187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E146" s="189"/>
      <c r="BF146" s="187"/>
      <c r="BG146" s="188"/>
      <c r="BH146" s="188"/>
      <c r="BI146" s="188"/>
      <c r="BJ146" s="189"/>
      <c r="CL146" s="16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19"/>
      <c r="EL146" s="15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50"/>
      <c r="HN146" s="198"/>
      <c r="HO146" s="199"/>
      <c r="HP146" s="199"/>
      <c r="HQ146" s="199"/>
      <c r="HR146" s="199"/>
      <c r="HS146" s="199"/>
      <c r="HT146" s="199"/>
      <c r="HU146" s="199"/>
      <c r="HV146" s="199"/>
      <c r="HW146" s="199"/>
      <c r="HX146" s="199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199"/>
      <c r="IW146" s="199"/>
      <c r="IX146" s="199"/>
      <c r="IY146" s="199"/>
      <c r="IZ146" s="199"/>
      <c r="JA146" s="200"/>
      <c r="JB146" s="204"/>
      <c r="JC146" s="204"/>
      <c r="JD146" s="204"/>
      <c r="JE146" s="204"/>
      <c r="JF146" s="204"/>
      <c r="JG146" s="204"/>
      <c r="JH146" s="19"/>
      <c r="JN146" s="155"/>
      <c r="JR146" s="16"/>
      <c r="JU146" s="187"/>
      <c r="JV146" s="188"/>
      <c r="JW146" s="188"/>
      <c r="JX146" s="188"/>
      <c r="JY146" s="188"/>
      <c r="JZ146" s="188"/>
      <c r="KA146" s="188"/>
      <c r="KB146" s="188"/>
      <c r="KC146" s="188"/>
      <c r="KD146" s="188"/>
      <c r="KE146" s="188"/>
      <c r="KF146" s="188"/>
      <c r="KG146" s="188"/>
      <c r="KH146" s="188"/>
      <c r="KI146" s="188"/>
      <c r="KJ146" s="188"/>
      <c r="KK146" s="188"/>
      <c r="KL146" s="188"/>
      <c r="KM146" s="188"/>
      <c r="KN146" s="188"/>
      <c r="KO146" s="188"/>
      <c r="KP146" s="188"/>
      <c r="KQ146" s="188"/>
      <c r="KR146" s="188"/>
      <c r="KS146" s="188"/>
      <c r="KT146" s="188"/>
      <c r="KU146" s="188"/>
      <c r="KV146" s="188"/>
      <c r="KW146" s="188"/>
      <c r="KX146" s="188"/>
      <c r="KY146" s="188"/>
      <c r="KZ146" s="188"/>
      <c r="LA146" s="188"/>
      <c r="LB146" s="188"/>
      <c r="LC146" s="188"/>
      <c r="LD146" s="188"/>
      <c r="LE146" s="188"/>
      <c r="LF146" s="188"/>
      <c r="LG146" s="188"/>
      <c r="LH146" s="188"/>
      <c r="LI146" s="189"/>
      <c r="LJ146" s="187"/>
      <c r="LK146" s="188"/>
      <c r="LL146" s="188"/>
      <c r="LM146" s="188"/>
      <c r="LN146" s="189"/>
      <c r="LW146" s="12"/>
      <c r="LX146" s="7"/>
      <c r="LY146" s="3"/>
      <c r="LZ146" s="3"/>
      <c r="MA146" s="3"/>
      <c r="MB146" s="3"/>
      <c r="MC146" s="2"/>
      <c r="MQ146" s="3"/>
      <c r="MR146" s="3"/>
      <c r="MS146" s="3"/>
      <c r="MT146" s="3"/>
      <c r="MU146" s="3"/>
      <c r="MV146" s="2"/>
    </row>
    <row r="147" spans="3:360" ht="5.0999999999999996" customHeight="1" x14ac:dyDescent="0.3">
      <c r="C147" s="11"/>
      <c r="D147" s="13"/>
      <c r="Q147" s="187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E147" s="189"/>
      <c r="BF147" s="187"/>
      <c r="BG147" s="188"/>
      <c r="BH147" s="188"/>
      <c r="BI147" s="188"/>
      <c r="BJ147" s="189"/>
      <c r="BQ147" s="216" t="s">
        <v>7</v>
      </c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8"/>
      <c r="DE147" s="216">
        <f>SUM(DE161,DE173)</f>
        <v>15</v>
      </c>
      <c r="DF147" s="217"/>
      <c r="DG147" s="217"/>
      <c r="DH147" s="217"/>
      <c r="DI147" s="218"/>
      <c r="DO147" s="216" t="s">
        <v>6</v>
      </c>
      <c r="DP147" s="217"/>
      <c r="DQ147" s="217"/>
      <c r="DR147" s="217"/>
      <c r="DS147" s="217"/>
      <c r="DT147" s="217"/>
      <c r="DU147" s="217"/>
      <c r="DV147" s="217"/>
      <c r="DW147" s="217"/>
      <c r="DX147" s="217"/>
      <c r="DY147" s="217"/>
      <c r="DZ147" s="217"/>
      <c r="EA147" s="217"/>
      <c r="EB147" s="217"/>
      <c r="EC147" s="217"/>
      <c r="ED147" s="217"/>
      <c r="EE147" s="217"/>
      <c r="EF147" s="217"/>
      <c r="EG147" s="217"/>
      <c r="EH147" s="217"/>
      <c r="EI147" s="217"/>
      <c r="EJ147" s="217"/>
      <c r="EK147" s="217"/>
      <c r="EL147" s="217"/>
      <c r="EM147" s="217"/>
      <c r="EN147" s="217"/>
      <c r="EO147" s="217"/>
      <c r="EP147" s="217"/>
      <c r="EQ147" s="217"/>
      <c r="ER147" s="217"/>
      <c r="ES147" s="217"/>
      <c r="ET147" s="217"/>
      <c r="EU147" s="217"/>
      <c r="EV147" s="217"/>
      <c r="EW147" s="217"/>
      <c r="EX147" s="217"/>
      <c r="EY147" s="217"/>
      <c r="EZ147" s="217"/>
      <c r="FA147" s="217"/>
      <c r="FB147" s="218"/>
      <c r="FC147" s="216">
        <f>SUM(FC161,FC171,FC181)</f>
        <v>8</v>
      </c>
      <c r="FD147" s="217"/>
      <c r="FE147" s="217"/>
      <c r="FF147" s="217"/>
      <c r="FG147" s="218"/>
      <c r="FL147" s="216" t="s">
        <v>5</v>
      </c>
      <c r="FM147" s="217"/>
      <c r="FN147" s="217"/>
      <c r="FO147" s="217"/>
      <c r="FP147" s="217"/>
      <c r="FQ147" s="217"/>
      <c r="FR147" s="217"/>
      <c r="FS147" s="217"/>
      <c r="FT147" s="217"/>
      <c r="FU147" s="217"/>
      <c r="FV147" s="217"/>
      <c r="FW147" s="217"/>
      <c r="FX147" s="217"/>
      <c r="FY147" s="217"/>
      <c r="FZ147" s="217"/>
      <c r="GA147" s="217"/>
      <c r="GB147" s="217"/>
      <c r="GC147" s="217"/>
      <c r="GD147" s="217"/>
      <c r="GE147" s="217"/>
      <c r="GF147" s="217"/>
      <c r="GG147" s="217"/>
      <c r="GH147" s="217"/>
      <c r="GI147" s="217"/>
      <c r="GJ147" s="217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8"/>
      <c r="GZ147" s="216">
        <f>SUM(GZ161:HD200)</f>
        <v>5</v>
      </c>
      <c r="HA147" s="217"/>
      <c r="HB147" s="217"/>
      <c r="HC147" s="217"/>
      <c r="HD147" s="218"/>
      <c r="HN147" s="198"/>
      <c r="HO147" s="199"/>
      <c r="HP147" s="199"/>
      <c r="HQ147" s="199"/>
      <c r="HR147" s="199"/>
      <c r="HS147" s="199"/>
      <c r="HT147" s="199"/>
      <c r="HU147" s="199"/>
      <c r="HV147" s="199"/>
      <c r="HW147" s="199"/>
      <c r="HX147" s="199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199"/>
      <c r="IW147" s="199"/>
      <c r="IX147" s="199"/>
      <c r="IY147" s="199"/>
      <c r="IZ147" s="199"/>
      <c r="JA147" s="200"/>
      <c r="JB147" s="204"/>
      <c r="JC147" s="204"/>
      <c r="JD147" s="204"/>
      <c r="JE147" s="204"/>
      <c r="JF147" s="204"/>
      <c r="JG147" s="204"/>
      <c r="JH147" s="19"/>
      <c r="JN147" s="155"/>
      <c r="JR147" s="16"/>
      <c r="JU147" s="187"/>
      <c r="JV147" s="188"/>
      <c r="JW147" s="188"/>
      <c r="JX147" s="188"/>
      <c r="JY147" s="188"/>
      <c r="JZ147" s="188"/>
      <c r="KA147" s="188"/>
      <c r="KB147" s="188"/>
      <c r="KC147" s="188"/>
      <c r="KD147" s="188"/>
      <c r="KE147" s="188"/>
      <c r="KF147" s="188"/>
      <c r="KG147" s="188"/>
      <c r="KH147" s="188"/>
      <c r="KI147" s="188"/>
      <c r="KJ147" s="188"/>
      <c r="KK147" s="188"/>
      <c r="KL147" s="188"/>
      <c r="KM147" s="188"/>
      <c r="KN147" s="188"/>
      <c r="KO147" s="188"/>
      <c r="KP147" s="188"/>
      <c r="KQ147" s="188"/>
      <c r="KR147" s="188"/>
      <c r="KS147" s="188"/>
      <c r="KT147" s="188"/>
      <c r="KU147" s="188"/>
      <c r="KV147" s="188"/>
      <c r="KW147" s="188"/>
      <c r="KX147" s="188"/>
      <c r="KY147" s="188"/>
      <c r="KZ147" s="188"/>
      <c r="LA147" s="188"/>
      <c r="LB147" s="188"/>
      <c r="LC147" s="188"/>
      <c r="LD147" s="188"/>
      <c r="LE147" s="188"/>
      <c r="LF147" s="188"/>
      <c r="LG147" s="188"/>
      <c r="LH147" s="188"/>
      <c r="LI147" s="189"/>
      <c r="LJ147" s="187"/>
      <c r="LK147" s="188"/>
      <c r="LL147" s="188"/>
      <c r="LM147" s="188"/>
      <c r="LN147" s="189"/>
      <c r="LW147" s="12"/>
      <c r="LX147" s="7"/>
      <c r="LY147" s="3"/>
      <c r="LZ147" s="3"/>
      <c r="MA147" s="3"/>
      <c r="MB147" s="3"/>
      <c r="MC147" s="2"/>
      <c r="MQ147" s="3"/>
      <c r="MR147" s="3"/>
      <c r="MS147" s="3"/>
      <c r="MT147" s="3"/>
      <c r="MU147" s="3"/>
      <c r="MV147" s="2"/>
    </row>
    <row r="148" spans="3:360" ht="5.0999999999999996" customHeight="1" thickBot="1" x14ac:dyDescent="0.35">
      <c r="C148" s="11"/>
      <c r="D148" s="13"/>
      <c r="Q148" s="187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E148" s="189"/>
      <c r="BF148" s="187"/>
      <c r="BG148" s="188"/>
      <c r="BH148" s="188"/>
      <c r="BI148" s="188"/>
      <c r="BJ148" s="189"/>
      <c r="BQ148" s="219"/>
      <c r="BR148" s="220"/>
      <c r="BS148" s="220"/>
      <c r="BT148" s="220"/>
      <c r="BU148" s="220"/>
      <c r="BV148" s="220"/>
      <c r="BW148" s="220"/>
      <c r="BX148" s="220"/>
      <c r="BY148" s="220"/>
      <c r="BZ148" s="220"/>
      <c r="CA148" s="220"/>
      <c r="CB148" s="220"/>
      <c r="CC148" s="220"/>
      <c r="CD148" s="220"/>
      <c r="CE148" s="220"/>
      <c r="CF148" s="220"/>
      <c r="CG148" s="220"/>
      <c r="CH148" s="220"/>
      <c r="CI148" s="220"/>
      <c r="CJ148" s="220"/>
      <c r="CK148" s="220"/>
      <c r="CL148" s="220"/>
      <c r="CM148" s="220"/>
      <c r="CN148" s="220"/>
      <c r="CO148" s="220"/>
      <c r="CP148" s="220"/>
      <c r="CQ148" s="220"/>
      <c r="CR148" s="220"/>
      <c r="CS148" s="220"/>
      <c r="CT148" s="220"/>
      <c r="CU148" s="220"/>
      <c r="CV148" s="220"/>
      <c r="CW148" s="220"/>
      <c r="CX148" s="220"/>
      <c r="CY148" s="220"/>
      <c r="CZ148" s="220"/>
      <c r="DA148" s="220"/>
      <c r="DB148" s="220"/>
      <c r="DC148" s="220"/>
      <c r="DD148" s="221"/>
      <c r="DE148" s="219"/>
      <c r="DF148" s="220"/>
      <c r="DG148" s="220"/>
      <c r="DH148" s="220"/>
      <c r="DI148" s="221"/>
      <c r="DO148" s="219"/>
      <c r="DP148" s="220"/>
      <c r="DQ148" s="220"/>
      <c r="DR148" s="220"/>
      <c r="DS148" s="220"/>
      <c r="DT148" s="220"/>
      <c r="DU148" s="220"/>
      <c r="DV148" s="220"/>
      <c r="DW148" s="220"/>
      <c r="DX148" s="220"/>
      <c r="DY148" s="220"/>
      <c r="DZ148" s="220"/>
      <c r="EA148" s="220"/>
      <c r="EB148" s="220"/>
      <c r="EC148" s="220"/>
      <c r="ED148" s="220"/>
      <c r="EE148" s="220"/>
      <c r="EF148" s="220"/>
      <c r="EG148" s="220"/>
      <c r="EH148" s="220"/>
      <c r="EI148" s="220"/>
      <c r="EJ148" s="220"/>
      <c r="EK148" s="220"/>
      <c r="EL148" s="220"/>
      <c r="EM148" s="220"/>
      <c r="EN148" s="220"/>
      <c r="EO148" s="220"/>
      <c r="EP148" s="220"/>
      <c r="EQ148" s="220"/>
      <c r="ER148" s="220"/>
      <c r="ES148" s="220"/>
      <c r="ET148" s="220"/>
      <c r="EU148" s="220"/>
      <c r="EV148" s="220"/>
      <c r="EW148" s="220"/>
      <c r="EX148" s="220"/>
      <c r="EY148" s="220"/>
      <c r="EZ148" s="220"/>
      <c r="FA148" s="220"/>
      <c r="FB148" s="221"/>
      <c r="FC148" s="219"/>
      <c r="FD148" s="220"/>
      <c r="FE148" s="220"/>
      <c r="FF148" s="220"/>
      <c r="FG148" s="221"/>
      <c r="FL148" s="219"/>
      <c r="FM148" s="220"/>
      <c r="FN148" s="220"/>
      <c r="FO148" s="220"/>
      <c r="FP148" s="220"/>
      <c r="FQ148" s="220"/>
      <c r="FR148" s="220"/>
      <c r="FS148" s="220"/>
      <c r="FT148" s="220"/>
      <c r="FU148" s="220"/>
      <c r="FV148" s="220"/>
      <c r="FW148" s="220"/>
      <c r="FX148" s="220"/>
      <c r="FY148" s="220"/>
      <c r="FZ148" s="220"/>
      <c r="GA148" s="220"/>
      <c r="GB148" s="220"/>
      <c r="GC148" s="220"/>
      <c r="GD148" s="220"/>
      <c r="GE148" s="220"/>
      <c r="GF148" s="220"/>
      <c r="GG148" s="220"/>
      <c r="GH148" s="220"/>
      <c r="GI148" s="220"/>
      <c r="GJ148" s="220"/>
      <c r="GK148" s="220"/>
      <c r="GL148" s="220"/>
      <c r="GM148" s="220"/>
      <c r="GN148" s="220"/>
      <c r="GO148" s="220"/>
      <c r="GP148" s="220"/>
      <c r="GQ148" s="220"/>
      <c r="GR148" s="220"/>
      <c r="GS148" s="220"/>
      <c r="GT148" s="220"/>
      <c r="GU148" s="220"/>
      <c r="GV148" s="220"/>
      <c r="GW148" s="220"/>
      <c r="GX148" s="220"/>
      <c r="GY148" s="221"/>
      <c r="GZ148" s="219"/>
      <c r="HA148" s="220"/>
      <c r="HB148" s="220"/>
      <c r="HC148" s="220"/>
      <c r="HD148" s="221"/>
      <c r="HN148" s="201"/>
      <c r="HO148" s="202"/>
      <c r="HP148" s="202"/>
      <c r="HQ148" s="202"/>
      <c r="HR148" s="202"/>
      <c r="HS148" s="202"/>
      <c r="HT148" s="202"/>
      <c r="HU148" s="202"/>
      <c r="HV148" s="202"/>
      <c r="HW148" s="202"/>
      <c r="HX148" s="202"/>
      <c r="HY148" s="202"/>
      <c r="HZ148" s="202"/>
      <c r="IA148" s="202"/>
      <c r="IB148" s="202"/>
      <c r="IC148" s="202"/>
      <c r="ID148" s="202"/>
      <c r="IE148" s="202"/>
      <c r="IF148" s="202"/>
      <c r="IG148" s="202"/>
      <c r="IH148" s="202"/>
      <c r="II148" s="202"/>
      <c r="IJ148" s="202"/>
      <c r="IK148" s="202"/>
      <c r="IL148" s="202"/>
      <c r="IM148" s="202"/>
      <c r="IN148" s="202"/>
      <c r="IO148" s="202"/>
      <c r="IP148" s="202"/>
      <c r="IQ148" s="202"/>
      <c r="IR148" s="202"/>
      <c r="IS148" s="202"/>
      <c r="IT148" s="202"/>
      <c r="IU148" s="202"/>
      <c r="IV148" s="202"/>
      <c r="IW148" s="202"/>
      <c r="IX148" s="202"/>
      <c r="IY148" s="202"/>
      <c r="IZ148" s="202"/>
      <c r="JA148" s="203"/>
      <c r="JB148" s="204"/>
      <c r="JC148" s="204"/>
      <c r="JD148" s="204"/>
      <c r="JE148" s="204"/>
      <c r="JF148" s="204"/>
      <c r="JG148" s="204"/>
      <c r="JH148" s="19"/>
      <c r="JN148" s="155"/>
      <c r="JR148" s="16"/>
      <c r="JU148" s="190"/>
      <c r="JV148" s="191"/>
      <c r="JW148" s="191"/>
      <c r="JX148" s="191"/>
      <c r="JY148" s="191"/>
      <c r="JZ148" s="191"/>
      <c r="KA148" s="191"/>
      <c r="KB148" s="191"/>
      <c r="KC148" s="191"/>
      <c r="KD148" s="191"/>
      <c r="KE148" s="191"/>
      <c r="KF148" s="191"/>
      <c r="KG148" s="191"/>
      <c r="KH148" s="191"/>
      <c r="KI148" s="191"/>
      <c r="KJ148" s="191"/>
      <c r="KK148" s="191"/>
      <c r="KL148" s="191"/>
      <c r="KM148" s="191"/>
      <c r="KN148" s="191"/>
      <c r="KO148" s="191"/>
      <c r="KP148" s="191"/>
      <c r="KQ148" s="191"/>
      <c r="KR148" s="191"/>
      <c r="KS148" s="191"/>
      <c r="KT148" s="191"/>
      <c r="KU148" s="191"/>
      <c r="KV148" s="191"/>
      <c r="KW148" s="191"/>
      <c r="KX148" s="191"/>
      <c r="KY148" s="191"/>
      <c r="KZ148" s="191"/>
      <c r="LA148" s="191"/>
      <c r="LB148" s="191"/>
      <c r="LC148" s="191"/>
      <c r="LD148" s="191"/>
      <c r="LE148" s="191"/>
      <c r="LF148" s="191"/>
      <c r="LG148" s="191"/>
      <c r="LH148" s="191"/>
      <c r="LI148" s="192"/>
      <c r="LJ148" s="190"/>
      <c r="LK148" s="191"/>
      <c r="LL148" s="191"/>
      <c r="LM148" s="191"/>
      <c r="LN148" s="192"/>
      <c r="LW148" s="12"/>
      <c r="LX148" s="7"/>
      <c r="LY148" s="3"/>
      <c r="LZ148" s="3"/>
      <c r="MA148" s="3"/>
      <c r="MB148" s="3"/>
      <c r="MC148" s="2"/>
      <c r="MQ148" s="3"/>
      <c r="MR148" s="3"/>
      <c r="MS148" s="3"/>
      <c r="MT148" s="3"/>
      <c r="MU148" s="3"/>
      <c r="MV148" s="2"/>
    </row>
    <row r="149" spans="3:360" ht="5.0999999999999996" customHeight="1" x14ac:dyDescent="0.3">
      <c r="C149" s="11"/>
      <c r="D149" s="13"/>
      <c r="Q149" s="187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E149" s="189"/>
      <c r="BF149" s="187"/>
      <c r="BG149" s="188"/>
      <c r="BH149" s="188"/>
      <c r="BI149" s="188"/>
      <c r="BJ149" s="189"/>
      <c r="BQ149" s="219"/>
      <c r="BR149" s="220"/>
      <c r="BS149" s="220"/>
      <c r="BT149" s="220"/>
      <c r="BU149" s="220"/>
      <c r="BV149" s="220"/>
      <c r="BW149" s="220"/>
      <c r="BX149" s="220"/>
      <c r="BY149" s="220"/>
      <c r="BZ149" s="220"/>
      <c r="CA149" s="220"/>
      <c r="CB149" s="220"/>
      <c r="CC149" s="220"/>
      <c r="CD149" s="220"/>
      <c r="CE149" s="220"/>
      <c r="CF149" s="220"/>
      <c r="CG149" s="220"/>
      <c r="CH149" s="220"/>
      <c r="CI149" s="220"/>
      <c r="CJ149" s="220"/>
      <c r="CK149" s="220"/>
      <c r="CL149" s="220"/>
      <c r="CM149" s="220"/>
      <c r="CN149" s="220"/>
      <c r="CO149" s="220"/>
      <c r="CP149" s="220"/>
      <c r="CQ149" s="220"/>
      <c r="CR149" s="220"/>
      <c r="CS149" s="220"/>
      <c r="CT149" s="220"/>
      <c r="CU149" s="220"/>
      <c r="CV149" s="220"/>
      <c r="CW149" s="220"/>
      <c r="CX149" s="220"/>
      <c r="CY149" s="220"/>
      <c r="CZ149" s="220"/>
      <c r="DA149" s="220"/>
      <c r="DB149" s="220"/>
      <c r="DC149" s="220"/>
      <c r="DD149" s="221"/>
      <c r="DE149" s="219"/>
      <c r="DF149" s="220"/>
      <c r="DG149" s="220"/>
      <c r="DH149" s="220"/>
      <c r="DI149" s="221"/>
      <c r="DO149" s="219"/>
      <c r="DP149" s="220"/>
      <c r="DQ149" s="220"/>
      <c r="DR149" s="220"/>
      <c r="DS149" s="220"/>
      <c r="DT149" s="220"/>
      <c r="DU149" s="220"/>
      <c r="DV149" s="220"/>
      <c r="DW149" s="220"/>
      <c r="DX149" s="220"/>
      <c r="DY149" s="220"/>
      <c r="DZ149" s="220"/>
      <c r="EA149" s="220"/>
      <c r="EB149" s="220"/>
      <c r="EC149" s="220"/>
      <c r="ED149" s="220"/>
      <c r="EE149" s="220"/>
      <c r="EF149" s="220"/>
      <c r="EG149" s="220"/>
      <c r="EH149" s="220"/>
      <c r="EI149" s="220"/>
      <c r="EJ149" s="220"/>
      <c r="EK149" s="220"/>
      <c r="EL149" s="220"/>
      <c r="EM149" s="220"/>
      <c r="EN149" s="220"/>
      <c r="EO149" s="220"/>
      <c r="EP149" s="220"/>
      <c r="EQ149" s="220"/>
      <c r="ER149" s="220"/>
      <c r="ES149" s="220"/>
      <c r="ET149" s="220"/>
      <c r="EU149" s="220"/>
      <c r="EV149" s="220"/>
      <c r="EW149" s="220"/>
      <c r="EX149" s="220"/>
      <c r="EY149" s="220"/>
      <c r="EZ149" s="220"/>
      <c r="FA149" s="220"/>
      <c r="FB149" s="221"/>
      <c r="FC149" s="219"/>
      <c r="FD149" s="220"/>
      <c r="FE149" s="220"/>
      <c r="FF149" s="220"/>
      <c r="FG149" s="221"/>
      <c r="FL149" s="219"/>
      <c r="FM149" s="220"/>
      <c r="FN149" s="220"/>
      <c r="FO149" s="220"/>
      <c r="FP149" s="220"/>
      <c r="FQ149" s="220"/>
      <c r="FR149" s="220"/>
      <c r="FS149" s="220"/>
      <c r="FT149" s="220"/>
      <c r="FU149" s="220"/>
      <c r="FV149" s="220"/>
      <c r="FW149" s="220"/>
      <c r="FX149" s="220"/>
      <c r="FY149" s="220"/>
      <c r="FZ149" s="220"/>
      <c r="GA149" s="220"/>
      <c r="GB149" s="220"/>
      <c r="GC149" s="220"/>
      <c r="GD149" s="220"/>
      <c r="GE149" s="220"/>
      <c r="GF149" s="220"/>
      <c r="GG149" s="220"/>
      <c r="GH149" s="220"/>
      <c r="GI149" s="220"/>
      <c r="GJ149" s="220"/>
      <c r="GK149" s="220"/>
      <c r="GL149" s="220"/>
      <c r="GM149" s="220"/>
      <c r="GN149" s="220"/>
      <c r="GO149" s="220"/>
      <c r="GP149" s="220"/>
      <c r="GQ149" s="220"/>
      <c r="GR149" s="220"/>
      <c r="GS149" s="220"/>
      <c r="GT149" s="220"/>
      <c r="GU149" s="220"/>
      <c r="GV149" s="220"/>
      <c r="GW149" s="220"/>
      <c r="GX149" s="220"/>
      <c r="GY149" s="221"/>
      <c r="GZ149" s="219"/>
      <c r="HA149" s="220"/>
      <c r="HB149" s="220"/>
      <c r="HC149" s="220"/>
      <c r="HD149" s="221"/>
      <c r="HN149" s="184" t="s">
        <v>4</v>
      </c>
      <c r="HO149" s="185"/>
      <c r="HP149" s="185"/>
      <c r="HQ149" s="185"/>
      <c r="HR149" s="185"/>
      <c r="HS149" s="185"/>
      <c r="HT149" s="185"/>
      <c r="HU149" s="185"/>
      <c r="HV149" s="185"/>
      <c r="HW149" s="185"/>
      <c r="HX149" s="185"/>
      <c r="HY149" s="185"/>
      <c r="HZ149" s="185"/>
      <c r="IA149" s="185"/>
      <c r="IB149" s="185"/>
      <c r="IC149" s="185"/>
      <c r="ID149" s="185"/>
      <c r="IE149" s="185"/>
      <c r="IF149" s="185"/>
      <c r="IG149" s="185"/>
      <c r="IH149" s="185"/>
      <c r="II149" s="185"/>
      <c r="IJ149" s="185"/>
      <c r="IK149" s="185"/>
      <c r="IL149" s="185"/>
      <c r="IM149" s="185"/>
      <c r="IN149" s="185"/>
      <c r="IO149" s="185"/>
      <c r="IP149" s="185"/>
      <c r="IQ149" s="185"/>
      <c r="IR149" s="185"/>
      <c r="IS149" s="185"/>
      <c r="IT149" s="185"/>
      <c r="IU149" s="185"/>
      <c r="IV149" s="185"/>
      <c r="IW149" s="185"/>
      <c r="IX149" s="185"/>
      <c r="IY149" s="185"/>
      <c r="IZ149" s="185"/>
      <c r="JA149" s="186"/>
      <c r="JB149" s="184">
        <v>50</v>
      </c>
      <c r="JC149" s="185"/>
      <c r="JD149" s="185"/>
      <c r="JE149" s="185"/>
      <c r="JF149" s="185"/>
      <c r="JG149" s="186"/>
      <c r="JH149" s="52"/>
      <c r="JN149" s="155"/>
      <c r="JR149" s="16"/>
      <c r="KP149" s="152"/>
      <c r="LW149" s="12"/>
      <c r="LX149" s="7"/>
      <c r="LY149" s="3"/>
      <c r="LZ149" s="3"/>
      <c r="MA149" s="3"/>
      <c r="MB149" s="3"/>
      <c r="MC149" s="2"/>
      <c r="MQ149" s="3"/>
      <c r="MR149" s="3"/>
      <c r="MS149" s="3"/>
      <c r="MT149" s="3"/>
      <c r="MU149" s="3"/>
      <c r="MV149" s="2"/>
    </row>
    <row r="150" spans="3:360" ht="5.0999999999999996" customHeight="1" x14ac:dyDescent="0.3">
      <c r="C150" s="11"/>
      <c r="D150" s="13"/>
      <c r="Q150" s="190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2"/>
      <c r="BF150" s="190"/>
      <c r="BG150" s="191"/>
      <c r="BH150" s="191"/>
      <c r="BI150" s="191"/>
      <c r="BJ150" s="192"/>
      <c r="BQ150" s="219"/>
      <c r="BR150" s="220"/>
      <c r="BS150" s="220"/>
      <c r="BT150" s="220"/>
      <c r="BU150" s="220"/>
      <c r="BV150" s="220"/>
      <c r="BW150" s="220"/>
      <c r="BX150" s="220"/>
      <c r="BY150" s="220"/>
      <c r="BZ150" s="220"/>
      <c r="CA150" s="220"/>
      <c r="CB150" s="220"/>
      <c r="CC150" s="220"/>
      <c r="CD150" s="220"/>
      <c r="CE150" s="220"/>
      <c r="CF150" s="220"/>
      <c r="CG150" s="220"/>
      <c r="CH150" s="220"/>
      <c r="CI150" s="220"/>
      <c r="CJ150" s="220"/>
      <c r="CK150" s="220"/>
      <c r="CL150" s="220"/>
      <c r="CM150" s="220"/>
      <c r="CN150" s="220"/>
      <c r="CO150" s="220"/>
      <c r="CP150" s="220"/>
      <c r="CQ150" s="220"/>
      <c r="CR150" s="220"/>
      <c r="CS150" s="220"/>
      <c r="CT150" s="220"/>
      <c r="CU150" s="220"/>
      <c r="CV150" s="220"/>
      <c r="CW150" s="220"/>
      <c r="CX150" s="220"/>
      <c r="CY150" s="220"/>
      <c r="CZ150" s="220"/>
      <c r="DA150" s="220"/>
      <c r="DB150" s="220"/>
      <c r="DC150" s="220"/>
      <c r="DD150" s="221"/>
      <c r="DE150" s="219"/>
      <c r="DF150" s="220"/>
      <c r="DG150" s="220"/>
      <c r="DH150" s="220"/>
      <c r="DI150" s="221"/>
      <c r="DO150" s="219"/>
      <c r="DP150" s="220"/>
      <c r="DQ150" s="220"/>
      <c r="DR150" s="220"/>
      <c r="DS150" s="220"/>
      <c r="DT150" s="220"/>
      <c r="DU150" s="220"/>
      <c r="DV150" s="220"/>
      <c r="DW150" s="220"/>
      <c r="DX150" s="220"/>
      <c r="DY150" s="220"/>
      <c r="DZ150" s="220"/>
      <c r="EA150" s="220"/>
      <c r="EB150" s="220"/>
      <c r="EC150" s="220"/>
      <c r="ED150" s="220"/>
      <c r="EE150" s="220"/>
      <c r="EF150" s="220"/>
      <c r="EG150" s="220"/>
      <c r="EH150" s="220"/>
      <c r="EI150" s="220"/>
      <c r="EJ150" s="220"/>
      <c r="EK150" s="220"/>
      <c r="EL150" s="220"/>
      <c r="EM150" s="220"/>
      <c r="EN150" s="220"/>
      <c r="EO150" s="220"/>
      <c r="EP150" s="220"/>
      <c r="EQ150" s="220"/>
      <c r="ER150" s="220"/>
      <c r="ES150" s="220"/>
      <c r="ET150" s="220"/>
      <c r="EU150" s="220"/>
      <c r="EV150" s="220"/>
      <c r="EW150" s="220"/>
      <c r="EX150" s="220"/>
      <c r="EY150" s="220"/>
      <c r="EZ150" s="220"/>
      <c r="FA150" s="220"/>
      <c r="FB150" s="221"/>
      <c r="FC150" s="219"/>
      <c r="FD150" s="220"/>
      <c r="FE150" s="220"/>
      <c r="FF150" s="220"/>
      <c r="FG150" s="221"/>
      <c r="FL150" s="219"/>
      <c r="FM150" s="220"/>
      <c r="FN150" s="220"/>
      <c r="FO150" s="220"/>
      <c r="FP150" s="220"/>
      <c r="FQ150" s="220"/>
      <c r="FR150" s="220"/>
      <c r="FS150" s="220"/>
      <c r="FT150" s="220"/>
      <c r="FU150" s="220"/>
      <c r="FV150" s="220"/>
      <c r="FW150" s="220"/>
      <c r="FX150" s="220"/>
      <c r="FY150" s="220"/>
      <c r="FZ150" s="220"/>
      <c r="GA150" s="220"/>
      <c r="GB150" s="220"/>
      <c r="GC150" s="220"/>
      <c r="GD150" s="220"/>
      <c r="GE150" s="220"/>
      <c r="GF150" s="220"/>
      <c r="GG150" s="220"/>
      <c r="GH150" s="220"/>
      <c r="GI150" s="220"/>
      <c r="GJ150" s="220"/>
      <c r="GK150" s="220"/>
      <c r="GL150" s="220"/>
      <c r="GM150" s="220"/>
      <c r="GN150" s="220"/>
      <c r="GO150" s="220"/>
      <c r="GP150" s="220"/>
      <c r="GQ150" s="220"/>
      <c r="GR150" s="220"/>
      <c r="GS150" s="220"/>
      <c r="GT150" s="220"/>
      <c r="GU150" s="220"/>
      <c r="GV150" s="220"/>
      <c r="GW150" s="220"/>
      <c r="GX150" s="220"/>
      <c r="GY150" s="221"/>
      <c r="GZ150" s="219"/>
      <c r="HA150" s="220"/>
      <c r="HB150" s="220"/>
      <c r="HC150" s="220"/>
      <c r="HD150" s="221"/>
      <c r="HN150" s="187"/>
      <c r="HO150" s="188"/>
      <c r="HP150" s="188"/>
      <c r="HQ150" s="188"/>
      <c r="HR150" s="188"/>
      <c r="HS150" s="188"/>
      <c r="HT150" s="188"/>
      <c r="HU150" s="188"/>
      <c r="HV150" s="188"/>
      <c r="HW150" s="188"/>
      <c r="HX150" s="188"/>
      <c r="HY150" s="188"/>
      <c r="HZ150" s="188"/>
      <c r="IA150" s="188"/>
      <c r="IB150" s="188"/>
      <c r="IC150" s="188"/>
      <c r="ID150" s="188"/>
      <c r="IE150" s="188"/>
      <c r="IF150" s="188"/>
      <c r="IG150" s="188"/>
      <c r="IH150" s="188"/>
      <c r="II150" s="188"/>
      <c r="IJ150" s="188"/>
      <c r="IK150" s="188"/>
      <c r="IL150" s="188"/>
      <c r="IM150" s="188"/>
      <c r="IN150" s="188"/>
      <c r="IO150" s="188"/>
      <c r="IP150" s="188"/>
      <c r="IQ150" s="188"/>
      <c r="IR150" s="188"/>
      <c r="IS150" s="188"/>
      <c r="IT150" s="188"/>
      <c r="IU150" s="188"/>
      <c r="IV150" s="188"/>
      <c r="IW150" s="188"/>
      <c r="IX150" s="188"/>
      <c r="IY150" s="188"/>
      <c r="IZ150" s="188"/>
      <c r="JA150" s="189"/>
      <c r="JB150" s="187"/>
      <c r="JC150" s="188"/>
      <c r="JD150" s="188"/>
      <c r="JE150" s="188"/>
      <c r="JF150" s="188"/>
      <c r="JG150" s="189"/>
      <c r="JH150" s="19"/>
      <c r="JN150" s="155"/>
      <c r="JR150" s="16"/>
      <c r="JU150" s="184" t="s">
        <v>46</v>
      </c>
      <c r="JV150" s="185"/>
      <c r="JW150" s="185"/>
      <c r="JX150" s="185"/>
      <c r="JY150" s="185"/>
      <c r="JZ150" s="185"/>
      <c r="KA150" s="185"/>
      <c r="KB150" s="185"/>
      <c r="KC150" s="185"/>
      <c r="KD150" s="185"/>
      <c r="KE150" s="185"/>
      <c r="KF150" s="185"/>
      <c r="KG150" s="185"/>
      <c r="KH150" s="185"/>
      <c r="KI150" s="185"/>
      <c r="KJ150" s="185"/>
      <c r="KK150" s="185"/>
      <c r="KL150" s="185"/>
      <c r="KM150" s="185"/>
      <c r="KN150" s="185"/>
      <c r="KO150" s="185"/>
      <c r="KP150" s="185"/>
      <c r="KQ150" s="185"/>
      <c r="KR150" s="185"/>
      <c r="KS150" s="185"/>
      <c r="KT150" s="185"/>
      <c r="KU150" s="185"/>
      <c r="KV150" s="185"/>
      <c r="KW150" s="185"/>
      <c r="KX150" s="185"/>
      <c r="KY150" s="185"/>
      <c r="KZ150" s="185"/>
      <c r="LA150" s="185"/>
      <c r="LB150" s="185"/>
      <c r="LC150" s="185"/>
      <c r="LD150" s="185"/>
      <c r="LE150" s="185"/>
      <c r="LF150" s="185"/>
      <c r="LG150" s="185"/>
      <c r="LH150" s="185"/>
      <c r="LI150" s="186"/>
      <c r="LJ150" s="184">
        <v>2</v>
      </c>
      <c r="LK150" s="185"/>
      <c r="LL150" s="185"/>
      <c r="LM150" s="185"/>
      <c r="LN150" s="186"/>
      <c r="LW150" s="12"/>
      <c r="LX150" s="7"/>
      <c r="LY150" s="3"/>
      <c r="LZ150" s="3"/>
      <c r="MA150" s="3"/>
      <c r="MB150" s="3"/>
      <c r="MC150" s="2"/>
      <c r="MQ150" s="3"/>
      <c r="MR150" s="3"/>
      <c r="MS150" s="3"/>
      <c r="MT150" s="3"/>
      <c r="MU150" s="3"/>
      <c r="MV150" s="2"/>
    </row>
    <row r="151" spans="3:360" ht="5.0999999999999996" customHeight="1" x14ac:dyDescent="0.3">
      <c r="C151" s="11"/>
      <c r="D151" s="13"/>
      <c r="Q151" s="184" t="s">
        <v>45</v>
      </c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6"/>
      <c r="BF151" s="184">
        <v>4</v>
      </c>
      <c r="BG151" s="185"/>
      <c r="BH151" s="185"/>
      <c r="BI151" s="185"/>
      <c r="BJ151" s="186"/>
      <c r="BQ151" s="219"/>
      <c r="BR151" s="220"/>
      <c r="BS151" s="220"/>
      <c r="BT151" s="220"/>
      <c r="BU151" s="220"/>
      <c r="BV151" s="220"/>
      <c r="BW151" s="220"/>
      <c r="BX151" s="220"/>
      <c r="BY151" s="220"/>
      <c r="BZ151" s="220"/>
      <c r="CA151" s="220"/>
      <c r="CB151" s="220"/>
      <c r="CC151" s="220"/>
      <c r="CD151" s="220"/>
      <c r="CE151" s="220"/>
      <c r="CF151" s="220"/>
      <c r="CG151" s="220"/>
      <c r="CH151" s="220"/>
      <c r="CI151" s="220"/>
      <c r="CJ151" s="220"/>
      <c r="CK151" s="220"/>
      <c r="CL151" s="220"/>
      <c r="CM151" s="220"/>
      <c r="CN151" s="220"/>
      <c r="CO151" s="220"/>
      <c r="CP151" s="220"/>
      <c r="CQ151" s="220"/>
      <c r="CR151" s="220"/>
      <c r="CS151" s="220"/>
      <c r="CT151" s="220"/>
      <c r="CU151" s="220"/>
      <c r="CV151" s="220"/>
      <c r="CW151" s="220"/>
      <c r="CX151" s="220"/>
      <c r="CY151" s="220"/>
      <c r="CZ151" s="220"/>
      <c r="DA151" s="220"/>
      <c r="DB151" s="220"/>
      <c r="DC151" s="220"/>
      <c r="DD151" s="221"/>
      <c r="DE151" s="219"/>
      <c r="DF151" s="220"/>
      <c r="DG151" s="220"/>
      <c r="DH151" s="220"/>
      <c r="DI151" s="221"/>
      <c r="DO151" s="219"/>
      <c r="DP151" s="220"/>
      <c r="DQ151" s="220"/>
      <c r="DR151" s="220"/>
      <c r="DS151" s="220"/>
      <c r="DT151" s="220"/>
      <c r="DU151" s="220"/>
      <c r="DV151" s="220"/>
      <c r="DW151" s="220"/>
      <c r="DX151" s="220"/>
      <c r="DY151" s="220"/>
      <c r="DZ151" s="220"/>
      <c r="EA151" s="220"/>
      <c r="EB151" s="220"/>
      <c r="EC151" s="220"/>
      <c r="ED151" s="220"/>
      <c r="EE151" s="220"/>
      <c r="EF151" s="220"/>
      <c r="EG151" s="220"/>
      <c r="EH151" s="220"/>
      <c r="EI151" s="220"/>
      <c r="EJ151" s="220"/>
      <c r="EK151" s="220"/>
      <c r="EL151" s="220"/>
      <c r="EM151" s="220"/>
      <c r="EN151" s="220"/>
      <c r="EO151" s="220"/>
      <c r="EP151" s="220"/>
      <c r="EQ151" s="220"/>
      <c r="ER151" s="220"/>
      <c r="ES151" s="220"/>
      <c r="ET151" s="220"/>
      <c r="EU151" s="220"/>
      <c r="EV151" s="220"/>
      <c r="EW151" s="220"/>
      <c r="EX151" s="220"/>
      <c r="EY151" s="220"/>
      <c r="EZ151" s="220"/>
      <c r="FA151" s="220"/>
      <c r="FB151" s="221"/>
      <c r="FC151" s="219"/>
      <c r="FD151" s="220"/>
      <c r="FE151" s="220"/>
      <c r="FF151" s="220"/>
      <c r="FG151" s="221"/>
      <c r="FL151" s="219"/>
      <c r="FM151" s="220"/>
      <c r="FN151" s="220"/>
      <c r="FO151" s="220"/>
      <c r="FP151" s="220"/>
      <c r="FQ151" s="220"/>
      <c r="FR151" s="220"/>
      <c r="FS151" s="220"/>
      <c r="FT151" s="220"/>
      <c r="FU151" s="220"/>
      <c r="FV151" s="220"/>
      <c r="FW151" s="220"/>
      <c r="FX151" s="220"/>
      <c r="FY151" s="220"/>
      <c r="FZ151" s="220"/>
      <c r="GA151" s="220"/>
      <c r="GB151" s="220"/>
      <c r="GC151" s="220"/>
      <c r="GD151" s="220"/>
      <c r="GE151" s="220"/>
      <c r="GF151" s="220"/>
      <c r="GG151" s="220"/>
      <c r="GH151" s="220"/>
      <c r="GI151" s="220"/>
      <c r="GJ151" s="220"/>
      <c r="GK151" s="220"/>
      <c r="GL151" s="220"/>
      <c r="GM151" s="220"/>
      <c r="GN151" s="220"/>
      <c r="GO151" s="220"/>
      <c r="GP151" s="220"/>
      <c r="GQ151" s="220"/>
      <c r="GR151" s="220"/>
      <c r="GS151" s="220"/>
      <c r="GT151" s="220"/>
      <c r="GU151" s="220"/>
      <c r="GV151" s="220"/>
      <c r="GW151" s="220"/>
      <c r="GX151" s="220"/>
      <c r="GY151" s="221"/>
      <c r="GZ151" s="219"/>
      <c r="HA151" s="220"/>
      <c r="HB151" s="220"/>
      <c r="HC151" s="220"/>
      <c r="HD151" s="221"/>
      <c r="HN151" s="187"/>
      <c r="HO151" s="188"/>
      <c r="HP151" s="188"/>
      <c r="HQ151" s="188"/>
      <c r="HR151" s="188"/>
      <c r="HS151" s="188"/>
      <c r="HT151" s="188"/>
      <c r="HU151" s="188"/>
      <c r="HV151" s="188"/>
      <c r="HW151" s="188"/>
      <c r="HX151" s="188"/>
      <c r="HY151" s="188"/>
      <c r="HZ151" s="188"/>
      <c r="IA151" s="188"/>
      <c r="IB151" s="188"/>
      <c r="IC151" s="188"/>
      <c r="ID151" s="188"/>
      <c r="IE151" s="188"/>
      <c r="IF151" s="188"/>
      <c r="IG151" s="188"/>
      <c r="IH151" s="188"/>
      <c r="II151" s="188"/>
      <c r="IJ151" s="188"/>
      <c r="IK151" s="188"/>
      <c r="IL151" s="188"/>
      <c r="IM151" s="188"/>
      <c r="IN151" s="188"/>
      <c r="IO151" s="188"/>
      <c r="IP151" s="188"/>
      <c r="IQ151" s="188"/>
      <c r="IR151" s="188"/>
      <c r="IS151" s="188"/>
      <c r="IT151" s="188"/>
      <c r="IU151" s="188"/>
      <c r="IV151" s="188"/>
      <c r="IW151" s="188"/>
      <c r="IX151" s="188"/>
      <c r="IY151" s="188"/>
      <c r="IZ151" s="188"/>
      <c r="JA151" s="189"/>
      <c r="JB151" s="187"/>
      <c r="JC151" s="188"/>
      <c r="JD151" s="188"/>
      <c r="JE151" s="188"/>
      <c r="JF151" s="188"/>
      <c r="JG151" s="189"/>
      <c r="JH151" s="19"/>
      <c r="JN151" s="155"/>
      <c r="JR151" s="16"/>
      <c r="JU151" s="187"/>
      <c r="JV151" s="188"/>
      <c r="JW151" s="188"/>
      <c r="JX151" s="188"/>
      <c r="JY151" s="188"/>
      <c r="JZ151" s="188"/>
      <c r="KA151" s="188"/>
      <c r="KB151" s="188"/>
      <c r="KC151" s="188"/>
      <c r="KD151" s="188"/>
      <c r="KE151" s="188"/>
      <c r="KF151" s="188"/>
      <c r="KG151" s="188"/>
      <c r="KH151" s="188"/>
      <c r="KI151" s="188"/>
      <c r="KJ151" s="188"/>
      <c r="KK151" s="188"/>
      <c r="KL151" s="188"/>
      <c r="KM151" s="188"/>
      <c r="KN151" s="188"/>
      <c r="KO151" s="188"/>
      <c r="KP151" s="188"/>
      <c r="KQ151" s="188"/>
      <c r="KR151" s="188"/>
      <c r="KS151" s="188"/>
      <c r="KT151" s="188"/>
      <c r="KU151" s="188"/>
      <c r="KV151" s="188"/>
      <c r="KW151" s="188"/>
      <c r="KX151" s="188"/>
      <c r="KY151" s="188"/>
      <c r="KZ151" s="188"/>
      <c r="LA151" s="188"/>
      <c r="LB151" s="188"/>
      <c r="LC151" s="188"/>
      <c r="LD151" s="188"/>
      <c r="LE151" s="188"/>
      <c r="LF151" s="188"/>
      <c r="LG151" s="188"/>
      <c r="LH151" s="188"/>
      <c r="LI151" s="189"/>
      <c r="LJ151" s="187"/>
      <c r="LK151" s="188"/>
      <c r="LL151" s="188"/>
      <c r="LM151" s="188"/>
      <c r="LN151" s="189"/>
      <c r="LW151" s="12"/>
      <c r="LX151" s="7"/>
      <c r="LY151" s="3"/>
      <c r="LZ151" s="3"/>
      <c r="MA151" s="3"/>
      <c r="MB151" s="3"/>
      <c r="MC151" s="2"/>
      <c r="MQ151" s="3"/>
      <c r="MR151" s="3"/>
      <c r="MS151" s="3"/>
      <c r="MT151" s="3"/>
      <c r="MU151" s="3"/>
      <c r="MV151" s="2"/>
    </row>
    <row r="152" spans="3:360" ht="5.0999999999999996" customHeight="1" x14ac:dyDescent="0.3">
      <c r="C152" s="11"/>
      <c r="D152" s="13"/>
      <c r="Q152" s="187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E152" s="189"/>
      <c r="BF152" s="187"/>
      <c r="BG152" s="188"/>
      <c r="BH152" s="188"/>
      <c r="BI152" s="188"/>
      <c r="BJ152" s="189"/>
      <c r="BQ152" s="219"/>
      <c r="BR152" s="220"/>
      <c r="BS152" s="220"/>
      <c r="BT152" s="220"/>
      <c r="BU152" s="220"/>
      <c r="BV152" s="220"/>
      <c r="BW152" s="220"/>
      <c r="BX152" s="220"/>
      <c r="BY152" s="220"/>
      <c r="BZ152" s="220"/>
      <c r="CA152" s="220"/>
      <c r="CB152" s="220"/>
      <c r="CC152" s="220"/>
      <c r="CD152" s="220"/>
      <c r="CE152" s="220"/>
      <c r="CF152" s="220"/>
      <c r="CG152" s="220"/>
      <c r="CH152" s="220"/>
      <c r="CI152" s="220"/>
      <c r="CJ152" s="220"/>
      <c r="CK152" s="220"/>
      <c r="CL152" s="220"/>
      <c r="CM152" s="220"/>
      <c r="CN152" s="220"/>
      <c r="CO152" s="220"/>
      <c r="CP152" s="220"/>
      <c r="CQ152" s="220"/>
      <c r="CR152" s="220"/>
      <c r="CS152" s="220"/>
      <c r="CT152" s="220"/>
      <c r="CU152" s="220"/>
      <c r="CV152" s="220"/>
      <c r="CW152" s="220"/>
      <c r="CX152" s="220"/>
      <c r="CY152" s="220"/>
      <c r="CZ152" s="220"/>
      <c r="DA152" s="220"/>
      <c r="DB152" s="220"/>
      <c r="DC152" s="220"/>
      <c r="DD152" s="221"/>
      <c r="DE152" s="219"/>
      <c r="DF152" s="220"/>
      <c r="DG152" s="220"/>
      <c r="DH152" s="220"/>
      <c r="DI152" s="221"/>
      <c r="DO152" s="219"/>
      <c r="DP152" s="220"/>
      <c r="DQ152" s="220"/>
      <c r="DR152" s="220"/>
      <c r="DS152" s="220"/>
      <c r="DT152" s="220"/>
      <c r="DU152" s="220"/>
      <c r="DV152" s="220"/>
      <c r="DW152" s="220"/>
      <c r="DX152" s="220"/>
      <c r="DY152" s="220"/>
      <c r="DZ152" s="220"/>
      <c r="EA152" s="220"/>
      <c r="EB152" s="220"/>
      <c r="EC152" s="220"/>
      <c r="ED152" s="220"/>
      <c r="EE152" s="220"/>
      <c r="EF152" s="220"/>
      <c r="EG152" s="220"/>
      <c r="EH152" s="220"/>
      <c r="EI152" s="220"/>
      <c r="EJ152" s="220"/>
      <c r="EK152" s="220"/>
      <c r="EL152" s="220"/>
      <c r="EM152" s="220"/>
      <c r="EN152" s="220"/>
      <c r="EO152" s="220"/>
      <c r="EP152" s="220"/>
      <c r="EQ152" s="220"/>
      <c r="ER152" s="220"/>
      <c r="ES152" s="220"/>
      <c r="ET152" s="220"/>
      <c r="EU152" s="220"/>
      <c r="EV152" s="220"/>
      <c r="EW152" s="220"/>
      <c r="EX152" s="220"/>
      <c r="EY152" s="220"/>
      <c r="EZ152" s="220"/>
      <c r="FA152" s="220"/>
      <c r="FB152" s="221"/>
      <c r="FC152" s="219"/>
      <c r="FD152" s="220"/>
      <c r="FE152" s="220"/>
      <c r="FF152" s="220"/>
      <c r="FG152" s="221"/>
      <c r="FL152" s="219"/>
      <c r="FM152" s="220"/>
      <c r="FN152" s="220"/>
      <c r="FO152" s="220"/>
      <c r="FP152" s="220"/>
      <c r="FQ152" s="220"/>
      <c r="FR152" s="220"/>
      <c r="FS152" s="220"/>
      <c r="FT152" s="220"/>
      <c r="FU152" s="220"/>
      <c r="FV152" s="220"/>
      <c r="FW152" s="220"/>
      <c r="FX152" s="220"/>
      <c r="FY152" s="220"/>
      <c r="FZ152" s="220"/>
      <c r="GA152" s="220"/>
      <c r="GB152" s="220"/>
      <c r="GC152" s="220"/>
      <c r="GD152" s="220"/>
      <c r="GE152" s="220"/>
      <c r="GF152" s="220"/>
      <c r="GG152" s="220"/>
      <c r="GH152" s="220"/>
      <c r="GI152" s="220"/>
      <c r="GJ152" s="220"/>
      <c r="GK152" s="220"/>
      <c r="GL152" s="220"/>
      <c r="GM152" s="220"/>
      <c r="GN152" s="220"/>
      <c r="GO152" s="220"/>
      <c r="GP152" s="220"/>
      <c r="GQ152" s="220"/>
      <c r="GR152" s="220"/>
      <c r="GS152" s="220"/>
      <c r="GT152" s="220"/>
      <c r="GU152" s="220"/>
      <c r="GV152" s="220"/>
      <c r="GW152" s="220"/>
      <c r="GX152" s="220"/>
      <c r="GY152" s="221"/>
      <c r="GZ152" s="219"/>
      <c r="HA152" s="220"/>
      <c r="HB152" s="220"/>
      <c r="HC152" s="220"/>
      <c r="HD152" s="221"/>
      <c r="HN152" s="187"/>
      <c r="HO152" s="188"/>
      <c r="HP152" s="188"/>
      <c r="HQ152" s="188"/>
      <c r="HR152" s="188"/>
      <c r="HS152" s="188"/>
      <c r="HT152" s="188"/>
      <c r="HU152" s="188"/>
      <c r="HV152" s="188"/>
      <c r="HW152" s="188"/>
      <c r="HX152" s="188"/>
      <c r="HY152" s="188"/>
      <c r="HZ152" s="188"/>
      <c r="IA152" s="188"/>
      <c r="IB152" s="188"/>
      <c r="IC152" s="188"/>
      <c r="ID152" s="188"/>
      <c r="IE152" s="188"/>
      <c r="IF152" s="188"/>
      <c r="IG152" s="188"/>
      <c r="IH152" s="188"/>
      <c r="II152" s="188"/>
      <c r="IJ152" s="188"/>
      <c r="IK152" s="188"/>
      <c r="IL152" s="188"/>
      <c r="IM152" s="188"/>
      <c r="IN152" s="188"/>
      <c r="IO152" s="188"/>
      <c r="IP152" s="188"/>
      <c r="IQ152" s="188"/>
      <c r="IR152" s="188"/>
      <c r="IS152" s="188"/>
      <c r="IT152" s="188"/>
      <c r="IU152" s="188"/>
      <c r="IV152" s="188"/>
      <c r="IW152" s="188"/>
      <c r="IX152" s="188"/>
      <c r="IY152" s="188"/>
      <c r="IZ152" s="188"/>
      <c r="JA152" s="189"/>
      <c r="JB152" s="187"/>
      <c r="JC152" s="188"/>
      <c r="JD152" s="188"/>
      <c r="JE152" s="188"/>
      <c r="JF152" s="188"/>
      <c r="JG152" s="189"/>
      <c r="JH152" s="19"/>
      <c r="JN152" s="155"/>
      <c r="JR152" s="16"/>
      <c r="JU152" s="187"/>
      <c r="JV152" s="188"/>
      <c r="JW152" s="188"/>
      <c r="JX152" s="188"/>
      <c r="JY152" s="188"/>
      <c r="JZ152" s="188"/>
      <c r="KA152" s="188"/>
      <c r="KB152" s="188"/>
      <c r="KC152" s="188"/>
      <c r="KD152" s="188"/>
      <c r="KE152" s="188"/>
      <c r="KF152" s="188"/>
      <c r="KG152" s="188"/>
      <c r="KH152" s="188"/>
      <c r="KI152" s="188"/>
      <c r="KJ152" s="188"/>
      <c r="KK152" s="188"/>
      <c r="KL152" s="188"/>
      <c r="KM152" s="188"/>
      <c r="KN152" s="188"/>
      <c r="KO152" s="188"/>
      <c r="KP152" s="188"/>
      <c r="KQ152" s="188"/>
      <c r="KR152" s="188"/>
      <c r="KS152" s="188"/>
      <c r="KT152" s="188"/>
      <c r="KU152" s="188"/>
      <c r="KV152" s="188"/>
      <c r="KW152" s="188"/>
      <c r="KX152" s="188"/>
      <c r="KY152" s="188"/>
      <c r="KZ152" s="188"/>
      <c r="LA152" s="188"/>
      <c r="LB152" s="188"/>
      <c r="LC152" s="188"/>
      <c r="LD152" s="188"/>
      <c r="LE152" s="188"/>
      <c r="LF152" s="188"/>
      <c r="LG152" s="188"/>
      <c r="LH152" s="188"/>
      <c r="LI152" s="189"/>
      <c r="LJ152" s="187"/>
      <c r="LK152" s="188"/>
      <c r="LL152" s="188"/>
      <c r="LM152" s="188"/>
      <c r="LN152" s="189"/>
      <c r="LW152" s="12"/>
      <c r="LX152" s="7"/>
      <c r="LY152" s="3"/>
      <c r="LZ152" s="3"/>
      <c r="MA152" s="3"/>
      <c r="MB152" s="3"/>
      <c r="MC152" s="2"/>
      <c r="MQ152" s="3"/>
      <c r="MR152" s="3"/>
      <c r="MS152" s="3"/>
      <c r="MT152" s="3"/>
      <c r="MU152" s="3"/>
      <c r="MV152" s="2"/>
    </row>
    <row r="153" spans="3:360" ht="5.0999999999999996" customHeight="1" x14ac:dyDescent="0.3">
      <c r="C153" s="11"/>
      <c r="D153" s="13"/>
      <c r="Q153" s="187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E153" s="189"/>
      <c r="BF153" s="187"/>
      <c r="BG153" s="188"/>
      <c r="BH153" s="188"/>
      <c r="BI153" s="188"/>
      <c r="BJ153" s="189"/>
      <c r="BQ153" s="219"/>
      <c r="BR153" s="220"/>
      <c r="BS153" s="220"/>
      <c r="BT153" s="220"/>
      <c r="BU153" s="220"/>
      <c r="BV153" s="220"/>
      <c r="BW153" s="220"/>
      <c r="BX153" s="220"/>
      <c r="BY153" s="220"/>
      <c r="BZ153" s="220"/>
      <c r="CA153" s="220"/>
      <c r="CB153" s="220"/>
      <c r="CC153" s="220"/>
      <c r="CD153" s="220"/>
      <c r="CE153" s="220"/>
      <c r="CF153" s="220"/>
      <c r="CG153" s="220"/>
      <c r="CH153" s="220"/>
      <c r="CI153" s="220"/>
      <c r="CJ153" s="220"/>
      <c r="CK153" s="220"/>
      <c r="CL153" s="220"/>
      <c r="CM153" s="220"/>
      <c r="CN153" s="220"/>
      <c r="CO153" s="220"/>
      <c r="CP153" s="220"/>
      <c r="CQ153" s="220"/>
      <c r="CR153" s="220"/>
      <c r="CS153" s="220"/>
      <c r="CT153" s="220"/>
      <c r="CU153" s="220"/>
      <c r="CV153" s="220"/>
      <c r="CW153" s="220"/>
      <c r="CX153" s="220"/>
      <c r="CY153" s="220"/>
      <c r="CZ153" s="220"/>
      <c r="DA153" s="220"/>
      <c r="DB153" s="220"/>
      <c r="DC153" s="220"/>
      <c r="DD153" s="221"/>
      <c r="DE153" s="219"/>
      <c r="DF153" s="220"/>
      <c r="DG153" s="220"/>
      <c r="DH153" s="220"/>
      <c r="DI153" s="221"/>
      <c r="DO153" s="219"/>
      <c r="DP153" s="220"/>
      <c r="DQ153" s="220"/>
      <c r="DR153" s="220"/>
      <c r="DS153" s="220"/>
      <c r="DT153" s="220"/>
      <c r="DU153" s="220"/>
      <c r="DV153" s="220"/>
      <c r="DW153" s="220"/>
      <c r="DX153" s="220"/>
      <c r="DY153" s="220"/>
      <c r="DZ153" s="220"/>
      <c r="EA153" s="220"/>
      <c r="EB153" s="220"/>
      <c r="EC153" s="220"/>
      <c r="ED153" s="220"/>
      <c r="EE153" s="220"/>
      <c r="EF153" s="220"/>
      <c r="EG153" s="220"/>
      <c r="EH153" s="220"/>
      <c r="EI153" s="220"/>
      <c r="EJ153" s="220"/>
      <c r="EK153" s="220"/>
      <c r="EL153" s="220"/>
      <c r="EM153" s="220"/>
      <c r="EN153" s="220"/>
      <c r="EO153" s="220"/>
      <c r="EP153" s="220"/>
      <c r="EQ153" s="220"/>
      <c r="ER153" s="220"/>
      <c r="ES153" s="220"/>
      <c r="ET153" s="220"/>
      <c r="EU153" s="220"/>
      <c r="EV153" s="220"/>
      <c r="EW153" s="220"/>
      <c r="EX153" s="220"/>
      <c r="EY153" s="220"/>
      <c r="EZ153" s="220"/>
      <c r="FA153" s="220"/>
      <c r="FB153" s="221"/>
      <c r="FC153" s="219"/>
      <c r="FD153" s="220"/>
      <c r="FE153" s="220"/>
      <c r="FF153" s="220"/>
      <c r="FG153" s="221"/>
      <c r="FL153" s="219"/>
      <c r="FM153" s="220"/>
      <c r="FN153" s="220"/>
      <c r="FO153" s="220"/>
      <c r="FP153" s="220"/>
      <c r="FQ153" s="220"/>
      <c r="FR153" s="220"/>
      <c r="FS153" s="220"/>
      <c r="FT153" s="220"/>
      <c r="FU153" s="220"/>
      <c r="FV153" s="220"/>
      <c r="FW153" s="220"/>
      <c r="FX153" s="220"/>
      <c r="FY153" s="220"/>
      <c r="FZ153" s="220"/>
      <c r="GA153" s="220"/>
      <c r="GB153" s="220"/>
      <c r="GC153" s="220"/>
      <c r="GD153" s="220"/>
      <c r="GE153" s="220"/>
      <c r="GF153" s="220"/>
      <c r="GG153" s="220"/>
      <c r="GH153" s="220"/>
      <c r="GI153" s="220"/>
      <c r="GJ153" s="220"/>
      <c r="GK153" s="220"/>
      <c r="GL153" s="220"/>
      <c r="GM153" s="220"/>
      <c r="GN153" s="220"/>
      <c r="GO153" s="220"/>
      <c r="GP153" s="220"/>
      <c r="GQ153" s="220"/>
      <c r="GR153" s="220"/>
      <c r="GS153" s="220"/>
      <c r="GT153" s="220"/>
      <c r="GU153" s="220"/>
      <c r="GV153" s="220"/>
      <c r="GW153" s="220"/>
      <c r="GX153" s="220"/>
      <c r="GY153" s="221"/>
      <c r="GZ153" s="219"/>
      <c r="HA153" s="220"/>
      <c r="HB153" s="220"/>
      <c r="HC153" s="220"/>
      <c r="HD153" s="221"/>
      <c r="HN153" s="187"/>
      <c r="HO153" s="188"/>
      <c r="HP153" s="188"/>
      <c r="HQ153" s="188"/>
      <c r="HR153" s="188"/>
      <c r="HS153" s="188"/>
      <c r="HT153" s="188"/>
      <c r="HU153" s="188"/>
      <c r="HV153" s="188"/>
      <c r="HW153" s="188"/>
      <c r="HX153" s="188"/>
      <c r="HY153" s="188"/>
      <c r="HZ153" s="188"/>
      <c r="IA153" s="188"/>
      <c r="IB153" s="188"/>
      <c r="IC153" s="188"/>
      <c r="ID153" s="188"/>
      <c r="IE153" s="188"/>
      <c r="IF153" s="188"/>
      <c r="IG153" s="188"/>
      <c r="IH153" s="188"/>
      <c r="II153" s="188"/>
      <c r="IJ153" s="188"/>
      <c r="IK153" s="188"/>
      <c r="IL153" s="188"/>
      <c r="IM153" s="188"/>
      <c r="IN153" s="188"/>
      <c r="IO153" s="188"/>
      <c r="IP153" s="188"/>
      <c r="IQ153" s="188"/>
      <c r="IR153" s="188"/>
      <c r="IS153" s="188"/>
      <c r="IT153" s="188"/>
      <c r="IU153" s="188"/>
      <c r="IV153" s="188"/>
      <c r="IW153" s="188"/>
      <c r="IX153" s="188"/>
      <c r="IY153" s="188"/>
      <c r="IZ153" s="188"/>
      <c r="JA153" s="189"/>
      <c r="JB153" s="187"/>
      <c r="JC153" s="188"/>
      <c r="JD153" s="188"/>
      <c r="JE153" s="188"/>
      <c r="JF153" s="188"/>
      <c r="JG153" s="189"/>
      <c r="JH153" s="19"/>
      <c r="JN153" s="155"/>
      <c r="JR153" s="16"/>
      <c r="JU153" s="187"/>
      <c r="JV153" s="188"/>
      <c r="JW153" s="188"/>
      <c r="JX153" s="188"/>
      <c r="JY153" s="188"/>
      <c r="JZ153" s="188"/>
      <c r="KA153" s="188"/>
      <c r="KB153" s="188"/>
      <c r="KC153" s="188"/>
      <c r="KD153" s="188"/>
      <c r="KE153" s="188"/>
      <c r="KF153" s="188"/>
      <c r="KG153" s="188"/>
      <c r="KH153" s="188"/>
      <c r="KI153" s="188"/>
      <c r="KJ153" s="188"/>
      <c r="KK153" s="188"/>
      <c r="KL153" s="188"/>
      <c r="KM153" s="188"/>
      <c r="KN153" s="188"/>
      <c r="KO153" s="188"/>
      <c r="KP153" s="188"/>
      <c r="KQ153" s="188"/>
      <c r="KR153" s="188"/>
      <c r="KS153" s="188"/>
      <c r="KT153" s="188"/>
      <c r="KU153" s="188"/>
      <c r="KV153" s="188"/>
      <c r="KW153" s="188"/>
      <c r="KX153" s="188"/>
      <c r="KY153" s="188"/>
      <c r="KZ153" s="188"/>
      <c r="LA153" s="188"/>
      <c r="LB153" s="188"/>
      <c r="LC153" s="188"/>
      <c r="LD153" s="188"/>
      <c r="LE153" s="188"/>
      <c r="LF153" s="188"/>
      <c r="LG153" s="188"/>
      <c r="LH153" s="188"/>
      <c r="LI153" s="189"/>
      <c r="LJ153" s="187"/>
      <c r="LK153" s="188"/>
      <c r="LL153" s="188"/>
      <c r="LM153" s="188"/>
      <c r="LN153" s="189"/>
      <c r="LW153" s="12"/>
      <c r="LX153" s="7"/>
      <c r="LY153" s="3"/>
      <c r="LZ153" s="3"/>
      <c r="MA153" s="3"/>
      <c r="MB153" s="3"/>
      <c r="MC153" s="2"/>
      <c r="MQ153" s="3"/>
      <c r="MR153" s="3"/>
      <c r="MS153" s="3"/>
      <c r="MT153" s="3"/>
      <c r="MU153" s="3"/>
      <c r="MV153" s="2"/>
    </row>
    <row r="154" spans="3:360" ht="5.0999999999999996" customHeight="1" x14ac:dyDescent="0.3">
      <c r="C154" s="11"/>
      <c r="D154" s="13"/>
      <c r="Q154" s="187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E154" s="189"/>
      <c r="BF154" s="187"/>
      <c r="BG154" s="188"/>
      <c r="BH154" s="188"/>
      <c r="BI154" s="188"/>
      <c r="BJ154" s="189"/>
      <c r="BQ154" s="219"/>
      <c r="BR154" s="220"/>
      <c r="BS154" s="220"/>
      <c r="BT154" s="220"/>
      <c r="BU154" s="220"/>
      <c r="BV154" s="220"/>
      <c r="BW154" s="220"/>
      <c r="BX154" s="220"/>
      <c r="BY154" s="220"/>
      <c r="BZ154" s="220"/>
      <c r="CA154" s="220"/>
      <c r="CB154" s="220"/>
      <c r="CC154" s="220"/>
      <c r="CD154" s="220"/>
      <c r="CE154" s="220"/>
      <c r="CF154" s="220"/>
      <c r="CG154" s="220"/>
      <c r="CH154" s="220"/>
      <c r="CI154" s="220"/>
      <c r="CJ154" s="220"/>
      <c r="CK154" s="220"/>
      <c r="CL154" s="220"/>
      <c r="CM154" s="220"/>
      <c r="CN154" s="220"/>
      <c r="CO154" s="220"/>
      <c r="CP154" s="220"/>
      <c r="CQ154" s="220"/>
      <c r="CR154" s="220"/>
      <c r="CS154" s="220"/>
      <c r="CT154" s="220"/>
      <c r="CU154" s="220"/>
      <c r="CV154" s="220"/>
      <c r="CW154" s="220"/>
      <c r="CX154" s="220"/>
      <c r="CY154" s="220"/>
      <c r="CZ154" s="220"/>
      <c r="DA154" s="220"/>
      <c r="DB154" s="220"/>
      <c r="DC154" s="220"/>
      <c r="DD154" s="221"/>
      <c r="DE154" s="219"/>
      <c r="DF154" s="220"/>
      <c r="DG154" s="220"/>
      <c r="DH154" s="220"/>
      <c r="DI154" s="221"/>
      <c r="DO154" s="219"/>
      <c r="DP154" s="220"/>
      <c r="DQ154" s="220"/>
      <c r="DR154" s="220"/>
      <c r="DS154" s="220"/>
      <c r="DT154" s="220"/>
      <c r="DU154" s="220"/>
      <c r="DV154" s="220"/>
      <c r="DW154" s="220"/>
      <c r="DX154" s="220"/>
      <c r="DY154" s="220"/>
      <c r="DZ154" s="220"/>
      <c r="EA154" s="220"/>
      <c r="EB154" s="220"/>
      <c r="EC154" s="220"/>
      <c r="ED154" s="220"/>
      <c r="EE154" s="220"/>
      <c r="EF154" s="220"/>
      <c r="EG154" s="220"/>
      <c r="EH154" s="220"/>
      <c r="EI154" s="220"/>
      <c r="EJ154" s="220"/>
      <c r="EK154" s="220"/>
      <c r="EL154" s="220"/>
      <c r="EM154" s="220"/>
      <c r="EN154" s="220"/>
      <c r="EO154" s="220"/>
      <c r="EP154" s="220"/>
      <c r="EQ154" s="220"/>
      <c r="ER154" s="220"/>
      <c r="ES154" s="220"/>
      <c r="ET154" s="220"/>
      <c r="EU154" s="220"/>
      <c r="EV154" s="220"/>
      <c r="EW154" s="220"/>
      <c r="EX154" s="220"/>
      <c r="EY154" s="220"/>
      <c r="EZ154" s="220"/>
      <c r="FA154" s="220"/>
      <c r="FB154" s="221"/>
      <c r="FC154" s="219"/>
      <c r="FD154" s="220"/>
      <c r="FE154" s="220"/>
      <c r="FF154" s="220"/>
      <c r="FG154" s="221"/>
      <c r="FL154" s="219"/>
      <c r="FM154" s="220"/>
      <c r="FN154" s="220"/>
      <c r="FO154" s="220"/>
      <c r="FP154" s="220"/>
      <c r="FQ154" s="220"/>
      <c r="FR154" s="220"/>
      <c r="FS154" s="220"/>
      <c r="FT154" s="220"/>
      <c r="FU154" s="220"/>
      <c r="FV154" s="220"/>
      <c r="FW154" s="220"/>
      <c r="FX154" s="220"/>
      <c r="FY154" s="220"/>
      <c r="FZ154" s="220"/>
      <c r="GA154" s="220"/>
      <c r="GB154" s="220"/>
      <c r="GC154" s="220"/>
      <c r="GD154" s="220"/>
      <c r="GE154" s="220"/>
      <c r="GF154" s="220"/>
      <c r="GG154" s="220"/>
      <c r="GH154" s="220"/>
      <c r="GI154" s="220"/>
      <c r="GJ154" s="220"/>
      <c r="GK154" s="220"/>
      <c r="GL154" s="220"/>
      <c r="GM154" s="220"/>
      <c r="GN154" s="220"/>
      <c r="GO154" s="220"/>
      <c r="GP154" s="220"/>
      <c r="GQ154" s="220"/>
      <c r="GR154" s="220"/>
      <c r="GS154" s="220"/>
      <c r="GT154" s="220"/>
      <c r="GU154" s="220"/>
      <c r="GV154" s="220"/>
      <c r="GW154" s="220"/>
      <c r="GX154" s="220"/>
      <c r="GY154" s="221"/>
      <c r="GZ154" s="219"/>
      <c r="HA154" s="220"/>
      <c r="HB154" s="220"/>
      <c r="HC154" s="220"/>
      <c r="HD154" s="221"/>
      <c r="HN154" s="187"/>
      <c r="HO154" s="188"/>
      <c r="HP154" s="188"/>
      <c r="HQ154" s="188"/>
      <c r="HR154" s="188"/>
      <c r="HS154" s="188"/>
      <c r="HT154" s="188"/>
      <c r="HU154" s="188"/>
      <c r="HV154" s="188"/>
      <c r="HW154" s="188"/>
      <c r="HX154" s="188"/>
      <c r="HY154" s="188"/>
      <c r="HZ154" s="188"/>
      <c r="IA154" s="188"/>
      <c r="IB154" s="188"/>
      <c r="IC154" s="188"/>
      <c r="ID154" s="188"/>
      <c r="IE154" s="188"/>
      <c r="IF154" s="188"/>
      <c r="IG154" s="188"/>
      <c r="IH154" s="188"/>
      <c r="II154" s="188"/>
      <c r="IJ154" s="188"/>
      <c r="IK154" s="188"/>
      <c r="IL154" s="188"/>
      <c r="IM154" s="188"/>
      <c r="IN154" s="188"/>
      <c r="IO154" s="188"/>
      <c r="IP154" s="188"/>
      <c r="IQ154" s="188"/>
      <c r="IR154" s="188"/>
      <c r="IS154" s="188"/>
      <c r="IT154" s="188"/>
      <c r="IU154" s="188"/>
      <c r="IV154" s="188"/>
      <c r="IW154" s="188"/>
      <c r="IX154" s="188"/>
      <c r="IY154" s="188"/>
      <c r="IZ154" s="188"/>
      <c r="JA154" s="189"/>
      <c r="JB154" s="187"/>
      <c r="JC154" s="188"/>
      <c r="JD154" s="188"/>
      <c r="JE154" s="188"/>
      <c r="JF154" s="188"/>
      <c r="JG154" s="189"/>
      <c r="JH154" s="19"/>
      <c r="JN154" s="155"/>
      <c r="JR154" s="16"/>
      <c r="JU154" s="187"/>
      <c r="JV154" s="188"/>
      <c r="JW154" s="188"/>
      <c r="JX154" s="188"/>
      <c r="JY154" s="188"/>
      <c r="JZ154" s="188"/>
      <c r="KA154" s="188"/>
      <c r="KB154" s="188"/>
      <c r="KC154" s="188"/>
      <c r="KD154" s="188"/>
      <c r="KE154" s="188"/>
      <c r="KF154" s="188"/>
      <c r="KG154" s="188"/>
      <c r="KH154" s="188"/>
      <c r="KI154" s="188"/>
      <c r="KJ154" s="188"/>
      <c r="KK154" s="188"/>
      <c r="KL154" s="188"/>
      <c r="KM154" s="188"/>
      <c r="KN154" s="188"/>
      <c r="KO154" s="188"/>
      <c r="KP154" s="188"/>
      <c r="KQ154" s="188"/>
      <c r="KR154" s="188"/>
      <c r="KS154" s="188"/>
      <c r="KT154" s="188"/>
      <c r="KU154" s="188"/>
      <c r="KV154" s="188"/>
      <c r="KW154" s="188"/>
      <c r="KX154" s="188"/>
      <c r="KY154" s="188"/>
      <c r="KZ154" s="188"/>
      <c r="LA154" s="188"/>
      <c r="LB154" s="188"/>
      <c r="LC154" s="188"/>
      <c r="LD154" s="188"/>
      <c r="LE154" s="188"/>
      <c r="LF154" s="188"/>
      <c r="LG154" s="188"/>
      <c r="LH154" s="188"/>
      <c r="LI154" s="189"/>
      <c r="LJ154" s="187"/>
      <c r="LK154" s="188"/>
      <c r="LL154" s="188"/>
      <c r="LM154" s="188"/>
      <c r="LN154" s="189"/>
      <c r="LW154" s="12"/>
      <c r="LX154" s="7"/>
      <c r="LY154" s="3"/>
      <c r="LZ154" s="3"/>
      <c r="MA154" s="3"/>
      <c r="MB154" s="3"/>
      <c r="MC154" s="2"/>
      <c r="MQ154" s="3"/>
      <c r="MR154" s="3"/>
      <c r="MS154" s="3"/>
      <c r="MT154" s="3"/>
      <c r="MU154" s="3"/>
      <c r="MV154" s="2"/>
    </row>
    <row r="155" spans="3:360" ht="5.0999999999999996" customHeight="1" x14ac:dyDescent="0.3">
      <c r="C155" s="11"/>
      <c r="D155" s="13"/>
      <c r="Q155" s="187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9"/>
      <c r="BF155" s="187"/>
      <c r="BG155" s="188"/>
      <c r="BH155" s="188"/>
      <c r="BI155" s="188"/>
      <c r="BJ155" s="189"/>
      <c r="BQ155" s="219"/>
      <c r="BR155" s="220"/>
      <c r="BS155" s="220"/>
      <c r="BT155" s="220"/>
      <c r="BU155" s="220"/>
      <c r="BV155" s="220"/>
      <c r="BW155" s="220"/>
      <c r="BX155" s="220"/>
      <c r="BY155" s="220"/>
      <c r="BZ155" s="220"/>
      <c r="CA155" s="220"/>
      <c r="CB155" s="220"/>
      <c r="CC155" s="220"/>
      <c r="CD155" s="220"/>
      <c r="CE155" s="220"/>
      <c r="CF155" s="220"/>
      <c r="CG155" s="220"/>
      <c r="CH155" s="220"/>
      <c r="CI155" s="220"/>
      <c r="CJ155" s="220"/>
      <c r="CK155" s="220"/>
      <c r="CL155" s="220"/>
      <c r="CM155" s="220"/>
      <c r="CN155" s="220"/>
      <c r="CO155" s="220"/>
      <c r="CP155" s="220"/>
      <c r="CQ155" s="220"/>
      <c r="CR155" s="220"/>
      <c r="CS155" s="220"/>
      <c r="CT155" s="220"/>
      <c r="CU155" s="220"/>
      <c r="CV155" s="220"/>
      <c r="CW155" s="220"/>
      <c r="CX155" s="220"/>
      <c r="CY155" s="220"/>
      <c r="CZ155" s="220"/>
      <c r="DA155" s="220"/>
      <c r="DB155" s="220"/>
      <c r="DC155" s="220"/>
      <c r="DD155" s="221"/>
      <c r="DE155" s="219"/>
      <c r="DF155" s="220"/>
      <c r="DG155" s="220"/>
      <c r="DH155" s="220"/>
      <c r="DI155" s="221"/>
      <c r="DO155" s="219"/>
      <c r="DP155" s="220"/>
      <c r="DQ155" s="220"/>
      <c r="DR155" s="220"/>
      <c r="DS155" s="220"/>
      <c r="DT155" s="220"/>
      <c r="DU155" s="220"/>
      <c r="DV155" s="220"/>
      <c r="DW155" s="220"/>
      <c r="DX155" s="220"/>
      <c r="DY155" s="220"/>
      <c r="DZ155" s="220"/>
      <c r="EA155" s="220"/>
      <c r="EB155" s="220"/>
      <c r="EC155" s="220"/>
      <c r="ED155" s="220"/>
      <c r="EE155" s="220"/>
      <c r="EF155" s="220"/>
      <c r="EG155" s="220"/>
      <c r="EH155" s="220"/>
      <c r="EI155" s="220"/>
      <c r="EJ155" s="220"/>
      <c r="EK155" s="220"/>
      <c r="EL155" s="220"/>
      <c r="EM155" s="220"/>
      <c r="EN155" s="220"/>
      <c r="EO155" s="220"/>
      <c r="EP155" s="220"/>
      <c r="EQ155" s="220"/>
      <c r="ER155" s="220"/>
      <c r="ES155" s="220"/>
      <c r="ET155" s="220"/>
      <c r="EU155" s="220"/>
      <c r="EV155" s="220"/>
      <c r="EW155" s="220"/>
      <c r="EX155" s="220"/>
      <c r="EY155" s="220"/>
      <c r="EZ155" s="220"/>
      <c r="FA155" s="220"/>
      <c r="FB155" s="221"/>
      <c r="FC155" s="219"/>
      <c r="FD155" s="220"/>
      <c r="FE155" s="220"/>
      <c r="FF155" s="220"/>
      <c r="FG155" s="221"/>
      <c r="FL155" s="219"/>
      <c r="FM155" s="220"/>
      <c r="FN155" s="220"/>
      <c r="FO155" s="220"/>
      <c r="FP155" s="220"/>
      <c r="FQ155" s="220"/>
      <c r="FR155" s="220"/>
      <c r="FS155" s="220"/>
      <c r="FT155" s="220"/>
      <c r="FU155" s="220"/>
      <c r="FV155" s="220"/>
      <c r="FW155" s="220"/>
      <c r="FX155" s="220"/>
      <c r="FY155" s="220"/>
      <c r="FZ155" s="220"/>
      <c r="GA155" s="220"/>
      <c r="GB155" s="220"/>
      <c r="GC155" s="220"/>
      <c r="GD155" s="220"/>
      <c r="GE155" s="220"/>
      <c r="GF155" s="220"/>
      <c r="GG155" s="220"/>
      <c r="GH155" s="220"/>
      <c r="GI155" s="220"/>
      <c r="GJ155" s="220"/>
      <c r="GK155" s="220"/>
      <c r="GL155" s="220"/>
      <c r="GM155" s="220"/>
      <c r="GN155" s="220"/>
      <c r="GO155" s="220"/>
      <c r="GP155" s="220"/>
      <c r="GQ155" s="220"/>
      <c r="GR155" s="220"/>
      <c r="GS155" s="220"/>
      <c r="GT155" s="220"/>
      <c r="GU155" s="220"/>
      <c r="GV155" s="220"/>
      <c r="GW155" s="220"/>
      <c r="GX155" s="220"/>
      <c r="GY155" s="221"/>
      <c r="GZ155" s="219"/>
      <c r="HA155" s="220"/>
      <c r="HB155" s="220"/>
      <c r="HC155" s="220"/>
      <c r="HD155" s="221"/>
      <c r="HN155" s="187"/>
      <c r="HO155" s="188"/>
      <c r="HP155" s="188"/>
      <c r="HQ155" s="188"/>
      <c r="HR155" s="188"/>
      <c r="HS155" s="188"/>
      <c r="HT155" s="188"/>
      <c r="HU155" s="188"/>
      <c r="HV155" s="188"/>
      <c r="HW155" s="188"/>
      <c r="HX155" s="188"/>
      <c r="HY155" s="188"/>
      <c r="HZ155" s="188"/>
      <c r="IA155" s="188"/>
      <c r="IB155" s="188"/>
      <c r="IC155" s="188"/>
      <c r="ID155" s="188"/>
      <c r="IE155" s="188"/>
      <c r="IF155" s="188"/>
      <c r="IG155" s="188"/>
      <c r="IH155" s="188"/>
      <c r="II155" s="188"/>
      <c r="IJ155" s="188"/>
      <c r="IK155" s="188"/>
      <c r="IL155" s="188"/>
      <c r="IM155" s="188"/>
      <c r="IN155" s="188"/>
      <c r="IO155" s="188"/>
      <c r="IP155" s="188"/>
      <c r="IQ155" s="188"/>
      <c r="IR155" s="188"/>
      <c r="IS155" s="188"/>
      <c r="IT155" s="188"/>
      <c r="IU155" s="188"/>
      <c r="IV155" s="188"/>
      <c r="IW155" s="188"/>
      <c r="IX155" s="188"/>
      <c r="IY155" s="188"/>
      <c r="IZ155" s="188"/>
      <c r="JA155" s="189"/>
      <c r="JB155" s="187"/>
      <c r="JC155" s="188"/>
      <c r="JD155" s="188"/>
      <c r="JE155" s="188"/>
      <c r="JF155" s="188"/>
      <c r="JG155" s="189"/>
      <c r="JH155" s="19"/>
      <c r="JN155" s="155"/>
      <c r="JR155" s="16"/>
      <c r="JU155" s="187"/>
      <c r="JV155" s="188"/>
      <c r="JW155" s="188"/>
      <c r="JX155" s="188"/>
      <c r="JY155" s="188"/>
      <c r="JZ155" s="188"/>
      <c r="KA155" s="188"/>
      <c r="KB155" s="188"/>
      <c r="KC155" s="188"/>
      <c r="KD155" s="188"/>
      <c r="KE155" s="188"/>
      <c r="KF155" s="188"/>
      <c r="KG155" s="188"/>
      <c r="KH155" s="188"/>
      <c r="KI155" s="188"/>
      <c r="KJ155" s="188"/>
      <c r="KK155" s="188"/>
      <c r="KL155" s="188"/>
      <c r="KM155" s="188"/>
      <c r="KN155" s="188"/>
      <c r="KO155" s="188"/>
      <c r="KP155" s="188"/>
      <c r="KQ155" s="188"/>
      <c r="KR155" s="188"/>
      <c r="KS155" s="188"/>
      <c r="KT155" s="188"/>
      <c r="KU155" s="188"/>
      <c r="KV155" s="188"/>
      <c r="KW155" s="188"/>
      <c r="KX155" s="188"/>
      <c r="KY155" s="188"/>
      <c r="KZ155" s="188"/>
      <c r="LA155" s="188"/>
      <c r="LB155" s="188"/>
      <c r="LC155" s="188"/>
      <c r="LD155" s="188"/>
      <c r="LE155" s="188"/>
      <c r="LF155" s="188"/>
      <c r="LG155" s="188"/>
      <c r="LH155" s="188"/>
      <c r="LI155" s="189"/>
      <c r="LJ155" s="187"/>
      <c r="LK155" s="188"/>
      <c r="LL155" s="188"/>
      <c r="LM155" s="188"/>
      <c r="LN155" s="189"/>
      <c r="LW155" s="12"/>
      <c r="LX155" s="7"/>
      <c r="LY155" s="3"/>
      <c r="LZ155" s="3"/>
      <c r="MA155" s="3"/>
      <c r="MB155" s="3"/>
      <c r="MC155" s="2"/>
      <c r="MQ155" s="3"/>
      <c r="MR155" s="3"/>
      <c r="MS155" s="3"/>
      <c r="MT155" s="3"/>
      <c r="MU155" s="3"/>
      <c r="MV155" s="2"/>
    </row>
    <row r="156" spans="3:360" ht="5.0999999999999996" customHeight="1" x14ac:dyDescent="0.3">
      <c r="C156" s="11"/>
      <c r="D156" s="13"/>
      <c r="Q156" s="187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E156" s="189"/>
      <c r="BF156" s="187"/>
      <c r="BG156" s="188"/>
      <c r="BH156" s="188"/>
      <c r="BI156" s="188"/>
      <c r="BJ156" s="189"/>
      <c r="BQ156" s="222"/>
      <c r="BR156" s="223"/>
      <c r="BS156" s="223"/>
      <c r="BT156" s="223"/>
      <c r="BU156" s="223"/>
      <c r="BV156" s="223"/>
      <c r="BW156" s="223"/>
      <c r="BX156" s="223"/>
      <c r="BY156" s="223"/>
      <c r="BZ156" s="223"/>
      <c r="CA156" s="223"/>
      <c r="CB156" s="223"/>
      <c r="CC156" s="223"/>
      <c r="CD156" s="223"/>
      <c r="CE156" s="223"/>
      <c r="CF156" s="223"/>
      <c r="CG156" s="223"/>
      <c r="CH156" s="223"/>
      <c r="CI156" s="223"/>
      <c r="CJ156" s="223"/>
      <c r="CK156" s="223"/>
      <c r="CL156" s="223"/>
      <c r="CM156" s="223"/>
      <c r="CN156" s="223"/>
      <c r="CO156" s="223"/>
      <c r="CP156" s="223"/>
      <c r="CQ156" s="223"/>
      <c r="CR156" s="223"/>
      <c r="CS156" s="223"/>
      <c r="CT156" s="223"/>
      <c r="CU156" s="223"/>
      <c r="CV156" s="223"/>
      <c r="CW156" s="223"/>
      <c r="CX156" s="223"/>
      <c r="CY156" s="223"/>
      <c r="CZ156" s="223"/>
      <c r="DA156" s="223"/>
      <c r="DB156" s="223"/>
      <c r="DC156" s="223"/>
      <c r="DD156" s="224"/>
      <c r="DE156" s="222"/>
      <c r="DF156" s="223"/>
      <c r="DG156" s="223"/>
      <c r="DH156" s="223"/>
      <c r="DI156" s="224"/>
      <c r="DO156" s="222"/>
      <c r="DP156" s="223"/>
      <c r="DQ156" s="223"/>
      <c r="DR156" s="223"/>
      <c r="DS156" s="223"/>
      <c r="DT156" s="223"/>
      <c r="DU156" s="223"/>
      <c r="DV156" s="223"/>
      <c r="DW156" s="223"/>
      <c r="DX156" s="223"/>
      <c r="DY156" s="223"/>
      <c r="DZ156" s="223"/>
      <c r="EA156" s="223"/>
      <c r="EB156" s="223"/>
      <c r="EC156" s="223"/>
      <c r="ED156" s="223"/>
      <c r="EE156" s="223"/>
      <c r="EF156" s="223"/>
      <c r="EG156" s="223"/>
      <c r="EH156" s="223"/>
      <c r="EI156" s="223"/>
      <c r="EJ156" s="223"/>
      <c r="EK156" s="223"/>
      <c r="EL156" s="223"/>
      <c r="EM156" s="223"/>
      <c r="EN156" s="223"/>
      <c r="EO156" s="223"/>
      <c r="EP156" s="223"/>
      <c r="EQ156" s="223"/>
      <c r="ER156" s="223"/>
      <c r="ES156" s="223"/>
      <c r="ET156" s="223"/>
      <c r="EU156" s="223"/>
      <c r="EV156" s="223"/>
      <c r="EW156" s="223"/>
      <c r="EX156" s="223"/>
      <c r="EY156" s="223"/>
      <c r="EZ156" s="223"/>
      <c r="FA156" s="223"/>
      <c r="FB156" s="224"/>
      <c r="FC156" s="222"/>
      <c r="FD156" s="223"/>
      <c r="FE156" s="223"/>
      <c r="FF156" s="223"/>
      <c r="FG156" s="224"/>
      <c r="FL156" s="222"/>
      <c r="FM156" s="223"/>
      <c r="FN156" s="223"/>
      <c r="FO156" s="223"/>
      <c r="FP156" s="223"/>
      <c r="FQ156" s="223"/>
      <c r="FR156" s="223"/>
      <c r="FS156" s="223"/>
      <c r="FT156" s="223"/>
      <c r="FU156" s="223"/>
      <c r="FV156" s="223"/>
      <c r="FW156" s="223"/>
      <c r="FX156" s="223"/>
      <c r="FY156" s="223"/>
      <c r="FZ156" s="223"/>
      <c r="GA156" s="223"/>
      <c r="GB156" s="223"/>
      <c r="GC156" s="223"/>
      <c r="GD156" s="223"/>
      <c r="GE156" s="223"/>
      <c r="GF156" s="223"/>
      <c r="GG156" s="223"/>
      <c r="GH156" s="223"/>
      <c r="GI156" s="223"/>
      <c r="GJ156" s="223"/>
      <c r="GK156" s="223"/>
      <c r="GL156" s="223"/>
      <c r="GM156" s="223"/>
      <c r="GN156" s="223"/>
      <c r="GO156" s="223"/>
      <c r="GP156" s="223"/>
      <c r="GQ156" s="223"/>
      <c r="GR156" s="223"/>
      <c r="GS156" s="223"/>
      <c r="GT156" s="223"/>
      <c r="GU156" s="223"/>
      <c r="GV156" s="223"/>
      <c r="GW156" s="223"/>
      <c r="GX156" s="223"/>
      <c r="GY156" s="224"/>
      <c r="GZ156" s="222"/>
      <c r="HA156" s="223"/>
      <c r="HB156" s="223"/>
      <c r="HC156" s="223"/>
      <c r="HD156" s="224"/>
      <c r="HN156" s="187"/>
      <c r="HO156" s="188"/>
      <c r="HP156" s="188"/>
      <c r="HQ156" s="188"/>
      <c r="HR156" s="188"/>
      <c r="HS156" s="188"/>
      <c r="HT156" s="188"/>
      <c r="HU156" s="188"/>
      <c r="HV156" s="188"/>
      <c r="HW156" s="188"/>
      <c r="HX156" s="188"/>
      <c r="HY156" s="188"/>
      <c r="HZ156" s="188"/>
      <c r="IA156" s="188"/>
      <c r="IB156" s="188"/>
      <c r="IC156" s="188"/>
      <c r="ID156" s="188"/>
      <c r="IE156" s="188"/>
      <c r="IF156" s="188"/>
      <c r="IG156" s="188"/>
      <c r="IH156" s="188"/>
      <c r="II156" s="188"/>
      <c r="IJ156" s="188"/>
      <c r="IK156" s="188"/>
      <c r="IL156" s="188"/>
      <c r="IM156" s="188"/>
      <c r="IN156" s="188"/>
      <c r="IO156" s="188"/>
      <c r="IP156" s="188"/>
      <c r="IQ156" s="188"/>
      <c r="IR156" s="188"/>
      <c r="IS156" s="188"/>
      <c r="IT156" s="188"/>
      <c r="IU156" s="188"/>
      <c r="IV156" s="188"/>
      <c r="IW156" s="188"/>
      <c r="IX156" s="188"/>
      <c r="IY156" s="188"/>
      <c r="IZ156" s="188"/>
      <c r="JA156" s="189"/>
      <c r="JB156" s="187"/>
      <c r="JC156" s="188"/>
      <c r="JD156" s="188"/>
      <c r="JE156" s="188"/>
      <c r="JF156" s="188"/>
      <c r="JG156" s="189"/>
      <c r="JH156" s="19"/>
      <c r="JN156" s="155"/>
      <c r="JR156" s="16"/>
      <c r="JU156" s="187"/>
      <c r="JV156" s="188"/>
      <c r="JW156" s="188"/>
      <c r="JX156" s="188"/>
      <c r="JY156" s="188"/>
      <c r="JZ156" s="188"/>
      <c r="KA156" s="188"/>
      <c r="KB156" s="188"/>
      <c r="KC156" s="188"/>
      <c r="KD156" s="188"/>
      <c r="KE156" s="188"/>
      <c r="KF156" s="188"/>
      <c r="KG156" s="188"/>
      <c r="KH156" s="188"/>
      <c r="KI156" s="188"/>
      <c r="KJ156" s="188"/>
      <c r="KK156" s="188"/>
      <c r="KL156" s="188"/>
      <c r="KM156" s="188"/>
      <c r="KN156" s="188"/>
      <c r="KO156" s="188"/>
      <c r="KP156" s="188"/>
      <c r="KQ156" s="188"/>
      <c r="KR156" s="188"/>
      <c r="KS156" s="188"/>
      <c r="KT156" s="188"/>
      <c r="KU156" s="188"/>
      <c r="KV156" s="188"/>
      <c r="KW156" s="188"/>
      <c r="KX156" s="188"/>
      <c r="KY156" s="188"/>
      <c r="KZ156" s="188"/>
      <c r="LA156" s="188"/>
      <c r="LB156" s="188"/>
      <c r="LC156" s="188"/>
      <c r="LD156" s="188"/>
      <c r="LE156" s="188"/>
      <c r="LF156" s="188"/>
      <c r="LG156" s="188"/>
      <c r="LH156" s="188"/>
      <c r="LI156" s="189"/>
      <c r="LJ156" s="187"/>
      <c r="LK156" s="188"/>
      <c r="LL156" s="188"/>
      <c r="LM156" s="188"/>
      <c r="LN156" s="189"/>
      <c r="LW156" s="12"/>
      <c r="LX156" s="7"/>
      <c r="LY156" s="3"/>
      <c r="LZ156" s="3"/>
      <c r="MA156" s="3"/>
      <c r="MB156" s="3"/>
      <c r="MC156" s="2"/>
      <c r="MQ156" s="3"/>
      <c r="MR156" s="3"/>
      <c r="MS156" s="3"/>
      <c r="MT156" s="3"/>
      <c r="MU156" s="3"/>
      <c r="MV156" s="2"/>
    </row>
    <row r="157" spans="3:360" ht="5.0999999999999996" customHeight="1" x14ac:dyDescent="0.3">
      <c r="C157" s="11"/>
      <c r="D157" s="13"/>
      <c r="Q157" s="187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E157" s="189"/>
      <c r="BF157" s="187"/>
      <c r="BG157" s="188"/>
      <c r="BH157" s="188"/>
      <c r="BI157" s="188"/>
      <c r="BJ157" s="189"/>
      <c r="CN157" s="17"/>
      <c r="CO157" s="18"/>
      <c r="EL157" s="17"/>
      <c r="EM157" s="18"/>
      <c r="GI157" s="17"/>
      <c r="HN157" s="187"/>
      <c r="HO157" s="188"/>
      <c r="HP157" s="188"/>
      <c r="HQ157" s="188"/>
      <c r="HR157" s="188"/>
      <c r="HS157" s="188"/>
      <c r="HT157" s="188"/>
      <c r="HU157" s="188"/>
      <c r="HV157" s="188"/>
      <c r="HW157" s="188"/>
      <c r="HX157" s="188"/>
      <c r="HY157" s="188"/>
      <c r="HZ157" s="188"/>
      <c r="IA157" s="188"/>
      <c r="IB157" s="188"/>
      <c r="IC157" s="188"/>
      <c r="ID157" s="188"/>
      <c r="IE157" s="188"/>
      <c r="IF157" s="188"/>
      <c r="IG157" s="188"/>
      <c r="IH157" s="188"/>
      <c r="II157" s="188"/>
      <c r="IJ157" s="188"/>
      <c r="IK157" s="188"/>
      <c r="IL157" s="188"/>
      <c r="IM157" s="188"/>
      <c r="IN157" s="188"/>
      <c r="IO157" s="188"/>
      <c r="IP157" s="188"/>
      <c r="IQ157" s="188"/>
      <c r="IR157" s="188"/>
      <c r="IS157" s="188"/>
      <c r="IT157" s="188"/>
      <c r="IU157" s="188"/>
      <c r="IV157" s="188"/>
      <c r="IW157" s="188"/>
      <c r="IX157" s="188"/>
      <c r="IY157" s="188"/>
      <c r="IZ157" s="188"/>
      <c r="JA157" s="189"/>
      <c r="JB157" s="187"/>
      <c r="JC157" s="188"/>
      <c r="JD157" s="188"/>
      <c r="JE157" s="188"/>
      <c r="JF157" s="188"/>
      <c r="JG157" s="189"/>
      <c r="JH157" s="19"/>
      <c r="JN157" s="155"/>
      <c r="JR157" s="16"/>
      <c r="JU157" s="187"/>
      <c r="JV157" s="188"/>
      <c r="JW157" s="188"/>
      <c r="JX157" s="188"/>
      <c r="JY157" s="188"/>
      <c r="JZ157" s="188"/>
      <c r="KA157" s="188"/>
      <c r="KB157" s="188"/>
      <c r="KC157" s="188"/>
      <c r="KD157" s="188"/>
      <c r="KE157" s="188"/>
      <c r="KF157" s="188"/>
      <c r="KG157" s="188"/>
      <c r="KH157" s="188"/>
      <c r="KI157" s="188"/>
      <c r="KJ157" s="188"/>
      <c r="KK157" s="188"/>
      <c r="KL157" s="188"/>
      <c r="KM157" s="188"/>
      <c r="KN157" s="188"/>
      <c r="KO157" s="188"/>
      <c r="KP157" s="188"/>
      <c r="KQ157" s="188"/>
      <c r="KR157" s="188"/>
      <c r="KS157" s="188"/>
      <c r="KT157" s="188"/>
      <c r="KU157" s="188"/>
      <c r="KV157" s="188"/>
      <c r="KW157" s="188"/>
      <c r="KX157" s="188"/>
      <c r="KY157" s="188"/>
      <c r="KZ157" s="188"/>
      <c r="LA157" s="188"/>
      <c r="LB157" s="188"/>
      <c r="LC157" s="188"/>
      <c r="LD157" s="188"/>
      <c r="LE157" s="188"/>
      <c r="LF157" s="188"/>
      <c r="LG157" s="188"/>
      <c r="LH157" s="188"/>
      <c r="LI157" s="189"/>
      <c r="LJ157" s="187"/>
      <c r="LK157" s="188"/>
      <c r="LL157" s="188"/>
      <c r="LM157" s="188"/>
      <c r="LN157" s="189"/>
      <c r="LW157" s="12"/>
      <c r="LX157" s="7"/>
      <c r="LY157" s="3"/>
      <c r="LZ157" s="3"/>
      <c r="MA157" s="3"/>
      <c r="MB157" s="3"/>
      <c r="MC157" s="2"/>
      <c r="MQ157" s="3"/>
      <c r="MR157" s="3"/>
      <c r="MS157" s="3"/>
      <c r="MT157" s="3"/>
      <c r="MU157" s="3"/>
      <c r="MV157" s="2"/>
    </row>
    <row r="158" spans="3:360" ht="5.0999999999999996" customHeight="1" x14ac:dyDescent="0.3">
      <c r="C158" s="11"/>
      <c r="D158" s="13"/>
      <c r="Q158" s="187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9"/>
      <c r="BF158" s="187"/>
      <c r="BG158" s="188"/>
      <c r="BH158" s="188"/>
      <c r="BI158" s="188"/>
      <c r="BJ158" s="189"/>
      <c r="CN158" s="16"/>
      <c r="EL158" s="16"/>
      <c r="GI158" s="16"/>
      <c r="HN158" s="190"/>
      <c r="HO158" s="191"/>
      <c r="HP158" s="191"/>
      <c r="HQ158" s="191"/>
      <c r="HR158" s="191"/>
      <c r="HS158" s="191"/>
      <c r="HT158" s="191"/>
      <c r="HU158" s="191"/>
      <c r="HV158" s="191"/>
      <c r="HW158" s="191"/>
      <c r="HX158" s="191"/>
      <c r="HY158" s="191"/>
      <c r="HZ158" s="191"/>
      <c r="IA158" s="191"/>
      <c r="IB158" s="191"/>
      <c r="IC158" s="191"/>
      <c r="ID158" s="191"/>
      <c r="IE158" s="191"/>
      <c r="IF158" s="191"/>
      <c r="IG158" s="191"/>
      <c r="IH158" s="191"/>
      <c r="II158" s="191"/>
      <c r="IJ158" s="191"/>
      <c r="IK158" s="191"/>
      <c r="IL158" s="191"/>
      <c r="IM158" s="191"/>
      <c r="IN158" s="191"/>
      <c r="IO158" s="191"/>
      <c r="IP158" s="191"/>
      <c r="IQ158" s="191"/>
      <c r="IR158" s="191"/>
      <c r="IS158" s="191"/>
      <c r="IT158" s="191"/>
      <c r="IU158" s="191"/>
      <c r="IV158" s="191"/>
      <c r="IW158" s="191"/>
      <c r="IX158" s="191"/>
      <c r="IY158" s="191"/>
      <c r="IZ158" s="191"/>
      <c r="JA158" s="192"/>
      <c r="JB158" s="190"/>
      <c r="JC158" s="191"/>
      <c r="JD158" s="191"/>
      <c r="JE158" s="191"/>
      <c r="JF158" s="191"/>
      <c r="JG158" s="192"/>
      <c r="JH158" s="19"/>
      <c r="JN158" s="155"/>
      <c r="JR158" s="16"/>
      <c r="JU158" s="187"/>
      <c r="JV158" s="188"/>
      <c r="JW158" s="188"/>
      <c r="JX158" s="188"/>
      <c r="JY158" s="188"/>
      <c r="JZ158" s="188"/>
      <c r="KA158" s="188"/>
      <c r="KB158" s="188"/>
      <c r="KC158" s="188"/>
      <c r="KD158" s="188"/>
      <c r="KE158" s="188"/>
      <c r="KF158" s="188"/>
      <c r="KG158" s="188"/>
      <c r="KH158" s="188"/>
      <c r="KI158" s="188"/>
      <c r="KJ158" s="188"/>
      <c r="KK158" s="188"/>
      <c r="KL158" s="188"/>
      <c r="KM158" s="188"/>
      <c r="KN158" s="188"/>
      <c r="KO158" s="188"/>
      <c r="KP158" s="188"/>
      <c r="KQ158" s="188"/>
      <c r="KR158" s="188"/>
      <c r="KS158" s="188"/>
      <c r="KT158" s="188"/>
      <c r="KU158" s="188"/>
      <c r="KV158" s="188"/>
      <c r="KW158" s="188"/>
      <c r="KX158" s="188"/>
      <c r="KY158" s="188"/>
      <c r="KZ158" s="188"/>
      <c r="LA158" s="188"/>
      <c r="LB158" s="188"/>
      <c r="LC158" s="188"/>
      <c r="LD158" s="188"/>
      <c r="LE158" s="188"/>
      <c r="LF158" s="188"/>
      <c r="LG158" s="188"/>
      <c r="LH158" s="188"/>
      <c r="LI158" s="189"/>
      <c r="LJ158" s="187"/>
      <c r="LK158" s="188"/>
      <c r="LL158" s="188"/>
      <c r="LM158" s="188"/>
      <c r="LN158" s="189"/>
      <c r="LW158" s="12"/>
      <c r="LX158" s="7"/>
      <c r="LY158" s="3"/>
      <c r="LZ158" s="3"/>
      <c r="MA158" s="3"/>
      <c r="MB158" s="3"/>
      <c r="MC158" s="2"/>
      <c r="MQ158" s="3"/>
      <c r="MR158" s="3"/>
      <c r="MS158" s="3"/>
      <c r="MT158" s="3"/>
      <c r="MU158" s="3"/>
      <c r="MV158" s="2"/>
    </row>
    <row r="159" spans="3:360" ht="5.0999999999999996" customHeight="1" x14ac:dyDescent="0.3">
      <c r="C159" s="11"/>
      <c r="D159" s="13"/>
      <c r="Q159" s="187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9"/>
      <c r="BF159" s="187"/>
      <c r="BG159" s="188"/>
      <c r="BH159" s="188"/>
      <c r="BI159" s="188"/>
      <c r="BJ159" s="189"/>
      <c r="CN159" s="16"/>
      <c r="EL159" s="16"/>
      <c r="GI159" s="16"/>
      <c r="JH159" s="19"/>
      <c r="JN159" s="155"/>
      <c r="JR159" s="16"/>
      <c r="JU159" s="190"/>
      <c r="JV159" s="191"/>
      <c r="JW159" s="191"/>
      <c r="JX159" s="191"/>
      <c r="JY159" s="191"/>
      <c r="JZ159" s="191"/>
      <c r="KA159" s="191"/>
      <c r="KB159" s="191"/>
      <c r="KC159" s="191"/>
      <c r="KD159" s="191"/>
      <c r="KE159" s="191"/>
      <c r="KF159" s="191"/>
      <c r="KG159" s="191"/>
      <c r="KH159" s="191"/>
      <c r="KI159" s="191"/>
      <c r="KJ159" s="191"/>
      <c r="KK159" s="191"/>
      <c r="KL159" s="191"/>
      <c r="KM159" s="191"/>
      <c r="KN159" s="191"/>
      <c r="KO159" s="191"/>
      <c r="KP159" s="191"/>
      <c r="KQ159" s="191"/>
      <c r="KR159" s="191"/>
      <c r="KS159" s="191"/>
      <c r="KT159" s="191"/>
      <c r="KU159" s="191"/>
      <c r="KV159" s="191"/>
      <c r="KW159" s="191"/>
      <c r="KX159" s="191"/>
      <c r="KY159" s="191"/>
      <c r="KZ159" s="191"/>
      <c r="LA159" s="191"/>
      <c r="LB159" s="191"/>
      <c r="LC159" s="191"/>
      <c r="LD159" s="191"/>
      <c r="LE159" s="191"/>
      <c r="LF159" s="191"/>
      <c r="LG159" s="191"/>
      <c r="LH159" s="191"/>
      <c r="LI159" s="192"/>
      <c r="LJ159" s="190"/>
      <c r="LK159" s="191"/>
      <c r="LL159" s="191"/>
      <c r="LM159" s="191"/>
      <c r="LN159" s="192"/>
      <c r="LW159" s="12"/>
      <c r="LX159" s="7"/>
      <c r="LY159" s="3"/>
      <c r="LZ159" s="3"/>
      <c r="MA159" s="3"/>
      <c r="MB159" s="3"/>
      <c r="MC159" s="2"/>
      <c r="MQ159" s="3"/>
      <c r="MR159" s="3"/>
      <c r="MS159" s="3"/>
      <c r="MT159" s="3"/>
      <c r="MU159" s="3"/>
      <c r="MV159" s="2"/>
    </row>
    <row r="160" spans="3:360" ht="5.0999999999999996" customHeight="1" x14ac:dyDescent="0.3">
      <c r="C160" s="11"/>
      <c r="D160" s="13"/>
      <c r="Q160" s="190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2"/>
      <c r="BF160" s="190"/>
      <c r="BG160" s="191"/>
      <c r="BH160" s="191"/>
      <c r="BI160" s="191"/>
      <c r="BJ160" s="192"/>
      <c r="CN160" s="15"/>
      <c r="CO160" s="9"/>
      <c r="EL160" s="15"/>
      <c r="EM160" s="9"/>
      <c r="GI160" s="15"/>
      <c r="JH160" s="19"/>
      <c r="JN160" s="155"/>
      <c r="JR160" s="16"/>
      <c r="JU160" s="184" t="s">
        <v>45</v>
      </c>
      <c r="JV160" s="185"/>
      <c r="JW160" s="185"/>
      <c r="JX160" s="185"/>
      <c r="JY160" s="185"/>
      <c r="JZ160" s="185"/>
      <c r="KA160" s="185"/>
      <c r="KB160" s="185"/>
      <c r="KC160" s="185"/>
      <c r="KD160" s="185"/>
      <c r="KE160" s="185"/>
      <c r="KF160" s="185"/>
      <c r="KG160" s="185"/>
      <c r="KH160" s="185"/>
      <c r="KI160" s="185"/>
      <c r="KJ160" s="185"/>
      <c r="KK160" s="185"/>
      <c r="KL160" s="185"/>
      <c r="KM160" s="185"/>
      <c r="KN160" s="185"/>
      <c r="KO160" s="185"/>
      <c r="KP160" s="185"/>
      <c r="KQ160" s="185"/>
      <c r="KR160" s="185"/>
      <c r="KS160" s="185"/>
      <c r="KT160" s="185"/>
      <c r="KU160" s="185"/>
      <c r="KV160" s="185"/>
      <c r="KW160" s="185"/>
      <c r="KX160" s="185"/>
      <c r="KY160" s="185"/>
      <c r="KZ160" s="185"/>
      <c r="LA160" s="185"/>
      <c r="LB160" s="185"/>
      <c r="LC160" s="185"/>
      <c r="LD160" s="185"/>
      <c r="LE160" s="185"/>
      <c r="LF160" s="185"/>
      <c r="LG160" s="185"/>
      <c r="LH160" s="185"/>
      <c r="LI160" s="186"/>
      <c r="LJ160" s="184">
        <v>2</v>
      </c>
      <c r="LK160" s="185"/>
      <c r="LL160" s="185"/>
      <c r="LM160" s="185"/>
      <c r="LN160" s="186"/>
      <c r="LW160" s="12"/>
      <c r="LX160" s="7"/>
      <c r="LY160" s="3"/>
      <c r="LZ160" s="3"/>
      <c r="MA160" s="3"/>
      <c r="MB160" s="3"/>
      <c r="MC160" s="2"/>
      <c r="MQ160" s="3"/>
      <c r="MR160" s="3"/>
      <c r="MS160" s="3"/>
      <c r="MT160" s="3"/>
      <c r="MU160" s="3"/>
      <c r="MV160" s="2"/>
    </row>
    <row r="161" spans="3:360" ht="5.0999999999999996" customHeight="1" x14ac:dyDescent="0.3">
      <c r="C161" s="11"/>
      <c r="D161" s="13"/>
      <c r="Q161" s="184" t="s">
        <v>44</v>
      </c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6"/>
      <c r="BF161" s="184">
        <v>2</v>
      </c>
      <c r="BG161" s="185"/>
      <c r="BH161" s="185"/>
      <c r="BI161" s="185"/>
      <c r="BJ161" s="186"/>
      <c r="BQ161" s="184" t="s">
        <v>66</v>
      </c>
      <c r="BR161" s="185"/>
      <c r="BS161" s="185"/>
      <c r="BT161" s="185"/>
      <c r="BU161" s="185"/>
      <c r="BV161" s="185"/>
      <c r="BW161" s="185"/>
      <c r="BX161" s="185"/>
      <c r="BY161" s="185"/>
      <c r="BZ161" s="185"/>
      <c r="CA161" s="185"/>
      <c r="CB161" s="185"/>
      <c r="CC161" s="185"/>
      <c r="CD161" s="185"/>
      <c r="CE161" s="185"/>
      <c r="CF161" s="185"/>
      <c r="CG161" s="185"/>
      <c r="CH161" s="185"/>
      <c r="CI161" s="185"/>
      <c r="CJ161" s="185"/>
      <c r="CK161" s="185"/>
      <c r="CL161" s="185"/>
      <c r="CM161" s="185"/>
      <c r="CN161" s="185"/>
      <c r="CO161" s="185"/>
      <c r="CP161" s="185"/>
      <c r="CQ161" s="185"/>
      <c r="CR161" s="185"/>
      <c r="CS161" s="185"/>
      <c r="CT161" s="185"/>
      <c r="CU161" s="185"/>
      <c r="CV161" s="185"/>
      <c r="CW161" s="185"/>
      <c r="CX161" s="185"/>
      <c r="CY161" s="185"/>
      <c r="CZ161" s="185"/>
      <c r="DA161" s="185"/>
      <c r="DB161" s="185"/>
      <c r="DC161" s="185">
        <v>4</v>
      </c>
      <c r="DD161" s="186"/>
      <c r="DE161" s="184">
        <v>3</v>
      </c>
      <c r="DF161" s="185"/>
      <c r="DG161" s="185"/>
      <c r="DH161" s="185"/>
      <c r="DI161" s="186"/>
      <c r="DO161" s="184" t="s">
        <v>51</v>
      </c>
      <c r="DP161" s="185"/>
      <c r="DQ161" s="185"/>
      <c r="DR161" s="185"/>
      <c r="DS161" s="185"/>
      <c r="DT161" s="185"/>
      <c r="DU161" s="185"/>
      <c r="DV161" s="185"/>
      <c r="DW161" s="185"/>
      <c r="DX161" s="185"/>
      <c r="DY161" s="185"/>
      <c r="DZ161" s="185"/>
      <c r="EA161" s="185"/>
      <c r="EB161" s="185"/>
      <c r="EC161" s="185"/>
      <c r="ED161" s="185"/>
      <c r="EE161" s="185"/>
      <c r="EF161" s="185"/>
      <c r="EG161" s="185"/>
      <c r="EH161" s="185"/>
      <c r="EI161" s="185"/>
      <c r="EJ161" s="185"/>
      <c r="EK161" s="185"/>
      <c r="EL161" s="185"/>
      <c r="EM161" s="185"/>
      <c r="EN161" s="185"/>
      <c r="EO161" s="185"/>
      <c r="EP161" s="185"/>
      <c r="EQ161" s="185"/>
      <c r="ER161" s="185"/>
      <c r="ES161" s="185"/>
      <c r="ET161" s="185"/>
      <c r="EU161" s="185"/>
      <c r="EV161" s="185"/>
      <c r="EW161" s="185"/>
      <c r="EX161" s="185"/>
      <c r="EY161" s="185"/>
      <c r="EZ161" s="185"/>
      <c r="FA161" s="185">
        <v>1</v>
      </c>
      <c r="FB161" s="186"/>
      <c r="FC161" s="184">
        <v>1</v>
      </c>
      <c r="FD161" s="185"/>
      <c r="FE161" s="185"/>
      <c r="FF161" s="185"/>
      <c r="FG161" s="186"/>
      <c r="FL161" s="184" t="s">
        <v>76</v>
      </c>
      <c r="FM161" s="185"/>
      <c r="FN161" s="185"/>
      <c r="FO161" s="185"/>
      <c r="FP161" s="185"/>
      <c r="FQ161" s="185"/>
      <c r="FR161" s="185"/>
      <c r="FS161" s="185"/>
      <c r="FT161" s="185"/>
      <c r="FU161" s="185"/>
      <c r="FV161" s="185"/>
      <c r="FW161" s="185"/>
      <c r="FX161" s="185"/>
      <c r="FY161" s="185"/>
      <c r="FZ161" s="185"/>
      <c r="GA161" s="185"/>
      <c r="GB161" s="185"/>
      <c r="GC161" s="185"/>
      <c r="GD161" s="185"/>
      <c r="GE161" s="185"/>
      <c r="GF161" s="185"/>
      <c r="GG161" s="185"/>
      <c r="GH161" s="185"/>
      <c r="GI161" s="185"/>
      <c r="GJ161" s="185"/>
      <c r="GK161" s="185"/>
      <c r="GL161" s="185"/>
      <c r="GM161" s="185"/>
      <c r="GN161" s="185"/>
      <c r="GO161" s="185"/>
      <c r="GP161" s="185"/>
      <c r="GQ161" s="185"/>
      <c r="GR161" s="185"/>
      <c r="GS161" s="185"/>
      <c r="GT161" s="185"/>
      <c r="GU161" s="185"/>
      <c r="GV161" s="185"/>
      <c r="GW161" s="185"/>
      <c r="GX161" s="185"/>
      <c r="GY161" s="186"/>
      <c r="GZ161" s="184">
        <v>1</v>
      </c>
      <c r="HA161" s="185"/>
      <c r="HB161" s="185"/>
      <c r="HC161" s="185"/>
      <c r="HD161" s="186"/>
      <c r="HN161" s="195" t="s">
        <v>36</v>
      </c>
      <c r="HO161" s="196"/>
      <c r="HP161" s="196"/>
      <c r="HQ161" s="196"/>
      <c r="HR161" s="196"/>
      <c r="HS161" s="196"/>
      <c r="HT161" s="196"/>
      <c r="HU161" s="196"/>
      <c r="HV161" s="196"/>
      <c r="HW161" s="196"/>
      <c r="HX161" s="196"/>
      <c r="HY161" s="196"/>
      <c r="HZ161" s="196"/>
      <c r="IA161" s="196"/>
      <c r="IB161" s="196"/>
      <c r="IC161" s="196"/>
      <c r="ID161" s="196"/>
      <c r="IE161" s="196"/>
      <c r="IF161" s="196"/>
      <c r="IG161" s="196"/>
      <c r="IH161" s="196"/>
      <c r="II161" s="196"/>
      <c r="IJ161" s="196"/>
      <c r="IK161" s="196"/>
      <c r="IL161" s="196"/>
      <c r="IM161" s="196"/>
      <c r="IN161" s="196"/>
      <c r="IO161" s="196"/>
      <c r="IP161" s="196"/>
      <c r="IQ161" s="196"/>
      <c r="IR161" s="196"/>
      <c r="IS161" s="196"/>
      <c r="IT161" s="196"/>
      <c r="IU161" s="196"/>
      <c r="IV161" s="196"/>
      <c r="IW161" s="196"/>
      <c r="IX161" s="196"/>
      <c r="IY161" s="196"/>
      <c r="IZ161" s="196"/>
      <c r="JA161" s="196"/>
      <c r="JB161" s="204">
        <f>JB171</f>
        <v>1</v>
      </c>
      <c r="JC161" s="204"/>
      <c r="JD161" s="204"/>
      <c r="JE161" s="204"/>
      <c r="JF161" s="204"/>
      <c r="JG161" s="204"/>
      <c r="JH161" s="19"/>
      <c r="JN161" s="155"/>
      <c r="JR161" s="16"/>
      <c r="JU161" s="187"/>
      <c r="JV161" s="188"/>
      <c r="JW161" s="188"/>
      <c r="JX161" s="188"/>
      <c r="JY161" s="188"/>
      <c r="JZ161" s="188"/>
      <c r="KA161" s="188"/>
      <c r="KB161" s="188"/>
      <c r="KC161" s="188"/>
      <c r="KD161" s="188"/>
      <c r="KE161" s="188"/>
      <c r="KF161" s="188"/>
      <c r="KG161" s="188"/>
      <c r="KH161" s="188"/>
      <c r="KI161" s="188"/>
      <c r="KJ161" s="188"/>
      <c r="KK161" s="188"/>
      <c r="KL161" s="188"/>
      <c r="KM161" s="188"/>
      <c r="KN161" s="188"/>
      <c r="KO161" s="188"/>
      <c r="KP161" s="188"/>
      <c r="KQ161" s="188"/>
      <c r="KR161" s="188"/>
      <c r="KS161" s="188"/>
      <c r="KT161" s="188"/>
      <c r="KU161" s="188"/>
      <c r="KV161" s="188"/>
      <c r="KW161" s="188"/>
      <c r="KX161" s="188"/>
      <c r="KY161" s="188"/>
      <c r="KZ161" s="188"/>
      <c r="LA161" s="188"/>
      <c r="LB161" s="188"/>
      <c r="LC161" s="188"/>
      <c r="LD161" s="188"/>
      <c r="LE161" s="188"/>
      <c r="LF161" s="188"/>
      <c r="LG161" s="188"/>
      <c r="LH161" s="188"/>
      <c r="LI161" s="189"/>
      <c r="LJ161" s="187"/>
      <c r="LK161" s="188"/>
      <c r="LL161" s="188"/>
      <c r="LM161" s="188"/>
      <c r="LN161" s="189"/>
      <c r="LW161" s="12"/>
      <c r="LX161" s="7"/>
      <c r="LY161" s="3"/>
      <c r="LZ161" s="3"/>
      <c r="MA161" s="3"/>
      <c r="MB161" s="3"/>
      <c r="MC161" s="2"/>
      <c r="MQ161" s="3"/>
      <c r="MR161" s="3"/>
      <c r="MS161" s="3"/>
      <c r="MT161" s="3"/>
      <c r="MU161" s="3"/>
      <c r="MV161" s="2"/>
    </row>
    <row r="162" spans="3:360" ht="5.0999999999999996" customHeight="1" x14ac:dyDescent="0.3">
      <c r="C162" s="11"/>
      <c r="D162" s="13"/>
      <c r="Q162" s="187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E162" s="189"/>
      <c r="BF162" s="187"/>
      <c r="BG162" s="188"/>
      <c r="BH162" s="188"/>
      <c r="BI162" s="188"/>
      <c r="BJ162" s="189"/>
      <c r="BQ162" s="187"/>
      <c r="BR162" s="188"/>
      <c r="BS162" s="188"/>
      <c r="BT162" s="188"/>
      <c r="BU162" s="188"/>
      <c r="BV162" s="188"/>
      <c r="BW162" s="188"/>
      <c r="BX162" s="188"/>
      <c r="BY162" s="188"/>
      <c r="BZ162" s="188"/>
      <c r="CA162" s="188"/>
      <c r="CB162" s="188"/>
      <c r="CC162" s="188"/>
      <c r="CD162" s="188"/>
      <c r="CE162" s="188"/>
      <c r="CF162" s="188"/>
      <c r="CG162" s="188"/>
      <c r="CH162" s="188"/>
      <c r="CI162" s="188"/>
      <c r="CJ162" s="188"/>
      <c r="CK162" s="188"/>
      <c r="CL162" s="188"/>
      <c r="CM162" s="188"/>
      <c r="CN162" s="188"/>
      <c r="CO162" s="188"/>
      <c r="CP162" s="188"/>
      <c r="CQ162" s="188"/>
      <c r="CR162" s="188"/>
      <c r="CS162" s="188"/>
      <c r="CT162" s="188"/>
      <c r="CU162" s="188"/>
      <c r="CV162" s="188"/>
      <c r="CW162" s="188"/>
      <c r="CX162" s="188"/>
      <c r="CY162" s="188"/>
      <c r="CZ162" s="188"/>
      <c r="DA162" s="188"/>
      <c r="DB162" s="188"/>
      <c r="DC162" s="188"/>
      <c r="DD162" s="189"/>
      <c r="DE162" s="187"/>
      <c r="DF162" s="188"/>
      <c r="DG162" s="188"/>
      <c r="DH162" s="188"/>
      <c r="DI162" s="189"/>
      <c r="DO162" s="187"/>
      <c r="DP162" s="188"/>
      <c r="DQ162" s="188"/>
      <c r="DR162" s="188"/>
      <c r="DS162" s="188"/>
      <c r="DT162" s="188"/>
      <c r="DU162" s="188"/>
      <c r="DV162" s="188"/>
      <c r="DW162" s="188"/>
      <c r="DX162" s="188"/>
      <c r="DY162" s="188"/>
      <c r="DZ162" s="188"/>
      <c r="EA162" s="188"/>
      <c r="EB162" s="188"/>
      <c r="EC162" s="188"/>
      <c r="ED162" s="188"/>
      <c r="EE162" s="188"/>
      <c r="EF162" s="188"/>
      <c r="EG162" s="188"/>
      <c r="EH162" s="188"/>
      <c r="EI162" s="188"/>
      <c r="EJ162" s="188"/>
      <c r="EK162" s="188"/>
      <c r="EL162" s="188"/>
      <c r="EM162" s="188"/>
      <c r="EN162" s="188"/>
      <c r="EO162" s="188"/>
      <c r="EP162" s="188"/>
      <c r="EQ162" s="188"/>
      <c r="ER162" s="188"/>
      <c r="ES162" s="188"/>
      <c r="ET162" s="188"/>
      <c r="EU162" s="188"/>
      <c r="EV162" s="188"/>
      <c r="EW162" s="188"/>
      <c r="EX162" s="188"/>
      <c r="EY162" s="188"/>
      <c r="EZ162" s="188"/>
      <c r="FA162" s="188"/>
      <c r="FB162" s="189"/>
      <c r="FC162" s="187"/>
      <c r="FD162" s="188"/>
      <c r="FE162" s="188"/>
      <c r="FF162" s="188"/>
      <c r="FG162" s="189"/>
      <c r="FL162" s="187"/>
      <c r="FM162" s="188"/>
      <c r="FN162" s="188"/>
      <c r="FO162" s="188"/>
      <c r="FP162" s="188"/>
      <c r="FQ162" s="188"/>
      <c r="FR162" s="188"/>
      <c r="FS162" s="188"/>
      <c r="FT162" s="188"/>
      <c r="FU162" s="188"/>
      <c r="FV162" s="188"/>
      <c r="FW162" s="188"/>
      <c r="FX162" s="188"/>
      <c r="FY162" s="188"/>
      <c r="FZ162" s="188"/>
      <c r="GA162" s="188"/>
      <c r="GB162" s="188"/>
      <c r="GC162" s="188"/>
      <c r="GD162" s="188"/>
      <c r="GE162" s="188"/>
      <c r="GF162" s="188"/>
      <c r="GG162" s="188"/>
      <c r="GH162" s="188"/>
      <c r="GI162" s="188"/>
      <c r="GJ162" s="188"/>
      <c r="GK162" s="188"/>
      <c r="GL162" s="188"/>
      <c r="GM162" s="188"/>
      <c r="GN162" s="188"/>
      <c r="GO162" s="188"/>
      <c r="GP162" s="188"/>
      <c r="GQ162" s="188"/>
      <c r="GR162" s="188"/>
      <c r="GS162" s="188"/>
      <c r="GT162" s="188"/>
      <c r="GU162" s="188"/>
      <c r="GV162" s="188"/>
      <c r="GW162" s="188"/>
      <c r="GX162" s="188"/>
      <c r="GY162" s="189"/>
      <c r="GZ162" s="187"/>
      <c r="HA162" s="188"/>
      <c r="HB162" s="188"/>
      <c r="HC162" s="188"/>
      <c r="HD162" s="189"/>
      <c r="HN162" s="198"/>
      <c r="HO162" s="199"/>
      <c r="HP162" s="199"/>
      <c r="HQ162" s="199"/>
      <c r="HR162" s="199"/>
      <c r="HS162" s="199"/>
      <c r="HT162" s="199"/>
      <c r="HU162" s="199"/>
      <c r="HV162" s="199"/>
      <c r="HW162" s="199"/>
      <c r="HX162" s="199"/>
      <c r="HY162" s="199"/>
      <c r="HZ162" s="199"/>
      <c r="IA162" s="199"/>
      <c r="IB162" s="199"/>
      <c r="IC162" s="199"/>
      <c r="ID162" s="199"/>
      <c r="IE162" s="199"/>
      <c r="IF162" s="199"/>
      <c r="IG162" s="199"/>
      <c r="IH162" s="199"/>
      <c r="II162" s="199"/>
      <c r="IJ162" s="199"/>
      <c r="IK162" s="199"/>
      <c r="IL162" s="199"/>
      <c r="IM162" s="199"/>
      <c r="IN162" s="199"/>
      <c r="IO162" s="199"/>
      <c r="IP162" s="199"/>
      <c r="IQ162" s="199"/>
      <c r="IR162" s="199"/>
      <c r="IS162" s="199"/>
      <c r="IT162" s="199"/>
      <c r="IU162" s="199"/>
      <c r="IV162" s="199"/>
      <c r="IW162" s="199"/>
      <c r="IX162" s="199"/>
      <c r="IY162" s="199"/>
      <c r="IZ162" s="199"/>
      <c r="JA162" s="199"/>
      <c r="JB162" s="204"/>
      <c r="JC162" s="204"/>
      <c r="JD162" s="204"/>
      <c r="JE162" s="204"/>
      <c r="JF162" s="204"/>
      <c r="JG162" s="204"/>
      <c r="JH162" s="19"/>
      <c r="JN162" s="155"/>
      <c r="JR162" s="16"/>
      <c r="JU162" s="187"/>
      <c r="JV162" s="188"/>
      <c r="JW162" s="188"/>
      <c r="JX162" s="188"/>
      <c r="JY162" s="188"/>
      <c r="JZ162" s="188"/>
      <c r="KA162" s="188"/>
      <c r="KB162" s="188"/>
      <c r="KC162" s="188"/>
      <c r="KD162" s="188"/>
      <c r="KE162" s="188"/>
      <c r="KF162" s="188"/>
      <c r="KG162" s="188"/>
      <c r="KH162" s="188"/>
      <c r="KI162" s="188"/>
      <c r="KJ162" s="188"/>
      <c r="KK162" s="188"/>
      <c r="KL162" s="188"/>
      <c r="KM162" s="188"/>
      <c r="KN162" s="188"/>
      <c r="KO162" s="188"/>
      <c r="KP162" s="188"/>
      <c r="KQ162" s="188"/>
      <c r="KR162" s="188"/>
      <c r="KS162" s="188"/>
      <c r="KT162" s="188"/>
      <c r="KU162" s="188"/>
      <c r="KV162" s="188"/>
      <c r="KW162" s="188"/>
      <c r="KX162" s="188"/>
      <c r="KY162" s="188"/>
      <c r="KZ162" s="188"/>
      <c r="LA162" s="188"/>
      <c r="LB162" s="188"/>
      <c r="LC162" s="188"/>
      <c r="LD162" s="188"/>
      <c r="LE162" s="188"/>
      <c r="LF162" s="188"/>
      <c r="LG162" s="188"/>
      <c r="LH162" s="188"/>
      <c r="LI162" s="189"/>
      <c r="LJ162" s="187"/>
      <c r="LK162" s="188"/>
      <c r="LL162" s="188"/>
      <c r="LM162" s="188"/>
      <c r="LN162" s="189"/>
      <c r="LW162" s="12"/>
      <c r="LX162" s="7"/>
      <c r="LY162" s="3"/>
      <c r="LZ162" s="3"/>
      <c r="MA162" s="3"/>
      <c r="MB162" s="3"/>
      <c r="MC162" s="2"/>
      <c r="MQ162" s="3"/>
      <c r="MR162" s="3"/>
      <c r="MS162" s="3"/>
      <c r="MT162" s="3"/>
      <c r="MU162" s="3"/>
      <c r="MV162" s="2"/>
    </row>
    <row r="163" spans="3:360" ht="5.0999999999999996" customHeight="1" x14ac:dyDescent="0.3">
      <c r="C163" s="11"/>
      <c r="D163" s="13"/>
      <c r="Q163" s="187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  <c r="BD163" s="188"/>
      <c r="BE163" s="189"/>
      <c r="BF163" s="187"/>
      <c r="BG163" s="188"/>
      <c r="BH163" s="188"/>
      <c r="BI163" s="188"/>
      <c r="BJ163" s="189"/>
      <c r="BQ163" s="187"/>
      <c r="BR163" s="188"/>
      <c r="BS163" s="188"/>
      <c r="BT163" s="188"/>
      <c r="BU163" s="188"/>
      <c r="BV163" s="188"/>
      <c r="BW163" s="188"/>
      <c r="BX163" s="188"/>
      <c r="BY163" s="188"/>
      <c r="BZ163" s="188"/>
      <c r="CA163" s="188"/>
      <c r="CB163" s="188"/>
      <c r="CC163" s="188"/>
      <c r="CD163" s="188"/>
      <c r="CE163" s="188"/>
      <c r="CF163" s="188"/>
      <c r="CG163" s="188"/>
      <c r="CH163" s="188"/>
      <c r="CI163" s="188"/>
      <c r="CJ163" s="188"/>
      <c r="CK163" s="188"/>
      <c r="CL163" s="188"/>
      <c r="CM163" s="188"/>
      <c r="CN163" s="188"/>
      <c r="CO163" s="188"/>
      <c r="CP163" s="188"/>
      <c r="CQ163" s="188"/>
      <c r="CR163" s="188"/>
      <c r="CS163" s="188"/>
      <c r="CT163" s="188"/>
      <c r="CU163" s="188"/>
      <c r="CV163" s="188"/>
      <c r="CW163" s="188"/>
      <c r="CX163" s="188"/>
      <c r="CY163" s="188"/>
      <c r="CZ163" s="188"/>
      <c r="DA163" s="188"/>
      <c r="DB163" s="188"/>
      <c r="DC163" s="188"/>
      <c r="DD163" s="189"/>
      <c r="DE163" s="187"/>
      <c r="DF163" s="188"/>
      <c r="DG163" s="188"/>
      <c r="DH163" s="188"/>
      <c r="DI163" s="189"/>
      <c r="DO163" s="187"/>
      <c r="DP163" s="188"/>
      <c r="DQ163" s="188"/>
      <c r="DR163" s="188"/>
      <c r="DS163" s="188"/>
      <c r="DT163" s="188"/>
      <c r="DU163" s="188"/>
      <c r="DV163" s="188"/>
      <c r="DW163" s="188"/>
      <c r="DX163" s="188"/>
      <c r="DY163" s="188"/>
      <c r="DZ163" s="188"/>
      <c r="EA163" s="188"/>
      <c r="EB163" s="188"/>
      <c r="EC163" s="188"/>
      <c r="ED163" s="188"/>
      <c r="EE163" s="188"/>
      <c r="EF163" s="188"/>
      <c r="EG163" s="188"/>
      <c r="EH163" s="188"/>
      <c r="EI163" s="188"/>
      <c r="EJ163" s="188"/>
      <c r="EK163" s="188"/>
      <c r="EL163" s="188"/>
      <c r="EM163" s="188"/>
      <c r="EN163" s="188"/>
      <c r="EO163" s="188"/>
      <c r="EP163" s="188"/>
      <c r="EQ163" s="188"/>
      <c r="ER163" s="188"/>
      <c r="ES163" s="188"/>
      <c r="ET163" s="188"/>
      <c r="EU163" s="188"/>
      <c r="EV163" s="188"/>
      <c r="EW163" s="188"/>
      <c r="EX163" s="188"/>
      <c r="EY163" s="188"/>
      <c r="EZ163" s="188"/>
      <c r="FA163" s="188"/>
      <c r="FB163" s="189"/>
      <c r="FC163" s="187"/>
      <c r="FD163" s="188"/>
      <c r="FE163" s="188"/>
      <c r="FF163" s="188"/>
      <c r="FG163" s="189"/>
      <c r="FL163" s="187"/>
      <c r="FM163" s="188"/>
      <c r="FN163" s="188"/>
      <c r="FO163" s="188"/>
      <c r="FP163" s="188"/>
      <c r="FQ163" s="188"/>
      <c r="FR163" s="188"/>
      <c r="FS163" s="188"/>
      <c r="FT163" s="188"/>
      <c r="FU163" s="188"/>
      <c r="FV163" s="188"/>
      <c r="FW163" s="188"/>
      <c r="FX163" s="188"/>
      <c r="FY163" s="188"/>
      <c r="FZ163" s="188"/>
      <c r="GA163" s="188"/>
      <c r="GB163" s="188"/>
      <c r="GC163" s="188"/>
      <c r="GD163" s="188"/>
      <c r="GE163" s="188"/>
      <c r="GF163" s="188"/>
      <c r="GG163" s="188"/>
      <c r="GH163" s="188"/>
      <c r="GI163" s="188"/>
      <c r="GJ163" s="188"/>
      <c r="GK163" s="188"/>
      <c r="GL163" s="188"/>
      <c r="GM163" s="188"/>
      <c r="GN163" s="188"/>
      <c r="GO163" s="188"/>
      <c r="GP163" s="188"/>
      <c r="GQ163" s="188"/>
      <c r="GR163" s="188"/>
      <c r="GS163" s="188"/>
      <c r="GT163" s="188"/>
      <c r="GU163" s="188"/>
      <c r="GV163" s="188"/>
      <c r="GW163" s="188"/>
      <c r="GX163" s="188"/>
      <c r="GY163" s="189"/>
      <c r="GZ163" s="187"/>
      <c r="HA163" s="188"/>
      <c r="HB163" s="188"/>
      <c r="HC163" s="188"/>
      <c r="HD163" s="189"/>
      <c r="HN163" s="198"/>
      <c r="HO163" s="199"/>
      <c r="HP163" s="199"/>
      <c r="HQ163" s="199"/>
      <c r="HR163" s="199"/>
      <c r="HS163" s="199"/>
      <c r="HT163" s="199"/>
      <c r="HU163" s="199"/>
      <c r="HV163" s="199"/>
      <c r="HW163" s="199"/>
      <c r="HX163" s="199"/>
      <c r="HY163" s="199"/>
      <c r="HZ163" s="199"/>
      <c r="IA163" s="199"/>
      <c r="IB163" s="199"/>
      <c r="IC163" s="199"/>
      <c r="ID163" s="199"/>
      <c r="IE163" s="199"/>
      <c r="IF163" s="199"/>
      <c r="IG163" s="199"/>
      <c r="IH163" s="199"/>
      <c r="II163" s="199"/>
      <c r="IJ163" s="199"/>
      <c r="IK163" s="199"/>
      <c r="IL163" s="199"/>
      <c r="IM163" s="199"/>
      <c r="IN163" s="199"/>
      <c r="IO163" s="199"/>
      <c r="IP163" s="199"/>
      <c r="IQ163" s="199"/>
      <c r="IR163" s="199"/>
      <c r="IS163" s="199"/>
      <c r="IT163" s="199"/>
      <c r="IU163" s="199"/>
      <c r="IV163" s="199"/>
      <c r="IW163" s="199"/>
      <c r="IX163" s="199"/>
      <c r="IY163" s="199"/>
      <c r="IZ163" s="199"/>
      <c r="JA163" s="199"/>
      <c r="JB163" s="204"/>
      <c r="JC163" s="204"/>
      <c r="JD163" s="204"/>
      <c r="JE163" s="204"/>
      <c r="JF163" s="204"/>
      <c r="JG163" s="204"/>
      <c r="JH163" s="19"/>
      <c r="JN163" s="155"/>
      <c r="JR163" s="16"/>
      <c r="JU163" s="187"/>
      <c r="JV163" s="188"/>
      <c r="JW163" s="188"/>
      <c r="JX163" s="188"/>
      <c r="JY163" s="188"/>
      <c r="JZ163" s="188"/>
      <c r="KA163" s="188"/>
      <c r="KB163" s="188"/>
      <c r="KC163" s="188"/>
      <c r="KD163" s="188"/>
      <c r="KE163" s="188"/>
      <c r="KF163" s="188"/>
      <c r="KG163" s="188"/>
      <c r="KH163" s="188"/>
      <c r="KI163" s="188"/>
      <c r="KJ163" s="188"/>
      <c r="KK163" s="188"/>
      <c r="KL163" s="188"/>
      <c r="KM163" s="188"/>
      <c r="KN163" s="188"/>
      <c r="KO163" s="188"/>
      <c r="KP163" s="188"/>
      <c r="KQ163" s="188"/>
      <c r="KR163" s="188"/>
      <c r="KS163" s="188"/>
      <c r="KT163" s="188"/>
      <c r="KU163" s="188"/>
      <c r="KV163" s="188"/>
      <c r="KW163" s="188"/>
      <c r="KX163" s="188"/>
      <c r="KY163" s="188"/>
      <c r="KZ163" s="188"/>
      <c r="LA163" s="188"/>
      <c r="LB163" s="188"/>
      <c r="LC163" s="188"/>
      <c r="LD163" s="188"/>
      <c r="LE163" s="188"/>
      <c r="LF163" s="188"/>
      <c r="LG163" s="188"/>
      <c r="LH163" s="188"/>
      <c r="LI163" s="189"/>
      <c r="LJ163" s="187"/>
      <c r="LK163" s="188"/>
      <c r="LL163" s="188"/>
      <c r="LM163" s="188"/>
      <c r="LN163" s="189"/>
      <c r="LW163" s="12"/>
      <c r="LX163" s="7"/>
      <c r="LY163" s="3"/>
      <c r="LZ163" s="3"/>
      <c r="MA163" s="3"/>
      <c r="MB163" s="3"/>
      <c r="MC163" s="2"/>
      <c r="MQ163" s="3"/>
      <c r="MR163" s="3"/>
      <c r="MS163" s="3"/>
      <c r="MT163" s="3"/>
      <c r="MU163" s="3"/>
      <c r="MV163" s="2"/>
    </row>
    <row r="164" spans="3:360" ht="5.0999999999999996" customHeight="1" x14ac:dyDescent="0.3">
      <c r="C164" s="11"/>
      <c r="D164" s="13"/>
      <c r="Q164" s="187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  <c r="BD164" s="188"/>
      <c r="BE164" s="189"/>
      <c r="BF164" s="187"/>
      <c r="BG164" s="188"/>
      <c r="BH164" s="188"/>
      <c r="BI164" s="188"/>
      <c r="BJ164" s="189"/>
      <c r="BQ164" s="187"/>
      <c r="BR164" s="188"/>
      <c r="BS164" s="188"/>
      <c r="BT164" s="188"/>
      <c r="BU164" s="188"/>
      <c r="BV164" s="188"/>
      <c r="BW164" s="188"/>
      <c r="BX164" s="188"/>
      <c r="BY164" s="188"/>
      <c r="BZ164" s="188"/>
      <c r="CA164" s="188"/>
      <c r="CB164" s="188"/>
      <c r="CC164" s="188"/>
      <c r="CD164" s="188"/>
      <c r="CE164" s="188"/>
      <c r="CF164" s="188"/>
      <c r="CG164" s="188"/>
      <c r="CH164" s="188"/>
      <c r="CI164" s="188"/>
      <c r="CJ164" s="188"/>
      <c r="CK164" s="188"/>
      <c r="CL164" s="188"/>
      <c r="CM164" s="188"/>
      <c r="CN164" s="188"/>
      <c r="CO164" s="188"/>
      <c r="CP164" s="188"/>
      <c r="CQ164" s="188"/>
      <c r="CR164" s="188"/>
      <c r="CS164" s="188"/>
      <c r="CT164" s="188"/>
      <c r="CU164" s="188"/>
      <c r="CV164" s="188"/>
      <c r="CW164" s="188"/>
      <c r="CX164" s="188"/>
      <c r="CY164" s="188"/>
      <c r="CZ164" s="188"/>
      <c r="DA164" s="188"/>
      <c r="DB164" s="188"/>
      <c r="DC164" s="188"/>
      <c r="DD164" s="189"/>
      <c r="DE164" s="187"/>
      <c r="DF164" s="188"/>
      <c r="DG164" s="188"/>
      <c r="DH164" s="188"/>
      <c r="DI164" s="189"/>
      <c r="DO164" s="187"/>
      <c r="DP164" s="188"/>
      <c r="DQ164" s="188"/>
      <c r="DR164" s="188"/>
      <c r="DS164" s="188"/>
      <c r="DT164" s="188"/>
      <c r="DU164" s="188"/>
      <c r="DV164" s="188"/>
      <c r="DW164" s="188"/>
      <c r="DX164" s="188"/>
      <c r="DY164" s="188"/>
      <c r="DZ164" s="188"/>
      <c r="EA164" s="188"/>
      <c r="EB164" s="188"/>
      <c r="EC164" s="188"/>
      <c r="ED164" s="188"/>
      <c r="EE164" s="188"/>
      <c r="EF164" s="188"/>
      <c r="EG164" s="188"/>
      <c r="EH164" s="188"/>
      <c r="EI164" s="188"/>
      <c r="EJ164" s="188"/>
      <c r="EK164" s="188"/>
      <c r="EL164" s="188"/>
      <c r="EM164" s="188"/>
      <c r="EN164" s="188"/>
      <c r="EO164" s="188"/>
      <c r="EP164" s="188"/>
      <c r="EQ164" s="188"/>
      <c r="ER164" s="188"/>
      <c r="ES164" s="188"/>
      <c r="ET164" s="188"/>
      <c r="EU164" s="188"/>
      <c r="EV164" s="188"/>
      <c r="EW164" s="188"/>
      <c r="EX164" s="188"/>
      <c r="EY164" s="188"/>
      <c r="EZ164" s="188"/>
      <c r="FA164" s="188"/>
      <c r="FB164" s="189"/>
      <c r="FC164" s="187"/>
      <c r="FD164" s="188"/>
      <c r="FE164" s="188"/>
      <c r="FF164" s="188"/>
      <c r="FG164" s="189"/>
      <c r="FL164" s="187"/>
      <c r="FM164" s="188"/>
      <c r="FN164" s="188"/>
      <c r="FO164" s="188"/>
      <c r="FP164" s="188"/>
      <c r="FQ164" s="188"/>
      <c r="FR164" s="188"/>
      <c r="FS164" s="188"/>
      <c r="FT164" s="188"/>
      <c r="FU164" s="188"/>
      <c r="FV164" s="188"/>
      <c r="FW164" s="188"/>
      <c r="FX164" s="188"/>
      <c r="FY164" s="188"/>
      <c r="FZ164" s="188"/>
      <c r="GA164" s="188"/>
      <c r="GB164" s="188"/>
      <c r="GC164" s="188"/>
      <c r="GD164" s="188"/>
      <c r="GE164" s="188"/>
      <c r="GF164" s="188"/>
      <c r="GG164" s="188"/>
      <c r="GH164" s="188"/>
      <c r="GI164" s="188"/>
      <c r="GJ164" s="188"/>
      <c r="GK164" s="188"/>
      <c r="GL164" s="188"/>
      <c r="GM164" s="188"/>
      <c r="GN164" s="188"/>
      <c r="GO164" s="188"/>
      <c r="GP164" s="188"/>
      <c r="GQ164" s="188"/>
      <c r="GR164" s="188"/>
      <c r="GS164" s="188"/>
      <c r="GT164" s="188"/>
      <c r="GU164" s="188"/>
      <c r="GV164" s="188"/>
      <c r="GW164" s="188"/>
      <c r="GX164" s="188"/>
      <c r="GY164" s="189"/>
      <c r="GZ164" s="187"/>
      <c r="HA164" s="188"/>
      <c r="HB164" s="188"/>
      <c r="HC164" s="188"/>
      <c r="HD164" s="189"/>
      <c r="HN164" s="198"/>
      <c r="HO164" s="199"/>
      <c r="HP164" s="199"/>
      <c r="HQ164" s="199"/>
      <c r="HR164" s="199"/>
      <c r="HS164" s="199"/>
      <c r="HT164" s="199"/>
      <c r="HU164" s="199"/>
      <c r="HV164" s="199"/>
      <c r="HW164" s="199"/>
      <c r="HX164" s="199"/>
      <c r="HY164" s="199"/>
      <c r="HZ164" s="199"/>
      <c r="IA164" s="199"/>
      <c r="IB164" s="199"/>
      <c r="IC164" s="199"/>
      <c r="ID164" s="199"/>
      <c r="IE164" s="199"/>
      <c r="IF164" s="199"/>
      <c r="IG164" s="199"/>
      <c r="IH164" s="199"/>
      <c r="II164" s="199"/>
      <c r="IJ164" s="199"/>
      <c r="IK164" s="199"/>
      <c r="IL164" s="199"/>
      <c r="IM164" s="199"/>
      <c r="IN164" s="199"/>
      <c r="IO164" s="199"/>
      <c r="IP164" s="199"/>
      <c r="IQ164" s="199"/>
      <c r="IR164" s="199"/>
      <c r="IS164" s="199"/>
      <c r="IT164" s="199"/>
      <c r="IU164" s="199"/>
      <c r="IV164" s="199"/>
      <c r="IW164" s="199"/>
      <c r="IX164" s="199"/>
      <c r="IY164" s="199"/>
      <c r="IZ164" s="199"/>
      <c r="JA164" s="199"/>
      <c r="JB164" s="204"/>
      <c r="JC164" s="204"/>
      <c r="JD164" s="204"/>
      <c r="JE164" s="204"/>
      <c r="JF164" s="204"/>
      <c r="JG164" s="204"/>
      <c r="JH164" s="19"/>
      <c r="JN164" s="155"/>
      <c r="JR164" s="16"/>
      <c r="JU164" s="187"/>
      <c r="JV164" s="188"/>
      <c r="JW164" s="188"/>
      <c r="JX164" s="188"/>
      <c r="JY164" s="188"/>
      <c r="JZ164" s="188"/>
      <c r="KA164" s="188"/>
      <c r="KB164" s="188"/>
      <c r="KC164" s="188"/>
      <c r="KD164" s="188"/>
      <c r="KE164" s="188"/>
      <c r="KF164" s="188"/>
      <c r="KG164" s="188"/>
      <c r="KH164" s="188"/>
      <c r="KI164" s="188"/>
      <c r="KJ164" s="188"/>
      <c r="KK164" s="188"/>
      <c r="KL164" s="188"/>
      <c r="KM164" s="188"/>
      <c r="KN164" s="188"/>
      <c r="KO164" s="188"/>
      <c r="KP164" s="188"/>
      <c r="KQ164" s="188"/>
      <c r="KR164" s="188"/>
      <c r="KS164" s="188"/>
      <c r="KT164" s="188"/>
      <c r="KU164" s="188"/>
      <c r="KV164" s="188"/>
      <c r="KW164" s="188"/>
      <c r="KX164" s="188"/>
      <c r="KY164" s="188"/>
      <c r="KZ164" s="188"/>
      <c r="LA164" s="188"/>
      <c r="LB164" s="188"/>
      <c r="LC164" s="188"/>
      <c r="LD164" s="188"/>
      <c r="LE164" s="188"/>
      <c r="LF164" s="188"/>
      <c r="LG164" s="188"/>
      <c r="LH164" s="188"/>
      <c r="LI164" s="189"/>
      <c r="LJ164" s="187"/>
      <c r="LK164" s="188"/>
      <c r="LL164" s="188"/>
      <c r="LM164" s="188"/>
      <c r="LN164" s="189"/>
      <c r="LW164" s="12"/>
      <c r="LX164" s="7"/>
      <c r="LY164" s="3"/>
      <c r="LZ164" s="3"/>
      <c r="MA164" s="3"/>
      <c r="MB164" s="3"/>
      <c r="MC164" s="2"/>
      <c r="MQ164" s="3"/>
      <c r="MR164" s="3"/>
      <c r="MS164" s="3"/>
      <c r="MT164" s="3"/>
      <c r="MU164" s="3"/>
      <c r="MV164" s="2"/>
    </row>
    <row r="165" spans="3:360" ht="5.0999999999999996" customHeight="1" x14ac:dyDescent="0.3">
      <c r="C165" s="11"/>
      <c r="D165" s="13"/>
      <c r="Q165" s="187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  <c r="BD165" s="188"/>
      <c r="BE165" s="189"/>
      <c r="BF165" s="187"/>
      <c r="BG165" s="188"/>
      <c r="BH165" s="188"/>
      <c r="BI165" s="188"/>
      <c r="BJ165" s="189"/>
      <c r="BQ165" s="187"/>
      <c r="BR165" s="188"/>
      <c r="BS165" s="188"/>
      <c r="BT165" s="188"/>
      <c r="BU165" s="188"/>
      <c r="BV165" s="188"/>
      <c r="BW165" s="188"/>
      <c r="BX165" s="188"/>
      <c r="BY165" s="188"/>
      <c r="BZ165" s="188"/>
      <c r="CA165" s="188"/>
      <c r="CB165" s="188"/>
      <c r="CC165" s="188"/>
      <c r="CD165" s="188"/>
      <c r="CE165" s="188"/>
      <c r="CF165" s="188"/>
      <c r="CG165" s="188"/>
      <c r="CH165" s="188"/>
      <c r="CI165" s="188"/>
      <c r="CJ165" s="188"/>
      <c r="CK165" s="188"/>
      <c r="CL165" s="188"/>
      <c r="CM165" s="188"/>
      <c r="CN165" s="188"/>
      <c r="CO165" s="188"/>
      <c r="CP165" s="188"/>
      <c r="CQ165" s="188"/>
      <c r="CR165" s="188"/>
      <c r="CS165" s="188"/>
      <c r="CT165" s="188"/>
      <c r="CU165" s="188"/>
      <c r="CV165" s="188"/>
      <c r="CW165" s="188"/>
      <c r="CX165" s="188"/>
      <c r="CY165" s="188"/>
      <c r="CZ165" s="188"/>
      <c r="DA165" s="188"/>
      <c r="DB165" s="188"/>
      <c r="DC165" s="188"/>
      <c r="DD165" s="189"/>
      <c r="DE165" s="187"/>
      <c r="DF165" s="188"/>
      <c r="DG165" s="188"/>
      <c r="DH165" s="188"/>
      <c r="DI165" s="189"/>
      <c r="DO165" s="187"/>
      <c r="DP165" s="188"/>
      <c r="DQ165" s="188"/>
      <c r="DR165" s="188"/>
      <c r="DS165" s="188"/>
      <c r="DT165" s="188"/>
      <c r="DU165" s="188"/>
      <c r="DV165" s="188"/>
      <c r="DW165" s="188"/>
      <c r="DX165" s="188"/>
      <c r="DY165" s="188"/>
      <c r="DZ165" s="188"/>
      <c r="EA165" s="188"/>
      <c r="EB165" s="188"/>
      <c r="EC165" s="188"/>
      <c r="ED165" s="188"/>
      <c r="EE165" s="188"/>
      <c r="EF165" s="188"/>
      <c r="EG165" s="188"/>
      <c r="EH165" s="188"/>
      <c r="EI165" s="188"/>
      <c r="EJ165" s="188"/>
      <c r="EK165" s="188"/>
      <c r="EL165" s="188"/>
      <c r="EM165" s="188"/>
      <c r="EN165" s="188"/>
      <c r="EO165" s="188"/>
      <c r="EP165" s="188"/>
      <c r="EQ165" s="188"/>
      <c r="ER165" s="188"/>
      <c r="ES165" s="188"/>
      <c r="ET165" s="188"/>
      <c r="EU165" s="188"/>
      <c r="EV165" s="188"/>
      <c r="EW165" s="188"/>
      <c r="EX165" s="188"/>
      <c r="EY165" s="188"/>
      <c r="EZ165" s="188"/>
      <c r="FA165" s="188"/>
      <c r="FB165" s="189"/>
      <c r="FC165" s="187"/>
      <c r="FD165" s="188"/>
      <c r="FE165" s="188"/>
      <c r="FF165" s="188"/>
      <c r="FG165" s="189"/>
      <c r="FL165" s="187"/>
      <c r="FM165" s="188"/>
      <c r="FN165" s="188"/>
      <c r="FO165" s="188"/>
      <c r="FP165" s="188"/>
      <c r="FQ165" s="188"/>
      <c r="FR165" s="188"/>
      <c r="FS165" s="188"/>
      <c r="FT165" s="188"/>
      <c r="FU165" s="188"/>
      <c r="FV165" s="188"/>
      <c r="FW165" s="188"/>
      <c r="FX165" s="188"/>
      <c r="FY165" s="188"/>
      <c r="FZ165" s="188"/>
      <c r="GA165" s="188"/>
      <c r="GB165" s="188"/>
      <c r="GC165" s="188"/>
      <c r="GD165" s="188"/>
      <c r="GE165" s="188"/>
      <c r="GF165" s="188"/>
      <c r="GG165" s="188"/>
      <c r="GH165" s="188"/>
      <c r="GI165" s="188"/>
      <c r="GJ165" s="188"/>
      <c r="GK165" s="188"/>
      <c r="GL165" s="188"/>
      <c r="GM165" s="188"/>
      <c r="GN165" s="188"/>
      <c r="GO165" s="188"/>
      <c r="GP165" s="188"/>
      <c r="GQ165" s="188"/>
      <c r="GR165" s="188"/>
      <c r="GS165" s="188"/>
      <c r="GT165" s="188"/>
      <c r="GU165" s="188"/>
      <c r="GV165" s="188"/>
      <c r="GW165" s="188"/>
      <c r="GX165" s="188"/>
      <c r="GY165" s="189"/>
      <c r="GZ165" s="187"/>
      <c r="HA165" s="188"/>
      <c r="HB165" s="188"/>
      <c r="HC165" s="188"/>
      <c r="HD165" s="189"/>
      <c r="HN165" s="198"/>
      <c r="HO165" s="199"/>
      <c r="HP165" s="199"/>
      <c r="HQ165" s="199"/>
      <c r="HR165" s="199"/>
      <c r="HS165" s="199"/>
      <c r="HT165" s="199"/>
      <c r="HU165" s="199"/>
      <c r="HV165" s="199"/>
      <c r="HW165" s="199"/>
      <c r="HX165" s="199"/>
      <c r="HY165" s="199"/>
      <c r="HZ165" s="199"/>
      <c r="IA165" s="199"/>
      <c r="IB165" s="199"/>
      <c r="IC165" s="199"/>
      <c r="ID165" s="199"/>
      <c r="IE165" s="199"/>
      <c r="IF165" s="199"/>
      <c r="IG165" s="199"/>
      <c r="IH165" s="199"/>
      <c r="II165" s="199"/>
      <c r="IJ165" s="199"/>
      <c r="IK165" s="199"/>
      <c r="IL165" s="199"/>
      <c r="IM165" s="199"/>
      <c r="IN165" s="199"/>
      <c r="IO165" s="199"/>
      <c r="IP165" s="199"/>
      <c r="IQ165" s="199"/>
      <c r="IR165" s="199"/>
      <c r="IS165" s="199"/>
      <c r="IT165" s="199"/>
      <c r="IU165" s="199"/>
      <c r="IV165" s="199"/>
      <c r="IW165" s="199"/>
      <c r="IX165" s="199"/>
      <c r="IY165" s="199"/>
      <c r="IZ165" s="199"/>
      <c r="JA165" s="199"/>
      <c r="JB165" s="204"/>
      <c r="JC165" s="204"/>
      <c r="JD165" s="204"/>
      <c r="JE165" s="204"/>
      <c r="JF165" s="204"/>
      <c r="JG165" s="204"/>
      <c r="JH165" s="19"/>
      <c r="JN165" s="155"/>
      <c r="JR165" s="16"/>
      <c r="JU165" s="187"/>
      <c r="JV165" s="188"/>
      <c r="JW165" s="188"/>
      <c r="JX165" s="188"/>
      <c r="JY165" s="188"/>
      <c r="JZ165" s="188"/>
      <c r="KA165" s="188"/>
      <c r="KB165" s="188"/>
      <c r="KC165" s="188"/>
      <c r="KD165" s="188"/>
      <c r="KE165" s="188"/>
      <c r="KF165" s="188"/>
      <c r="KG165" s="188"/>
      <c r="KH165" s="188"/>
      <c r="KI165" s="188"/>
      <c r="KJ165" s="188"/>
      <c r="KK165" s="188"/>
      <c r="KL165" s="188"/>
      <c r="KM165" s="188"/>
      <c r="KN165" s="188"/>
      <c r="KO165" s="188"/>
      <c r="KP165" s="188"/>
      <c r="KQ165" s="188"/>
      <c r="KR165" s="188"/>
      <c r="KS165" s="188"/>
      <c r="KT165" s="188"/>
      <c r="KU165" s="188"/>
      <c r="KV165" s="188"/>
      <c r="KW165" s="188"/>
      <c r="KX165" s="188"/>
      <c r="KY165" s="188"/>
      <c r="KZ165" s="188"/>
      <c r="LA165" s="188"/>
      <c r="LB165" s="188"/>
      <c r="LC165" s="188"/>
      <c r="LD165" s="188"/>
      <c r="LE165" s="188"/>
      <c r="LF165" s="188"/>
      <c r="LG165" s="188"/>
      <c r="LH165" s="188"/>
      <c r="LI165" s="189"/>
      <c r="LJ165" s="187"/>
      <c r="LK165" s="188"/>
      <c r="LL165" s="188"/>
      <c r="LM165" s="188"/>
      <c r="LN165" s="189"/>
      <c r="LW165" s="12"/>
      <c r="LX165" s="7"/>
      <c r="LY165" s="3"/>
      <c r="LZ165" s="3"/>
      <c r="MA165" s="3"/>
      <c r="MB165" s="3"/>
      <c r="MC165" s="2"/>
      <c r="MQ165" s="3"/>
      <c r="MR165" s="3"/>
      <c r="MS165" s="3"/>
      <c r="MT165" s="3"/>
      <c r="MU165" s="3"/>
      <c r="MV165" s="2"/>
    </row>
    <row r="166" spans="3:360" ht="5.0999999999999996" customHeight="1" x14ac:dyDescent="0.3">
      <c r="C166" s="11"/>
      <c r="D166" s="13"/>
      <c r="Q166" s="187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  <c r="BD166" s="188"/>
      <c r="BE166" s="189"/>
      <c r="BF166" s="187"/>
      <c r="BG166" s="188"/>
      <c r="BH166" s="188"/>
      <c r="BI166" s="188"/>
      <c r="BJ166" s="189"/>
      <c r="BQ166" s="187"/>
      <c r="BR166" s="188"/>
      <c r="BS166" s="188"/>
      <c r="BT166" s="188"/>
      <c r="BU166" s="188"/>
      <c r="BV166" s="188"/>
      <c r="BW166" s="188"/>
      <c r="BX166" s="188"/>
      <c r="BY166" s="188"/>
      <c r="BZ166" s="188"/>
      <c r="CA166" s="188"/>
      <c r="CB166" s="188"/>
      <c r="CC166" s="188"/>
      <c r="CD166" s="188"/>
      <c r="CE166" s="188"/>
      <c r="CF166" s="188"/>
      <c r="CG166" s="188"/>
      <c r="CH166" s="188"/>
      <c r="CI166" s="188"/>
      <c r="CJ166" s="188"/>
      <c r="CK166" s="188"/>
      <c r="CL166" s="188"/>
      <c r="CM166" s="188"/>
      <c r="CN166" s="188"/>
      <c r="CO166" s="188"/>
      <c r="CP166" s="188"/>
      <c r="CQ166" s="188"/>
      <c r="CR166" s="188"/>
      <c r="CS166" s="188"/>
      <c r="CT166" s="188"/>
      <c r="CU166" s="188"/>
      <c r="CV166" s="188"/>
      <c r="CW166" s="188"/>
      <c r="CX166" s="188"/>
      <c r="CY166" s="188"/>
      <c r="CZ166" s="188"/>
      <c r="DA166" s="188"/>
      <c r="DB166" s="188"/>
      <c r="DC166" s="188"/>
      <c r="DD166" s="189"/>
      <c r="DE166" s="187"/>
      <c r="DF166" s="188"/>
      <c r="DG166" s="188"/>
      <c r="DH166" s="188"/>
      <c r="DI166" s="189"/>
      <c r="DO166" s="187"/>
      <c r="DP166" s="188"/>
      <c r="DQ166" s="188"/>
      <c r="DR166" s="188"/>
      <c r="DS166" s="188"/>
      <c r="DT166" s="188"/>
      <c r="DU166" s="188"/>
      <c r="DV166" s="188"/>
      <c r="DW166" s="188"/>
      <c r="DX166" s="188"/>
      <c r="DY166" s="188"/>
      <c r="DZ166" s="188"/>
      <c r="EA166" s="188"/>
      <c r="EB166" s="188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R166" s="188"/>
      <c r="ES166" s="188"/>
      <c r="ET166" s="188"/>
      <c r="EU166" s="188"/>
      <c r="EV166" s="188"/>
      <c r="EW166" s="188"/>
      <c r="EX166" s="188"/>
      <c r="EY166" s="188"/>
      <c r="EZ166" s="188"/>
      <c r="FA166" s="188"/>
      <c r="FB166" s="189"/>
      <c r="FC166" s="187"/>
      <c r="FD166" s="188"/>
      <c r="FE166" s="188"/>
      <c r="FF166" s="188"/>
      <c r="FG166" s="189"/>
      <c r="FL166" s="187"/>
      <c r="FM166" s="188"/>
      <c r="FN166" s="188"/>
      <c r="FO166" s="188"/>
      <c r="FP166" s="188"/>
      <c r="FQ166" s="188"/>
      <c r="FR166" s="188"/>
      <c r="FS166" s="188"/>
      <c r="FT166" s="188"/>
      <c r="FU166" s="188"/>
      <c r="FV166" s="188"/>
      <c r="FW166" s="188"/>
      <c r="FX166" s="188"/>
      <c r="FY166" s="188"/>
      <c r="FZ166" s="188"/>
      <c r="GA166" s="188"/>
      <c r="GB166" s="188"/>
      <c r="GC166" s="188"/>
      <c r="GD166" s="188"/>
      <c r="GE166" s="188"/>
      <c r="GF166" s="188"/>
      <c r="GG166" s="188"/>
      <c r="GH166" s="188"/>
      <c r="GI166" s="188"/>
      <c r="GJ166" s="188"/>
      <c r="GK166" s="188"/>
      <c r="GL166" s="188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  <c r="GY166" s="189"/>
      <c r="GZ166" s="187"/>
      <c r="HA166" s="188"/>
      <c r="HB166" s="188"/>
      <c r="HC166" s="188"/>
      <c r="HD166" s="189"/>
      <c r="HN166" s="198"/>
      <c r="HO166" s="199"/>
      <c r="HP166" s="199"/>
      <c r="HQ166" s="199"/>
      <c r="HR166" s="199"/>
      <c r="HS166" s="199"/>
      <c r="HT166" s="199"/>
      <c r="HU166" s="199"/>
      <c r="HV166" s="199"/>
      <c r="HW166" s="199"/>
      <c r="HX166" s="199"/>
      <c r="HY166" s="199"/>
      <c r="HZ166" s="199"/>
      <c r="IA166" s="199"/>
      <c r="IB166" s="199"/>
      <c r="IC166" s="199"/>
      <c r="ID166" s="199"/>
      <c r="IE166" s="199"/>
      <c r="IF166" s="199"/>
      <c r="IG166" s="199"/>
      <c r="IH166" s="199"/>
      <c r="II166" s="199"/>
      <c r="IJ166" s="199"/>
      <c r="IK166" s="199"/>
      <c r="IL166" s="199"/>
      <c r="IM166" s="199"/>
      <c r="IN166" s="199"/>
      <c r="IO166" s="199"/>
      <c r="IP166" s="199"/>
      <c r="IQ166" s="199"/>
      <c r="IR166" s="199"/>
      <c r="IS166" s="199"/>
      <c r="IT166" s="199"/>
      <c r="IU166" s="199"/>
      <c r="IV166" s="199"/>
      <c r="IW166" s="199"/>
      <c r="IX166" s="199"/>
      <c r="IY166" s="199"/>
      <c r="IZ166" s="199"/>
      <c r="JA166" s="199"/>
      <c r="JB166" s="204"/>
      <c r="JC166" s="204"/>
      <c r="JD166" s="204"/>
      <c r="JE166" s="204"/>
      <c r="JF166" s="204"/>
      <c r="JG166" s="204"/>
      <c r="JH166" s="19"/>
      <c r="JN166" s="155"/>
      <c r="JR166" s="16"/>
      <c r="JU166" s="187"/>
      <c r="JV166" s="188"/>
      <c r="JW166" s="188"/>
      <c r="JX166" s="188"/>
      <c r="JY166" s="188"/>
      <c r="JZ166" s="188"/>
      <c r="KA166" s="188"/>
      <c r="KB166" s="188"/>
      <c r="KC166" s="188"/>
      <c r="KD166" s="188"/>
      <c r="KE166" s="188"/>
      <c r="KF166" s="188"/>
      <c r="KG166" s="188"/>
      <c r="KH166" s="188"/>
      <c r="KI166" s="188"/>
      <c r="KJ166" s="188"/>
      <c r="KK166" s="188"/>
      <c r="KL166" s="188"/>
      <c r="KM166" s="188"/>
      <c r="KN166" s="188"/>
      <c r="KO166" s="188"/>
      <c r="KP166" s="188"/>
      <c r="KQ166" s="188"/>
      <c r="KR166" s="188"/>
      <c r="KS166" s="188"/>
      <c r="KT166" s="188"/>
      <c r="KU166" s="188"/>
      <c r="KV166" s="188"/>
      <c r="KW166" s="188"/>
      <c r="KX166" s="188"/>
      <c r="KY166" s="188"/>
      <c r="KZ166" s="188"/>
      <c r="LA166" s="188"/>
      <c r="LB166" s="188"/>
      <c r="LC166" s="188"/>
      <c r="LD166" s="188"/>
      <c r="LE166" s="188"/>
      <c r="LF166" s="188"/>
      <c r="LG166" s="188"/>
      <c r="LH166" s="188"/>
      <c r="LI166" s="189"/>
      <c r="LJ166" s="187"/>
      <c r="LK166" s="188"/>
      <c r="LL166" s="188"/>
      <c r="LM166" s="188"/>
      <c r="LN166" s="189"/>
      <c r="LW166" s="12"/>
      <c r="LX166" s="7"/>
      <c r="LY166" s="3"/>
      <c r="LZ166" s="3"/>
      <c r="MA166" s="3"/>
      <c r="MB166" s="3"/>
      <c r="MC166" s="2"/>
      <c r="MQ166" s="3"/>
      <c r="MR166" s="3"/>
      <c r="MS166" s="3"/>
      <c r="MT166" s="3"/>
      <c r="MU166" s="3"/>
      <c r="MV166" s="2"/>
    </row>
    <row r="167" spans="3:360" ht="5.0999999999999996" customHeight="1" x14ac:dyDescent="0.3">
      <c r="C167" s="11"/>
      <c r="D167" s="13"/>
      <c r="Q167" s="187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  <c r="BD167" s="188"/>
      <c r="BE167" s="189"/>
      <c r="BF167" s="187"/>
      <c r="BG167" s="188"/>
      <c r="BH167" s="188"/>
      <c r="BI167" s="188"/>
      <c r="BJ167" s="189"/>
      <c r="BQ167" s="187"/>
      <c r="BR167" s="188"/>
      <c r="BS167" s="188"/>
      <c r="BT167" s="188"/>
      <c r="BU167" s="188"/>
      <c r="BV167" s="188"/>
      <c r="BW167" s="188"/>
      <c r="BX167" s="188"/>
      <c r="BY167" s="188"/>
      <c r="BZ167" s="188"/>
      <c r="CA167" s="188"/>
      <c r="CB167" s="188"/>
      <c r="CC167" s="188"/>
      <c r="CD167" s="188"/>
      <c r="CE167" s="188"/>
      <c r="CF167" s="188"/>
      <c r="CG167" s="188"/>
      <c r="CH167" s="188"/>
      <c r="CI167" s="188"/>
      <c r="CJ167" s="188"/>
      <c r="CK167" s="188"/>
      <c r="CL167" s="188"/>
      <c r="CM167" s="188"/>
      <c r="CN167" s="188"/>
      <c r="CO167" s="188"/>
      <c r="CP167" s="188"/>
      <c r="CQ167" s="188"/>
      <c r="CR167" s="188"/>
      <c r="CS167" s="188"/>
      <c r="CT167" s="188"/>
      <c r="CU167" s="188"/>
      <c r="CV167" s="188"/>
      <c r="CW167" s="188"/>
      <c r="CX167" s="188"/>
      <c r="CY167" s="188"/>
      <c r="CZ167" s="188"/>
      <c r="DA167" s="188"/>
      <c r="DB167" s="188"/>
      <c r="DC167" s="188"/>
      <c r="DD167" s="189"/>
      <c r="DE167" s="187"/>
      <c r="DF167" s="188"/>
      <c r="DG167" s="188"/>
      <c r="DH167" s="188"/>
      <c r="DI167" s="189"/>
      <c r="DO167" s="187"/>
      <c r="DP167" s="188"/>
      <c r="DQ167" s="188"/>
      <c r="DR167" s="188"/>
      <c r="DS167" s="188"/>
      <c r="DT167" s="188"/>
      <c r="DU167" s="188"/>
      <c r="DV167" s="188"/>
      <c r="DW167" s="188"/>
      <c r="DX167" s="188"/>
      <c r="DY167" s="188"/>
      <c r="DZ167" s="188"/>
      <c r="EA167" s="188"/>
      <c r="EB167" s="188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R167" s="188"/>
      <c r="ES167" s="188"/>
      <c r="ET167" s="188"/>
      <c r="EU167" s="188"/>
      <c r="EV167" s="188"/>
      <c r="EW167" s="188"/>
      <c r="EX167" s="188"/>
      <c r="EY167" s="188"/>
      <c r="EZ167" s="188"/>
      <c r="FA167" s="188"/>
      <c r="FB167" s="189"/>
      <c r="FC167" s="187"/>
      <c r="FD167" s="188"/>
      <c r="FE167" s="188"/>
      <c r="FF167" s="188"/>
      <c r="FG167" s="189"/>
      <c r="FL167" s="187"/>
      <c r="FM167" s="188"/>
      <c r="FN167" s="188"/>
      <c r="FO167" s="188"/>
      <c r="FP167" s="188"/>
      <c r="FQ167" s="188"/>
      <c r="FR167" s="188"/>
      <c r="FS167" s="188"/>
      <c r="FT167" s="188"/>
      <c r="FU167" s="188"/>
      <c r="FV167" s="188"/>
      <c r="FW167" s="188"/>
      <c r="FX167" s="188"/>
      <c r="FY167" s="188"/>
      <c r="FZ167" s="188"/>
      <c r="GA167" s="188"/>
      <c r="GB167" s="188"/>
      <c r="GC167" s="188"/>
      <c r="GD167" s="188"/>
      <c r="GE167" s="188"/>
      <c r="GF167" s="188"/>
      <c r="GG167" s="188"/>
      <c r="GH167" s="188"/>
      <c r="GI167" s="188"/>
      <c r="GJ167" s="188"/>
      <c r="GK167" s="188"/>
      <c r="GL167" s="188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  <c r="GY167" s="189"/>
      <c r="GZ167" s="187"/>
      <c r="HA167" s="188"/>
      <c r="HB167" s="188"/>
      <c r="HC167" s="188"/>
      <c r="HD167" s="189"/>
      <c r="HN167" s="198"/>
      <c r="HO167" s="199"/>
      <c r="HP167" s="199"/>
      <c r="HQ167" s="199"/>
      <c r="HR167" s="199"/>
      <c r="HS167" s="199"/>
      <c r="HT167" s="199"/>
      <c r="HU167" s="199"/>
      <c r="HV167" s="199"/>
      <c r="HW167" s="199"/>
      <c r="HX167" s="199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  <c r="IW167" s="199"/>
      <c r="IX167" s="199"/>
      <c r="IY167" s="199"/>
      <c r="IZ167" s="199"/>
      <c r="JA167" s="199"/>
      <c r="JB167" s="204"/>
      <c r="JC167" s="204"/>
      <c r="JD167" s="204"/>
      <c r="JE167" s="204"/>
      <c r="JF167" s="204"/>
      <c r="JG167" s="204"/>
      <c r="JH167" s="19"/>
      <c r="JN167" s="155"/>
      <c r="JR167" s="16"/>
      <c r="JU167" s="187"/>
      <c r="JV167" s="188"/>
      <c r="JW167" s="188"/>
      <c r="JX167" s="188"/>
      <c r="JY167" s="188"/>
      <c r="JZ167" s="188"/>
      <c r="KA167" s="188"/>
      <c r="KB167" s="188"/>
      <c r="KC167" s="188"/>
      <c r="KD167" s="188"/>
      <c r="KE167" s="188"/>
      <c r="KF167" s="188"/>
      <c r="KG167" s="188"/>
      <c r="KH167" s="188"/>
      <c r="KI167" s="188"/>
      <c r="KJ167" s="188"/>
      <c r="KK167" s="188"/>
      <c r="KL167" s="188"/>
      <c r="KM167" s="188"/>
      <c r="KN167" s="188"/>
      <c r="KO167" s="188"/>
      <c r="KP167" s="188"/>
      <c r="KQ167" s="188"/>
      <c r="KR167" s="188"/>
      <c r="KS167" s="188"/>
      <c r="KT167" s="188"/>
      <c r="KU167" s="188"/>
      <c r="KV167" s="188"/>
      <c r="KW167" s="188"/>
      <c r="KX167" s="188"/>
      <c r="KY167" s="188"/>
      <c r="KZ167" s="188"/>
      <c r="LA167" s="188"/>
      <c r="LB167" s="188"/>
      <c r="LC167" s="188"/>
      <c r="LD167" s="188"/>
      <c r="LE167" s="188"/>
      <c r="LF167" s="188"/>
      <c r="LG167" s="188"/>
      <c r="LH167" s="188"/>
      <c r="LI167" s="189"/>
      <c r="LJ167" s="187"/>
      <c r="LK167" s="188"/>
      <c r="LL167" s="188"/>
      <c r="LM167" s="188"/>
      <c r="LN167" s="189"/>
      <c r="LW167" s="12"/>
      <c r="LX167" s="7"/>
      <c r="LY167" s="3"/>
      <c r="LZ167" s="3"/>
      <c r="MA167" s="3"/>
      <c r="MB167" s="3"/>
      <c r="MC167" s="2"/>
      <c r="MQ167" s="3"/>
      <c r="MR167" s="3"/>
      <c r="MS167" s="3"/>
      <c r="MT167" s="3"/>
      <c r="MU167" s="3"/>
      <c r="MV167" s="2"/>
    </row>
    <row r="168" spans="3:360" ht="5.0999999999999996" customHeight="1" x14ac:dyDescent="0.3">
      <c r="C168" s="11"/>
      <c r="D168" s="13"/>
      <c r="Q168" s="187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  <c r="BD168" s="188"/>
      <c r="BE168" s="189"/>
      <c r="BF168" s="187"/>
      <c r="BG168" s="188"/>
      <c r="BH168" s="188"/>
      <c r="BI168" s="188"/>
      <c r="BJ168" s="189"/>
      <c r="BQ168" s="187"/>
      <c r="BR168" s="188"/>
      <c r="BS168" s="188"/>
      <c r="BT168" s="188"/>
      <c r="BU168" s="188"/>
      <c r="BV168" s="188"/>
      <c r="BW168" s="188"/>
      <c r="BX168" s="188"/>
      <c r="BY168" s="188"/>
      <c r="BZ168" s="188"/>
      <c r="CA168" s="188"/>
      <c r="CB168" s="188"/>
      <c r="CC168" s="188"/>
      <c r="CD168" s="188"/>
      <c r="CE168" s="188"/>
      <c r="CF168" s="188"/>
      <c r="CG168" s="188"/>
      <c r="CH168" s="188"/>
      <c r="CI168" s="188"/>
      <c r="CJ168" s="188"/>
      <c r="CK168" s="188"/>
      <c r="CL168" s="188"/>
      <c r="CM168" s="188"/>
      <c r="CN168" s="188"/>
      <c r="CO168" s="188"/>
      <c r="CP168" s="188"/>
      <c r="CQ168" s="188"/>
      <c r="CR168" s="188"/>
      <c r="CS168" s="188"/>
      <c r="CT168" s="188"/>
      <c r="CU168" s="188"/>
      <c r="CV168" s="188"/>
      <c r="CW168" s="188"/>
      <c r="CX168" s="188"/>
      <c r="CY168" s="188"/>
      <c r="CZ168" s="188"/>
      <c r="DA168" s="188"/>
      <c r="DB168" s="188"/>
      <c r="DC168" s="188"/>
      <c r="DD168" s="189"/>
      <c r="DE168" s="187"/>
      <c r="DF168" s="188"/>
      <c r="DG168" s="188"/>
      <c r="DH168" s="188"/>
      <c r="DI168" s="189"/>
      <c r="DO168" s="187"/>
      <c r="DP168" s="188"/>
      <c r="DQ168" s="188"/>
      <c r="DR168" s="188"/>
      <c r="DS168" s="188"/>
      <c r="DT168" s="188"/>
      <c r="DU168" s="188"/>
      <c r="DV168" s="188"/>
      <c r="DW168" s="188"/>
      <c r="DX168" s="188"/>
      <c r="DY168" s="188"/>
      <c r="DZ168" s="188"/>
      <c r="EA168" s="188"/>
      <c r="EB168" s="188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R168" s="188"/>
      <c r="ES168" s="188"/>
      <c r="ET168" s="188"/>
      <c r="EU168" s="188"/>
      <c r="EV168" s="188"/>
      <c r="EW168" s="188"/>
      <c r="EX168" s="188"/>
      <c r="EY168" s="188"/>
      <c r="EZ168" s="188"/>
      <c r="FA168" s="188"/>
      <c r="FB168" s="189"/>
      <c r="FC168" s="187"/>
      <c r="FD168" s="188"/>
      <c r="FE168" s="188"/>
      <c r="FF168" s="188"/>
      <c r="FG168" s="189"/>
      <c r="FL168" s="187"/>
      <c r="FM168" s="188"/>
      <c r="FN168" s="188"/>
      <c r="FO168" s="188"/>
      <c r="FP168" s="188"/>
      <c r="FQ168" s="188"/>
      <c r="FR168" s="188"/>
      <c r="FS168" s="188"/>
      <c r="FT168" s="188"/>
      <c r="FU168" s="188"/>
      <c r="FV168" s="188"/>
      <c r="FW168" s="188"/>
      <c r="FX168" s="188"/>
      <c r="FY168" s="188"/>
      <c r="FZ168" s="188"/>
      <c r="GA168" s="188"/>
      <c r="GB168" s="188"/>
      <c r="GC168" s="188"/>
      <c r="GD168" s="188"/>
      <c r="GE168" s="188"/>
      <c r="GF168" s="188"/>
      <c r="GG168" s="188"/>
      <c r="GH168" s="188"/>
      <c r="GI168" s="188"/>
      <c r="GJ168" s="188"/>
      <c r="GK168" s="188"/>
      <c r="GL168" s="188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  <c r="GY168" s="189"/>
      <c r="GZ168" s="187"/>
      <c r="HA168" s="188"/>
      <c r="HB168" s="188"/>
      <c r="HC168" s="188"/>
      <c r="HD168" s="189"/>
      <c r="HN168" s="198"/>
      <c r="HO168" s="199"/>
      <c r="HP168" s="199"/>
      <c r="HQ168" s="199"/>
      <c r="HR168" s="199"/>
      <c r="HS168" s="199"/>
      <c r="HT168" s="199"/>
      <c r="HU168" s="199"/>
      <c r="HV168" s="199"/>
      <c r="HW168" s="199"/>
      <c r="HX168" s="199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  <c r="IW168" s="199"/>
      <c r="IX168" s="199"/>
      <c r="IY168" s="199"/>
      <c r="IZ168" s="199"/>
      <c r="JA168" s="199"/>
      <c r="JB168" s="204"/>
      <c r="JC168" s="204"/>
      <c r="JD168" s="204"/>
      <c r="JE168" s="204"/>
      <c r="JF168" s="204"/>
      <c r="JG168" s="204"/>
      <c r="JH168" s="19"/>
      <c r="JN168" s="155"/>
      <c r="JR168" s="16"/>
      <c r="JU168" s="187"/>
      <c r="JV168" s="188"/>
      <c r="JW168" s="188"/>
      <c r="JX168" s="188"/>
      <c r="JY168" s="188"/>
      <c r="JZ168" s="188"/>
      <c r="KA168" s="188"/>
      <c r="KB168" s="188"/>
      <c r="KC168" s="188"/>
      <c r="KD168" s="188"/>
      <c r="KE168" s="188"/>
      <c r="KF168" s="188"/>
      <c r="KG168" s="188"/>
      <c r="KH168" s="188"/>
      <c r="KI168" s="188"/>
      <c r="KJ168" s="188"/>
      <c r="KK168" s="188"/>
      <c r="KL168" s="188"/>
      <c r="KM168" s="188"/>
      <c r="KN168" s="188"/>
      <c r="KO168" s="188"/>
      <c r="KP168" s="188"/>
      <c r="KQ168" s="188"/>
      <c r="KR168" s="188"/>
      <c r="KS168" s="188"/>
      <c r="KT168" s="188"/>
      <c r="KU168" s="188"/>
      <c r="KV168" s="188"/>
      <c r="KW168" s="188"/>
      <c r="KX168" s="188"/>
      <c r="KY168" s="188"/>
      <c r="KZ168" s="188"/>
      <c r="LA168" s="188"/>
      <c r="LB168" s="188"/>
      <c r="LC168" s="188"/>
      <c r="LD168" s="188"/>
      <c r="LE168" s="188"/>
      <c r="LF168" s="188"/>
      <c r="LG168" s="188"/>
      <c r="LH168" s="188"/>
      <c r="LI168" s="189"/>
      <c r="LJ168" s="187"/>
      <c r="LK168" s="188"/>
      <c r="LL168" s="188"/>
      <c r="LM168" s="188"/>
      <c r="LN168" s="189"/>
      <c r="LW168" s="12"/>
      <c r="LX168" s="7"/>
      <c r="LY168" s="3"/>
      <c r="LZ168" s="3"/>
      <c r="MA168" s="3"/>
      <c r="MB168" s="3"/>
      <c r="MC168" s="2"/>
      <c r="MQ168" s="3"/>
      <c r="MR168" s="3"/>
      <c r="MS168" s="3"/>
      <c r="MT168" s="3"/>
      <c r="MU168" s="3"/>
      <c r="MV168" s="2"/>
    </row>
    <row r="169" spans="3:360" ht="5.0999999999999996" customHeight="1" x14ac:dyDescent="0.3">
      <c r="C169" s="11"/>
      <c r="D169" s="13"/>
      <c r="Q169" s="187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  <c r="BE169" s="189"/>
      <c r="BF169" s="187"/>
      <c r="BG169" s="188"/>
      <c r="BH169" s="188"/>
      <c r="BI169" s="188"/>
      <c r="BJ169" s="189"/>
      <c r="BQ169" s="187"/>
      <c r="BR169" s="188"/>
      <c r="BS169" s="188"/>
      <c r="BT169" s="188"/>
      <c r="BU169" s="188"/>
      <c r="BV169" s="188"/>
      <c r="BW169" s="188"/>
      <c r="BX169" s="188"/>
      <c r="BY169" s="188"/>
      <c r="BZ169" s="188"/>
      <c r="CA169" s="188"/>
      <c r="CB169" s="188"/>
      <c r="CC169" s="188"/>
      <c r="CD169" s="188"/>
      <c r="CE169" s="188"/>
      <c r="CF169" s="188"/>
      <c r="CG169" s="188"/>
      <c r="CH169" s="188"/>
      <c r="CI169" s="188"/>
      <c r="CJ169" s="188"/>
      <c r="CK169" s="188"/>
      <c r="CL169" s="188"/>
      <c r="CM169" s="188"/>
      <c r="CN169" s="188"/>
      <c r="CO169" s="188"/>
      <c r="CP169" s="188"/>
      <c r="CQ169" s="188"/>
      <c r="CR169" s="188"/>
      <c r="CS169" s="188"/>
      <c r="CT169" s="188"/>
      <c r="CU169" s="188"/>
      <c r="CV169" s="188"/>
      <c r="CW169" s="188"/>
      <c r="CX169" s="188"/>
      <c r="CY169" s="188"/>
      <c r="CZ169" s="188"/>
      <c r="DA169" s="188"/>
      <c r="DB169" s="188"/>
      <c r="DC169" s="188"/>
      <c r="DD169" s="189"/>
      <c r="DE169" s="187"/>
      <c r="DF169" s="188"/>
      <c r="DG169" s="188"/>
      <c r="DH169" s="188"/>
      <c r="DI169" s="189"/>
      <c r="DO169" s="187"/>
      <c r="DP169" s="188"/>
      <c r="DQ169" s="188"/>
      <c r="DR169" s="188"/>
      <c r="DS169" s="188"/>
      <c r="DT169" s="188"/>
      <c r="DU169" s="188"/>
      <c r="DV169" s="188"/>
      <c r="DW169" s="188"/>
      <c r="DX169" s="188"/>
      <c r="DY169" s="188"/>
      <c r="DZ169" s="188"/>
      <c r="EA169" s="188"/>
      <c r="EB169" s="188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R169" s="188"/>
      <c r="ES169" s="188"/>
      <c r="ET169" s="188"/>
      <c r="EU169" s="188"/>
      <c r="EV169" s="188"/>
      <c r="EW169" s="188"/>
      <c r="EX169" s="188"/>
      <c r="EY169" s="188"/>
      <c r="EZ169" s="188"/>
      <c r="FA169" s="188"/>
      <c r="FB169" s="189"/>
      <c r="FC169" s="187"/>
      <c r="FD169" s="188"/>
      <c r="FE169" s="188"/>
      <c r="FF169" s="188"/>
      <c r="FG169" s="189"/>
      <c r="FL169" s="187"/>
      <c r="FM169" s="188"/>
      <c r="FN169" s="188"/>
      <c r="FO169" s="188"/>
      <c r="FP169" s="188"/>
      <c r="FQ169" s="188"/>
      <c r="FR169" s="188"/>
      <c r="FS169" s="188"/>
      <c r="FT169" s="188"/>
      <c r="FU169" s="188"/>
      <c r="FV169" s="188"/>
      <c r="FW169" s="188"/>
      <c r="FX169" s="188"/>
      <c r="FY169" s="188"/>
      <c r="FZ169" s="188"/>
      <c r="GA169" s="188"/>
      <c r="GB169" s="188"/>
      <c r="GC169" s="188"/>
      <c r="GD169" s="188"/>
      <c r="GE169" s="188"/>
      <c r="GF169" s="188"/>
      <c r="GG169" s="188"/>
      <c r="GH169" s="188"/>
      <c r="GI169" s="188"/>
      <c r="GJ169" s="188"/>
      <c r="GK169" s="188"/>
      <c r="GL169" s="188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  <c r="GY169" s="189"/>
      <c r="GZ169" s="187"/>
      <c r="HA169" s="188"/>
      <c r="HB169" s="188"/>
      <c r="HC169" s="188"/>
      <c r="HD169" s="189"/>
      <c r="HN169" s="198"/>
      <c r="HO169" s="199"/>
      <c r="HP169" s="199"/>
      <c r="HQ169" s="199"/>
      <c r="HR169" s="199"/>
      <c r="HS169" s="199"/>
      <c r="HT169" s="199"/>
      <c r="HU169" s="199"/>
      <c r="HV169" s="199"/>
      <c r="HW169" s="199"/>
      <c r="HX169" s="199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  <c r="IW169" s="199"/>
      <c r="IX169" s="199"/>
      <c r="IY169" s="199"/>
      <c r="IZ169" s="199"/>
      <c r="JA169" s="199"/>
      <c r="JB169" s="204"/>
      <c r="JC169" s="204"/>
      <c r="JD169" s="204"/>
      <c r="JE169" s="204"/>
      <c r="JF169" s="204"/>
      <c r="JG169" s="204"/>
      <c r="JH169" s="19"/>
      <c r="JN169" s="155"/>
      <c r="JR169" s="16"/>
      <c r="JU169" s="190"/>
      <c r="JV169" s="191"/>
      <c r="JW169" s="191"/>
      <c r="JX169" s="191"/>
      <c r="JY169" s="191"/>
      <c r="JZ169" s="191"/>
      <c r="KA169" s="191"/>
      <c r="KB169" s="191"/>
      <c r="KC169" s="191"/>
      <c r="KD169" s="191"/>
      <c r="KE169" s="191"/>
      <c r="KF169" s="191"/>
      <c r="KG169" s="191"/>
      <c r="KH169" s="191"/>
      <c r="KI169" s="191"/>
      <c r="KJ169" s="191"/>
      <c r="KK169" s="191"/>
      <c r="KL169" s="191"/>
      <c r="KM169" s="191"/>
      <c r="KN169" s="191"/>
      <c r="KO169" s="191"/>
      <c r="KP169" s="191"/>
      <c r="KQ169" s="191"/>
      <c r="KR169" s="191"/>
      <c r="KS169" s="191"/>
      <c r="KT169" s="191"/>
      <c r="KU169" s="191"/>
      <c r="KV169" s="191"/>
      <c r="KW169" s="191"/>
      <c r="KX169" s="191"/>
      <c r="KY169" s="191"/>
      <c r="KZ169" s="191"/>
      <c r="LA169" s="191"/>
      <c r="LB169" s="191"/>
      <c r="LC169" s="191"/>
      <c r="LD169" s="191"/>
      <c r="LE169" s="191"/>
      <c r="LF169" s="191"/>
      <c r="LG169" s="191"/>
      <c r="LH169" s="191"/>
      <c r="LI169" s="192"/>
      <c r="LJ169" s="190"/>
      <c r="LK169" s="191"/>
      <c r="LL169" s="191"/>
      <c r="LM169" s="191"/>
      <c r="LN169" s="192"/>
      <c r="LW169" s="12"/>
      <c r="LX169" s="7"/>
      <c r="LY169" s="3"/>
      <c r="LZ169" s="3"/>
      <c r="MA169" s="3"/>
      <c r="MB169" s="3"/>
      <c r="MC169" s="2"/>
      <c r="MQ169" s="3"/>
      <c r="MR169" s="3"/>
      <c r="MS169" s="3"/>
      <c r="MT169" s="3"/>
      <c r="MU169" s="3"/>
      <c r="MV169" s="2"/>
    </row>
    <row r="170" spans="3:360" ht="5.0999999999999996" customHeight="1" thickBot="1" x14ac:dyDescent="0.35">
      <c r="C170" s="11"/>
      <c r="D170" s="13"/>
      <c r="Q170" s="190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2"/>
      <c r="BF170" s="190"/>
      <c r="BG170" s="191"/>
      <c r="BH170" s="191"/>
      <c r="BI170" s="191"/>
      <c r="BJ170" s="192"/>
      <c r="BQ170" s="190"/>
      <c r="BR170" s="191"/>
      <c r="BS170" s="191"/>
      <c r="BT170" s="191"/>
      <c r="BU170" s="191"/>
      <c r="BV170" s="191"/>
      <c r="BW170" s="191"/>
      <c r="BX170" s="191"/>
      <c r="BY170" s="191"/>
      <c r="BZ170" s="191"/>
      <c r="CA170" s="191"/>
      <c r="CB170" s="191"/>
      <c r="CC170" s="191"/>
      <c r="CD170" s="191"/>
      <c r="CE170" s="191"/>
      <c r="CF170" s="191"/>
      <c r="CG170" s="191"/>
      <c r="CH170" s="191"/>
      <c r="CI170" s="191"/>
      <c r="CJ170" s="191"/>
      <c r="CK170" s="191"/>
      <c r="CL170" s="191"/>
      <c r="CM170" s="191"/>
      <c r="CN170" s="191"/>
      <c r="CO170" s="191"/>
      <c r="CP170" s="191"/>
      <c r="CQ170" s="191"/>
      <c r="CR170" s="191"/>
      <c r="CS170" s="191"/>
      <c r="CT170" s="191"/>
      <c r="CU170" s="191"/>
      <c r="CV170" s="191"/>
      <c r="CW170" s="191"/>
      <c r="CX170" s="191"/>
      <c r="CY170" s="191"/>
      <c r="CZ170" s="191"/>
      <c r="DA170" s="191"/>
      <c r="DB170" s="191"/>
      <c r="DC170" s="191"/>
      <c r="DD170" s="192"/>
      <c r="DE170" s="190"/>
      <c r="DF170" s="191"/>
      <c r="DG170" s="191"/>
      <c r="DH170" s="191"/>
      <c r="DI170" s="192"/>
      <c r="DO170" s="190"/>
      <c r="DP170" s="191"/>
      <c r="DQ170" s="191"/>
      <c r="DR170" s="191"/>
      <c r="DS170" s="191"/>
      <c r="DT170" s="191"/>
      <c r="DU170" s="191"/>
      <c r="DV170" s="191"/>
      <c r="DW170" s="191"/>
      <c r="DX170" s="191"/>
      <c r="DY170" s="191"/>
      <c r="DZ170" s="191"/>
      <c r="EA170" s="191"/>
      <c r="EB170" s="191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2"/>
      <c r="FC170" s="190"/>
      <c r="FD170" s="191"/>
      <c r="FE170" s="191"/>
      <c r="FF170" s="191"/>
      <c r="FG170" s="192"/>
      <c r="FL170" s="190"/>
      <c r="FM170" s="191"/>
      <c r="FN170" s="191"/>
      <c r="FO170" s="191"/>
      <c r="FP170" s="191"/>
      <c r="FQ170" s="191"/>
      <c r="FR170" s="191"/>
      <c r="FS170" s="191"/>
      <c r="FT170" s="191"/>
      <c r="FU170" s="191"/>
      <c r="FV170" s="191"/>
      <c r="FW170" s="191"/>
      <c r="FX170" s="191"/>
      <c r="FY170" s="191"/>
      <c r="FZ170" s="191"/>
      <c r="GA170" s="191"/>
      <c r="GB170" s="191"/>
      <c r="GC170" s="191"/>
      <c r="GD170" s="191"/>
      <c r="GE170" s="191"/>
      <c r="GF170" s="191"/>
      <c r="GG170" s="191"/>
      <c r="GH170" s="191"/>
      <c r="GI170" s="191"/>
      <c r="GJ170" s="191"/>
      <c r="GK170" s="191"/>
      <c r="GL170" s="191"/>
      <c r="GM170" s="191"/>
      <c r="GN170" s="191"/>
      <c r="GO170" s="191"/>
      <c r="GP170" s="191"/>
      <c r="GQ170" s="191"/>
      <c r="GR170" s="191"/>
      <c r="GS170" s="191"/>
      <c r="GT170" s="191"/>
      <c r="GU170" s="191"/>
      <c r="GV170" s="191"/>
      <c r="GW170" s="191"/>
      <c r="GX170" s="191"/>
      <c r="GY170" s="192"/>
      <c r="GZ170" s="190"/>
      <c r="HA170" s="191"/>
      <c r="HB170" s="191"/>
      <c r="HC170" s="191"/>
      <c r="HD170" s="192"/>
      <c r="HN170" s="201"/>
      <c r="HO170" s="202"/>
      <c r="HP170" s="202"/>
      <c r="HQ170" s="202"/>
      <c r="HR170" s="202"/>
      <c r="HS170" s="202"/>
      <c r="HT170" s="202"/>
      <c r="HU170" s="202"/>
      <c r="HV170" s="202"/>
      <c r="HW170" s="202"/>
      <c r="HX170" s="202"/>
      <c r="HY170" s="202"/>
      <c r="HZ170" s="202"/>
      <c r="IA170" s="202"/>
      <c r="IB170" s="202"/>
      <c r="IC170" s="202"/>
      <c r="ID170" s="202"/>
      <c r="IE170" s="202"/>
      <c r="IF170" s="202"/>
      <c r="IG170" s="202"/>
      <c r="IH170" s="202"/>
      <c r="II170" s="202"/>
      <c r="IJ170" s="202"/>
      <c r="IK170" s="202"/>
      <c r="IL170" s="202"/>
      <c r="IM170" s="202"/>
      <c r="IN170" s="202"/>
      <c r="IO170" s="202"/>
      <c r="IP170" s="202"/>
      <c r="IQ170" s="202"/>
      <c r="IR170" s="202"/>
      <c r="IS170" s="202"/>
      <c r="IT170" s="202"/>
      <c r="IU170" s="202"/>
      <c r="IV170" s="202"/>
      <c r="IW170" s="202"/>
      <c r="IX170" s="202"/>
      <c r="IY170" s="202"/>
      <c r="IZ170" s="202"/>
      <c r="JA170" s="202"/>
      <c r="JB170" s="204"/>
      <c r="JC170" s="204"/>
      <c r="JD170" s="204"/>
      <c r="JE170" s="204"/>
      <c r="JF170" s="204"/>
      <c r="JG170" s="204"/>
      <c r="JH170" s="19"/>
      <c r="JN170" s="155"/>
      <c r="JR170" s="16"/>
      <c r="JU170" s="184" t="s">
        <v>44</v>
      </c>
      <c r="JV170" s="185"/>
      <c r="JW170" s="185"/>
      <c r="JX170" s="185"/>
      <c r="JY170" s="185"/>
      <c r="JZ170" s="185"/>
      <c r="KA170" s="185"/>
      <c r="KB170" s="185"/>
      <c r="KC170" s="185"/>
      <c r="KD170" s="185"/>
      <c r="KE170" s="185"/>
      <c r="KF170" s="185"/>
      <c r="KG170" s="185"/>
      <c r="KH170" s="185"/>
      <c r="KI170" s="185"/>
      <c r="KJ170" s="185"/>
      <c r="KK170" s="185"/>
      <c r="KL170" s="185"/>
      <c r="KM170" s="185"/>
      <c r="KN170" s="185"/>
      <c r="KO170" s="185"/>
      <c r="KP170" s="185"/>
      <c r="KQ170" s="185"/>
      <c r="KR170" s="185"/>
      <c r="KS170" s="185"/>
      <c r="KT170" s="185"/>
      <c r="KU170" s="185"/>
      <c r="KV170" s="185"/>
      <c r="KW170" s="185"/>
      <c r="KX170" s="185"/>
      <c r="KY170" s="185"/>
      <c r="KZ170" s="185"/>
      <c r="LA170" s="185"/>
      <c r="LB170" s="185"/>
      <c r="LC170" s="185"/>
      <c r="LD170" s="185"/>
      <c r="LE170" s="185"/>
      <c r="LF170" s="185"/>
      <c r="LG170" s="185"/>
      <c r="LH170" s="185"/>
      <c r="LI170" s="186"/>
      <c r="LJ170" s="184">
        <v>2</v>
      </c>
      <c r="LK170" s="185"/>
      <c r="LL170" s="185"/>
      <c r="LM170" s="185"/>
      <c r="LN170" s="186"/>
      <c r="LW170" s="12"/>
      <c r="LX170" s="7"/>
      <c r="LY170" s="3"/>
      <c r="LZ170" s="3"/>
      <c r="MA170" s="3"/>
      <c r="MB170" s="3"/>
      <c r="MC170" s="2"/>
      <c r="MQ170" s="3"/>
      <c r="MR170" s="3"/>
      <c r="MS170" s="3"/>
      <c r="MT170" s="3"/>
      <c r="MU170" s="3"/>
      <c r="MV170" s="2"/>
    </row>
    <row r="171" spans="3:360" ht="5.0999999999999996" customHeight="1" x14ac:dyDescent="0.3">
      <c r="C171" s="11"/>
      <c r="D171" s="13"/>
      <c r="Q171" s="184" t="s">
        <v>73</v>
      </c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6"/>
      <c r="BF171" s="184">
        <v>2</v>
      </c>
      <c r="BG171" s="185"/>
      <c r="BH171" s="185"/>
      <c r="BI171" s="185"/>
      <c r="BJ171" s="186"/>
      <c r="CM171" s="54"/>
      <c r="CN171" s="18"/>
      <c r="DO171" s="184" t="s">
        <v>75</v>
      </c>
      <c r="DP171" s="185"/>
      <c r="DQ171" s="185"/>
      <c r="DR171" s="185"/>
      <c r="DS171" s="185"/>
      <c r="DT171" s="185"/>
      <c r="DU171" s="185"/>
      <c r="DV171" s="185"/>
      <c r="DW171" s="185"/>
      <c r="DX171" s="185"/>
      <c r="DY171" s="185"/>
      <c r="DZ171" s="185"/>
      <c r="EA171" s="185"/>
      <c r="EB171" s="185"/>
      <c r="EC171" s="185"/>
      <c r="ED171" s="185"/>
      <c r="EE171" s="185"/>
      <c r="EF171" s="185"/>
      <c r="EG171" s="185"/>
      <c r="EH171" s="185"/>
      <c r="EI171" s="185"/>
      <c r="EJ171" s="185"/>
      <c r="EK171" s="185"/>
      <c r="EL171" s="185"/>
      <c r="EM171" s="185"/>
      <c r="EN171" s="185"/>
      <c r="EO171" s="185"/>
      <c r="EP171" s="185"/>
      <c r="EQ171" s="185"/>
      <c r="ER171" s="185"/>
      <c r="ES171" s="185"/>
      <c r="ET171" s="185"/>
      <c r="EU171" s="185"/>
      <c r="EV171" s="185"/>
      <c r="EW171" s="185"/>
      <c r="EX171" s="185"/>
      <c r="EY171" s="185"/>
      <c r="EZ171" s="185"/>
      <c r="FA171" s="185">
        <v>1</v>
      </c>
      <c r="FB171" s="186"/>
      <c r="FC171" s="184">
        <v>7</v>
      </c>
      <c r="FD171" s="185"/>
      <c r="FE171" s="185"/>
      <c r="FF171" s="185"/>
      <c r="FG171" s="186"/>
      <c r="FL171" s="184" t="s">
        <v>53</v>
      </c>
      <c r="FM171" s="185"/>
      <c r="FN171" s="185"/>
      <c r="FO171" s="185"/>
      <c r="FP171" s="185"/>
      <c r="FQ171" s="185"/>
      <c r="FR171" s="185"/>
      <c r="FS171" s="185"/>
      <c r="FT171" s="185"/>
      <c r="FU171" s="185"/>
      <c r="FV171" s="185"/>
      <c r="FW171" s="185"/>
      <c r="FX171" s="185"/>
      <c r="FY171" s="185"/>
      <c r="FZ171" s="185"/>
      <c r="GA171" s="185"/>
      <c r="GB171" s="185"/>
      <c r="GC171" s="185"/>
      <c r="GD171" s="185"/>
      <c r="GE171" s="185"/>
      <c r="GF171" s="185"/>
      <c r="GG171" s="185"/>
      <c r="GH171" s="185"/>
      <c r="GI171" s="185"/>
      <c r="GJ171" s="185"/>
      <c r="GK171" s="185"/>
      <c r="GL171" s="185"/>
      <c r="GM171" s="185"/>
      <c r="GN171" s="185"/>
      <c r="GO171" s="185"/>
      <c r="GP171" s="185"/>
      <c r="GQ171" s="185"/>
      <c r="GR171" s="185"/>
      <c r="GS171" s="185"/>
      <c r="GT171" s="185"/>
      <c r="GU171" s="185"/>
      <c r="GV171" s="185"/>
      <c r="GW171" s="185"/>
      <c r="GX171" s="185"/>
      <c r="GY171" s="186"/>
      <c r="GZ171" s="184">
        <v>1</v>
      </c>
      <c r="HA171" s="185"/>
      <c r="HB171" s="185"/>
      <c r="HC171" s="185"/>
      <c r="HD171" s="186"/>
      <c r="HN171" s="216" t="s">
        <v>37</v>
      </c>
      <c r="HO171" s="217"/>
      <c r="HP171" s="217"/>
      <c r="HQ171" s="217"/>
      <c r="HR171" s="217"/>
      <c r="HS171" s="217"/>
      <c r="HT171" s="217"/>
      <c r="HU171" s="217"/>
      <c r="HV171" s="217"/>
      <c r="HW171" s="217"/>
      <c r="HX171" s="217"/>
      <c r="HY171" s="217"/>
      <c r="HZ171" s="217"/>
      <c r="IA171" s="217"/>
      <c r="IB171" s="217"/>
      <c r="IC171" s="217"/>
      <c r="ID171" s="217"/>
      <c r="IE171" s="217"/>
      <c r="IF171" s="217"/>
      <c r="IG171" s="217"/>
      <c r="IH171" s="217"/>
      <c r="II171" s="217"/>
      <c r="IJ171" s="217"/>
      <c r="IK171" s="217"/>
      <c r="IL171" s="217"/>
      <c r="IM171" s="217"/>
      <c r="IN171" s="217"/>
      <c r="IO171" s="217"/>
      <c r="IP171" s="217"/>
      <c r="IQ171" s="217"/>
      <c r="IR171" s="217"/>
      <c r="IS171" s="217"/>
      <c r="IT171" s="217"/>
      <c r="IU171" s="217"/>
      <c r="IV171" s="217"/>
      <c r="IW171" s="217"/>
      <c r="IX171" s="217"/>
      <c r="IY171" s="217"/>
      <c r="IZ171" s="217"/>
      <c r="JA171" s="217"/>
      <c r="JB171" s="187">
        <v>1</v>
      </c>
      <c r="JC171" s="188"/>
      <c r="JD171" s="188"/>
      <c r="JE171" s="188"/>
      <c r="JF171" s="188"/>
      <c r="JG171" s="189"/>
      <c r="JH171" s="52"/>
      <c r="JN171" s="155"/>
      <c r="JR171" s="16"/>
      <c r="JU171" s="187"/>
      <c r="JV171" s="188"/>
      <c r="JW171" s="188"/>
      <c r="JX171" s="188"/>
      <c r="JY171" s="188"/>
      <c r="JZ171" s="188"/>
      <c r="KA171" s="188"/>
      <c r="KB171" s="188"/>
      <c r="KC171" s="188"/>
      <c r="KD171" s="188"/>
      <c r="KE171" s="188"/>
      <c r="KF171" s="188"/>
      <c r="KG171" s="188"/>
      <c r="KH171" s="188"/>
      <c r="KI171" s="188"/>
      <c r="KJ171" s="188"/>
      <c r="KK171" s="188"/>
      <c r="KL171" s="188"/>
      <c r="KM171" s="188"/>
      <c r="KN171" s="188"/>
      <c r="KO171" s="188"/>
      <c r="KP171" s="188"/>
      <c r="KQ171" s="188"/>
      <c r="KR171" s="188"/>
      <c r="KS171" s="188"/>
      <c r="KT171" s="188"/>
      <c r="KU171" s="188"/>
      <c r="KV171" s="188"/>
      <c r="KW171" s="188"/>
      <c r="KX171" s="188"/>
      <c r="KY171" s="188"/>
      <c r="KZ171" s="188"/>
      <c r="LA171" s="188"/>
      <c r="LB171" s="188"/>
      <c r="LC171" s="188"/>
      <c r="LD171" s="188"/>
      <c r="LE171" s="188"/>
      <c r="LF171" s="188"/>
      <c r="LG171" s="188"/>
      <c r="LH171" s="188"/>
      <c r="LI171" s="189"/>
      <c r="LJ171" s="187"/>
      <c r="LK171" s="188"/>
      <c r="LL171" s="188"/>
      <c r="LM171" s="188"/>
      <c r="LN171" s="189"/>
      <c r="LW171" s="12"/>
      <c r="LX171" s="7"/>
      <c r="LY171" s="3"/>
      <c r="LZ171" s="3"/>
      <c r="MA171" s="3"/>
      <c r="MB171" s="3"/>
      <c r="MC171" s="2"/>
      <c r="MQ171" s="3"/>
      <c r="MR171" s="3"/>
      <c r="MS171" s="3"/>
      <c r="MT171" s="3"/>
      <c r="MU171" s="3"/>
      <c r="MV171" s="2"/>
    </row>
    <row r="172" spans="3:360" ht="5.0999999999999996" customHeight="1" x14ac:dyDescent="0.3">
      <c r="C172" s="11"/>
      <c r="D172" s="13"/>
      <c r="Q172" s="187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9"/>
      <c r="BF172" s="187"/>
      <c r="BG172" s="188"/>
      <c r="BH172" s="188"/>
      <c r="BI172" s="188"/>
      <c r="BJ172" s="189"/>
      <c r="CM172" s="19"/>
      <c r="DO172" s="187"/>
      <c r="DP172" s="188"/>
      <c r="DQ172" s="188"/>
      <c r="DR172" s="188"/>
      <c r="DS172" s="188"/>
      <c r="DT172" s="188"/>
      <c r="DU172" s="188"/>
      <c r="DV172" s="188"/>
      <c r="DW172" s="188"/>
      <c r="DX172" s="188"/>
      <c r="DY172" s="188"/>
      <c r="DZ172" s="188"/>
      <c r="EA172" s="188"/>
      <c r="EB172" s="188"/>
      <c r="EC172" s="188"/>
      <c r="ED172" s="188"/>
      <c r="EE172" s="188"/>
      <c r="EF172" s="188"/>
      <c r="EG172" s="188"/>
      <c r="EH172" s="188"/>
      <c r="EI172" s="188"/>
      <c r="EJ172" s="188"/>
      <c r="EK172" s="188"/>
      <c r="EL172" s="188"/>
      <c r="EM172" s="188"/>
      <c r="EN172" s="188"/>
      <c r="EO172" s="188"/>
      <c r="EP172" s="188"/>
      <c r="EQ172" s="188"/>
      <c r="ER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9"/>
      <c r="FC172" s="187"/>
      <c r="FD172" s="188"/>
      <c r="FE172" s="188"/>
      <c r="FF172" s="188"/>
      <c r="FG172" s="189"/>
      <c r="FL172" s="187"/>
      <c r="FM172" s="188"/>
      <c r="FN172" s="188"/>
      <c r="FO172" s="188"/>
      <c r="FP172" s="188"/>
      <c r="FQ172" s="188"/>
      <c r="FR172" s="188"/>
      <c r="FS172" s="188"/>
      <c r="FT172" s="188"/>
      <c r="FU172" s="188"/>
      <c r="FV172" s="188"/>
      <c r="FW172" s="188"/>
      <c r="FX172" s="188"/>
      <c r="FY172" s="188"/>
      <c r="FZ172" s="188"/>
      <c r="GA172" s="188"/>
      <c r="GB172" s="188"/>
      <c r="GC172" s="188"/>
      <c r="GD172" s="188"/>
      <c r="GE172" s="188"/>
      <c r="GF172" s="188"/>
      <c r="GG172" s="188"/>
      <c r="GH172" s="188"/>
      <c r="GI172" s="188"/>
      <c r="GJ172" s="188"/>
      <c r="GK172" s="188"/>
      <c r="GL172" s="188"/>
      <c r="GM172" s="188"/>
      <c r="GN172" s="188"/>
      <c r="GO172" s="188"/>
      <c r="GP172" s="188"/>
      <c r="GQ172" s="188"/>
      <c r="GR172" s="188"/>
      <c r="GS172" s="188"/>
      <c r="GT172" s="188"/>
      <c r="GU172" s="188"/>
      <c r="GV172" s="188"/>
      <c r="GW172" s="188"/>
      <c r="GX172" s="188"/>
      <c r="GY172" s="189"/>
      <c r="GZ172" s="187"/>
      <c r="HA172" s="188"/>
      <c r="HB172" s="188"/>
      <c r="HC172" s="188"/>
      <c r="HD172" s="189"/>
      <c r="HN172" s="219"/>
      <c r="HO172" s="220"/>
      <c r="HP172" s="220"/>
      <c r="HQ172" s="220"/>
      <c r="HR172" s="220"/>
      <c r="HS172" s="220"/>
      <c r="HT172" s="220"/>
      <c r="HU172" s="220"/>
      <c r="HV172" s="220"/>
      <c r="HW172" s="220"/>
      <c r="HX172" s="220"/>
      <c r="HY172" s="220"/>
      <c r="HZ172" s="220"/>
      <c r="IA172" s="220"/>
      <c r="IB172" s="220"/>
      <c r="IC172" s="220"/>
      <c r="ID172" s="220"/>
      <c r="IE172" s="220"/>
      <c r="IF172" s="220"/>
      <c r="IG172" s="220"/>
      <c r="IH172" s="220"/>
      <c r="II172" s="220"/>
      <c r="IJ172" s="220"/>
      <c r="IK172" s="220"/>
      <c r="IL172" s="220"/>
      <c r="IM172" s="220"/>
      <c r="IN172" s="220"/>
      <c r="IO172" s="220"/>
      <c r="IP172" s="220"/>
      <c r="IQ172" s="220"/>
      <c r="IR172" s="220"/>
      <c r="IS172" s="220"/>
      <c r="IT172" s="220"/>
      <c r="IU172" s="220"/>
      <c r="IV172" s="220"/>
      <c r="IW172" s="220"/>
      <c r="IX172" s="220"/>
      <c r="IY172" s="220"/>
      <c r="IZ172" s="220"/>
      <c r="JA172" s="220"/>
      <c r="JB172" s="187"/>
      <c r="JC172" s="188"/>
      <c r="JD172" s="188"/>
      <c r="JE172" s="188"/>
      <c r="JF172" s="188"/>
      <c r="JG172" s="189"/>
      <c r="JH172" s="53"/>
      <c r="JN172" s="155"/>
      <c r="JR172" s="16"/>
      <c r="JU172" s="187"/>
      <c r="JV172" s="188"/>
      <c r="JW172" s="188"/>
      <c r="JX172" s="188"/>
      <c r="JY172" s="188"/>
      <c r="JZ172" s="188"/>
      <c r="KA172" s="188"/>
      <c r="KB172" s="188"/>
      <c r="KC172" s="188"/>
      <c r="KD172" s="188"/>
      <c r="KE172" s="188"/>
      <c r="KF172" s="188"/>
      <c r="KG172" s="188"/>
      <c r="KH172" s="188"/>
      <c r="KI172" s="188"/>
      <c r="KJ172" s="188"/>
      <c r="KK172" s="188"/>
      <c r="KL172" s="188"/>
      <c r="KM172" s="188"/>
      <c r="KN172" s="188"/>
      <c r="KO172" s="188"/>
      <c r="KP172" s="188"/>
      <c r="KQ172" s="188"/>
      <c r="KR172" s="188"/>
      <c r="KS172" s="188"/>
      <c r="KT172" s="188"/>
      <c r="KU172" s="188"/>
      <c r="KV172" s="188"/>
      <c r="KW172" s="188"/>
      <c r="KX172" s="188"/>
      <c r="KY172" s="188"/>
      <c r="KZ172" s="188"/>
      <c r="LA172" s="188"/>
      <c r="LB172" s="188"/>
      <c r="LC172" s="188"/>
      <c r="LD172" s="188"/>
      <c r="LE172" s="188"/>
      <c r="LF172" s="188"/>
      <c r="LG172" s="188"/>
      <c r="LH172" s="188"/>
      <c r="LI172" s="189"/>
      <c r="LJ172" s="187"/>
      <c r="LK172" s="188"/>
      <c r="LL172" s="188"/>
      <c r="LM172" s="188"/>
      <c r="LN172" s="189"/>
      <c r="LW172" s="12"/>
      <c r="LX172" s="7"/>
      <c r="LY172" s="3"/>
      <c r="LZ172" s="3"/>
      <c r="MA172" s="3"/>
      <c r="MB172" s="3"/>
      <c r="MC172" s="2"/>
      <c r="MQ172" s="3"/>
      <c r="MR172" s="3"/>
      <c r="MS172" s="3"/>
      <c r="MT172" s="3"/>
      <c r="MU172" s="3"/>
      <c r="MV172" s="2"/>
    </row>
    <row r="173" spans="3:360" ht="5.0999999999999996" customHeight="1" x14ac:dyDescent="0.3">
      <c r="C173" s="11"/>
      <c r="D173" s="13"/>
      <c r="Q173" s="187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  <c r="BD173" s="188"/>
      <c r="BE173" s="189"/>
      <c r="BF173" s="187"/>
      <c r="BG173" s="188"/>
      <c r="BH173" s="188"/>
      <c r="BI173" s="188"/>
      <c r="BJ173" s="189"/>
      <c r="BQ173" s="184" t="s">
        <v>74</v>
      </c>
      <c r="BR173" s="185"/>
      <c r="BS173" s="185"/>
      <c r="BT173" s="185"/>
      <c r="BU173" s="185"/>
      <c r="BV173" s="185"/>
      <c r="BW173" s="185"/>
      <c r="BX173" s="185"/>
      <c r="BY173" s="185"/>
      <c r="BZ173" s="185"/>
      <c r="CA173" s="185"/>
      <c r="CB173" s="185"/>
      <c r="CC173" s="185"/>
      <c r="CD173" s="185"/>
      <c r="CE173" s="185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5"/>
      <c r="CP173" s="185"/>
      <c r="CQ173" s="185"/>
      <c r="CR173" s="185"/>
      <c r="CS173" s="185"/>
      <c r="CT173" s="185"/>
      <c r="CU173" s="185"/>
      <c r="CV173" s="185"/>
      <c r="CW173" s="185"/>
      <c r="CX173" s="185"/>
      <c r="CY173" s="185"/>
      <c r="CZ173" s="185"/>
      <c r="DA173" s="185"/>
      <c r="DB173" s="185"/>
      <c r="DC173" s="185">
        <v>1</v>
      </c>
      <c r="DD173" s="186"/>
      <c r="DE173" s="184">
        <v>12</v>
      </c>
      <c r="DF173" s="185"/>
      <c r="DG173" s="185"/>
      <c r="DH173" s="185"/>
      <c r="DI173" s="186"/>
      <c r="DO173" s="187"/>
      <c r="DP173" s="188"/>
      <c r="DQ173" s="188"/>
      <c r="DR173" s="188"/>
      <c r="DS173" s="188"/>
      <c r="DT173" s="188"/>
      <c r="DU173" s="188"/>
      <c r="DV173" s="188"/>
      <c r="DW173" s="188"/>
      <c r="DX173" s="188"/>
      <c r="DY173" s="188"/>
      <c r="DZ173" s="188"/>
      <c r="EA173" s="188"/>
      <c r="EB173" s="188"/>
      <c r="EC173" s="188"/>
      <c r="ED173" s="188"/>
      <c r="EE173" s="188"/>
      <c r="EF173" s="188"/>
      <c r="EG173" s="188"/>
      <c r="EH173" s="188"/>
      <c r="EI173" s="188"/>
      <c r="EJ173" s="188"/>
      <c r="EK173" s="188"/>
      <c r="EL173" s="188"/>
      <c r="EM173" s="188"/>
      <c r="EN173" s="188"/>
      <c r="EO173" s="188"/>
      <c r="EP173" s="188"/>
      <c r="EQ173" s="188"/>
      <c r="ER173" s="188"/>
      <c r="ES173" s="188"/>
      <c r="ET173" s="188"/>
      <c r="EU173" s="188"/>
      <c r="EV173" s="188"/>
      <c r="EW173" s="188"/>
      <c r="EX173" s="188"/>
      <c r="EY173" s="188"/>
      <c r="EZ173" s="188"/>
      <c r="FA173" s="188"/>
      <c r="FB173" s="189"/>
      <c r="FC173" s="187"/>
      <c r="FD173" s="188"/>
      <c r="FE173" s="188"/>
      <c r="FF173" s="188"/>
      <c r="FG173" s="189"/>
      <c r="FL173" s="187"/>
      <c r="FM173" s="188"/>
      <c r="FN173" s="188"/>
      <c r="FO173" s="188"/>
      <c r="FP173" s="188"/>
      <c r="FQ173" s="188"/>
      <c r="FR173" s="188"/>
      <c r="FS173" s="188"/>
      <c r="FT173" s="188"/>
      <c r="FU173" s="188"/>
      <c r="FV173" s="188"/>
      <c r="FW173" s="188"/>
      <c r="FX173" s="188"/>
      <c r="FY173" s="188"/>
      <c r="FZ173" s="188"/>
      <c r="GA173" s="188"/>
      <c r="GB173" s="188"/>
      <c r="GC173" s="188"/>
      <c r="GD173" s="188"/>
      <c r="GE173" s="188"/>
      <c r="GF173" s="188"/>
      <c r="GG173" s="188"/>
      <c r="GH173" s="188"/>
      <c r="GI173" s="188"/>
      <c r="GJ173" s="188"/>
      <c r="GK173" s="188"/>
      <c r="GL173" s="188"/>
      <c r="GM173" s="188"/>
      <c r="GN173" s="188"/>
      <c r="GO173" s="188"/>
      <c r="GP173" s="188"/>
      <c r="GQ173" s="188"/>
      <c r="GR173" s="188"/>
      <c r="GS173" s="188"/>
      <c r="GT173" s="188"/>
      <c r="GU173" s="188"/>
      <c r="GV173" s="188"/>
      <c r="GW173" s="188"/>
      <c r="GX173" s="188"/>
      <c r="GY173" s="189"/>
      <c r="GZ173" s="187"/>
      <c r="HA173" s="188"/>
      <c r="HB173" s="188"/>
      <c r="HC173" s="188"/>
      <c r="HD173" s="189"/>
      <c r="HL173" s="14"/>
      <c r="HN173" s="219"/>
      <c r="HO173" s="220"/>
      <c r="HP173" s="220"/>
      <c r="HQ173" s="220"/>
      <c r="HR173" s="220"/>
      <c r="HS173" s="220"/>
      <c r="HT173" s="220"/>
      <c r="HU173" s="220"/>
      <c r="HV173" s="220"/>
      <c r="HW173" s="220"/>
      <c r="HX173" s="220"/>
      <c r="HY173" s="220"/>
      <c r="HZ173" s="220"/>
      <c r="IA173" s="220"/>
      <c r="IB173" s="220"/>
      <c r="IC173" s="220"/>
      <c r="ID173" s="220"/>
      <c r="IE173" s="220"/>
      <c r="IF173" s="220"/>
      <c r="IG173" s="220"/>
      <c r="IH173" s="220"/>
      <c r="II173" s="220"/>
      <c r="IJ173" s="220"/>
      <c r="IK173" s="220"/>
      <c r="IL173" s="220"/>
      <c r="IM173" s="220"/>
      <c r="IN173" s="220"/>
      <c r="IO173" s="220"/>
      <c r="IP173" s="220"/>
      <c r="IQ173" s="220"/>
      <c r="IR173" s="220"/>
      <c r="IS173" s="220"/>
      <c r="IT173" s="220"/>
      <c r="IU173" s="220"/>
      <c r="IV173" s="220"/>
      <c r="IW173" s="220"/>
      <c r="IX173" s="220"/>
      <c r="IY173" s="220"/>
      <c r="IZ173" s="220"/>
      <c r="JA173" s="220"/>
      <c r="JB173" s="187"/>
      <c r="JC173" s="188"/>
      <c r="JD173" s="188"/>
      <c r="JE173" s="188"/>
      <c r="JF173" s="188"/>
      <c r="JG173" s="189"/>
      <c r="JH173" s="53"/>
      <c r="JN173" s="155"/>
      <c r="JR173" s="16"/>
      <c r="JU173" s="187"/>
      <c r="JV173" s="188"/>
      <c r="JW173" s="188"/>
      <c r="JX173" s="188"/>
      <c r="JY173" s="188"/>
      <c r="JZ173" s="188"/>
      <c r="KA173" s="188"/>
      <c r="KB173" s="188"/>
      <c r="KC173" s="188"/>
      <c r="KD173" s="188"/>
      <c r="KE173" s="188"/>
      <c r="KF173" s="188"/>
      <c r="KG173" s="188"/>
      <c r="KH173" s="188"/>
      <c r="KI173" s="188"/>
      <c r="KJ173" s="188"/>
      <c r="KK173" s="188"/>
      <c r="KL173" s="188"/>
      <c r="KM173" s="188"/>
      <c r="KN173" s="188"/>
      <c r="KO173" s="188"/>
      <c r="KP173" s="188"/>
      <c r="KQ173" s="188"/>
      <c r="KR173" s="188"/>
      <c r="KS173" s="188"/>
      <c r="KT173" s="188"/>
      <c r="KU173" s="188"/>
      <c r="KV173" s="188"/>
      <c r="KW173" s="188"/>
      <c r="KX173" s="188"/>
      <c r="KY173" s="188"/>
      <c r="KZ173" s="188"/>
      <c r="LA173" s="188"/>
      <c r="LB173" s="188"/>
      <c r="LC173" s="188"/>
      <c r="LD173" s="188"/>
      <c r="LE173" s="188"/>
      <c r="LF173" s="188"/>
      <c r="LG173" s="188"/>
      <c r="LH173" s="188"/>
      <c r="LI173" s="189"/>
      <c r="LJ173" s="187"/>
      <c r="LK173" s="188"/>
      <c r="LL173" s="188"/>
      <c r="LM173" s="188"/>
      <c r="LN173" s="189"/>
      <c r="LW173" s="12"/>
      <c r="LX173" s="7"/>
      <c r="LY173" s="3"/>
      <c r="LZ173" s="3"/>
      <c r="MA173" s="3"/>
      <c r="MB173" s="3"/>
      <c r="MC173" s="2"/>
      <c r="MQ173" s="3"/>
      <c r="MR173" s="3"/>
      <c r="MS173" s="3"/>
      <c r="MT173" s="3"/>
      <c r="MU173" s="3"/>
      <c r="MV173" s="2"/>
    </row>
    <row r="174" spans="3:360" ht="5.0999999999999996" customHeight="1" x14ac:dyDescent="0.3">
      <c r="C174" s="11"/>
      <c r="D174" s="13"/>
      <c r="Q174" s="187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  <c r="BD174" s="188"/>
      <c r="BE174" s="189"/>
      <c r="BF174" s="187"/>
      <c r="BG174" s="188"/>
      <c r="BH174" s="188"/>
      <c r="BI174" s="188"/>
      <c r="BJ174" s="189"/>
      <c r="BQ174" s="187"/>
      <c r="BR174" s="188"/>
      <c r="BS174" s="188"/>
      <c r="BT174" s="188"/>
      <c r="BU174" s="188"/>
      <c r="BV174" s="188"/>
      <c r="BW174" s="188"/>
      <c r="BX174" s="188"/>
      <c r="BY174" s="188"/>
      <c r="BZ174" s="188"/>
      <c r="CA174" s="188"/>
      <c r="CB174" s="188"/>
      <c r="CC174" s="188"/>
      <c r="CD174" s="188"/>
      <c r="CE174" s="188"/>
      <c r="CF174" s="188"/>
      <c r="CG174" s="188"/>
      <c r="CH174" s="188"/>
      <c r="CI174" s="188"/>
      <c r="CJ174" s="188"/>
      <c r="CK174" s="188"/>
      <c r="CL174" s="188"/>
      <c r="CM174" s="188"/>
      <c r="CN174" s="188"/>
      <c r="CO174" s="188"/>
      <c r="CP174" s="188"/>
      <c r="CQ174" s="188"/>
      <c r="CR174" s="188"/>
      <c r="CS174" s="188"/>
      <c r="CT174" s="188"/>
      <c r="CU174" s="188"/>
      <c r="CV174" s="188"/>
      <c r="CW174" s="188"/>
      <c r="CX174" s="188"/>
      <c r="CY174" s="188"/>
      <c r="CZ174" s="188"/>
      <c r="DA174" s="188"/>
      <c r="DB174" s="188"/>
      <c r="DC174" s="188"/>
      <c r="DD174" s="189"/>
      <c r="DE174" s="187"/>
      <c r="DF174" s="188"/>
      <c r="DG174" s="188"/>
      <c r="DH174" s="188"/>
      <c r="DI174" s="189"/>
      <c r="DO174" s="187"/>
      <c r="DP174" s="188"/>
      <c r="DQ174" s="188"/>
      <c r="DR174" s="188"/>
      <c r="DS174" s="188"/>
      <c r="DT174" s="188"/>
      <c r="DU174" s="188"/>
      <c r="DV174" s="188"/>
      <c r="DW174" s="188"/>
      <c r="DX174" s="188"/>
      <c r="DY174" s="188"/>
      <c r="DZ174" s="188"/>
      <c r="EA174" s="188"/>
      <c r="EB174" s="188"/>
      <c r="EC174" s="188"/>
      <c r="ED174" s="188"/>
      <c r="EE174" s="188"/>
      <c r="EF174" s="188"/>
      <c r="EG174" s="188"/>
      <c r="EH174" s="188"/>
      <c r="EI174" s="188"/>
      <c r="EJ174" s="188"/>
      <c r="EK174" s="188"/>
      <c r="EL174" s="188"/>
      <c r="EM174" s="188"/>
      <c r="EN174" s="188"/>
      <c r="EO174" s="188"/>
      <c r="EP174" s="188"/>
      <c r="EQ174" s="188"/>
      <c r="ER174" s="188"/>
      <c r="ES174" s="188"/>
      <c r="ET174" s="188"/>
      <c r="EU174" s="188"/>
      <c r="EV174" s="188"/>
      <c r="EW174" s="188"/>
      <c r="EX174" s="188"/>
      <c r="EY174" s="188"/>
      <c r="EZ174" s="188"/>
      <c r="FA174" s="188"/>
      <c r="FB174" s="189"/>
      <c r="FC174" s="187"/>
      <c r="FD174" s="188"/>
      <c r="FE174" s="188"/>
      <c r="FF174" s="188"/>
      <c r="FG174" s="189"/>
      <c r="FL174" s="187"/>
      <c r="FM174" s="188"/>
      <c r="FN174" s="188"/>
      <c r="FO174" s="188"/>
      <c r="FP174" s="188"/>
      <c r="FQ174" s="188"/>
      <c r="FR174" s="188"/>
      <c r="FS174" s="188"/>
      <c r="FT174" s="188"/>
      <c r="FU174" s="188"/>
      <c r="FV174" s="188"/>
      <c r="FW174" s="188"/>
      <c r="FX174" s="188"/>
      <c r="FY174" s="188"/>
      <c r="FZ174" s="188"/>
      <c r="GA174" s="188"/>
      <c r="GB174" s="188"/>
      <c r="GC174" s="188"/>
      <c r="GD174" s="188"/>
      <c r="GE174" s="188"/>
      <c r="GF174" s="188"/>
      <c r="GG174" s="188"/>
      <c r="GH174" s="188"/>
      <c r="GI174" s="188"/>
      <c r="GJ174" s="188"/>
      <c r="GK174" s="188"/>
      <c r="GL174" s="188"/>
      <c r="GM174" s="188"/>
      <c r="GN174" s="188"/>
      <c r="GO174" s="188"/>
      <c r="GP174" s="188"/>
      <c r="GQ174" s="188"/>
      <c r="GR174" s="188"/>
      <c r="GS174" s="188"/>
      <c r="GT174" s="188"/>
      <c r="GU174" s="188"/>
      <c r="GV174" s="188"/>
      <c r="GW174" s="188"/>
      <c r="GX174" s="188"/>
      <c r="GY174" s="189"/>
      <c r="GZ174" s="187"/>
      <c r="HA174" s="188"/>
      <c r="HB174" s="188"/>
      <c r="HC174" s="188"/>
      <c r="HD174" s="189"/>
      <c r="HL174" s="14"/>
      <c r="HN174" s="219"/>
      <c r="HO174" s="220"/>
      <c r="HP174" s="220"/>
      <c r="HQ174" s="220"/>
      <c r="HR174" s="220"/>
      <c r="HS174" s="220"/>
      <c r="HT174" s="220"/>
      <c r="HU174" s="220"/>
      <c r="HV174" s="220"/>
      <c r="HW174" s="220"/>
      <c r="HX174" s="220"/>
      <c r="HY174" s="220"/>
      <c r="HZ174" s="220"/>
      <c r="IA174" s="220"/>
      <c r="IB174" s="220"/>
      <c r="IC174" s="220"/>
      <c r="ID174" s="220"/>
      <c r="IE174" s="220"/>
      <c r="IF174" s="220"/>
      <c r="IG174" s="220"/>
      <c r="IH174" s="220"/>
      <c r="II174" s="220"/>
      <c r="IJ174" s="220"/>
      <c r="IK174" s="220"/>
      <c r="IL174" s="220"/>
      <c r="IM174" s="220"/>
      <c r="IN174" s="220"/>
      <c r="IO174" s="220"/>
      <c r="IP174" s="220"/>
      <c r="IQ174" s="220"/>
      <c r="IR174" s="220"/>
      <c r="IS174" s="220"/>
      <c r="IT174" s="220"/>
      <c r="IU174" s="220"/>
      <c r="IV174" s="220"/>
      <c r="IW174" s="220"/>
      <c r="IX174" s="220"/>
      <c r="IY174" s="220"/>
      <c r="IZ174" s="220"/>
      <c r="JA174" s="220"/>
      <c r="JB174" s="187"/>
      <c r="JC174" s="188"/>
      <c r="JD174" s="188"/>
      <c r="JE174" s="188"/>
      <c r="JF174" s="188"/>
      <c r="JG174" s="189"/>
      <c r="JH174" s="19"/>
      <c r="JN174" s="155"/>
      <c r="JR174" s="16"/>
      <c r="JU174" s="187"/>
      <c r="JV174" s="188"/>
      <c r="JW174" s="188"/>
      <c r="JX174" s="188"/>
      <c r="JY174" s="188"/>
      <c r="JZ174" s="188"/>
      <c r="KA174" s="188"/>
      <c r="KB174" s="188"/>
      <c r="KC174" s="188"/>
      <c r="KD174" s="188"/>
      <c r="KE174" s="188"/>
      <c r="KF174" s="188"/>
      <c r="KG174" s="188"/>
      <c r="KH174" s="188"/>
      <c r="KI174" s="188"/>
      <c r="KJ174" s="188"/>
      <c r="KK174" s="188"/>
      <c r="KL174" s="188"/>
      <c r="KM174" s="188"/>
      <c r="KN174" s="188"/>
      <c r="KO174" s="188"/>
      <c r="KP174" s="188"/>
      <c r="KQ174" s="188"/>
      <c r="KR174" s="188"/>
      <c r="KS174" s="188"/>
      <c r="KT174" s="188"/>
      <c r="KU174" s="188"/>
      <c r="KV174" s="188"/>
      <c r="KW174" s="188"/>
      <c r="KX174" s="188"/>
      <c r="KY174" s="188"/>
      <c r="KZ174" s="188"/>
      <c r="LA174" s="188"/>
      <c r="LB174" s="188"/>
      <c r="LC174" s="188"/>
      <c r="LD174" s="188"/>
      <c r="LE174" s="188"/>
      <c r="LF174" s="188"/>
      <c r="LG174" s="188"/>
      <c r="LH174" s="188"/>
      <c r="LI174" s="189"/>
      <c r="LJ174" s="187"/>
      <c r="LK174" s="188"/>
      <c r="LL174" s="188"/>
      <c r="LM174" s="188"/>
      <c r="LN174" s="189"/>
      <c r="LW174" s="12"/>
      <c r="LX174" s="7"/>
      <c r="LY174" s="3"/>
      <c r="LZ174" s="3"/>
      <c r="MA174" s="3"/>
      <c r="MB174" s="3"/>
      <c r="MC174" s="2"/>
      <c r="MQ174" s="3"/>
      <c r="MR174" s="3"/>
      <c r="MS174" s="3"/>
      <c r="MT174" s="3"/>
      <c r="MU174" s="3"/>
      <c r="MV174" s="2"/>
    </row>
    <row r="175" spans="3:360" ht="5.0999999999999996" customHeight="1" x14ac:dyDescent="0.3">
      <c r="C175" s="11"/>
      <c r="D175" s="13"/>
      <c r="Q175" s="187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9"/>
      <c r="BF175" s="187"/>
      <c r="BG175" s="188"/>
      <c r="BH175" s="188"/>
      <c r="BI175" s="188"/>
      <c r="BJ175" s="189"/>
      <c r="BQ175" s="187"/>
      <c r="BR175" s="188"/>
      <c r="BS175" s="188"/>
      <c r="BT175" s="188"/>
      <c r="BU175" s="188"/>
      <c r="BV175" s="188"/>
      <c r="BW175" s="188"/>
      <c r="BX175" s="188"/>
      <c r="BY175" s="188"/>
      <c r="BZ175" s="188"/>
      <c r="CA175" s="188"/>
      <c r="CB175" s="188"/>
      <c r="CC175" s="188"/>
      <c r="CD175" s="188"/>
      <c r="CE175" s="188"/>
      <c r="CF175" s="188"/>
      <c r="CG175" s="188"/>
      <c r="CH175" s="188"/>
      <c r="CI175" s="188"/>
      <c r="CJ175" s="188"/>
      <c r="CK175" s="188"/>
      <c r="CL175" s="188"/>
      <c r="CM175" s="188"/>
      <c r="CN175" s="188"/>
      <c r="CO175" s="188"/>
      <c r="CP175" s="188"/>
      <c r="CQ175" s="188"/>
      <c r="CR175" s="188"/>
      <c r="CS175" s="188"/>
      <c r="CT175" s="188"/>
      <c r="CU175" s="188"/>
      <c r="CV175" s="188"/>
      <c r="CW175" s="188"/>
      <c r="CX175" s="188"/>
      <c r="CY175" s="188"/>
      <c r="CZ175" s="188"/>
      <c r="DA175" s="188"/>
      <c r="DB175" s="188"/>
      <c r="DC175" s="188"/>
      <c r="DD175" s="189"/>
      <c r="DE175" s="187"/>
      <c r="DF175" s="188"/>
      <c r="DG175" s="188"/>
      <c r="DH175" s="188"/>
      <c r="DI175" s="189"/>
      <c r="DO175" s="187"/>
      <c r="DP175" s="188"/>
      <c r="DQ175" s="188"/>
      <c r="DR175" s="188"/>
      <c r="DS175" s="188"/>
      <c r="DT175" s="188"/>
      <c r="DU175" s="188"/>
      <c r="DV175" s="188"/>
      <c r="DW175" s="188"/>
      <c r="DX175" s="188"/>
      <c r="DY175" s="188"/>
      <c r="DZ175" s="188"/>
      <c r="EA175" s="188"/>
      <c r="EB175" s="188"/>
      <c r="EC175" s="188"/>
      <c r="ED175" s="188"/>
      <c r="EE175" s="188"/>
      <c r="EF175" s="188"/>
      <c r="EG175" s="188"/>
      <c r="EH175" s="188"/>
      <c r="EI175" s="188"/>
      <c r="EJ175" s="188"/>
      <c r="EK175" s="188"/>
      <c r="EL175" s="188"/>
      <c r="EM175" s="188"/>
      <c r="EN175" s="188"/>
      <c r="EO175" s="188"/>
      <c r="EP175" s="188"/>
      <c r="EQ175" s="188"/>
      <c r="ER175" s="188"/>
      <c r="ES175" s="188"/>
      <c r="ET175" s="188"/>
      <c r="EU175" s="188"/>
      <c r="EV175" s="188"/>
      <c r="EW175" s="188"/>
      <c r="EX175" s="188"/>
      <c r="EY175" s="188"/>
      <c r="EZ175" s="188"/>
      <c r="FA175" s="188"/>
      <c r="FB175" s="189"/>
      <c r="FC175" s="187"/>
      <c r="FD175" s="188"/>
      <c r="FE175" s="188"/>
      <c r="FF175" s="188"/>
      <c r="FG175" s="189"/>
      <c r="FL175" s="187"/>
      <c r="FM175" s="188"/>
      <c r="FN175" s="188"/>
      <c r="FO175" s="188"/>
      <c r="FP175" s="188"/>
      <c r="FQ175" s="188"/>
      <c r="FR175" s="188"/>
      <c r="FS175" s="188"/>
      <c r="FT175" s="188"/>
      <c r="FU175" s="188"/>
      <c r="FV175" s="188"/>
      <c r="FW175" s="188"/>
      <c r="FX175" s="188"/>
      <c r="FY175" s="188"/>
      <c r="FZ175" s="188"/>
      <c r="GA175" s="188"/>
      <c r="GB175" s="188"/>
      <c r="GC175" s="188"/>
      <c r="GD175" s="188"/>
      <c r="GE175" s="188"/>
      <c r="GF175" s="188"/>
      <c r="GG175" s="188"/>
      <c r="GH175" s="188"/>
      <c r="GI175" s="188"/>
      <c r="GJ175" s="188"/>
      <c r="GK175" s="188"/>
      <c r="GL175" s="188"/>
      <c r="GM175" s="188"/>
      <c r="GN175" s="188"/>
      <c r="GO175" s="188"/>
      <c r="GP175" s="188"/>
      <c r="GQ175" s="188"/>
      <c r="GR175" s="188"/>
      <c r="GS175" s="188"/>
      <c r="GT175" s="188"/>
      <c r="GU175" s="188"/>
      <c r="GV175" s="188"/>
      <c r="GW175" s="188"/>
      <c r="GX175" s="188"/>
      <c r="GY175" s="189"/>
      <c r="GZ175" s="187"/>
      <c r="HA175" s="188"/>
      <c r="HB175" s="188"/>
      <c r="HC175" s="188"/>
      <c r="HD175" s="189"/>
      <c r="HL175" s="14"/>
      <c r="HN175" s="219"/>
      <c r="HO175" s="220"/>
      <c r="HP175" s="220"/>
      <c r="HQ175" s="220"/>
      <c r="HR175" s="220"/>
      <c r="HS175" s="220"/>
      <c r="HT175" s="220"/>
      <c r="HU175" s="220"/>
      <c r="HV175" s="220"/>
      <c r="HW175" s="220"/>
      <c r="HX175" s="220"/>
      <c r="HY175" s="220"/>
      <c r="HZ175" s="220"/>
      <c r="IA175" s="220"/>
      <c r="IB175" s="220"/>
      <c r="IC175" s="220"/>
      <c r="ID175" s="220"/>
      <c r="IE175" s="220"/>
      <c r="IF175" s="220"/>
      <c r="IG175" s="220"/>
      <c r="IH175" s="220"/>
      <c r="II175" s="220"/>
      <c r="IJ175" s="220"/>
      <c r="IK175" s="220"/>
      <c r="IL175" s="220"/>
      <c r="IM175" s="220"/>
      <c r="IN175" s="220"/>
      <c r="IO175" s="220"/>
      <c r="IP175" s="220"/>
      <c r="IQ175" s="220"/>
      <c r="IR175" s="220"/>
      <c r="IS175" s="220"/>
      <c r="IT175" s="220"/>
      <c r="IU175" s="220"/>
      <c r="IV175" s="220"/>
      <c r="IW175" s="220"/>
      <c r="IX175" s="220"/>
      <c r="IY175" s="220"/>
      <c r="IZ175" s="220"/>
      <c r="JA175" s="220"/>
      <c r="JB175" s="187"/>
      <c r="JC175" s="188"/>
      <c r="JD175" s="188"/>
      <c r="JE175" s="188"/>
      <c r="JF175" s="188"/>
      <c r="JG175" s="189"/>
      <c r="JH175" s="19"/>
      <c r="JN175" s="155"/>
      <c r="JR175" s="16"/>
      <c r="JU175" s="187"/>
      <c r="JV175" s="188"/>
      <c r="JW175" s="188"/>
      <c r="JX175" s="188"/>
      <c r="JY175" s="188"/>
      <c r="JZ175" s="188"/>
      <c r="KA175" s="188"/>
      <c r="KB175" s="188"/>
      <c r="KC175" s="188"/>
      <c r="KD175" s="188"/>
      <c r="KE175" s="188"/>
      <c r="KF175" s="188"/>
      <c r="KG175" s="188"/>
      <c r="KH175" s="188"/>
      <c r="KI175" s="188"/>
      <c r="KJ175" s="188"/>
      <c r="KK175" s="188"/>
      <c r="KL175" s="188"/>
      <c r="KM175" s="188"/>
      <c r="KN175" s="188"/>
      <c r="KO175" s="188"/>
      <c r="KP175" s="188"/>
      <c r="KQ175" s="188"/>
      <c r="KR175" s="188"/>
      <c r="KS175" s="188"/>
      <c r="KT175" s="188"/>
      <c r="KU175" s="188"/>
      <c r="KV175" s="188"/>
      <c r="KW175" s="188"/>
      <c r="KX175" s="188"/>
      <c r="KY175" s="188"/>
      <c r="KZ175" s="188"/>
      <c r="LA175" s="188"/>
      <c r="LB175" s="188"/>
      <c r="LC175" s="188"/>
      <c r="LD175" s="188"/>
      <c r="LE175" s="188"/>
      <c r="LF175" s="188"/>
      <c r="LG175" s="188"/>
      <c r="LH175" s="188"/>
      <c r="LI175" s="189"/>
      <c r="LJ175" s="187"/>
      <c r="LK175" s="188"/>
      <c r="LL175" s="188"/>
      <c r="LM175" s="188"/>
      <c r="LN175" s="189"/>
      <c r="LW175" s="12"/>
      <c r="LX175" s="7"/>
      <c r="LY175" s="3"/>
      <c r="LZ175" s="3"/>
      <c r="MA175" s="3"/>
      <c r="MB175" s="3"/>
      <c r="MC175" s="2"/>
      <c r="MQ175" s="3"/>
      <c r="MR175" s="3"/>
      <c r="MS175" s="3"/>
      <c r="MT175" s="3"/>
      <c r="MU175" s="3"/>
      <c r="MV175" s="2"/>
    </row>
    <row r="176" spans="3:360" ht="5.0999999999999996" customHeight="1" x14ac:dyDescent="0.3">
      <c r="C176" s="11"/>
      <c r="D176" s="13"/>
      <c r="Q176" s="187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9"/>
      <c r="BF176" s="187"/>
      <c r="BG176" s="188"/>
      <c r="BH176" s="188"/>
      <c r="BI176" s="188"/>
      <c r="BJ176" s="189"/>
      <c r="BQ176" s="187"/>
      <c r="BR176" s="188"/>
      <c r="BS176" s="188"/>
      <c r="BT176" s="188"/>
      <c r="BU176" s="188"/>
      <c r="BV176" s="188"/>
      <c r="BW176" s="188"/>
      <c r="BX176" s="188"/>
      <c r="BY176" s="188"/>
      <c r="BZ176" s="188"/>
      <c r="CA176" s="188"/>
      <c r="CB176" s="188"/>
      <c r="CC176" s="188"/>
      <c r="CD176" s="188"/>
      <c r="CE176" s="188"/>
      <c r="CF176" s="188"/>
      <c r="CG176" s="188"/>
      <c r="CH176" s="188"/>
      <c r="CI176" s="188"/>
      <c r="CJ176" s="188"/>
      <c r="CK176" s="188"/>
      <c r="CL176" s="188"/>
      <c r="CM176" s="188"/>
      <c r="CN176" s="188"/>
      <c r="CO176" s="188"/>
      <c r="CP176" s="188"/>
      <c r="CQ176" s="188"/>
      <c r="CR176" s="188"/>
      <c r="CS176" s="188"/>
      <c r="CT176" s="188"/>
      <c r="CU176" s="188"/>
      <c r="CV176" s="188"/>
      <c r="CW176" s="188"/>
      <c r="CX176" s="188"/>
      <c r="CY176" s="188"/>
      <c r="CZ176" s="188"/>
      <c r="DA176" s="188"/>
      <c r="DB176" s="188"/>
      <c r="DC176" s="188"/>
      <c r="DD176" s="189"/>
      <c r="DE176" s="187"/>
      <c r="DF176" s="188"/>
      <c r="DG176" s="188"/>
      <c r="DH176" s="188"/>
      <c r="DI176" s="189"/>
      <c r="DO176" s="187"/>
      <c r="DP176" s="188"/>
      <c r="DQ176" s="188"/>
      <c r="DR176" s="188"/>
      <c r="DS176" s="188"/>
      <c r="DT176" s="188"/>
      <c r="DU176" s="188"/>
      <c r="DV176" s="188"/>
      <c r="DW176" s="188"/>
      <c r="DX176" s="188"/>
      <c r="DY176" s="188"/>
      <c r="DZ176" s="188"/>
      <c r="EA176" s="188"/>
      <c r="EB176" s="188"/>
      <c r="EC176" s="188"/>
      <c r="ED176" s="188"/>
      <c r="EE176" s="188"/>
      <c r="EF176" s="188"/>
      <c r="EG176" s="188"/>
      <c r="EH176" s="188"/>
      <c r="EI176" s="188"/>
      <c r="EJ176" s="188"/>
      <c r="EK176" s="188"/>
      <c r="EL176" s="188"/>
      <c r="EM176" s="188"/>
      <c r="EN176" s="188"/>
      <c r="EO176" s="188"/>
      <c r="EP176" s="188"/>
      <c r="EQ176" s="188"/>
      <c r="ER176" s="188"/>
      <c r="ES176" s="188"/>
      <c r="ET176" s="188"/>
      <c r="EU176" s="188"/>
      <c r="EV176" s="188"/>
      <c r="EW176" s="188"/>
      <c r="EX176" s="188"/>
      <c r="EY176" s="188"/>
      <c r="EZ176" s="188"/>
      <c r="FA176" s="188"/>
      <c r="FB176" s="189"/>
      <c r="FC176" s="187"/>
      <c r="FD176" s="188"/>
      <c r="FE176" s="188"/>
      <c r="FF176" s="188"/>
      <c r="FG176" s="189"/>
      <c r="FL176" s="187"/>
      <c r="FM176" s="188"/>
      <c r="FN176" s="188"/>
      <c r="FO176" s="188"/>
      <c r="FP176" s="188"/>
      <c r="FQ176" s="188"/>
      <c r="FR176" s="188"/>
      <c r="FS176" s="188"/>
      <c r="FT176" s="188"/>
      <c r="FU176" s="188"/>
      <c r="FV176" s="188"/>
      <c r="FW176" s="188"/>
      <c r="FX176" s="188"/>
      <c r="FY176" s="188"/>
      <c r="FZ176" s="188"/>
      <c r="GA176" s="188"/>
      <c r="GB176" s="188"/>
      <c r="GC176" s="188"/>
      <c r="GD176" s="188"/>
      <c r="GE176" s="188"/>
      <c r="GF176" s="188"/>
      <c r="GG176" s="188"/>
      <c r="GH176" s="188"/>
      <c r="GI176" s="188"/>
      <c r="GJ176" s="188"/>
      <c r="GK176" s="188"/>
      <c r="GL176" s="188"/>
      <c r="GM176" s="188"/>
      <c r="GN176" s="188"/>
      <c r="GO176" s="188"/>
      <c r="GP176" s="188"/>
      <c r="GQ176" s="188"/>
      <c r="GR176" s="188"/>
      <c r="GS176" s="188"/>
      <c r="GT176" s="188"/>
      <c r="GU176" s="188"/>
      <c r="GV176" s="188"/>
      <c r="GW176" s="188"/>
      <c r="GX176" s="188"/>
      <c r="GY176" s="189"/>
      <c r="GZ176" s="187"/>
      <c r="HA176" s="188"/>
      <c r="HB176" s="188"/>
      <c r="HC176" s="188"/>
      <c r="HD176" s="189"/>
      <c r="HN176" s="219"/>
      <c r="HO176" s="220"/>
      <c r="HP176" s="220"/>
      <c r="HQ176" s="220"/>
      <c r="HR176" s="220"/>
      <c r="HS176" s="220"/>
      <c r="HT176" s="220"/>
      <c r="HU176" s="220"/>
      <c r="HV176" s="220"/>
      <c r="HW176" s="220"/>
      <c r="HX176" s="220"/>
      <c r="HY176" s="220"/>
      <c r="HZ176" s="220"/>
      <c r="IA176" s="220"/>
      <c r="IB176" s="220"/>
      <c r="IC176" s="220"/>
      <c r="ID176" s="220"/>
      <c r="IE176" s="220"/>
      <c r="IF176" s="220"/>
      <c r="IG176" s="220"/>
      <c r="IH176" s="220"/>
      <c r="II176" s="220"/>
      <c r="IJ176" s="220"/>
      <c r="IK176" s="220"/>
      <c r="IL176" s="220"/>
      <c r="IM176" s="220"/>
      <c r="IN176" s="220"/>
      <c r="IO176" s="220"/>
      <c r="IP176" s="220"/>
      <c r="IQ176" s="220"/>
      <c r="IR176" s="220"/>
      <c r="IS176" s="220"/>
      <c r="IT176" s="220"/>
      <c r="IU176" s="220"/>
      <c r="IV176" s="220"/>
      <c r="IW176" s="220"/>
      <c r="IX176" s="220"/>
      <c r="IY176" s="220"/>
      <c r="IZ176" s="220"/>
      <c r="JA176" s="220"/>
      <c r="JB176" s="187"/>
      <c r="JC176" s="188"/>
      <c r="JD176" s="188"/>
      <c r="JE176" s="188"/>
      <c r="JF176" s="188"/>
      <c r="JG176" s="189"/>
      <c r="JH176" s="19"/>
      <c r="JN176" s="155"/>
      <c r="JR176" s="16"/>
      <c r="JU176" s="187"/>
      <c r="JV176" s="188"/>
      <c r="JW176" s="188"/>
      <c r="JX176" s="188"/>
      <c r="JY176" s="188"/>
      <c r="JZ176" s="188"/>
      <c r="KA176" s="188"/>
      <c r="KB176" s="188"/>
      <c r="KC176" s="188"/>
      <c r="KD176" s="188"/>
      <c r="KE176" s="188"/>
      <c r="KF176" s="188"/>
      <c r="KG176" s="188"/>
      <c r="KH176" s="188"/>
      <c r="KI176" s="188"/>
      <c r="KJ176" s="188"/>
      <c r="KK176" s="188"/>
      <c r="KL176" s="188"/>
      <c r="KM176" s="188"/>
      <c r="KN176" s="188"/>
      <c r="KO176" s="188"/>
      <c r="KP176" s="188"/>
      <c r="KQ176" s="188"/>
      <c r="KR176" s="188"/>
      <c r="KS176" s="188"/>
      <c r="KT176" s="188"/>
      <c r="KU176" s="188"/>
      <c r="KV176" s="188"/>
      <c r="KW176" s="188"/>
      <c r="KX176" s="188"/>
      <c r="KY176" s="188"/>
      <c r="KZ176" s="188"/>
      <c r="LA176" s="188"/>
      <c r="LB176" s="188"/>
      <c r="LC176" s="188"/>
      <c r="LD176" s="188"/>
      <c r="LE176" s="188"/>
      <c r="LF176" s="188"/>
      <c r="LG176" s="188"/>
      <c r="LH176" s="188"/>
      <c r="LI176" s="189"/>
      <c r="LJ176" s="187"/>
      <c r="LK176" s="188"/>
      <c r="LL176" s="188"/>
      <c r="LM176" s="188"/>
      <c r="LN176" s="189"/>
      <c r="LW176" s="12"/>
      <c r="LX176" s="7"/>
      <c r="LY176" s="3"/>
      <c r="LZ176" s="3"/>
      <c r="MA176" s="3"/>
      <c r="MB176" s="3"/>
      <c r="MC176" s="2"/>
      <c r="MQ176" s="3"/>
      <c r="MR176" s="3"/>
      <c r="MS176" s="3"/>
      <c r="MT176" s="3"/>
      <c r="MU176" s="3"/>
      <c r="MV176" s="2"/>
    </row>
    <row r="177" spans="3:360" ht="5.0999999999999996" customHeight="1" x14ac:dyDescent="0.3">
      <c r="C177" s="11"/>
      <c r="D177" s="13"/>
      <c r="Q177" s="187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  <c r="BE177" s="189"/>
      <c r="BF177" s="187"/>
      <c r="BG177" s="188"/>
      <c r="BH177" s="188"/>
      <c r="BI177" s="188"/>
      <c r="BJ177" s="189"/>
      <c r="BQ177" s="187"/>
      <c r="BR177" s="188"/>
      <c r="BS177" s="188"/>
      <c r="BT177" s="188"/>
      <c r="BU177" s="188"/>
      <c r="BV177" s="188"/>
      <c r="BW177" s="188"/>
      <c r="BX177" s="188"/>
      <c r="BY177" s="188"/>
      <c r="BZ177" s="188"/>
      <c r="CA177" s="188"/>
      <c r="CB177" s="188"/>
      <c r="CC177" s="188"/>
      <c r="CD177" s="188"/>
      <c r="CE177" s="188"/>
      <c r="CF177" s="188"/>
      <c r="CG177" s="188"/>
      <c r="CH177" s="188"/>
      <c r="CI177" s="188"/>
      <c r="CJ177" s="188"/>
      <c r="CK177" s="188"/>
      <c r="CL177" s="188"/>
      <c r="CM177" s="188"/>
      <c r="CN177" s="188"/>
      <c r="CO177" s="188"/>
      <c r="CP177" s="188"/>
      <c r="CQ177" s="188"/>
      <c r="CR177" s="188"/>
      <c r="CS177" s="188"/>
      <c r="CT177" s="188"/>
      <c r="CU177" s="188"/>
      <c r="CV177" s="188"/>
      <c r="CW177" s="188"/>
      <c r="CX177" s="188"/>
      <c r="CY177" s="188"/>
      <c r="CZ177" s="188"/>
      <c r="DA177" s="188"/>
      <c r="DB177" s="188"/>
      <c r="DC177" s="188"/>
      <c r="DD177" s="189"/>
      <c r="DE177" s="187"/>
      <c r="DF177" s="188"/>
      <c r="DG177" s="188"/>
      <c r="DH177" s="188"/>
      <c r="DI177" s="189"/>
      <c r="DO177" s="187"/>
      <c r="DP177" s="188"/>
      <c r="DQ177" s="188"/>
      <c r="DR177" s="188"/>
      <c r="DS177" s="188"/>
      <c r="DT177" s="188"/>
      <c r="DU177" s="188"/>
      <c r="DV177" s="188"/>
      <c r="DW177" s="188"/>
      <c r="DX177" s="188"/>
      <c r="DY177" s="188"/>
      <c r="DZ177" s="188"/>
      <c r="EA177" s="188"/>
      <c r="EB177" s="188"/>
      <c r="EC177" s="188"/>
      <c r="ED177" s="188"/>
      <c r="EE177" s="188"/>
      <c r="EF177" s="188"/>
      <c r="EG177" s="188"/>
      <c r="EH177" s="188"/>
      <c r="EI177" s="188"/>
      <c r="EJ177" s="188"/>
      <c r="EK177" s="188"/>
      <c r="EL177" s="188"/>
      <c r="EM177" s="188"/>
      <c r="EN177" s="188"/>
      <c r="EO177" s="188"/>
      <c r="EP177" s="188"/>
      <c r="EQ177" s="188"/>
      <c r="ER177" s="188"/>
      <c r="ES177" s="188"/>
      <c r="ET177" s="188"/>
      <c r="EU177" s="188"/>
      <c r="EV177" s="188"/>
      <c r="EW177" s="188"/>
      <c r="EX177" s="188"/>
      <c r="EY177" s="188"/>
      <c r="EZ177" s="188"/>
      <c r="FA177" s="188"/>
      <c r="FB177" s="189"/>
      <c r="FC177" s="187"/>
      <c r="FD177" s="188"/>
      <c r="FE177" s="188"/>
      <c r="FF177" s="188"/>
      <c r="FG177" s="189"/>
      <c r="FL177" s="187"/>
      <c r="FM177" s="188"/>
      <c r="FN177" s="188"/>
      <c r="FO177" s="188"/>
      <c r="FP177" s="188"/>
      <c r="FQ177" s="188"/>
      <c r="FR177" s="188"/>
      <c r="FS177" s="188"/>
      <c r="FT177" s="188"/>
      <c r="FU177" s="188"/>
      <c r="FV177" s="188"/>
      <c r="FW177" s="188"/>
      <c r="FX177" s="188"/>
      <c r="FY177" s="188"/>
      <c r="FZ177" s="188"/>
      <c r="GA177" s="188"/>
      <c r="GB177" s="188"/>
      <c r="GC177" s="188"/>
      <c r="GD177" s="188"/>
      <c r="GE177" s="188"/>
      <c r="GF177" s="188"/>
      <c r="GG177" s="188"/>
      <c r="GH177" s="188"/>
      <c r="GI177" s="188"/>
      <c r="GJ177" s="188"/>
      <c r="GK177" s="188"/>
      <c r="GL177" s="188"/>
      <c r="GM177" s="188"/>
      <c r="GN177" s="188"/>
      <c r="GO177" s="188"/>
      <c r="GP177" s="188"/>
      <c r="GQ177" s="188"/>
      <c r="GR177" s="188"/>
      <c r="GS177" s="188"/>
      <c r="GT177" s="188"/>
      <c r="GU177" s="188"/>
      <c r="GV177" s="188"/>
      <c r="GW177" s="188"/>
      <c r="GX177" s="188"/>
      <c r="GY177" s="189"/>
      <c r="GZ177" s="187"/>
      <c r="HA177" s="188"/>
      <c r="HB177" s="188"/>
      <c r="HC177" s="188"/>
      <c r="HD177" s="189"/>
      <c r="HN177" s="219"/>
      <c r="HO177" s="220"/>
      <c r="HP177" s="220"/>
      <c r="HQ177" s="220"/>
      <c r="HR177" s="220"/>
      <c r="HS177" s="220"/>
      <c r="HT177" s="220"/>
      <c r="HU177" s="220"/>
      <c r="HV177" s="220"/>
      <c r="HW177" s="220"/>
      <c r="HX177" s="220"/>
      <c r="HY177" s="220"/>
      <c r="HZ177" s="220"/>
      <c r="IA177" s="220"/>
      <c r="IB177" s="220"/>
      <c r="IC177" s="220"/>
      <c r="ID177" s="220"/>
      <c r="IE177" s="220"/>
      <c r="IF177" s="220"/>
      <c r="IG177" s="220"/>
      <c r="IH177" s="220"/>
      <c r="II177" s="220"/>
      <c r="IJ177" s="220"/>
      <c r="IK177" s="220"/>
      <c r="IL177" s="220"/>
      <c r="IM177" s="220"/>
      <c r="IN177" s="220"/>
      <c r="IO177" s="220"/>
      <c r="IP177" s="220"/>
      <c r="IQ177" s="220"/>
      <c r="IR177" s="220"/>
      <c r="IS177" s="220"/>
      <c r="IT177" s="220"/>
      <c r="IU177" s="220"/>
      <c r="IV177" s="220"/>
      <c r="IW177" s="220"/>
      <c r="IX177" s="220"/>
      <c r="IY177" s="220"/>
      <c r="IZ177" s="220"/>
      <c r="JA177" s="220"/>
      <c r="JB177" s="187"/>
      <c r="JC177" s="188"/>
      <c r="JD177" s="188"/>
      <c r="JE177" s="188"/>
      <c r="JF177" s="188"/>
      <c r="JG177" s="189"/>
      <c r="JH177" s="19"/>
      <c r="JN177" s="155"/>
      <c r="JR177" s="16"/>
      <c r="JU177" s="187"/>
      <c r="JV177" s="188"/>
      <c r="JW177" s="188"/>
      <c r="JX177" s="188"/>
      <c r="JY177" s="188"/>
      <c r="JZ177" s="188"/>
      <c r="KA177" s="188"/>
      <c r="KB177" s="188"/>
      <c r="KC177" s="188"/>
      <c r="KD177" s="188"/>
      <c r="KE177" s="188"/>
      <c r="KF177" s="188"/>
      <c r="KG177" s="188"/>
      <c r="KH177" s="188"/>
      <c r="KI177" s="188"/>
      <c r="KJ177" s="188"/>
      <c r="KK177" s="188"/>
      <c r="KL177" s="188"/>
      <c r="KM177" s="188"/>
      <c r="KN177" s="188"/>
      <c r="KO177" s="188"/>
      <c r="KP177" s="188"/>
      <c r="KQ177" s="188"/>
      <c r="KR177" s="188"/>
      <c r="KS177" s="188"/>
      <c r="KT177" s="188"/>
      <c r="KU177" s="188"/>
      <c r="KV177" s="188"/>
      <c r="KW177" s="188"/>
      <c r="KX177" s="188"/>
      <c r="KY177" s="188"/>
      <c r="KZ177" s="188"/>
      <c r="LA177" s="188"/>
      <c r="LB177" s="188"/>
      <c r="LC177" s="188"/>
      <c r="LD177" s="188"/>
      <c r="LE177" s="188"/>
      <c r="LF177" s="188"/>
      <c r="LG177" s="188"/>
      <c r="LH177" s="188"/>
      <c r="LI177" s="189"/>
      <c r="LJ177" s="187"/>
      <c r="LK177" s="188"/>
      <c r="LL177" s="188"/>
      <c r="LM177" s="188"/>
      <c r="LN177" s="189"/>
      <c r="LW177" s="12"/>
      <c r="LX177" s="7"/>
    </row>
    <row r="178" spans="3:360" ht="5.0999999999999996" customHeight="1" x14ac:dyDescent="0.3">
      <c r="C178" s="11"/>
      <c r="D178" s="13"/>
      <c r="Q178" s="187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  <c r="BD178" s="188"/>
      <c r="BE178" s="189"/>
      <c r="BF178" s="187"/>
      <c r="BG178" s="188"/>
      <c r="BH178" s="188"/>
      <c r="BI178" s="188"/>
      <c r="BJ178" s="189"/>
      <c r="BQ178" s="187"/>
      <c r="BR178" s="188"/>
      <c r="BS178" s="188"/>
      <c r="BT178" s="188"/>
      <c r="BU178" s="188"/>
      <c r="BV178" s="188"/>
      <c r="BW178" s="188"/>
      <c r="BX178" s="188"/>
      <c r="BY178" s="188"/>
      <c r="BZ178" s="188"/>
      <c r="CA178" s="188"/>
      <c r="CB178" s="188"/>
      <c r="CC178" s="188"/>
      <c r="CD178" s="188"/>
      <c r="CE178" s="188"/>
      <c r="CF178" s="188"/>
      <c r="CG178" s="188"/>
      <c r="CH178" s="188"/>
      <c r="CI178" s="188"/>
      <c r="CJ178" s="188"/>
      <c r="CK178" s="188"/>
      <c r="CL178" s="188"/>
      <c r="CM178" s="188"/>
      <c r="CN178" s="188"/>
      <c r="CO178" s="188"/>
      <c r="CP178" s="188"/>
      <c r="CQ178" s="188"/>
      <c r="CR178" s="188"/>
      <c r="CS178" s="188"/>
      <c r="CT178" s="188"/>
      <c r="CU178" s="188"/>
      <c r="CV178" s="188"/>
      <c r="CW178" s="188"/>
      <c r="CX178" s="188"/>
      <c r="CY178" s="188"/>
      <c r="CZ178" s="188"/>
      <c r="DA178" s="188"/>
      <c r="DB178" s="188"/>
      <c r="DC178" s="188"/>
      <c r="DD178" s="189"/>
      <c r="DE178" s="187"/>
      <c r="DF178" s="188"/>
      <c r="DG178" s="188"/>
      <c r="DH178" s="188"/>
      <c r="DI178" s="189"/>
      <c r="DO178" s="187"/>
      <c r="DP178" s="188"/>
      <c r="DQ178" s="188"/>
      <c r="DR178" s="188"/>
      <c r="DS178" s="188"/>
      <c r="DT178" s="188"/>
      <c r="DU178" s="188"/>
      <c r="DV178" s="188"/>
      <c r="DW178" s="188"/>
      <c r="DX178" s="188"/>
      <c r="DY178" s="188"/>
      <c r="DZ178" s="188"/>
      <c r="EA178" s="188"/>
      <c r="EB178" s="188"/>
      <c r="EC178" s="188"/>
      <c r="ED178" s="188"/>
      <c r="EE178" s="188"/>
      <c r="EF178" s="188"/>
      <c r="EG178" s="188"/>
      <c r="EH178" s="188"/>
      <c r="EI178" s="188"/>
      <c r="EJ178" s="188"/>
      <c r="EK178" s="188"/>
      <c r="EL178" s="188"/>
      <c r="EM178" s="188"/>
      <c r="EN178" s="188"/>
      <c r="EO178" s="188"/>
      <c r="EP178" s="188"/>
      <c r="EQ178" s="188"/>
      <c r="ER178" s="188"/>
      <c r="ES178" s="188"/>
      <c r="ET178" s="188"/>
      <c r="EU178" s="188"/>
      <c r="EV178" s="188"/>
      <c r="EW178" s="188"/>
      <c r="EX178" s="188"/>
      <c r="EY178" s="188"/>
      <c r="EZ178" s="188"/>
      <c r="FA178" s="188"/>
      <c r="FB178" s="189"/>
      <c r="FC178" s="187"/>
      <c r="FD178" s="188"/>
      <c r="FE178" s="188"/>
      <c r="FF178" s="188"/>
      <c r="FG178" s="189"/>
      <c r="FL178" s="187"/>
      <c r="FM178" s="188"/>
      <c r="FN178" s="188"/>
      <c r="FO178" s="188"/>
      <c r="FP178" s="188"/>
      <c r="FQ178" s="188"/>
      <c r="FR178" s="188"/>
      <c r="FS178" s="188"/>
      <c r="FT178" s="188"/>
      <c r="FU178" s="188"/>
      <c r="FV178" s="188"/>
      <c r="FW178" s="188"/>
      <c r="FX178" s="188"/>
      <c r="FY178" s="188"/>
      <c r="FZ178" s="188"/>
      <c r="GA178" s="188"/>
      <c r="GB178" s="188"/>
      <c r="GC178" s="188"/>
      <c r="GD178" s="188"/>
      <c r="GE178" s="188"/>
      <c r="GF178" s="188"/>
      <c r="GG178" s="188"/>
      <c r="GH178" s="188"/>
      <c r="GI178" s="188"/>
      <c r="GJ178" s="188"/>
      <c r="GK178" s="188"/>
      <c r="GL178" s="188"/>
      <c r="GM178" s="188"/>
      <c r="GN178" s="188"/>
      <c r="GO178" s="188"/>
      <c r="GP178" s="188"/>
      <c r="GQ178" s="188"/>
      <c r="GR178" s="188"/>
      <c r="GS178" s="188"/>
      <c r="GT178" s="188"/>
      <c r="GU178" s="188"/>
      <c r="GV178" s="188"/>
      <c r="GW178" s="188"/>
      <c r="GX178" s="188"/>
      <c r="GY178" s="189"/>
      <c r="GZ178" s="187"/>
      <c r="HA178" s="188"/>
      <c r="HB178" s="188"/>
      <c r="HC178" s="188"/>
      <c r="HD178" s="189"/>
      <c r="HN178" s="219"/>
      <c r="HO178" s="220"/>
      <c r="HP178" s="220"/>
      <c r="HQ178" s="220"/>
      <c r="HR178" s="220"/>
      <c r="HS178" s="220"/>
      <c r="HT178" s="220"/>
      <c r="HU178" s="220"/>
      <c r="HV178" s="220"/>
      <c r="HW178" s="220"/>
      <c r="HX178" s="220"/>
      <c r="HY178" s="220"/>
      <c r="HZ178" s="220"/>
      <c r="IA178" s="220"/>
      <c r="IB178" s="220"/>
      <c r="IC178" s="220"/>
      <c r="ID178" s="220"/>
      <c r="IE178" s="220"/>
      <c r="IF178" s="220"/>
      <c r="IG178" s="220"/>
      <c r="IH178" s="220"/>
      <c r="II178" s="220"/>
      <c r="IJ178" s="220"/>
      <c r="IK178" s="220"/>
      <c r="IL178" s="220"/>
      <c r="IM178" s="220"/>
      <c r="IN178" s="220"/>
      <c r="IO178" s="220"/>
      <c r="IP178" s="220"/>
      <c r="IQ178" s="220"/>
      <c r="IR178" s="220"/>
      <c r="IS178" s="220"/>
      <c r="IT178" s="220"/>
      <c r="IU178" s="220"/>
      <c r="IV178" s="220"/>
      <c r="IW178" s="220"/>
      <c r="IX178" s="220"/>
      <c r="IY178" s="220"/>
      <c r="IZ178" s="220"/>
      <c r="JA178" s="220"/>
      <c r="JB178" s="187"/>
      <c r="JC178" s="188"/>
      <c r="JD178" s="188"/>
      <c r="JE178" s="188"/>
      <c r="JF178" s="188"/>
      <c r="JG178" s="189"/>
      <c r="JH178" s="19"/>
      <c r="JN178" s="155"/>
      <c r="JR178" s="16"/>
      <c r="JU178" s="187"/>
      <c r="JV178" s="188"/>
      <c r="JW178" s="188"/>
      <c r="JX178" s="188"/>
      <c r="JY178" s="188"/>
      <c r="JZ178" s="188"/>
      <c r="KA178" s="188"/>
      <c r="KB178" s="188"/>
      <c r="KC178" s="188"/>
      <c r="KD178" s="188"/>
      <c r="KE178" s="188"/>
      <c r="KF178" s="188"/>
      <c r="KG178" s="188"/>
      <c r="KH178" s="188"/>
      <c r="KI178" s="188"/>
      <c r="KJ178" s="188"/>
      <c r="KK178" s="188"/>
      <c r="KL178" s="188"/>
      <c r="KM178" s="188"/>
      <c r="KN178" s="188"/>
      <c r="KO178" s="188"/>
      <c r="KP178" s="188"/>
      <c r="KQ178" s="188"/>
      <c r="KR178" s="188"/>
      <c r="KS178" s="188"/>
      <c r="KT178" s="188"/>
      <c r="KU178" s="188"/>
      <c r="KV178" s="188"/>
      <c r="KW178" s="188"/>
      <c r="KX178" s="188"/>
      <c r="KY178" s="188"/>
      <c r="KZ178" s="188"/>
      <c r="LA178" s="188"/>
      <c r="LB178" s="188"/>
      <c r="LC178" s="188"/>
      <c r="LD178" s="188"/>
      <c r="LE178" s="188"/>
      <c r="LF178" s="188"/>
      <c r="LG178" s="188"/>
      <c r="LH178" s="188"/>
      <c r="LI178" s="189"/>
      <c r="LJ178" s="187"/>
      <c r="LK178" s="188"/>
      <c r="LL178" s="188"/>
      <c r="LM178" s="188"/>
      <c r="LN178" s="189"/>
      <c r="LW178" s="12"/>
      <c r="LX178" s="7"/>
    </row>
    <row r="179" spans="3:360" ht="5.0999999999999996" customHeight="1" x14ac:dyDescent="0.3">
      <c r="C179" s="11"/>
      <c r="D179" s="13"/>
      <c r="Q179" s="187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  <c r="BD179" s="188"/>
      <c r="BE179" s="189"/>
      <c r="BF179" s="187"/>
      <c r="BG179" s="188"/>
      <c r="BH179" s="188"/>
      <c r="BI179" s="188"/>
      <c r="BJ179" s="189"/>
      <c r="BQ179" s="187"/>
      <c r="BR179" s="188"/>
      <c r="BS179" s="188"/>
      <c r="BT179" s="188"/>
      <c r="BU179" s="188"/>
      <c r="BV179" s="188"/>
      <c r="BW179" s="188"/>
      <c r="BX179" s="188"/>
      <c r="BY179" s="188"/>
      <c r="BZ179" s="188"/>
      <c r="CA179" s="188"/>
      <c r="CB179" s="188"/>
      <c r="CC179" s="188"/>
      <c r="CD179" s="188"/>
      <c r="CE179" s="188"/>
      <c r="CF179" s="188"/>
      <c r="CG179" s="188"/>
      <c r="CH179" s="188"/>
      <c r="CI179" s="188"/>
      <c r="CJ179" s="188"/>
      <c r="CK179" s="188"/>
      <c r="CL179" s="188"/>
      <c r="CM179" s="188"/>
      <c r="CN179" s="188"/>
      <c r="CO179" s="188"/>
      <c r="CP179" s="188"/>
      <c r="CQ179" s="188"/>
      <c r="CR179" s="188"/>
      <c r="CS179" s="188"/>
      <c r="CT179" s="188"/>
      <c r="CU179" s="188"/>
      <c r="CV179" s="188"/>
      <c r="CW179" s="188"/>
      <c r="CX179" s="188"/>
      <c r="CY179" s="188"/>
      <c r="CZ179" s="188"/>
      <c r="DA179" s="188"/>
      <c r="DB179" s="188"/>
      <c r="DC179" s="188"/>
      <c r="DD179" s="189"/>
      <c r="DE179" s="187"/>
      <c r="DF179" s="188"/>
      <c r="DG179" s="188"/>
      <c r="DH179" s="188"/>
      <c r="DI179" s="189"/>
      <c r="DO179" s="187"/>
      <c r="DP179" s="188"/>
      <c r="DQ179" s="188"/>
      <c r="DR179" s="188"/>
      <c r="DS179" s="188"/>
      <c r="DT179" s="188"/>
      <c r="DU179" s="188"/>
      <c r="DV179" s="188"/>
      <c r="DW179" s="188"/>
      <c r="DX179" s="188"/>
      <c r="DY179" s="188"/>
      <c r="DZ179" s="188"/>
      <c r="EA179" s="188"/>
      <c r="EB179" s="188"/>
      <c r="EC179" s="188"/>
      <c r="ED179" s="188"/>
      <c r="EE179" s="188"/>
      <c r="EF179" s="188"/>
      <c r="EG179" s="188"/>
      <c r="EH179" s="188"/>
      <c r="EI179" s="188"/>
      <c r="EJ179" s="188"/>
      <c r="EK179" s="188"/>
      <c r="EL179" s="188"/>
      <c r="EM179" s="188"/>
      <c r="EN179" s="188"/>
      <c r="EO179" s="188"/>
      <c r="EP179" s="188"/>
      <c r="EQ179" s="188"/>
      <c r="ER179" s="188"/>
      <c r="ES179" s="188"/>
      <c r="ET179" s="188"/>
      <c r="EU179" s="188"/>
      <c r="EV179" s="188"/>
      <c r="EW179" s="188"/>
      <c r="EX179" s="188"/>
      <c r="EY179" s="188"/>
      <c r="EZ179" s="188"/>
      <c r="FA179" s="188"/>
      <c r="FB179" s="189"/>
      <c r="FC179" s="187"/>
      <c r="FD179" s="188"/>
      <c r="FE179" s="188"/>
      <c r="FF179" s="188"/>
      <c r="FG179" s="189"/>
      <c r="FL179" s="187"/>
      <c r="FM179" s="188"/>
      <c r="FN179" s="188"/>
      <c r="FO179" s="188"/>
      <c r="FP179" s="188"/>
      <c r="FQ179" s="188"/>
      <c r="FR179" s="188"/>
      <c r="FS179" s="188"/>
      <c r="FT179" s="188"/>
      <c r="FU179" s="188"/>
      <c r="FV179" s="188"/>
      <c r="FW179" s="188"/>
      <c r="FX179" s="188"/>
      <c r="FY179" s="188"/>
      <c r="FZ179" s="188"/>
      <c r="GA179" s="188"/>
      <c r="GB179" s="188"/>
      <c r="GC179" s="188"/>
      <c r="GD179" s="188"/>
      <c r="GE179" s="188"/>
      <c r="GF179" s="188"/>
      <c r="GG179" s="188"/>
      <c r="GH179" s="188"/>
      <c r="GI179" s="188"/>
      <c r="GJ179" s="188"/>
      <c r="GK179" s="188"/>
      <c r="GL179" s="188"/>
      <c r="GM179" s="188"/>
      <c r="GN179" s="188"/>
      <c r="GO179" s="188"/>
      <c r="GP179" s="188"/>
      <c r="GQ179" s="188"/>
      <c r="GR179" s="188"/>
      <c r="GS179" s="188"/>
      <c r="GT179" s="188"/>
      <c r="GU179" s="188"/>
      <c r="GV179" s="188"/>
      <c r="GW179" s="188"/>
      <c r="GX179" s="188"/>
      <c r="GY179" s="189"/>
      <c r="GZ179" s="187"/>
      <c r="HA179" s="188"/>
      <c r="HB179" s="188"/>
      <c r="HC179" s="188"/>
      <c r="HD179" s="189"/>
      <c r="HN179" s="219"/>
      <c r="HO179" s="220"/>
      <c r="HP179" s="220"/>
      <c r="HQ179" s="220"/>
      <c r="HR179" s="220"/>
      <c r="HS179" s="220"/>
      <c r="HT179" s="220"/>
      <c r="HU179" s="220"/>
      <c r="HV179" s="220"/>
      <c r="HW179" s="220"/>
      <c r="HX179" s="220"/>
      <c r="HY179" s="220"/>
      <c r="HZ179" s="220"/>
      <c r="IA179" s="220"/>
      <c r="IB179" s="220"/>
      <c r="IC179" s="220"/>
      <c r="ID179" s="220"/>
      <c r="IE179" s="220"/>
      <c r="IF179" s="220"/>
      <c r="IG179" s="220"/>
      <c r="IH179" s="220"/>
      <c r="II179" s="220"/>
      <c r="IJ179" s="220"/>
      <c r="IK179" s="220"/>
      <c r="IL179" s="220"/>
      <c r="IM179" s="220"/>
      <c r="IN179" s="220"/>
      <c r="IO179" s="220"/>
      <c r="IP179" s="220"/>
      <c r="IQ179" s="220"/>
      <c r="IR179" s="220"/>
      <c r="IS179" s="220"/>
      <c r="IT179" s="220"/>
      <c r="IU179" s="220"/>
      <c r="IV179" s="220"/>
      <c r="IW179" s="220"/>
      <c r="IX179" s="220"/>
      <c r="IY179" s="220"/>
      <c r="IZ179" s="220"/>
      <c r="JA179" s="220"/>
      <c r="JB179" s="187"/>
      <c r="JC179" s="188"/>
      <c r="JD179" s="188"/>
      <c r="JE179" s="188"/>
      <c r="JF179" s="188"/>
      <c r="JG179" s="189"/>
      <c r="JH179" s="19"/>
      <c r="JN179" s="155"/>
      <c r="JR179" s="16"/>
      <c r="JU179" s="190"/>
      <c r="JV179" s="191"/>
      <c r="JW179" s="191"/>
      <c r="JX179" s="191"/>
      <c r="JY179" s="191"/>
      <c r="JZ179" s="191"/>
      <c r="KA179" s="191"/>
      <c r="KB179" s="191"/>
      <c r="KC179" s="191"/>
      <c r="KD179" s="191"/>
      <c r="KE179" s="191"/>
      <c r="KF179" s="191"/>
      <c r="KG179" s="191"/>
      <c r="KH179" s="191"/>
      <c r="KI179" s="191"/>
      <c r="KJ179" s="191"/>
      <c r="KK179" s="191"/>
      <c r="KL179" s="191"/>
      <c r="KM179" s="191"/>
      <c r="KN179" s="191"/>
      <c r="KO179" s="191"/>
      <c r="KP179" s="191"/>
      <c r="KQ179" s="191"/>
      <c r="KR179" s="191"/>
      <c r="KS179" s="191"/>
      <c r="KT179" s="191"/>
      <c r="KU179" s="191"/>
      <c r="KV179" s="191"/>
      <c r="KW179" s="191"/>
      <c r="KX179" s="191"/>
      <c r="KY179" s="191"/>
      <c r="KZ179" s="191"/>
      <c r="LA179" s="191"/>
      <c r="LB179" s="191"/>
      <c r="LC179" s="191"/>
      <c r="LD179" s="191"/>
      <c r="LE179" s="191"/>
      <c r="LF179" s="191"/>
      <c r="LG179" s="191"/>
      <c r="LH179" s="191"/>
      <c r="LI179" s="192"/>
      <c r="LJ179" s="190"/>
      <c r="LK179" s="191"/>
      <c r="LL179" s="191"/>
      <c r="LM179" s="191"/>
      <c r="LN179" s="192"/>
      <c r="LW179" s="12"/>
      <c r="LX179" s="7"/>
    </row>
    <row r="180" spans="3:360" ht="5.0999999999999996" customHeight="1" x14ac:dyDescent="0.3">
      <c r="C180" s="11"/>
      <c r="D180" s="13"/>
      <c r="Q180" s="190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2"/>
      <c r="BF180" s="190"/>
      <c r="BG180" s="191"/>
      <c r="BH180" s="191"/>
      <c r="BI180" s="191"/>
      <c r="BJ180" s="192"/>
      <c r="BQ180" s="187"/>
      <c r="BR180" s="188"/>
      <c r="BS180" s="188"/>
      <c r="BT180" s="188"/>
      <c r="BU180" s="188"/>
      <c r="BV180" s="188"/>
      <c r="BW180" s="188"/>
      <c r="BX180" s="188"/>
      <c r="BY180" s="188"/>
      <c r="BZ180" s="188"/>
      <c r="CA180" s="188"/>
      <c r="CB180" s="188"/>
      <c r="CC180" s="188"/>
      <c r="CD180" s="188"/>
      <c r="CE180" s="188"/>
      <c r="CF180" s="188"/>
      <c r="CG180" s="188"/>
      <c r="CH180" s="188"/>
      <c r="CI180" s="188"/>
      <c r="CJ180" s="188"/>
      <c r="CK180" s="188"/>
      <c r="CL180" s="188"/>
      <c r="CM180" s="188"/>
      <c r="CN180" s="188"/>
      <c r="CO180" s="188"/>
      <c r="CP180" s="188"/>
      <c r="CQ180" s="188"/>
      <c r="CR180" s="188"/>
      <c r="CS180" s="188"/>
      <c r="CT180" s="188"/>
      <c r="CU180" s="188"/>
      <c r="CV180" s="188"/>
      <c r="CW180" s="188"/>
      <c r="CX180" s="188"/>
      <c r="CY180" s="188"/>
      <c r="CZ180" s="188"/>
      <c r="DA180" s="188"/>
      <c r="DB180" s="188"/>
      <c r="DC180" s="188"/>
      <c r="DD180" s="189"/>
      <c r="DE180" s="187"/>
      <c r="DF180" s="188"/>
      <c r="DG180" s="188"/>
      <c r="DH180" s="188"/>
      <c r="DI180" s="189"/>
      <c r="DO180" s="190"/>
      <c r="DP180" s="191"/>
      <c r="DQ180" s="191"/>
      <c r="DR180" s="191"/>
      <c r="DS180" s="191"/>
      <c r="DT180" s="191"/>
      <c r="DU180" s="191"/>
      <c r="DV180" s="191"/>
      <c r="DW180" s="191"/>
      <c r="DX180" s="191"/>
      <c r="DY180" s="191"/>
      <c r="DZ180" s="191"/>
      <c r="EA180" s="191"/>
      <c r="EB180" s="191"/>
      <c r="EC180" s="191"/>
      <c r="ED180" s="191"/>
      <c r="EE180" s="191"/>
      <c r="EF180" s="191"/>
      <c r="EG180" s="191"/>
      <c r="EH180" s="191"/>
      <c r="EI180" s="191"/>
      <c r="EJ180" s="191"/>
      <c r="EK180" s="191"/>
      <c r="EL180" s="191"/>
      <c r="EM180" s="191"/>
      <c r="EN180" s="191"/>
      <c r="EO180" s="191"/>
      <c r="EP180" s="191"/>
      <c r="EQ180" s="191"/>
      <c r="ER180" s="191"/>
      <c r="ES180" s="191"/>
      <c r="ET180" s="191"/>
      <c r="EU180" s="191"/>
      <c r="EV180" s="191"/>
      <c r="EW180" s="191"/>
      <c r="EX180" s="191"/>
      <c r="EY180" s="191"/>
      <c r="EZ180" s="191"/>
      <c r="FA180" s="191"/>
      <c r="FB180" s="192"/>
      <c r="FC180" s="190"/>
      <c r="FD180" s="191"/>
      <c r="FE180" s="191"/>
      <c r="FF180" s="191"/>
      <c r="FG180" s="192"/>
      <c r="FL180" s="190"/>
      <c r="FM180" s="191"/>
      <c r="FN180" s="191"/>
      <c r="FO180" s="191"/>
      <c r="FP180" s="191"/>
      <c r="FQ180" s="191"/>
      <c r="FR180" s="191"/>
      <c r="FS180" s="191"/>
      <c r="FT180" s="191"/>
      <c r="FU180" s="191"/>
      <c r="FV180" s="191"/>
      <c r="FW180" s="191"/>
      <c r="FX180" s="191"/>
      <c r="FY180" s="191"/>
      <c r="FZ180" s="191"/>
      <c r="GA180" s="191"/>
      <c r="GB180" s="191"/>
      <c r="GC180" s="191"/>
      <c r="GD180" s="191"/>
      <c r="GE180" s="191"/>
      <c r="GF180" s="191"/>
      <c r="GG180" s="191"/>
      <c r="GH180" s="191"/>
      <c r="GI180" s="191"/>
      <c r="GJ180" s="191"/>
      <c r="GK180" s="191"/>
      <c r="GL180" s="191"/>
      <c r="GM180" s="191"/>
      <c r="GN180" s="191"/>
      <c r="GO180" s="191"/>
      <c r="GP180" s="191"/>
      <c r="GQ180" s="191"/>
      <c r="GR180" s="191"/>
      <c r="GS180" s="191"/>
      <c r="GT180" s="191"/>
      <c r="GU180" s="191"/>
      <c r="GV180" s="191"/>
      <c r="GW180" s="191"/>
      <c r="GX180" s="191"/>
      <c r="GY180" s="192"/>
      <c r="GZ180" s="190"/>
      <c r="HA180" s="191"/>
      <c r="HB180" s="191"/>
      <c r="HC180" s="191"/>
      <c r="HD180" s="192"/>
      <c r="HN180" s="222"/>
      <c r="HO180" s="223"/>
      <c r="HP180" s="223"/>
      <c r="HQ180" s="223"/>
      <c r="HR180" s="223"/>
      <c r="HS180" s="223"/>
      <c r="HT180" s="223"/>
      <c r="HU180" s="223"/>
      <c r="HV180" s="223"/>
      <c r="HW180" s="223"/>
      <c r="HX180" s="223"/>
      <c r="HY180" s="223"/>
      <c r="HZ180" s="223"/>
      <c r="IA180" s="223"/>
      <c r="IB180" s="223"/>
      <c r="IC180" s="223"/>
      <c r="ID180" s="223"/>
      <c r="IE180" s="223"/>
      <c r="IF180" s="223"/>
      <c r="IG180" s="223"/>
      <c r="IH180" s="223"/>
      <c r="II180" s="223"/>
      <c r="IJ180" s="223"/>
      <c r="IK180" s="223"/>
      <c r="IL180" s="223"/>
      <c r="IM180" s="223"/>
      <c r="IN180" s="223"/>
      <c r="IO180" s="223"/>
      <c r="IP180" s="223"/>
      <c r="IQ180" s="223"/>
      <c r="IR180" s="223"/>
      <c r="IS180" s="223"/>
      <c r="IT180" s="223"/>
      <c r="IU180" s="223"/>
      <c r="IV180" s="223"/>
      <c r="IW180" s="223"/>
      <c r="IX180" s="223"/>
      <c r="IY180" s="223"/>
      <c r="IZ180" s="223"/>
      <c r="JA180" s="223"/>
      <c r="JB180" s="190"/>
      <c r="JC180" s="191"/>
      <c r="JD180" s="191"/>
      <c r="JE180" s="191"/>
      <c r="JF180" s="191"/>
      <c r="JG180" s="192"/>
      <c r="JH180" s="19"/>
      <c r="JN180" s="155"/>
      <c r="JR180" s="16"/>
      <c r="JU180" s="184" t="s">
        <v>43</v>
      </c>
      <c r="JV180" s="185"/>
      <c r="JW180" s="185"/>
      <c r="JX180" s="185"/>
      <c r="JY180" s="185"/>
      <c r="JZ180" s="185"/>
      <c r="KA180" s="185"/>
      <c r="KB180" s="185"/>
      <c r="KC180" s="185"/>
      <c r="KD180" s="185"/>
      <c r="KE180" s="185"/>
      <c r="KF180" s="185"/>
      <c r="KG180" s="185"/>
      <c r="KH180" s="185"/>
      <c r="KI180" s="185"/>
      <c r="KJ180" s="185"/>
      <c r="KK180" s="185"/>
      <c r="KL180" s="185"/>
      <c r="KM180" s="185"/>
      <c r="KN180" s="185"/>
      <c r="KO180" s="185"/>
      <c r="KP180" s="185"/>
      <c r="KQ180" s="185"/>
      <c r="KR180" s="185"/>
      <c r="KS180" s="185"/>
      <c r="KT180" s="185"/>
      <c r="KU180" s="185"/>
      <c r="KV180" s="185"/>
      <c r="KW180" s="185"/>
      <c r="KX180" s="185"/>
      <c r="KY180" s="185"/>
      <c r="KZ180" s="185"/>
      <c r="LA180" s="185"/>
      <c r="LB180" s="185"/>
      <c r="LC180" s="185"/>
      <c r="LD180" s="185"/>
      <c r="LE180" s="185"/>
      <c r="LF180" s="185"/>
      <c r="LG180" s="185"/>
      <c r="LH180" s="185"/>
      <c r="LI180" s="186"/>
      <c r="LJ180" s="184">
        <v>1</v>
      </c>
      <c r="LK180" s="185"/>
      <c r="LL180" s="185"/>
      <c r="LM180" s="185"/>
      <c r="LN180" s="186"/>
      <c r="LW180" s="12"/>
      <c r="LX180" s="7"/>
    </row>
    <row r="181" spans="3:360" ht="5.0999999999999996" customHeight="1" x14ac:dyDescent="0.3">
      <c r="C181" s="11"/>
      <c r="D181" s="13"/>
      <c r="Q181" s="184" t="s">
        <v>42</v>
      </c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6"/>
      <c r="BF181" s="184">
        <v>1</v>
      </c>
      <c r="BG181" s="185"/>
      <c r="BH181" s="185"/>
      <c r="BI181" s="185"/>
      <c r="BJ181" s="186"/>
      <c r="BQ181" s="187"/>
      <c r="BR181" s="188"/>
      <c r="BS181" s="188"/>
      <c r="BT181" s="188"/>
      <c r="BU181" s="188"/>
      <c r="BV181" s="188"/>
      <c r="BW181" s="188"/>
      <c r="BX181" s="188"/>
      <c r="BY181" s="188"/>
      <c r="BZ181" s="188"/>
      <c r="CA181" s="188"/>
      <c r="CB181" s="188"/>
      <c r="CC181" s="188"/>
      <c r="CD181" s="188"/>
      <c r="CE181" s="188"/>
      <c r="CF181" s="188"/>
      <c r="CG181" s="188"/>
      <c r="CH181" s="188"/>
      <c r="CI181" s="188"/>
      <c r="CJ181" s="188"/>
      <c r="CK181" s="188"/>
      <c r="CL181" s="188"/>
      <c r="CM181" s="188"/>
      <c r="CN181" s="188"/>
      <c r="CO181" s="188"/>
      <c r="CP181" s="188"/>
      <c r="CQ181" s="188"/>
      <c r="CR181" s="188"/>
      <c r="CS181" s="188"/>
      <c r="CT181" s="188"/>
      <c r="CU181" s="188"/>
      <c r="CV181" s="188"/>
      <c r="CW181" s="188"/>
      <c r="CX181" s="188"/>
      <c r="CY181" s="188"/>
      <c r="CZ181" s="188"/>
      <c r="DA181" s="188"/>
      <c r="DB181" s="188"/>
      <c r="DC181" s="188"/>
      <c r="DD181" s="189"/>
      <c r="DE181" s="187"/>
      <c r="DF181" s="188"/>
      <c r="DG181" s="188"/>
      <c r="DH181" s="188"/>
      <c r="DI181" s="189"/>
      <c r="FL181" s="184" t="s">
        <v>69</v>
      </c>
      <c r="FM181" s="185"/>
      <c r="FN181" s="185"/>
      <c r="FO181" s="185"/>
      <c r="FP181" s="185"/>
      <c r="FQ181" s="185"/>
      <c r="FR181" s="185"/>
      <c r="FS181" s="185"/>
      <c r="FT181" s="185"/>
      <c r="FU181" s="185"/>
      <c r="FV181" s="185"/>
      <c r="FW181" s="185"/>
      <c r="FX181" s="185"/>
      <c r="FY181" s="185"/>
      <c r="FZ181" s="185"/>
      <c r="GA181" s="185"/>
      <c r="GB181" s="185"/>
      <c r="GC181" s="185"/>
      <c r="GD181" s="185"/>
      <c r="GE181" s="185"/>
      <c r="GF181" s="185"/>
      <c r="GG181" s="185"/>
      <c r="GH181" s="185"/>
      <c r="GI181" s="185"/>
      <c r="GJ181" s="185"/>
      <c r="GK181" s="185"/>
      <c r="GL181" s="185"/>
      <c r="GM181" s="185"/>
      <c r="GN181" s="185"/>
      <c r="GO181" s="185"/>
      <c r="GP181" s="185"/>
      <c r="GQ181" s="185"/>
      <c r="GR181" s="185"/>
      <c r="GS181" s="185"/>
      <c r="GT181" s="185"/>
      <c r="GU181" s="185"/>
      <c r="GV181" s="185"/>
      <c r="GW181" s="185"/>
      <c r="GX181" s="185"/>
      <c r="GY181" s="186"/>
      <c r="GZ181" s="184">
        <v>1</v>
      </c>
      <c r="HA181" s="185"/>
      <c r="HB181" s="185"/>
      <c r="HC181" s="185"/>
      <c r="HD181" s="186"/>
      <c r="JH181" s="19"/>
      <c r="JN181" s="155"/>
      <c r="JR181" s="16"/>
      <c r="JU181" s="187"/>
      <c r="JV181" s="188"/>
      <c r="JW181" s="188"/>
      <c r="JX181" s="188"/>
      <c r="JY181" s="188"/>
      <c r="JZ181" s="188"/>
      <c r="KA181" s="188"/>
      <c r="KB181" s="188"/>
      <c r="KC181" s="188"/>
      <c r="KD181" s="188"/>
      <c r="KE181" s="188"/>
      <c r="KF181" s="188"/>
      <c r="KG181" s="188"/>
      <c r="KH181" s="188"/>
      <c r="KI181" s="188"/>
      <c r="KJ181" s="188"/>
      <c r="KK181" s="188"/>
      <c r="KL181" s="188"/>
      <c r="KM181" s="188"/>
      <c r="KN181" s="188"/>
      <c r="KO181" s="188"/>
      <c r="KP181" s="188"/>
      <c r="KQ181" s="188"/>
      <c r="KR181" s="188"/>
      <c r="KS181" s="188"/>
      <c r="KT181" s="188"/>
      <c r="KU181" s="188"/>
      <c r="KV181" s="188"/>
      <c r="KW181" s="188"/>
      <c r="KX181" s="188"/>
      <c r="KY181" s="188"/>
      <c r="KZ181" s="188"/>
      <c r="LA181" s="188"/>
      <c r="LB181" s="188"/>
      <c r="LC181" s="188"/>
      <c r="LD181" s="188"/>
      <c r="LE181" s="188"/>
      <c r="LF181" s="188"/>
      <c r="LG181" s="188"/>
      <c r="LH181" s="188"/>
      <c r="LI181" s="189"/>
      <c r="LJ181" s="187"/>
      <c r="LK181" s="188"/>
      <c r="LL181" s="188"/>
      <c r="LM181" s="188"/>
      <c r="LN181" s="189"/>
      <c r="LW181" s="12"/>
      <c r="LX181" s="7"/>
    </row>
    <row r="182" spans="3:360" ht="5.0999999999999996" customHeight="1" x14ac:dyDescent="0.3">
      <c r="C182" s="11"/>
      <c r="D182" s="13"/>
      <c r="Q182" s="187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  <c r="BD182" s="188"/>
      <c r="BE182" s="189"/>
      <c r="BF182" s="187"/>
      <c r="BG182" s="188"/>
      <c r="BH182" s="188"/>
      <c r="BI182" s="188"/>
      <c r="BJ182" s="189"/>
      <c r="BQ182" s="190"/>
      <c r="BR182" s="191"/>
      <c r="BS182" s="191"/>
      <c r="BT182" s="191"/>
      <c r="BU182" s="191"/>
      <c r="BV182" s="191"/>
      <c r="BW182" s="191"/>
      <c r="BX182" s="191"/>
      <c r="BY182" s="191"/>
      <c r="BZ182" s="191"/>
      <c r="CA182" s="191"/>
      <c r="CB182" s="191"/>
      <c r="CC182" s="191"/>
      <c r="CD182" s="191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  <c r="CT182" s="191"/>
      <c r="CU182" s="191"/>
      <c r="CV182" s="191"/>
      <c r="CW182" s="191"/>
      <c r="CX182" s="191"/>
      <c r="CY182" s="191"/>
      <c r="CZ182" s="191"/>
      <c r="DA182" s="191"/>
      <c r="DB182" s="191"/>
      <c r="DC182" s="191"/>
      <c r="DD182" s="192"/>
      <c r="DE182" s="190"/>
      <c r="DF182" s="191"/>
      <c r="DG182" s="191"/>
      <c r="DH182" s="191"/>
      <c r="DI182" s="192"/>
      <c r="FL182" s="187"/>
      <c r="FM182" s="188"/>
      <c r="FN182" s="188"/>
      <c r="FO182" s="188"/>
      <c r="FP182" s="188"/>
      <c r="FQ182" s="188"/>
      <c r="FR182" s="188"/>
      <c r="FS182" s="188"/>
      <c r="FT182" s="188"/>
      <c r="FU182" s="188"/>
      <c r="FV182" s="188"/>
      <c r="FW182" s="188"/>
      <c r="FX182" s="188"/>
      <c r="FY182" s="188"/>
      <c r="FZ182" s="188"/>
      <c r="GA182" s="188"/>
      <c r="GB182" s="188"/>
      <c r="GC182" s="188"/>
      <c r="GD182" s="188"/>
      <c r="GE182" s="188"/>
      <c r="GF182" s="188"/>
      <c r="GG182" s="188"/>
      <c r="GH182" s="188"/>
      <c r="GI182" s="188"/>
      <c r="GJ182" s="188"/>
      <c r="GK182" s="188"/>
      <c r="GL182" s="188"/>
      <c r="GM182" s="188"/>
      <c r="GN182" s="188"/>
      <c r="GO182" s="188"/>
      <c r="GP182" s="188"/>
      <c r="GQ182" s="188"/>
      <c r="GR182" s="188"/>
      <c r="GS182" s="188"/>
      <c r="GT182" s="188"/>
      <c r="GU182" s="188"/>
      <c r="GV182" s="188"/>
      <c r="GW182" s="188"/>
      <c r="GX182" s="188"/>
      <c r="GY182" s="189"/>
      <c r="GZ182" s="187"/>
      <c r="HA182" s="188"/>
      <c r="HB182" s="188"/>
      <c r="HC182" s="188"/>
      <c r="HD182" s="189"/>
      <c r="JH182" s="19"/>
      <c r="JN182" s="155"/>
      <c r="JR182" s="16"/>
      <c r="JU182" s="187"/>
      <c r="JV182" s="188"/>
      <c r="JW182" s="188"/>
      <c r="JX182" s="188"/>
      <c r="JY182" s="188"/>
      <c r="JZ182" s="188"/>
      <c r="KA182" s="188"/>
      <c r="KB182" s="188"/>
      <c r="KC182" s="188"/>
      <c r="KD182" s="188"/>
      <c r="KE182" s="188"/>
      <c r="KF182" s="188"/>
      <c r="KG182" s="188"/>
      <c r="KH182" s="188"/>
      <c r="KI182" s="188"/>
      <c r="KJ182" s="188"/>
      <c r="KK182" s="188"/>
      <c r="KL182" s="188"/>
      <c r="KM182" s="188"/>
      <c r="KN182" s="188"/>
      <c r="KO182" s="188"/>
      <c r="KP182" s="188"/>
      <c r="KQ182" s="188"/>
      <c r="KR182" s="188"/>
      <c r="KS182" s="188"/>
      <c r="KT182" s="188"/>
      <c r="KU182" s="188"/>
      <c r="KV182" s="188"/>
      <c r="KW182" s="188"/>
      <c r="KX182" s="188"/>
      <c r="KY182" s="188"/>
      <c r="KZ182" s="188"/>
      <c r="LA182" s="188"/>
      <c r="LB182" s="188"/>
      <c r="LC182" s="188"/>
      <c r="LD182" s="188"/>
      <c r="LE182" s="188"/>
      <c r="LF182" s="188"/>
      <c r="LG182" s="188"/>
      <c r="LH182" s="188"/>
      <c r="LI182" s="189"/>
      <c r="LJ182" s="187"/>
      <c r="LK182" s="188"/>
      <c r="LL182" s="188"/>
      <c r="LM182" s="188"/>
      <c r="LN182" s="189"/>
      <c r="LW182" s="12"/>
      <c r="LX182" s="7"/>
    </row>
    <row r="183" spans="3:360" ht="5.0999999999999996" customHeight="1" x14ac:dyDescent="0.3">
      <c r="C183" s="11"/>
      <c r="D183" s="13"/>
      <c r="Q183" s="187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  <c r="BE183" s="189"/>
      <c r="BF183" s="187"/>
      <c r="BG183" s="188"/>
      <c r="BH183" s="188"/>
      <c r="BI183" s="188"/>
      <c r="BJ183" s="189"/>
      <c r="FL183" s="187"/>
      <c r="FM183" s="188"/>
      <c r="FN183" s="188"/>
      <c r="FO183" s="188"/>
      <c r="FP183" s="188"/>
      <c r="FQ183" s="188"/>
      <c r="FR183" s="188"/>
      <c r="FS183" s="188"/>
      <c r="FT183" s="188"/>
      <c r="FU183" s="188"/>
      <c r="FV183" s="188"/>
      <c r="FW183" s="188"/>
      <c r="FX183" s="188"/>
      <c r="FY183" s="188"/>
      <c r="FZ183" s="188"/>
      <c r="GA183" s="188"/>
      <c r="GB183" s="188"/>
      <c r="GC183" s="188"/>
      <c r="GD183" s="188"/>
      <c r="GE183" s="188"/>
      <c r="GF183" s="188"/>
      <c r="GG183" s="188"/>
      <c r="GH183" s="188"/>
      <c r="GI183" s="188"/>
      <c r="GJ183" s="188"/>
      <c r="GK183" s="188"/>
      <c r="GL183" s="188"/>
      <c r="GM183" s="188"/>
      <c r="GN183" s="188"/>
      <c r="GO183" s="188"/>
      <c r="GP183" s="188"/>
      <c r="GQ183" s="188"/>
      <c r="GR183" s="188"/>
      <c r="GS183" s="188"/>
      <c r="GT183" s="188"/>
      <c r="GU183" s="188"/>
      <c r="GV183" s="188"/>
      <c r="GW183" s="188"/>
      <c r="GX183" s="188"/>
      <c r="GY183" s="189"/>
      <c r="GZ183" s="187"/>
      <c r="HA183" s="188"/>
      <c r="HB183" s="188"/>
      <c r="HC183" s="188"/>
      <c r="HD183" s="189"/>
      <c r="HN183" s="195" t="s">
        <v>38</v>
      </c>
      <c r="HO183" s="196"/>
      <c r="HP183" s="196"/>
      <c r="HQ183" s="196"/>
      <c r="HR183" s="196"/>
      <c r="HS183" s="196"/>
      <c r="HT183" s="196"/>
      <c r="HU183" s="196"/>
      <c r="HV183" s="196"/>
      <c r="HW183" s="196"/>
      <c r="HX183" s="196"/>
      <c r="HY183" s="196"/>
      <c r="HZ183" s="196"/>
      <c r="IA183" s="196"/>
      <c r="IB183" s="196"/>
      <c r="IC183" s="196"/>
      <c r="ID183" s="196"/>
      <c r="IE183" s="196"/>
      <c r="IF183" s="196"/>
      <c r="IG183" s="196"/>
      <c r="IH183" s="196"/>
      <c r="II183" s="196"/>
      <c r="IJ183" s="196"/>
      <c r="IK183" s="196"/>
      <c r="IL183" s="196"/>
      <c r="IM183" s="196"/>
      <c r="IN183" s="196"/>
      <c r="IO183" s="196"/>
      <c r="IP183" s="196"/>
      <c r="IQ183" s="196"/>
      <c r="IR183" s="196"/>
      <c r="IS183" s="196"/>
      <c r="IT183" s="196"/>
      <c r="IU183" s="196"/>
      <c r="IV183" s="196"/>
      <c r="IW183" s="196"/>
      <c r="IX183" s="196"/>
      <c r="IY183" s="196"/>
      <c r="IZ183" s="196"/>
      <c r="JA183" s="197"/>
      <c r="JB183" s="204">
        <v>1</v>
      </c>
      <c r="JC183" s="204"/>
      <c r="JD183" s="204"/>
      <c r="JE183" s="204"/>
      <c r="JF183" s="204"/>
      <c r="JG183" s="204"/>
      <c r="JH183" s="19"/>
      <c r="JN183" s="155"/>
      <c r="JR183" s="16"/>
      <c r="JU183" s="187"/>
      <c r="JV183" s="188"/>
      <c r="JW183" s="188"/>
      <c r="JX183" s="188"/>
      <c r="JY183" s="188"/>
      <c r="JZ183" s="188"/>
      <c r="KA183" s="188"/>
      <c r="KB183" s="188"/>
      <c r="KC183" s="188"/>
      <c r="KD183" s="188"/>
      <c r="KE183" s="188"/>
      <c r="KF183" s="188"/>
      <c r="KG183" s="188"/>
      <c r="KH183" s="188"/>
      <c r="KI183" s="188"/>
      <c r="KJ183" s="188"/>
      <c r="KK183" s="188"/>
      <c r="KL183" s="188"/>
      <c r="KM183" s="188"/>
      <c r="KN183" s="188"/>
      <c r="KO183" s="188"/>
      <c r="KP183" s="188"/>
      <c r="KQ183" s="188"/>
      <c r="KR183" s="188"/>
      <c r="KS183" s="188"/>
      <c r="KT183" s="188"/>
      <c r="KU183" s="188"/>
      <c r="KV183" s="188"/>
      <c r="KW183" s="188"/>
      <c r="KX183" s="188"/>
      <c r="KY183" s="188"/>
      <c r="KZ183" s="188"/>
      <c r="LA183" s="188"/>
      <c r="LB183" s="188"/>
      <c r="LC183" s="188"/>
      <c r="LD183" s="188"/>
      <c r="LE183" s="188"/>
      <c r="LF183" s="188"/>
      <c r="LG183" s="188"/>
      <c r="LH183" s="188"/>
      <c r="LI183" s="189"/>
      <c r="LJ183" s="187"/>
      <c r="LK183" s="188"/>
      <c r="LL183" s="188"/>
      <c r="LM183" s="188"/>
      <c r="LN183" s="189"/>
      <c r="LW183" s="12"/>
      <c r="LX183" s="7"/>
    </row>
    <row r="184" spans="3:360" ht="5.0999999999999996" customHeight="1" x14ac:dyDescent="0.3">
      <c r="C184" s="11"/>
      <c r="D184" s="13"/>
      <c r="Q184" s="187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  <c r="BD184" s="188"/>
      <c r="BE184" s="189"/>
      <c r="BF184" s="187"/>
      <c r="BG184" s="188"/>
      <c r="BH184" s="188"/>
      <c r="BI184" s="188"/>
      <c r="BJ184" s="189"/>
      <c r="FL184" s="187"/>
      <c r="FM184" s="188"/>
      <c r="FN184" s="188"/>
      <c r="FO184" s="188"/>
      <c r="FP184" s="188"/>
      <c r="FQ184" s="188"/>
      <c r="FR184" s="188"/>
      <c r="FS184" s="188"/>
      <c r="FT184" s="188"/>
      <c r="FU184" s="188"/>
      <c r="FV184" s="188"/>
      <c r="FW184" s="188"/>
      <c r="FX184" s="188"/>
      <c r="FY184" s="188"/>
      <c r="FZ184" s="188"/>
      <c r="GA184" s="188"/>
      <c r="GB184" s="188"/>
      <c r="GC184" s="188"/>
      <c r="GD184" s="188"/>
      <c r="GE184" s="188"/>
      <c r="GF184" s="188"/>
      <c r="GG184" s="188"/>
      <c r="GH184" s="188"/>
      <c r="GI184" s="188"/>
      <c r="GJ184" s="188"/>
      <c r="GK184" s="188"/>
      <c r="GL184" s="188"/>
      <c r="GM184" s="188"/>
      <c r="GN184" s="188"/>
      <c r="GO184" s="188"/>
      <c r="GP184" s="188"/>
      <c r="GQ184" s="188"/>
      <c r="GR184" s="188"/>
      <c r="GS184" s="188"/>
      <c r="GT184" s="188"/>
      <c r="GU184" s="188"/>
      <c r="GV184" s="188"/>
      <c r="GW184" s="188"/>
      <c r="GX184" s="188"/>
      <c r="GY184" s="189"/>
      <c r="GZ184" s="187"/>
      <c r="HA184" s="188"/>
      <c r="HB184" s="188"/>
      <c r="HC184" s="188"/>
      <c r="HD184" s="189"/>
      <c r="HN184" s="198"/>
      <c r="HO184" s="199"/>
      <c r="HP184" s="199"/>
      <c r="HQ184" s="199"/>
      <c r="HR184" s="199"/>
      <c r="HS184" s="199"/>
      <c r="HT184" s="199"/>
      <c r="HU184" s="199"/>
      <c r="HV184" s="199"/>
      <c r="HW184" s="199"/>
      <c r="HX184" s="199"/>
      <c r="HY184" s="199"/>
      <c r="HZ184" s="199"/>
      <c r="IA184" s="199"/>
      <c r="IB184" s="199"/>
      <c r="IC184" s="199"/>
      <c r="ID184" s="199"/>
      <c r="IE184" s="199"/>
      <c r="IF184" s="199"/>
      <c r="IG184" s="199"/>
      <c r="IH184" s="199"/>
      <c r="II184" s="199"/>
      <c r="IJ184" s="199"/>
      <c r="IK184" s="199"/>
      <c r="IL184" s="199"/>
      <c r="IM184" s="199"/>
      <c r="IN184" s="199"/>
      <c r="IO184" s="199"/>
      <c r="IP184" s="199"/>
      <c r="IQ184" s="199"/>
      <c r="IR184" s="199"/>
      <c r="IS184" s="199"/>
      <c r="IT184" s="199"/>
      <c r="IU184" s="199"/>
      <c r="IV184" s="199"/>
      <c r="IW184" s="199"/>
      <c r="IX184" s="199"/>
      <c r="IY184" s="199"/>
      <c r="IZ184" s="199"/>
      <c r="JA184" s="200"/>
      <c r="JB184" s="204"/>
      <c r="JC184" s="204"/>
      <c r="JD184" s="204"/>
      <c r="JE184" s="204"/>
      <c r="JF184" s="204"/>
      <c r="JG184" s="204"/>
      <c r="JH184" s="19"/>
      <c r="JN184" s="155"/>
      <c r="JR184" s="16"/>
      <c r="JU184" s="187"/>
      <c r="JV184" s="188"/>
      <c r="JW184" s="188"/>
      <c r="JX184" s="188"/>
      <c r="JY184" s="188"/>
      <c r="JZ184" s="188"/>
      <c r="KA184" s="188"/>
      <c r="KB184" s="188"/>
      <c r="KC184" s="188"/>
      <c r="KD184" s="188"/>
      <c r="KE184" s="188"/>
      <c r="KF184" s="188"/>
      <c r="KG184" s="188"/>
      <c r="KH184" s="188"/>
      <c r="KI184" s="188"/>
      <c r="KJ184" s="188"/>
      <c r="KK184" s="188"/>
      <c r="KL184" s="188"/>
      <c r="KM184" s="188"/>
      <c r="KN184" s="188"/>
      <c r="KO184" s="188"/>
      <c r="KP184" s="188"/>
      <c r="KQ184" s="188"/>
      <c r="KR184" s="188"/>
      <c r="KS184" s="188"/>
      <c r="KT184" s="188"/>
      <c r="KU184" s="188"/>
      <c r="KV184" s="188"/>
      <c r="KW184" s="188"/>
      <c r="KX184" s="188"/>
      <c r="KY184" s="188"/>
      <c r="KZ184" s="188"/>
      <c r="LA184" s="188"/>
      <c r="LB184" s="188"/>
      <c r="LC184" s="188"/>
      <c r="LD184" s="188"/>
      <c r="LE184" s="188"/>
      <c r="LF184" s="188"/>
      <c r="LG184" s="188"/>
      <c r="LH184" s="188"/>
      <c r="LI184" s="189"/>
      <c r="LJ184" s="187"/>
      <c r="LK184" s="188"/>
      <c r="LL184" s="188"/>
      <c r="LM184" s="188"/>
      <c r="LN184" s="189"/>
      <c r="LW184" s="12"/>
      <c r="LX184" s="7"/>
    </row>
    <row r="185" spans="3:360" ht="5.0999999999999996" customHeight="1" x14ac:dyDescent="0.3">
      <c r="C185" s="11"/>
      <c r="D185" s="13"/>
      <c r="Q185" s="187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  <c r="BD185" s="188"/>
      <c r="BE185" s="189"/>
      <c r="BF185" s="187"/>
      <c r="BG185" s="188"/>
      <c r="BH185" s="188"/>
      <c r="BI185" s="188"/>
      <c r="BJ185" s="189"/>
      <c r="FL185" s="187"/>
      <c r="FM185" s="188"/>
      <c r="FN185" s="188"/>
      <c r="FO185" s="188"/>
      <c r="FP185" s="188"/>
      <c r="FQ185" s="188"/>
      <c r="FR185" s="188"/>
      <c r="FS185" s="188"/>
      <c r="FT185" s="188"/>
      <c r="FU185" s="188"/>
      <c r="FV185" s="188"/>
      <c r="FW185" s="188"/>
      <c r="FX185" s="188"/>
      <c r="FY185" s="188"/>
      <c r="FZ185" s="188"/>
      <c r="GA185" s="188"/>
      <c r="GB185" s="188"/>
      <c r="GC185" s="188"/>
      <c r="GD185" s="188"/>
      <c r="GE185" s="188"/>
      <c r="GF185" s="188"/>
      <c r="GG185" s="188"/>
      <c r="GH185" s="188"/>
      <c r="GI185" s="188"/>
      <c r="GJ185" s="188"/>
      <c r="GK185" s="188"/>
      <c r="GL185" s="188"/>
      <c r="GM185" s="188"/>
      <c r="GN185" s="188"/>
      <c r="GO185" s="188"/>
      <c r="GP185" s="188"/>
      <c r="GQ185" s="188"/>
      <c r="GR185" s="188"/>
      <c r="GS185" s="188"/>
      <c r="GT185" s="188"/>
      <c r="GU185" s="188"/>
      <c r="GV185" s="188"/>
      <c r="GW185" s="188"/>
      <c r="GX185" s="188"/>
      <c r="GY185" s="189"/>
      <c r="GZ185" s="187"/>
      <c r="HA185" s="188"/>
      <c r="HB185" s="188"/>
      <c r="HC185" s="188"/>
      <c r="HD185" s="189"/>
      <c r="HN185" s="198"/>
      <c r="HO185" s="199"/>
      <c r="HP185" s="199"/>
      <c r="HQ185" s="199"/>
      <c r="HR185" s="199"/>
      <c r="HS185" s="199"/>
      <c r="HT185" s="199"/>
      <c r="HU185" s="199"/>
      <c r="HV185" s="199"/>
      <c r="HW185" s="199"/>
      <c r="HX185" s="199"/>
      <c r="HY185" s="199"/>
      <c r="HZ185" s="199"/>
      <c r="IA185" s="199"/>
      <c r="IB185" s="199"/>
      <c r="IC185" s="199"/>
      <c r="ID185" s="199"/>
      <c r="IE185" s="199"/>
      <c r="IF185" s="199"/>
      <c r="IG185" s="199"/>
      <c r="IH185" s="199"/>
      <c r="II185" s="199"/>
      <c r="IJ185" s="199"/>
      <c r="IK185" s="199"/>
      <c r="IL185" s="199"/>
      <c r="IM185" s="199"/>
      <c r="IN185" s="199"/>
      <c r="IO185" s="199"/>
      <c r="IP185" s="199"/>
      <c r="IQ185" s="199"/>
      <c r="IR185" s="199"/>
      <c r="IS185" s="199"/>
      <c r="IT185" s="199"/>
      <c r="IU185" s="199"/>
      <c r="IV185" s="199"/>
      <c r="IW185" s="199"/>
      <c r="IX185" s="199"/>
      <c r="IY185" s="199"/>
      <c r="IZ185" s="199"/>
      <c r="JA185" s="200"/>
      <c r="JB185" s="204"/>
      <c r="JC185" s="204"/>
      <c r="JD185" s="204"/>
      <c r="JE185" s="204"/>
      <c r="JF185" s="204"/>
      <c r="JG185" s="204"/>
      <c r="JH185" s="19"/>
      <c r="JN185" s="155"/>
      <c r="JR185" s="16"/>
      <c r="JU185" s="187"/>
      <c r="JV185" s="188"/>
      <c r="JW185" s="188"/>
      <c r="JX185" s="188"/>
      <c r="JY185" s="188"/>
      <c r="JZ185" s="188"/>
      <c r="KA185" s="188"/>
      <c r="KB185" s="188"/>
      <c r="KC185" s="188"/>
      <c r="KD185" s="188"/>
      <c r="KE185" s="188"/>
      <c r="KF185" s="188"/>
      <c r="KG185" s="188"/>
      <c r="KH185" s="188"/>
      <c r="KI185" s="188"/>
      <c r="KJ185" s="188"/>
      <c r="KK185" s="188"/>
      <c r="KL185" s="188"/>
      <c r="KM185" s="188"/>
      <c r="KN185" s="188"/>
      <c r="KO185" s="188"/>
      <c r="KP185" s="188"/>
      <c r="KQ185" s="188"/>
      <c r="KR185" s="188"/>
      <c r="KS185" s="188"/>
      <c r="KT185" s="188"/>
      <c r="KU185" s="188"/>
      <c r="KV185" s="188"/>
      <c r="KW185" s="188"/>
      <c r="KX185" s="188"/>
      <c r="KY185" s="188"/>
      <c r="KZ185" s="188"/>
      <c r="LA185" s="188"/>
      <c r="LB185" s="188"/>
      <c r="LC185" s="188"/>
      <c r="LD185" s="188"/>
      <c r="LE185" s="188"/>
      <c r="LF185" s="188"/>
      <c r="LG185" s="188"/>
      <c r="LH185" s="188"/>
      <c r="LI185" s="189"/>
      <c r="LJ185" s="187"/>
      <c r="LK185" s="188"/>
      <c r="LL185" s="188"/>
      <c r="LM185" s="188"/>
      <c r="LN185" s="189"/>
      <c r="LW185" s="12"/>
      <c r="LX185" s="7"/>
      <c r="LY185" s="3"/>
      <c r="LZ185" s="3"/>
      <c r="MA185" s="3"/>
      <c r="MB185" s="3"/>
      <c r="MC185" s="2"/>
      <c r="MQ185" s="3"/>
      <c r="MR185" s="3"/>
      <c r="MS185" s="3"/>
      <c r="MT185" s="3"/>
      <c r="MU185" s="3"/>
      <c r="MV185" s="2"/>
    </row>
    <row r="186" spans="3:360" ht="5.0999999999999996" customHeight="1" x14ac:dyDescent="0.3">
      <c r="C186" s="11"/>
      <c r="D186" s="13"/>
      <c r="Q186" s="187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  <c r="BD186" s="188"/>
      <c r="BE186" s="189"/>
      <c r="BF186" s="187"/>
      <c r="BG186" s="188"/>
      <c r="BH186" s="188"/>
      <c r="BI186" s="188"/>
      <c r="BJ186" s="189"/>
      <c r="FL186" s="187"/>
      <c r="FM186" s="188"/>
      <c r="FN186" s="188"/>
      <c r="FO186" s="188"/>
      <c r="FP186" s="188"/>
      <c r="FQ186" s="188"/>
      <c r="FR186" s="188"/>
      <c r="FS186" s="188"/>
      <c r="FT186" s="188"/>
      <c r="FU186" s="188"/>
      <c r="FV186" s="188"/>
      <c r="FW186" s="188"/>
      <c r="FX186" s="188"/>
      <c r="FY186" s="188"/>
      <c r="FZ186" s="188"/>
      <c r="GA186" s="188"/>
      <c r="GB186" s="188"/>
      <c r="GC186" s="188"/>
      <c r="GD186" s="188"/>
      <c r="GE186" s="188"/>
      <c r="GF186" s="188"/>
      <c r="GG186" s="188"/>
      <c r="GH186" s="188"/>
      <c r="GI186" s="188"/>
      <c r="GJ186" s="188"/>
      <c r="GK186" s="188"/>
      <c r="GL186" s="188"/>
      <c r="GM186" s="188"/>
      <c r="GN186" s="188"/>
      <c r="GO186" s="188"/>
      <c r="GP186" s="188"/>
      <c r="GQ186" s="188"/>
      <c r="GR186" s="188"/>
      <c r="GS186" s="188"/>
      <c r="GT186" s="188"/>
      <c r="GU186" s="188"/>
      <c r="GV186" s="188"/>
      <c r="GW186" s="188"/>
      <c r="GX186" s="188"/>
      <c r="GY186" s="189"/>
      <c r="GZ186" s="187"/>
      <c r="HA186" s="188"/>
      <c r="HB186" s="188"/>
      <c r="HC186" s="188"/>
      <c r="HD186" s="189"/>
      <c r="HN186" s="198"/>
      <c r="HO186" s="199"/>
      <c r="HP186" s="199"/>
      <c r="HQ186" s="199"/>
      <c r="HR186" s="199"/>
      <c r="HS186" s="199"/>
      <c r="HT186" s="199"/>
      <c r="HU186" s="199"/>
      <c r="HV186" s="199"/>
      <c r="HW186" s="199"/>
      <c r="HX186" s="199"/>
      <c r="HY186" s="199"/>
      <c r="HZ186" s="199"/>
      <c r="IA186" s="199"/>
      <c r="IB186" s="199"/>
      <c r="IC186" s="199"/>
      <c r="ID186" s="199"/>
      <c r="IE186" s="199"/>
      <c r="IF186" s="199"/>
      <c r="IG186" s="199"/>
      <c r="IH186" s="199"/>
      <c r="II186" s="199"/>
      <c r="IJ186" s="199"/>
      <c r="IK186" s="199"/>
      <c r="IL186" s="199"/>
      <c r="IM186" s="199"/>
      <c r="IN186" s="199"/>
      <c r="IO186" s="199"/>
      <c r="IP186" s="199"/>
      <c r="IQ186" s="199"/>
      <c r="IR186" s="199"/>
      <c r="IS186" s="199"/>
      <c r="IT186" s="199"/>
      <c r="IU186" s="199"/>
      <c r="IV186" s="199"/>
      <c r="IW186" s="199"/>
      <c r="IX186" s="199"/>
      <c r="IY186" s="199"/>
      <c r="IZ186" s="199"/>
      <c r="JA186" s="200"/>
      <c r="JB186" s="204"/>
      <c r="JC186" s="204"/>
      <c r="JD186" s="204"/>
      <c r="JE186" s="204"/>
      <c r="JF186" s="204"/>
      <c r="JG186" s="204"/>
      <c r="JH186" s="19"/>
      <c r="JN186" s="155"/>
      <c r="JR186" s="16"/>
      <c r="JU186" s="187"/>
      <c r="JV186" s="188"/>
      <c r="JW186" s="188"/>
      <c r="JX186" s="188"/>
      <c r="JY186" s="188"/>
      <c r="JZ186" s="188"/>
      <c r="KA186" s="188"/>
      <c r="KB186" s="188"/>
      <c r="KC186" s="188"/>
      <c r="KD186" s="188"/>
      <c r="KE186" s="188"/>
      <c r="KF186" s="188"/>
      <c r="KG186" s="188"/>
      <c r="KH186" s="188"/>
      <c r="KI186" s="188"/>
      <c r="KJ186" s="188"/>
      <c r="KK186" s="188"/>
      <c r="KL186" s="188"/>
      <c r="KM186" s="188"/>
      <c r="KN186" s="188"/>
      <c r="KO186" s="188"/>
      <c r="KP186" s="188"/>
      <c r="KQ186" s="188"/>
      <c r="KR186" s="188"/>
      <c r="KS186" s="188"/>
      <c r="KT186" s="188"/>
      <c r="KU186" s="188"/>
      <c r="KV186" s="188"/>
      <c r="KW186" s="188"/>
      <c r="KX186" s="188"/>
      <c r="KY186" s="188"/>
      <c r="KZ186" s="188"/>
      <c r="LA186" s="188"/>
      <c r="LB186" s="188"/>
      <c r="LC186" s="188"/>
      <c r="LD186" s="188"/>
      <c r="LE186" s="188"/>
      <c r="LF186" s="188"/>
      <c r="LG186" s="188"/>
      <c r="LH186" s="188"/>
      <c r="LI186" s="189"/>
      <c r="LJ186" s="187"/>
      <c r="LK186" s="188"/>
      <c r="LL186" s="188"/>
      <c r="LM186" s="188"/>
      <c r="LN186" s="189"/>
      <c r="LW186" s="12"/>
      <c r="LX186" s="7"/>
      <c r="LY186" s="3"/>
      <c r="LZ186" s="3"/>
      <c r="MA186" s="3"/>
      <c r="MB186" s="3"/>
      <c r="MC186" s="2"/>
      <c r="MQ186" s="3"/>
      <c r="MR186" s="3"/>
      <c r="MS186" s="3"/>
      <c r="MT186" s="3"/>
      <c r="MU186" s="3"/>
      <c r="MV186" s="2"/>
    </row>
    <row r="187" spans="3:360" ht="3.75" customHeight="1" x14ac:dyDescent="0.3">
      <c r="C187" s="11"/>
      <c r="D187" s="13"/>
      <c r="Q187" s="187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  <c r="BD187" s="188"/>
      <c r="BE187" s="189"/>
      <c r="BF187" s="187"/>
      <c r="BG187" s="188"/>
      <c r="BH187" s="188"/>
      <c r="BI187" s="188"/>
      <c r="BJ187" s="189"/>
      <c r="FL187" s="187"/>
      <c r="FM187" s="188"/>
      <c r="FN187" s="188"/>
      <c r="FO187" s="188"/>
      <c r="FP187" s="188"/>
      <c r="FQ187" s="188"/>
      <c r="FR187" s="188"/>
      <c r="FS187" s="188"/>
      <c r="FT187" s="188"/>
      <c r="FU187" s="188"/>
      <c r="FV187" s="188"/>
      <c r="FW187" s="188"/>
      <c r="FX187" s="188"/>
      <c r="FY187" s="188"/>
      <c r="FZ187" s="188"/>
      <c r="GA187" s="188"/>
      <c r="GB187" s="188"/>
      <c r="GC187" s="188"/>
      <c r="GD187" s="188"/>
      <c r="GE187" s="188"/>
      <c r="GF187" s="188"/>
      <c r="GG187" s="188"/>
      <c r="GH187" s="188"/>
      <c r="GI187" s="188"/>
      <c r="GJ187" s="188"/>
      <c r="GK187" s="188"/>
      <c r="GL187" s="188"/>
      <c r="GM187" s="188"/>
      <c r="GN187" s="188"/>
      <c r="GO187" s="188"/>
      <c r="GP187" s="188"/>
      <c r="GQ187" s="188"/>
      <c r="GR187" s="188"/>
      <c r="GS187" s="188"/>
      <c r="GT187" s="188"/>
      <c r="GU187" s="188"/>
      <c r="GV187" s="188"/>
      <c r="GW187" s="188"/>
      <c r="GX187" s="188"/>
      <c r="GY187" s="189"/>
      <c r="GZ187" s="187"/>
      <c r="HA187" s="188"/>
      <c r="HB187" s="188"/>
      <c r="HC187" s="188"/>
      <c r="HD187" s="189"/>
      <c r="HN187" s="198"/>
      <c r="HO187" s="199"/>
      <c r="HP187" s="199"/>
      <c r="HQ187" s="199"/>
      <c r="HR187" s="199"/>
      <c r="HS187" s="199"/>
      <c r="HT187" s="199"/>
      <c r="HU187" s="199"/>
      <c r="HV187" s="199"/>
      <c r="HW187" s="199"/>
      <c r="HX187" s="199"/>
      <c r="HY187" s="199"/>
      <c r="HZ187" s="199"/>
      <c r="IA187" s="199"/>
      <c r="IB187" s="199"/>
      <c r="IC187" s="199"/>
      <c r="ID187" s="199"/>
      <c r="IE187" s="199"/>
      <c r="IF187" s="199"/>
      <c r="IG187" s="199"/>
      <c r="IH187" s="199"/>
      <c r="II187" s="199"/>
      <c r="IJ187" s="199"/>
      <c r="IK187" s="199"/>
      <c r="IL187" s="199"/>
      <c r="IM187" s="199"/>
      <c r="IN187" s="199"/>
      <c r="IO187" s="199"/>
      <c r="IP187" s="199"/>
      <c r="IQ187" s="199"/>
      <c r="IR187" s="199"/>
      <c r="IS187" s="199"/>
      <c r="IT187" s="199"/>
      <c r="IU187" s="199"/>
      <c r="IV187" s="199"/>
      <c r="IW187" s="199"/>
      <c r="IX187" s="199"/>
      <c r="IY187" s="199"/>
      <c r="IZ187" s="199"/>
      <c r="JA187" s="200"/>
      <c r="JB187" s="204"/>
      <c r="JC187" s="204"/>
      <c r="JD187" s="204"/>
      <c r="JE187" s="204"/>
      <c r="JF187" s="204"/>
      <c r="JG187" s="204"/>
      <c r="JH187" s="19"/>
      <c r="JN187" s="155"/>
      <c r="JR187" s="16"/>
      <c r="JU187" s="187"/>
      <c r="JV187" s="188"/>
      <c r="JW187" s="188"/>
      <c r="JX187" s="188"/>
      <c r="JY187" s="188"/>
      <c r="JZ187" s="188"/>
      <c r="KA187" s="188"/>
      <c r="KB187" s="188"/>
      <c r="KC187" s="188"/>
      <c r="KD187" s="188"/>
      <c r="KE187" s="188"/>
      <c r="KF187" s="188"/>
      <c r="KG187" s="188"/>
      <c r="KH187" s="188"/>
      <c r="KI187" s="188"/>
      <c r="KJ187" s="188"/>
      <c r="KK187" s="188"/>
      <c r="KL187" s="188"/>
      <c r="KM187" s="188"/>
      <c r="KN187" s="188"/>
      <c r="KO187" s="188"/>
      <c r="KP187" s="188"/>
      <c r="KQ187" s="188"/>
      <c r="KR187" s="188"/>
      <c r="KS187" s="188"/>
      <c r="KT187" s="188"/>
      <c r="KU187" s="188"/>
      <c r="KV187" s="188"/>
      <c r="KW187" s="188"/>
      <c r="KX187" s="188"/>
      <c r="KY187" s="188"/>
      <c r="KZ187" s="188"/>
      <c r="LA187" s="188"/>
      <c r="LB187" s="188"/>
      <c r="LC187" s="188"/>
      <c r="LD187" s="188"/>
      <c r="LE187" s="188"/>
      <c r="LF187" s="188"/>
      <c r="LG187" s="188"/>
      <c r="LH187" s="188"/>
      <c r="LI187" s="189"/>
      <c r="LJ187" s="187"/>
      <c r="LK187" s="188"/>
      <c r="LL187" s="188"/>
      <c r="LM187" s="188"/>
      <c r="LN187" s="189"/>
      <c r="LW187" s="12"/>
      <c r="LX187" s="7"/>
      <c r="LY187" s="3"/>
      <c r="LZ187" s="3"/>
      <c r="MA187" s="3"/>
      <c r="MB187" s="3"/>
      <c r="MC187" s="2"/>
      <c r="MQ187" s="3"/>
      <c r="MR187" s="3"/>
      <c r="MS187" s="3"/>
      <c r="MT187" s="3"/>
      <c r="MU187" s="3"/>
      <c r="MV187" s="2"/>
    </row>
    <row r="188" spans="3:360" ht="5.0999999999999996" customHeight="1" x14ac:dyDescent="0.3">
      <c r="C188" s="11"/>
      <c r="D188" s="13"/>
      <c r="Q188" s="187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  <c r="BD188" s="188"/>
      <c r="BE188" s="189"/>
      <c r="BF188" s="187"/>
      <c r="BG188" s="188"/>
      <c r="BH188" s="188"/>
      <c r="BI188" s="188"/>
      <c r="BJ188" s="189"/>
      <c r="FL188" s="187"/>
      <c r="FM188" s="188"/>
      <c r="FN188" s="188"/>
      <c r="FO188" s="188"/>
      <c r="FP188" s="188"/>
      <c r="FQ188" s="188"/>
      <c r="FR188" s="188"/>
      <c r="FS188" s="188"/>
      <c r="FT188" s="188"/>
      <c r="FU188" s="188"/>
      <c r="FV188" s="188"/>
      <c r="FW188" s="188"/>
      <c r="FX188" s="188"/>
      <c r="FY188" s="188"/>
      <c r="FZ188" s="188"/>
      <c r="GA188" s="188"/>
      <c r="GB188" s="188"/>
      <c r="GC188" s="188"/>
      <c r="GD188" s="188"/>
      <c r="GE188" s="188"/>
      <c r="GF188" s="188"/>
      <c r="GG188" s="188"/>
      <c r="GH188" s="188"/>
      <c r="GI188" s="188"/>
      <c r="GJ188" s="188"/>
      <c r="GK188" s="188"/>
      <c r="GL188" s="188"/>
      <c r="GM188" s="188"/>
      <c r="GN188" s="188"/>
      <c r="GO188" s="188"/>
      <c r="GP188" s="188"/>
      <c r="GQ188" s="188"/>
      <c r="GR188" s="188"/>
      <c r="GS188" s="188"/>
      <c r="GT188" s="188"/>
      <c r="GU188" s="188"/>
      <c r="GV188" s="188"/>
      <c r="GW188" s="188"/>
      <c r="GX188" s="188"/>
      <c r="GY188" s="189"/>
      <c r="GZ188" s="187"/>
      <c r="HA188" s="188"/>
      <c r="HB188" s="188"/>
      <c r="HC188" s="188"/>
      <c r="HD188" s="189"/>
      <c r="HN188" s="198"/>
      <c r="HO188" s="199"/>
      <c r="HP188" s="199"/>
      <c r="HQ188" s="199"/>
      <c r="HR188" s="199"/>
      <c r="HS188" s="199"/>
      <c r="HT188" s="199"/>
      <c r="HU188" s="199"/>
      <c r="HV188" s="199"/>
      <c r="HW188" s="199"/>
      <c r="HX188" s="199"/>
      <c r="HY188" s="199"/>
      <c r="HZ188" s="199"/>
      <c r="IA188" s="199"/>
      <c r="IB188" s="199"/>
      <c r="IC188" s="199"/>
      <c r="ID188" s="199"/>
      <c r="IE188" s="199"/>
      <c r="IF188" s="199"/>
      <c r="IG188" s="199"/>
      <c r="IH188" s="199"/>
      <c r="II188" s="199"/>
      <c r="IJ188" s="199"/>
      <c r="IK188" s="199"/>
      <c r="IL188" s="199"/>
      <c r="IM188" s="199"/>
      <c r="IN188" s="199"/>
      <c r="IO188" s="199"/>
      <c r="IP188" s="199"/>
      <c r="IQ188" s="199"/>
      <c r="IR188" s="199"/>
      <c r="IS188" s="199"/>
      <c r="IT188" s="199"/>
      <c r="IU188" s="199"/>
      <c r="IV188" s="199"/>
      <c r="IW188" s="199"/>
      <c r="IX188" s="199"/>
      <c r="IY188" s="199"/>
      <c r="IZ188" s="199"/>
      <c r="JA188" s="200"/>
      <c r="JB188" s="204"/>
      <c r="JC188" s="204"/>
      <c r="JD188" s="204"/>
      <c r="JE188" s="204"/>
      <c r="JF188" s="204"/>
      <c r="JG188" s="204"/>
      <c r="JH188" s="19"/>
      <c r="JN188" s="155"/>
      <c r="JR188" s="16"/>
      <c r="JU188" s="187"/>
      <c r="JV188" s="188"/>
      <c r="JW188" s="188"/>
      <c r="JX188" s="188"/>
      <c r="JY188" s="188"/>
      <c r="JZ188" s="188"/>
      <c r="KA188" s="188"/>
      <c r="KB188" s="188"/>
      <c r="KC188" s="188"/>
      <c r="KD188" s="188"/>
      <c r="KE188" s="188"/>
      <c r="KF188" s="188"/>
      <c r="KG188" s="188"/>
      <c r="KH188" s="188"/>
      <c r="KI188" s="188"/>
      <c r="KJ188" s="188"/>
      <c r="KK188" s="188"/>
      <c r="KL188" s="188"/>
      <c r="KM188" s="188"/>
      <c r="KN188" s="188"/>
      <c r="KO188" s="188"/>
      <c r="KP188" s="188"/>
      <c r="KQ188" s="188"/>
      <c r="KR188" s="188"/>
      <c r="KS188" s="188"/>
      <c r="KT188" s="188"/>
      <c r="KU188" s="188"/>
      <c r="KV188" s="188"/>
      <c r="KW188" s="188"/>
      <c r="KX188" s="188"/>
      <c r="KY188" s="188"/>
      <c r="KZ188" s="188"/>
      <c r="LA188" s="188"/>
      <c r="LB188" s="188"/>
      <c r="LC188" s="188"/>
      <c r="LD188" s="188"/>
      <c r="LE188" s="188"/>
      <c r="LF188" s="188"/>
      <c r="LG188" s="188"/>
      <c r="LH188" s="188"/>
      <c r="LI188" s="189"/>
      <c r="LJ188" s="187"/>
      <c r="LK188" s="188"/>
      <c r="LL188" s="188"/>
      <c r="LM188" s="188"/>
      <c r="LN188" s="189"/>
      <c r="LW188" s="12"/>
      <c r="LX188" s="7"/>
      <c r="LY188" s="3"/>
      <c r="LZ188" s="3"/>
      <c r="MA188" s="3"/>
      <c r="MB188" s="3"/>
      <c r="MC188" s="2"/>
      <c r="MQ188" s="3"/>
      <c r="MR188" s="3"/>
      <c r="MS188" s="3"/>
      <c r="MT188" s="3"/>
      <c r="MU188" s="3"/>
      <c r="MV188" s="2"/>
    </row>
    <row r="189" spans="3:360" ht="5.0999999999999996" customHeight="1" x14ac:dyDescent="0.3">
      <c r="C189" s="11"/>
      <c r="D189" s="13"/>
      <c r="Q189" s="187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  <c r="BE189" s="189"/>
      <c r="BF189" s="187"/>
      <c r="BG189" s="188"/>
      <c r="BH189" s="188"/>
      <c r="BI189" s="188"/>
      <c r="BJ189" s="189"/>
      <c r="FL189" s="187"/>
      <c r="FM189" s="188"/>
      <c r="FN189" s="188"/>
      <c r="FO189" s="188"/>
      <c r="FP189" s="188"/>
      <c r="FQ189" s="188"/>
      <c r="FR189" s="188"/>
      <c r="FS189" s="188"/>
      <c r="FT189" s="188"/>
      <c r="FU189" s="188"/>
      <c r="FV189" s="188"/>
      <c r="FW189" s="188"/>
      <c r="FX189" s="188"/>
      <c r="FY189" s="188"/>
      <c r="FZ189" s="188"/>
      <c r="GA189" s="188"/>
      <c r="GB189" s="188"/>
      <c r="GC189" s="188"/>
      <c r="GD189" s="188"/>
      <c r="GE189" s="188"/>
      <c r="GF189" s="188"/>
      <c r="GG189" s="188"/>
      <c r="GH189" s="188"/>
      <c r="GI189" s="188"/>
      <c r="GJ189" s="188"/>
      <c r="GK189" s="188"/>
      <c r="GL189" s="188"/>
      <c r="GM189" s="188"/>
      <c r="GN189" s="188"/>
      <c r="GO189" s="188"/>
      <c r="GP189" s="188"/>
      <c r="GQ189" s="188"/>
      <c r="GR189" s="188"/>
      <c r="GS189" s="188"/>
      <c r="GT189" s="188"/>
      <c r="GU189" s="188"/>
      <c r="GV189" s="188"/>
      <c r="GW189" s="188"/>
      <c r="GX189" s="188"/>
      <c r="GY189" s="189"/>
      <c r="GZ189" s="187"/>
      <c r="HA189" s="188"/>
      <c r="HB189" s="188"/>
      <c r="HC189" s="188"/>
      <c r="HD189" s="189"/>
      <c r="HN189" s="198"/>
      <c r="HO189" s="199"/>
      <c r="HP189" s="199"/>
      <c r="HQ189" s="199"/>
      <c r="HR189" s="199"/>
      <c r="HS189" s="199"/>
      <c r="HT189" s="199"/>
      <c r="HU189" s="199"/>
      <c r="HV189" s="199"/>
      <c r="HW189" s="199"/>
      <c r="HX189" s="199"/>
      <c r="HY189" s="199"/>
      <c r="HZ189" s="199"/>
      <c r="IA189" s="199"/>
      <c r="IB189" s="199"/>
      <c r="IC189" s="199"/>
      <c r="ID189" s="199"/>
      <c r="IE189" s="199"/>
      <c r="IF189" s="199"/>
      <c r="IG189" s="199"/>
      <c r="IH189" s="199"/>
      <c r="II189" s="199"/>
      <c r="IJ189" s="199"/>
      <c r="IK189" s="199"/>
      <c r="IL189" s="199"/>
      <c r="IM189" s="199"/>
      <c r="IN189" s="199"/>
      <c r="IO189" s="199"/>
      <c r="IP189" s="199"/>
      <c r="IQ189" s="199"/>
      <c r="IR189" s="199"/>
      <c r="IS189" s="199"/>
      <c r="IT189" s="199"/>
      <c r="IU189" s="199"/>
      <c r="IV189" s="199"/>
      <c r="IW189" s="199"/>
      <c r="IX189" s="199"/>
      <c r="IY189" s="199"/>
      <c r="IZ189" s="199"/>
      <c r="JA189" s="200"/>
      <c r="JB189" s="204"/>
      <c r="JC189" s="204"/>
      <c r="JD189" s="204"/>
      <c r="JE189" s="204"/>
      <c r="JF189" s="204"/>
      <c r="JG189" s="204"/>
      <c r="JH189" s="19"/>
      <c r="JN189" s="155"/>
      <c r="JR189" s="16"/>
      <c r="JU189" s="190"/>
      <c r="JV189" s="191"/>
      <c r="JW189" s="191"/>
      <c r="JX189" s="191"/>
      <c r="JY189" s="191"/>
      <c r="JZ189" s="191"/>
      <c r="KA189" s="191"/>
      <c r="KB189" s="191"/>
      <c r="KC189" s="191"/>
      <c r="KD189" s="191"/>
      <c r="KE189" s="191"/>
      <c r="KF189" s="191"/>
      <c r="KG189" s="191"/>
      <c r="KH189" s="191"/>
      <c r="KI189" s="191"/>
      <c r="KJ189" s="191"/>
      <c r="KK189" s="191"/>
      <c r="KL189" s="191"/>
      <c r="KM189" s="191"/>
      <c r="KN189" s="191"/>
      <c r="KO189" s="191"/>
      <c r="KP189" s="191"/>
      <c r="KQ189" s="191"/>
      <c r="KR189" s="191"/>
      <c r="KS189" s="191"/>
      <c r="KT189" s="191"/>
      <c r="KU189" s="191"/>
      <c r="KV189" s="191"/>
      <c r="KW189" s="191"/>
      <c r="KX189" s="191"/>
      <c r="KY189" s="191"/>
      <c r="KZ189" s="191"/>
      <c r="LA189" s="191"/>
      <c r="LB189" s="191"/>
      <c r="LC189" s="191"/>
      <c r="LD189" s="191"/>
      <c r="LE189" s="191"/>
      <c r="LF189" s="191"/>
      <c r="LG189" s="191"/>
      <c r="LH189" s="191"/>
      <c r="LI189" s="192"/>
      <c r="LJ189" s="190"/>
      <c r="LK189" s="191"/>
      <c r="LL189" s="191"/>
      <c r="LM189" s="191"/>
      <c r="LN189" s="192"/>
      <c r="LW189" s="12"/>
      <c r="LX189" s="7"/>
      <c r="LY189" s="3"/>
      <c r="LZ189" s="3"/>
      <c r="MA189" s="3"/>
      <c r="MB189" s="3"/>
      <c r="MC189" s="2"/>
      <c r="MQ189" s="3"/>
      <c r="MR189" s="3"/>
      <c r="MS189" s="3"/>
      <c r="MT189" s="3"/>
      <c r="MU189" s="3"/>
      <c r="MV189" s="2"/>
    </row>
    <row r="190" spans="3:360" ht="5.0999999999999996" customHeight="1" x14ac:dyDescent="0.3">
      <c r="C190" s="11"/>
      <c r="D190" s="13"/>
      <c r="Q190" s="190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2"/>
      <c r="BF190" s="190"/>
      <c r="BG190" s="191"/>
      <c r="BH190" s="191"/>
      <c r="BI190" s="191"/>
      <c r="BJ190" s="192"/>
      <c r="FL190" s="190"/>
      <c r="FM190" s="191"/>
      <c r="FN190" s="191"/>
      <c r="FO190" s="191"/>
      <c r="FP190" s="191"/>
      <c r="FQ190" s="191"/>
      <c r="FR190" s="191"/>
      <c r="FS190" s="191"/>
      <c r="FT190" s="191"/>
      <c r="FU190" s="191"/>
      <c r="FV190" s="191"/>
      <c r="FW190" s="191"/>
      <c r="FX190" s="191"/>
      <c r="FY190" s="191"/>
      <c r="FZ190" s="191"/>
      <c r="GA190" s="191"/>
      <c r="GB190" s="191"/>
      <c r="GC190" s="191"/>
      <c r="GD190" s="191"/>
      <c r="GE190" s="191"/>
      <c r="GF190" s="191"/>
      <c r="GG190" s="191"/>
      <c r="GH190" s="191"/>
      <c r="GI190" s="191"/>
      <c r="GJ190" s="191"/>
      <c r="GK190" s="191"/>
      <c r="GL190" s="191"/>
      <c r="GM190" s="191"/>
      <c r="GN190" s="191"/>
      <c r="GO190" s="191"/>
      <c r="GP190" s="191"/>
      <c r="GQ190" s="191"/>
      <c r="GR190" s="191"/>
      <c r="GS190" s="191"/>
      <c r="GT190" s="191"/>
      <c r="GU190" s="191"/>
      <c r="GV190" s="191"/>
      <c r="GW190" s="191"/>
      <c r="GX190" s="191"/>
      <c r="GY190" s="192"/>
      <c r="GZ190" s="190"/>
      <c r="HA190" s="191"/>
      <c r="HB190" s="191"/>
      <c r="HC190" s="191"/>
      <c r="HD190" s="192"/>
      <c r="HN190" s="198"/>
      <c r="HO190" s="199"/>
      <c r="HP190" s="199"/>
      <c r="HQ190" s="199"/>
      <c r="HR190" s="199"/>
      <c r="HS190" s="199"/>
      <c r="HT190" s="199"/>
      <c r="HU190" s="199"/>
      <c r="HV190" s="199"/>
      <c r="HW190" s="199"/>
      <c r="HX190" s="199"/>
      <c r="HY190" s="199"/>
      <c r="HZ190" s="199"/>
      <c r="IA190" s="199"/>
      <c r="IB190" s="199"/>
      <c r="IC190" s="199"/>
      <c r="ID190" s="199"/>
      <c r="IE190" s="199"/>
      <c r="IF190" s="199"/>
      <c r="IG190" s="199"/>
      <c r="IH190" s="199"/>
      <c r="II190" s="199"/>
      <c r="IJ190" s="199"/>
      <c r="IK190" s="199"/>
      <c r="IL190" s="199"/>
      <c r="IM190" s="199"/>
      <c r="IN190" s="199"/>
      <c r="IO190" s="199"/>
      <c r="IP190" s="199"/>
      <c r="IQ190" s="199"/>
      <c r="IR190" s="199"/>
      <c r="IS190" s="199"/>
      <c r="IT190" s="199"/>
      <c r="IU190" s="199"/>
      <c r="IV190" s="199"/>
      <c r="IW190" s="199"/>
      <c r="IX190" s="199"/>
      <c r="IY190" s="199"/>
      <c r="IZ190" s="199"/>
      <c r="JA190" s="200"/>
      <c r="JB190" s="204"/>
      <c r="JC190" s="204"/>
      <c r="JD190" s="204"/>
      <c r="JE190" s="204"/>
      <c r="JF190" s="204"/>
      <c r="JG190" s="204"/>
      <c r="JH190" s="19"/>
      <c r="JN190" s="155"/>
      <c r="JR190" s="16"/>
      <c r="JU190" s="184" t="s">
        <v>42</v>
      </c>
      <c r="JV190" s="185"/>
      <c r="JW190" s="185"/>
      <c r="JX190" s="185"/>
      <c r="JY190" s="185"/>
      <c r="JZ190" s="185"/>
      <c r="KA190" s="185"/>
      <c r="KB190" s="185"/>
      <c r="KC190" s="185"/>
      <c r="KD190" s="185"/>
      <c r="KE190" s="185"/>
      <c r="KF190" s="185"/>
      <c r="KG190" s="185"/>
      <c r="KH190" s="185"/>
      <c r="KI190" s="185"/>
      <c r="KJ190" s="185"/>
      <c r="KK190" s="185"/>
      <c r="KL190" s="185"/>
      <c r="KM190" s="185"/>
      <c r="KN190" s="185"/>
      <c r="KO190" s="185"/>
      <c r="KP190" s="185"/>
      <c r="KQ190" s="185"/>
      <c r="KR190" s="185"/>
      <c r="KS190" s="185"/>
      <c r="KT190" s="185"/>
      <c r="KU190" s="185"/>
      <c r="KV190" s="185"/>
      <c r="KW190" s="185"/>
      <c r="KX190" s="185"/>
      <c r="KY190" s="185"/>
      <c r="KZ190" s="185"/>
      <c r="LA190" s="185"/>
      <c r="LB190" s="185"/>
      <c r="LC190" s="185"/>
      <c r="LD190" s="185"/>
      <c r="LE190" s="185"/>
      <c r="LF190" s="185"/>
      <c r="LG190" s="185"/>
      <c r="LH190" s="185"/>
      <c r="LI190" s="186"/>
      <c r="LJ190" s="184">
        <v>1</v>
      </c>
      <c r="LK190" s="185"/>
      <c r="LL190" s="185"/>
      <c r="LM190" s="185"/>
      <c r="LN190" s="186"/>
      <c r="LW190" s="12"/>
      <c r="LX190" s="7"/>
    </row>
    <row r="191" spans="3:360" ht="5.0999999999999996" customHeight="1" x14ac:dyDescent="0.3">
      <c r="C191" s="11"/>
      <c r="D191" s="13"/>
      <c r="Q191" s="184" t="s">
        <v>63</v>
      </c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6"/>
      <c r="BF191" s="184">
        <v>2</v>
      </c>
      <c r="BG191" s="185"/>
      <c r="BH191" s="185"/>
      <c r="BI191" s="185"/>
      <c r="BJ191" s="186"/>
      <c r="FL191" s="184" t="s">
        <v>3</v>
      </c>
      <c r="FM191" s="185"/>
      <c r="FN191" s="185"/>
      <c r="FO191" s="185"/>
      <c r="FP191" s="185"/>
      <c r="FQ191" s="185"/>
      <c r="FR191" s="185"/>
      <c r="FS191" s="185"/>
      <c r="FT191" s="185"/>
      <c r="FU191" s="185"/>
      <c r="FV191" s="185"/>
      <c r="FW191" s="185"/>
      <c r="FX191" s="185"/>
      <c r="FY191" s="185"/>
      <c r="FZ191" s="185"/>
      <c r="GA191" s="185"/>
      <c r="GB191" s="185"/>
      <c r="GC191" s="185"/>
      <c r="GD191" s="185"/>
      <c r="GE191" s="185"/>
      <c r="GF191" s="185"/>
      <c r="GG191" s="185"/>
      <c r="GH191" s="185"/>
      <c r="GI191" s="185"/>
      <c r="GJ191" s="185"/>
      <c r="GK191" s="185"/>
      <c r="GL191" s="185"/>
      <c r="GM191" s="185"/>
      <c r="GN191" s="185"/>
      <c r="GO191" s="185"/>
      <c r="GP191" s="185"/>
      <c r="GQ191" s="185"/>
      <c r="GR191" s="185"/>
      <c r="GS191" s="185"/>
      <c r="GT191" s="185"/>
      <c r="GU191" s="185"/>
      <c r="GV191" s="185"/>
      <c r="GW191" s="185"/>
      <c r="GX191" s="185"/>
      <c r="GY191" s="186"/>
      <c r="GZ191" s="184">
        <v>2</v>
      </c>
      <c r="HA191" s="185"/>
      <c r="HB191" s="185"/>
      <c r="HC191" s="185"/>
      <c r="HD191" s="186"/>
      <c r="HN191" s="198"/>
      <c r="HO191" s="199"/>
      <c r="HP191" s="199"/>
      <c r="HQ191" s="199"/>
      <c r="HR191" s="199"/>
      <c r="HS191" s="199"/>
      <c r="HT191" s="199"/>
      <c r="HU191" s="199"/>
      <c r="HV191" s="199"/>
      <c r="HW191" s="199"/>
      <c r="HX191" s="199"/>
      <c r="HY191" s="199"/>
      <c r="HZ191" s="199"/>
      <c r="IA191" s="199"/>
      <c r="IB191" s="199"/>
      <c r="IC191" s="199"/>
      <c r="ID191" s="199"/>
      <c r="IE191" s="199"/>
      <c r="IF191" s="199"/>
      <c r="IG191" s="199"/>
      <c r="IH191" s="199"/>
      <c r="II191" s="199"/>
      <c r="IJ191" s="199"/>
      <c r="IK191" s="199"/>
      <c r="IL191" s="199"/>
      <c r="IM191" s="199"/>
      <c r="IN191" s="199"/>
      <c r="IO191" s="199"/>
      <c r="IP191" s="199"/>
      <c r="IQ191" s="199"/>
      <c r="IR191" s="199"/>
      <c r="IS191" s="199"/>
      <c r="IT191" s="199"/>
      <c r="IU191" s="199"/>
      <c r="IV191" s="199"/>
      <c r="IW191" s="199"/>
      <c r="IX191" s="199"/>
      <c r="IY191" s="199"/>
      <c r="IZ191" s="199"/>
      <c r="JA191" s="200"/>
      <c r="JB191" s="204"/>
      <c r="JC191" s="204"/>
      <c r="JD191" s="204"/>
      <c r="JE191" s="204"/>
      <c r="JF191" s="204"/>
      <c r="JG191" s="204"/>
      <c r="JH191" s="19"/>
      <c r="JN191" s="155"/>
      <c r="JR191" s="16"/>
      <c r="JU191" s="187"/>
      <c r="JV191" s="188"/>
      <c r="JW191" s="188"/>
      <c r="JX191" s="188"/>
      <c r="JY191" s="188"/>
      <c r="JZ191" s="188"/>
      <c r="KA191" s="188"/>
      <c r="KB191" s="188"/>
      <c r="KC191" s="188"/>
      <c r="KD191" s="188"/>
      <c r="KE191" s="188"/>
      <c r="KF191" s="188"/>
      <c r="KG191" s="188"/>
      <c r="KH191" s="188"/>
      <c r="KI191" s="188"/>
      <c r="KJ191" s="188"/>
      <c r="KK191" s="188"/>
      <c r="KL191" s="188"/>
      <c r="KM191" s="188"/>
      <c r="KN191" s="188"/>
      <c r="KO191" s="188"/>
      <c r="KP191" s="188"/>
      <c r="KQ191" s="188"/>
      <c r="KR191" s="188"/>
      <c r="KS191" s="188"/>
      <c r="KT191" s="188"/>
      <c r="KU191" s="188"/>
      <c r="KV191" s="188"/>
      <c r="KW191" s="188"/>
      <c r="KX191" s="188"/>
      <c r="KY191" s="188"/>
      <c r="KZ191" s="188"/>
      <c r="LA191" s="188"/>
      <c r="LB191" s="188"/>
      <c r="LC191" s="188"/>
      <c r="LD191" s="188"/>
      <c r="LE191" s="188"/>
      <c r="LF191" s="188"/>
      <c r="LG191" s="188"/>
      <c r="LH191" s="188"/>
      <c r="LI191" s="189"/>
      <c r="LJ191" s="187"/>
      <c r="LK191" s="188"/>
      <c r="LL191" s="188"/>
      <c r="LM191" s="188"/>
      <c r="LN191" s="189"/>
      <c r="LW191" s="12"/>
      <c r="LX191" s="7"/>
    </row>
    <row r="192" spans="3:360" ht="5.0999999999999996" customHeight="1" thickBot="1" x14ac:dyDescent="0.35">
      <c r="C192" s="11"/>
      <c r="D192" s="13"/>
      <c r="Q192" s="187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  <c r="BD192" s="188"/>
      <c r="BE192" s="189"/>
      <c r="BF192" s="187"/>
      <c r="BG192" s="188"/>
      <c r="BH192" s="188"/>
      <c r="BI192" s="188"/>
      <c r="BJ192" s="189"/>
      <c r="FL192" s="187"/>
      <c r="FM192" s="188"/>
      <c r="FN192" s="188"/>
      <c r="FO192" s="188"/>
      <c r="FP192" s="188"/>
      <c r="FQ192" s="188"/>
      <c r="FR192" s="188"/>
      <c r="FS192" s="188"/>
      <c r="FT192" s="188"/>
      <c r="FU192" s="188"/>
      <c r="FV192" s="188"/>
      <c r="FW192" s="188"/>
      <c r="FX192" s="188"/>
      <c r="FY192" s="188"/>
      <c r="FZ192" s="188"/>
      <c r="GA192" s="188"/>
      <c r="GB192" s="188"/>
      <c r="GC192" s="188"/>
      <c r="GD192" s="188"/>
      <c r="GE192" s="188"/>
      <c r="GF192" s="188"/>
      <c r="GG192" s="188"/>
      <c r="GH192" s="188"/>
      <c r="GI192" s="188"/>
      <c r="GJ192" s="188"/>
      <c r="GK192" s="188"/>
      <c r="GL192" s="188"/>
      <c r="GM192" s="188"/>
      <c r="GN192" s="188"/>
      <c r="GO192" s="188"/>
      <c r="GP192" s="188"/>
      <c r="GQ192" s="188"/>
      <c r="GR192" s="188"/>
      <c r="GS192" s="188"/>
      <c r="GT192" s="188"/>
      <c r="GU192" s="188"/>
      <c r="GV192" s="188"/>
      <c r="GW192" s="188"/>
      <c r="GX192" s="188"/>
      <c r="GY192" s="189"/>
      <c r="GZ192" s="187"/>
      <c r="HA192" s="188"/>
      <c r="HB192" s="188"/>
      <c r="HC192" s="188"/>
      <c r="HD192" s="189"/>
      <c r="HN192" s="201"/>
      <c r="HO192" s="202"/>
      <c r="HP192" s="202"/>
      <c r="HQ192" s="202"/>
      <c r="HR192" s="202"/>
      <c r="HS192" s="202"/>
      <c r="HT192" s="202"/>
      <c r="HU192" s="202"/>
      <c r="HV192" s="202"/>
      <c r="HW192" s="202"/>
      <c r="HX192" s="202"/>
      <c r="HY192" s="202"/>
      <c r="HZ192" s="202"/>
      <c r="IA192" s="202"/>
      <c r="IB192" s="202"/>
      <c r="IC192" s="202"/>
      <c r="ID192" s="202"/>
      <c r="IE192" s="202"/>
      <c r="IF192" s="202"/>
      <c r="IG192" s="202"/>
      <c r="IH192" s="202"/>
      <c r="II192" s="202"/>
      <c r="IJ192" s="202"/>
      <c r="IK192" s="202"/>
      <c r="IL192" s="202"/>
      <c r="IM192" s="202"/>
      <c r="IN192" s="202"/>
      <c r="IO192" s="202"/>
      <c r="IP192" s="202"/>
      <c r="IQ192" s="202"/>
      <c r="IR192" s="202"/>
      <c r="IS192" s="202"/>
      <c r="IT192" s="202"/>
      <c r="IU192" s="202"/>
      <c r="IV192" s="202"/>
      <c r="IW192" s="202"/>
      <c r="IX192" s="202"/>
      <c r="IY192" s="202"/>
      <c r="IZ192" s="202"/>
      <c r="JA192" s="203"/>
      <c r="JB192" s="204"/>
      <c r="JC192" s="204"/>
      <c r="JD192" s="204"/>
      <c r="JE192" s="204"/>
      <c r="JF192" s="204"/>
      <c r="JG192" s="204"/>
      <c r="JH192" s="19"/>
      <c r="JN192" s="155"/>
      <c r="JR192" s="16"/>
      <c r="JU192" s="187"/>
      <c r="JV192" s="188"/>
      <c r="JW192" s="188"/>
      <c r="JX192" s="188"/>
      <c r="JY192" s="188"/>
      <c r="JZ192" s="188"/>
      <c r="KA192" s="188"/>
      <c r="KB192" s="188"/>
      <c r="KC192" s="188"/>
      <c r="KD192" s="188"/>
      <c r="KE192" s="188"/>
      <c r="KF192" s="188"/>
      <c r="KG192" s="188"/>
      <c r="KH192" s="188"/>
      <c r="KI192" s="188"/>
      <c r="KJ192" s="188"/>
      <c r="KK192" s="188"/>
      <c r="KL192" s="188"/>
      <c r="KM192" s="188"/>
      <c r="KN192" s="188"/>
      <c r="KO192" s="188"/>
      <c r="KP192" s="188"/>
      <c r="KQ192" s="188"/>
      <c r="KR192" s="188"/>
      <c r="KS192" s="188"/>
      <c r="KT192" s="188"/>
      <c r="KU192" s="188"/>
      <c r="KV192" s="188"/>
      <c r="KW192" s="188"/>
      <c r="KX192" s="188"/>
      <c r="KY192" s="188"/>
      <c r="KZ192" s="188"/>
      <c r="LA192" s="188"/>
      <c r="LB192" s="188"/>
      <c r="LC192" s="188"/>
      <c r="LD192" s="188"/>
      <c r="LE192" s="188"/>
      <c r="LF192" s="188"/>
      <c r="LG192" s="188"/>
      <c r="LH192" s="188"/>
      <c r="LI192" s="189"/>
      <c r="LJ192" s="187"/>
      <c r="LK192" s="188"/>
      <c r="LL192" s="188"/>
      <c r="LM192" s="188"/>
      <c r="LN192" s="189"/>
      <c r="LW192" s="12"/>
      <c r="LX192" s="7"/>
      <c r="LY192" s="3"/>
      <c r="LZ192" s="3"/>
      <c r="MA192" s="3"/>
      <c r="MB192" s="3"/>
      <c r="MC192" s="2"/>
      <c r="MQ192" s="3"/>
      <c r="MR192" s="3"/>
      <c r="MS192" s="3"/>
      <c r="MT192" s="3"/>
      <c r="MU192" s="3"/>
      <c r="MV192" s="2"/>
    </row>
    <row r="193" spans="3:360" ht="5.0999999999999996" customHeight="1" x14ac:dyDescent="0.3">
      <c r="C193" s="11"/>
      <c r="D193" s="13"/>
      <c r="Q193" s="187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  <c r="BE193" s="189"/>
      <c r="BF193" s="187"/>
      <c r="BG193" s="188"/>
      <c r="BH193" s="188"/>
      <c r="BI193" s="188"/>
      <c r="BJ193" s="189"/>
      <c r="FL193" s="187"/>
      <c r="FM193" s="188"/>
      <c r="FN193" s="188"/>
      <c r="FO193" s="188"/>
      <c r="FP193" s="188"/>
      <c r="FQ193" s="188"/>
      <c r="FR193" s="188"/>
      <c r="FS193" s="188"/>
      <c r="FT193" s="188"/>
      <c r="FU193" s="188"/>
      <c r="FV193" s="188"/>
      <c r="FW193" s="188"/>
      <c r="FX193" s="188"/>
      <c r="FY193" s="188"/>
      <c r="FZ193" s="188"/>
      <c r="GA193" s="188"/>
      <c r="GB193" s="188"/>
      <c r="GC193" s="188"/>
      <c r="GD193" s="188"/>
      <c r="GE193" s="188"/>
      <c r="GF193" s="188"/>
      <c r="GG193" s="188"/>
      <c r="GH193" s="188"/>
      <c r="GI193" s="188"/>
      <c r="GJ193" s="188"/>
      <c r="GK193" s="188"/>
      <c r="GL193" s="188"/>
      <c r="GM193" s="188"/>
      <c r="GN193" s="188"/>
      <c r="GO193" s="188"/>
      <c r="GP193" s="188"/>
      <c r="GQ193" s="188"/>
      <c r="GR193" s="188"/>
      <c r="GS193" s="188"/>
      <c r="GT193" s="188"/>
      <c r="GU193" s="188"/>
      <c r="GV193" s="188"/>
      <c r="GW193" s="188"/>
      <c r="GX193" s="188"/>
      <c r="GY193" s="189"/>
      <c r="GZ193" s="187"/>
      <c r="HA193" s="188"/>
      <c r="HB193" s="188"/>
      <c r="HC193" s="188"/>
      <c r="HD193" s="189"/>
      <c r="HN193" s="216" t="s">
        <v>39</v>
      </c>
      <c r="HO193" s="217"/>
      <c r="HP193" s="217"/>
      <c r="HQ193" s="217"/>
      <c r="HR193" s="217"/>
      <c r="HS193" s="217"/>
      <c r="HT193" s="217"/>
      <c r="HU193" s="217"/>
      <c r="HV193" s="217"/>
      <c r="HW193" s="217"/>
      <c r="HX193" s="217"/>
      <c r="HY193" s="217"/>
      <c r="HZ193" s="217"/>
      <c r="IA193" s="217"/>
      <c r="IB193" s="217"/>
      <c r="IC193" s="217"/>
      <c r="ID193" s="217"/>
      <c r="IE193" s="217"/>
      <c r="IF193" s="217"/>
      <c r="IG193" s="217"/>
      <c r="IH193" s="217"/>
      <c r="II193" s="217"/>
      <c r="IJ193" s="217"/>
      <c r="IK193" s="217"/>
      <c r="IL193" s="217"/>
      <c r="IM193" s="217"/>
      <c r="IN193" s="217"/>
      <c r="IO193" s="217"/>
      <c r="IP193" s="217"/>
      <c r="IQ193" s="217"/>
      <c r="IR193" s="217"/>
      <c r="IS193" s="217"/>
      <c r="IT193" s="217"/>
      <c r="IU193" s="217"/>
      <c r="IV193" s="217"/>
      <c r="IW193" s="217"/>
      <c r="IX193" s="217"/>
      <c r="IY193" s="217"/>
      <c r="IZ193" s="217"/>
      <c r="JA193" s="218"/>
      <c r="JB193" s="184">
        <v>1</v>
      </c>
      <c r="JC193" s="185"/>
      <c r="JD193" s="185"/>
      <c r="JE193" s="185"/>
      <c r="JF193" s="185"/>
      <c r="JG193" s="186"/>
      <c r="JH193" s="51"/>
      <c r="JN193" s="155"/>
      <c r="JR193" s="16"/>
      <c r="JU193" s="187"/>
      <c r="JV193" s="188"/>
      <c r="JW193" s="188"/>
      <c r="JX193" s="188"/>
      <c r="JY193" s="188"/>
      <c r="JZ193" s="188"/>
      <c r="KA193" s="188"/>
      <c r="KB193" s="188"/>
      <c r="KC193" s="188"/>
      <c r="KD193" s="188"/>
      <c r="KE193" s="188"/>
      <c r="KF193" s="188"/>
      <c r="KG193" s="188"/>
      <c r="KH193" s="188"/>
      <c r="KI193" s="188"/>
      <c r="KJ193" s="188"/>
      <c r="KK193" s="188"/>
      <c r="KL193" s="188"/>
      <c r="KM193" s="188"/>
      <c r="KN193" s="188"/>
      <c r="KO193" s="188"/>
      <c r="KP193" s="188"/>
      <c r="KQ193" s="188"/>
      <c r="KR193" s="188"/>
      <c r="KS193" s="188"/>
      <c r="KT193" s="188"/>
      <c r="KU193" s="188"/>
      <c r="KV193" s="188"/>
      <c r="KW193" s="188"/>
      <c r="KX193" s="188"/>
      <c r="KY193" s="188"/>
      <c r="KZ193" s="188"/>
      <c r="LA193" s="188"/>
      <c r="LB193" s="188"/>
      <c r="LC193" s="188"/>
      <c r="LD193" s="188"/>
      <c r="LE193" s="188"/>
      <c r="LF193" s="188"/>
      <c r="LG193" s="188"/>
      <c r="LH193" s="188"/>
      <c r="LI193" s="189"/>
      <c r="LJ193" s="187"/>
      <c r="LK193" s="188"/>
      <c r="LL193" s="188"/>
      <c r="LM193" s="188"/>
      <c r="LN193" s="189"/>
      <c r="LW193" s="12"/>
      <c r="LX193" s="7"/>
      <c r="LY193" s="3"/>
      <c r="LZ193" s="3"/>
      <c r="MA193" s="3"/>
      <c r="MB193" s="3"/>
      <c r="MC193" s="2"/>
      <c r="MQ193" s="3"/>
      <c r="MR193" s="3"/>
      <c r="MS193" s="3"/>
      <c r="MT193" s="3"/>
      <c r="MU193" s="3"/>
      <c r="MV193" s="2"/>
    </row>
    <row r="194" spans="3:360" ht="5.0999999999999996" customHeight="1" x14ac:dyDescent="0.3">
      <c r="C194" s="11"/>
      <c r="D194" s="13"/>
      <c r="Q194" s="187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  <c r="BD194" s="188"/>
      <c r="BE194" s="189"/>
      <c r="BF194" s="187"/>
      <c r="BG194" s="188"/>
      <c r="BH194" s="188"/>
      <c r="BI194" s="188"/>
      <c r="BJ194" s="189"/>
      <c r="FL194" s="187"/>
      <c r="FM194" s="188"/>
      <c r="FN194" s="188"/>
      <c r="FO194" s="188"/>
      <c r="FP194" s="188"/>
      <c r="FQ194" s="188"/>
      <c r="FR194" s="188"/>
      <c r="FS194" s="188"/>
      <c r="FT194" s="188"/>
      <c r="FU194" s="188"/>
      <c r="FV194" s="188"/>
      <c r="FW194" s="188"/>
      <c r="FX194" s="188"/>
      <c r="FY194" s="188"/>
      <c r="FZ194" s="188"/>
      <c r="GA194" s="188"/>
      <c r="GB194" s="188"/>
      <c r="GC194" s="188"/>
      <c r="GD194" s="188"/>
      <c r="GE194" s="188"/>
      <c r="GF194" s="188"/>
      <c r="GG194" s="188"/>
      <c r="GH194" s="188"/>
      <c r="GI194" s="188"/>
      <c r="GJ194" s="188"/>
      <c r="GK194" s="188"/>
      <c r="GL194" s="188"/>
      <c r="GM194" s="188"/>
      <c r="GN194" s="188"/>
      <c r="GO194" s="188"/>
      <c r="GP194" s="188"/>
      <c r="GQ194" s="188"/>
      <c r="GR194" s="188"/>
      <c r="GS194" s="188"/>
      <c r="GT194" s="188"/>
      <c r="GU194" s="188"/>
      <c r="GV194" s="188"/>
      <c r="GW194" s="188"/>
      <c r="GX194" s="188"/>
      <c r="GY194" s="189"/>
      <c r="GZ194" s="187"/>
      <c r="HA194" s="188"/>
      <c r="HB194" s="188"/>
      <c r="HC194" s="188"/>
      <c r="HD194" s="189"/>
      <c r="HN194" s="219"/>
      <c r="HO194" s="220"/>
      <c r="HP194" s="220"/>
      <c r="HQ194" s="220"/>
      <c r="HR194" s="220"/>
      <c r="HS194" s="220"/>
      <c r="HT194" s="220"/>
      <c r="HU194" s="220"/>
      <c r="HV194" s="220"/>
      <c r="HW194" s="220"/>
      <c r="HX194" s="220"/>
      <c r="HY194" s="220"/>
      <c r="HZ194" s="220"/>
      <c r="IA194" s="220"/>
      <c r="IB194" s="220"/>
      <c r="IC194" s="220"/>
      <c r="ID194" s="220"/>
      <c r="IE194" s="220"/>
      <c r="IF194" s="220"/>
      <c r="IG194" s="220"/>
      <c r="IH194" s="220"/>
      <c r="II194" s="220"/>
      <c r="IJ194" s="220"/>
      <c r="IK194" s="220"/>
      <c r="IL194" s="220"/>
      <c r="IM194" s="220"/>
      <c r="IN194" s="220"/>
      <c r="IO194" s="220"/>
      <c r="IP194" s="220"/>
      <c r="IQ194" s="220"/>
      <c r="IR194" s="220"/>
      <c r="IS194" s="220"/>
      <c r="IT194" s="220"/>
      <c r="IU194" s="220"/>
      <c r="IV194" s="220"/>
      <c r="IW194" s="220"/>
      <c r="IX194" s="220"/>
      <c r="IY194" s="220"/>
      <c r="IZ194" s="220"/>
      <c r="JA194" s="221"/>
      <c r="JB194" s="187"/>
      <c r="JC194" s="188"/>
      <c r="JD194" s="188"/>
      <c r="JE194" s="188"/>
      <c r="JF194" s="188"/>
      <c r="JG194" s="189"/>
      <c r="JN194" s="155"/>
      <c r="JR194" s="16"/>
      <c r="JU194" s="187"/>
      <c r="JV194" s="188"/>
      <c r="JW194" s="188"/>
      <c r="JX194" s="188"/>
      <c r="JY194" s="188"/>
      <c r="JZ194" s="188"/>
      <c r="KA194" s="188"/>
      <c r="KB194" s="188"/>
      <c r="KC194" s="188"/>
      <c r="KD194" s="188"/>
      <c r="KE194" s="188"/>
      <c r="KF194" s="188"/>
      <c r="KG194" s="188"/>
      <c r="KH194" s="188"/>
      <c r="KI194" s="188"/>
      <c r="KJ194" s="188"/>
      <c r="KK194" s="188"/>
      <c r="KL194" s="188"/>
      <c r="KM194" s="188"/>
      <c r="KN194" s="188"/>
      <c r="KO194" s="188"/>
      <c r="KP194" s="188"/>
      <c r="KQ194" s="188"/>
      <c r="KR194" s="188"/>
      <c r="KS194" s="188"/>
      <c r="KT194" s="188"/>
      <c r="KU194" s="188"/>
      <c r="KV194" s="188"/>
      <c r="KW194" s="188"/>
      <c r="KX194" s="188"/>
      <c r="KY194" s="188"/>
      <c r="KZ194" s="188"/>
      <c r="LA194" s="188"/>
      <c r="LB194" s="188"/>
      <c r="LC194" s="188"/>
      <c r="LD194" s="188"/>
      <c r="LE194" s="188"/>
      <c r="LF194" s="188"/>
      <c r="LG194" s="188"/>
      <c r="LH194" s="188"/>
      <c r="LI194" s="189"/>
      <c r="LJ194" s="187"/>
      <c r="LK194" s="188"/>
      <c r="LL194" s="188"/>
      <c r="LM194" s="188"/>
      <c r="LN194" s="189"/>
      <c r="LW194" s="12"/>
      <c r="LX194" s="7"/>
      <c r="LY194" s="3"/>
      <c r="LZ194" s="3"/>
      <c r="MA194" s="3"/>
      <c r="MB194" s="3"/>
      <c r="MC194" s="2"/>
      <c r="MQ194" s="3"/>
      <c r="MR194" s="3"/>
      <c r="MS194" s="3"/>
      <c r="MT194" s="3"/>
      <c r="MU194" s="3"/>
      <c r="MV194" s="2"/>
    </row>
    <row r="195" spans="3:360" ht="5.0999999999999996" customHeight="1" x14ac:dyDescent="0.3">
      <c r="C195" s="11"/>
      <c r="D195" s="13"/>
      <c r="Q195" s="187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9"/>
      <c r="BF195" s="187"/>
      <c r="BG195" s="188"/>
      <c r="BH195" s="188"/>
      <c r="BI195" s="188"/>
      <c r="BJ195" s="189"/>
      <c r="FL195" s="187"/>
      <c r="FM195" s="188"/>
      <c r="FN195" s="188"/>
      <c r="FO195" s="188"/>
      <c r="FP195" s="188"/>
      <c r="FQ195" s="188"/>
      <c r="FR195" s="188"/>
      <c r="FS195" s="188"/>
      <c r="FT195" s="188"/>
      <c r="FU195" s="188"/>
      <c r="FV195" s="188"/>
      <c r="FW195" s="188"/>
      <c r="FX195" s="188"/>
      <c r="FY195" s="188"/>
      <c r="FZ195" s="188"/>
      <c r="GA195" s="188"/>
      <c r="GB195" s="188"/>
      <c r="GC195" s="188"/>
      <c r="GD195" s="188"/>
      <c r="GE195" s="188"/>
      <c r="GF195" s="188"/>
      <c r="GG195" s="188"/>
      <c r="GH195" s="188"/>
      <c r="GI195" s="188"/>
      <c r="GJ195" s="188"/>
      <c r="GK195" s="188"/>
      <c r="GL195" s="188"/>
      <c r="GM195" s="188"/>
      <c r="GN195" s="188"/>
      <c r="GO195" s="188"/>
      <c r="GP195" s="188"/>
      <c r="GQ195" s="188"/>
      <c r="GR195" s="188"/>
      <c r="GS195" s="188"/>
      <c r="GT195" s="188"/>
      <c r="GU195" s="188"/>
      <c r="GV195" s="188"/>
      <c r="GW195" s="188"/>
      <c r="GX195" s="188"/>
      <c r="GY195" s="189"/>
      <c r="GZ195" s="187"/>
      <c r="HA195" s="188"/>
      <c r="HB195" s="188"/>
      <c r="HC195" s="188"/>
      <c r="HD195" s="189"/>
      <c r="HN195" s="219"/>
      <c r="HO195" s="220"/>
      <c r="HP195" s="220"/>
      <c r="HQ195" s="220"/>
      <c r="HR195" s="220"/>
      <c r="HS195" s="220"/>
      <c r="HT195" s="220"/>
      <c r="HU195" s="220"/>
      <c r="HV195" s="220"/>
      <c r="HW195" s="220"/>
      <c r="HX195" s="220"/>
      <c r="HY195" s="220"/>
      <c r="HZ195" s="220"/>
      <c r="IA195" s="220"/>
      <c r="IB195" s="220"/>
      <c r="IC195" s="220"/>
      <c r="ID195" s="220"/>
      <c r="IE195" s="220"/>
      <c r="IF195" s="220"/>
      <c r="IG195" s="220"/>
      <c r="IH195" s="220"/>
      <c r="II195" s="220"/>
      <c r="IJ195" s="220"/>
      <c r="IK195" s="220"/>
      <c r="IL195" s="220"/>
      <c r="IM195" s="220"/>
      <c r="IN195" s="220"/>
      <c r="IO195" s="220"/>
      <c r="IP195" s="220"/>
      <c r="IQ195" s="220"/>
      <c r="IR195" s="220"/>
      <c r="IS195" s="220"/>
      <c r="IT195" s="220"/>
      <c r="IU195" s="220"/>
      <c r="IV195" s="220"/>
      <c r="IW195" s="220"/>
      <c r="IX195" s="220"/>
      <c r="IY195" s="220"/>
      <c r="IZ195" s="220"/>
      <c r="JA195" s="221"/>
      <c r="JB195" s="187"/>
      <c r="JC195" s="188"/>
      <c r="JD195" s="188"/>
      <c r="JE195" s="188"/>
      <c r="JF195" s="188"/>
      <c r="JG195" s="189"/>
      <c r="JN195" s="155"/>
      <c r="JR195" s="16"/>
      <c r="JU195" s="187"/>
      <c r="JV195" s="188"/>
      <c r="JW195" s="188"/>
      <c r="JX195" s="188"/>
      <c r="JY195" s="188"/>
      <c r="JZ195" s="188"/>
      <c r="KA195" s="188"/>
      <c r="KB195" s="188"/>
      <c r="KC195" s="188"/>
      <c r="KD195" s="188"/>
      <c r="KE195" s="188"/>
      <c r="KF195" s="188"/>
      <c r="KG195" s="188"/>
      <c r="KH195" s="188"/>
      <c r="KI195" s="188"/>
      <c r="KJ195" s="188"/>
      <c r="KK195" s="188"/>
      <c r="KL195" s="188"/>
      <c r="KM195" s="188"/>
      <c r="KN195" s="188"/>
      <c r="KO195" s="188"/>
      <c r="KP195" s="188"/>
      <c r="KQ195" s="188"/>
      <c r="KR195" s="188"/>
      <c r="KS195" s="188"/>
      <c r="KT195" s="188"/>
      <c r="KU195" s="188"/>
      <c r="KV195" s="188"/>
      <c r="KW195" s="188"/>
      <c r="KX195" s="188"/>
      <c r="KY195" s="188"/>
      <c r="KZ195" s="188"/>
      <c r="LA195" s="188"/>
      <c r="LB195" s="188"/>
      <c r="LC195" s="188"/>
      <c r="LD195" s="188"/>
      <c r="LE195" s="188"/>
      <c r="LF195" s="188"/>
      <c r="LG195" s="188"/>
      <c r="LH195" s="188"/>
      <c r="LI195" s="189"/>
      <c r="LJ195" s="187"/>
      <c r="LK195" s="188"/>
      <c r="LL195" s="188"/>
      <c r="LM195" s="188"/>
      <c r="LN195" s="189"/>
      <c r="LW195" s="12"/>
      <c r="LX195" s="7"/>
      <c r="LY195" s="3"/>
      <c r="LZ195" s="3"/>
      <c r="MA195" s="3"/>
      <c r="MB195" s="3"/>
      <c r="MC195" s="2"/>
      <c r="MQ195" s="3"/>
      <c r="MR195" s="3"/>
      <c r="MS195" s="3"/>
      <c r="MT195" s="3"/>
      <c r="MU195" s="3"/>
      <c r="MV195" s="2"/>
    </row>
    <row r="196" spans="3:360" ht="5.0999999999999996" customHeight="1" x14ac:dyDescent="0.3">
      <c r="C196" s="11"/>
      <c r="D196" s="13"/>
      <c r="Q196" s="187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  <c r="BD196" s="188"/>
      <c r="BE196" s="189"/>
      <c r="BF196" s="187"/>
      <c r="BG196" s="188"/>
      <c r="BH196" s="188"/>
      <c r="BI196" s="188"/>
      <c r="BJ196" s="189"/>
      <c r="FL196" s="187"/>
      <c r="FM196" s="188"/>
      <c r="FN196" s="188"/>
      <c r="FO196" s="188"/>
      <c r="FP196" s="188"/>
      <c r="FQ196" s="188"/>
      <c r="FR196" s="188"/>
      <c r="FS196" s="188"/>
      <c r="FT196" s="188"/>
      <c r="FU196" s="188"/>
      <c r="FV196" s="188"/>
      <c r="FW196" s="188"/>
      <c r="FX196" s="188"/>
      <c r="FY196" s="188"/>
      <c r="FZ196" s="188"/>
      <c r="GA196" s="188"/>
      <c r="GB196" s="188"/>
      <c r="GC196" s="188"/>
      <c r="GD196" s="188"/>
      <c r="GE196" s="188"/>
      <c r="GF196" s="188"/>
      <c r="GG196" s="188"/>
      <c r="GH196" s="188"/>
      <c r="GI196" s="188"/>
      <c r="GJ196" s="188"/>
      <c r="GK196" s="188"/>
      <c r="GL196" s="188"/>
      <c r="GM196" s="188"/>
      <c r="GN196" s="188"/>
      <c r="GO196" s="188"/>
      <c r="GP196" s="188"/>
      <c r="GQ196" s="188"/>
      <c r="GR196" s="188"/>
      <c r="GS196" s="188"/>
      <c r="GT196" s="188"/>
      <c r="GU196" s="188"/>
      <c r="GV196" s="188"/>
      <c r="GW196" s="188"/>
      <c r="GX196" s="188"/>
      <c r="GY196" s="189"/>
      <c r="GZ196" s="187"/>
      <c r="HA196" s="188"/>
      <c r="HB196" s="188"/>
      <c r="HC196" s="188"/>
      <c r="HD196" s="189"/>
      <c r="HN196" s="219"/>
      <c r="HO196" s="220"/>
      <c r="HP196" s="220"/>
      <c r="HQ196" s="220"/>
      <c r="HR196" s="220"/>
      <c r="HS196" s="220"/>
      <c r="HT196" s="220"/>
      <c r="HU196" s="220"/>
      <c r="HV196" s="220"/>
      <c r="HW196" s="220"/>
      <c r="HX196" s="220"/>
      <c r="HY196" s="220"/>
      <c r="HZ196" s="220"/>
      <c r="IA196" s="220"/>
      <c r="IB196" s="220"/>
      <c r="IC196" s="220"/>
      <c r="ID196" s="220"/>
      <c r="IE196" s="220"/>
      <c r="IF196" s="220"/>
      <c r="IG196" s="220"/>
      <c r="IH196" s="220"/>
      <c r="II196" s="220"/>
      <c r="IJ196" s="220"/>
      <c r="IK196" s="220"/>
      <c r="IL196" s="220"/>
      <c r="IM196" s="220"/>
      <c r="IN196" s="220"/>
      <c r="IO196" s="220"/>
      <c r="IP196" s="220"/>
      <c r="IQ196" s="220"/>
      <c r="IR196" s="220"/>
      <c r="IS196" s="220"/>
      <c r="IT196" s="220"/>
      <c r="IU196" s="220"/>
      <c r="IV196" s="220"/>
      <c r="IW196" s="220"/>
      <c r="IX196" s="220"/>
      <c r="IY196" s="220"/>
      <c r="IZ196" s="220"/>
      <c r="JA196" s="221"/>
      <c r="JB196" s="187"/>
      <c r="JC196" s="188"/>
      <c r="JD196" s="188"/>
      <c r="JE196" s="188"/>
      <c r="JF196" s="188"/>
      <c r="JG196" s="189"/>
      <c r="JN196" s="155"/>
      <c r="JR196" s="16"/>
      <c r="JU196" s="187"/>
      <c r="JV196" s="188"/>
      <c r="JW196" s="188"/>
      <c r="JX196" s="188"/>
      <c r="JY196" s="188"/>
      <c r="JZ196" s="188"/>
      <c r="KA196" s="188"/>
      <c r="KB196" s="188"/>
      <c r="KC196" s="188"/>
      <c r="KD196" s="188"/>
      <c r="KE196" s="188"/>
      <c r="KF196" s="188"/>
      <c r="KG196" s="188"/>
      <c r="KH196" s="188"/>
      <c r="KI196" s="188"/>
      <c r="KJ196" s="188"/>
      <c r="KK196" s="188"/>
      <c r="KL196" s="188"/>
      <c r="KM196" s="188"/>
      <c r="KN196" s="188"/>
      <c r="KO196" s="188"/>
      <c r="KP196" s="188"/>
      <c r="KQ196" s="188"/>
      <c r="KR196" s="188"/>
      <c r="KS196" s="188"/>
      <c r="KT196" s="188"/>
      <c r="KU196" s="188"/>
      <c r="KV196" s="188"/>
      <c r="KW196" s="188"/>
      <c r="KX196" s="188"/>
      <c r="KY196" s="188"/>
      <c r="KZ196" s="188"/>
      <c r="LA196" s="188"/>
      <c r="LB196" s="188"/>
      <c r="LC196" s="188"/>
      <c r="LD196" s="188"/>
      <c r="LE196" s="188"/>
      <c r="LF196" s="188"/>
      <c r="LG196" s="188"/>
      <c r="LH196" s="188"/>
      <c r="LI196" s="189"/>
      <c r="LJ196" s="187"/>
      <c r="LK196" s="188"/>
      <c r="LL196" s="188"/>
      <c r="LM196" s="188"/>
      <c r="LN196" s="189"/>
      <c r="LW196" s="12"/>
      <c r="LX196" s="7"/>
      <c r="LY196" s="3"/>
      <c r="LZ196" s="3"/>
      <c r="MA196" s="3"/>
      <c r="MB196" s="3"/>
      <c r="MC196" s="2"/>
      <c r="MQ196" s="3"/>
      <c r="MR196" s="3"/>
      <c r="MS196" s="3"/>
      <c r="MT196" s="3"/>
      <c r="MU196" s="3"/>
      <c r="MV196" s="2"/>
    </row>
    <row r="197" spans="3:360" ht="5.0999999999999996" customHeight="1" x14ac:dyDescent="0.3">
      <c r="C197" s="11"/>
      <c r="D197" s="13"/>
      <c r="Q197" s="187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  <c r="BD197" s="188"/>
      <c r="BE197" s="189"/>
      <c r="BF197" s="187"/>
      <c r="BG197" s="188"/>
      <c r="BH197" s="188"/>
      <c r="BI197" s="188"/>
      <c r="BJ197" s="189"/>
      <c r="FL197" s="187"/>
      <c r="FM197" s="188"/>
      <c r="FN197" s="188"/>
      <c r="FO197" s="188"/>
      <c r="FP197" s="188"/>
      <c r="FQ197" s="188"/>
      <c r="FR197" s="188"/>
      <c r="FS197" s="188"/>
      <c r="FT197" s="188"/>
      <c r="FU197" s="188"/>
      <c r="FV197" s="188"/>
      <c r="FW197" s="188"/>
      <c r="FX197" s="188"/>
      <c r="FY197" s="188"/>
      <c r="FZ197" s="188"/>
      <c r="GA197" s="188"/>
      <c r="GB197" s="188"/>
      <c r="GC197" s="188"/>
      <c r="GD197" s="188"/>
      <c r="GE197" s="188"/>
      <c r="GF197" s="188"/>
      <c r="GG197" s="188"/>
      <c r="GH197" s="188"/>
      <c r="GI197" s="188"/>
      <c r="GJ197" s="188"/>
      <c r="GK197" s="188"/>
      <c r="GL197" s="188"/>
      <c r="GM197" s="188"/>
      <c r="GN197" s="188"/>
      <c r="GO197" s="188"/>
      <c r="GP197" s="188"/>
      <c r="GQ197" s="188"/>
      <c r="GR197" s="188"/>
      <c r="GS197" s="188"/>
      <c r="GT197" s="188"/>
      <c r="GU197" s="188"/>
      <c r="GV197" s="188"/>
      <c r="GW197" s="188"/>
      <c r="GX197" s="188"/>
      <c r="GY197" s="189"/>
      <c r="GZ197" s="187"/>
      <c r="HA197" s="188"/>
      <c r="HB197" s="188"/>
      <c r="HC197" s="188"/>
      <c r="HD197" s="189"/>
      <c r="HN197" s="219"/>
      <c r="HO197" s="220"/>
      <c r="HP197" s="220"/>
      <c r="HQ197" s="220"/>
      <c r="HR197" s="220"/>
      <c r="HS197" s="220"/>
      <c r="HT197" s="220"/>
      <c r="HU197" s="220"/>
      <c r="HV197" s="220"/>
      <c r="HW197" s="220"/>
      <c r="HX197" s="220"/>
      <c r="HY197" s="220"/>
      <c r="HZ197" s="220"/>
      <c r="IA197" s="220"/>
      <c r="IB197" s="220"/>
      <c r="IC197" s="220"/>
      <c r="ID197" s="220"/>
      <c r="IE197" s="220"/>
      <c r="IF197" s="220"/>
      <c r="IG197" s="220"/>
      <c r="IH197" s="220"/>
      <c r="II197" s="220"/>
      <c r="IJ197" s="220"/>
      <c r="IK197" s="220"/>
      <c r="IL197" s="220"/>
      <c r="IM197" s="220"/>
      <c r="IN197" s="220"/>
      <c r="IO197" s="220"/>
      <c r="IP197" s="220"/>
      <c r="IQ197" s="220"/>
      <c r="IR197" s="220"/>
      <c r="IS197" s="220"/>
      <c r="IT197" s="220"/>
      <c r="IU197" s="220"/>
      <c r="IV197" s="220"/>
      <c r="IW197" s="220"/>
      <c r="IX197" s="220"/>
      <c r="IY197" s="220"/>
      <c r="IZ197" s="220"/>
      <c r="JA197" s="221"/>
      <c r="JB197" s="187"/>
      <c r="JC197" s="188"/>
      <c r="JD197" s="188"/>
      <c r="JE197" s="188"/>
      <c r="JF197" s="188"/>
      <c r="JG197" s="189"/>
      <c r="JN197" s="155"/>
      <c r="JR197" s="16"/>
      <c r="JU197" s="187"/>
      <c r="JV197" s="188"/>
      <c r="JW197" s="188"/>
      <c r="JX197" s="188"/>
      <c r="JY197" s="188"/>
      <c r="JZ197" s="188"/>
      <c r="KA197" s="188"/>
      <c r="KB197" s="188"/>
      <c r="KC197" s="188"/>
      <c r="KD197" s="188"/>
      <c r="KE197" s="188"/>
      <c r="KF197" s="188"/>
      <c r="KG197" s="188"/>
      <c r="KH197" s="188"/>
      <c r="KI197" s="188"/>
      <c r="KJ197" s="188"/>
      <c r="KK197" s="188"/>
      <c r="KL197" s="188"/>
      <c r="KM197" s="188"/>
      <c r="KN197" s="188"/>
      <c r="KO197" s="188"/>
      <c r="KP197" s="188"/>
      <c r="KQ197" s="188"/>
      <c r="KR197" s="188"/>
      <c r="KS197" s="188"/>
      <c r="KT197" s="188"/>
      <c r="KU197" s="188"/>
      <c r="KV197" s="188"/>
      <c r="KW197" s="188"/>
      <c r="KX197" s="188"/>
      <c r="KY197" s="188"/>
      <c r="KZ197" s="188"/>
      <c r="LA197" s="188"/>
      <c r="LB197" s="188"/>
      <c r="LC197" s="188"/>
      <c r="LD197" s="188"/>
      <c r="LE197" s="188"/>
      <c r="LF197" s="188"/>
      <c r="LG197" s="188"/>
      <c r="LH197" s="188"/>
      <c r="LI197" s="189"/>
      <c r="LJ197" s="187"/>
      <c r="LK197" s="188"/>
      <c r="LL197" s="188"/>
      <c r="LM197" s="188"/>
      <c r="LN197" s="189"/>
      <c r="LW197" s="12"/>
      <c r="LX197" s="7"/>
      <c r="LY197" s="3"/>
      <c r="LZ197" s="3"/>
      <c r="MA197" s="3"/>
      <c r="MB197" s="3"/>
      <c r="MC197" s="2"/>
      <c r="MQ197" s="3"/>
      <c r="MR197" s="3"/>
      <c r="MS197" s="3"/>
      <c r="MT197" s="3"/>
      <c r="MU197" s="3"/>
      <c r="MV197" s="2"/>
    </row>
    <row r="198" spans="3:360" ht="5.0999999999999996" customHeight="1" x14ac:dyDescent="0.3">
      <c r="C198" s="11"/>
      <c r="D198" s="13"/>
      <c r="Q198" s="187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9"/>
      <c r="BF198" s="187"/>
      <c r="BG198" s="188"/>
      <c r="BH198" s="188"/>
      <c r="BI198" s="188"/>
      <c r="BJ198" s="189"/>
      <c r="FL198" s="187"/>
      <c r="FM198" s="188"/>
      <c r="FN198" s="188"/>
      <c r="FO198" s="188"/>
      <c r="FP198" s="188"/>
      <c r="FQ198" s="188"/>
      <c r="FR198" s="188"/>
      <c r="FS198" s="188"/>
      <c r="FT198" s="188"/>
      <c r="FU198" s="188"/>
      <c r="FV198" s="188"/>
      <c r="FW198" s="188"/>
      <c r="FX198" s="188"/>
      <c r="FY198" s="188"/>
      <c r="FZ198" s="188"/>
      <c r="GA198" s="188"/>
      <c r="GB198" s="188"/>
      <c r="GC198" s="188"/>
      <c r="GD198" s="188"/>
      <c r="GE198" s="188"/>
      <c r="GF198" s="188"/>
      <c r="GG198" s="188"/>
      <c r="GH198" s="188"/>
      <c r="GI198" s="188"/>
      <c r="GJ198" s="188"/>
      <c r="GK198" s="188"/>
      <c r="GL198" s="188"/>
      <c r="GM198" s="188"/>
      <c r="GN198" s="188"/>
      <c r="GO198" s="188"/>
      <c r="GP198" s="188"/>
      <c r="GQ198" s="188"/>
      <c r="GR198" s="188"/>
      <c r="GS198" s="188"/>
      <c r="GT198" s="188"/>
      <c r="GU198" s="188"/>
      <c r="GV198" s="188"/>
      <c r="GW198" s="188"/>
      <c r="GX198" s="188"/>
      <c r="GY198" s="189"/>
      <c r="GZ198" s="187"/>
      <c r="HA198" s="188"/>
      <c r="HB198" s="188"/>
      <c r="HC198" s="188"/>
      <c r="HD198" s="189"/>
      <c r="HN198" s="219"/>
      <c r="HO198" s="220"/>
      <c r="HP198" s="220"/>
      <c r="HQ198" s="220"/>
      <c r="HR198" s="220"/>
      <c r="HS198" s="220"/>
      <c r="HT198" s="220"/>
      <c r="HU198" s="220"/>
      <c r="HV198" s="220"/>
      <c r="HW198" s="220"/>
      <c r="HX198" s="220"/>
      <c r="HY198" s="220"/>
      <c r="HZ198" s="220"/>
      <c r="IA198" s="220"/>
      <c r="IB198" s="220"/>
      <c r="IC198" s="220"/>
      <c r="ID198" s="220"/>
      <c r="IE198" s="220"/>
      <c r="IF198" s="220"/>
      <c r="IG198" s="220"/>
      <c r="IH198" s="220"/>
      <c r="II198" s="220"/>
      <c r="IJ198" s="220"/>
      <c r="IK198" s="220"/>
      <c r="IL198" s="220"/>
      <c r="IM198" s="220"/>
      <c r="IN198" s="220"/>
      <c r="IO198" s="220"/>
      <c r="IP198" s="220"/>
      <c r="IQ198" s="220"/>
      <c r="IR198" s="220"/>
      <c r="IS198" s="220"/>
      <c r="IT198" s="220"/>
      <c r="IU198" s="220"/>
      <c r="IV198" s="220"/>
      <c r="IW198" s="220"/>
      <c r="IX198" s="220"/>
      <c r="IY198" s="220"/>
      <c r="IZ198" s="220"/>
      <c r="JA198" s="221"/>
      <c r="JB198" s="187"/>
      <c r="JC198" s="188"/>
      <c r="JD198" s="188"/>
      <c r="JE198" s="188"/>
      <c r="JF198" s="188"/>
      <c r="JG198" s="189"/>
      <c r="JN198" s="155"/>
      <c r="JR198" s="16"/>
      <c r="JU198" s="187"/>
      <c r="JV198" s="188"/>
      <c r="JW198" s="188"/>
      <c r="JX198" s="188"/>
      <c r="JY198" s="188"/>
      <c r="JZ198" s="188"/>
      <c r="KA198" s="188"/>
      <c r="KB198" s="188"/>
      <c r="KC198" s="188"/>
      <c r="KD198" s="188"/>
      <c r="KE198" s="188"/>
      <c r="KF198" s="188"/>
      <c r="KG198" s="188"/>
      <c r="KH198" s="188"/>
      <c r="KI198" s="188"/>
      <c r="KJ198" s="188"/>
      <c r="KK198" s="188"/>
      <c r="KL198" s="188"/>
      <c r="KM198" s="188"/>
      <c r="KN198" s="188"/>
      <c r="KO198" s="188"/>
      <c r="KP198" s="188"/>
      <c r="KQ198" s="188"/>
      <c r="KR198" s="188"/>
      <c r="KS198" s="188"/>
      <c r="KT198" s="188"/>
      <c r="KU198" s="188"/>
      <c r="KV198" s="188"/>
      <c r="KW198" s="188"/>
      <c r="KX198" s="188"/>
      <c r="KY198" s="188"/>
      <c r="KZ198" s="188"/>
      <c r="LA198" s="188"/>
      <c r="LB198" s="188"/>
      <c r="LC198" s="188"/>
      <c r="LD198" s="188"/>
      <c r="LE198" s="188"/>
      <c r="LF198" s="188"/>
      <c r="LG198" s="188"/>
      <c r="LH198" s="188"/>
      <c r="LI198" s="189"/>
      <c r="LJ198" s="187"/>
      <c r="LK198" s="188"/>
      <c r="LL198" s="188"/>
      <c r="LM198" s="188"/>
      <c r="LN198" s="189"/>
      <c r="LW198" s="12"/>
      <c r="LX198" s="7"/>
      <c r="LY198" s="3"/>
      <c r="LZ198" s="3"/>
      <c r="MA198" s="3"/>
      <c r="MB198" s="3"/>
      <c r="MC198" s="2"/>
      <c r="MQ198" s="3"/>
      <c r="MR198" s="3"/>
      <c r="MS198" s="3"/>
      <c r="MT198" s="3"/>
      <c r="MU198" s="3"/>
      <c r="MV198" s="2"/>
    </row>
    <row r="199" spans="3:360" ht="5.0999999999999996" customHeight="1" x14ac:dyDescent="0.3">
      <c r="C199" s="11"/>
      <c r="D199" s="13"/>
      <c r="Q199" s="187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9"/>
      <c r="BF199" s="187"/>
      <c r="BG199" s="188"/>
      <c r="BH199" s="188"/>
      <c r="BI199" s="188"/>
      <c r="BJ199" s="189"/>
      <c r="FL199" s="187"/>
      <c r="FM199" s="188"/>
      <c r="FN199" s="188"/>
      <c r="FO199" s="188"/>
      <c r="FP199" s="188"/>
      <c r="FQ199" s="188"/>
      <c r="FR199" s="188"/>
      <c r="FS199" s="188"/>
      <c r="FT199" s="188"/>
      <c r="FU199" s="188"/>
      <c r="FV199" s="188"/>
      <c r="FW199" s="188"/>
      <c r="FX199" s="188"/>
      <c r="FY199" s="188"/>
      <c r="FZ199" s="188"/>
      <c r="GA199" s="188"/>
      <c r="GB199" s="188"/>
      <c r="GC199" s="188"/>
      <c r="GD199" s="188"/>
      <c r="GE199" s="188"/>
      <c r="GF199" s="188"/>
      <c r="GG199" s="188"/>
      <c r="GH199" s="188"/>
      <c r="GI199" s="188"/>
      <c r="GJ199" s="188"/>
      <c r="GK199" s="188"/>
      <c r="GL199" s="188"/>
      <c r="GM199" s="188"/>
      <c r="GN199" s="188"/>
      <c r="GO199" s="188"/>
      <c r="GP199" s="188"/>
      <c r="GQ199" s="188"/>
      <c r="GR199" s="188"/>
      <c r="GS199" s="188"/>
      <c r="GT199" s="188"/>
      <c r="GU199" s="188"/>
      <c r="GV199" s="188"/>
      <c r="GW199" s="188"/>
      <c r="GX199" s="188"/>
      <c r="GY199" s="189"/>
      <c r="GZ199" s="187"/>
      <c r="HA199" s="188"/>
      <c r="HB199" s="188"/>
      <c r="HC199" s="188"/>
      <c r="HD199" s="189"/>
      <c r="HN199" s="219"/>
      <c r="HO199" s="220"/>
      <c r="HP199" s="220"/>
      <c r="HQ199" s="220"/>
      <c r="HR199" s="220"/>
      <c r="HS199" s="220"/>
      <c r="HT199" s="220"/>
      <c r="HU199" s="220"/>
      <c r="HV199" s="220"/>
      <c r="HW199" s="220"/>
      <c r="HX199" s="220"/>
      <c r="HY199" s="220"/>
      <c r="HZ199" s="220"/>
      <c r="IA199" s="220"/>
      <c r="IB199" s="220"/>
      <c r="IC199" s="220"/>
      <c r="ID199" s="220"/>
      <c r="IE199" s="220"/>
      <c r="IF199" s="220"/>
      <c r="IG199" s="220"/>
      <c r="IH199" s="220"/>
      <c r="II199" s="220"/>
      <c r="IJ199" s="220"/>
      <c r="IK199" s="220"/>
      <c r="IL199" s="220"/>
      <c r="IM199" s="220"/>
      <c r="IN199" s="220"/>
      <c r="IO199" s="220"/>
      <c r="IP199" s="220"/>
      <c r="IQ199" s="220"/>
      <c r="IR199" s="220"/>
      <c r="IS199" s="220"/>
      <c r="IT199" s="220"/>
      <c r="IU199" s="220"/>
      <c r="IV199" s="220"/>
      <c r="IW199" s="220"/>
      <c r="IX199" s="220"/>
      <c r="IY199" s="220"/>
      <c r="IZ199" s="220"/>
      <c r="JA199" s="221"/>
      <c r="JB199" s="187"/>
      <c r="JC199" s="188"/>
      <c r="JD199" s="188"/>
      <c r="JE199" s="188"/>
      <c r="JF199" s="188"/>
      <c r="JG199" s="189"/>
      <c r="JN199" s="155"/>
      <c r="JR199" s="16"/>
      <c r="JU199" s="190"/>
      <c r="JV199" s="191"/>
      <c r="JW199" s="191"/>
      <c r="JX199" s="191"/>
      <c r="JY199" s="191"/>
      <c r="JZ199" s="191"/>
      <c r="KA199" s="191"/>
      <c r="KB199" s="191"/>
      <c r="KC199" s="191"/>
      <c r="KD199" s="191"/>
      <c r="KE199" s="191"/>
      <c r="KF199" s="191"/>
      <c r="KG199" s="191"/>
      <c r="KH199" s="191"/>
      <c r="KI199" s="191"/>
      <c r="KJ199" s="191"/>
      <c r="KK199" s="191"/>
      <c r="KL199" s="191"/>
      <c r="KM199" s="191"/>
      <c r="KN199" s="191"/>
      <c r="KO199" s="191"/>
      <c r="KP199" s="191"/>
      <c r="KQ199" s="191"/>
      <c r="KR199" s="191"/>
      <c r="KS199" s="191"/>
      <c r="KT199" s="191"/>
      <c r="KU199" s="191"/>
      <c r="KV199" s="191"/>
      <c r="KW199" s="191"/>
      <c r="KX199" s="191"/>
      <c r="KY199" s="191"/>
      <c r="KZ199" s="191"/>
      <c r="LA199" s="191"/>
      <c r="LB199" s="191"/>
      <c r="LC199" s="191"/>
      <c r="LD199" s="191"/>
      <c r="LE199" s="191"/>
      <c r="LF199" s="191"/>
      <c r="LG199" s="191"/>
      <c r="LH199" s="191"/>
      <c r="LI199" s="192"/>
      <c r="LJ199" s="190"/>
      <c r="LK199" s="191"/>
      <c r="LL199" s="191"/>
      <c r="LM199" s="191"/>
      <c r="LN199" s="192"/>
      <c r="LW199" s="12"/>
      <c r="LX199" s="7"/>
      <c r="LY199" s="3"/>
      <c r="LZ199" s="3"/>
      <c r="MA199" s="3"/>
      <c r="MB199" s="3"/>
      <c r="MC199" s="2"/>
      <c r="MQ199" s="3"/>
      <c r="MR199" s="3"/>
      <c r="MS199" s="3"/>
      <c r="MT199" s="3"/>
      <c r="MU199" s="3"/>
      <c r="MV199" s="2"/>
    </row>
    <row r="200" spans="3:360" ht="5.0999999999999996" customHeight="1" x14ac:dyDescent="0.3">
      <c r="C200" s="11"/>
      <c r="D200" s="13"/>
      <c r="Q200" s="190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2"/>
      <c r="BF200" s="190"/>
      <c r="BG200" s="191"/>
      <c r="BH200" s="191"/>
      <c r="BI200" s="191"/>
      <c r="BJ200" s="192"/>
      <c r="FL200" s="190"/>
      <c r="FM200" s="191"/>
      <c r="FN200" s="191"/>
      <c r="FO200" s="191"/>
      <c r="FP200" s="191"/>
      <c r="FQ200" s="191"/>
      <c r="FR200" s="191"/>
      <c r="FS200" s="191"/>
      <c r="FT200" s="191"/>
      <c r="FU200" s="191"/>
      <c r="FV200" s="191"/>
      <c r="FW200" s="191"/>
      <c r="FX200" s="191"/>
      <c r="FY200" s="191"/>
      <c r="FZ200" s="191"/>
      <c r="GA200" s="191"/>
      <c r="GB200" s="191"/>
      <c r="GC200" s="191"/>
      <c r="GD200" s="191"/>
      <c r="GE200" s="191"/>
      <c r="GF200" s="191"/>
      <c r="GG200" s="191"/>
      <c r="GH200" s="191"/>
      <c r="GI200" s="191"/>
      <c r="GJ200" s="191"/>
      <c r="GK200" s="191"/>
      <c r="GL200" s="191"/>
      <c r="GM200" s="191"/>
      <c r="GN200" s="191"/>
      <c r="GO200" s="191"/>
      <c r="GP200" s="191"/>
      <c r="GQ200" s="191"/>
      <c r="GR200" s="191"/>
      <c r="GS200" s="191"/>
      <c r="GT200" s="191"/>
      <c r="GU200" s="191"/>
      <c r="GV200" s="191"/>
      <c r="GW200" s="191"/>
      <c r="GX200" s="191"/>
      <c r="GY200" s="192"/>
      <c r="GZ200" s="190"/>
      <c r="HA200" s="191"/>
      <c r="HB200" s="191"/>
      <c r="HC200" s="191"/>
      <c r="HD200" s="192"/>
      <c r="HN200" s="219"/>
      <c r="HO200" s="220"/>
      <c r="HP200" s="220"/>
      <c r="HQ200" s="220"/>
      <c r="HR200" s="220"/>
      <c r="HS200" s="220"/>
      <c r="HT200" s="220"/>
      <c r="HU200" s="220"/>
      <c r="HV200" s="220"/>
      <c r="HW200" s="220"/>
      <c r="HX200" s="220"/>
      <c r="HY200" s="220"/>
      <c r="HZ200" s="220"/>
      <c r="IA200" s="220"/>
      <c r="IB200" s="220"/>
      <c r="IC200" s="220"/>
      <c r="ID200" s="220"/>
      <c r="IE200" s="220"/>
      <c r="IF200" s="220"/>
      <c r="IG200" s="220"/>
      <c r="IH200" s="220"/>
      <c r="II200" s="220"/>
      <c r="IJ200" s="220"/>
      <c r="IK200" s="220"/>
      <c r="IL200" s="220"/>
      <c r="IM200" s="220"/>
      <c r="IN200" s="220"/>
      <c r="IO200" s="220"/>
      <c r="IP200" s="220"/>
      <c r="IQ200" s="220"/>
      <c r="IR200" s="220"/>
      <c r="IS200" s="220"/>
      <c r="IT200" s="220"/>
      <c r="IU200" s="220"/>
      <c r="IV200" s="220"/>
      <c r="IW200" s="220"/>
      <c r="IX200" s="220"/>
      <c r="IY200" s="220"/>
      <c r="IZ200" s="220"/>
      <c r="JA200" s="221"/>
      <c r="JB200" s="187"/>
      <c r="JC200" s="188"/>
      <c r="JD200" s="188"/>
      <c r="JE200" s="188"/>
      <c r="JF200" s="188"/>
      <c r="JG200" s="189"/>
      <c r="JN200" s="155"/>
      <c r="JR200" s="16"/>
      <c r="JU200" s="184" t="s">
        <v>63</v>
      </c>
      <c r="JV200" s="185"/>
      <c r="JW200" s="185"/>
      <c r="JX200" s="185"/>
      <c r="JY200" s="185"/>
      <c r="JZ200" s="185"/>
      <c r="KA200" s="185"/>
      <c r="KB200" s="185"/>
      <c r="KC200" s="185"/>
      <c r="KD200" s="185"/>
      <c r="KE200" s="185"/>
      <c r="KF200" s="185"/>
      <c r="KG200" s="185"/>
      <c r="KH200" s="185"/>
      <c r="KI200" s="185"/>
      <c r="KJ200" s="185"/>
      <c r="KK200" s="185"/>
      <c r="KL200" s="185"/>
      <c r="KM200" s="185"/>
      <c r="KN200" s="185"/>
      <c r="KO200" s="185"/>
      <c r="KP200" s="185"/>
      <c r="KQ200" s="185"/>
      <c r="KR200" s="185"/>
      <c r="KS200" s="185"/>
      <c r="KT200" s="185"/>
      <c r="KU200" s="185"/>
      <c r="KV200" s="185"/>
      <c r="KW200" s="185"/>
      <c r="KX200" s="185"/>
      <c r="KY200" s="185"/>
      <c r="KZ200" s="185"/>
      <c r="LA200" s="185"/>
      <c r="LB200" s="185"/>
      <c r="LC200" s="185"/>
      <c r="LD200" s="185"/>
      <c r="LE200" s="185"/>
      <c r="LF200" s="185"/>
      <c r="LG200" s="185"/>
      <c r="LH200" s="185"/>
      <c r="LI200" s="186"/>
      <c r="LJ200" s="184">
        <v>1</v>
      </c>
      <c r="LK200" s="185"/>
      <c r="LL200" s="185"/>
      <c r="LM200" s="185"/>
      <c r="LN200" s="186"/>
      <c r="LW200" s="12"/>
      <c r="LX200" s="7"/>
      <c r="LY200" s="3"/>
      <c r="LZ200" s="3"/>
      <c r="MA200" s="3"/>
      <c r="MB200" s="3"/>
      <c r="MC200" s="2"/>
      <c r="MQ200" s="3"/>
      <c r="MR200" s="3"/>
      <c r="MS200" s="3"/>
      <c r="MT200" s="3"/>
      <c r="MU200" s="3"/>
      <c r="MV200" s="2"/>
    </row>
    <row r="201" spans="3:360" ht="5.0999999999999996" customHeight="1" x14ac:dyDescent="0.3">
      <c r="C201" s="11"/>
      <c r="D201" s="13"/>
      <c r="Q201" s="184" t="s">
        <v>72</v>
      </c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6">
        <v>10</v>
      </c>
      <c r="BF201" s="184">
        <v>2</v>
      </c>
      <c r="BG201" s="185"/>
      <c r="BH201" s="185"/>
      <c r="BI201" s="185"/>
      <c r="BJ201" s="186"/>
      <c r="HN201" s="219"/>
      <c r="HO201" s="220"/>
      <c r="HP201" s="220"/>
      <c r="HQ201" s="220"/>
      <c r="HR201" s="220"/>
      <c r="HS201" s="220"/>
      <c r="HT201" s="220"/>
      <c r="HU201" s="220"/>
      <c r="HV201" s="220"/>
      <c r="HW201" s="220"/>
      <c r="HX201" s="220"/>
      <c r="HY201" s="220"/>
      <c r="HZ201" s="220"/>
      <c r="IA201" s="220"/>
      <c r="IB201" s="220"/>
      <c r="IC201" s="220"/>
      <c r="ID201" s="220"/>
      <c r="IE201" s="220"/>
      <c r="IF201" s="220"/>
      <c r="IG201" s="220"/>
      <c r="IH201" s="220"/>
      <c r="II201" s="220"/>
      <c r="IJ201" s="220"/>
      <c r="IK201" s="220"/>
      <c r="IL201" s="220"/>
      <c r="IM201" s="220"/>
      <c r="IN201" s="220"/>
      <c r="IO201" s="220"/>
      <c r="IP201" s="220"/>
      <c r="IQ201" s="220"/>
      <c r="IR201" s="220"/>
      <c r="IS201" s="220"/>
      <c r="IT201" s="220"/>
      <c r="IU201" s="220"/>
      <c r="IV201" s="220"/>
      <c r="IW201" s="220"/>
      <c r="IX201" s="220"/>
      <c r="IY201" s="220"/>
      <c r="IZ201" s="220"/>
      <c r="JA201" s="221"/>
      <c r="JB201" s="187"/>
      <c r="JC201" s="188"/>
      <c r="JD201" s="188"/>
      <c r="JE201" s="188"/>
      <c r="JF201" s="188"/>
      <c r="JG201" s="189"/>
      <c r="JN201" s="155"/>
      <c r="JR201" s="16"/>
      <c r="JU201" s="187"/>
      <c r="JV201" s="188"/>
      <c r="JW201" s="188"/>
      <c r="JX201" s="188"/>
      <c r="JY201" s="188"/>
      <c r="JZ201" s="188"/>
      <c r="KA201" s="188"/>
      <c r="KB201" s="188"/>
      <c r="KC201" s="188"/>
      <c r="KD201" s="188"/>
      <c r="KE201" s="188"/>
      <c r="KF201" s="188"/>
      <c r="KG201" s="188"/>
      <c r="KH201" s="188"/>
      <c r="KI201" s="188"/>
      <c r="KJ201" s="188"/>
      <c r="KK201" s="188"/>
      <c r="KL201" s="188"/>
      <c r="KM201" s="188"/>
      <c r="KN201" s="188"/>
      <c r="KO201" s="188"/>
      <c r="KP201" s="188"/>
      <c r="KQ201" s="188"/>
      <c r="KR201" s="188"/>
      <c r="KS201" s="188"/>
      <c r="KT201" s="188"/>
      <c r="KU201" s="188"/>
      <c r="KV201" s="188"/>
      <c r="KW201" s="188"/>
      <c r="KX201" s="188"/>
      <c r="KY201" s="188"/>
      <c r="KZ201" s="188"/>
      <c r="LA201" s="188"/>
      <c r="LB201" s="188"/>
      <c r="LC201" s="188"/>
      <c r="LD201" s="188"/>
      <c r="LE201" s="188"/>
      <c r="LF201" s="188"/>
      <c r="LG201" s="188"/>
      <c r="LH201" s="188"/>
      <c r="LI201" s="189"/>
      <c r="LJ201" s="187"/>
      <c r="LK201" s="188"/>
      <c r="LL201" s="188"/>
      <c r="LM201" s="188"/>
      <c r="LN201" s="189"/>
      <c r="LW201" s="12"/>
      <c r="LX201" s="7"/>
      <c r="LY201" s="3"/>
      <c r="LZ201" s="3"/>
      <c r="MA201" s="3"/>
      <c r="MB201" s="3"/>
      <c r="MC201" s="2"/>
      <c r="MQ201" s="3"/>
      <c r="MR201" s="3"/>
      <c r="MS201" s="3"/>
      <c r="MT201" s="3"/>
      <c r="MU201" s="3"/>
      <c r="MV201" s="2"/>
    </row>
    <row r="202" spans="3:360" ht="5.0999999999999996" customHeight="1" x14ac:dyDescent="0.3">
      <c r="C202" s="11"/>
      <c r="D202" s="13"/>
      <c r="Q202" s="187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9"/>
      <c r="BF202" s="187"/>
      <c r="BG202" s="188"/>
      <c r="BH202" s="188"/>
      <c r="BI202" s="188"/>
      <c r="BJ202" s="189"/>
      <c r="HN202" s="222"/>
      <c r="HO202" s="223"/>
      <c r="HP202" s="223"/>
      <c r="HQ202" s="223"/>
      <c r="HR202" s="223"/>
      <c r="HS202" s="223"/>
      <c r="HT202" s="223"/>
      <c r="HU202" s="223"/>
      <c r="HV202" s="223"/>
      <c r="HW202" s="223"/>
      <c r="HX202" s="223"/>
      <c r="HY202" s="223"/>
      <c r="HZ202" s="223"/>
      <c r="IA202" s="223"/>
      <c r="IB202" s="223"/>
      <c r="IC202" s="223"/>
      <c r="ID202" s="223"/>
      <c r="IE202" s="223"/>
      <c r="IF202" s="223"/>
      <c r="IG202" s="223"/>
      <c r="IH202" s="223"/>
      <c r="II202" s="223"/>
      <c r="IJ202" s="223"/>
      <c r="IK202" s="223"/>
      <c r="IL202" s="223"/>
      <c r="IM202" s="223"/>
      <c r="IN202" s="223"/>
      <c r="IO202" s="223"/>
      <c r="IP202" s="223"/>
      <c r="IQ202" s="223"/>
      <c r="IR202" s="223"/>
      <c r="IS202" s="223"/>
      <c r="IT202" s="223"/>
      <c r="IU202" s="223"/>
      <c r="IV202" s="223"/>
      <c r="IW202" s="223"/>
      <c r="IX202" s="223"/>
      <c r="IY202" s="223"/>
      <c r="IZ202" s="223"/>
      <c r="JA202" s="224"/>
      <c r="JB202" s="190"/>
      <c r="JC202" s="191"/>
      <c r="JD202" s="191"/>
      <c r="JE202" s="191"/>
      <c r="JF202" s="191"/>
      <c r="JG202" s="192"/>
      <c r="JN202" s="155"/>
      <c r="JR202" s="16"/>
      <c r="JU202" s="187"/>
      <c r="JV202" s="188"/>
      <c r="JW202" s="188"/>
      <c r="JX202" s="188"/>
      <c r="JY202" s="188"/>
      <c r="JZ202" s="188"/>
      <c r="KA202" s="188"/>
      <c r="KB202" s="188"/>
      <c r="KC202" s="188"/>
      <c r="KD202" s="188"/>
      <c r="KE202" s="188"/>
      <c r="KF202" s="188"/>
      <c r="KG202" s="188"/>
      <c r="KH202" s="188"/>
      <c r="KI202" s="188"/>
      <c r="KJ202" s="188"/>
      <c r="KK202" s="188"/>
      <c r="KL202" s="188"/>
      <c r="KM202" s="188"/>
      <c r="KN202" s="188"/>
      <c r="KO202" s="188"/>
      <c r="KP202" s="188"/>
      <c r="KQ202" s="188"/>
      <c r="KR202" s="188"/>
      <c r="KS202" s="188"/>
      <c r="KT202" s="188"/>
      <c r="KU202" s="188"/>
      <c r="KV202" s="188"/>
      <c r="KW202" s="188"/>
      <c r="KX202" s="188"/>
      <c r="KY202" s="188"/>
      <c r="KZ202" s="188"/>
      <c r="LA202" s="188"/>
      <c r="LB202" s="188"/>
      <c r="LC202" s="188"/>
      <c r="LD202" s="188"/>
      <c r="LE202" s="188"/>
      <c r="LF202" s="188"/>
      <c r="LG202" s="188"/>
      <c r="LH202" s="188"/>
      <c r="LI202" s="189"/>
      <c r="LJ202" s="187"/>
      <c r="LK202" s="188"/>
      <c r="LL202" s="188"/>
      <c r="LM202" s="188"/>
      <c r="LN202" s="189"/>
      <c r="LW202" s="12"/>
      <c r="LX202" s="7"/>
      <c r="LY202" s="3"/>
      <c r="LZ202" s="3"/>
      <c r="MA202" s="3"/>
      <c r="MB202" s="3"/>
      <c r="MC202" s="2"/>
      <c r="MQ202" s="3"/>
      <c r="MR202" s="3"/>
      <c r="MS202" s="3"/>
      <c r="MT202" s="3"/>
      <c r="MU202" s="3"/>
      <c r="MV202" s="2"/>
    </row>
    <row r="203" spans="3:360" ht="5.0999999999999996" customHeight="1" x14ac:dyDescent="0.3">
      <c r="C203" s="11"/>
      <c r="D203" s="13"/>
      <c r="Q203" s="187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  <c r="BD203" s="188"/>
      <c r="BE203" s="189"/>
      <c r="BF203" s="187"/>
      <c r="BG203" s="188"/>
      <c r="BH203" s="188"/>
      <c r="BI203" s="188"/>
      <c r="BJ203" s="189"/>
      <c r="JN203" s="155"/>
      <c r="JR203" s="16"/>
      <c r="JU203" s="187"/>
      <c r="JV203" s="188"/>
      <c r="JW203" s="188"/>
      <c r="JX203" s="188"/>
      <c r="JY203" s="188"/>
      <c r="JZ203" s="188"/>
      <c r="KA203" s="188"/>
      <c r="KB203" s="188"/>
      <c r="KC203" s="188"/>
      <c r="KD203" s="188"/>
      <c r="KE203" s="188"/>
      <c r="KF203" s="188"/>
      <c r="KG203" s="188"/>
      <c r="KH203" s="188"/>
      <c r="KI203" s="188"/>
      <c r="KJ203" s="188"/>
      <c r="KK203" s="188"/>
      <c r="KL203" s="188"/>
      <c r="KM203" s="188"/>
      <c r="KN203" s="188"/>
      <c r="KO203" s="188"/>
      <c r="KP203" s="188"/>
      <c r="KQ203" s="188"/>
      <c r="KR203" s="188"/>
      <c r="KS203" s="188"/>
      <c r="KT203" s="188"/>
      <c r="KU203" s="188"/>
      <c r="KV203" s="188"/>
      <c r="KW203" s="188"/>
      <c r="KX203" s="188"/>
      <c r="KY203" s="188"/>
      <c r="KZ203" s="188"/>
      <c r="LA203" s="188"/>
      <c r="LB203" s="188"/>
      <c r="LC203" s="188"/>
      <c r="LD203" s="188"/>
      <c r="LE203" s="188"/>
      <c r="LF203" s="188"/>
      <c r="LG203" s="188"/>
      <c r="LH203" s="188"/>
      <c r="LI203" s="189"/>
      <c r="LJ203" s="187"/>
      <c r="LK203" s="188"/>
      <c r="LL203" s="188"/>
      <c r="LM203" s="188"/>
      <c r="LN203" s="189"/>
      <c r="LW203" s="12"/>
      <c r="LX203" s="7"/>
      <c r="LY203" s="3"/>
      <c r="LZ203" s="3"/>
      <c r="MA203" s="3"/>
      <c r="MB203" s="3"/>
      <c r="MC203" s="2"/>
      <c r="MQ203" s="3"/>
      <c r="MR203" s="3"/>
      <c r="MS203" s="3"/>
      <c r="MT203" s="3"/>
      <c r="MU203" s="3"/>
      <c r="MV203" s="2"/>
    </row>
    <row r="204" spans="3:360" ht="5.0999999999999996" customHeight="1" x14ac:dyDescent="0.3">
      <c r="C204" s="11"/>
      <c r="D204" s="13"/>
      <c r="Q204" s="187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  <c r="BD204" s="188"/>
      <c r="BE204" s="189"/>
      <c r="BF204" s="187"/>
      <c r="BG204" s="188"/>
      <c r="BH204" s="188"/>
      <c r="BI204" s="188"/>
      <c r="BJ204" s="189"/>
      <c r="JN204" s="155"/>
      <c r="JR204" s="16"/>
      <c r="JU204" s="187"/>
      <c r="JV204" s="188"/>
      <c r="JW204" s="188"/>
      <c r="JX204" s="188"/>
      <c r="JY204" s="188"/>
      <c r="JZ204" s="188"/>
      <c r="KA204" s="188"/>
      <c r="KB204" s="188"/>
      <c r="KC204" s="188"/>
      <c r="KD204" s="188"/>
      <c r="KE204" s="188"/>
      <c r="KF204" s="188"/>
      <c r="KG204" s="188"/>
      <c r="KH204" s="188"/>
      <c r="KI204" s="188"/>
      <c r="KJ204" s="188"/>
      <c r="KK204" s="188"/>
      <c r="KL204" s="188"/>
      <c r="KM204" s="188"/>
      <c r="KN204" s="188"/>
      <c r="KO204" s="188"/>
      <c r="KP204" s="188"/>
      <c r="KQ204" s="188"/>
      <c r="KR204" s="188"/>
      <c r="KS204" s="188"/>
      <c r="KT204" s="188"/>
      <c r="KU204" s="188"/>
      <c r="KV204" s="188"/>
      <c r="KW204" s="188"/>
      <c r="KX204" s="188"/>
      <c r="KY204" s="188"/>
      <c r="KZ204" s="188"/>
      <c r="LA204" s="188"/>
      <c r="LB204" s="188"/>
      <c r="LC204" s="188"/>
      <c r="LD204" s="188"/>
      <c r="LE204" s="188"/>
      <c r="LF204" s="188"/>
      <c r="LG204" s="188"/>
      <c r="LH204" s="188"/>
      <c r="LI204" s="189"/>
      <c r="LJ204" s="187"/>
      <c r="LK204" s="188"/>
      <c r="LL204" s="188"/>
      <c r="LM204" s="188"/>
      <c r="LN204" s="189"/>
      <c r="LW204" s="12"/>
      <c r="LX204" s="7"/>
      <c r="LY204" s="3"/>
      <c r="LZ204" s="3"/>
      <c r="MA204" s="3"/>
      <c r="MB204" s="3"/>
      <c r="MC204" s="2"/>
      <c r="MQ204" s="3"/>
      <c r="MR204" s="3"/>
      <c r="MS204" s="3"/>
      <c r="MT204" s="3"/>
      <c r="MU204" s="3"/>
      <c r="MV204" s="2"/>
    </row>
    <row r="205" spans="3:360" ht="5.0999999999999996" customHeight="1" x14ac:dyDescent="0.3">
      <c r="C205" s="11"/>
      <c r="D205" s="13"/>
      <c r="Q205" s="187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  <c r="BE205" s="189"/>
      <c r="BF205" s="187"/>
      <c r="BG205" s="188"/>
      <c r="BH205" s="188"/>
      <c r="BI205" s="188"/>
      <c r="BJ205" s="189"/>
      <c r="JN205" s="155"/>
      <c r="JR205" s="16"/>
      <c r="JU205" s="187"/>
      <c r="JV205" s="188"/>
      <c r="JW205" s="188"/>
      <c r="JX205" s="188"/>
      <c r="JY205" s="188"/>
      <c r="JZ205" s="188"/>
      <c r="KA205" s="188"/>
      <c r="KB205" s="188"/>
      <c r="KC205" s="188"/>
      <c r="KD205" s="188"/>
      <c r="KE205" s="188"/>
      <c r="KF205" s="188"/>
      <c r="KG205" s="188"/>
      <c r="KH205" s="188"/>
      <c r="KI205" s="188"/>
      <c r="KJ205" s="188"/>
      <c r="KK205" s="188"/>
      <c r="KL205" s="188"/>
      <c r="KM205" s="188"/>
      <c r="KN205" s="188"/>
      <c r="KO205" s="188"/>
      <c r="KP205" s="188"/>
      <c r="KQ205" s="188"/>
      <c r="KR205" s="188"/>
      <c r="KS205" s="188"/>
      <c r="KT205" s="188"/>
      <c r="KU205" s="188"/>
      <c r="KV205" s="188"/>
      <c r="KW205" s="188"/>
      <c r="KX205" s="188"/>
      <c r="KY205" s="188"/>
      <c r="KZ205" s="188"/>
      <c r="LA205" s="188"/>
      <c r="LB205" s="188"/>
      <c r="LC205" s="188"/>
      <c r="LD205" s="188"/>
      <c r="LE205" s="188"/>
      <c r="LF205" s="188"/>
      <c r="LG205" s="188"/>
      <c r="LH205" s="188"/>
      <c r="LI205" s="189"/>
      <c r="LJ205" s="187"/>
      <c r="LK205" s="188"/>
      <c r="LL205" s="188"/>
      <c r="LM205" s="188"/>
      <c r="LN205" s="189"/>
      <c r="LW205" s="12"/>
      <c r="LX205" s="7"/>
      <c r="LY205" s="3"/>
      <c r="LZ205" s="3"/>
      <c r="MA205" s="3"/>
      <c r="MB205" s="3"/>
      <c r="MC205" s="2"/>
      <c r="MQ205" s="3"/>
      <c r="MR205" s="3"/>
      <c r="MS205" s="3"/>
      <c r="MT205" s="3"/>
      <c r="MU205" s="3"/>
      <c r="MV205" s="2"/>
    </row>
    <row r="206" spans="3:360" ht="5.0999999999999996" customHeight="1" x14ac:dyDescent="0.3">
      <c r="C206" s="11"/>
      <c r="D206" s="13"/>
      <c r="Q206" s="187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  <c r="BD206" s="188"/>
      <c r="BE206" s="189"/>
      <c r="BF206" s="187"/>
      <c r="BG206" s="188"/>
      <c r="BH206" s="188"/>
      <c r="BI206" s="188"/>
      <c r="BJ206" s="189"/>
      <c r="JN206" s="155"/>
      <c r="JR206" s="16"/>
      <c r="JU206" s="187"/>
      <c r="JV206" s="188"/>
      <c r="JW206" s="188"/>
      <c r="JX206" s="188"/>
      <c r="JY206" s="188"/>
      <c r="JZ206" s="188"/>
      <c r="KA206" s="188"/>
      <c r="KB206" s="188"/>
      <c r="KC206" s="188"/>
      <c r="KD206" s="188"/>
      <c r="KE206" s="188"/>
      <c r="KF206" s="188"/>
      <c r="KG206" s="188"/>
      <c r="KH206" s="188"/>
      <c r="KI206" s="188"/>
      <c r="KJ206" s="188"/>
      <c r="KK206" s="188"/>
      <c r="KL206" s="188"/>
      <c r="KM206" s="188"/>
      <c r="KN206" s="188"/>
      <c r="KO206" s="188"/>
      <c r="KP206" s="188"/>
      <c r="KQ206" s="188"/>
      <c r="KR206" s="188"/>
      <c r="KS206" s="188"/>
      <c r="KT206" s="188"/>
      <c r="KU206" s="188"/>
      <c r="KV206" s="188"/>
      <c r="KW206" s="188"/>
      <c r="KX206" s="188"/>
      <c r="KY206" s="188"/>
      <c r="KZ206" s="188"/>
      <c r="LA206" s="188"/>
      <c r="LB206" s="188"/>
      <c r="LC206" s="188"/>
      <c r="LD206" s="188"/>
      <c r="LE206" s="188"/>
      <c r="LF206" s="188"/>
      <c r="LG206" s="188"/>
      <c r="LH206" s="188"/>
      <c r="LI206" s="189"/>
      <c r="LJ206" s="187"/>
      <c r="LK206" s="188"/>
      <c r="LL206" s="188"/>
      <c r="LM206" s="188"/>
      <c r="LN206" s="189"/>
      <c r="LW206" s="12"/>
      <c r="LX206" s="7"/>
      <c r="LY206" s="3"/>
      <c r="LZ206" s="3"/>
      <c r="MA206" s="3"/>
      <c r="MB206" s="3"/>
      <c r="MC206" s="2"/>
      <c r="MQ206" s="3"/>
      <c r="MR206" s="3"/>
      <c r="MS206" s="3"/>
      <c r="MT206" s="3"/>
      <c r="MU206" s="3"/>
      <c r="MV206" s="2"/>
    </row>
    <row r="207" spans="3:360" ht="5.0999999999999996" customHeight="1" x14ac:dyDescent="0.3">
      <c r="C207" s="11"/>
      <c r="D207" s="13"/>
      <c r="Q207" s="187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E207" s="189"/>
      <c r="BF207" s="187"/>
      <c r="BG207" s="188"/>
      <c r="BH207" s="188"/>
      <c r="BI207" s="188"/>
      <c r="BJ207" s="189"/>
      <c r="JN207" s="155"/>
      <c r="JR207" s="16"/>
      <c r="JU207" s="187"/>
      <c r="JV207" s="188"/>
      <c r="JW207" s="188"/>
      <c r="JX207" s="188"/>
      <c r="JY207" s="188"/>
      <c r="JZ207" s="188"/>
      <c r="KA207" s="188"/>
      <c r="KB207" s="188"/>
      <c r="KC207" s="188"/>
      <c r="KD207" s="188"/>
      <c r="KE207" s="188"/>
      <c r="KF207" s="188"/>
      <c r="KG207" s="188"/>
      <c r="KH207" s="188"/>
      <c r="KI207" s="188"/>
      <c r="KJ207" s="188"/>
      <c r="KK207" s="188"/>
      <c r="KL207" s="188"/>
      <c r="KM207" s="188"/>
      <c r="KN207" s="188"/>
      <c r="KO207" s="188"/>
      <c r="KP207" s="188"/>
      <c r="KQ207" s="188"/>
      <c r="KR207" s="188"/>
      <c r="KS207" s="188"/>
      <c r="KT207" s="188"/>
      <c r="KU207" s="188"/>
      <c r="KV207" s="188"/>
      <c r="KW207" s="188"/>
      <c r="KX207" s="188"/>
      <c r="KY207" s="188"/>
      <c r="KZ207" s="188"/>
      <c r="LA207" s="188"/>
      <c r="LB207" s="188"/>
      <c r="LC207" s="188"/>
      <c r="LD207" s="188"/>
      <c r="LE207" s="188"/>
      <c r="LF207" s="188"/>
      <c r="LG207" s="188"/>
      <c r="LH207" s="188"/>
      <c r="LI207" s="189"/>
      <c r="LJ207" s="187"/>
      <c r="LK207" s="188"/>
      <c r="LL207" s="188"/>
      <c r="LM207" s="188"/>
      <c r="LN207" s="189"/>
      <c r="LW207" s="12"/>
      <c r="LX207" s="7"/>
      <c r="LY207" s="3"/>
      <c r="LZ207" s="3"/>
      <c r="MA207" s="3"/>
      <c r="MB207" s="3"/>
      <c r="MC207" s="2"/>
      <c r="MQ207" s="3"/>
      <c r="MR207" s="3"/>
      <c r="MS207" s="3"/>
      <c r="MT207" s="3"/>
      <c r="MU207" s="3"/>
      <c r="MV207" s="2"/>
    </row>
    <row r="208" spans="3:360" ht="5.0999999999999996" customHeight="1" x14ac:dyDescent="0.3">
      <c r="C208" s="11"/>
      <c r="D208" s="13"/>
      <c r="Q208" s="187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E208" s="189"/>
      <c r="BF208" s="187"/>
      <c r="BG208" s="188"/>
      <c r="BH208" s="188"/>
      <c r="BI208" s="188"/>
      <c r="BJ208" s="189"/>
      <c r="JN208" s="155"/>
      <c r="JR208" s="16"/>
      <c r="JU208" s="187"/>
      <c r="JV208" s="188"/>
      <c r="JW208" s="188"/>
      <c r="JX208" s="188"/>
      <c r="JY208" s="188"/>
      <c r="JZ208" s="188"/>
      <c r="KA208" s="188"/>
      <c r="KB208" s="188"/>
      <c r="KC208" s="188"/>
      <c r="KD208" s="188"/>
      <c r="KE208" s="188"/>
      <c r="KF208" s="188"/>
      <c r="KG208" s="188"/>
      <c r="KH208" s="188"/>
      <c r="KI208" s="188"/>
      <c r="KJ208" s="188"/>
      <c r="KK208" s="188"/>
      <c r="KL208" s="188"/>
      <c r="KM208" s="188"/>
      <c r="KN208" s="188"/>
      <c r="KO208" s="188"/>
      <c r="KP208" s="188"/>
      <c r="KQ208" s="188"/>
      <c r="KR208" s="188"/>
      <c r="KS208" s="188"/>
      <c r="KT208" s="188"/>
      <c r="KU208" s="188"/>
      <c r="KV208" s="188"/>
      <c r="KW208" s="188"/>
      <c r="KX208" s="188"/>
      <c r="KY208" s="188"/>
      <c r="KZ208" s="188"/>
      <c r="LA208" s="188"/>
      <c r="LB208" s="188"/>
      <c r="LC208" s="188"/>
      <c r="LD208" s="188"/>
      <c r="LE208" s="188"/>
      <c r="LF208" s="188"/>
      <c r="LG208" s="188"/>
      <c r="LH208" s="188"/>
      <c r="LI208" s="189"/>
      <c r="LJ208" s="187"/>
      <c r="LK208" s="188"/>
      <c r="LL208" s="188"/>
      <c r="LM208" s="188"/>
      <c r="LN208" s="189"/>
      <c r="LW208" s="12"/>
      <c r="LX208" s="7"/>
    </row>
    <row r="209" spans="3:336" ht="5.0999999999999996" customHeight="1" x14ac:dyDescent="0.3">
      <c r="C209" s="11"/>
      <c r="D209" s="13"/>
      <c r="Q209" s="187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9"/>
      <c r="BF209" s="187"/>
      <c r="BG209" s="188"/>
      <c r="BH209" s="188"/>
      <c r="BI209" s="188"/>
      <c r="BJ209" s="189"/>
      <c r="JN209" s="155"/>
      <c r="JR209" s="16"/>
      <c r="JU209" s="190"/>
      <c r="JV209" s="191"/>
      <c r="JW209" s="191"/>
      <c r="JX209" s="191"/>
      <c r="JY209" s="191"/>
      <c r="JZ209" s="191"/>
      <c r="KA209" s="191"/>
      <c r="KB209" s="191"/>
      <c r="KC209" s="191"/>
      <c r="KD209" s="191"/>
      <c r="KE209" s="191"/>
      <c r="KF209" s="191"/>
      <c r="KG209" s="191"/>
      <c r="KH209" s="191"/>
      <c r="KI209" s="191"/>
      <c r="KJ209" s="191"/>
      <c r="KK209" s="191"/>
      <c r="KL209" s="191"/>
      <c r="KM209" s="191"/>
      <c r="KN209" s="191"/>
      <c r="KO209" s="191"/>
      <c r="KP209" s="191"/>
      <c r="KQ209" s="191"/>
      <c r="KR209" s="191"/>
      <c r="KS209" s="191"/>
      <c r="KT209" s="191"/>
      <c r="KU209" s="191"/>
      <c r="KV209" s="191"/>
      <c r="KW209" s="191"/>
      <c r="KX209" s="191"/>
      <c r="KY209" s="191"/>
      <c r="KZ209" s="191"/>
      <c r="LA209" s="191"/>
      <c r="LB209" s="191"/>
      <c r="LC209" s="191"/>
      <c r="LD209" s="191"/>
      <c r="LE209" s="191"/>
      <c r="LF209" s="191"/>
      <c r="LG209" s="191"/>
      <c r="LH209" s="191"/>
      <c r="LI209" s="192"/>
      <c r="LJ209" s="190"/>
      <c r="LK209" s="191"/>
      <c r="LL209" s="191"/>
      <c r="LM209" s="191"/>
      <c r="LN209" s="192"/>
      <c r="LW209" s="12"/>
      <c r="LX209" s="7"/>
    </row>
    <row r="210" spans="3:336" ht="5.0999999999999996" customHeight="1" x14ac:dyDescent="0.3">
      <c r="C210" s="11"/>
      <c r="D210" s="13"/>
      <c r="Q210" s="190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2"/>
      <c r="BF210" s="190"/>
      <c r="BG210" s="191"/>
      <c r="BH210" s="191"/>
      <c r="BI210" s="191"/>
      <c r="BJ210" s="192"/>
      <c r="JN210" s="155"/>
      <c r="JR210" s="16"/>
      <c r="JU210" s="184" t="s">
        <v>41</v>
      </c>
      <c r="JV210" s="185"/>
      <c r="JW210" s="185"/>
      <c r="JX210" s="185"/>
      <c r="JY210" s="185"/>
      <c r="JZ210" s="185"/>
      <c r="KA210" s="185"/>
      <c r="KB210" s="185"/>
      <c r="KC210" s="185"/>
      <c r="KD210" s="185"/>
      <c r="KE210" s="185"/>
      <c r="KF210" s="185"/>
      <c r="KG210" s="185"/>
      <c r="KH210" s="185"/>
      <c r="KI210" s="185"/>
      <c r="KJ210" s="185"/>
      <c r="KK210" s="185"/>
      <c r="KL210" s="185"/>
      <c r="KM210" s="185"/>
      <c r="KN210" s="185"/>
      <c r="KO210" s="185"/>
      <c r="KP210" s="185"/>
      <c r="KQ210" s="185"/>
      <c r="KR210" s="185"/>
      <c r="KS210" s="185"/>
      <c r="KT210" s="185"/>
      <c r="KU210" s="185"/>
      <c r="KV210" s="185"/>
      <c r="KW210" s="185"/>
      <c r="KX210" s="185"/>
      <c r="KY210" s="185"/>
      <c r="KZ210" s="185"/>
      <c r="LA210" s="185"/>
      <c r="LB210" s="185"/>
      <c r="LC210" s="185"/>
      <c r="LD210" s="185"/>
      <c r="LE210" s="185"/>
      <c r="LF210" s="185"/>
      <c r="LG210" s="185"/>
      <c r="LH210" s="185"/>
      <c r="LI210" s="186"/>
      <c r="LJ210" s="184">
        <v>2</v>
      </c>
      <c r="LK210" s="185"/>
      <c r="LL210" s="185"/>
      <c r="LM210" s="185"/>
      <c r="LN210" s="186"/>
      <c r="LW210" s="12"/>
      <c r="LX210" s="7"/>
    </row>
    <row r="211" spans="3:336" ht="5.0999999999999996" customHeight="1" x14ac:dyDescent="0.3">
      <c r="C211" s="11"/>
      <c r="D211" s="13"/>
      <c r="Q211" s="195" t="s">
        <v>27</v>
      </c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  <c r="AS211" s="196"/>
      <c r="AT211" s="196"/>
      <c r="AU211" s="196"/>
      <c r="AV211" s="196"/>
      <c r="AW211" s="196"/>
      <c r="AX211" s="196"/>
      <c r="AY211" s="196"/>
      <c r="AZ211" s="196"/>
      <c r="BA211" s="196"/>
      <c r="BB211" s="196"/>
      <c r="BC211" s="196"/>
      <c r="BD211" s="196"/>
      <c r="BE211" s="197">
        <v>10</v>
      </c>
      <c r="BF211" s="184"/>
      <c r="BG211" s="185"/>
      <c r="BH211" s="185"/>
      <c r="BI211" s="185"/>
      <c r="BJ211" s="186"/>
      <c r="JN211" s="155"/>
      <c r="JR211" s="16"/>
      <c r="JU211" s="187"/>
      <c r="JV211" s="188"/>
      <c r="JW211" s="188"/>
      <c r="JX211" s="188"/>
      <c r="JY211" s="188"/>
      <c r="JZ211" s="188"/>
      <c r="KA211" s="188"/>
      <c r="KB211" s="188"/>
      <c r="KC211" s="188"/>
      <c r="KD211" s="188"/>
      <c r="KE211" s="188"/>
      <c r="KF211" s="188"/>
      <c r="KG211" s="188"/>
      <c r="KH211" s="188"/>
      <c r="KI211" s="188"/>
      <c r="KJ211" s="188"/>
      <c r="KK211" s="188"/>
      <c r="KL211" s="188"/>
      <c r="KM211" s="188"/>
      <c r="KN211" s="188"/>
      <c r="KO211" s="188"/>
      <c r="KP211" s="188"/>
      <c r="KQ211" s="188"/>
      <c r="KR211" s="188"/>
      <c r="KS211" s="188"/>
      <c r="KT211" s="188"/>
      <c r="KU211" s="188"/>
      <c r="KV211" s="188"/>
      <c r="KW211" s="188"/>
      <c r="KX211" s="188"/>
      <c r="KY211" s="188"/>
      <c r="KZ211" s="188"/>
      <c r="LA211" s="188"/>
      <c r="LB211" s="188"/>
      <c r="LC211" s="188"/>
      <c r="LD211" s="188"/>
      <c r="LE211" s="188"/>
      <c r="LF211" s="188"/>
      <c r="LG211" s="188"/>
      <c r="LH211" s="188"/>
      <c r="LI211" s="189"/>
      <c r="LJ211" s="187"/>
      <c r="LK211" s="188"/>
      <c r="LL211" s="188"/>
      <c r="LM211" s="188"/>
      <c r="LN211" s="189"/>
      <c r="LW211" s="12"/>
      <c r="LX211" s="7"/>
    </row>
    <row r="212" spans="3:336" ht="5.0999999999999996" customHeight="1" x14ac:dyDescent="0.3">
      <c r="C212" s="11"/>
      <c r="D212" s="13"/>
      <c r="Q212" s="198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  <c r="AB212" s="199"/>
      <c r="AC212" s="199"/>
      <c r="AD212" s="199"/>
      <c r="AE212" s="199"/>
      <c r="AF212" s="199"/>
      <c r="AG212" s="199"/>
      <c r="AH212" s="199"/>
      <c r="AI212" s="199"/>
      <c r="AJ212" s="199"/>
      <c r="AK212" s="199"/>
      <c r="AL212" s="199"/>
      <c r="AM212" s="199"/>
      <c r="AN212" s="199"/>
      <c r="AO212" s="199"/>
      <c r="AP212" s="199"/>
      <c r="AQ212" s="199"/>
      <c r="AR212" s="199"/>
      <c r="AS212" s="199"/>
      <c r="AT212" s="199"/>
      <c r="AU212" s="199"/>
      <c r="AV212" s="199"/>
      <c r="AW212" s="199"/>
      <c r="AX212" s="199"/>
      <c r="AY212" s="199"/>
      <c r="AZ212" s="199"/>
      <c r="BA212" s="199"/>
      <c r="BB212" s="199"/>
      <c r="BC212" s="199"/>
      <c r="BD212" s="199"/>
      <c r="BE212" s="200"/>
      <c r="BF212" s="187"/>
      <c r="BG212" s="188"/>
      <c r="BH212" s="188"/>
      <c r="BI212" s="188"/>
      <c r="BJ212" s="189"/>
      <c r="JN212" s="155"/>
      <c r="JR212" s="16"/>
      <c r="JU212" s="187"/>
      <c r="JV212" s="188"/>
      <c r="JW212" s="188"/>
      <c r="JX212" s="188"/>
      <c r="JY212" s="188"/>
      <c r="JZ212" s="188"/>
      <c r="KA212" s="188"/>
      <c r="KB212" s="188"/>
      <c r="KC212" s="188"/>
      <c r="KD212" s="188"/>
      <c r="KE212" s="188"/>
      <c r="KF212" s="188"/>
      <c r="KG212" s="188"/>
      <c r="KH212" s="188"/>
      <c r="KI212" s="188"/>
      <c r="KJ212" s="188"/>
      <c r="KK212" s="188"/>
      <c r="KL212" s="188"/>
      <c r="KM212" s="188"/>
      <c r="KN212" s="188"/>
      <c r="KO212" s="188"/>
      <c r="KP212" s="188"/>
      <c r="KQ212" s="188"/>
      <c r="KR212" s="188"/>
      <c r="KS212" s="188"/>
      <c r="KT212" s="188"/>
      <c r="KU212" s="188"/>
      <c r="KV212" s="188"/>
      <c r="KW212" s="188"/>
      <c r="KX212" s="188"/>
      <c r="KY212" s="188"/>
      <c r="KZ212" s="188"/>
      <c r="LA212" s="188"/>
      <c r="LB212" s="188"/>
      <c r="LC212" s="188"/>
      <c r="LD212" s="188"/>
      <c r="LE212" s="188"/>
      <c r="LF212" s="188"/>
      <c r="LG212" s="188"/>
      <c r="LH212" s="188"/>
      <c r="LI212" s="189"/>
      <c r="LJ212" s="187"/>
      <c r="LK212" s="188"/>
      <c r="LL212" s="188"/>
      <c r="LM212" s="188"/>
      <c r="LN212" s="189"/>
      <c r="LW212" s="12"/>
      <c r="LX212" s="7"/>
    </row>
    <row r="213" spans="3:336" ht="5.0999999999999996" customHeight="1" x14ac:dyDescent="0.3">
      <c r="C213" s="11"/>
      <c r="D213" s="13"/>
      <c r="Q213" s="198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199"/>
      <c r="AJ213" s="199"/>
      <c r="AK213" s="199"/>
      <c r="AL213" s="199"/>
      <c r="AM213" s="199"/>
      <c r="AN213" s="199"/>
      <c r="AO213" s="199"/>
      <c r="AP213" s="199"/>
      <c r="AQ213" s="199"/>
      <c r="AR213" s="199"/>
      <c r="AS213" s="199"/>
      <c r="AT213" s="199"/>
      <c r="AU213" s="199"/>
      <c r="AV213" s="199"/>
      <c r="AW213" s="199"/>
      <c r="AX213" s="199"/>
      <c r="AY213" s="199"/>
      <c r="AZ213" s="199"/>
      <c r="BA213" s="199"/>
      <c r="BB213" s="199"/>
      <c r="BC213" s="199"/>
      <c r="BD213" s="199"/>
      <c r="BE213" s="200"/>
      <c r="BF213" s="187"/>
      <c r="BG213" s="188"/>
      <c r="BH213" s="188"/>
      <c r="BI213" s="188"/>
      <c r="BJ213" s="189"/>
      <c r="JN213" s="155"/>
      <c r="JR213" s="16"/>
      <c r="JU213" s="187"/>
      <c r="JV213" s="188"/>
      <c r="JW213" s="188"/>
      <c r="JX213" s="188"/>
      <c r="JY213" s="188"/>
      <c r="JZ213" s="188"/>
      <c r="KA213" s="188"/>
      <c r="KB213" s="188"/>
      <c r="KC213" s="188"/>
      <c r="KD213" s="188"/>
      <c r="KE213" s="188"/>
      <c r="KF213" s="188"/>
      <c r="KG213" s="188"/>
      <c r="KH213" s="188"/>
      <c r="KI213" s="188"/>
      <c r="KJ213" s="188"/>
      <c r="KK213" s="188"/>
      <c r="KL213" s="188"/>
      <c r="KM213" s="188"/>
      <c r="KN213" s="188"/>
      <c r="KO213" s="188"/>
      <c r="KP213" s="188"/>
      <c r="KQ213" s="188"/>
      <c r="KR213" s="188"/>
      <c r="KS213" s="188"/>
      <c r="KT213" s="188"/>
      <c r="KU213" s="188"/>
      <c r="KV213" s="188"/>
      <c r="KW213" s="188"/>
      <c r="KX213" s="188"/>
      <c r="KY213" s="188"/>
      <c r="KZ213" s="188"/>
      <c r="LA213" s="188"/>
      <c r="LB213" s="188"/>
      <c r="LC213" s="188"/>
      <c r="LD213" s="188"/>
      <c r="LE213" s="188"/>
      <c r="LF213" s="188"/>
      <c r="LG213" s="188"/>
      <c r="LH213" s="188"/>
      <c r="LI213" s="189"/>
      <c r="LJ213" s="187"/>
      <c r="LK213" s="188"/>
      <c r="LL213" s="188"/>
      <c r="LM213" s="188"/>
      <c r="LN213" s="189"/>
      <c r="LW213" s="12"/>
      <c r="LX213" s="7"/>
    </row>
    <row r="214" spans="3:336" ht="5.0999999999999996" customHeight="1" x14ac:dyDescent="0.3">
      <c r="C214" s="11"/>
      <c r="D214" s="13"/>
      <c r="Q214" s="198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9"/>
      <c r="AK214" s="199"/>
      <c r="AL214" s="199"/>
      <c r="AM214" s="199"/>
      <c r="AN214" s="199"/>
      <c r="AO214" s="199"/>
      <c r="AP214" s="199"/>
      <c r="AQ214" s="199"/>
      <c r="AR214" s="199"/>
      <c r="AS214" s="199"/>
      <c r="AT214" s="199"/>
      <c r="AU214" s="199"/>
      <c r="AV214" s="199"/>
      <c r="AW214" s="199"/>
      <c r="AX214" s="199"/>
      <c r="AY214" s="199"/>
      <c r="AZ214" s="199"/>
      <c r="BA214" s="199"/>
      <c r="BB214" s="199"/>
      <c r="BC214" s="199"/>
      <c r="BD214" s="199"/>
      <c r="BE214" s="200"/>
      <c r="BF214" s="187"/>
      <c r="BG214" s="188"/>
      <c r="BH214" s="188"/>
      <c r="BI214" s="188"/>
      <c r="BJ214" s="189"/>
      <c r="JN214" s="155"/>
      <c r="JR214" s="16"/>
      <c r="JU214" s="187"/>
      <c r="JV214" s="188"/>
      <c r="JW214" s="188"/>
      <c r="JX214" s="188"/>
      <c r="JY214" s="188"/>
      <c r="JZ214" s="188"/>
      <c r="KA214" s="188"/>
      <c r="KB214" s="188"/>
      <c r="KC214" s="188"/>
      <c r="KD214" s="188"/>
      <c r="KE214" s="188"/>
      <c r="KF214" s="188"/>
      <c r="KG214" s="188"/>
      <c r="KH214" s="188"/>
      <c r="KI214" s="188"/>
      <c r="KJ214" s="188"/>
      <c r="KK214" s="188"/>
      <c r="KL214" s="188"/>
      <c r="KM214" s="188"/>
      <c r="KN214" s="188"/>
      <c r="KO214" s="188"/>
      <c r="KP214" s="188"/>
      <c r="KQ214" s="188"/>
      <c r="KR214" s="188"/>
      <c r="KS214" s="188"/>
      <c r="KT214" s="188"/>
      <c r="KU214" s="188"/>
      <c r="KV214" s="188"/>
      <c r="KW214" s="188"/>
      <c r="KX214" s="188"/>
      <c r="KY214" s="188"/>
      <c r="KZ214" s="188"/>
      <c r="LA214" s="188"/>
      <c r="LB214" s="188"/>
      <c r="LC214" s="188"/>
      <c r="LD214" s="188"/>
      <c r="LE214" s="188"/>
      <c r="LF214" s="188"/>
      <c r="LG214" s="188"/>
      <c r="LH214" s="188"/>
      <c r="LI214" s="189"/>
      <c r="LJ214" s="187"/>
      <c r="LK214" s="188"/>
      <c r="LL214" s="188"/>
      <c r="LM214" s="188"/>
      <c r="LN214" s="189"/>
      <c r="LW214" s="12"/>
      <c r="LX214" s="7"/>
    </row>
    <row r="215" spans="3:336" ht="5.0999999999999996" customHeight="1" x14ac:dyDescent="0.3">
      <c r="C215" s="11"/>
      <c r="D215" s="13"/>
      <c r="Q215" s="198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  <c r="AB215" s="199"/>
      <c r="AC215" s="199"/>
      <c r="AD215" s="199"/>
      <c r="AE215" s="199"/>
      <c r="AF215" s="199"/>
      <c r="AG215" s="199"/>
      <c r="AH215" s="199"/>
      <c r="AI215" s="199"/>
      <c r="AJ215" s="199"/>
      <c r="AK215" s="199"/>
      <c r="AL215" s="199"/>
      <c r="AM215" s="199"/>
      <c r="AN215" s="199"/>
      <c r="AO215" s="199"/>
      <c r="AP215" s="199"/>
      <c r="AQ215" s="199"/>
      <c r="AR215" s="199"/>
      <c r="AS215" s="199"/>
      <c r="AT215" s="199"/>
      <c r="AU215" s="199"/>
      <c r="AV215" s="199"/>
      <c r="AW215" s="199"/>
      <c r="AX215" s="199"/>
      <c r="AY215" s="199"/>
      <c r="AZ215" s="199"/>
      <c r="BA215" s="199"/>
      <c r="BB215" s="199"/>
      <c r="BC215" s="199"/>
      <c r="BD215" s="199"/>
      <c r="BE215" s="200"/>
      <c r="BF215" s="187"/>
      <c r="BG215" s="188"/>
      <c r="BH215" s="188"/>
      <c r="BI215" s="188"/>
      <c r="BJ215" s="189"/>
      <c r="JN215" s="155"/>
      <c r="JR215" s="16"/>
      <c r="JU215" s="187"/>
      <c r="JV215" s="188"/>
      <c r="JW215" s="188"/>
      <c r="JX215" s="188"/>
      <c r="JY215" s="188"/>
      <c r="JZ215" s="188"/>
      <c r="KA215" s="188"/>
      <c r="KB215" s="188"/>
      <c r="KC215" s="188"/>
      <c r="KD215" s="188"/>
      <c r="KE215" s="188"/>
      <c r="KF215" s="188"/>
      <c r="KG215" s="188"/>
      <c r="KH215" s="188"/>
      <c r="KI215" s="188"/>
      <c r="KJ215" s="188"/>
      <c r="KK215" s="188"/>
      <c r="KL215" s="188"/>
      <c r="KM215" s="188"/>
      <c r="KN215" s="188"/>
      <c r="KO215" s="188"/>
      <c r="KP215" s="188"/>
      <c r="KQ215" s="188"/>
      <c r="KR215" s="188"/>
      <c r="KS215" s="188"/>
      <c r="KT215" s="188"/>
      <c r="KU215" s="188"/>
      <c r="KV215" s="188"/>
      <c r="KW215" s="188"/>
      <c r="KX215" s="188"/>
      <c r="KY215" s="188"/>
      <c r="KZ215" s="188"/>
      <c r="LA215" s="188"/>
      <c r="LB215" s="188"/>
      <c r="LC215" s="188"/>
      <c r="LD215" s="188"/>
      <c r="LE215" s="188"/>
      <c r="LF215" s="188"/>
      <c r="LG215" s="188"/>
      <c r="LH215" s="188"/>
      <c r="LI215" s="189"/>
      <c r="LJ215" s="187"/>
      <c r="LK215" s="188"/>
      <c r="LL215" s="188"/>
      <c r="LM215" s="188"/>
      <c r="LN215" s="189"/>
      <c r="LW215" s="12"/>
      <c r="LX215" s="7"/>
    </row>
    <row r="216" spans="3:336" ht="5.0999999999999996" customHeight="1" x14ac:dyDescent="0.3">
      <c r="C216" s="11"/>
      <c r="D216" s="13"/>
      <c r="Q216" s="198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  <c r="AB216" s="199"/>
      <c r="AC216" s="199"/>
      <c r="AD216" s="199"/>
      <c r="AE216" s="199"/>
      <c r="AF216" s="199"/>
      <c r="AG216" s="199"/>
      <c r="AH216" s="199"/>
      <c r="AI216" s="199"/>
      <c r="AJ216" s="199"/>
      <c r="AK216" s="199"/>
      <c r="AL216" s="199"/>
      <c r="AM216" s="199"/>
      <c r="AN216" s="199"/>
      <c r="AO216" s="199"/>
      <c r="AP216" s="199"/>
      <c r="AQ216" s="199"/>
      <c r="AR216" s="199"/>
      <c r="AS216" s="199"/>
      <c r="AT216" s="199"/>
      <c r="AU216" s="199"/>
      <c r="AV216" s="199"/>
      <c r="AW216" s="199"/>
      <c r="AX216" s="199"/>
      <c r="AY216" s="199"/>
      <c r="AZ216" s="199"/>
      <c r="BA216" s="199"/>
      <c r="BB216" s="199"/>
      <c r="BC216" s="199"/>
      <c r="BD216" s="199"/>
      <c r="BE216" s="200"/>
      <c r="BF216" s="187"/>
      <c r="BG216" s="188"/>
      <c r="BH216" s="188"/>
      <c r="BI216" s="188"/>
      <c r="BJ216" s="189"/>
      <c r="JN216" s="155"/>
      <c r="JR216" s="16"/>
      <c r="JU216" s="187"/>
      <c r="JV216" s="188"/>
      <c r="JW216" s="188"/>
      <c r="JX216" s="188"/>
      <c r="JY216" s="188"/>
      <c r="JZ216" s="188"/>
      <c r="KA216" s="188"/>
      <c r="KB216" s="188"/>
      <c r="KC216" s="188"/>
      <c r="KD216" s="188"/>
      <c r="KE216" s="188"/>
      <c r="KF216" s="188"/>
      <c r="KG216" s="188"/>
      <c r="KH216" s="188"/>
      <c r="KI216" s="188"/>
      <c r="KJ216" s="188"/>
      <c r="KK216" s="188"/>
      <c r="KL216" s="188"/>
      <c r="KM216" s="188"/>
      <c r="KN216" s="188"/>
      <c r="KO216" s="188"/>
      <c r="KP216" s="188"/>
      <c r="KQ216" s="188"/>
      <c r="KR216" s="188"/>
      <c r="KS216" s="188"/>
      <c r="KT216" s="188"/>
      <c r="KU216" s="188"/>
      <c r="KV216" s="188"/>
      <c r="KW216" s="188"/>
      <c r="KX216" s="188"/>
      <c r="KY216" s="188"/>
      <c r="KZ216" s="188"/>
      <c r="LA216" s="188"/>
      <c r="LB216" s="188"/>
      <c r="LC216" s="188"/>
      <c r="LD216" s="188"/>
      <c r="LE216" s="188"/>
      <c r="LF216" s="188"/>
      <c r="LG216" s="188"/>
      <c r="LH216" s="188"/>
      <c r="LI216" s="189"/>
      <c r="LJ216" s="187"/>
      <c r="LK216" s="188"/>
      <c r="LL216" s="188"/>
      <c r="LM216" s="188"/>
      <c r="LN216" s="189"/>
      <c r="LW216" s="12"/>
      <c r="LX216" s="7"/>
    </row>
    <row r="217" spans="3:336" ht="5.0999999999999996" customHeight="1" x14ac:dyDescent="0.3">
      <c r="C217" s="11"/>
      <c r="D217" s="13"/>
      <c r="Q217" s="198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  <c r="AB217" s="199"/>
      <c r="AC217" s="199"/>
      <c r="AD217" s="199"/>
      <c r="AE217" s="199"/>
      <c r="AF217" s="199"/>
      <c r="AG217" s="199"/>
      <c r="AH217" s="199"/>
      <c r="AI217" s="199"/>
      <c r="AJ217" s="199"/>
      <c r="AK217" s="199"/>
      <c r="AL217" s="199"/>
      <c r="AM217" s="199"/>
      <c r="AN217" s="199"/>
      <c r="AO217" s="199"/>
      <c r="AP217" s="199"/>
      <c r="AQ217" s="199"/>
      <c r="AR217" s="199"/>
      <c r="AS217" s="199"/>
      <c r="AT217" s="199"/>
      <c r="AU217" s="199"/>
      <c r="AV217" s="199"/>
      <c r="AW217" s="199"/>
      <c r="AX217" s="199"/>
      <c r="AY217" s="199"/>
      <c r="AZ217" s="199"/>
      <c r="BA217" s="199"/>
      <c r="BB217" s="199"/>
      <c r="BC217" s="199"/>
      <c r="BD217" s="199"/>
      <c r="BE217" s="200"/>
      <c r="BF217" s="187"/>
      <c r="BG217" s="188"/>
      <c r="BH217" s="188"/>
      <c r="BI217" s="188"/>
      <c r="BJ217" s="189"/>
      <c r="JN217" s="155"/>
      <c r="JR217" s="16"/>
      <c r="JU217" s="187"/>
      <c r="JV217" s="188"/>
      <c r="JW217" s="188"/>
      <c r="JX217" s="188"/>
      <c r="JY217" s="188"/>
      <c r="JZ217" s="188"/>
      <c r="KA217" s="188"/>
      <c r="KB217" s="188"/>
      <c r="KC217" s="188"/>
      <c r="KD217" s="188"/>
      <c r="KE217" s="188"/>
      <c r="KF217" s="188"/>
      <c r="KG217" s="188"/>
      <c r="KH217" s="188"/>
      <c r="KI217" s="188"/>
      <c r="KJ217" s="188"/>
      <c r="KK217" s="188"/>
      <c r="KL217" s="188"/>
      <c r="KM217" s="188"/>
      <c r="KN217" s="188"/>
      <c r="KO217" s="188"/>
      <c r="KP217" s="188"/>
      <c r="KQ217" s="188"/>
      <c r="KR217" s="188"/>
      <c r="KS217" s="188"/>
      <c r="KT217" s="188"/>
      <c r="KU217" s="188"/>
      <c r="KV217" s="188"/>
      <c r="KW217" s="188"/>
      <c r="KX217" s="188"/>
      <c r="KY217" s="188"/>
      <c r="KZ217" s="188"/>
      <c r="LA217" s="188"/>
      <c r="LB217" s="188"/>
      <c r="LC217" s="188"/>
      <c r="LD217" s="188"/>
      <c r="LE217" s="188"/>
      <c r="LF217" s="188"/>
      <c r="LG217" s="188"/>
      <c r="LH217" s="188"/>
      <c r="LI217" s="189"/>
      <c r="LJ217" s="187"/>
      <c r="LK217" s="188"/>
      <c r="LL217" s="188"/>
      <c r="LM217" s="188"/>
      <c r="LN217" s="189"/>
      <c r="LW217" s="12"/>
      <c r="LX217" s="7"/>
    </row>
    <row r="218" spans="3:336" ht="5.0999999999999996" customHeight="1" x14ac:dyDescent="0.3">
      <c r="C218" s="11"/>
      <c r="D218" s="13"/>
      <c r="Q218" s="198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  <c r="AB218" s="199"/>
      <c r="AC218" s="199"/>
      <c r="AD218" s="199"/>
      <c r="AE218" s="199"/>
      <c r="AF218" s="199"/>
      <c r="AG218" s="199"/>
      <c r="AH218" s="199"/>
      <c r="AI218" s="199"/>
      <c r="AJ218" s="199"/>
      <c r="AK218" s="199"/>
      <c r="AL218" s="199"/>
      <c r="AM218" s="199"/>
      <c r="AN218" s="199"/>
      <c r="AO218" s="199"/>
      <c r="AP218" s="199"/>
      <c r="AQ218" s="199"/>
      <c r="AR218" s="199"/>
      <c r="AS218" s="199"/>
      <c r="AT218" s="199"/>
      <c r="AU218" s="199"/>
      <c r="AV218" s="199"/>
      <c r="AW218" s="199"/>
      <c r="AX218" s="199"/>
      <c r="AY218" s="199"/>
      <c r="AZ218" s="199"/>
      <c r="BA218" s="199"/>
      <c r="BB218" s="199"/>
      <c r="BC218" s="199"/>
      <c r="BD218" s="199"/>
      <c r="BE218" s="200"/>
      <c r="BF218" s="187"/>
      <c r="BG218" s="188"/>
      <c r="BH218" s="188"/>
      <c r="BI218" s="188"/>
      <c r="BJ218" s="189"/>
      <c r="JN218" s="155"/>
      <c r="JR218" s="16"/>
      <c r="JU218" s="187"/>
      <c r="JV218" s="188"/>
      <c r="JW218" s="188"/>
      <c r="JX218" s="188"/>
      <c r="JY218" s="188"/>
      <c r="JZ218" s="188"/>
      <c r="KA218" s="188"/>
      <c r="KB218" s="188"/>
      <c r="KC218" s="188"/>
      <c r="KD218" s="188"/>
      <c r="KE218" s="188"/>
      <c r="KF218" s="188"/>
      <c r="KG218" s="188"/>
      <c r="KH218" s="188"/>
      <c r="KI218" s="188"/>
      <c r="KJ218" s="188"/>
      <c r="KK218" s="188"/>
      <c r="KL218" s="188"/>
      <c r="KM218" s="188"/>
      <c r="KN218" s="188"/>
      <c r="KO218" s="188"/>
      <c r="KP218" s="188"/>
      <c r="KQ218" s="188"/>
      <c r="KR218" s="188"/>
      <c r="KS218" s="188"/>
      <c r="KT218" s="188"/>
      <c r="KU218" s="188"/>
      <c r="KV218" s="188"/>
      <c r="KW218" s="188"/>
      <c r="KX218" s="188"/>
      <c r="KY218" s="188"/>
      <c r="KZ218" s="188"/>
      <c r="LA218" s="188"/>
      <c r="LB218" s="188"/>
      <c r="LC218" s="188"/>
      <c r="LD218" s="188"/>
      <c r="LE218" s="188"/>
      <c r="LF218" s="188"/>
      <c r="LG218" s="188"/>
      <c r="LH218" s="188"/>
      <c r="LI218" s="189"/>
      <c r="LJ218" s="187"/>
      <c r="LK218" s="188"/>
      <c r="LL218" s="188"/>
      <c r="LM218" s="188"/>
      <c r="LN218" s="189"/>
      <c r="LW218" s="12"/>
      <c r="LX218" s="7"/>
    </row>
    <row r="219" spans="3:336" ht="5.0999999999999996" customHeight="1" x14ac:dyDescent="0.3">
      <c r="C219" s="11"/>
      <c r="D219" s="13"/>
      <c r="Q219" s="198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  <c r="AC219" s="199"/>
      <c r="AD219" s="199"/>
      <c r="AE219" s="199"/>
      <c r="AF219" s="199"/>
      <c r="AG219" s="199"/>
      <c r="AH219" s="199"/>
      <c r="AI219" s="199"/>
      <c r="AJ219" s="199"/>
      <c r="AK219" s="199"/>
      <c r="AL219" s="199"/>
      <c r="AM219" s="199"/>
      <c r="AN219" s="199"/>
      <c r="AO219" s="199"/>
      <c r="AP219" s="199"/>
      <c r="AQ219" s="199"/>
      <c r="AR219" s="199"/>
      <c r="AS219" s="199"/>
      <c r="AT219" s="199"/>
      <c r="AU219" s="199"/>
      <c r="AV219" s="199"/>
      <c r="AW219" s="199"/>
      <c r="AX219" s="199"/>
      <c r="AY219" s="199"/>
      <c r="AZ219" s="199"/>
      <c r="BA219" s="199"/>
      <c r="BB219" s="199"/>
      <c r="BC219" s="199"/>
      <c r="BD219" s="199"/>
      <c r="BE219" s="200"/>
      <c r="BF219" s="187"/>
      <c r="BG219" s="188"/>
      <c r="BH219" s="188"/>
      <c r="BI219" s="188"/>
      <c r="BJ219" s="189"/>
      <c r="JN219" s="155"/>
      <c r="JR219" s="16"/>
      <c r="JU219" s="190"/>
      <c r="JV219" s="191"/>
      <c r="JW219" s="191"/>
      <c r="JX219" s="191"/>
      <c r="JY219" s="191"/>
      <c r="JZ219" s="191"/>
      <c r="KA219" s="191"/>
      <c r="KB219" s="191"/>
      <c r="KC219" s="191"/>
      <c r="KD219" s="191"/>
      <c r="KE219" s="191"/>
      <c r="KF219" s="191"/>
      <c r="KG219" s="191"/>
      <c r="KH219" s="191"/>
      <c r="KI219" s="191"/>
      <c r="KJ219" s="191"/>
      <c r="KK219" s="191"/>
      <c r="KL219" s="191"/>
      <c r="KM219" s="191"/>
      <c r="KN219" s="191"/>
      <c r="KO219" s="191"/>
      <c r="KP219" s="191"/>
      <c r="KQ219" s="191"/>
      <c r="KR219" s="191"/>
      <c r="KS219" s="191"/>
      <c r="KT219" s="191"/>
      <c r="KU219" s="191"/>
      <c r="KV219" s="191"/>
      <c r="KW219" s="191"/>
      <c r="KX219" s="191"/>
      <c r="KY219" s="191"/>
      <c r="KZ219" s="191"/>
      <c r="LA219" s="191"/>
      <c r="LB219" s="191"/>
      <c r="LC219" s="191"/>
      <c r="LD219" s="191"/>
      <c r="LE219" s="191"/>
      <c r="LF219" s="191"/>
      <c r="LG219" s="191"/>
      <c r="LH219" s="191"/>
      <c r="LI219" s="192"/>
      <c r="LJ219" s="190"/>
      <c r="LK219" s="191"/>
      <c r="LL219" s="191"/>
      <c r="LM219" s="191"/>
      <c r="LN219" s="192"/>
      <c r="LW219" s="12"/>
      <c r="LX219" s="7"/>
    </row>
    <row r="220" spans="3:336" ht="5.0999999999999996" customHeight="1" x14ac:dyDescent="0.3">
      <c r="C220" s="11"/>
      <c r="D220" s="13"/>
      <c r="Q220" s="201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3"/>
      <c r="BF220" s="190"/>
      <c r="BG220" s="191"/>
      <c r="BH220" s="191"/>
      <c r="BI220" s="191"/>
      <c r="BJ220" s="192"/>
      <c r="JN220" s="155"/>
      <c r="JR220" s="16"/>
      <c r="JU220" s="184" t="s">
        <v>156</v>
      </c>
      <c r="JV220" s="185"/>
      <c r="JW220" s="185"/>
      <c r="JX220" s="185"/>
      <c r="JY220" s="185"/>
      <c r="JZ220" s="185"/>
      <c r="KA220" s="185"/>
      <c r="KB220" s="185"/>
      <c r="KC220" s="185"/>
      <c r="KD220" s="185"/>
      <c r="KE220" s="185"/>
      <c r="KF220" s="185"/>
      <c r="KG220" s="185"/>
      <c r="KH220" s="185"/>
      <c r="KI220" s="185"/>
      <c r="KJ220" s="185"/>
      <c r="KK220" s="185"/>
      <c r="KL220" s="185"/>
      <c r="KM220" s="185"/>
      <c r="KN220" s="185"/>
      <c r="KO220" s="185"/>
      <c r="KP220" s="185"/>
      <c r="KQ220" s="185"/>
      <c r="KR220" s="185"/>
      <c r="KS220" s="185"/>
      <c r="KT220" s="185"/>
      <c r="KU220" s="185"/>
      <c r="KV220" s="185"/>
      <c r="KW220" s="185"/>
      <c r="KX220" s="185"/>
      <c r="KY220" s="185"/>
      <c r="KZ220" s="185"/>
      <c r="LA220" s="185"/>
      <c r="LB220" s="185"/>
      <c r="LC220" s="185"/>
      <c r="LD220" s="185"/>
      <c r="LE220" s="185"/>
      <c r="LF220" s="185"/>
      <c r="LG220" s="185"/>
      <c r="LH220" s="185"/>
      <c r="LI220" s="186"/>
      <c r="LJ220" s="184">
        <v>3</v>
      </c>
      <c r="LK220" s="185"/>
      <c r="LL220" s="185"/>
      <c r="LM220" s="185"/>
      <c r="LN220" s="186"/>
      <c r="LW220" s="12"/>
      <c r="LX220" s="7"/>
    </row>
    <row r="221" spans="3:336" ht="5.0999999999999996" customHeight="1" x14ac:dyDescent="0.3">
      <c r="C221" s="11"/>
      <c r="D221" s="13"/>
      <c r="Q221" s="195" t="s">
        <v>28</v>
      </c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7">
        <v>10</v>
      </c>
      <c r="BF221" s="216"/>
      <c r="BG221" s="217"/>
      <c r="BH221" s="217"/>
      <c r="BI221" s="217"/>
      <c r="BJ221" s="218"/>
      <c r="JN221" s="155"/>
      <c r="JR221" s="16"/>
      <c r="JU221" s="187"/>
      <c r="JV221" s="188"/>
      <c r="JW221" s="188"/>
      <c r="JX221" s="188"/>
      <c r="JY221" s="188"/>
      <c r="JZ221" s="188"/>
      <c r="KA221" s="188"/>
      <c r="KB221" s="188"/>
      <c r="KC221" s="188"/>
      <c r="KD221" s="188"/>
      <c r="KE221" s="188"/>
      <c r="KF221" s="188"/>
      <c r="KG221" s="188"/>
      <c r="KH221" s="188"/>
      <c r="KI221" s="188"/>
      <c r="KJ221" s="188"/>
      <c r="KK221" s="188"/>
      <c r="KL221" s="188"/>
      <c r="KM221" s="188"/>
      <c r="KN221" s="188"/>
      <c r="KO221" s="188"/>
      <c r="KP221" s="188"/>
      <c r="KQ221" s="188"/>
      <c r="KR221" s="188"/>
      <c r="KS221" s="188"/>
      <c r="KT221" s="188"/>
      <c r="KU221" s="188"/>
      <c r="KV221" s="188"/>
      <c r="KW221" s="188"/>
      <c r="KX221" s="188"/>
      <c r="KY221" s="188"/>
      <c r="KZ221" s="188"/>
      <c r="LA221" s="188"/>
      <c r="LB221" s="188"/>
      <c r="LC221" s="188"/>
      <c r="LD221" s="188"/>
      <c r="LE221" s="188"/>
      <c r="LF221" s="188"/>
      <c r="LG221" s="188"/>
      <c r="LH221" s="188"/>
      <c r="LI221" s="189"/>
      <c r="LJ221" s="187"/>
      <c r="LK221" s="188"/>
      <c r="LL221" s="188"/>
      <c r="LM221" s="188"/>
      <c r="LN221" s="189"/>
      <c r="LW221" s="12"/>
      <c r="LX221" s="7"/>
    </row>
    <row r="222" spans="3:336" ht="5.0999999999999996" customHeight="1" x14ac:dyDescent="0.3">
      <c r="C222" s="11"/>
      <c r="D222" s="13"/>
      <c r="Q222" s="198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199"/>
      <c r="AM222" s="199"/>
      <c r="AN222" s="199"/>
      <c r="AO222" s="199"/>
      <c r="AP222" s="199"/>
      <c r="AQ222" s="199"/>
      <c r="AR222" s="199"/>
      <c r="AS222" s="199"/>
      <c r="AT222" s="199"/>
      <c r="AU222" s="199"/>
      <c r="AV222" s="199"/>
      <c r="AW222" s="199"/>
      <c r="AX222" s="199"/>
      <c r="AY222" s="199"/>
      <c r="AZ222" s="199"/>
      <c r="BA222" s="199"/>
      <c r="BB222" s="199"/>
      <c r="BC222" s="199"/>
      <c r="BD222" s="199"/>
      <c r="BE222" s="200"/>
      <c r="BF222" s="219"/>
      <c r="BG222" s="220"/>
      <c r="BH222" s="220"/>
      <c r="BI222" s="220"/>
      <c r="BJ222" s="221"/>
      <c r="JN222" s="155"/>
      <c r="JR222" s="16"/>
      <c r="JU222" s="187"/>
      <c r="JV222" s="188"/>
      <c r="JW222" s="188"/>
      <c r="JX222" s="188"/>
      <c r="JY222" s="188"/>
      <c r="JZ222" s="188"/>
      <c r="KA222" s="188"/>
      <c r="KB222" s="188"/>
      <c r="KC222" s="188"/>
      <c r="KD222" s="188"/>
      <c r="KE222" s="188"/>
      <c r="KF222" s="188"/>
      <c r="KG222" s="188"/>
      <c r="KH222" s="188"/>
      <c r="KI222" s="188"/>
      <c r="KJ222" s="188"/>
      <c r="KK222" s="188"/>
      <c r="KL222" s="188"/>
      <c r="KM222" s="188"/>
      <c r="KN222" s="188"/>
      <c r="KO222" s="188"/>
      <c r="KP222" s="188"/>
      <c r="KQ222" s="188"/>
      <c r="KR222" s="188"/>
      <c r="KS222" s="188"/>
      <c r="KT222" s="188"/>
      <c r="KU222" s="188"/>
      <c r="KV222" s="188"/>
      <c r="KW222" s="188"/>
      <c r="KX222" s="188"/>
      <c r="KY222" s="188"/>
      <c r="KZ222" s="188"/>
      <c r="LA222" s="188"/>
      <c r="LB222" s="188"/>
      <c r="LC222" s="188"/>
      <c r="LD222" s="188"/>
      <c r="LE222" s="188"/>
      <c r="LF222" s="188"/>
      <c r="LG222" s="188"/>
      <c r="LH222" s="188"/>
      <c r="LI222" s="189"/>
      <c r="LJ222" s="187"/>
      <c r="LK222" s="188"/>
      <c r="LL222" s="188"/>
      <c r="LM222" s="188"/>
      <c r="LN222" s="189"/>
      <c r="LW222" s="12"/>
      <c r="LX222" s="7"/>
    </row>
    <row r="223" spans="3:336" ht="5.0999999999999996" customHeight="1" x14ac:dyDescent="0.3">
      <c r="C223" s="11"/>
      <c r="D223" s="13"/>
      <c r="Q223" s="198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199"/>
      <c r="AM223" s="199"/>
      <c r="AN223" s="199"/>
      <c r="AO223" s="199"/>
      <c r="AP223" s="199"/>
      <c r="AQ223" s="199"/>
      <c r="AR223" s="199"/>
      <c r="AS223" s="199"/>
      <c r="AT223" s="199"/>
      <c r="AU223" s="199"/>
      <c r="AV223" s="199"/>
      <c r="AW223" s="199"/>
      <c r="AX223" s="199"/>
      <c r="AY223" s="199"/>
      <c r="AZ223" s="199"/>
      <c r="BA223" s="199"/>
      <c r="BB223" s="199"/>
      <c r="BC223" s="199"/>
      <c r="BD223" s="199"/>
      <c r="BE223" s="200"/>
      <c r="BF223" s="219"/>
      <c r="BG223" s="220"/>
      <c r="BH223" s="220"/>
      <c r="BI223" s="220"/>
      <c r="BJ223" s="221"/>
      <c r="JN223" s="155"/>
      <c r="JR223" s="16"/>
      <c r="JU223" s="187"/>
      <c r="JV223" s="188"/>
      <c r="JW223" s="188"/>
      <c r="JX223" s="188"/>
      <c r="JY223" s="188"/>
      <c r="JZ223" s="188"/>
      <c r="KA223" s="188"/>
      <c r="KB223" s="188"/>
      <c r="KC223" s="188"/>
      <c r="KD223" s="188"/>
      <c r="KE223" s="188"/>
      <c r="KF223" s="188"/>
      <c r="KG223" s="188"/>
      <c r="KH223" s="188"/>
      <c r="KI223" s="188"/>
      <c r="KJ223" s="188"/>
      <c r="KK223" s="188"/>
      <c r="KL223" s="188"/>
      <c r="KM223" s="188"/>
      <c r="KN223" s="188"/>
      <c r="KO223" s="188"/>
      <c r="KP223" s="188"/>
      <c r="KQ223" s="188"/>
      <c r="KR223" s="188"/>
      <c r="KS223" s="188"/>
      <c r="KT223" s="188"/>
      <c r="KU223" s="188"/>
      <c r="KV223" s="188"/>
      <c r="KW223" s="188"/>
      <c r="KX223" s="188"/>
      <c r="KY223" s="188"/>
      <c r="KZ223" s="188"/>
      <c r="LA223" s="188"/>
      <c r="LB223" s="188"/>
      <c r="LC223" s="188"/>
      <c r="LD223" s="188"/>
      <c r="LE223" s="188"/>
      <c r="LF223" s="188"/>
      <c r="LG223" s="188"/>
      <c r="LH223" s="188"/>
      <c r="LI223" s="189"/>
      <c r="LJ223" s="187"/>
      <c r="LK223" s="188"/>
      <c r="LL223" s="188"/>
      <c r="LM223" s="188"/>
      <c r="LN223" s="189"/>
      <c r="LW223" s="12"/>
      <c r="LX223" s="7"/>
    </row>
    <row r="224" spans="3:336" ht="5.0999999999999996" customHeight="1" x14ac:dyDescent="0.3">
      <c r="C224" s="11"/>
      <c r="D224" s="13"/>
      <c r="Q224" s="198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199"/>
      <c r="AM224" s="199"/>
      <c r="AN224" s="199"/>
      <c r="AO224" s="199"/>
      <c r="AP224" s="199"/>
      <c r="AQ224" s="199"/>
      <c r="AR224" s="199"/>
      <c r="AS224" s="199"/>
      <c r="AT224" s="199"/>
      <c r="AU224" s="199"/>
      <c r="AV224" s="199"/>
      <c r="AW224" s="199"/>
      <c r="AX224" s="199"/>
      <c r="AY224" s="199"/>
      <c r="AZ224" s="199"/>
      <c r="BA224" s="199"/>
      <c r="BB224" s="199"/>
      <c r="BC224" s="199"/>
      <c r="BD224" s="199"/>
      <c r="BE224" s="200"/>
      <c r="BF224" s="219"/>
      <c r="BG224" s="220"/>
      <c r="BH224" s="220"/>
      <c r="BI224" s="220"/>
      <c r="BJ224" s="221"/>
      <c r="JM224" s="154"/>
      <c r="JR224" s="16"/>
      <c r="JU224" s="187"/>
      <c r="JV224" s="188"/>
      <c r="JW224" s="188"/>
      <c r="JX224" s="188"/>
      <c r="JY224" s="188"/>
      <c r="JZ224" s="188"/>
      <c r="KA224" s="188"/>
      <c r="KB224" s="188"/>
      <c r="KC224" s="188"/>
      <c r="KD224" s="188"/>
      <c r="KE224" s="188"/>
      <c r="KF224" s="188"/>
      <c r="KG224" s="188"/>
      <c r="KH224" s="188"/>
      <c r="KI224" s="188"/>
      <c r="KJ224" s="188"/>
      <c r="KK224" s="188"/>
      <c r="KL224" s="188"/>
      <c r="KM224" s="188"/>
      <c r="KN224" s="188"/>
      <c r="KO224" s="188"/>
      <c r="KP224" s="188"/>
      <c r="KQ224" s="188"/>
      <c r="KR224" s="188"/>
      <c r="KS224" s="188"/>
      <c r="KT224" s="188"/>
      <c r="KU224" s="188"/>
      <c r="KV224" s="188"/>
      <c r="KW224" s="188"/>
      <c r="KX224" s="188"/>
      <c r="KY224" s="188"/>
      <c r="KZ224" s="188"/>
      <c r="LA224" s="188"/>
      <c r="LB224" s="188"/>
      <c r="LC224" s="188"/>
      <c r="LD224" s="188"/>
      <c r="LE224" s="188"/>
      <c r="LF224" s="188"/>
      <c r="LG224" s="188"/>
      <c r="LH224" s="188"/>
      <c r="LI224" s="189"/>
      <c r="LJ224" s="187"/>
      <c r="LK224" s="188"/>
      <c r="LL224" s="188"/>
      <c r="LM224" s="188"/>
      <c r="LN224" s="189"/>
      <c r="LW224" s="12"/>
      <c r="LX224" s="7"/>
    </row>
    <row r="225" spans="3:336" ht="5.0999999999999996" customHeight="1" x14ac:dyDescent="0.3">
      <c r="C225" s="11"/>
      <c r="D225" s="13"/>
      <c r="Q225" s="198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199"/>
      <c r="AM225" s="199"/>
      <c r="AN225" s="199"/>
      <c r="AO225" s="199"/>
      <c r="AP225" s="199"/>
      <c r="AQ225" s="199"/>
      <c r="AR225" s="199"/>
      <c r="AS225" s="199"/>
      <c r="AT225" s="199"/>
      <c r="AU225" s="199"/>
      <c r="AV225" s="199"/>
      <c r="AW225" s="199"/>
      <c r="AX225" s="199"/>
      <c r="AY225" s="199"/>
      <c r="AZ225" s="199"/>
      <c r="BA225" s="199"/>
      <c r="BB225" s="199"/>
      <c r="BC225" s="199"/>
      <c r="BD225" s="199"/>
      <c r="BE225" s="200"/>
      <c r="BF225" s="219"/>
      <c r="BG225" s="220"/>
      <c r="BH225" s="220"/>
      <c r="BI225" s="220"/>
      <c r="BJ225" s="221"/>
      <c r="JM225" s="154"/>
      <c r="JR225" s="16"/>
      <c r="JU225" s="187"/>
      <c r="JV225" s="188"/>
      <c r="JW225" s="188"/>
      <c r="JX225" s="188"/>
      <c r="JY225" s="188"/>
      <c r="JZ225" s="188"/>
      <c r="KA225" s="188"/>
      <c r="KB225" s="188"/>
      <c r="KC225" s="188"/>
      <c r="KD225" s="188"/>
      <c r="KE225" s="188"/>
      <c r="KF225" s="188"/>
      <c r="KG225" s="188"/>
      <c r="KH225" s="188"/>
      <c r="KI225" s="188"/>
      <c r="KJ225" s="188"/>
      <c r="KK225" s="188"/>
      <c r="KL225" s="188"/>
      <c r="KM225" s="188"/>
      <c r="KN225" s="188"/>
      <c r="KO225" s="188"/>
      <c r="KP225" s="188"/>
      <c r="KQ225" s="188"/>
      <c r="KR225" s="188"/>
      <c r="KS225" s="188"/>
      <c r="KT225" s="188"/>
      <c r="KU225" s="188"/>
      <c r="KV225" s="188"/>
      <c r="KW225" s="188"/>
      <c r="KX225" s="188"/>
      <c r="KY225" s="188"/>
      <c r="KZ225" s="188"/>
      <c r="LA225" s="188"/>
      <c r="LB225" s="188"/>
      <c r="LC225" s="188"/>
      <c r="LD225" s="188"/>
      <c r="LE225" s="188"/>
      <c r="LF225" s="188"/>
      <c r="LG225" s="188"/>
      <c r="LH225" s="188"/>
      <c r="LI225" s="189"/>
      <c r="LJ225" s="187"/>
      <c r="LK225" s="188"/>
      <c r="LL225" s="188"/>
      <c r="LM225" s="188"/>
      <c r="LN225" s="189"/>
      <c r="LW225" s="12"/>
      <c r="LX225" s="7"/>
    </row>
    <row r="226" spans="3:336" ht="5.0999999999999996" customHeight="1" x14ac:dyDescent="0.3">
      <c r="C226" s="11"/>
      <c r="D226" s="13"/>
      <c r="Q226" s="198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199"/>
      <c r="AU226" s="199"/>
      <c r="AV226" s="199"/>
      <c r="AW226" s="199"/>
      <c r="AX226" s="199"/>
      <c r="AY226" s="199"/>
      <c r="AZ226" s="199"/>
      <c r="BA226" s="199"/>
      <c r="BB226" s="199"/>
      <c r="BC226" s="199"/>
      <c r="BD226" s="199"/>
      <c r="BE226" s="200"/>
      <c r="BF226" s="219"/>
      <c r="BG226" s="220"/>
      <c r="BH226" s="220"/>
      <c r="BI226" s="220"/>
      <c r="BJ226" s="221"/>
      <c r="JM226" s="154"/>
      <c r="JR226" s="16"/>
      <c r="JU226" s="187"/>
      <c r="JV226" s="188"/>
      <c r="JW226" s="188"/>
      <c r="JX226" s="188"/>
      <c r="JY226" s="188"/>
      <c r="JZ226" s="188"/>
      <c r="KA226" s="188"/>
      <c r="KB226" s="188"/>
      <c r="KC226" s="188"/>
      <c r="KD226" s="188"/>
      <c r="KE226" s="188"/>
      <c r="KF226" s="188"/>
      <c r="KG226" s="188"/>
      <c r="KH226" s="188"/>
      <c r="KI226" s="188"/>
      <c r="KJ226" s="188"/>
      <c r="KK226" s="188"/>
      <c r="KL226" s="188"/>
      <c r="KM226" s="188"/>
      <c r="KN226" s="188"/>
      <c r="KO226" s="188"/>
      <c r="KP226" s="188"/>
      <c r="KQ226" s="188"/>
      <c r="KR226" s="188"/>
      <c r="KS226" s="188"/>
      <c r="KT226" s="188"/>
      <c r="KU226" s="188"/>
      <c r="KV226" s="188"/>
      <c r="KW226" s="188"/>
      <c r="KX226" s="188"/>
      <c r="KY226" s="188"/>
      <c r="KZ226" s="188"/>
      <c r="LA226" s="188"/>
      <c r="LB226" s="188"/>
      <c r="LC226" s="188"/>
      <c r="LD226" s="188"/>
      <c r="LE226" s="188"/>
      <c r="LF226" s="188"/>
      <c r="LG226" s="188"/>
      <c r="LH226" s="188"/>
      <c r="LI226" s="189"/>
      <c r="LJ226" s="187"/>
      <c r="LK226" s="188"/>
      <c r="LL226" s="188"/>
      <c r="LM226" s="188"/>
      <c r="LN226" s="189"/>
      <c r="LW226" s="12"/>
      <c r="LX226" s="7"/>
    </row>
    <row r="227" spans="3:336" ht="5.0999999999999996" customHeight="1" x14ac:dyDescent="0.3">
      <c r="C227" s="11"/>
      <c r="D227" s="13"/>
      <c r="Q227" s="198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  <c r="AS227" s="199"/>
      <c r="AT227" s="199"/>
      <c r="AU227" s="199"/>
      <c r="AV227" s="199"/>
      <c r="AW227" s="199"/>
      <c r="AX227" s="199"/>
      <c r="AY227" s="199"/>
      <c r="AZ227" s="199"/>
      <c r="BA227" s="199"/>
      <c r="BB227" s="199"/>
      <c r="BC227" s="199"/>
      <c r="BD227" s="199"/>
      <c r="BE227" s="200"/>
      <c r="BF227" s="219"/>
      <c r="BG227" s="220"/>
      <c r="BH227" s="220"/>
      <c r="BI227" s="220"/>
      <c r="BJ227" s="221"/>
      <c r="JM227" s="154"/>
      <c r="JR227" s="16"/>
      <c r="JU227" s="187"/>
      <c r="JV227" s="188"/>
      <c r="JW227" s="188"/>
      <c r="JX227" s="188"/>
      <c r="JY227" s="188"/>
      <c r="JZ227" s="188"/>
      <c r="KA227" s="188"/>
      <c r="KB227" s="188"/>
      <c r="KC227" s="188"/>
      <c r="KD227" s="188"/>
      <c r="KE227" s="188"/>
      <c r="KF227" s="188"/>
      <c r="KG227" s="188"/>
      <c r="KH227" s="188"/>
      <c r="KI227" s="188"/>
      <c r="KJ227" s="188"/>
      <c r="KK227" s="188"/>
      <c r="KL227" s="188"/>
      <c r="KM227" s="188"/>
      <c r="KN227" s="188"/>
      <c r="KO227" s="188"/>
      <c r="KP227" s="188"/>
      <c r="KQ227" s="188"/>
      <c r="KR227" s="188"/>
      <c r="KS227" s="188"/>
      <c r="KT227" s="188"/>
      <c r="KU227" s="188"/>
      <c r="KV227" s="188"/>
      <c r="KW227" s="188"/>
      <c r="KX227" s="188"/>
      <c r="KY227" s="188"/>
      <c r="KZ227" s="188"/>
      <c r="LA227" s="188"/>
      <c r="LB227" s="188"/>
      <c r="LC227" s="188"/>
      <c r="LD227" s="188"/>
      <c r="LE227" s="188"/>
      <c r="LF227" s="188"/>
      <c r="LG227" s="188"/>
      <c r="LH227" s="188"/>
      <c r="LI227" s="189"/>
      <c r="LJ227" s="187"/>
      <c r="LK227" s="188"/>
      <c r="LL227" s="188"/>
      <c r="LM227" s="188"/>
      <c r="LN227" s="189"/>
      <c r="LW227" s="12"/>
      <c r="LX227" s="7"/>
    </row>
    <row r="228" spans="3:336" ht="5.0999999999999996" customHeight="1" x14ac:dyDescent="0.3">
      <c r="C228" s="11"/>
      <c r="D228" s="13"/>
      <c r="Q228" s="198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199"/>
      <c r="AM228" s="199"/>
      <c r="AN228" s="199"/>
      <c r="AO228" s="199"/>
      <c r="AP228" s="199"/>
      <c r="AQ228" s="199"/>
      <c r="AR228" s="199"/>
      <c r="AS228" s="199"/>
      <c r="AT228" s="199"/>
      <c r="AU228" s="199"/>
      <c r="AV228" s="199"/>
      <c r="AW228" s="199"/>
      <c r="AX228" s="199"/>
      <c r="AY228" s="199"/>
      <c r="AZ228" s="199"/>
      <c r="BA228" s="199"/>
      <c r="BB228" s="199"/>
      <c r="BC228" s="199"/>
      <c r="BD228" s="199"/>
      <c r="BE228" s="200"/>
      <c r="BF228" s="219"/>
      <c r="BG228" s="220"/>
      <c r="BH228" s="220"/>
      <c r="BI228" s="220"/>
      <c r="BJ228" s="221"/>
      <c r="JM228" s="154"/>
      <c r="JR228" s="16"/>
      <c r="JU228" s="187"/>
      <c r="JV228" s="188"/>
      <c r="JW228" s="188"/>
      <c r="JX228" s="188"/>
      <c r="JY228" s="188"/>
      <c r="JZ228" s="188"/>
      <c r="KA228" s="188"/>
      <c r="KB228" s="188"/>
      <c r="KC228" s="188"/>
      <c r="KD228" s="188"/>
      <c r="KE228" s="188"/>
      <c r="KF228" s="188"/>
      <c r="KG228" s="188"/>
      <c r="KH228" s="188"/>
      <c r="KI228" s="188"/>
      <c r="KJ228" s="188"/>
      <c r="KK228" s="188"/>
      <c r="KL228" s="188"/>
      <c r="KM228" s="188"/>
      <c r="KN228" s="188"/>
      <c r="KO228" s="188"/>
      <c r="KP228" s="188"/>
      <c r="KQ228" s="188"/>
      <c r="KR228" s="188"/>
      <c r="KS228" s="188"/>
      <c r="KT228" s="188"/>
      <c r="KU228" s="188"/>
      <c r="KV228" s="188"/>
      <c r="KW228" s="188"/>
      <c r="KX228" s="188"/>
      <c r="KY228" s="188"/>
      <c r="KZ228" s="188"/>
      <c r="LA228" s="188"/>
      <c r="LB228" s="188"/>
      <c r="LC228" s="188"/>
      <c r="LD228" s="188"/>
      <c r="LE228" s="188"/>
      <c r="LF228" s="188"/>
      <c r="LG228" s="188"/>
      <c r="LH228" s="188"/>
      <c r="LI228" s="189"/>
      <c r="LJ228" s="187"/>
      <c r="LK228" s="188"/>
      <c r="LL228" s="188"/>
      <c r="LM228" s="188"/>
      <c r="LN228" s="189"/>
      <c r="LW228" s="12"/>
      <c r="LX228" s="7"/>
    </row>
    <row r="229" spans="3:336" ht="5.0999999999999996" customHeight="1" x14ac:dyDescent="0.3">
      <c r="C229" s="11"/>
      <c r="D229" s="13"/>
      <c r="Q229" s="198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199"/>
      <c r="AM229" s="199"/>
      <c r="AN229" s="199"/>
      <c r="AO229" s="199"/>
      <c r="AP229" s="199"/>
      <c r="AQ229" s="199"/>
      <c r="AR229" s="199"/>
      <c r="AS229" s="199"/>
      <c r="AT229" s="199"/>
      <c r="AU229" s="199"/>
      <c r="AV229" s="199"/>
      <c r="AW229" s="199"/>
      <c r="AX229" s="199"/>
      <c r="AY229" s="199"/>
      <c r="AZ229" s="199"/>
      <c r="BA229" s="199"/>
      <c r="BB229" s="199"/>
      <c r="BC229" s="199"/>
      <c r="BD229" s="199"/>
      <c r="BE229" s="200"/>
      <c r="BF229" s="219"/>
      <c r="BG229" s="220"/>
      <c r="BH229" s="220"/>
      <c r="BI229" s="220"/>
      <c r="BJ229" s="221"/>
      <c r="JM229" s="154"/>
      <c r="JR229" s="16"/>
      <c r="JU229" s="190"/>
      <c r="JV229" s="191"/>
      <c r="JW229" s="191"/>
      <c r="JX229" s="191"/>
      <c r="JY229" s="191"/>
      <c r="JZ229" s="191"/>
      <c r="KA229" s="191"/>
      <c r="KB229" s="191"/>
      <c r="KC229" s="191"/>
      <c r="KD229" s="191"/>
      <c r="KE229" s="191"/>
      <c r="KF229" s="191"/>
      <c r="KG229" s="191"/>
      <c r="KH229" s="191"/>
      <c r="KI229" s="191"/>
      <c r="KJ229" s="191"/>
      <c r="KK229" s="191"/>
      <c r="KL229" s="191"/>
      <c r="KM229" s="191"/>
      <c r="KN229" s="191"/>
      <c r="KO229" s="191"/>
      <c r="KP229" s="191"/>
      <c r="KQ229" s="191"/>
      <c r="KR229" s="191"/>
      <c r="KS229" s="191"/>
      <c r="KT229" s="191"/>
      <c r="KU229" s="191"/>
      <c r="KV229" s="191"/>
      <c r="KW229" s="191"/>
      <c r="KX229" s="191"/>
      <c r="KY229" s="191"/>
      <c r="KZ229" s="191"/>
      <c r="LA229" s="191"/>
      <c r="LB229" s="191"/>
      <c r="LC229" s="191"/>
      <c r="LD229" s="191"/>
      <c r="LE229" s="191"/>
      <c r="LF229" s="191"/>
      <c r="LG229" s="191"/>
      <c r="LH229" s="191"/>
      <c r="LI229" s="192"/>
      <c r="LJ229" s="190"/>
      <c r="LK229" s="191"/>
      <c r="LL229" s="191"/>
      <c r="LM229" s="191"/>
      <c r="LN229" s="192"/>
      <c r="LW229" s="12"/>
      <c r="LX229" s="7"/>
    </row>
    <row r="230" spans="3:336" ht="5.0999999999999996" customHeight="1" x14ac:dyDescent="0.3">
      <c r="C230" s="11"/>
      <c r="D230" s="13"/>
      <c r="Q230" s="201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3"/>
      <c r="BF230" s="222"/>
      <c r="BG230" s="223"/>
      <c r="BH230" s="223"/>
      <c r="BI230" s="223"/>
      <c r="BJ230" s="224"/>
      <c r="JM230" s="154"/>
      <c r="JR230" s="16"/>
      <c r="LW230" s="12"/>
      <c r="LX230" s="7"/>
    </row>
    <row r="231" spans="3:336" ht="5.0999999999999996" customHeight="1" x14ac:dyDescent="0.3">
      <c r="C231" s="11"/>
      <c r="D231" s="13"/>
      <c r="GB231" s="1">
        <v>2</v>
      </c>
      <c r="JM231" s="154"/>
      <c r="JR231" s="16"/>
      <c r="JU231" s="184" t="s">
        <v>157</v>
      </c>
      <c r="JV231" s="185"/>
      <c r="JW231" s="185"/>
      <c r="JX231" s="185"/>
      <c r="JY231" s="185"/>
      <c r="JZ231" s="185"/>
      <c r="KA231" s="185"/>
      <c r="KB231" s="185"/>
      <c r="KC231" s="185"/>
      <c r="KD231" s="185"/>
      <c r="KE231" s="185"/>
      <c r="KF231" s="185"/>
      <c r="KG231" s="185"/>
      <c r="KH231" s="185"/>
      <c r="KI231" s="185"/>
      <c r="KJ231" s="185"/>
      <c r="KK231" s="185"/>
      <c r="KL231" s="185"/>
      <c r="KM231" s="185"/>
      <c r="KN231" s="185"/>
      <c r="KO231" s="185"/>
      <c r="KP231" s="185"/>
      <c r="KQ231" s="185"/>
      <c r="KR231" s="185"/>
      <c r="KS231" s="185"/>
      <c r="KT231" s="185"/>
      <c r="KU231" s="185"/>
      <c r="KV231" s="185"/>
      <c r="KW231" s="185"/>
      <c r="KX231" s="185"/>
      <c r="KY231" s="185"/>
      <c r="KZ231" s="185"/>
      <c r="LA231" s="185"/>
      <c r="LB231" s="185"/>
      <c r="LC231" s="185"/>
      <c r="LD231" s="185"/>
      <c r="LE231" s="185"/>
      <c r="LF231" s="185"/>
      <c r="LG231" s="185"/>
      <c r="LH231" s="185"/>
      <c r="LI231" s="186"/>
      <c r="LJ231" s="184">
        <v>1</v>
      </c>
      <c r="LK231" s="185"/>
      <c r="LL231" s="185"/>
      <c r="LM231" s="185"/>
      <c r="LN231" s="186"/>
      <c r="LW231" s="12"/>
      <c r="LX231" s="7"/>
    </row>
    <row r="232" spans="3:336" ht="5.0999999999999996" customHeight="1" x14ac:dyDescent="0.3">
      <c r="C232" s="11"/>
      <c r="D232" s="13"/>
      <c r="JM232" s="154"/>
      <c r="JR232" s="16"/>
      <c r="JU232" s="187"/>
      <c r="JV232" s="188"/>
      <c r="JW232" s="188"/>
      <c r="JX232" s="188"/>
      <c r="JY232" s="188"/>
      <c r="JZ232" s="188"/>
      <c r="KA232" s="188"/>
      <c r="KB232" s="188"/>
      <c r="KC232" s="188"/>
      <c r="KD232" s="188"/>
      <c r="KE232" s="188"/>
      <c r="KF232" s="188"/>
      <c r="KG232" s="188"/>
      <c r="KH232" s="188"/>
      <c r="KI232" s="188"/>
      <c r="KJ232" s="188"/>
      <c r="KK232" s="188"/>
      <c r="KL232" s="188"/>
      <c r="KM232" s="188"/>
      <c r="KN232" s="188"/>
      <c r="KO232" s="188"/>
      <c r="KP232" s="188"/>
      <c r="KQ232" s="188"/>
      <c r="KR232" s="188"/>
      <c r="KS232" s="188"/>
      <c r="KT232" s="188"/>
      <c r="KU232" s="188"/>
      <c r="KV232" s="188"/>
      <c r="KW232" s="188"/>
      <c r="KX232" s="188"/>
      <c r="KY232" s="188"/>
      <c r="KZ232" s="188"/>
      <c r="LA232" s="188"/>
      <c r="LB232" s="188"/>
      <c r="LC232" s="188"/>
      <c r="LD232" s="188"/>
      <c r="LE232" s="188"/>
      <c r="LF232" s="188"/>
      <c r="LG232" s="188"/>
      <c r="LH232" s="188"/>
      <c r="LI232" s="189"/>
      <c r="LJ232" s="187"/>
      <c r="LK232" s="188"/>
      <c r="LL232" s="188"/>
      <c r="LM232" s="188"/>
      <c r="LN232" s="189"/>
      <c r="LW232" s="12"/>
      <c r="LX232" s="7"/>
    </row>
    <row r="233" spans="3:336" ht="5.0999999999999996" customHeight="1" x14ac:dyDescent="0.3">
      <c r="C233" s="11"/>
      <c r="D233" s="13"/>
      <c r="JM233" s="154"/>
      <c r="JR233" s="16"/>
      <c r="JU233" s="187"/>
      <c r="JV233" s="188"/>
      <c r="JW233" s="188"/>
      <c r="JX233" s="188"/>
      <c r="JY233" s="188"/>
      <c r="JZ233" s="188"/>
      <c r="KA233" s="188"/>
      <c r="KB233" s="188"/>
      <c r="KC233" s="188"/>
      <c r="KD233" s="188"/>
      <c r="KE233" s="188"/>
      <c r="KF233" s="188"/>
      <c r="KG233" s="188"/>
      <c r="KH233" s="188"/>
      <c r="KI233" s="188"/>
      <c r="KJ233" s="188"/>
      <c r="KK233" s="188"/>
      <c r="KL233" s="188"/>
      <c r="KM233" s="188"/>
      <c r="KN233" s="188"/>
      <c r="KO233" s="188"/>
      <c r="KP233" s="188"/>
      <c r="KQ233" s="188"/>
      <c r="KR233" s="188"/>
      <c r="KS233" s="188"/>
      <c r="KT233" s="188"/>
      <c r="KU233" s="188"/>
      <c r="KV233" s="188"/>
      <c r="KW233" s="188"/>
      <c r="KX233" s="188"/>
      <c r="KY233" s="188"/>
      <c r="KZ233" s="188"/>
      <c r="LA233" s="188"/>
      <c r="LB233" s="188"/>
      <c r="LC233" s="188"/>
      <c r="LD233" s="188"/>
      <c r="LE233" s="188"/>
      <c r="LF233" s="188"/>
      <c r="LG233" s="188"/>
      <c r="LH233" s="188"/>
      <c r="LI233" s="189"/>
      <c r="LJ233" s="187"/>
      <c r="LK233" s="188"/>
      <c r="LL233" s="188"/>
      <c r="LM233" s="188"/>
      <c r="LN233" s="189"/>
      <c r="LW233" s="12"/>
      <c r="LX233" s="7"/>
    </row>
    <row r="234" spans="3:336" ht="5.0999999999999996" customHeight="1" thickBot="1" x14ac:dyDescent="0.35">
      <c r="C234" s="11"/>
      <c r="D234" s="13"/>
      <c r="JM234" s="154"/>
      <c r="JR234" s="23"/>
      <c r="JS234" s="31"/>
      <c r="JT234" s="31"/>
      <c r="JU234" s="187"/>
      <c r="JV234" s="188"/>
      <c r="JW234" s="188"/>
      <c r="JX234" s="188"/>
      <c r="JY234" s="188"/>
      <c r="JZ234" s="188"/>
      <c r="KA234" s="188"/>
      <c r="KB234" s="188"/>
      <c r="KC234" s="188"/>
      <c r="KD234" s="188"/>
      <c r="KE234" s="188"/>
      <c r="KF234" s="188"/>
      <c r="KG234" s="188"/>
      <c r="KH234" s="188"/>
      <c r="KI234" s="188"/>
      <c r="KJ234" s="188"/>
      <c r="KK234" s="188"/>
      <c r="KL234" s="188"/>
      <c r="KM234" s="188"/>
      <c r="KN234" s="188"/>
      <c r="KO234" s="188"/>
      <c r="KP234" s="188"/>
      <c r="KQ234" s="188"/>
      <c r="KR234" s="188"/>
      <c r="KS234" s="188"/>
      <c r="KT234" s="188"/>
      <c r="KU234" s="188"/>
      <c r="KV234" s="188"/>
      <c r="KW234" s="188"/>
      <c r="KX234" s="188"/>
      <c r="KY234" s="188"/>
      <c r="KZ234" s="188"/>
      <c r="LA234" s="188"/>
      <c r="LB234" s="188"/>
      <c r="LC234" s="188"/>
      <c r="LD234" s="188"/>
      <c r="LE234" s="188"/>
      <c r="LF234" s="188"/>
      <c r="LG234" s="188"/>
      <c r="LH234" s="188"/>
      <c r="LI234" s="189"/>
      <c r="LJ234" s="187"/>
      <c r="LK234" s="188"/>
      <c r="LL234" s="188"/>
      <c r="LM234" s="188"/>
      <c r="LN234" s="189"/>
      <c r="LW234" s="12"/>
      <c r="LX234" s="7"/>
    </row>
    <row r="235" spans="3:336" ht="5.0999999999999996" customHeight="1" x14ac:dyDescent="0.3">
      <c r="C235" s="11"/>
      <c r="D235" s="13"/>
      <c r="JM235" s="154"/>
      <c r="JR235" s="16"/>
      <c r="JU235" s="187"/>
      <c r="JV235" s="188"/>
      <c r="JW235" s="188"/>
      <c r="JX235" s="188"/>
      <c r="JY235" s="188"/>
      <c r="JZ235" s="188"/>
      <c r="KA235" s="188"/>
      <c r="KB235" s="188"/>
      <c r="KC235" s="188"/>
      <c r="KD235" s="188"/>
      <c r="KE235" s="188"/>
      <c r="KF235" s="188"/>
      <c r="KG235" s="188"/>
      <c r="KH235" s="188"/>
      <c r="KI235" s="188"/>
      <c r="KJ235" s="188"/>
      <c r="KK235" s="188"/>
      <c r="KL235" s="188"/>
      <c r="KM235" s="188"/>
      <c r="KN235" s="188"/>
      <c r="KO235" s="188"/>
      <c r="KP235" s="188"/>
      <c r="KQ235" s="188"/>
      <c r="KR235" s="188"/>
      <c r="KS235" s="188"/>
      <c r="KT235" s="188"/>
      <c r="KU235" s="188"/>
      <c r="KV235" s="188"/>
      <c r="KW235" s="188"/>
      <c r="KX235" s="188"/>
      <c r="KY235" s="188"/>
      <c r="KZ235" s="188"/>
      <c r="LA235" s="188"/>
      <c r="LB235" s="188"/>
      <c r="LC235" s="188"/>
      <c r="LD235" s="188"/>
      <c r="LE235" s="188"/>
      <c r="LF235" s="188"/>
      <c r="LG235" s="188"/>
      <c r="LH235" s="188"/>
      <c r="LI235" s="189"/>
      <c r="LJ235" s="187"/>
      <c r="LK235" s="188"/>
      <c r="LL235" s="188"/>
      <c r="LM235" s="188"/>
      <c r="LN235" s="189"/>
      <c r="LW235" s="12"/>
      <c r="LX235" s="7"/>
    </row>
    <row r="236" spans="3:336" ht="5.0999999999999996" customHeight="1" x14ac:dyDescent="0.3">
      <c r="C236" s="11"/>
      <c r="D236" s="13"/>
      <c r="JM236" s="154"/>
      <c r="JR236" s="16"/>
      <c r="JU236" s="187"/>
      <c r="JV236" s="188"/>
      <c r="JW236" s="188"/>
      <c r="JX236" s="188"/>
      <c r="JY236" s="188"/>
      <c r="JZ236" s="188"/>
      <c r="KA236" s="188"/>
      <c r="KB236" s="188"/>
      <c r="KC236" s="188"/>
      <c r="KD236" s="188"/>
      <c r="KE236" s="188"/>
      <c r="KF236" s="188"/>
      <c r="KG236" s="188"/>
      <c r="KH236" s="188"/>
      <c r="KI236" s="188"/>
      <c r="KJ236" s="188"/>
      <c r="KK236" s="188"/>
      <c r="KL236" s="188"/>
      <c r="KM236" s="188"/>
      <c r="KN236" s="188"/>
      <c r="KO236" s="188"/>
      <c r="KP236" s="188"/>
      <c r="KQ236" s="188"/>
      <c r="KR236" s="188"/>
      <c r="KS236" s="188"/>
      <c r="KT236" s="188"/>
      <c r="KU236" s="188"/>
      <c r="KV236" s="188"/>
      <c r="KW236" s="188"/>
      <c r="KX236" s="188"/>
      <c r="KY236" s="188"/>
      <c r="KZ236" s="188"/>
      <c r="LA236" s="188"/>
      <c r="LB236" s="188"/>
      <c r="LC236" s="188"/>
      <c r="LD236" s="188"/>
      <c r="LE236" s="188"/>
      <c r="LF236" s="188"/>
      <c r="LG236" s="188"/>
      <c r="LH236" s="188"/>
      <c r="LI236" s="189"/>
      <c r="LJ236" s="187"/>
      <c r="LK236" s="188"/>
      <c r="LL236" s="188"/>
      <c r="LM236" s="188"/>
      <c r="LN236" s="189"/>
      <c r="LW236" s="12"/>
      <c r="LX236" s="7"/>
    </row>
    <row r="237" spans="3:336" ht="5.0999999999999996" customHeight="1" x14ac:dyDescent="0.3">
      <c r="C237" s="11"/>
      <c r="D237" s="13"/>
      <c r="JM237" s="154"/>
      <c r="JR237" s="16"/>
      <c r="JU237" s="187"/>
      <c r="JV237" s="188"/>
      <c r="JW237" s="188"/>
      <c r="JX237" s="188"/>
      <c r="JY237" s="188"/>
      <c r="JZ237" s="188"/>
      <c r="KA237" s="188"/>
      <c r="KB237" s="188"/>
      <c r="KC237" s="188"/>
      <c r="KD237" s="188"/>
      <c r="KE237" s="188"/>
      <c r="KF237" s="188"/>
      <c r="KG237" s="188"/>
      <c r="KH237" s="188"/>
      <c r="KI237" s="188"/>
      <c r="KJ237" s="188"/>
      <c r="KK237" s="188"/>
      <c r="KL237" s="188"/>
      <c r="KM237" s="188"/>
      <c r="KN237" s="188"/>
      <c r="KO237" s="188"/>
      <c r="KP237" s="188"/>
      <c r="KQ237" s="188"/>
      <c r="KR237" s="188"/>
      <c r="KS237" s="188"/>
      <c r="KT237" s="188"/>
      <c r="KU237" s="188"/>
      <c r="KV237" s="188"/>
      <c r="KW237" s="188"/>
      <c r="KX237" s="188"/>
      <c r="KY237" s="188"/>
      <c r="KZ237" s="188"/>
      <c r="LA237" s="188"/>
      <c r="LB237" s="188"/>
      <c r="LC237" s="188"/>
      <c r="LD237" s="188"/>
      <c r="LE237" s="188"/>
      <c r="LF237" s="188"/>
      <c r="LG237" s="188"/>
      <c r="LH237" s="188"/>
      <c r="LI237" s="189"/>
      <c r="LJ237" s="187"/>
      <c r="LK237" s="188"/>
      <c r="LL237" s="188"/>
      <c r="LM237" s="188"/>
      <c r="LN237" s="189"/>
      <c r="LW237" s="12"/>
      <c r="LX237" s="7"/>
    </row>
    <row r="238" spans="3:336" ht="5.0999999999999996" customHeight="1" x14ac:dyDescent="0.3">
      <c r="C238" s="11"/>
      <c r="D238" s="13"/>
      <c r="JM238" s="154"/>
      <c r="JR238" s="16"/>
      <c r="JU238" s="187"/>
      <c r="JV238" s="188"/>
      <c r="JW238" s="188"/>
      <c r="JX238" s="188"/>
      <c r="JY238" s="188"/>
      <c r="JZ238" s="188"/>
      <c r="KA238" s="188"/>
      <c r="KB238" s="188"/>
      <c r="KC238" s="188"/>
      <c r="KD238" s="188"/>
      <c r="KE238" s="188"/>
      <c r="KF238" s="188"/>
      <c r="KG238" s="188"/>
      <c r="KH238" s="188"/>
      <c r="KI238" s="188"/>
      <c r="KJ238" s="188"/>
      <c r="KK238" s="188"/>
      <c r="KL238" s="188"/>
      <c r="KM238" s="188"/>
      <c r="KN238" s="188"/>
      <c r="KO238" s="188"/>
      <c r="KP238" s="188"/>
      <c r="KQ238" s="188"/>
      <c r="KR238" s="188"/>
      <c r="KS238" s="188"/>
      <c r="KT238" s="188"/>
      <c r="KU238" s="188"/>
      <c r="KV238" s="188"/>
      <c r="KW238" s="188"/>
      <c r="KX238" s="188"/>
      <c r="KY238" s="188"/>
      <c r="KZ238" s="188"/>
      <c r="LA238" s="188"/>
      <c r="LB238" s="188"/>
      <c r="LC238" s="188"/>
      <c r="LD238" s="188"/>
      <c r="LE238" s="188"/>
      <c r="LF238" s="188"/>
      <c r="LG238" s="188"/>
      <c r="LH238" s="188"/>
      <c r="LI238" s="189"/>
      <c r="LJ238" s="187"/>
      <c r="LK238" s="188"/>
      <c r="LL238" s="188"/>
      <c r="LM238" s="188"/>
      <c r="LN238" s="189"/>
      <c r="LW238" s="12"/>
      <c r="LX238" s="7"/>
    </row>
    <row r="239" spans="3:336" ht="5.0999999999999996" customHeight="1" x14ac:dyDescent="0.3">
      <c r="C239" s="11"/>
      <c r="D239" s="13"/>
      <c r="JM239" s="154"/>
      <c r="JR239" s="16"/>
      <c r="JU239" s="187"/>
      <c r="JV239" s="188"/>
      <c r="JW239" s="188"/>
      <c r="JX239" s="188"/>
      <c r="JY239" s="188"/>
      <c r="JZ239" s="188"/>
      <c r="KA239" s="188"/>
      <c r="KB239" s="188"/>
      <c r="KC239" s="188"/>
      <c r="KD239" s="188"/>
      <c r="KE239" s="188"/>
      <c r="KF239" s="188"/>
      <c r="KG239" s="188"/>
      <c r="KH239" s="188"/>
      <c r="KI239" s="188"/>
      <c r="KJ239" s="188"/>
      <c r="KK239" s="188"/>
      <c r="KL239" s="188"/>
      <c r="KM239" s="188"/>
      <c r="KN239" s="188"/>
      <c r="KO239" s="188"/>
      <c r="KP239" s="188"/>
      <c r="KQ239" s="188"/>
      <c r="KR239" s="188"/>
      <c r="KS239" s="188"/>
      <c r="KT239" s="188"/>
      <c r="KU239" s="188"/>
      <c r="KV239" s="188"/>
      <c r="KW239" s="188"/>
      <c r="KX239" s="188"/>
      <c r="KY239" s="188"/>
      <c r="KZ239" s="188"/>
      <c r="LA239" s="188"/>
      <c r="LB239" s="188"/>
      <c r="LC239" s="188"/>
      <c r="LD239" s="188"/>
      <c r="LE239" s="188"/>
      <c r="LF239" s="188"/>
      <c r="LG239" s="188"/>
      <c r="LH239" s="188"/>
      <c r="LI239" s="189"/>
      <c r="LJ239" s="187"/>
      <c r="LK239" s="188"/>
      <c r="LL239" s="188"/>
      <c r="LM239" s="188"/>
      <c r="LN239" s="189"/>
      <c r="LW239" s="12"/>
      <c r="LX239" s="7"/>
    </row>
    <row r="240" spans="3:336" ht="5.0999999999999996" customHeight="1" x14ac:dyDescent="0.3">
      <c r="C240" s="11"/>
      <c r="D240" s="13"/>
      <c r="JM240" s="154"/>
      <c r="JR240" s="16"/>
      <c r="JU240" s="190"/>
      <c r="JV240" s="191"/>
      <c r="JW240" s="191"/>
      <c r="JX240" s="191"/>
      <c r="JY240" s="191"/>
      <c r="JZ240" s="191"/>
      <c r="KA240" s="191"/>
      <c r="KB240" s="191"/>
      <c r="KC240" s="191"/>
      <c r="KD240" s="191"/>
      <c r="KE240" s="191"/>
      <c r="KF240" s="191"/>
      <c r="KG240" s="191"/>
      <c r="KH240" s="191"/>
      <c r="KI240" s="191"/>
      <c r="KJ240" s="191"/>
      <c r="KK240" s="191"/>
      <c r="KL240" s="191"/>
      <c r="KM240" s="191"/>
      <c r="KN240" s="191"/>
      <c r="KO240" s="191"/>
      <c r="KP240" s="191"/>
      <c r="KQ240" s="191"/>
      <c r="KR240" s="191"/>
      <c r="KS240" s="191"/>
      <c r="KT240" s="191"/>
      <c r="KU240" s="191"/>
      <c r="KV240" s="191"/>
      <c r="KW240" s="191"/>
      <c r="KX240" s="191"/>
      <c r="KY240" s="191"/>
      <c r="KZ240" s="191"/>
      <c r="LA240" s="191"/>
      <c r="LB240" s="191"/>
      <c r="LC240" s="191"/>
      <c r="LD240" s="191"/>
      <c r="LE240" s="191"/>
      <c r="LF240" s="191"/>
      <c r="LG240" s="191"/>
      <c r="LH240" s="191"/>
      <c r="LI240" s="192"/>
      <c r="LJ240" s="190"/>
      <c r="LK240" s="191"/>
      <c r="LL240" s="191"/>
      <c r="LM240" s="191"/>
      <c r="LN240" s="192"/>
      <c r="LW240" s="12"/>
      <c r="LX240" s="7"/>
    </row>
    <row r="241" spans="3:336" ht="5.0999999999999996" customHeight="1" x14ac:dyDescent="0.3">
      <c r="C241" s="11"/>
      <c r="D241" s="13"/>
      <c r="JM241" s="154"/>
      <c r="JR241" s="16"/>
      <c r="KP241" s="152"/>
      <c r="LW241" s="12"/>
      <c r="LX241" s="7"/>
    </row>
    <row r="242" spans="3:336" ht="5.0999999999999996" customHeight="1" x14ac:dyDescent="0.3">
      <c r="C242" s="11"/>
      <c r="D242" s="13"/>
      <c r="JM242" s="154"/>
      <c r="JR242" s="16"/>
      <c r="JU242" s="184" t="s">
        <v>51</v>
      </c>
      <c r="JV242" s="185"/>
      <c r="JW242" s="185"/>
      <c r="JX242" s="185"/>
      <c r="JY242" s="185"/>
      <c r="JZ242" s="185"/>
      <c r="KA242" s="185"/>
      <c r="KB242" s="185"/>
      <c r="KC242" s="185"/>
      <c r="KD242" s="185"/>
      <c r="KE242" s="185"/>
      <c r="KF242" s="185"/>
      <c r="KG242" s="185"/>
      <c r="KH242" s="185"/>
      <c r="KI242" s="185"/>
      <c r="KJ242" s="185"/>
      <c r="KK242" s="185"/>
      <c r="KL242" s="185"/>
      <c r="KM242" s="185"/>
      <c r="KN242" s="185"/>
      <c r="KO242" s="185"/>
      <c r="KP242" s="185"/>
      <c r="KQ242" s="185"/>
      <c r="KR242" s="185"/>
      <c r="KS242" s="185"/>
      <c r="KT242" s="185"/>
      <c r="KU242" s="185"/>
      <c r="KV242" s="185"/>
      <c r="KW242" s="185"/>
      <c r="KX242" s="185"/>
      <c r="KY242" s="185"/>
      <c r="KZ242" s="185"/>
      <c r="LA242" s="185"/>
      <c r="LB242" s="185"/>
      <c r="LC242" s="185"/>
      <c r="LD242" s="185"/>
      <c r="LE242" s="185"/>
      <c r="LF242" s="185"/>
      <c r="LG242" s="185"/>
      <c r="LH242" s="185"/>
      <c r="LI242" s="186"/>
      <c r="LJ242" s="184">
        <v>4</v>
      </c>
      <c r="LK242" s="185"/>
      <c r="LL242" s="185"/>
      <c r="LM242" s="185"/>
      <c r="LN242" s="186"/>
      <c r="LW242" s="12"/>
      <c r="LX242" s="7"/>
    </row>
    <row r="243" spans="3:336" ht="5.0999999999999996" customHeight="1" x14ac:dyDescent="0.3">
      <c r="C243" s="11"/>
      <c r="D243" s="13"/>
      <c r="JM243" s="154"/>
      <c r="JR243" s="16"/>
      <c r="JU243" s="187"/>
      <c r="JV243" s="188"/>
      <c r="JW243" s="188"/>
      <c r="JX243" s="188"/>
      <c r="JY243" s="188"/>
      <c r="JZ243" s="188"/>
      <c r="KA243" s="188"/>
      <c r="KB243" s="188"/>
      <c r="KC243" s="188"/>
      <c r="KD243" s="188"/>
      <c r="KE243" s="188"/>
      <c r="KF243" s="188"/>
      <c r="KG243" s="188"/>
      <c r="KH243" s="188"/>
      <c r="KI243" s="188"/>
      <c r="KJ243" s="188"/>
      <c r="KK243" s="188"/>
      <c r="KL243" s="188"/>
      <c r="KM243" s="188"/>
      <c r="KN243" s="188"/>
      <c r="KO243" s="188"/>
      <c r="KP243" s="188"/>
      <c r="KQ243" s="188"/>
      <c r="KR243" s="188"/>
      <c r="KS243" s="188"/>
      <c r="KT243" s="188"/>
      <c r="KU243" s="188"/>
      <c r="KV243" s="188"/>
      <c r="KW243" s="188"/>
      <c r="KX243" s="188"/>
      <c r="KY243" s="188"/>
      <c r="KZ243" s="188"/>
      <c r="LA243" s="188"/>
      <c r="LB243" s="188"/>
      <c r="LC243" s="188"/>
      <c r="LD243" s="188"/>
      <c r="LE243" s="188"/>
      <c r="LF243" s="188"/>
      <c r="LG243" s="188"/>
      <c r="LH243" s="188"/>
      <c r="LI243" s="189"/>
      <c r="LJ243" s="187"/>
      <c r="LK243" s="188"/>
      <c r="LL243" s="188"/>
      <c r="LM243" s="188"/>
      <c r="LN243" s="189"/>
      <c r="LW243" s="12"/>
      <c r="LX243" s="7"/>
    </row>
    <row r="244" spans="3:336" ht="5.0999999999999996" customHeight="1" x14ac:dyDescent="0.3">
      <c r="C244" s="11"/>
      <c r="D244" s="13"/>
      <c r="JM244" s="154"/>
      <c r="JR244" s="16"/>
      <c r="JU244" s="187"/>
      <c r="JV244" s="188"/>
      <c r="JW244" s="188"/>
      <c r="JX244" s="188"/>
      <c r="JY244" s="188"/>
      <c r="JZ244" s="188"/>
      <c r="KA244" s="188"/>
      <c r="KB244" s="188"/>
      <c r="KC244" s="188"/>
      <c r="KD244" s="188"/>
      <c r="KE244" s="188"/>
      <c r="KF244" s="188"/>
      <c r="KG244" s="188"/>
      <c r="KH244" s="188"/>
      <c r="KI244" s="188"/>
      <c r="KJ244" s="188"/>
      <c r="KK244" s="188"/>
      <c r="KL244" s="188"/>
      <c r="KM244" s="188"/>
      <c r="KN244" s="188"/>
      <c r="KO244" s="188"/>
      <c r="KP244" s="188"/>
      <c r="KQ244" s="188"/>
      <c r="KR244" s="188"/>
      <c r="KS244" s="188"/>
      <c r="KT244" s="188"/>
      <c r="KU244" s="188"/>
      <c r="KV244" s="188"/>
      <c r="KW244" s="188"/>
      <c r="KX244" s="188"/>
      <c r="KY244" s="188"/>
      <c r="KZ244" s="188"/>
      <c r="LA244" s="188"/>
      <c r="LB244" s="188"/>
      <c r="LC244" s="188"/>
      <c r="LD244" s="188"/>
      <c r="LE244" s="188"/>
      <c r="LF244" s="188"/>
      <c r="LG244" s="188"/>
      <c r="LH244" s="188"/>
      <c r="LI244" s="189"/>
      <c r="LJ244" s="187"/>
      <c r="LK244" s="188"/>
      <c r="LL244" s="188"/>
      <c r="LM244" s="188"/>
      <c r="LN244" s="189"/>
      <c r="LW244" s="12"/>
      <c r="LX244" s="7"/>
    </row>
    <row r="245" spans="3:336" ht="4.5" customHeight="1" x14ac:dyDescent="0.3">
      <c r="C245" s="11"/>
      <c r="D245" s="13"/>
      <c r="JM245" s="154"/>
      <c r="JR245" s="16"/>
      <c r="JU245" s="187"/>
      <c r="JV245" s="188"/>
      <c r="JW245" s="188"/>
      <c r="JX245" s="188"/>
      <c r="JY245" s="188"/>
      <c r="JZ245" s="188"/>
      <c r="KA245" s="188"/>
      <c r="KB245" s="188"/>
      <c r="KC245" s="188"/>
      <c r="KD245" s="188"/>
      <c r="KE245" s="188"/>
      <c r="KF245" s="188"/>
      <c r="KG245" s="188"/>
      <c r="KH245" s="188"/>
      <c r="KI245" s="188"/>
      <c r="KJ245" s="188"/>
      <c r="KK245" s="188"/>
      <c r="KL245" s="188"/>
      <c r="KM245" s="188"/>
      <c r="KN245" s="188"/>
      <c r="KO245" s="188"/>
      <c r="KP245" s="188"/>
      <c r="KQ245" s="188"/>
      <c r="KR245" s="188"/>
      <c r="KS245" s="188"/>
      <c r="KT245" s="188"/>
      <c r="KU245" s="188"/>
      <c r="KV245" s="188"/>
      <c r="KW245" s="188"/>
      <c r="KX245" s="188"/>
      <c r="KY245" s="188"/>
      <c r="KZ245" s="188"/>
      <c r="LA245" s="188"/>
      <c r="LB245" s="188"/>
      <c r="LC245" s="188"/>
      <c r="LD245" s="188"/>
      <c r="LE245" s="188"/>
      <c r="LF245" s="188"/>
      <c r="LG245" s="188"/>
      <c r="LH245" s="188"/>
      <c r="LI245" s="189"/>
      <c r="LJ245" s="187"/>
      <c r="LK245" s="188"/>
      <c r="LL245" s="188"/>
      <c r="LM245" s="188"/>
      <c r="LN245" s="189"/>
      <c r="LW245" s="12"/>
      <c r="LX245" s="7"/>
    </row>
    <row r="246" spans="3:336" ht="5.0999999999999996" customHeight="1" x14ac:dyDescent="0.3">
      <c r="C246" s="11"/>
      <c r="D246" s="13"/>
      <c r="JM246" s="154"/>
      <c r="JR246" s="16"/>
      <c r="JU246" s="187"/>
      <c r="JV246" s="188"/>
      <c r="JW246" s="188"/>
      <c r="JX246" s="188"/>
      <c r="JY246" s="188"/>
      <c r="JZ246" s="188"/>
      <c r="KA246" s="188"/>
      <c r="KB246" s="188"/>
      <c r="KC246" s="188"/>
      <c r="KD246" s="188"/>
      <c r="KE246" s="188"/>
      <c r="KF246" s="188"/>
      <c r="KG246" s="188"/>
      <c r="KH246" s="188"/>
      <c r="KI246" s="188"/>
      <c r="KJ246" s="188"/>
      <c r="KK246" s="188"/>
      <c r="KL246" s="188"/>
      <c r="KM246" s="188"/>
      <c r="KN246" s="188"/>
      <c r="KO246" s="188"/>
      <c r="KP246" s="188"/>
      <c r="KQ246" s="188"/>
      <c r="KR246" s="188"/>
      <c r="KS246" s="188"/>
      <c r="KT246" s="188"/>
      <c r="KU246" s="188"/>
      <c r="KV246" s="188"/>
      <c r="KW246" s="188"/>
      <c r="KX246" s="188"/>
      <c r="KY246" s="188"/>
      <c r="KZ246" s="188"/>
      <c r="LA246" s="188"/>
      <c r="LB246" s="188"/>
      <c r="LC246" s="188"/>
      <c r="LD246" s="188"/>
      <c r="LE246" s="188"/>
      <c r="LF246" s="188"/>
      <c r="LG246" s="188"/>
      <c r="LH246" s="188"/>
      <c r="LI246" s="189"/>
      <c r="LJ246" s="187"/>
      <c r="LK246" s="188"/>
      <c r="LL246" s="188"/>
      <c r="LM246" s="188"/>
      <c r="LN246" s="189"/>
      <c r="LW246" s="12"/>
      <c r="LX246" s="7"/>
    </row>
    <row r="247" spans="3:336" ht="5.0999999999999996" customHeight="1" x14ac:dyDescent="0.3">
      <c r="C247" s="11"/>
      <c r="D247" s="13"/>
      <c r="JM247" s="154"/>
      <c r="JR247" s="16"/>
      <c r="JU247" s="187"/>
      <c r="JV247" s="188"/>
      <c r="JW247" s="188"/>
      <c r="JX247" s="188"/>
      <c r="JY247" s="188"/>
      <c r="JZ247" s="188"/>
      <c r="KA247" s="188"/>
      <c r="KB247" s="188"/>
      <c r="KC247" s="188"/>
      <c r="KD247" s="188"/>
      <c r="KE247" s="188"/>
      <c r="KF247" s="188"/>
      <c r="KG247" s="188"/>
      <c r="KH247" s="188"/>
      <c r="KI247" s="188"/>
      <c r="KJ247" s="188"/>
      <c r="KK247" s="188"/>
      <c r="KL247" s="188"/>
      <c r="KM247" s="188"/>
      <c r="KN247" s="188"/>
      <c r="KO247" s="188"/>
      <c r="KP247" s="188"/>
      <c r="KQ247" s="188"/>
      <c r="KR247" s="188"/>
      <c r="KS247" s="188"/>
      <c r="KT247" s="188"/>
      <c r="KU247" s="188"/>
      <c r="KV247" s="188"/>
      <c r="KW247" s="188"/>
      <c r="KX247" s="188"/>
      <c r="KY247" s="188"/>
      <c r="KZ247" s="188"/>
      <c r="LA247" s="188"/>
      <c r="LB247" s="188"/>
      <c r="LC247" s="188"/>
      <c r="LD247" s="188"/>
      <c r="LE247" s="188"/>
      <c r="LF247" s="188"/>
      <c r="LG247" s="188"/>
      <c r="LH247" s="188"/>
      <c r="LI247" s="189"/>
      <c r="LJ247" s="187"/>
      <c r="LK247" s="188"/>
      <c r="LL247" s="188"/>
      <c r="LM247" s="188"/>
      <c r="LN247" s="189"/>
      <c r="LW247" s="12"/>
      <c r="LX247" s="7"/>
    </row>
    <row r="248" spans="3:336" ht="5.0999999999999996" customHeight="1" x14ac:dyDescent="0.3">
      <c r="C248" s="11"/>
      <c r="D248" s="13"/>
      <c r="JM248" s="154"/>
      <c r="JR248" s="16"/>
      <c r="JU248" s="187"/>
      <c r="JV248" s="188"/>
      <c r="JW248" s="188"/>
      <c r="JX248" s="188"/>
      <c r="JY248" s="188"/>
      <c r="JZ248" s="188"/>
      <c r="KA248" s="188"/>
      <c r="KB248" s="188"/>
      <c r="KC248" s="188"/>
      <c r="KD248" s="188"/>
      <c r="KE248" s="188"/>
      <c r="KF248" s="188"/>
      <c r="KG248" s="188"/>
      <c r="KH248" s="188"/>
      <c r="KI248" s="188"/>
      <c r="KJ248" s="188"/>
      <c r="KK248" s="188"/>
      <c r="KL248" s="188"/>
      <c r="KM248" s="188"/>
      <c r="KN248" s="188"/>
      <c r="KO248" s="188"/>
      <c r="KP248" s="188"/>
      <c r="KQ248" s="188"/>
      <c r="KR248" s="188"/>
      <c r="KS248" s="188"/>
      <c r="KT248" s="188"/>
      <c r="KU248" s="188"/>
      <c r="KV248" s="188"/>
      <c r="KW248" s="188"/>
      <c r="KX248" s="188"/>
      <c r="KY248" s="188"/>
      <c r="KZ248" s="188"/>
      <c r="LA248" s="188"/>
      <c r="LB248" s="188"/>
      <c r="LC248" s="188"/>
      <c r="LD248" s="188"/>
      <c r="LE248" s="188"/>
      <c r="LF248" s="188"/>
      <c r="LG248" s="188"/>
      <c r="LH248" s="188"/>
      <c r="LI248" s="189"/>
      <c r="LJ248" s="187"/>
      <c r="LK248" s="188"/>
      <c r="LL248" s="188"/>
      <c r="LM248" s="188"/>
      <c r="LN248" s="189"/>
      <c r="LW248" s="12"/>
      <c r="LX248" s="7"/>
    </row>
    <row r="249" spans="3:336" ht="5.0999999999999996" customHeight="1" x14ac:dyDescent="0.3">
      <c r="C249" s="11"/>
      <c r="D249" s="13"/>
      <c r="JM249" s="154"/>
      <c r="JR249" s="16"/>
      <c r="JU249" s="187"/>
      <c r="JV249" s="188"/>
      <c r="JW249" s="188"/>
      <c r="JX249" s="188"/>
      <c r="JY249" s="188"/>
      <c r="JZ249" s="188"/>
      <c r="KA249" s="188"/>
      <c r="KB249" s="188"/>
      <c r="KC249" s="188"/>
      <c r="KD249" s="188"/>
      <c r="KE249" s="188"/>
      <c r="KF249" s="188"/>
      <c r="KG249" s="188"/>
      <c r="KH249" s="188"/>
      <c r="KI249" s="188"/>
      <c r="KJ249" s="188"/>
      <c r="KK249" s="188"/>
      <c r="KL249" s="188"/>
      <c r="KM249" s="188"/>
      <c r="KN249" s="188"/>
      <c r="KO249" s="188"/>
      <c r="KP249" s="188"/>
      <c r="KQ249" s="188"/>
      <c r="KR249" s="188"/>
      <c r="KS249" s="188"/>
      <c r="KT249" s="188"/>
      <c r="KU249" s="188"/>
      <c r="KV249" s="188"/>
      <c r="KW249" s="188"/>
      <c r="KX249" s="188"/>
      <c r="KY249" s="188"/>
      <c r="KZ249" s="188"/>
      <c r="LA249" s="188"/>
      <c r="LB249" s="188"/>
      <c r="LC249" s="188"/>
      <c r="LD249" s="188"/>
      <c r="LE249" s="188"/>
      <c r="LF249" s="188"/>
      <c r="LG249" s="188"/>
      <c r="LH249" s="188"/>
      <c r="LI249" s="189"/>
      <c r="LJ249" s="187"/>
      <c r="LK249" s="188"/>
      <c r="LL249" s="188"/>
      <c r="LM249" s="188"/>
      <c r="LN249" s="189"/>
      <c r="LW249" s="12"/>
      <c r="LX249" s="7"/>
    </row>
    <row r="250" spans="3:336" ht="5.0999999999999996" customHeight="1" x14ac:dyDescent="0.3">
      <c r="C250" s="11"/>
      <c r="D250" s="13"/>
      <c r="JM250" s="154"/>
      <c r="JR250" s="16"/>
      <c r="JU250" s="187"/>
      <c r="JV250" s="188"/>
      <c r="JW250" s="188"/>
      <c r="JX250" s="188"/>
      <c r="JY250" s="188"/>
      <c r="JZ250" s="188"/>
      <c r="KA250" s="188"/>
      <c r="KB250" s="188"/>
      <c r="KC250" s="188"/>
      <c r="KD250" s="188"/>
      <c r="KE250" s="188"/>
      <c r="KF250" s="188"/>
      <c r="KG250" s="188"/>
      <c r="KH250" s="188"/>
      <c r="KI250" s="188"/>
      <c r="KJ250" s="188"/>
      <c r="KK250" s="188"/>
      <c r="KL250" s="188"/>
      <c r="KM250" s="188"/>
      <c r="KN250" s="188"/>
      <c r="KO250" s="188"/>
      <c r="KP250" s="188"/>
      <c r="KQ250" s="188"/>
      <c r="KR250" s="188"/>
      <c r="KS250" s="188"/>
      <c r="KT250" s="188"/>
      <c r="KU250" s="188"/>
      <c r="KV250" s="188"/>
      <c r="KW250" s="188"/>
      <c r="KX250" s="188"/>
      <c r="KY250" s="188"/>
      <c r="KZ250" s="188"/>
      <c r="LA250" s="188"/>
      <c r="LB250" s="188"/>
      <c r="LC250" s="188"/>
      <c r="LD250" s="188"/>
      <c r="LE250" s="188"/>
      <c r="LF250" s="188"/>
      <c r="LG250" s="188"/>
      <c r="LH250" s="188"/>
      <c r="LI250" s="189"/>
      <c r="LJ250" s="187"/>
      <c r="LK250" s="188"/>
      <c r="LL250" s="188"/>
      <c r="LM250" s="188"/>
      <c r="LN250" s="189"/>
      <c r="LW250" s="12"/>
      <c r="LX250" s="7"/>
    </row>
    <row r="251" spans="3:336" ht="5.0999999999999996" customHeight="1" x14ac:dyDescent="0.3">
      <c r="C251" s="11"/>
      <c r="D251" s="13"/>
      <c r="JM251" s="154"/>
      <c r="JR251" s="16"/>
      <c r="JU251" s="190"/>
      <c r="JV251" s="191"/>
      <c r="JW251" s="191"/>
      <c r="JX251" s="191"/>
      <c r="JY251" s="191"/>
      <c r="JZ251" s="191"/>
      <c r="KA251" s="191"/>
      <c r="KB251" s="191"/>
      <c r="KC251" s="191"/>
      <c r="KD251" s="191"/>
      <c r="KE251" s="191"/>
      <c r="KF251" s="191"/>
      <c r="KG251" s="191"/>
      <c r="KH251" s="191"/>
      <c r="KI251" s="191"/>
      <c r="KJ251" s="191"/>
      <c r="KK251" s="191"/>
      <c r="KL251" s="191"/>
      <c r="KM251" s="191"/>
      <c r="KN251" s="191"/>
      <c r="KO251" s="191"/>
      <c r="KP251" s="191"/>
      <c r="KQ251" s="191"/>
      <c r="KR251" s="191"/>
      <c r="KS251" s="191"/>
      <c r="KT251" s="191"/>
      <c r="KU251" s="191"/>
      <c r="KV251" s="191"/>
      <c r="KW251" s="191"/>
      <c r="KX251" s="191"/>
      <c r="KY251" s="191"/>
      <c r="KZ251" s="191"/>
      <c r="LA251" s="191"/>
      <c r="LB251" s="191"/>
      <c r="LC251" s="191"/>
      <c r="LD251" s="191"/>
      <c r="LE251" s="191"/>
      <c r="LF251" s="191"/>
      <c r="LG251" s="191"/>
      <c r="LH251" s="191"/>
      <c r="LI251" s="192"/>
      <c r="LJ251" s="190"/>
      <c r="LK251" s="191"/>
      <c r="LL251" s="191"/>
      <c r="LM251" s="191"/>
      <c r="LN251" s="192"/>
      <c r="LW251" s="12"/>
      <c r="LX251" s="7"/>
    </row>
    <row r="252" spans="3:336" ht="5.0999999999999996" customHeight="1" x14ac:dyDescent="0.3">
      <c r="C252" s="11"/>
      <c r="D252" s="13"/>
      <c r="JM252" s="154"/>
      <c r="JR252" s="16"/>
      <c r="JU252" s="184" t="s">
        <v>152</v>
      </c>
      <c r="JV252" s="185"/>
      <c r="JW252" s="185"/>
      <c r="JX252" s="185"/>
      <c r="JY252" s="185"/>
      <c r="JZ252" s="185"/>
      <c r="KA252" s="185"/>
      <c r="KB252" s="185"/>
      <c r="KC252" s="185"/>
      <c r="KD252" s="185"/>
      <c r="KE252" s="185"/>
      <c r="KF252" s="185"/>
      <c r="KG252" s="185"/>
      <c r="KH252" s="185"/>
      <c r="KI252" s="185"/>
      <c r="KJ252" s="185"/>
      <c r="KK252" s="185"/>
      <c r="KL252" s="185"/>
      <c r="KM252" s="185"/>
      <c r="KN252" s="185"/>
      <c r="KO252" s="185"/>
      <c r="KP252" s="185"/>
      <c r="KQ252" s="185"/>
      <c r="KR252" s="185"/>
      <c r="KS252" s="185"/>
      <c r="KT252" s="185"/>
      <c r="KU252" s="185"/>
      <c r="KV252" s="185"/>
      <c r="KW252" s="185"/>
      <c r="KX252" s="185"/>
      <c r="KY252" s="185"/>
      <c r="KZ252" s="185"/>
      <c r="LA252" s="185"/>
      <c r="LB252" s="185"/>
      <c r="LC252" s="185"/>
      <c r="LD252" s="185"/>
      <c r="LE252" s="185"/>
      <c r="LF252" s="185"/>
      <c r="LG252" s="185"/>
      <c r="LH252" s="185"/>
      <c r="LI252" s="186"/>
      <c r="LJ252" s="184">
        <v>11</v>
      </c>
      <c r="LK252" s="185"/>
      <c r="LL252" s="185"/>
      <c r="LM252" s="185"/>
      <c r="LN252" s="186"/>
      <c r="LW252" s="12"/>
      <c r="LX252" s="7"/>
    </row>
    <row r="253" spans="3:336" ht="5.0999999999999996" customHeight="1" x14ac:dyDescent="0.3">
      <c r="C253" s="11"/>
      <c r="D253" s="13"/>
      <c r="JM253" s="154"/>
      <c r="JR253" s="16"/>
      <c r="JU253" s="187"/>
      <c r="JV253" s="188"/>
      <c r="JW253" s="188"/>
      <c r="JX253" s="188"/>
      <c r="JY253" s="188"/>
      <c r="JZ253" s="188"/>
      <c r="KA253" s="188"/>
      <c r="KB253" s="188"/>
      <c r="KC253" s="188"/>
      <c r="KD253" s="188"/>
      <c r="KE253" s="188"/>
      <c r="KF253" s="188"/>
      <c r="KG253" s="188"/>
      <c r="KH253" s="188"/>
      <c r="KI253" s="188"/>
      <c r="KJ253" s="188"/>
      <c r="KK253" s="188"/>
      <c r="KL253" s="188"/>
      <c r="KM253" s="188"/>
      <c r="KN253" s="188"/>
      <c r="KO253" s="188"/>
      <c r="KP253" s="188"/>
      <c r="KQ253" s="188"/>
      <c r="KR253" s="188"/>
      <c r="KS253" s="188"/>
      <c r="KT253" s="188"/>
      <c r="KU253" s="188"/>
      <c r="KV253" s="188"/>
      <c r="KW253" s="188"/>
      <c r="KX253" s="188"/>
      <c r="KY253" s="188"/>
      <c r="KZ253" s="188"/>
      <c r="LA253" s="188"/>
      <c r="LB253" s="188"/>
      <c r="LC253" s="188"/>
      <c r="LD253" s="188"/>
      <c r="LE253" s="188"/>
      <c r="LF253" s="188"/>
      <c r="LG253" s="188"/>
      <c r="LH253" s="188"/>
      <c r="LI253" s="189"/>
      <c r="LJ253" s="187"/>
      <c r="LK253" s="188"/>
      <c r="LL253" s="188"/>
      <c r="LM253" s="188"/>
      <c r="LN253" s="189"/>
      <c r="LW253" s="12"/>
      <c r="LX253" s="7"/>
    </row>
    <row r="254" spans="3:336" ht="5.0999999999999996" customHeight="1" x14ac:dyDescent="0.3">
      <c r="C254" s="11"/>
      <c r="D254" s="13"/>
      <c r="JM254" s="154"/>
      <c r="JR254" s="16"/>
      <c r="JU254" s="187"/>
      <c r="JV254" s="188"/>
      <c r="JW254" s="188"/>
      <c r="JX254" s="188"/>
      <c r="JY254" s="188"/>
      <c r="JZ254" s="188"/>
      <c r="KA254" s="188"/>
      <c r="KB254" s="188"/>
      <c r="KC254" s="188"/>
      <c r="KD254" s="188"/>
      <c r="KE254" s="188"/>
      <c r="KF254" s="188"/>
      <c r="KG254" s="188"/>
      <c r="KH254" s="188"/>
      <c r="KI254" s="188"/>
      <c r="KJ254" s="188"/>
      <c r="KK254" s="188"/>
      <c r="KL254" s="188"/>
      <c r="KM254" s="188"/>
      <c r="KN254" s="188"/>
      <c r="KO254" s="188"/>
      <c r="KP254" s="188"/>
      <c r="KQ254" s="188"/>
      <c r="KR254" s="188"/>
      <c r="KS254" s="188"/>
      <c r="KT254" s="188"/>
      <c r="KU254" s="188"/>
      <c r="KV254" s="188"/>
      <c r="KW254" s="188"/>
      <c r="KX254" s="188"/>
      <c r="KY254" s="188"/>
      <c r="KZ254" s="188"/>
      <c r="LA254" s="188"/>
      <c r="LB254" s="188"/>
      <c r="LC254" s="188"/>
      <c r="LD254" s="188"/>
      <c r="LE254" s="188"/>
      <c r="LF254" s="188"/>
      <c r="LG254" s="188"/>
      <c r="LH254" s="188"/>
      <c r="LI254" s="189"/>
      <c r="LJ254" s="187"/>
      <c r="LK254" s="188"/>
      <c r="LL254" s="188"/>
      <c r="LM254" s="188"/>
      <c r="LN254" s="189"/>
      <c r="LW254" s="12"/>
      <c r="LX254" s="7"/>
    </row>
    <row r="255" spans="3:336" ht="5.0999999999999996" customHeight="1" x14ac:dyDescent="0.3">
      <c r="C255" s="11"/>
      <c r="D255" s="13"/>
      <c r="JM255" s="154"/>
      <c r="JR255" s="16"/>
      <c r="JU255" s="187"/>
      <c r="JV255" s="188"/>
      <c r="JW255" s="188"/>
      <c r="JX255" s="188"/>
      <c r="JY255" s="188"/>
      <c r="JZ255" s="188"/>
      <c r="KA255" s="188"/>
      <c r="KB255" s="188"/>
      <c r="KC255" s="188"/>
      <c r="KD255" s="188"/>
      <c r="KE255" s="188"/>
      <c r="KF255" s="188"/>
      <c r="KG255" s="188"/>
      <c r="KH255" s="188"/>
      <c r="KI255" s="188"/>
      <c r="KJ255" s="188"/>
      <c r="KK255" s="188"/>
      <c r="KL255" s="188"/>
      <c r="KM255" s="188"/>
      <c r="KN255" s="188"/>
      <c r="KO255" s="188"/>
      <c r="KP255" s="188"/>
      <c r="KQ255" s="188"/>
      <c r="KR255" s="188"/>
      <c r="KS255" s="188"/>
      <c r="KT255" s="188"/>
      <c r="KU255" s="188"/>
      <c r="KV255" s="188"/>
      <c r="KW255" s="188"/>
      <c r="KX255" s="188"/>
      <c r="KY255" s="188"/>
      <c r="KZ255" s="188"/>
      <c r="LA255" s="188"/>
      <c r="LB255" s="188"/>
      <c r="LC255" s="188"/>
      <c r="LD255" s="188"/>
      <c r="LE255" s="188"/>
      <c r="LF255" s="188"/>
      <c r="LG255" s="188"/>
      <c r="LH255" s="188"/>
      <c r="LI255" s="189"/>
      <c r="LJ255" s="187"/>
      <c r="LK255" s="188"/>
      <c r="LL255" s="188"/>
      <c r="LM255" s="188"/>
      <c r="LN255" s="189"/>
      <c r="LW255" s="12"/>
      <c r="LX255" s="7"/>
    </row>
    <row r="256" spans="3:336" ht="5.0999999999999996" customHeight="1" x14ac:dyDescent="0.3">
      <c r="C256" s="11"/>
      <c r="D256" s="13"/>
      <c r="JM256" s="154"/>
      <c r="JR256" s="16"/>
      <c r="JU256" s="187"/>
      <c r="JV256" s="188"/>
      <c r="JW256" s="188"/>
      <c r="JX256" s="188"/>
      <c r="JY256" s="188"/>
      <c r="JZ256" s="188"/>
      <c r="KA256" s="188"/>
      <c r="KB256" s="188"/>
      <c r="KC256" s="188"/>
      <c r="KD256" s="188"/>
      <c r="KE256" s="188"/>
      <c r="KF256" s="188"/>
      <c r="KG256" s="188"/>
      <c r="KH256" s="188"/>
      <c r="KI256" s="188"/>
      <c r="KJ256" s="188"/>
      <c r="KK256" s="188"/>
      <c r="KL256" s="188"/>
      <c r="KM256" s="188"/>
      <c r="KN256" s="188"/>
      <c r="KO256" s="188"/>
      <c r="KP256" s="188"/>
      <c r="KQ256" s="188"/>
      <c r="KR256" s="188"/>
      <c r="KS256" s="188"/>
      <c r="KT256" s="188"/>
      <c r="KU256" s="188"/>
      <c r="KV256" s="188"/>
      <c r="KW256" s="188"/>
      <c r="KX256" s="188"/>
      <c r="KY256" s="188"/>
      <c r="KZ256" s="188"/>
      <c r="LA256" s="188"/>
      <c r="LB256" s="188"/>
      <c r="LC256" s="188"/>
      <c r="LD256" s="188"/>
      <c r="LE256" s="188"/>
      <c r="LF256" s="188"/>
      <c r="LG256" s="188"/>
      <c r="LH256" s="188"/>
      <c r="LI256" s="189"/>
      <c r="LJ256" s="187"/>
      <c r="LK256" s="188"/>
      <c r="LL256" s="188"/>
      <c r="LM256" s="188"/>
      <c r="LN256" s="189"/>
      <c r="LW256" s="12"/>
      <c r="LX256" s="7"/>
    </row>
    <row r="257" spans="3:336" ht="5.0999999999999996" customHeight="1" x14ac:dyDescent="0.3">
      <c r="C257" s="11"/>
      <c r="D257" s="13"/>
      <c r="JM257" s="154"/>
      <c r="JR257" s="16"/>
      <c r="JU257" s="187"/>
      <c r="JV257" s="188"/>
      <c r="JW257" s="188"/>
      <c r="JX257" s="188"/>
      <c r="JY257" s="188"/>
      <c r="JZ257" s="188"/>
      <c r="KA257" s="188"/>
      <c r="KB257" s="188"/>
      <c r="KC257" s="188"/>
      <c r="KD257" s="188"/>
      <c r="KE257" s="188"/>
      <c r="KF257" s="188"/>
      <c r="KG257" s="188"/>
      <c r="KH257" s="188"/>
      <c r="KI257" s="188"/>
      <c r="KJ257" s="188"/>
      <c r="KK257" s="188"/>
      <c r="KL257" s="188"/>
      <c r="KM257" s="188"/>
      <c r="KN257" s="188"/>
      <c r="KO257" s="188"/>
      <c r="KP257" s="188"/>
      <c r="KQ257" s="188"/>
      <c r="KR257" s="188"/>
      <c r="KS257" s="188"/>
      <c r="KT257" s="188"/>
      <c r="KU257" s="188"/>
      <c r="KV257" s="188"/>
      <c r="KW257" s="188"/>
      <c r="KX257" s="188"/>
      <c r="KY257" s="188"/>
      <c r="KZ257" s="188"/>
      <c r="LA257" s="188"/>
      <c r="LB257" s="188"/>
      <c r="LC257" s="188"/>
      <c r="LD257" s="188"/>
      <c r="LE257" s="188"/>
      <c r="LF257" s="188"/>
      <c r="LG257" s="188"/>
      <c r="LH257" s="188"/>
      <c r="LI257" s="189"/>
      <c r="LJ257" s="187"/>
      <c r="LK257" s="188"/>
      <c r="LL257" s="188"/>
      <c r="LM257" s="188"/>
      <c r="LN257" s="189"/>
      <c r="LW257" s="12"/>
      <c r="LX257" s="7"/>
    </row>
    <row r="258" spans="3:336" ht="5.0999999999999996" customHeight="1" thickBot="1" x14ac:dyDescent="0.35">
      <c r="C258" s="11"/>
      <c r="D258" s="13"/>
      <c r="JM258" s="154"/>
      <c r="JR258" s="16"/>
      <c r="JU258" s="187"/>
      <c r="JV258" s="188"/>
      <c r="JW258" s="188"/>
      <c r="JX258" s="188"/>
      <c r="JY258" s="188"/>
      <c r="JZ258" s="188"/>
      <c r="KA258" s="188"/>
      <c r="KB258" s="188"/>
      <c r="KC258" s="188"/>
      <c r="KD258" s="188"/>
      <c r="KE258" s="188"/>
      <c r="KF258" s="188"/>
      <c r="KG258" s="188"/>
      <c r="KH258" s="188"/>
      <c r="KI258" s="188"/>
      <c r="KJ258" s="188"/>
      <c r="KK258" s="188"/>
      <c r="KL258" s="188"/>
      <c r="KM258" s="188"/>
      <c r="KN258" s="188"/>
      <c r="KO258" s="188"/>
      <c r="KP258" s="188"/>
      <c r="KQ258" s="188"/>
      <c r="KR258" s="188"/>
      <c r="KS258" s="188"/>
      <c r="KT258" s="188"/>
      <c r="KU258" s="188"/>
      <c r="KV258" s="188"/>
      <c r="KW258" s="188"/>
      <c r="KX258" s="188"/>
      <c r="KY258" s="188"/>
      <c r="KZ258" s="188"/>
      <c r="LA258" s="188"/>
      <c r="LB258" s="188"/>
      <c r="LC258" s="188"/>
      <c r="LD258" s="188"/>
      <c r="LE258" s="188"/>
      <c r="LF258" s="188"/>
      <c r="LG258" s="188"/>
      <c r="LH258" s="188"/>
      <c r="LI258" s="189"/>
      <c r="LJ258" s="187"/>
      <c r="LK258" s="188"/>
      <c r="LL258" s="188"/>
      <c r="LM258" s="188"/>
      <c r="LN258" s="189"/>
      <c r="LW258" s="12"/>
      <c r="LX258" s="7"/>
    </row>
    <row r="259" spans="3:336" ht="5.0999999999999996" customHeight="1" x14ac:dyDescent="0.3">
      <c r="C259" s="11"/>
      <c r="D259" s="13"/>
      <c r="FJ259" s="329" t="s">
        <v>154</v>
      </c>
      <c r="FK259" s="330"/>
      <c r="FL259" s="330"/>
      <c r="FM259" s="330"/>
      <c r="FN259" s="330"/>
      <c r="FO259" s="330"/>
      <c r="FP259" s="330"/>
      <c r="FQ259" s="330"/>
      <c r="FR259" s="330"/>
      <c r="FS259" s="330"/>
      <c r="FT259" s="330"/>
      <c r="FU259" s="330"/>
      <c r="FV259" s="330"/>
      <c r="FW259" s="330"/>
      <c r="FX259" s="330"/>
      <c r="FY259" s="330"/>
      <c r="FZ259" s="330"/>
      <c r="GA259" s="330"/>
      <c r="GB259" s="330"/>
      <c r="GC259" s="330"/>
      <c r="GD259" s="330"/>
      <c r="GE259" s="330"/>
      <c r="GF259" s="330"/>
      <c r="GG259" s="330"/>
      <c r="GH259" s="330"/>
      <c r="GI259" s="330"/>
      <c r="GJ259" s="330"/>
      <c r="GK259" s="330"/>
      <c r="GL259" s="330"/>
      <c r="GM259" s="330"/>
      <c r="GN259" s="330"/>
      <c r="GO259" s="330"/>
      <c r="GP259" s="330"/>
      <c r="GQ259" s="330"/>
      <c r="GR259" s="330"/>
      <c r="GS259" s="330"/>
      <c r="GT259" s="330"/>
      <c r="GU259" s="330"/>
      <c r="GV259" s="330"/>
      <c r="GW259" s="330"/>
      <c r="GX259" s="330"/>
      <c r="GY259" s="330"/>
      <c r="GZ259" s="330"/>
      <c r="HA259" s="330"/>
      <c r="HB259" s="330"/>
      <c r="HC259" s="330"/>
      <c r="HD259" s="330"/>
      <c r="HE259" s="330"/>
      <c r="HF259" s="330"/>
      <c r="HG259" s="331"/>
      <c r="HH259" s="285">
        <f>LJ117</f>
        <v>34</v>
      </c>
      <c r="HI259" s="285"/>
      <c r="HJ259" s="285"/>
      <c r="HK259" s="285"/>
      <c r="HL259" s="285"/>
      <c r="HM259" s="285"/>
      <c r="HN259" s="285"/>
      <c r="HO259" s="285"/>
      <c r="HP259" s="285"/>
      <c r="HQ259" s="285"/>
      <c r="HR259" s="285"/>
      <c r="HS259" s="286"/>
      <c r="JM259" s="154"/>
      <c r="JR259" s="16"/>
      <c r="JU259" s="187"/>
      <c r="JV259" s="188"/>
      <c r="JW259" s="188"/>
      <c r="JX259" s="188"/>
      <c r="JY259" s="188"/>
      <c r="JZ259" s="188"/>
      <c r="KA259" s="188"/>
      <c r="KB259" s="188"/>
      <c r="KC259" s="188"/>
      <c r="KD259" s="188"/>
      <c r="KE259" s="188"/>
      <c r="KF259" s="188"/>
      <c r="KG259" s="188"/>
      <c r="KH259" s="188"/>
      <c r="KI259" s="188"/>
      <c r="KJ259" s="188"/>
      <c r="KK259" s="188"/>
      <c r="KL259" s="188"/>
      <c r="KM259" s="188"/>
      <c r="KN259" s="188"/>
      <c r="KO259" s="188"/>
      <c r="KP259" s="188"/>
      <c r="KQ259" s="188"/>
      <c r="KR259" s="188"/>
      <c r="KS259" s="188"/>
      <c r="KT259" s="188"/>
      <c r="KU259" s="188"/>
      <c r="KV259" s="188"/>
      <c r="KW259" s="188"/>
      <c r="KX259" s="188"/>
      <c r="KY259" s="188"/>
      <c r="KZ259" s="188"/>
      <c r="LA259" s="188"/>
      <c r="LB259" s="188"/>
      <c r="LC259" s="188"/>
      <c r="LD259" s="188"/>
      <c r="LE259" s="188"/>
      <c r="LF259" s="188"/>
      <c r="LG259" s="188"/>
      <c r="LH259" s="188"/>
      <c r="LI259" s="189"/>
      <c r="LJ259" s="187"/>
      <c r="LK259" s="188"/>
      <c r="LL259" s="188"/>
      <c r="LM259" s="188"/>
      <c r="LN259" s="189"/>
      <c r="LW259" s="12"/>
      <c r="LX259" s="7"/>
    </row>
    <row r="260" spans="3:336" ht="5.0999999999999996" customHeight="1" x14ac:dyDescent="0.3">
      <c r="C260" s="11"/>
      <c r="D260" s="13"/>
      <c r="FJ260" s="332"/>
      <c r="FK260" s="333"/>
      <c r="FL260" s="333"/>
      <c r="FM260" s="333"/>
      <c r="FN260" s="333"/>
      <c r="FO260" s="333"/>
      <c r="FP260" s="333"/>
      <c r="FQ260" s="333"/>
      <c r="FR260" s="333"/>
      <c r="FS260" s="333"/>
      <c r="FT260" s="333"/>
      <c r="FU260" s="333"/>
      <c r="FV260" s="333"/>
      <c r="FW260" s="333"/>
      <c r="FX260" s="333"/>
      <c r="FY260" s="333"/>
      <c r="FZ260" s="333"/>
      <c r="GA260" s="333"/>
      <c r="GB260" s="333"/>
      <c r="GC260" s="333"/>
      <c r="GD260" s="333"/>
      <c r="GE260" s="333"/>
      <c r="GF260" s="333"/>
      <c r="GG260" s="333"/>
      <c r="GH260" s="333"/>
      <c r="GI260" s="333"/>
      <c r="GJ260" s="333"/>
      <c r="GK260" s="333"/>
      <c r="GL260" s="333"/>
      <c r="GM260" s="333"/>
      <c r="GN260" s="333"/>
      <c r="GO260" s="333"/>
      <c r="GP260" s="333"/>
      <c r="GQ260" s="333"/>
      <c r="GR260" s="333"/>
      <c r="GS260" s="333"/>
      <c r="GT260" s="333"/>
      <c r="GU260" s="333"/>
      <c r="GV260" s="333"/>
      <c r="GW260" s="333"/>
      <c r="GX260" s="333"/>
      <c r="GY260" s="333"/>
      <c r="GZ260" s="333"/>
      <c r="HA260" s="333"/>
      <c r="HB260" s="333"/>
      <c r="HC260" s="333"/>
      <c r="HD260" s="333"/>
      <c r="HE260" s="333"/>
      <c r="HF260" s="333"/>
      <c r="HG260" s="334"/>
      <c r="HH260" s="288"/>
      <c r="HI260" s="288"/>
      <c r="HJ260" s="288"/>
      <c r="HK260" s="288"/>
      <c r="HL260" s="288"/>
      <c r="HM260" s="288"/>
      <c r="HN260" s="288"/>
      <c r="HO260" s="288"/>
      <c r="HP260" s="288"/>
      <c r="HQ260" s="288"/>
      <c r="HR260" s="288"/>
      <c r="HS260" s="289"/>
      <c r="JM260" s="154"/>
      <c r="JR260" s="16"/>
      <c r="JU260" s="187"/>
      <c r="JV260" s="188"/>
      <c r="JW260" s="188"/>
      <c r="JX260" s="188"/>
      <c r="JY260" s="188"/>
      <c r="JZ260" s="188"/>
      <c r="KA260" s="188"/>
      <c r="KB260" s="188"/>
      <c r="KC260" s="188"/>
      <c r="KD260" s="188"/>
      <c r="KE260" s="188"/>
      <c r="KF260" s="188"/>
      <c r="KG260" s="188"/>
      <c r="KH260" s="188"/>
      <c r="KI260" s="188"/>
      <c r="KJ260" s="188"/>
      <c r="KK260" s="188"/>
      <c r="KL260" s="188"/>
      <c r="KM260" s="188"/>
      <c r="KN260" s="188"/>
      <c r="KO260" s="188"/>
      <c r="KP260" s="188"/>
      <c r="KQ260" s="188"/>
      <c r="KR260" s="188"/>
      <c r="KS260" s="188"/>
      <c r="KT260" s="188"/>
      <c r="KU260" s="188"/>
      <c r="KV260" s="188"/>
      <c r="KW260" s="188"/>
      <c r="KX260" s="188"/>
      <c r="KY260" s="188"/>
      <c r="KZ260" s="188"/>
      <c r="LA260" s="188"/>
      <c r="LB260" s="188"/>
      <c r="LC260" s="188"/>
      <c r="LD260" s="188"/>
      <c r="LE260" s="188"/>
      <c r="LF260" s="188"/>
      <c r="LG260" s="188"/>
      <c r="LH260" s="188"/>
      <c r="LI260" s="189"/>
      <c r="LJ260" s="187"/>
      <c r="LK260" s="188"/>
      <c r="LL260" s="188"/>
      <c r="LM260" s="188"/>
      <c r="LN260" s="189"/>
      <c r="LW260" s="12"/>
      <c r="LX260" s="7"/>
    </row>
    <row r="261" spans="3:336" ht="5.0999999999999996" customHeight="1" x14ac:dyDescent="0.3">
      <c r="C261" s="11"/>
      <c r="D261" s="13"/>
      <c r="FJ261" s="332"/>
      <c r="FK261" s="333"/>
      <c r="FL261" s="333"/>
      <c r="FM261" s="333"/>
      <c r="FN261" s="333"/>
      <c r="FO261" s="333"/>
      <c r="FP261" s="333"/>
      <c r="FQ261" s="333"/>
      <c r="FR261" s="333"/>
      <c r="FS261" s="333"/>
      <c r="FT261" s="333"/>
      <c r="FU261" s="333"/>
      <c r="FV261" s="333"/>
      <c r="FW261" s="333"/>
      <c r="FX261" s="333"/>
      <c r="FY261" s="333"/>
      <c r="FZ261" s="333"/>
      <c r="GA261" s="333"/>
      <c r="GB261" s="333"/>
      <c r="GC261" s="333"/>
      <c r="GD261" s="333"/>
      <c r="GE261" s="333"/>
      <c r="GF261" s="333"/>
      <c r="GG261" s="333"/>
      <c r="GH261" s="333"/>
      <c r="GI261" s="333"/>
      <c r="GJ261" s="333"/>
      <c r="GK261" s="333"/>
      <c r="GL261" s="333"/>
      <c r="GM261" s="333"/>
      <c r="GN261" s="333"/>
      <c r="GO261" s="333"/>
      <c r="GP261" s="333"/>
      <c r="GQ261" s="333"/>
      <c r="GR261" s="333"/>
      <c r="GS261" s="333"/>
      <c r="GT261" s="333"/>
      <c r="GU261" s="333"/>
      <c r="GV261" s="333"/>
      <c r="GW261" s="333"/>
      <c r="GX261" s="333"/>
      <c r="GY261" s="333"/>
      <c r="GZ261" s="333"/>
      <c r="HA261" s="333"/>
      <c r="HB261" s="333"/>
      <c r="HC261" s="333"/>
      <c r="HD261" s="333"/>
      <c r="HE261" s="333"/>
      <c r="HF261" s="333"/>
      <c r="HG261" s="334"/>
      <c r="HH261" s="288"/>
      <c r="HI261" s="288"/>
      <c r="HJ261" s="288"/>
      <c r="HK261" s="288"/>
      <c r="HL261" s="288"/>
      <c r="HM261" s="288"/>
      <c r="HN261" s="288"/>
      <c r="HO261" s="288"/>
      <c r="HP261" s="288"/>
      <c r="HQ261" s="288"/>
      <c r="HR261" s="288"/>
      <c r="HS261" s="289"/>
      <c r="JM261" s="154"/>
      <c r="JR261" s="16"/>
      <c r="JU261" s="190"/>
      <c r="JV261" s="191"/>
      <c r="JW261" s="191"/>
      <c r="JX261" s="191"/>
      <c r="JY261" s="191"/>
      <c r="JZ261" s="191"/>
      <c r="KA261" s="191"/>
      <c r="KB261" s="191"/>
      <c r="KC261" s="191"/>
      <c r="KD261" s="191"/>
      <c r="KE261" s="191"/>
      <c r="KF261" s="191"/>
      <c r="KG261" s="191"/>
      <c r="KH261" s="191"/>
      <c r="KI261" s="191"/>
      <c r="KJ261" s="191"/>
      <c r="KK261" s="191"/>
      <c r="KL261" s="191"/>
      <c r="KM261" s="191"/>
      <c r="KN261" s="191"/>
      <c r="KO261" s="191"/>
      <c r="KP261" s="191"/>
      <c r="KQ261" s="191"/>
      <c r="KR261" s="191"/>
      <c r="KS261" s="191"/>
      <c r="KT261" s="191"/>
      <c r="KU261" s="191"/>
      <c r="KV261" s="191"/>
      <c r="KW261" s="191"/>
      <c r="KX261" s="191"/>
      <c r="KY261" s="191"/>
      <c r="KZ261" s="191"/>
      <c r="LA261" s="191"/>
      <c r="LB261" s="191"/>
      <c r="LC261" s="191"/>
      <c r="LD261" s="191"/>
      <c r="LE261" s="191"/>
      <c r="LF261" s="191"/>
      <c r="LG261" s="191"/>
      <c r="LH261" s="191"/>
      <c r="LI261" s="192"/>
      <c r="LJ261" s="190"/>
      <c r="LK261" s="191"/>
      <c r="LL261" s="191"/>
      <c r="LM261" s="191"/>
      <c r="LN261" s="192"/>
      <c r="LW261" s="12"/>
      <c r="LX261" s="7"/>
    </row>
    <row r="262" spans="3:336" ht="5.0999999999999996" customHeight="1" x14ac:dyDescent="0.3">
      <c r="C262" s="11"/>
      <c r="D262" s="13"/>
      <c r="FJ262" s="332"/>
      <c r="FK262" s="333"/>
      <c r="FL262" s="333"/>
      <c r="FM262" s="333"/>
      <c r="FN262" s="333"/>
      <c r="FO262" s="333"/>
      <c r="FP262" s="333"/>
      <c r="FQ262" s="333"/>
      <c r="FR262" s="333"/>
      <c r="FS262" s="333"/>
      <c r="FT262" s="333"/>
      <c r="FU262" s="333"/>
      <c r="FV262" s="333"/>
      <c r="FW262" s="333"/>
      <c r="FX262" s="333"/>
      <c r="FY262" s="333"/>
      <c r="FZ262" s="333"/>
      <c r="GA262" s="333"/>
      <c r="GB262" s="333"/>
      <c r="GC262" s="333"/>
      <c r="GD262" s="333"/>
      <c r="GE262" s="333"/>
      <c r="GF262" s="333"/>
      <c r="GG262" s="333"/>
      <c r="GH262" s="333"/>
      <c r="GI262" s="333"/>
      <c r="GJ262" s="333"/>
      <c r="GK262" s="333"/>
      <c r="GL262" s="333"/>
      <c r="GM262" s="333"/>
      <c r="GN262" s="333"/>
      <c r="GO262" s="333"/>
      <c r="GP262" s="333"/>
      <c r="GQ262" s="333"/>
      <c r="GR262" s="333"/>
      <c r="GS262" s="333"/>
      <c r="GT262" s="333"/>
      <c r="GU262" s="333"/>
      <c r="GV262" s="333"/>
      <c r="GW262" s="333"/>
      <c r="GX262" s="333"/>
      <c r="GY262" s="333"/>
      <c r="GZ262" s="333"/>
      <c r="HA262" s="333"/>
      <c r="HB262" s="333"/>
      <c r="HC262" s="333"/>
      <c r="HD262" s="333"/>
      <c r="HE262" s="333"/>
      <c r="HF262" s="333"/>
      <c r="HG262" s="334"/>
      <c r="HH262" s="288"/>
      <c r="HI262" s="288"/>
      <c r="HJ262" s="288"/>
      <c r="HK262" s="288"/>
      <c r="HL262" s="288"/>
      <c r="HM262" s="288"/>
      <c r="HN262" s="288"/>
      <c r="HO262" s="288"/>
      <c r="HP262" s="288"/>
      <c r="HQ262" s="288"/>
      <c r="HR262" s="288"/>
      <c r="HS262" s="289"/>
      <c r="JM262" s="154"/>
      <c r="JR262" s="16"/>
      <c r="KS262" s="152"/>
      <c r="LW262" s="12"/>
      <c r="LX262" s="7"/>
    </row>
    <row r="263" spans="3:336" ht="5.0999999999999996" customHeight="1" x14ac:dyDescent="0.3">
      <c r="C263" s="11"/>
      <c r="D263" s="13"/>
      <c r="FJ263" s="332"/>
      <c r="FK263" s="333"/>
      <c r="FL263" s="333"/>
      <c r="FM263" s="333"/>
      <c r="FN263" s="333"/>
      <c r="FO263" s="333"/>
      <c r="FP263" s="333"/>
      <c r="FQ263" s="333"/>
      <c r="FR263" s="333"/>
      <c r="FS263" s="333"/>
      <c r="FT263" s="333"/>
      <c r="FU263" s="333"/>
      <c r="FV263" s="333"/>
      <c r="FW263" s="333"/>
      <c r="FX263" s="333"/>
      <c r="FY263" s="333"/>
      <c r="FZ263" s="333"/>
      <c r="GA263" s="333"/>
      <c r="GB263" s="333"/>
      <c r="GC263" s="333"/>
      <c r="GD263" s="333"/>
      <c r="GE263" s="333"/>
      <c r="GF263" s="333"/>
      <c r="GG263" s="333"/>
      <c r="GH263" s="333"/>
      <c r="GI263" s="333"/>
      <c r="GJ263" s="333"/>
      <c r="GK263" s="333"/>
      <c r="GL263" s="333"/>
      <c r="GM263" s="333"/>
      <c r="GN263" s="333"/>
      <c r="GO263" s="333"/>
      <c r="GP263" s="333"/>
      <c r="GQ263" s="333"/>
      <c r="GR263" s="333"/>
      <c r="GS263" s="333"/>
      <c r="GT263" s="333"/>
      <c r="GU263" s="333"/>
      <c r="GV263" s="333"/>
      <c r="GW263" s="333"/>
      <c r="GX263" s="333"/>
      <c r="GY263" s="333"/>
      <c r="GZ263" s="333"/>
      <c r="HA263" s="333"/>
      <c r="HB263" s="333"/>
      <c r="HC263" s="333"/>
      <c r="HD263" s="333"/>
      <c r="HE263" s="333"/>
      <c r="HF263" s="333"/>
      <c r="HG263" s="334"/>
      <c r="HH263" s="288"/>
      <c r="HI263" s="288"/>
      <c r="HJ263" s="288"/>
      <c r="HK263" s="288"/>
      <c r="HL263" s="288"/>
      <c r="HM263" s="288"/>
      <c r="HN263" s="288"/>
      <c r="HO263" s="288"/>
      <c r="HP263" s="288"/>
      <c r="HQ263" s="288"/>
      <c r="HR263" s="288"/>
      <c r="HS263" s="289"/>
      <c r="JM263" s="154"/>
      <c r="JR263" s="16"/>
      <c r="JU263" s="184" t="s">
        <v>60</v>
      </c>
      <c r="JV263" s="185"/>
      <c r="JW263" s="185"/>
      <c r="JX263" s="185"/>
      <c r="JY263" s="185"/>
      <c r="JZ263" s="185"/>
      <c r="KA263" s="185"/>
      <c r="KB263" s="185"/>
      <c r="KC263" s="185"/>
      <c r="KD263" s="185"/>
      <c r="KE263" s="185"/>
      <c r="KF263" s="185"/>
      <c r="KG263" s="185"/>
      <c r="KH263" s="185"/>
      <c r="KI263" s="185"/>
      <c r="KJ263" s="185"/>
      <c r="KK263" s="185"/>
      <c r="KL263" s="185"/>
      <c r="KM263" s="185"/>
      <c r="KN263" s="185"/>
      <c r="KO263" s="185"/>
      <c r="KP263" s="185"/>
      <c r="KQ263" s="185"/>
      <c r="KR263" s="185"/>
      <c r="KS263" s="185"/>
      <c r="KT263" s="185"/>
      <c r="KU263" s="185"/>
      <c r="KV263" s="185"/>
      <c r="KW263" s="185"/>
      <c r="KX263" s="185"/>
      <c r="KY263" s="185"/>
      <c r="KZ263" s="185"/>
      <c r="LA263" s="185"/>
      <c r="LB263" s="185"/>
      <c r="LC263" s="185"/>
      <c r="LD263" s="185"/>
      <c r="LE263" s="185"/>
      <c r="LF263" s="185"/>
      <c r="LG263" s="185"/>
      <c r="LH263" s="185"/>
      <c r="LI263" s="186"/>
      <c r="LJ263" s="184">
        <v>1</v>
      </c>
      <c r="LK263" s="185"/>
      <c r="LL263" s="185"/>
      <c r="LM263" s="185"/>
      <c r="LN263" s="186"/>
      <c r="LW263" s="12"/>
      <c r="LX263" s="7"/>
    </row>
    <row r="264" spans="3:336" ht="5.0999999999999996" customHeight="1" x14ac:dyDescent="0.3">
      <c r="C264" s="11"/>
      <c r="D264" s="13"/>
      <c r="FJ264" s="332"/>
      <c r="FK264" s="333"/>
      <c r="FL264" s="333"/>
      <c r="FM264" s="333"/>
      <c r="FN264" s="333"/>
      <c r="FO264" s="333"/>
      <c r="FP264" s="333"/>
      <c r="FQ264" s="333"/>
      <c r="FR264" s="333"/>
      <c r="FS264" s="333"/>
      <c r="FT264" s="333"/>
      <c r="FU264" s="333"/>
      <c r="FV264" s="333"/>
      <c r="FW264" s="333"/>
      <c r="FX264" s="333"/>
      <c r="FY264" s="333"/>
      <c r="FZ264" s="333"/>
      <c r="GA264" s="333"/>
      <c r="GB264" s="333"/>
      <c r="GC264" s="333"/>
      <c r="GD264" s="333"/>
      <c r="GE264" s="333"/>
      <c r="GF264" s="333"/>
      <c r="GG264" s="333"/>
      <c r="GH264" s="333"/>
      <c r="GI264" s="333"/>
      <c r="GJ264" s="333"/>
      <c r="GK264" s="333"/>
      <c r="GL264" s="333"/>
      <c r="GM264" s="333"/>
      <c r="GN264" s="333"/>
      <c r="GO264" s="333"/>
      <c r="GP264" s="333"/>
      <c r="GQ264" s="333"/>
      <c r="GR264" s="333"/>
      <c r="GS264" s="333"/>
      <c r="GT264" s="333"/>
      <c r="GU264" s="333"/>
      <c r="GV264" s="333"/>
      <c r="GW264" s="333"/>
      <c r="GX264" s="333"/>
      <c r="GY264" s="333"/>
      <c r="GZ264" s="333"/>
      <c r="HA264" s="333"/>
      <c r="HB264" s="333"/>
      <c r="HC264" s="333"/>
      <c r="HD264" s="333"/>
      <c r="HE264" s="333"/>
      <c r="HF264" s="333"/>
      <c r="HG264" s="334"/>
      <c r="HH264" s="288"/>
      <c r="HI264" s="288"/>
      <c r="HJ264" s="288"/>
      <c r="HK264" s="288"/>
      <c r="HL264" s="288"/>
      <c r="HM264" s="288"/>
      <c r="HN264" s="288"/>
      <c r="HO264" s="288"/>
      <c r="HP264" s="288"/>
      <c r="HQ264" s="288"/>
      <c r="HR264" s="288"/>
      <c r="HS264" s="289"/>
      <c r="JM264" s="154"/>
      <c r="JR264" s="16"/>
      <c r="JU264" s="187"/>
      <c r="JV264" s="188"/>
      <c r="JW264" s="188"/>
      <c r="JX264" s="188"/>
      <c r="JY264" s="188"/>
      <c r="JZ264" s="188"/>
      <c r="KA264" s="188"/>
      <c r="KB264" s="188"/>
      <c r="KC264" s="188"/>
      <c r="KD264" s="188"/>
      <c r="KE264" s="188"/>
      <c r="KF264" s="188"/>
      <c r="KG264" s="188"/>
      <c r="KH264" s="188"/>
      <c r="KI264" s="188"/>
      <c r="KJ264" s="188"/>
      <c r="KK264" s="188"/>
      <c r="KL264" s="188"/>
      <c r="KM264" s="188"/>
      <c r="KN264" s="188"/>
      <c r="KO264" s="188"/>
      <c r="KP264" s="188"/>
      <c r="KQ264" s="188"/>
      <c r="KR264" s="188"/>
      <c r="KS264" s="188"/>
      <c r="KT264" s="188"/>
      <c r="KU264" s="188"/>
      <c r="KV264" s="188"/>
      <c r="KW264" s="188"/>
      <c r="KX264" s="188"/>
      <c r="KY264" s="188"/>
      <c r="KZ264" s="188"/>
      <c r="LA264" s="188"/>
      <c r="LB264" s="188"/>
      <c r="LC264" s="188"/>
      <c r="LD264" s="188"/>
      <c r="LE264" s="188"/>
      <c r="LF264" s="188"/>
      <c r="LG264" s="188"/>
      <c r="LH264" s="188"/>
      <c r="LI264" s="189"/>
      <c r="LJ264" s="187"/>
      <c r="LK264" s="188"/>
      <c r="LL264" s="188"/>
      <c r="LM264" s="188"/>
      <c r="LN264" s="189"/>
      <c r="LW264" s="12"/>
      <c r="LX264" s="7"/>
    </row>
    <row r="265" spans="3:336" ht="5.0999999999999996" customHeight="1" thickBot="1" x14ac:dyDescent="0.35">
      <c r="C265" s="11"/>
      <c r="D265" s="13"/>
      <c r="FJ265" s="335"/>
      <c r="FK265" s="336"/>
      <c r="FL265" s="336"/>
      <c r="FM265" s="336"/>
      <c r="FN265" s="336"/>
      <c r="FO265" s="336"/>
      <c r="FP265" s="336"/>
      <c r="FQ265" s="336"/>
      <c r="FR265" s="336"/>
      <c r="FS265" s="336"/>
      <c r="FT265" s="336"/>
      <c r="FU265" s="336"/>
      <c r="FV265" s="336"/>
      <c r="FW265" s="336"/>
      <c r="FX265" s="336"/>
      <c r="FY265" s="336"/>
      <c r="FZ265" s="336"/>
      <c r="GA265" s="336"/>
      <c r="GB265" s="336"/>
      <c r="GC265" s="336"/>
      <c r="GD265" s="336"/>
      <c r="GE265" s="336"/>
      <c r="GF265" s="336"/>
      <c r="GG265" s="336"/>
      <c r="GH265" s="336"/>
      <c r="GI265" s="336"/>
      <c r="GJ265" s="336"/>
      <c r="GK265" s="336"/>
      <c r="GL265" s="336"/>
      <c r="GM265" s="336"/>
      <c r="GN265" s="336"/>
      <c r="GO265" s="336"/>
      <c r="GP265" s="336"/>
      <c r="GQ265" s="336"/>
      <c r="GR265" s="336"/>
      <c r="GS265" s="336"/>
      <c r="GT265" s="336"/>
      <c r="GU265" s="336"/>
      <c r="GV265" s="336"/>
      <c r="GW265" s="336"/>
      <c r="GX265" s="336"/>
      <c r="GY265" s="336"/>
      <c r="GZ265" s="336"/>
      <c r="HA265" s="336"/>
      <c r="HB265" s="336"/>
      <c r="HC265" s="336"/>
      <c r="HD265" s="336"/>
      <c r="HE265" s="336"/>
      <c r="HF265" s="336"/>
      <c r="HG265" s="337"/>
      <c r="HH265" s="291"/>
      <c r="HI265" s="291"/>
      <c r="HJ265" s="291"/>
      <c r="HK265" s="291"/>
      <c r="HL265" s="291"/>
      <c r="HM265" s="291"/>
      <c r="HN265" s="291"/>
      <c r="HO265" s="291"/>
      <c r="HP265" s="291"/>
      <c r="HQ265" s="291"/>
      <c r="HR265" s="291"/>
      <c r="HS265" s="292"/>
      <c r="JM265" s="154"/>
      <c r="JR265" s="16"/>
      <c r="JU265" s="187"/>
      <c r="JV265" s="188"/>
      <c r="JW265" s="188"/>
      <c r="JX265" s="188"/>
      <c r="JY265" s="188"/>
      <c r="JZ265" s="188"/>
      <c r="KA265" s="188"/>
      <c r="KB265" s="188"/>
      <c r="KC265" s="188"/>
      <c r="KD265" s="188"/>
      <c r="KE265" s="188"/>
      <c r="KF265" s="188"/>
      <c r="KG265" s="188"/>
      <c r="KH265" s="188"/>
      <c r="KI265" s="188"/>
      <c r="KJ265" s="188"/>
      <c r="KK265" s="188"/>
      <c r="KL265" s="188"/>
      <c r="KM265" s="188"/>
      <c r="KN265" s="188"/>
      <c r="KO265" s="188"/>
      <c r="KP265" s="188"/>
      <c r="KQ265" s="188"/>
      <c r="KR265" s="188"/>
      <c r="KS265" s="188"/>
      <c r="KT265" s="188"/>
      <c r="KU265" s="188"/>
      <c r="KV265" s="188"/>
      <c r="KW265" s="188"/>
      <c r="KX265" s="188"/>
      <c r="KY265" s="188"/>
      <c r="KZ265" s="188"/>
      <c r="LA265" s="188"/>
      <c r="LB265" s="188"/>
      <c r="LC265" s="188"/>
      <c r="LD265" s="188"/>
      <c r="LE265" s="188"/>
      <c r="LF265" s="188"/>
      <c r="LG265" s="188"/>
      <c r="LH265" s="188"/>
      <c r="LI265" s="189"/>
      <c r="LJ265" s="187"/>
      <c r="LK265" s="188"/>
      <c r="LL265" s="188"/>
      <c r="LM265" s="188"/>
      <c r="LN265" s="189"/>
      <c r="LW265" s="12"/>
      <c r="LX265" s="7"/>
    </row>
    <row r="266" spans="3:336" ht="5.0999999999999996" customHeight="1" x14ac:dyDescent="0.3">
      <c r="C266" s="11"/>
      <c r="D266" s="13"/>
      <c r="FJ266" s="329" t="s">
        <v>153</v>
      </c>
      <c r="FK266" s="330"/>
      <c r="FL266" s="330"/>
      <c r="FM266" s="330"/>
      <c r="FN266" s="330"/>
      <c r="FO266" s="330"/>
      <c r="FP266" s="330"/>
      <c r="FQ266" s="330"/>
      <c r="FR266" s="330"/>
      <c r="FS266" s="330"/>
      <c r="FT266" s="330"/>
      <c r="FU266" s="330"/>
      <c r="FV266" s="330"/>
      <c r="FW266" s="330"/>
      <c r="FX266" s="330"/>
      <c r="FY266" s="330"/>
      <c r="FZ266" s="330"/>
      <c r="GA266" s="330"/>
      <c r="GB266" s="330"/>
      <c r="GC266" s="330"/>
      <c r="GD266" s="330"/>
      <c r="GE266" s="330"/>
      <c r="GF266" s="330"/>
      <c r="GG266" s="330"/>
      <c r="GH266" s="330"/>
      <c r="GI266" s="330"/>
      <c r="GJ266" s="330"/>
      <c r="GK266" s="330"/>
      <c r="GL266" s="330"/>
      <c r="GM266" s="330"/>
      <c r="GN266" s="330"/>
      <c r="GO266" s="330"/>
      <c r="GP266" s="330"/>
      <c r="GQ266" s="330"/>
      <c r="GR266" s="330"/>
      <c r="GS266" s="330"/>
      <c r="GT266" s="330"/>
      <c r="GU266" s="330"/>
      <c r="GV266" s="330"/>
      <c r="GW266" s="330"/>
      <c r="GX266" s="330"/>
      <c r="GY266" s="330"/>
      <c r="GZ266" s="330"/>
      <c r="HA266" s="330"/>
      <c r="HB266" s="330"/>
      <c r="HC266" s="330"/>
      <c r="HD266" s="330"/>
      <c r="HE266" s="330"/>
      <c r="HF266" s="330"/>
      <c r="HG266" s="331"/>
      <c r="HH266" s="285">
        <f>SUM(FG18,FG35,HW37,BF54,DG84,DG97,GZ92,GZ102,FB117,BF117,JB183,JB161)</f>
        <v>61</v>
      </c>
      <c r="HI266" s="285"/>
      <c r="HJ266" s="285"/>
      <c r="HK266" s="285"/>
      <c r="HL266" s="285"/>
      <c r="HM266" s="285"/>
      <c r="HN266" s="285"/>
      <c r="HO266" s="285"/>
      <c r="HP266" s="285"/>
      <c r="HQ266" s="285"/>
      <c r="HR266" s="285"/>
      <c r="HS266" s="286"/>
      <c r="JM266" s="154"/>
      <c r="JR266" s="16"/>
      <c r="JU266" s="187"/>
      <c r="JV266" s="188"/>
      <c r="JW266" s="188"/>
      <c r="JX266" s="188"/>
      <c r="JY266" s="188"/>
      <c r="JZ266" s="188"/>
      <c r="KA266" s="188"/>
      <c r="KB266" s="188"/>
      <c r="KC266" s="188"/>
      <c r="KD266" s="188"/>
      <c r="KE266" s="188"/>
      <c r="KF266" s="188"/>
      <c r="KG266" s="188"/>
      <c r="KH266" s="188"/>
      <c r="KI266" s="188"/>
      <c r="KJ266" s="188"/>
      <c r="KK266" s="188"/>
      <c r="KL266" s="188"/>
      <c r="KM266" s="188"/>
      <c r="KN266" s="188"/>
      <c r="KO266" s="188"/>
      <c r="KP266" s="188"/>
      <c r="KQ266" s="188"/>
      <c r="KR266" s="188"/>
      <c r="KS266" s="188"/>
      <c r="KT266" s="188"/>
      <c r="KU266" s="188"/>
      <c r="KV266" s="188"/>
      <c r="KW266" s="188"/>
      <c r="KX266" s="188"/>
      <c r="KY266" s="188"/>
      <c r="KZ266" s="188"/>
      <c r="LA266" s="188"/>
      <c r="LB266" s="188"/>
      <c r="LC266" s="188"/>
      <c r="LD266" s="188"/>
      <c r="LE266" s="188"/>
      <c r="LF266" s="188"/>
      <c r="LG266" s="188"/>
      <c r="LH266" s="188"/>
      <c r="LI266" s="189"/>
      <c r="LJ266" s="187"/>
      <c r="LK266" s="188"/>
      <c r="LL266" s="188"/>
      <c r="LM266" s="188"/>
      <c r="LN266" s="189"/>
      <c r="LW266" s="12"/>
      <c r="LX266" s="7"/>
    </row>
    <row r="267" spans="3:336" ht="5.0999999999999996" customHeight="1" thickBot="1" x14ac:dyDescent="0.35">
      <c r="C267" s="11"/>
      <c r="D267" s="13"/>
      <c r="FJ267" s="332"/>
      <c r="FK267" s="333"/>
      <c r="FL267" s="333"/>
      <c r="FM267" s="333"/>
      <c r="FN267" s="333"/>
      <c r="FO267" s="333"/>
      <c r="FP267" s="333"/>
      <c r="FQ267" s="333"/>
      <c r="FR267" s="333"/>
      <c r="FS267" s="333"/>
      <c r="FT267" s="333"/>
      <c r="FU267" s="333"/>
      <c r="FV267" s="333"/>
      <c r="FW267" s="333"/>
      <c r="FX267" s="333"/>
      <c r="FY267" s="333"/>
      <c r="FZ267" s="333"/>
      <c r="GA267" s="333"/>
      <c r="GB267" s="333"/>
      <c r="GC267" s="333"/>
      <c r="GD267" s="333"/>
      <c r="GE267" s="333"/>
      <c r="GF267" s="333"/>
      <c r="GG267" s="333"/>
      <c r="GH267" s="333"/>
      <c r="GI267" s="333"/>
      <c r="GJ267" s="333"/>
      <c r="GK267" s="333"/>
      <c r="GL267" s="333"/>
      <c r="GM267" s="333"/>
      <c r="GN267" s="333"/>
      <c r="GO267" s="333"/>
      <c r="GP267" s="333"/>
      <c r="GQ267" s="333"/>
      <c r="GR267" s="333"/>
      <c r="GS267" s="333"/>
      <c r="GT267" s="333"/>
      <c r="GU267" s="333"/>
      <c r="GV267" s="333"/>
      <c r="GW267" s="333"/>
      <c r="GX267" s="333"/>
      <c r="GY267" s="333"/>
      <c r="GZ267" s="333"/>
      <c r="HA267" s="333"/>
      <c r="HB267" s="333"/>
      <c r="HC267" s="333"/>
      <c r="HD267" s="333"/>
      <c r="HE267" s="333"/>
      <c r="HF267" s="333"/>
      <c r="HG267" s="334"/>
      <c r="HH267" s="288"/>
      <c r="HI267" s="288"/>
      <c r="HJ267" s="288"/>
      <c r="HK267" s="288"/>
      <c r="HL267" s="288"/>
      <c r="HM267" s="288"/>
      <c r="HN267" s="288"/>
      <c r="HO267" s="288"/>
      <c r="HP267" s="288"/>
      <c r="HQ267" s="288"/>
      <c r="HR267" s="288"/>
      <c r="HS267" s="289"/>
      <c r="JM267" s="154"/>
      <c r="JR267" s="23"/>
      <c r="JS267" s="31"/>
      <c r="JT267" s="31"/>
      <c r="JU267" s="187"/>
      <c r="JV267" s="188"/>
      <c r="JW267" s="188"/>
      <c r="JX267" s="188"/>
      <c r="JY267" s="188"/>
      <c r="JZ267" s="188"/>
      <c r="KA267" s="188"/>
      <c r="KB267" s="188"/>
      <c r="KC267" s="188"/>
      <c r="KD267" s="188"/>
      <c r="KE267" s="188"/>
      <c r="KF267" s="188"/>
      <c r="KG267" s="188"/>
      <c r="KH267" s="188"/>
      <c r="KI267" s="188"/>
      <c r="KJ267" s="188"/>
      <c r="KK267" s="188"/>
      <c r="KL267" s="188"/>
      <c r="KM267" s="188"/>
      <c r="KN267" s="188"/>
      <c r="KO267" s="188"/>
      <c r="KP267" s="188"/>
      <c r="KQ267" s="188"/>
      <c r="KR267" s="188"/>
      <c r="KS267" s="188"/>
      <c r="KT267" s="188"/>
      <c r="KU267" s="188"/>
      <c r="KV267" s="188"/>
      <c r="KW267" s="188"/>
      <c r="KX267" s="188"/>
      <c r="KY267" s="188"/>
      <c r="KZ267" s="188"/>
      <c r="LA267" s="188"/>
      <c r="LB267" s="188"/>
      <c r="LC267" s="188"/>
      <c r="LD267" s="188"/>
      <c r="LE267" s="188"/>
      <c r="LF267" s="188"/>
      <c r="LG267" s="188"/>
      <c r="LH267" s="188"/>
      <c r="LI267" s="189"/>
      <c r="LJ267" s="187"/>
      <c r="LK267" s="188"/>
      <c r="LL267" s="188"/>
      <c r="LM267" s="188"/>
      <c r="LN267" s="189"/>
      <c r="LW267" s="12"/>
      <c r="LX267" s="7"/>
    </row>
    <row r="268" spans="3:336" ht="5.0999999999999996" customHeight="1" x14ac:dyDescent="0.3">
      <c r="C268" s="11"/>
      <c r="D268" s="13"/>
      <c r="FJ268" s="332"/>
      <c r="FK268" s="333"/>
      <c r="FL268" s="333"/>
      <c r="FM268" s="333"/>
      <c r="FN268" s="333"/>
      <c r="FO268" s="333"/>
      <c r="FP268" s="333"/>
      <c r="FQ268" s="333"/>
      <c r="FR268" s="333"/>
      <c r="FS268" s="333"/>
      <c r="FT268" s="333"/>
      <c r="FU268" s="333"/>
      <c r="FV268" s="333"/>
      <c r="FW268" s="333"/>
      <c r="FX268" s="333"/>
      <c r="FY268" s="333"/>
      <c r="FZ268" s="333"/>
      <c r="GA268" s="333"/>
      <c r="GB268" s="333"/>
      <c r="GC268" s="333"/>
      <c r="GD268" s="333"/>
      <c r="GE268" s="333"/>
      <c r="GF268" s="333"/>
      <c r="GG268" s="333"/>
      <c r="GH268" s="333"/>
      <c r="GI268" s="333"/>
      <c r="GJ268" s="333"/>
      <c r="GK268" s="333"/>
      <c r="GL268" s="333"/>
      <c r="GM268" s="333"/>
      <c r="GN268" s="333"/>
      <c r="GO268" s="333"/>
      <c r="GP268" s="333"/>
      <c r="GQ268" s="333"/>
      <c r="GR268" s="333"/>
      <c r="GS268" s="333"/>
      <c r="GT268" s="333"/>
      <c r="GU268" s="333"/>
      <c r="GV268" s="333"/>
      <c r="GW268" s="333"/>
      <c r="GX268" s="333"/>
      <c r="GY268" s="333"/>
      <c r="GZ268" s="333"/>
      <c r="HA268" s="333"/>
      <c r="HB268" s="333"/>
      <c r="HC268" s="333"/>
      <c r="HD268" s="333"/>
      <c r="HE268" s="333"/>
      <c r="HF268" s="333"/>
      <c r="HG268" s="334"/>
      <c r="HH268" s="288"/>
      <c r="HI268" s="288"/>
      <c r="HJ268" s="288"/>
      <c r="HK268" s="288"/>
      <c r="HL268" s="288"/>
      <c r="HM268" s="288"/>
      <c r="HN268" s="288"/>
      <c r="HO268" s="288"/>
      <c r="HP268" s="288"/>
      <c r="HQ268" s="288"/>
      <c r="HR268" s="288"/>
      <c r="HS268" s="289"/>
      <c r="JM268" s="154"/>
      <c r="JU268" s="187"/>
      <c r="JV268" s="188"/>
      <c r="JW268" s="188"/>
      <c r="JX268" s="188"/>
      <c r="JY268" s="188"/>
      <c r="JZ268" s="188"/>
      <c r="KA268" s="188"/>
      <c r="KB268" s="188"/>
      <c r="KC268" s="188"/>
      <c r="KD268" s="188"/>
      <c r="KE268" s="188"/>
      <c r="KF268" s="188"/>
      <c r="KG268" s="188"/>
      <c r="KH268" s="188"/>
      <c r="KI268" s="188"/>
      <c r="KJ268" s="188"/>
      <c r="KK268" s="188"/>
      <c r="KL268" s="188"/>
      <c r="KM268" s="188"/>
      <c r="KN268" s="188"/>
      <c r="KO268" s="188"/>
      <c r="KP268" s="188"/>
      <c r="KQ268" s="188"/>
      <c r="KR268" s="188"/>
      <c r="KS268" s="188"/>
      <c r="KT268" s="188"/>
      <c r="KU268" s="188"/>
      <c r="KV268" s="188"/>
      <c r="KW268" s="188"/>
      <c r="KX268" s="188"/>
      <c r="KY268" s="188"/>
      <c r="KZ268" s="188"/>
      <c r="LA268" s="188"/>
      <c r="LB268" s="188"/>
      <c r="LC268" s="188"/>
      <c r="LD268" s="188"/>
      <c r="LE268" s="188"/>
      <c r="LF268" s="188"/>
      <c r="LG268" s="188"/>
      <c r="LH268" s="188"/>
      <c r="LI268" s="189"/>
      <c r="LJ268" s="187"/>
      <c r="LK268" s="188"/>
      <c r="LL268" s="188"/>
      <c r="LM268" s="188"/>
      <c r="LN268" s="189"/>
      <c r="LW268" s="12"/>
      <c r="LX268" s="7"/>
    </row>
    <row r="269" spans="3:336" ht="5.0999999999999996" customHeight="1" x14ac:dyDescent="0.3">
      <c r="C269" s="11"/>
      <c r="D269" s="13"/>
      <c r="FJ269" s="332"/>
      <c r="FK269" s="333"/>
      <c r="FL269" s="333"/>
      <c r="FM269" s="333"/>
      <c r="FN269" s="333"/>
      <c r="FO269" s="333"/>
      <c r="FP269" s="333"/>
      <c r="FQ269" s="333"/>
      <c r="FR269" s="333"/>
      <c r="FS269" s="333"/>
      <c r="FT269" s="333"/>
      <c r="FU269" s="333"/>
      <c r="FV269" s="333"/>
      <c r="FW269" s="333"/>
      <c r="FX269" s="333"/>
      <c r="FY269" s="333"/>
      <c r="FZ269" s="333"/>
      <c r="GA269" s="333"/>
      <c r="GB269" s="333"/>
      <c r="GC269" s="333"/>
      <c r="GD269" s="333"/>
      <c r="GE269" s="333"/>
      <c r="GF269" s="333"/>
      <c r="GG269" s="333"/>
      <c r="GH269" s="333"/>
      <c r="GI269" s="333"/>
      <c r="GJ269" s="333"/>
      <c r="GK269" s="333"/>
      <c r="GL269" s="333"/>
      <c r="GM269" s="333"/>
      <c r="GN269" s="333"/>
      <c r="GO269" s="333"/>
      <c r="GP269" s="333"/>
      <c r="GQ269" s="333"/>
      <c r="GR269" s="333"/>
      <c r="GS269" s="333"/>
      <c r="GT269" s="333"/>
      <c r="GU269" s="333"/>
      <c r="GV269" s="333"/>
      <c r="GW269" s="333"/>
      <c r="GX269" s="333"/>
      <c r="GY269" s="333"/>
      <c r="GZ269" s="333"/>
      <c r="HA269" s="333"/>
      <c r="HB269" s="333"/>
      <c r="HC269" s="333"/>
      <c r="HD269" s="333"/>
      <c r="HE269" s="333"/>
      <c r="HF269" s="333"/>
      <c r="HG269" s="334"/>
      <c r="HH269" s="288"/>
      <c r="HI269" s="288"/>
      <c r="HJ269" s="288"/>
      <c r="HK269" s="288"/>
      <c r="HL269" s="288"/>
      <c r="HM269" s="288"/>
      <c r="HN269" s="288"/>
      <c r="HO269" s="288"/>
      <c r="HP269" s="288"/>
      <c r="HQ269" s="288"/>
      <c r="HR269" s="288"/>
      <c r="HS269" s="289"/>
      <c r="JM269" s="154"/>
      <c r="JU269" s="187"/>
      <c r="JV269" s="188"/>
      <c r="JW269" s="188"/>
      <c r="JX269" s="188"/>
      <c r="JY269" s="188"/>
      <c r="JZ269" s="188"/>
      <c r="KA269" s="188"/>
      <c r="KB269" s="188"/>
      <c r="KC269" s="188"/>
      <c r="KD269" s="188"/>
      <c r="KE269" s="188"/>
      <c r="KF269" s="188"/>
      <c r="KG269" s="188"/>
      <c r="KH269" s="188"/>
      <c r="KI269" s="188"/>
      <c r="KJ269" s="188"/>
      <c r="KK269" s="188"/>
      <c r="KL269" s="188"/>
      <c r="KM269" s="188"/>
      <c r="KN269" s="188"/>
      <c r="KO269" s="188"/>
      <c r="KP269" s="188"/>
      <c r="KQ269" s="188"/>
      <c r="KR269" s="188"/>
      <c r="KS269" s="188"/>
      <c r="KT269" s="188"/>
      <c r="KU269" s="188"/>
      <c r="KV269" s="188"/>
      <c r="KW269" s="188"/>
      <c r="KX269" s="188"/>
      <c r="KY269" s="188"/>
      <c r="KZ269" s="188"/>
      <c r="LA269" s="188"/>
      <c r="LB269" s="188"/>
      <c r="LC269" s="188"/>
      <c r="LD269" s="188"/>
      <c r="LE269" s="188"/>
      <c r="LF269" s="188"/>
      <c r="LG269" s="188"/>
      <c r="LH269" s="188"/>
      <c r="LI269" s="189"/>
      <c r="LJ269" s="187"/>
      <c r="LK269" s="188"/>
      <c r="LL269" s="188"/>
      <c r="LM269" s="188"/>
      <c r="LN269" s="189"/>
      <c r="LW269" s="12"/>
      <c r="LX269" s="7"/>
    </row>
    <row r="270" spans="3:336" ht="5.0999999999999996" customHeight="1" x14ac:dyDescent="0.3">
      <c r="C270" s="11"/>
      <c r="D270" s="13"/>
      <c r="FJ270" s="332"/>
      <c r="FK270" s="333"/>
      <c r="FL270" s="333"/>
      <c r="FM270" s="333"/>
      <c r="FN270" s="333"/>
      <c r="FO270" s="333"/>
      <c r="FP270" s="333"/>
      <c r="FQ270" s="333"/>
      <c r="FR270" s="333"/>
      <c r="FS270" s="333"/>
      <c r="FT270" s="333"/>
      <c r="FU270" s="333"/>
      <c r="FV270" s="333"/>
      <c r="FW270" s="333"/>
      <c r="FX270" s="333"/>
      <c r="FY270" s="333"/>
      <c r="FZ270" s="333"/>
      <c r="GA270" s="333"/>
      <c r="GB270" s="333"/>
      <c r="GC270" s="333"/>
      <c r="GD270" s="333"/>
      <c r="GE270" s="333"/>
      <c r="GF270" s="333"/>
      <c r="GG270" s="333"/>
      <c r="GH270" s="333"/>
      <c r="GI270" s="333"/>
      <c r="GJ270" s="333"/>
      <c r="GK270" s="333"/>
      <c r="GL270" s="333"/>
      <c r="GM270" s="333"/>
      <c r="GN270" s="333"/>
      <c r="GO270" s="333"/>
      <c r="GP270" s="333"/>
      <c r="GQ270" s="333"/>
      <c r="GR270" s="333"/>
      <c r="GS270" s="333"/>
      <c r="GT270" s="333"/>
      <c r="GU270" s="333"/>
      <c r="GV270" s="333"/>
      <c r="GW270" s="333"/>
      <c r="GX270" s="333"/>
      <c r="GY270" s="333"/>
      <c r="GZ270" s="333"/>
      <c r="HA270" s="333"/>
      <c r="HB270" s="333"/>
      <c r="HC270" s="333"/>
      <c r="HD270" s="333"/>
      <c r="HE270" s="333"/>
      <c r="HF270" s="333"/>
      <c r="HG270" s="334"/>
      <c r="HH270" s="288"/>
      <c r="HI270" s="288"/>
      <c r="HJ270" s="288"/>
      <c r="HK270" s="288"/>
      <c r="HL270" s="288"/>
      <c r="HM270" s="288"/>
      <c r="HN270" s="288"/>
      <c r="HO270" s="288"/>
      <c r="HP270" s="288"/>
      <c r="HQ270" s="288"/>
      <c r="HR270" s="288"/>
      <c r="HS270" s="289"/>
      <c r="JM270" s="154"/>
      <c r="JU270" s="187"/>
      <c r="JV270" s="188"/>
      <c r="JW270" s="188"/>
      <c r="JX270" s="188"/>
      <c r="JY270" s="188"/>
      <c r="JZ270" s="188"/>
      <c r="KA270" s="188"/>
      <c r="KB270" s="188"/>
      <c r="KC270" s="188"/>
      <c r="KD270" s="188"/>
      <c r="KE270" s="188"/>
      <c r="KF270" s="188"/>
      <c r="KG270" s="188"/>
      <c r="KH270" s="188"/>
      <c r="KI270" s="188"/>
      <c r="KJ270" s="188"/>
      <c r="KK270" s="188"/>
      <c r="KL270" s="188"/>
      <c r="KM270" s="188"/>
      <c r="KN270" s="188"/>
      <c r="KO270" s="188"/>
      <c r="KP270" s="188"/>
      <c r="KQ270" s="188"/>
      <c r="KR270" s="188"/>
      <c r="KS270" s="188"/>
      <c r="KT270" s="188"/>
      <c r="KU270" s="188"/>
      <c r="KV270" s="188"/>
      <c r="KW270" s="188"/>
      <c r="KX270" s="188"/>
      <c r="KY270" s="188"/>
      <c r="KZ270" s="188"/>
      <c r="LA270" s="188"/>
      <c r="LB270" s="188"/>
      <c r="LC270" s="188"/>
      <c r="LD270" s="188"/>
      <c r="LE270" s="188"/>
      <c r="LF270" s="188"/>
      <c r="LG270" s="188"/>
      <c r="LH270" s="188"/>
      <c r="LI270" s="189"/>
      <c r="LJ270" s="187"/>
      <c r="LK270" s="188"/>
      <c r="LL270" s="188"/>
      <c r="LM270" s="188"/>
      <c r="LN270" s="189"/>
      <c r="LW270" s="12"/>
      <c r="LX270" s="7"/>
    </row>
    <row r="271" spans="3:336" ht="5.0999999999999996" customHeight="1" x14ac:dyDescent="0.3">
      <c r="C271" s="11"/>
      <c r="D271" s="13"/>
      <c r="FJ271" s="332"/>
      <c r="FK271" s="333"/>
      <c r="FL271" s="333"/>
      <c r="FM271" s="333"/>
      <c r="FN271" s="333"/>
      <c r="FO271" s="333"/>
      <c r="FP271" s="333"/>
      <c r="FQ271" s="333"/>
      <c r="FR271" s="333"/>
      <c r="FS271" s="333"/>
      <c r="FT271" s="333"/>
      <c r="FU271" s="333"/>
      <c r="FV271" s="333"/>
      <c r="FW271" s="333"/>
      <c r="FX271" s="333"/>
      <c r="FY271" s="333"/>
      <c r="FZ271" s="333"/>
      <c r="GA271" s="333"/>
      <c r="GB271" s="333"/>
      <c r="GC271" s="333"/>
      <c r="GD271" s="333"/>
      <c r="GE271" s="333"/>
      <c r="GF271" s="333"/>
      <c r="GG271" s="333"/>
      <c r="GH271" s="333"/>
      <c r="GI271" s="333"/>
      <c r="GJ271" s="333"/>
      <c r="GK271" s="333"/>
      <c r="GL271" s="333"/>
      <c r="GM271" s="333"/>
      <c r="GN271" s="333"/>
      <c r="GO271" s="333"/>
      <c r="GP271" s="333"/>
      <c r="GQ271" s="333"/>
      <c r="GR271" s="333"/>
      <c r="GS271" s="333"/>
      <c r="GT271" s="333"/>
      <c r="GU271" s="333"/>
      <c r="GV271" s="333"/>
      <c r="GW271" s="333"/>
      <c r="GX271" s="333"/>
      <c r="GY271" s="333"/>
      <c r="GZ271" s="333"/>
      <c r="HA271" s="333"/>
      <c r="HB271" s="333"/>
      <c r="HC271" s="333"/>
      <c r="HD271" s="333"/>
      <c r="HE271" s="333"/>
      <c r="HF271" s="333"/>
      <c r="HG271" s="334"/>
      <c r="HH271" s="288"/>
      <c r="HI271" s="288"/>
      <c r="HJ271" s="288"/>
      <c r="HK271" s="288"/>
      <c r="HL271" s="288"/>
      <c r="HM271" s="288"/>
      <c r="HN271" s="288"/>
      <c r="HO271" s="288"/>
      <c r="HP271" s="288"/>
      <c r="HQ271" s="288"/>
      <c r="HR271" s="288"/>
      <c r="HS271" s="289"/>
      <c r="JM271" s="154"/>
      <c r="JU271" s="187"/>
      <c r="JV271" s="188"/>
      <c r="JW271" s="188"/>
      <c r="JX271" s="188"/>
      <c r="JY271" s="188"/>
      <c r="JZ271" s="188"/>
      <c r="KA271" s="188"/>
      <c r="KB271" s="188"/>
      <c r="KC271" s="188"/>
      <c r="KD271" s="188"/>
      <c r="KE271" s="188"/>
      <c r="KF271" s="188"/>
      <c r="KG271" s="188"/>
      <c r="KH271" s="188"/>
      <c r="KI271" s="188"/>
      <c r="KJ271" s="188"/>
      <c r="KK271" s="188"/>
      <c r="KL271" s="188"/>
      <c r="KM271" s="188"/>
      <c r="KN271" s="188"/>
      <c r="KO271" s="188"/>
      <c r="KP271" s="188"/>
      <c r="KQ271" s="188"/>
      <c r="KR271" s="188"/>
      <c r="KS271" s="188"/>
      <c r="KT271" s="188"/>
      <c r="KU271" s="188"/>
      <c r="KV271" s="188"/>
      <c r="KW271" s="188"/>
      <c r="KX271" s="188"/>
      <c r="KY271" s="188"/>
      <c r="KZ271" s="188"/>
      <c r="LA271" s="188"/>
      <c r="LB271" s="188"/>
      <c r="LC271" s="188"/>
      <c r="LD271" s="188"/>
      <c r="LE271" s="188"/>
      <c r="LF271" s="188"/>
      <c r="LG271" s="188"/>
      <c r="LH271" s="188"/>
      <c r="LI271" s="189"/>
      <c r="LJ271" s="187"/>
      <c r="LK271" s="188"/>
      <c r="LL271" s="188"/>
      <c r="LM271" s="188"/>
      <c r="LN271" s="189"/>
      <c r="LW271" s="12"/>
      <c r="LX271" s="7"/>
    </row>
    <row r="272" spans="3:336" ht="5.0999999999999996" customHeight="1" thickBot="1" x14ac:dyDescent="0.35">
      <c r="C272" s="11"/>
      <c r="D272" s="13"/>
      <c r="FJ272" s="335"/>
      <c r="FK272" s="336"/>
      <c r="FL272" s="336"/>
      <c r="FM272" s="336"/>
      <c r="FN272" s="336"/>
      <c r="FO272" s="336"/>
      <c r="FP272" s="336"/>
      <c r="FQ272" s="336"/>
      <c r="FR272" s="336"/>
      <c r="FS272" s="336"/>
      <c r="FT272" s="336"/>
      <c r="FU272" s="336"/>
      <c r="FV272" s="336"/>
      <c r="FW272" s="336"/>
      <c r="FX272" s="336"/>
      <c r="FY272" s="336"/>
      <c r="FZ272" s="336"/>
      <c r="GA272" s="336"/>
      <c r="GB272" s="336"/>
      <c r="GC272" s="336"/>
      <c r="GD272" s="336"/>
      <c r="GE272" s="336"/>
      <c r="GF272" s="336"/>
      <c r="GG272" s="336"/>
      <c r="GH272" s="336"/>
      <c r="GI272" s="336"/>
      <c r="GJ272" s="336"/>
      <c r="GK272" s="336"/>
      <c r="GL272" s="336"/>
      <c r="GM272" s="336"/>
      <c r="GN272" s="336"/>
      <c r="GO272" s="336"/>
      <c r="GP272" s="336"/>
      <c r="GQ272" s="336"/>
      <c r="GR272" s="336"/>
      <c r="GS272" s="336"/>
      <c r="GT272" s="336"/>
      <c r="GU272" s="336"/>
      <c r="GV272" s="336"/>
      <c r="GW272" s="336"/>
      <c r="GX272" s="336"/>
      <c r="GY272" s="336"/>
      <c r="GZ272" s="336"/>
      <c r="HA272" s="336"/>
      <c r="HB272" s="336"/>
      <c r="HC272" s="336"/>
      <c r="HD272" s="336"/>
      <c r="HE272" s="336"/>
      <c r="HF272" s="336"/>
      <c r="HG272" s="337"/>
      <c r="HH272" s="291"/>
      <c r="HI272" s="291"/>
      <c r="HJ272" s="291"/>
      <c r="HK272" s="291"/>
      <c r="HL272" s="291"/>
      <c r="HM272" s="291"/>
      <c r="HN272" s="291"/>
      <c r="HO272" s="291"/>
      <c r="HP272" s="291"/>
      <c r="HQ272" s="291"/>
      <c r="HR272" s="291"/>
      <c r="HS272" s="292"/>
      <c r="JM272" s="154"/>
      <c r="JU272" s="190"/>
      <c r="JV272" s="191"/>
      <c r="JW272" s="191"/>
      <c r="JX272" s="191"/>
      <c r="JY272" s="191"/>
      <c r="JZ272" s="191"/>
      <c r="KA272" s="191"/>
      <c r="KB272" s="191"/>
      <c r="KC272" s="191"/>
      <c r="KD272" s="191"/>
      <c r="KE272" s="191"/>
      <c r="KF272" s="191"/>
      <c r="KG272" s="191"/>
      <c r="KH272" s="191"/>
      <c r="KI272" s="191"/>
      <c r="KJ272" s="191"/>
      <c r="KK272" s="191"/>
      <c r="KL272" s="191"/>
      <c r="KM272" s="191"/>
      <c r="KN272" s="191"/>
      <c r="KO272" s="191"/>
      <c r="KP272" s="191"/>
      <c r="KQ272" s="191"/>
      <c r="KR272" s="191"/>
      <c r="KS272" s="191"/>
      <c r="KT272" s="191"/>
      <c r="KU272" s="191"/>
      <c r="KV272" s="191"/>
      <c r="KW272" s="191"/>
      <c r="KX272" s="191"/>
      <c r="KY272" s="191"/>
      <c r="KZ272" s="191"/>
      <c r="LA272" s="191"/>
      <c r="LB272" s="191"/>
      <c r="LC272" s="191"/>
      <c r="LD272" s="191"/>
      <c r="LE272" s="191"/>
      <c r="LF272" s="191"/>
      <c r="LG272" s="191"/>
      <c r="LH272" s="191"/>
      <c r="LI272" s="192"/>
      <c r="LJ272" s="190"/>
      <c r="LK272" s="191"/>
      <c r="LL272" s="191"/>
      <c r="LM272" s="191"/>
      <c r="LN272" s="192"/>
      <c r="LW272" s="12"/>
      <c r="LX272" s="7"/>
    </row>
    <row r="273" spans="3:336" ht="5.0999999999999996" customHeight="1" x14ac:dyDescent="0.3">
      <c r="C273" s="11"/>
      <c r="D273" s="13"/>
      <c r="FJ273" s="329" t="s">
        <v>2</v>
      </c>
      <c r="FK273" s="330"/>
      <c r="FL273" s="330"/>
      <c r="FM273" s="330"/>
      <c r="FN273" s="330"/>
      <c r="FO273" s="330"/>
      <c r="FP273" s="330"/>
      <c r="FQ273" s="330"/>
      <c r="FR273" s="330"/>
      <c r="FS273" s="330"/>
      <c r="FT273" s="330"/>
      <c r="FU273" s="330"/>
      <c r="FV273" s="330"/>
      <c r="FW273" s="330"/>
      <c r="FX273" s="330"/>
      <c r="FY273" s="330"/>
      <c r="FZ273" s="330"/>
      <c r="GA273" s="330"/>
      <c r="GB273" s="330"/>
      <c r="GC273" s="330"/>
      <c r="GD273" s="330"/>
      <c r="GE273" s="330"/>
      <c r="GF273" s="330"/>
      <c r="GG273" s="330"/>
      <c r="GH273" s="330"/>
      <c r="GI273" s="330"/>
      <c r="GJ273" s="330"/>
      <c r="GK273" s="330"/>
      <c r="GL273" s="330"/>
      <c r="GM273" s="330"/>
      <c r="GN273" s="330"/>
      <c r="GO273" s="330"/>
      <c r="GP273" s="330"/>
      <c r="GQ273" s="330"/>
      <c r="GR273" s="330"/>
      <c r="GS273" s="330"/>
      <c r="GT273" s="330"/>
      <c r="GU273" s="330"/>
      <c r="GV273" s="330"/>
      <c r="GW273" s="330"/>
      <c r="GX273" s="330"/>
      <c r="GY273" s="330"/>
      <c r="GZ273" s="330"/>
      <c r="HA273" s="330"/>
      <c r="HB273" s="330"/>
      <c r="HC273" s="330"/>
      <c r="HD273" s="330"/>
      <c r="HE273" s="330"/>
      <c r="HF273" s="330"/>
      <c r="HG273" s="331"/>
      <c r="HH273" s="284">
        <f>JB117</f>
        <v>10</v>
      </c>
      <c r="HI273" s="285"/>
      <c r="HJ273" s="285"/>
      <c r="HK273" s="285"/>
      <c r="HL273" s="285"/>
      <c r="HM273" s="285">
        <f>CY126</f>
        <v>0</v>
      </c>
      <c r="HN273" s="285"/>
      <c r="HO273" s="285"/>
      <c r="HP273" s="285"/>
      <c r="HQ273" s="285"/>
      <c r="HR273" s="285"/>
      <c r="HS273" s="286"/>
      <c r="JM273" s="154"/>
      <c r="KR273" s="151"/>
      <c r="LW273" s="12"/>
      <c r="LX273" s="7"/>
    </row>
    <row r="274" spans="3:336" ht="5.0999999999999996" customHeight="1" x14ac:dyDescent="0.3">
      <c r="C274" s="11"/>
      <c r="D274" s="13"/>
      <c r="FJ274" s="332"/>
      <c r="FK274" s="333"/>
      <c r="FL274" s="333"/>
      <c r="FM274" s="333"/>
      <c r="FN274" s="333"/>
      <c r="FO274" s="333"/>
      <c r="FP274" s="333"/>
      <c r="FQ274" s="333"/>
      <c r="FR274" s="333"/>
      <c r="FS274" s="333"/>
      <c r="FT274" s="333"/>
      <c r="FU274" s="333"/>
      <c r="FV274" s="333"/>
      <c r="FW274" s="333"/>
      <c r="FX274" s="333"/>
      <c r="FY274" s="333"/>
      <c r="FZ274" s="333"/>
      <c r="GA274" s="333"/>
      <c r="GB274" s="333"/>
      <c r="GC274" s="333"/>
      <c r="GD274" s="333"/>
      <c r="GE274" s="333"/>
      <c r="GF274" s="333"/>
      <c r="GG274" s="333"/>
      <c r="GH274" s="333"/>
      <c r="GI274" s="333"/>
      <c r="GJ274" s="333"/>
      <c r="GK274" s="333"/>
      <c r="GL274" s="333"/>
      <c r="GM274" s="333"/>
      <c r="GN274" s="333"/>
      <c r="GO274" s="333"/>
      <c r="GP274" s="333"/>
      <c r="GQ274" s="333"/>
      <c r="GR274" s="333"/>
      <c r="GS274" s="333"/>
      <c r="GT274" s="333"/>
      <c r="GU274" s="333"/>
      <c r="GV274" s="333"/>
      <c r="GW274" s="333"/>
      <c r="GX274" s="333"/>
      <c r="GY274" s="333"/>
      <c r="GZ274" s="333"/>
      <c r="HA274" s="333"/>
      <c r="HB274" s="333"/>
      <c r="HC274" s="333"/>
      <c r="HD274" s="333"/>
      <c r="HE274" s="333"/>
      <c r="HF274" s="333"/>
      <c r="HG274" s="334"/>
      <c r="HH274" s="287"/>
      <c r="HI274" s="288"/>
      <c r="HJ274" s="288"/>
      <c r="HK274" s="288"/>
      <c r="HL274" s="288"/>
      <c r="HM274" s="288"/>
      <c r="HN274" s="288"/>
      <c r="HO274" s="288"/>
      <c r="HP274" s="288"/>
      <c r="HQ274" s="288"/>
      <c r="HR274" s="288"/>
      <c r="HS274" s="289"/>
      <c r="JM274" s="154"/>
      <c r="JU274" s="184" t="s">
        <v>58</v>
      </c>
      <c r="JV274" s="185"/>
      <c r="JW274" s="185"/>
      <c r="JX274" s="185"/>
      <c r="JY274" s="185"/>
      <c r="JZ274" s="185"/>
      <c r="KA274" s="185"/>
      <c r="KB274" s="185"/>
      <c r="KC274" s="185"/>
      <c r="KD274" s="185"/>
      <c r="KE274" s="185"/>
      <c r="KF274" s="185"/>
      <c r="KG274" s="185"/>
      <c r="KH274" s="185"/>
      <c r="KI274" s="185"/>
      <c r="KJ274" s="185"/>
      <c r="KK274" s="185"/>
      <c r="KL274" s="185"/>
      <c r="KM274" s="185"/>
      <c r="KN274" s="185"/>
      <c r="KO274" s="185"/>
      <c r="KP274" s="185"/>
      <c r="KQ274" s="185"/>
      <c r="KR274" s="185"/>
      <c r="KS274" s="185"/>
      <c r="KT274" s="185"/>
      <c r="KU274" s="185"/>
      <c r="KV274" s="185"/>
      <c r="KW274" s="185"/>
      <c r="KX274" s="185"/>
      <c r="KY274" s="185"/>
      <c r="KZ274" s="185"/>
      <c r="LA274" s="185"/>
      <c r="LB274" s="185"/>
      <c r="LC274" s="185"/>
      <c r="LD274" s="185"/>
      <c r="LE274" s="185"/>
      <c r="LF274" s="185"/>
      <c r="LG274" s="185"/>
      <c r="LH274" s="185"/>
      <c r="LI274" s="186"/>
      <c r="LJ274" s="184">
        <v>1</v>
      </c>
      <c r="LK274" s="185"/>
      <c r="LL274" s="185"/>
      <c r="LM274" s="185"/>
      <c r="LN274" s="186"/>
      <c r="LW274" s="12"/>
      <c r="LX274" s="7"/>
    </row>
    <row r="275" spans="3:336" ht="5.0999999999999996" customHeight="1" x14ac:dyDescent="0.3">
      <c r="C275" s="11"/>
      <c r="D275" s="13"/>
      <c r="FJ275" s="332"/>
      <c r="FK275" s="333"/>
      <c r="FL275" s="333"/>
      <c r="FM275" s="333"/>
      <c r="FN275" s="333"/>
      <c r="FO275" s="333"/>
      <c r="FP275" s="333"/>
      <c r="FQ275" s="333"/>
      <c r="FR275" s="333"/>
      <c r="FS275" s="333"/>
      <c r="FT275" s="333"/>
      <c r="FU275" s="333"/>
      <c r="FV275" s="333"/>
      <c r="FW275" s="333"/>
      <c r="FX275" s="333"/>
      <c r="FY275" s="333"/>
      <c r="FZ275" s="333"/>
      <c r="GA275" s="333"/>
      <c r="GB275" s="333"/>
      <c r="GC275" s="333"/>
      <c r="GD275" s="333"/>
      <c r="GE275" s="333"/>
      <c r="GF275" s="333"/>
      <c r="GG275" s="333"/>
      <c r="GH275" s="333"/>
      <c r="GI275" s="333"/>
      <c r="GJ275" s="333"/>
      <c r="GK275" s="333"/>
      <c r="GL275" s="333"/>
      <c r="GM275" s="333"/>
      <c r="GN275" s="333"/>
      <c r="GO275" s="333"/>
      <c r="GP275" s="333"/>
      <c r="GQ275" s="333"/>
      <c r="GR275" s="333"/>
      <c r="GS275" s="333"/>
      <c r="GT275" s="333"/>
      <c r="GU275" s="333"/>
      <c r="GV275" s="333"/>
      <c r="GW275" s="333"/>
      <c r="GX275" s="333"/>
      <c r="GY275" s="333"/>
      <c r="GZ275" s="333"/>
      <c r="HA275" s="333"/>
      <c r="HB275" s="333"/>
      <c r="HC275" s="333"/>
      <c r="HD275" s="333"/>
      <c r="HE275" s="333"/>
      <c r="HF275" s="333"/>
      <c r="HG275" s="334"/>
      <c r="HH275" s="287"/>
      <c r="HI275" s="288"/>
      <c r="HJ275" s="288"/>
      <c r="HK275" s="288"/>
      <c r="HL275" s="288"/>
      <c r="HM275" s="288"/>
      <c r="HN275" s="288"/>
      <c r="HO275" s="288"/>
      <c r="HP275" s="288"/>
      <c r="HQ275" s="288"/>
      <c r="HR275" s="288"/>
      <c r="HS275" s="289"/>
      <c r="JM275" s="154"/>
      <c r="JU275" s="187"/>
      <c r="JV275" s="188"/>
      <c r="JW275" s="188"/>
      <c r="JX275" s="188"/>
      <c r="JY275" s="188"/>
      <c r="JZ275" s="188"/>
      <c r="KA275" s="188"/>
      <c r="KB275" s="188"/>
      <c r="KC275" s="188"/>
      <c r="KD275" s="188"/>
      <c r="KE275" s="188"/>
      <c r="KF275" s="188"/>
      <c r="KG275" s="188"/>
      <c r="KH275" s="188"/>
      <c r="KI275" s="188"/>
      <c r="KJ275" s="188"/>
      <c r="KK275" s="188"/>
      <c r="KL275" s="188"/>
      <c r="KM275" s="188"/>
      <c r="KN275" s="188"/>
      <c r="KO275" s="188"/>
      <c r="KP275" s="188"/>
      <c r="KQ275" s="188"/>
      <c r="KR275" s="188"/>
      <c r="KS275" s="188"/>
      <c r="KT275" s="188"/>
      <c r="KU275" s="188"/>
      <c r="KV275" s="188"/>
      <c r="KW275" s="188"/>
      <c r="KX275" s="188"/>
      <c r="KY275" s="188"/>
      <c r="KZ275" s="188"/>
      <c r="LA275" s="188"/>
      <c r="LB275" s="188"/>
      <c r="LC275" s="188"/>
      <c r="LD275" s="188"/>
      <c r="LE275" s="188"/>
      <c r="LF275" s="188"/>
      <c r="LG275" s="188"/>
      <c r="LH275" s="188"/>
      <c r="LI275" s="189"/>
      <c r="LJ275" s="187"/>
      <c r="LK275" s="188"/>
      <c r="LL275" s="188"/>
      <c r="LM275" s="188"/>
      <c r="LN275" s="189"/>
      <c r="LW275" s="12"/>
      <c r="LX275" s="7"/>
    </row>
    <row r="276" spans="3:336" ht="5.0999999999999996" customHeight="1" x14ac:dyDescent="0.3">
      <c r="C276" s="11"/>
      <c r="D276" s="13"/>
      <c r="FJ276" s="332"/>
      <c r="FK276" s="333"/>
      <c r="FL276" s="333"/>
      <c r="FM276" s="333"/>
      <c r="FN276" s="333"/>
      <c r="FO276" s="333"/>
      <c r="FP276" s="333"/>
      <c r="FQ276" s="333"/>
      <c r="FR276" s="333"/>
      <c r="FS276" s="333"/>
      <c r="FT276" s="333"/>
      <c r="FU276" s="333"/>
      <c r="FV276" s="333"/>
      <c r="FW276" s="333"/>
      <c r="FX276" s="333"/>
      <c r="FY276" s="333"/>
      <c r="FZ276" s="333"/>
      <c r="GA276" s="333"/>
      <c r="GB276" s="333"/>
      <c r="GC276" s="333"/>
      <c r="GD276" s="333"/>
      <c r="GE276" s="333"/>
      <c r="GF276" s="333"/>
      <c r="GG276" s="333"/>
      <c r="GH276" s="333"/>
      <c r="GI276" s="333"/>
      <c r="GJ276" s="333"/>
      <c r="GK276" s="333"/>
      <c r="GL276" s="333"/>
      <c r="GM276" s="333"/>
      <c r="GN276" s="333"/>
      <c r="GO276" s="333"/>
      <c r="GP276" s="333"/>
      <c r="GQ276" s="333"/>
      <c r="GR276" s="333"/>
      <c r="GS276" s="333"/>
      <c r="GT276" s="333"/>
      <c r="GU276" s="333"/>
      <c r="GV276" s="333"/>
      <c r="GW276" s="333"/>
      <c r="GX276" s="333"/>
      <c r="GY276" s="333"/>
      <c r="GZ276" s="333"/>
      <c r="HA276" s="333"/>
      <c r="HB276" s="333"/>
      <c r="HC276" s="333"/>
      <c r="HD276" s="333"/>
      <c r="HE276" s="333"/>
      <c r="HF276" s="333"/>
      <c r="HG276" s="334"/>
      <c r="HH276" s="287"/>
      <c r="HI276" s="288"/>
      <c r="HJ276" s="288"/>
      <c r="HK276" s="288"/>
      <c r="HL276" s="288"/>
      <c r="HM276" s="288"/>
      <c r="HN276" s="288"/>
      <c r="HO276" s="288"/>
      <c r="HP276" s="288"/>
      <c r="HQ276" s="288"/>
      <c r="HR276" s="288"/>
      <c r="HS276" s="289"/>
      <c r="JM276" s="154"/>
      <c r="JU276" s="187"/>
      <c r="JV276" s="188"/>
      <c r="JW276" s="188"/>
      <c r="JX276" s="188"/>
      <c r="JY276" s="188"/>
      <c r="JZ276" s="188"/>
      <c r="KA276" s="188"/>
      <c r="KB276" s="188"/>
      <c r="KC276" s="188"/>
      <c r="KD276" s="188"/>
      <c r="KE276" s="188"/>
      <c r="KF276" s="188"/>
      <c r="KG276" s="188"/>
      <c r="KH276" s="188"/>
      <c r="KI276" s="188"/>
      <c r="KJ276" s="188"/>
      <c r="KK276" s="188"/>
      <c r="KL276" s="188"/>
      <c r="KM276" s="188"/>
      <c r="KN276" s="188"/>
      <c r="KO276" s="188"/>
      <c r="KP276" s="188"/>
      <c r="KQ276" s="188"/>
      <c r="KR276" s="188"/>
      <c r="KS276" s="188"/>
      <c r="KT276" s="188"/>
      <c r="KU276" s="188"/>
      <c r="KV276" s="188"/>
      <c r="KW276" s="188"/>
      <c r="KX276" s="188"/>
      <c r="KY276" s="188"/>
      <c r="KZ276" s="188"/>
      <c r="LA276" s="188"/>
      <c r="LB276" s="188"/>
      <c r="LC276" s="188"/>
      <c r="LD276" s="188"/>
      <c r="LE276" s="188"/>
      <c r="LF276" s="188"/>
      <c r="LG276" s="188"/>
      <c r="LH276" s="188"/>
      <c r="LI276" s="189"/>
      <c r="LJ276" s="187"/>
      <c r="LK276" s="188"/>
      <c r="LL276" s="188"/>
      <c r="LM276" s="188"/>
      <c r="LN276" s="189"/>
      <c r="LW276" s="12"/>
      <c r="LX276" s="7"/>
    </row>
    <row r="277" spans="3:336" ht="5.0999999999999996" customHeight="1" x14ac:dyDescent="0.3">
      <c r="C277" s="11"/>
      <c r="D277" s="13"/>
      <c r="FJ277" s="332"/>
      <c r="FK277" s="333"/>
      <c r="FL277" s="333"/>
      <c r="FM277" s="333"/>
      <c r="FN277" s="333"/>
      <c r="FO277" s="333"/>
      <c r="FP277" s="333"/>
      <c r="FQ277" s="333"/>
      <c r="FR277" s="333"/>
      <c r="FS277" s="333"/>
      <c r="FT277" s="333"/>
      <c r="FU277" s="333"/>
      <c r="FV277" s="333"/>
      <c r="FW277" s="333"/>
      <c r="FX277" s="333"/>
      <c r="FY277" s="333"/>
      <c r="FZ277" s="333"/>
      <c r="GA277" s="333"/>
      <c r="GB277" s="333"/>
      <c r="GC277" s="333"/>
      <c r="GD277" s="333"/>
      <c r="GE277" s="333"/>
      <c r="GF277" s="333"/>
      <c r="GG277" s="333"/>
      <c r="GH277" s="333"/>
      <c r="GI277" s="333"/>
      <c r="GJ277" s="333"/>
      <c r="GK277" s="333"/>
      <c r="GL277" s="333"/>
      <c r="GM277" s="333"/>
      <c r="GN277" s="333"/>
      <c r="GO277" s="333"/>
      <c r="GP277" s="333"/>
      <c r="GQ277" s="333"/>
      <c r="GR277" s="333"/>
      <c r="GS277" s="333"/>
      <c r="GT277" s="333"/>
      <c r="GU277" s="333"/>
      <c r="GV277" s="333"/>
      <c r="GW277" s="333"/>
      <c r="GX277" s="333"/>
      <c r="GY277" s="333"/>
      <c r="GZ277" s="333"/>
      <c r="HA277" s="333"/>
      <c r="HB277" s="333"/>
      <c r="HC277" s="333"/>
      <c r="HD277" s="333"/>
      <c r="HE277" s="333"/>
      <c r="HF277" s="333"/>
      <c r="HG277" s="334"/>
      <c r="HH277" s="287"/>
      <c r="HI277" s="288"/>
      <c r="HJ277" s="288"/>
      <c r="HK277" s="288"/>
      <c r="HL277" s="288"/>
      <c r="HM277" s="288"/>
      <c r="HN277" s="288"/>
      <c r="HO277" s="288"/>
      <c r="HP277" s="288"/>
      <c r="HQ277" s="288"/>
      <c r="HR277" s="288"/>
      <c r="HS277" s="289"/>
      <c r="JM277" s="154"/>
      <c r="JU277" s="187"/>
      <c r="JV277" s="188"/>
      <c r="JW277" s="188"/>
      <c r="JX277" s="188"/>
      <c r="JY277" s="188"/>
      <c r="JZ277" s="188"/>
      <c r="KA277" s="188"/>
      <c r="KB277" s="188"/>
      <c r="KC277" s="188"/>
      <c r="KD277" s="188"/>
      <c r="KE277" s="188"/>
      <c r="KF277" s="188"/>
      <c r="KG277" s="188"/>
      <c r="KH277" s="188"/>
      <c r="KI277" s="188"/>
      <c r="KJ277" s="188"/>
      <c r="KK277" s="188"/>
      <c r="KL277" s="188"/>
      <c r="KM277" s="188"/>
      <c r="KN277" s="188"/>
      <c r="KO277" s="188"/>
      <c r="KP277" s="188"/>
      <c r="KQ277" s="188"/>
      <c r="KR277" s="188"/>
      <c r="KS277" s="188"/>
      <c r="KT277" s="188"/>
      <c r="KU277" s="188"/>
      <c r="KV277" s="188"/>
      <c r="KW277" s="188"/>
      <c r="KX277" s="188"/>
      <c r="KY277" s="188"/>
      <c r="KZ277" s="188"/>
      <c r="LA277" s="188"/>
      <c r="LB277" s="188"/>
      <c r="LC277" s="188"/>
      <c r="LD277" s="188"/>
      <c r="LE277" s="188"/>
      <c r="LF277" s="188"/>
      <c r="LG277" s="188"/>
      <c r="LH277" s="188"/>
      <c r="LI277" s="189"/>
      <c r="LJ277" s="187"/>
      <c r="LK277" s="188"/>
      <c r="LL277" s="188"/>
      <c r="LM277" s="188"/>
      <c r="LN277" s="189"/>
      <c r="LW277" s="12"/>
      <c r="LX277" s="7"/>
    </row>
    <row r="278" spans="3:336" ht="5.0999999999999996" customHeight="1" x14ac:dyDescent="0.3">
      <c r="C278" s="11"/>
      <c r="D278" s="13"/>
      <c r="FJ278" s="332"/>
      <c r="FK278" s="333"/>
      <c r="FL278" s="333"/>
      <c r="FM278" s="333"/>
      <c r="FN278" s="333"/>
      <c r="FO278" s="333"/>
      <c r="FP278" s="333"/>
      <c r="FQ278" s="333"/>
      <c r="FR278" s="333"/>
      <c r="FS278" s="333"/>
      <c r="FT278" s="333"/>
      <c r="FU278" s="333"/>
      <c r="FV278" s="333"/>
      <c r="FW278" s="333"/>
      <c r="FX278" s="333"/>
      <c r="FY278" s="333"/>
      <c r="FZ278" s="333"/>
      <c r="GA278" s="333"/>
      <c r="GB278" s="333"/>
      <c r="GC278" s="333"/>
      <c r="GD278" s="333"/>
      <c r="GE278" s="333"/>
      <c r="GF278" s="333"/>
      <c r="GG278" s="333"/>
      <c r="GH278" s="333"/>
      <c r="GI278" s="333"/>
      <c r="GJ278" s="333"/>
      <c r="GK278" s="333"/>
      <c r="GL278" s="333"/>
      <c r="GM278" s="333"/>
      <c r="GN278" s="333"/>
      <c r="GO278" s="333"/>
      <c r="GP278" s="333"/>
      <c r="GQ278" s="333"/>
      <c r="GR278" s="333"/>
      <c r="GS278" s="333"/>
      <c r="GT278" s="333"/>
      <c r="GU278" s="333"/>
      <c r="GV278" s="333"/>
      <c r="GW278" s="333"/>
      <c r="GX278" s="333"/>
      <c r="GY278" s="333"/>
      <c r="GZ278" s="333"/>
      <c r="HA278" s="333"/>
      <c r="HB278" s="333"/>
      <c r="HC278" s="333"/>
      <c r="HD278" s="333"/>
      <c r="HE278" s="333"/>
      <c r="HF278" s="333"/>
      <c r="HG278" s="334"/>
      <c r="HH278" s="287"/>
      <c r="HI278" s="288"/>
      <c r="HJ278" s="288"/>
      <c r="HK278" s="288"/>
      <c r="HL278" s="288"/>
      <c r="HM278" s="288"/>
      <c r="HN278" s="288"/>
      <c r="HO278" s="288"/>
      <c r="HP278" s="288"/>
      <c r="HQ278" s="288"/>
      <c r="HR278" s="288"/>
      <c r="HS278" s="289"/>
      <c r="JM278" s="154"/>
      <c r="JU278" s="187"/>
      <c r="JV278" s="188"/>
      <c r="JW278" s="188"/>
      <c r="JX278" s="188"/>
      <c r="JY278" s="188"/>
      <c r="JZ278" s="188"/>
      <c r="KA278" s="188"/>
      <c r="KB278" s="188"/>
      <c r="KC278" s="188"/>
      <c r="KD278" s="188"/>
      <c r="KE278" s="188"/>
      <c r="KF278" s="188"/>
      <c r="KG278" s="188"/>
      <c r="KH278" s="188"/>
      <c r="KI278" s="188"/>
      <c r="KJ278" s="188"/>
      <c r="KK278" s="188"/>
      <c r="KL278" s="188"/>
      <c r="KM278" s="188"/>
      <c r="KN278" s="188"/>
      <c r="KO278" s="188"/>
      <c r="KP278" s="188"/>
      <c r="KQ278" s="188"/>
      <c r="KR278" s="188"/>
      <c r="KS278" s="188"/>
      <c r="KT278" s="188"/>
      <c r="KU278" s="188"/>
      <c r="KV278" s="188"/>
      <c r="KW278" s="188"/>
      <c r="KX278" s="188"/>
      <c r="KY278" s="188"/>
      <c r="KZ278" s="188"/>
      <c r="LA278" s="188"/>
      <c r="LB278" s="188"/>
      <c r="LC278" s="188"/>
      <c r="LD278" s="188"/>
      <c r="LE278" s="188"/>
      <c r="LF278" s="188"/>
      <c r="LG278" s="188"/>
      <c r="LH278" s="188"/>
      <c r="LI278" s="189"/>
      <c r="LJ278" s="187"/>
      <c r="LK278" s="188"/>
      <c r="LL278" s="188"/>
      <c r="LM278" s="188"/>
      <c r="LN278" s="189"/>
      <c r="LW278" s="12"/>
      <c r="LX278" s="7"/>
    </row>
    <row r="279" spans="3:336" ht="5.0999999999999996" customHeight="1" thickBot="1" x14ac:dyDescent="0.35">
      <c r="C279" s="11"/>
      <c r="D279" s="13"/>
      <c r="FJ279" s="335"/>
      <c r="FK279" s="336"/>
      <c r="FL279" s="336"/>
      <c r="FM279" s="336"/>
      <c r="FN279" s="336"/>
      <c r="FO279" s="336"/>
      <c r="FP279" s="336"/>
      <c r="FQ279" s="336"/>
      <c r="FR279" s="336"/>
      <c r="FS279" s="336"/>
      <c r="FT279" s="336"/>
      <c r="FU279" s="336"/>
      <c r="FV279" s="336"/>
      <c r="FW279" s="336"/>
      <c r="FX279" s="336"/>
      <c r="FY279" s="336"/>
      <c r="FZ279" s="336"/>
      <c r="GA279" s="336"/>
      <c r="GB279" s="336"/>
      <c r="GC279" s="336"/>
      <c r="GD279" s="336"/>
      <c r="GE279" s="336"/>
      <c r="GF279" s="336"/>
      <c r="GG279" s="336"/>
      <c r="GH279" s="336"/>
      <c r="GI279" s="336"/>
      <c r="GJ279" s="336"/>
      <c r="GK279" s="336"/>
      <c r="GL279" s="336"/>
      <c r="GM279" s="336"/>
      <c r="GN279" s="336"/>
      <c r="GO279" s="336"/>
      <c r="GP279" s="336"/>
      <c r="GQ279" s="336"/>
      <c r="GR279" s="336"/>
      <c r="GS279" s="336"/>
      <c r="GT279" s="336"/>
      <c r="GU279" s="336"/>
      <c r="GV279" s="336"/>
      <c r="GW279" s="336"/>
      <c r="GX279" s="336"/>
      <c r="GY279" s="336"/>
      <c r="GZ279" s="336"/>
      <c r="HA279" s="336"/>
      <c r="HB279" s="336"/>
      <c r="HC279" s="336"/>
      <c r="HD279" s="336"/>
      <c r="HE279" s="336"/>
      <c r="HF279" s="336"/>
      <c r="HG279" s="337"/>
      <c r="HH279" s="290"/>
      <c r="HI279" s="291"/>
      <c r="HJ279" s="291"/>
      <c r="HK279" s="291"/>
      <c r="HL279" s="291"/>
      <c r="HM279" s="291"/>
      <c r="HN279" s="291"/>
      <c r="HO279" s="291"/>
      <c r="HP279" s="291"/>
      <c r="HQ279" s="291"/>
      <c r="HR279" s="291"/>
      <c r="HS279" s="292"/>
      <c r="JM279" s="154"/>
      <c r="JU279" s="187"/>
      <c r="JV279" s="188"/>
      <c r="JW279" s="188"/>
      <c r="JX279" s="188"/>
      <c r="JY279" s="188"/>
      <c r="JZ279" s="188"/>
      <c r="KA279" s="188"/>
      <c r="KB279" s="188"/>
      <c r="KC279" s="188"/>
      <c r="KD279" s="188"/>
      <c r="KE279" s="188"/>
      <c r="KF279" s="188"/>
      <c r="KG279" s="188"/>
      <c r="KH279" s="188"/>
      <c r="KI279" s="188"/>
      <c r="KJ279" s="188"/>
      <c r="KK279" s="188"/>
      <c r="KL279" s="188"/>
      <c r="KM279" s="188"/>
      <c r="KN279" s="188"/>
      <c r="KO279" s="188"/>
      <c r="KP279" s="188"/>
      <c r="KQ279" s="188"/>
      <c r="KR279" s="188"/>
      <c r="KS279" s="188"/>
      <c r="KT279" s="188"/>
      <c r="KU279" s="188"/>
      <c r="KV279" s="188"/>
      <c r="KW279" s="188"/>
      <c r="KX279" s="188"/>
      <c r="KY279" s="188"/>
      <c r="KZ279" s="188"/>
      <c r="LA279" s="188"/>
      <c r="LB279" s="188"/>
      <c r="LC279" s="188"/>
      <c r="LD279" s="188"/>
      <c r="LE279" s="188"/>
      <c r="LF279" s="188"/>
      <c r="LG279" s="188"/>
      <c r="LH279" s="188"/>
      <c r="LI279" s="189"/>
      <c r="LJ279" s="187"/>
      <c r="LK279" s="188"/>
      <c r="LL279" s="188"/>
      <c r="LM279" s="188"/>
      <c r="LN279" s="189"/>
      <c r="LW279" s="12"/>
      <c r="LX279" s="7"/>
    </row>
    <row r="280" spans="3:336" ht="5.0999999999999996" customHeight="1" x14ac:dyDescent="0.3">
      <c r="C280" s="11"/>
      <c r="D280" s="13"/>
      <c r="FJ280" s="329" t="s">
        <v>1</v>
      </c>
      <c r="FK280" s="330"/>
      <c r="FL280" s="330"/>
      <c r="FM280" s="330"/>
      <c r="FN280" s="330"/>
      <c r="FO280" s="330"/>
      <c r="FP280" s="330"/>
      <c r="FQ280" s="330"/>
      <c r="FR280" s="330"/>
      <c r="FS280" s="330"/>
      <c r="FT280" s="330"/>
      <c r="FU280" s="330"/>
      <c r="FV280" s="330"/>
      <c r="FW280" s="330"/>
      <c r="FX280" s="330"/>
      <c r="FY280" s="330"/>
      <c r="FZ280" s="330"/>
      <c r="GA280" s="330"/>
      <c r="GB280" s="330"/>
      <c r="GC280" s="330"/>
      <c r="GD280" s="330"/>
      <c r="GE280" s="330"/>
      <c r="GF280" s="330"/>
      <c r="GG280" s="330"/>
      <c r="GH280" s="330"/>
      <c r="GI280" s="330"/>
      <c r="GJ280" s="330"/>
      <c r="GK280" s="330"/>
      <c r="GL280" s="330"/>
      <c r="GM280" s="330"/>
      <c r="GN280" s="330"/>
      <c r="GO280" s="330"/>
      <c r="GP280" s="330"/>
      <c r="GQ280" s="330"/>
      <c r="GR280" s="330"/>
      <c r="GS280" s="330"/>
      <c r="GT280" s="330"/>
      <c r="GU280" s="330"/>
      <c r="GV280" s="330"/>
      <c r="GW280" s="330"/>
      <c r="GX280" s="330"/>
      <c r="GY280" s="330"/>
      <c r="GZ280" s="330"/>
      <c r="HA280" s="330"/>
      <c r="HB280" s="330"/>
      <c r="HC280" s="330"/>
      <c r="HD280" s="330"/>
      <c r="HE280" s="330"/>
      <c r="HF280" s="330"/>
      <c r="HG280" s="331"/>
      <c r="HH280" s="284">
        <f>JB139</f>
        <v>50</v>
      </c>
      <c r="HI280" s="285"/>
      <c r="HJ280" s="285"/>
      <c r="HK280" s="285"/>
      <c r="HL280" s="285"/>
      <c r="HM280" s="285">
        <f>CY148</f>
        <v>0</v>
      </c>
      <c r="HN280" s="285"/>
      <c r="HO280" s="285"/>
      <c r="HP280" s="285"/>
      <c r="HQ280" s="285"/>
      <c r="HR280" s="285"/>
      <c r="HS280" s="286"/>
      <c r="JM280" s="154"/>
      <c r="JU280" s="187"/>
      <c r="JV280" s="188"/>
      <c r="JW280" s="188"/>
      <c r="JX280" s="188"/>
      <c r="JY280" s="188"/>
      <c r="JZ280" s="188"/>
      <c r="KA280" s="188"/>
      <c r="KB280" s="188"/>
      <c r="KC280" s="188"/>
      <c r="KD280" s="188"/>
      <c r="KE280" s="188"/>
      <c r="KF280" s="188"/>
      <c r="KG280" s="188"/>
      <c r="KH280" s="188"/>
      <c r="KI280" s="188"/>
      <c r="KJ280" s="188"/>
      <c r="KK280" s="188"/>
      <c r="KL280" s="188"/>
      <c r="KM280" s="188"/>
      <c r="KN280" s="188"/>
      <c r="KO280" s="188"/>
      <c r="KP280" s="188"/>
      <c r="KQ280" s="188"/>
      <c r="KR280" s="188"/>
      <c r="KS280" s="188"/>
      <c r="KT280" s="188"/>
      <c r="KU280" s="188"/>
      <c r="KV280" s="188"/>
      <c r="KW280" s="188"/>
      <c r="KX280" s="188"/>
      <c r="KY280" s="188"/>
      <c r="KZ280" s="188"/>
      <c r="LA280" s="188"/>
      <c r="LB280" s="188"/>
      <c r="LC280" s="188"/>
      <c r="LD280" s="188"/>
      <c r="LE280" s="188"/>
      <c r="LF280" s="188"/>
      <c r="LG280" s="188"/>
      <c r="LH280" s="188"/>
      <c r="LI280" s="189"/>
      <c r="LJ280" s="187"/>
      <c r="LK280" s="188"/>
      <c r="LL280" s="188"/>
      <c r="LM280" s="188"/>
      <c r="LN280" s="189"/>
      <c r="LW280" s="12"/>
      <c r="LX280" s="7"/>
    </row>
    <row r="281" spans="3:336" ht="5.0999999999999996" customHeight="1" x14ac:dyDescent="0.3">
      <c r="C281" s="11"/>
      <c r="D281" s="13"/>
      <c r="FJ281" s="332"/>
      <c r="FK281" s="333"/>
      <c r="FL281" s="333"/>
      <c r="FM281" s="333"/>
      <c r="FN281" s="333"/>
      <c r="FO281" s="333"/>
      <c r="FP281" s="333"/>
      <c r="FQ281" s="333"/>
      <c r="FR281" s="333"/>
      <c r="FS281" s="333"/>
      <c r="FT281" s="333"/>
      <c r="FU281" s="333"/>
      <c r="FV281" s="333"/>
      <c r="FW281" s="333"/>
      <c r="FX281" s="333"/>
      <c r="FY281" s="333"/>
      <c r="FZ281" s="333"/>
      <c r="GA281" s="333"/>
      <c r="GB281" s="333"/>
      <c r="GC281" s="333"/>
      <c r="GD281" s="333"/>
      <c r="GE281" s="333"/>
      <c r="GF281" s="333"/>
      <c r="GG281" s="333"/>
      <c r="GH281" s="333"/>
      <c r="GI281" s="333"/>
      <c r="GJ281" s="333"/>
      <c r="GK281" s="333"/>
      <c r="GL281" s="333"/>
      <c r="GM281" s="333"/>
      <c r="GN281" s="333"/>
      <c r="GO281" s="333"/>
      <c r="GP281" s="333"/>
      <c r="GQ281" s="333"/>
      <c r="GR281" s="333"/>
      <c r="GS281" s="333"/>
      <c r="GT281" s="333"/>
      <c r="GU281" s="333"/>
      <c r="GV281" s="333"/>
      <c r="GW281" s="333"/>
      <c r="GX281" s="333"/>
      <c r="GY281" s="333"/>
      <c r="GZ281" s="333"/>
      <c r="HA281" s="333"/>
      <c r="HB281" s="333"/>
      <c r="HC281" s="333"/>
      <c r="HD281" s="333"/>
      <c r="HE281" s="333"/>
      <c r="HF281" s="333"/>
      <c r="HG281" s="334"/>
      <c r="HH281" s="287"/>
      <c r="HI281" s="288"/>
      <c r="HJ281" s="288"/>
      <c r="HK281" s="288"/>
      <c r="HL281" s="288"/>
      <c r="HM281" s="288"/>
      <c r="HN281" s="288"/>
      <c r="HO281" s="288"/>
      <c r="HP281" s="288"/>
      <c r="HQ281" s="288"/>
      <c r="HR281" s="288"/>
      <c r="HS281" s="289"/>
      <c r="JM281" s="154"/>
      <c r="JU281" s="187"/>
      <c r="JV281" s="188"/>
      <c r="JW281" s="188"/>
      <c r="JX281" s="188"/>
      <c r="JY281" s="188"/>
      <c r="JZ281" s="188"/>
      <c r="KA281" s="188"/>
      <c r="KB281" s="188"/>
      <c r="KC281" s="188"/>
      <c r="KD281" s="188"/>
      <c r="KE281" s="188"/>
      <c r="KF281" s="188"/>
      <c r="KG281" s="188"/>
      <c r="KH281" s="188"/>
      <c r="KI281" s="188"/>
      <c r="KJ281" s="188"/>
      <c r="KK281" s="188"/>
      <c r="KL281" s="188"/>
      <c r="KM281" s="188"/>
      <c r="KN281" s="188"/>
      <c r="KO281" s="188"/>
      <c r="KP281" s="188"/>
      <c r="KQ281" s="188"/>
      <c r="KR281" s="188"/>
      <c r="KS281" s="188"/>
      <c r="KT281" s="188"/>
      <c r="KU281" s="188"/>
      <c r="KV281" s="188"/>
      <c r="KW281" s="188"/>
      <c r="KX281" s="188"/>
      <c r="KY281" s="188"/>
      <c r="KZ281" s="188"/>
      <c r="LA281" s="188"/>
      <c r="LB281" s="188"/>
      <c r="LC281" s="188"/>
      <c r="LD281" s="188"/>
      <c r="LE281" s="188"/>
      <c r="LF281" s="188"/>
      <c r="LG281" s="188"/>
      <c r="LH281" s="188"/>
      <c r="LI281" s="189"/>
      <c r="LJ281" s="187"/>
      <c r="LK281" s="188"/>
      <c r="LL281" s="188"/>
      <c r="LM281" s="188"/>
      <c r="LN281" s="189"/>
      <c r="LW281" s="12"/>
      <c r="LX281" s="7"/>
    </row>
    <row r="282" spans="3:336" ht="5.0999999999999996" customHeight="1" x14ac:dyDescent="0.3">
      <c r="C282" s="11"/>
      <c r="D282" s="13"/>
      <c r="FJ282" s="332"/>
      <c r="FK282" s="333"/>
      <c r="FL282" s="333"/>
      <c r="FM282" s="333"/>
      <c r="FN282" s="333"/>
      <c r="FO282" s="333"/>
      <c r="FP282" s="333"/>
      <c r="FQ282" s="333"/>
      <c r="FR282" s="333"/>
      <c r="FS282" s="333"/>
      <c r="FT282" s="333"/>
      <c r="FU282" s="333"/>
      <c r="FV282" s="333"/>
      <c r="FW282" s="333"/>
      <c r="FX282" s="333"/>
      <c r="FY282" s="333"/>
      <c r="FZ282" s="333"/>
      <c r="GA282" s="333"/>
      <c r="GB282" s="333"/>
      <c r="GC282" s="333"/>
      <c r="GD282" s="333"/>
      <c r="GE282" s="333"/>
      <c r="GF282" s="333"/>
      <c r="GG282" s="333"/>
      <c r="GH282" s="333"/>
      <c r="GI282" s="333"/>
      <c r="GJ282" s="333"/>
      <c r="GK282" s="333"/>
      <c r="GL282" s="333"/>
      <c r="GM282" s="333"/>
      <c r="GN282" s="333"/>
      <c r="GO282" s="333"/>
      <c r="GP282" s="333"/>
      <c r="GQ282" s="333"/>
      <c r="GR282" s="333"/>
      <c r="GS282" s="333"/>
      <c r="GT282" s="333"/>
      <c r="GU282" s="333"/>
      <c r="GV282" s="333"/>
      <c r="GW282" s="333"/>
      <c r="GX282" s="333"/>
      <c r="GY282" s="333"/>
      <c r="GZ282" s="333"/>
      <c r="HA282" s="333"/>
      <c r="HB282" s="333"/>
      <c r="HC282" s="333"/>
      <c r="HD282" s="333"/>
      <c r="HE282" s="333"/>
      <c r="HF282" s="333"/>
      <c r="HG282" s="334"/>
      <c r="HH282" s="287"/>
      <c r="HI282" s="288"/>
      <c r="HJ282" s="288"/>
      <c r="HK282" s="288"/>
      <c r="HL282" s="288"/>
      <c r="HM282" s="288"/>
      <c r="HN282" s="288"/>
      <c r="HO282" s="288"/>
      <c r="HP282" s="288"/>
      <c r="HQ282" s="288"/>
      <c r="HR282" s="288"/>
      <c r="HS282" s="289"/>
      <c r="JM282" s="154"/>
      <c r="JU282" s="187"/>
      <c r="JV282" s="188"/>
      <c r="JW282" s="188"/>
      <c r="JX282" s="188"/>
      <c r="JY282" s="188"/>
      <c r="JZ282" s="188"/>
      <c r="KA282" s="188"/>
      <c r="KB282" s="188"/>
      <c r="KC282" s="188"/>
      <c r="KD282" s="188"/>
      <c r="KE282" s="188"/>
      <c r="KF282" s="188"/>
      <c r="KG282" s="188"/>
      <c r="KH282" s="188"/>
      <c r="KI282" s="188"/>
      <c r="KJ282" s="188"/>
      <c r="KK282" s="188"/>
      <c r="KL282" s="188"/>
      <c r="KM282" s="188"/>
      <c r="KN282" s="188"/>
      <c r="KO282" s="188"/>
      <c r="KP282" s="188"/>
      <c r="KQ282" s="188"/>
      <c r="KR282" s="188"/>
      <c r="KS282" s="188"/>
      <c r="KT282" s="188"/>
      <c r="KU282" s="188"/>
      <c r="KV282" s="188"/>
      <c r="KW282" s="188"/>
      <c r="KX282" s="188"/>
      <c r="KY282" s="188"/>
      <c r="KZ282" s="188"/>
      <c r="LA282" s="188"/>
      <c r="LB282" s="188"/>
      <c r="LC282" s="188"/>
      <c r="LD282" s="188"/>
      <c r="LE282" s="188"/>
      <c r="LF282" s="188"/>
      <c r="LG282" s="188"/>
      <c r="LH282" s="188"/>
      <c r="LI282" s="189"/>
      <c r="LJ282" s="187"/>
      <c r="LK282" s="188"/>
      <c r="LL282" s="188"/>
      <c r="LM282" s="188"/>
      <c r="LN282" s="189"/>
      <c r="LW282" s="12"/>
      <c r="LX282" s="7"/>
    </row>
    <row r="283" spans="3:336" ht="5.0999999999999996" customHeight="1" x14ac:dyDescent="0.3">
      <c r="C283" s="11"/>
      <c r="D283" s="13"/>
      <c r="FJ283" s="332"/>
      <c r="FK283" s="333"/>
      <c r="FL283" s="333"/>
      <c r="FM283" s="333"/>
      <c r="FN283" s="333"/>
      <c r="FO283" s="333"/>
      <c r="FP283" s="333"/>
      <c r="FQ283" s="333"/>
      <c r="FR283" s="333"/>
      <c r="FS283" s="333"/>
      <c r="FT283" s="333"/>
      <c r="FU283" s="333"/>
      <c r="FV283" s="333"/>
      <c r="FW283" s="333"/>
      <c r="FX283" s="333"/>
      <c r="FY283" s="333"/>
      <c r="FZ283" s="333"/>
      <c r="GA283" s="333"/>
      <c r="GB283" s="333"/>
      <c r="GC283" s="333"/>
      <c r="GD283" s="333"/>
      <c r="GE283" s="333"/>
      <c r="GF283" s="333"/>
      <c r="GG283" s="333"/>
      <c r="GH283" s="333"/>
      <c r="GI283" s="333"/>
      <c r="GJ283" s="333"/>
      <c r="GK283" s="333"/>
      <c r="GL283" s="333"/>
      <c r="GM283" s="333"/>
      <c r="GN283" s="333"/>
      <c r="GO283" s="333"/>
      <c r="GP283" s="333"/>
      <c r="GQ283" s="333"/>
      <c r="GR283" s="333"/>
      <c r="GS283" s="333"/>
      <c r="GT283" s="333"/>
      <c r="GU283" s="333"/>
      <c r="GV283" s="333"/>
      <c r="GW283" s="333"/>
      <c r="GX283" s="333"/>
      <c r="GY283" s="333"/>
      <c r="GZ283" s="333"/>
      <c r="HA283" s="333"/>
      <c r="HB283" s="333"/>
      <c r="HC283" s="333"/>
      <c r="HD283" s="333"/>
      <c r="HE283" s="333"/>
      <c r="HF283" s="333"/>
      <c r="HG283" s="334"/>
      <c r="HH283" s="287"/>
      <c r="HI283" s="288"/>
      <c r="HJ283" s="288"/>
      <c r="HK283" s="288"/>
      <c r="HL283" s="288"/>
      <c r="HM283" s="288"/>
      <c r="HN283" s="288"/>
      <c r="HO283" s="288"/>
      <c r="HP283" s="288"/>
      <c r="HQ283" s="288"/>
      <c r="HR283" s="288"/>
      <c r="HS283" s="289"/>
      <c r="JM283" s="154"/>
      <c r="JU283" s="190"/>
      <c r="JV283" s="191"/>
      <c r="JW283" s="191"/>
      <c r="JX283" s="191"/>
      <c r="JY283" s="191"/>
      <c r="JZ283" s="191"/>
      <c r="KA283" s="191"/>
      <c r="KB283" s="191"/>
      <c r="KC283" s="191"/>
      <c r="KD283" s="191"/>
      <c r="KE283" s="191"/>
      <c r="KF283" s="191"/>
      <c r="KG283" s="191"/>
      <c r="KH283" s="191"/>
      <c r="KI283" s="191"/>
      <c r="KJ283" s="191"/>
      <c r="KK283" s="191"/>
      <c r="KL283" s="191"/>
      <c r="KM283" s="191"/>
      <c r="KN283" s="191"/>
      <c r="KO283" s="191"/>
      <c r="KP283" s="191"/>
      <c r="KQ283" s="191"/>
      <c r="KR283" s="191"/>
      <c r="KS283" s="191"/>
      <c r="KT283" s="191"/>
      <c r="KU283" s="191"/>
      <c r="KV283" s="191"/>
      <c r="KW283" s="191"/>
      <c r="KX283" s="191"/>
      <c r="KY283" s="191"/>
      <c r="KZ283" s="191"/>
      <c r="LA283" s="191"/>
      <c r="LB283" s="191"/>
      <c r="LC283" s="191"/>
      <c r="LD283" s="191"/>
      <c r="LE283" s="191"/>
      <c r="LF283" s="191"/>
      <c r="LG283" s="191"/>
      <c r="LH283" s="191"/>
      <c r="LI283" s="192"/>
      <c r="LJ283" s="190"/>
      <c r="LK283" s="191"/>
      <c r="LL283" s="191"/>
      <c r="LM283" s="191"/>
      <c r="LN283" s="192"/>
      <c r="LW283" s="12"/>
      <c r="LX283" s="7"/>
    </row>
    <row r="284" spans="3:336" ht="5.0999999999999996" customHeight="1" x14ac:dyDescent="0.3">
      <c r="C284" s="11"/>
      <c r="D284" s="13"/>
      <c r="FJ284" s="332"/>
      <c r="FK284" s="333"/>
      <c r="FL284" s="333"/>
      <c r="FM284" s="333"/>
      <c r="FN284" s="333"/>
      <c r="FO284" s="333"/>
      <c r="FP284" s="333"/>
      <c r="FQ284" s="333"/>
      <c r="FR284" s="333"/>
      <c r="FS284" s="333"/>
      <c r="FT284" s="333"/>
      <c r="FU284" s="333"/>
      <c r="FV284" s="333"/>
      <c r="FW284" s="333"/>
      <c r="FX284" s="333"/>
      <c r="FY284" s="333"/>
      <c r="FZ284" s="333"/>
      <c r="GA284" s="333"/>
      <c r="GB284" s="333"/>
      <c r="GC284" s="333"/>
      <c r="GD284" s="333"/>
      <c r="GE284" s="333"/>
      <c r="GF284" s="333"/>
      <c r="GG284" s="333"/>
      <c r="GH284" s="333"/>
      <c r="GI284" s="333"/>
      <c r="GJ284" s="333"/>
      <c r="GK284" s="333"/>
      <c r="GL284" s="333"/>
      <c r="GM284" s="333"/>
      <c r="GN284" s="333"/>
      <c r="GO284" s="333"/>
      <c r="GP284" s="333"/>
      <c r="GQ284" s="333"/>
      <c r="GR284" s="333"/>
      <c r="GS284" s="333"/>
      <c r="GT284" s="333"/>
      <c r="GU284" s="333"/>
      <c r="GV284" s="333"/>
      <c r="GW284" s="333"/>
      <c r="GX284" s="333"/>
      <c r="GY284" s="333"/>
      <c r="GZ284" s="333"/>
      <c r="HA284" s="333"/>
      <c r="HB284" s="333"/>
      <c r="HC284" s="333"/>
      <c r="HD284" s="333"/>
      <c r="HE284" s="333"/>
      <c r="HF284" s="333"/>
      <c r="HG284" s="334"/>
      <c r="HH284" s="287"/>
      <c r="HI284" s="288"/>
      <c r="HJ284" s="288"/>
      <c r="HK284" s="288"/>
      <c r="HL284" s="288"/>
      <c r="HM284" s="288"/>
      <c r="HN284" s="288"/>
      <c r="HO284" s="288"/>
      <c r="HP284" s="288"/>
      <c r="HQ284" s="288"/>
      <c r="HR284" s="288"/>
      <c r="HS284" s="289"/>
      <c r="JM284" s="154"/>
      <c r="LW284" s="12"/>
      <c r="LX284" s="7"/>
    </row>
    <row r="285" spans="3:336" ht="5.0999999999999996" customHeight="1" x14ac:dyDescent="0.3">
      <c r="C285" s="11"/>
      <c r="D285" s="13"/>
      <c r="FJ285" s="332"/>
      <c r="FK285" s="333"/>
      <c r="FL285" s="333"/>
      <c r="FM285" s="333"/>
      <c r="FN285" s="333"/>
      <c r="FO285" s="333"/>
      <c r="FP285" s="333"/>
      <c r="FQ285" s="333"/>
      <c r="FR285" s="333"/>
      <c r="FS285" s="333"/>
      <c r="FT285" s="333"/>
      <c r="FU285" s="333"/>
      <c r="FV285" s="333"/>
      <c r="FW285" s="333"/>
      <c r="FX285" s="333"/>
      <c r="FY285" s="333"/>
      <c r="FZ285" s="333"/>
      <c r="GA285" s="333"/>
      <c r="GB285" s="333"/>
      <c r="GC285" s="333"/>
      <c r="GD285" s="333"/>
      <c r="GE285" s="333"/>
      <c r="GF285" s="333"/>
      <c r="GG285" s="333"/>
      <c r="GH285" s="333"/>
      <c r="GI285" s="333"/>
      <c r="GJ285" s="333"/>
      <c r="GK285" s="333"/>
      <c r="GL285" s="333"/>
      <c r="GM285" s="333"/>
      <c r="GN285" s="333"/>
      <c r="GO285" s="333"/>
      <c r="GP285" s="333"/>
      <c r="GQ285" s="333"/>
      <c r="GR285" s="333"/>
      <c r="GS285" s="333"/>
      <c r="GT285" s="333"/>
      <c r="GU285" s="333"/>
      <c r="GV285" s="333"/>
      <c r="GW285" s="333"/>
      <c r="GX285" s="333"/>
      <c r="GY285" s="333"/>
      <c r="GZ285" s="333"/>
      <c r="HA285" s="333"/>
      <c r="HB285" s="333"/>
      <c r="HC285" s="333"/>
      <c r="HD285" s="333"/>
      <c r="HE285" s="333"/>
      <c r="HF285" s="333"/>
      <c r="HG285" s="334"/>
      <c r="HH285" s="287"/>
      <c r="HI285" s="288"/>
      <c r="HJ285" s="288"/>
      <c r="HK285" s="288"/>
      <c r="HL285" s="288"/>
      <c r="HM285" s="288"/>
      <c r="HN285" s="288"/>
      <c r="HO285" s="288"/>
      <c r="HP285" s="288"/>
      <c r="HQ285" s="288"/>
      <c r="HR285" s="288"/>
      <c r="HS285" s="289"/>
      <c r="JM285" s="154"/>
      <c r="LW285" s="12"/>
      <c r="LX285" s="7"/>
    </row>
    <row r="286" spans="3:336" ht="5.0999999999999996" customHeight="1" thickBot="1" x14ac:dyDescent="0.35">
      <c r="C286" s="11"/>
      <c r="D286" s="13"/>
      <c r="FJ286" s="335"/>
      <c r="FK286" s="336"/>
      <c r="FL286" s="336"/>
      <c r="FM286" s="336"/>
      <c r="FN286" s="336"/>
      <c r="FO286" s="336"/>
      <c r="FP286" s="336"/>
      <c r="FQ286" s="336"/>
      <c r="FR286" s="336"/>
      <c r="FS286" s="336"/>
      <c r="FT286" s="336"/>
      <c r="FU286" s="336"/>
      <c r="FV286" s="336"/>
      <c r="FW286" s="336"/>
      <c r="FX286" s="336"/>
      <c r="FY286" s="336"/>
      <c r="FZ286" s="336"/>
      <c r="GA286" s="336"/>
      <c r="GB286" s="336"/>
      <c r="GC286" s="336"/>
      <c r="GD286" s="336"/>
      <c r="GE286" s="336"/>
      <c r="GF286" s="336"/>
      <c r="GG286" s="336"/>
      <c r="GH286" s="336"/>
      <c r="GI286" s="336"/>
      <c r="GJ286" s="336"/>
      <c r="GK286" s="336"/>
      <c r="GL286" s="336"/>
      <c r="GM286" s="336"/>
      <c r="GN286" s="336"/>
      <c r="GO286" s="336"/>
      <c r="GP286" s="336"/>
      <c r="GQ286" s="336"/>
      <c r="GR286" s="336"/>
      <c r="GS286" s="336"/>
      <c r="GT286" s="336"/>
      <c r="GU286" s="336"/>
      <c r="GV286" s="336"/>
      <c r="GW286" s="336"/>
      <c r="GX286" s="336"/>
      <c r="GY286" s="336"/>
      <c r="GZ286" s="336"/>
      <c r="HA286" s="336"/>
      <c r="HB286" s="336"/>
      <c r="HC286" s="336"/>
      <c r="HD286" s="336"/>
      <c r="HE286" s="336"/>
      <c r="HF286" s="336"/>
      <c r="HG286" s="337"/>
      <c r="HH286" s="290"/>
      <c r="HI286" s="291"/>
      <c r="HJ286" s="291"/>
      <c r="HK286" s="291"/>
      <c r="HL286" s="291"/>
      <c r="HM286" s="291"/>
      <c r="HN286" s="291"/>
      <c r="HO286" s="291"/>
      <c r="HP286" s="291"/>
      <c r="HQ286" s="291"/>
      <c r="HR286" s="291"/>
      <c r="HS286" s="292"/>
      <c r="JM286" s="154"/>
      <c r="LW286" s="12"/>
      <c r="LX286" s="7"/>
    </row>
    <row r="287" spans="3:336" ht="5.0999999999999996" customHeight="1" x14ac:dyDescent="0.3">
      <c r="C287" s="11"/>
      <c r="D287" s="13"/>
      <c r="FJ287" s="329" t="s">
        <v>0</v>
      </c>
      <c r="FK287" s="330"/>
      <c r="FL287" s="330"/>
      <c r="FM287" s="330"/>
      <c r="FN287" s="330"/>
      <c r="FO287" s="330"/>
      <c r="FP287" s="330"/>
      <c r="FQ287" s="330"/>
      <c r="FR287" s="330"/>
      <c r="FS287" s="330"/>
      <c r="FT287" s="330"/>
      <c r="FU287" s="330"/>
      <c r="FV287" s="330"/>
      <c r="FW287" s="330"/>
      <c r="FX287" s="330"/>
      <c r="FY287" s="330"/>
      <c r="FZ287" s="330"/>
      <c r="GA287" s="330"/>
      <c r="GB287" s="330"/>
      <c r="GC287" s="330"/>
      <c r="GD287" s="330"/>
      <c r="GE287" s="330"/>
      <c r="GF287" s="330"/>
      <c r="GG287" s="330"/>
      <c r="GH287" s="330"/>
      <c r="GI287" s="330"/>
      <c r="GJ287" s="330"/>
      <c r="GK287" s="330"/>
      <c r="GL287" s="330"/>
      <c r="GM287" s="330"/>
      <c r="GN287" s="330"/>
      <c r="GO287" s="330"/>
      <c r="GP287" s="330"/>
      <c r="GQ287" s="330"/>
      <c r="GR287" s="330"/>
      <c r="GS287" s="330"/>
      <c r="GT287" s="330"/>
      <c r="GU287" s="330"/>
      <c r="GV287" s="330"/>
      <c r="GW287" s="330"/>
      <c r="GX287" s="330"/>
      <c r="GY287" s="330"/>
      <c r="GZ287" s="330"/>
      <c r="HA287" s="330"/>
      <c r="HB287" s="330"/>
      <c r="HC287" s="330"/>
      <c r="HD287" s="330"/>
      <c r="HE287" s="330"/>
      <c r="HF287" s="330"/>
      <c r="HG287" s="331"/>
      <c r="HH287" s="284">
        <f>SUM(HH266,HH273,HH280)</f>
        <v>121</v>
      </c>
      <c r="HI287" s="285"/>
      <c r="HJ287" s="285"/>
      <c r="HK287" s="285"/>
      <c r="HL287" s="285"/>
      <c r="HM287" s="285">
        <f>SUM(HH266,HM273,HM280)</f>
        <v>61</v>
      </c>
      <c r="HN287" s="285"/>
      <c r="HO287" s="285"/>
      <c r="HP287" s="285"/>
      <c r="HQ287" s="285"/>
      <c r="HR287" s="285"/>
      <c r="HS287" s="286"/>
      <c r="JM287" s="154"/>
      <c r="LW287" s="12"/>
      <c r="LX287" s="7"/>
    </row>
    <row r="288" spans="3:336" ht="5.0999999999999996" customHeight="1" thickBot="1" x14ac:dyDescent="0.35">
      <c r="C288" s="11"/>
      <c r="D288" s="13"/>
      <c r="FJ288" s="332"/>
      <c r="FK288" s="333"/>
      <c r="FL288" s="333"/>
      <c r="FM288" s="333"/>
      <c r="FN288" s="333"/>
      <c r="FO288" s="333"/>
      <c r="FP288" s="333"/>
      <c r="FQ288" s="333"/>
      <c r="FR288" s="333"/>
      <c r="FS288" s="333"/>
      <c r="FT288" s="333"/>
      <c r="FU288" s="333"/>
      <c r="FV288" s="333"/>
      <c r="FW288" s="333"/>
      <c r="FX288" s="333"/>
      <c r="FY288" s="333"/>
      <c r="FZ288" s="333"/>
      <c r="GA288" s="333"/>
      <c r="GB288" s="333"/>
      <c r="GC288" s="333"/>
      <c r="GD288" s="333"/>
      <c r="GE288" s="333"/>
      <c r="GF288" s="333"/>
      <c r="GG288" s="333"/>
      <c r="GH288" s="333"/>
      <c r="GI288" s="333"/>
      <c r="GJ288" s="333"/>
      <c r="GK288" s="333"/>
      <c r="GL288" s="333"/>
      <c r="GM288" s="333"/>
      <c r="GN288" s="333"/>
      <c r="GO288" s="333"/>
      <c r="GP288" s="333"/>
      <c r="GQ288" s="333"/>
      <c r="GR288" s="333"/>
      <c r="GS288" s="333"/>
      <c r="GT288" s="333"/>
      <c r="GU288" s="333"/>
      <c r="GV288" s="333"/>
      <c r="GW288" s="333"/>
      <c r="GX288" s="333"/>
      <c r="GY288" s="333"/>
      <c r="GZ288" s="333"/>
      <c r="HA288" s="333"/>
      <c r="HB288" s="333"/>
      <c r="HC288" s="333"/>
      <c r="HD288" s="333"/>
      <c r="HE288" s="333"/>
      <c r="HF288" s="333"/>
      <c r="HG288" s="334"/>
      <c r="HH288" s="287"/>
      <c r="HI288" s="288"/>
      <c r="HJ288" s="288"/>
      <c r="HK288" s="288"/>
      <c r="HL288" s="288"/>
      <c r="HM288" s="288"/>
      <c r="HN288" s="288"/>
      <c r="HO288" s="288"/>
      <c r="HP288" s="288"/>
      <c r="HQ288" s="288"/>
      <c r="HR288" s="288"/>
      <c r="HS288" s="289"/>
      <c r="JM288" s="154"/>
      <c r="LW288" s="12"/>
      <c r="LX288" s="7"/>
    </row>
    <row r="289" spans="3:336" ht="5.0999999999999996" customHeight="1" x14ac:dyDescent="0.3">
      <c r="C289" s="11"/>
      <c r="D289" s="13"/>
      <c r="F289" s="267" t="s">
        <v>22</v>
      </c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  <c r="AA289" s="268"/>
      <c r="AB289" s="268"/>
      <c r="AC289" s="268"/>
      <c r="AD289" s="268"/>
      <c r="AE289" s="268"/>
      <c r="AF289" s="268"/>
      <c r="AG289" s="269"/>
      <c r="AH289" s="267" t="s">
        <v>23</v>
      </c>
      <c r="AI289" s="268"/>
      <c r="AJ289" s="268"/>
      <c r="AK289" s="268"/>
      <c r="AL289" s="268"/>
      <c r="AM289" s="268"/>
      <c r="AN289" s="268"/>
      <c r="AO289" s="268"/>
      <c r="AP289" s="268"/>
      <c r="AQ289" s="268"/>
      <c r="AR289" s="268"/>
      <c r="AS289" s="268"/>
      <c r="AT289" s="268"/>
      <c r="AU289" s="268"/>
      <c r="AV289" s="268"/>
      <c r="AW289" s="268"/>
      <c r="AX289" s="268"/>
      <c r="AY289" s="268"/>
      <c r="AZ289" s="268"/>
      <c r="BA289" s="268"/>
      <c r="BB289" s="268"/>
      <c r="BC289" s="268"/>
      <c r="BD289" s="268"/>
      <c r="BE289" s="268"/>
      <c r="BF289" s="268"/>
      <c r="BG289" s="268"/>
      <c r="BH289" s="268"/>
      <c r="BI289" s="269"/>
      <c r="BJ289" s="267" t="s">
        <v>24</v>
      </c>
      <c r="BK289" s="268"/>
      <c r="BL289" s="268"/>
      <c r="BM289" s="268"/>
      <c r="BN289" s="268"/>
      <c r="BO289" s="268"/>
      <c r="BP289" s="268"/>
      <c r="BQ289" s="268"/>
      <c r="BR289" s="268"/>
      <c r="BS289" s="268"/>
      <c r="BT289" s="268"/>
      <c r="BU289" s="268"/>
      <c r="BV289" s="268"/>
      <c r="BW289" s="268"/>
      <c r="BX289" s="268"/>
      <c r="BY289" s="268"/>
      <c r="BZ289" s="268"/>
      <c r="CA289" s="268"/>
      <c r="CB289" s="268"/>
      <c r="CC289" s="268"/>
      <c r="CD289" s="268"/>
      <c r="CE289" s="268"/>
      <c r="CF289" s="268"/>
      <c r="CG289" s="268"/>
      <c r="CH289" s="268"/>
      <c r="CI289" s="268"/>
      <c r="CJ289" s="268"/>
      <c r="CK289" s="269"/>
      <c r="FJ289" s="332"/>
      <c r="FK289" s="333"/>
      <c r="FL289" s="333"/>
      <c r="FM289" s="333"/>
      <c r="FN289" s="333"/>
      <c r="FO289" s="333"/>
      <c r="FP289" s="333"/>
      <c r="FQ289" s="333"/>
      <c r="FR289" s="333"/>
      <c r="FS289" s="333"/>
      <c r="FT289" s="333"/>
      <c r="FU289" s="333"/>
      <c r="FV289" s="333"/>
      <c r="FW289" s="333"/>
      <c r="FX289" s="333"/>
      <c r="FY289" s="333"/>
      <c r="FZ289" s="333"/>
      <c r="GA289" s="333"/>
      <c r="GB289" s="333"/>
      <c r="GC289" s="333"/>
      <c r="GD289" s="333"/>
      <c r="GE289" s="333"/>
      <c r="GF289" s="333"/>
      <c r="GG289" s="333"/>
      <c r="GH289" s="333"/>
      <c r="GI289" s="333"/>
      <c r="GJ289" s="333"/>
      <c r="GK289" s="333"/>
      <c r="GL289" s="333"/>
      <c r="GM289" s="333"/>
      <c r="GN289" s="333"/>
      <c r="GO289" s="333"/>
      <c r="GP289" s="333"/>
      <c r="GQ289" s="333"/>
      <c r="GR289" s="333"/>
      <c r="GS289" s="333"/>
      <c r="GT289" s="333"/>
      <c r="GU289" s="333"/>
      <c r="GV289" s="333"/>
      <c r="GW289" s="333"/>
      <c r="GX289" s="333"/>
      <c r="GY289" s="333"/>
      <c r="GZ289" s="333"/>
      <c r="HA289" s="333"/>
      <c r="HB289" s="333"/>
      <c r="HC289" s="333"/>
      <c r="HD289" s="333"/>
      <c r="HE289" s="333"/>
      <c r="HF289" s="333"/>
      <c r="HG289" s="334"/>
      <c r="HH289" s="287"/>
      <c r="HI289" s="288"/>
      <c r="HJ289" s="288"/>
      <c r="HK289" s="288"/>
      <c r="HL289" s="288"/>
      <c r="HM289" s="288"/>
      <c r="HN289" s="288"/>
      <c r="HO289" s="288"/>
      <c r="HP289" s="288"/>
      <c r="HQ289" s="288"/>
      <c r="HR289" s="288"/>
      <c r="HS289" s="289"/>
      <c r="LW289" s="12"/>
      <c r="LX289" s="7"/>
    </row>
    <row r="290" spans="3:336" ht="5.0999999999999996" customHeight="1" x14ac:dyDescent="0.3">
      <c r="C290" s="11"/>
      <c r="D290" s="13"/>
      <c r="F290" s="2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271"/>
      <c r="AH290" s="270"/>
      <c r="AI290" s="170"/>
      <c r="AJ290" s="170"/>
      <c r="AK290" s="170"/>
      <c r="AL290" s="170"/>
      <c r="AM290" s="170"/>
      <c r="AN290" s="170"/>
      <c r="AO290" s="170"/>
      <c r="AP290" s="170"/>
      <c r="AQ290" s="170"/>
      <c r="AR290" s="170"/>
      <c r="AS290" s="170"/>
      <c r="AT290" s="170"/>
      <c r="AU290" s="170"/>
      <c r="AV290" s="170"/>
      <c r="AW290" s="170"/>
      <c r="AX290" s="170"/>
      <c r="AY290" s="170"/>
      <c r="AZ290" s="170"/>
      <c r="BA290" s="170"/>
      <c r="BB290" s="170"/>
      <c r="BC290" s="170"/>
      <c r="BD290" s="170"/>
      <c r="BE290" s="170"/>
      <c r="BF290" s="170"/>
      <c r="BG290" s="170"/>
      <c r="BH290" s="170"/>
      <c r="BI290" s="271"/>
      <c r="BJ290" s="270"/>
      <c r="BK290" s="170"/>
      <c r="BL290" s="170"/>
      <c r="BM290" s="170"/>
      <c r="BN290" s="170"/>
      <c r="BO290" s="170"/>
      <c r="BP290" s="170"/>
      <c r="BQ290" s="170"/>
      <c r="BR290" s="170"/>
      <c r="BS290" s="170"/>
      <c r="BT290" s="170"/>
      <c r="BU290" s="170"/>
      <c r="BV290" s="170"/>
      <c r="BW290" s="170"/>
      <c r="BX290" s="170"/>
      <c r="BY290" s="170"/>
      <c r="BZ290" s="170"/>
      <c r="CA290" s="170"/>
      <c r="CB290" s="170"/>
      <c r="CC290" s="170"/>
      <c r="CD290" s="170"/>
      <c r="CE290" s="170"/>
      <c r="CF290" s="170"/>
      <c r="CG290" s="170"/>
      <c r="CH290" s="170"/>
      <c r="CI290" s="170"/>
      <c r="CJ290" s="170"/>
      <c r="CK290" s="271"/>
      <c r="FJ290" s="332"/>
      <c r="FK290" s="333"/>
      <c r="FL290" s="333"/>
      <c r="FM290" s="333"/>
      <c r="FN290" s="333"/>
      <c r="FO290" s="333"/>
      <c r="FP290" s="333"/>
      <c r="FQ290" s="333"/>
      <c r="FR290" s="333"/>
      <c r="FS290" s="333"/>
      <c r="FT290" s="333"/>
      <c r="FU290" s="333"/>
      <c r="FV290" s="333"/>
      <c r="FW290" s="333"/>
      <c r="FX290" s="333"/>
      <c r="FY290" s="333"/>
      <c r="FZ290" s="333"/>
      <c r="GA290" s="333"/>
      <c r="GB290" s="333"/>
      <c r="GC290" s="333"/>
      <c r="GD290" s="333"/>
      <c r="GE290" s="333"/>
      <c r="GF290" s="333"/>
      <c r="GG290" s="333"/>
      <c r="GH290" s="333"/>
      <c r="GI290" s="333"/>
      <c r="GJ290" s="333"/>
      <c r="GK290" s="333"/>
      <c r="GL290" s="333"/>
      <c r="GM290" s="333"/>
      <c r="GN290" s="333"/>
      <c r="GO290" s="333"/>
      <c r="GP290" s="333"/>
      <c r="GQ290" s="333"/>
      <c r="GR290" s="333"/>
      <c r="GS290" s="333"/>
      <c r="GT290" s="333"/>
      <c r="GU290" s="333"/>
      <c r="GV290" s="333"/>
      <c r="GW290" s="333"/>
      <c r="GX290" s="333"/>
      <c r="GY290" s="333"/>
      <c r="GZ290" s="333"/>
      <c r="HA290" s="333"/>
      <c r="HB290" s="333"/>
      <c r="HC290" s="333"/>
      <c r="HD290" s="333"/>
      <c r="HE290" s="333"/>
      <c r="HF290" s="333"/>
      <c r="HG290" s="334"/>
      <c r="HH290" s="287"/>
      <c r="HI290" s="288"/>
      <c r="HJ290" s="288"/>
      <c r="HK290" s="288"/>
      <c r="HL290" s="288"/>
      <c r="HM290" s="288"/>
      <c r="HN290" s="288"/>
      <c r="HO290" s="288"/>
      <c r="HP290" s="288"/>
      <c r="HQ290" s="288"/>
      <c r="HR290" s="288"/>
      <c r="HS290" s="289"/>
      <c r="LW290" s="12"/>
      <c r="LX290" s="7"/>
    </row>
    <row r="291" spans="3:336" ht="5.0999999999999996" customHeight="1" x14ac:dyDescent="0.3">
      <c r="C291" s="11"/>
      <c r="D291" s="13"/>
      <c r="F291" s="2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  <c r="AF291" s="170"/>
      <c r="AG291" s="271"/>
      <c r="AH291" s="270"/>
      <c r="AI291" s="170"/>
      <c r="AJ291" s="170"/>
      <c r="AK291" s="170"/>
      <c r="AL291" s="170"/>
      <c r="AM291" s="170"/>
      <c r="AN291" s="170"/>
      <c r="AO291" s="170"/>
      <c r="AP291" s="170"/>
      <c r="AQ291" s="170"/>
      <c r="AR291" s="170"/>
      <c r="AS291" s="170"/>
      <c r="AT291" s="170"/>
      <c r="AU291" s="170"/>
      <c r="AV291" s="170"/>
      <c r="AW291" s="170"/>
      <c r="AX291" s="170"/>
      <c r="AY291" s="170"/>
      <c r="AZ291" s="170"/>
      <c r="BA291" s="170"/>
      <c r="BB291" s="170"/>
      <c r="BC291" s="170"/>
      <c r="BD291" s="170"/>
      <c r="BE291" s="170"/>
      <c r="BF291" s="170"/>
      <c r="BG291" s="170"/>
      <c r="BH291" s="170"/>
      <c r="BI291" s="271"/>
      <c r="BJ291" s="270"/>
      <c r="BK291" s="170"/>
      <c r="BL291" s="170"/>
      <c r="BM291" s="170"/>
      <c r="BN291" s="170"/>
      <c r="BO291" s="170"/>
      <c r="BP291" s="170"/>
      <c r="BQ291" s="170"/>
      <c r="BR291" s="170"/>
      <c r="BS291" s="170"/>
      <c r="BT291" s="170"/>
      <c r="BU291" s="170"/>
      <c r="BV291" s="170"/>
      <c r="BW291" s="170"/>
      <c r="BX291" s="170"/>
      <c r="BY291" s="170"/>
      <c r="BZ291" s="170"/>
      <c r="CA291" s="170"/>
      <c r="CB291" s="170"/>
      <c r="CC291" s="170"/>
      <c r="CD291" s="170"/>
      <c r="CE291" s="170"/>
      <c r="CF291" s="170"/>
      <c r="CG291" s="170"/>
      <c r="CH291" s="170"/>
      <c r="CI291" s="170"/>
      <c r="CJ291" s="170"/>
      <c r="CK291" s="271"/>
      <c r="FJ291" s="332"/>
      <c r="FK291" s="333"/>
      <c r="FL291" s="333"/>
      <c r="FM291" s="333"/>
      <c r="FN291" s="333"/>
      <c r="FO291" s="333"/>
      <c r="FP291" s="333"/>
      <c r="FQ291" s="333"/>
      <c r="FR291" s="333"/>
      <c r="FS291" s="333"/>
      <c r="FT291" s="333"/>
      <c r="FU291" s="333"/>
      <c r="FV291" s="333"/>
      <c r="FW291" s="333"/>
      <c r="FX291" s="333"/>
      <c r="FY291" s="333"/>
      <c r="FZ291" s="333"/>
      <c r="GA291" s="333"/>
      <c r="GB291" s="333"/>
      <c r="GC291" s="333"/>
      <c r="GD291" s="333"/>
      <c r="GE291" s="333"/>
      <c r="GF291" s="333"/>
      <c r="GG291" s="333"/>
      <c r="GH291" s="333"/>
      <c r="GI291" s="333"/>
      <c r="GJ291" s="333"/>
      <c r="GK291" s="333"/>
      <c r="GL291" s="333"/>
      <c r="GM291" s="333"/>
      <c r="GN291" s="333"/>
      <c r="GO291" s="333"/>
      <c r="GP291" s="333"/>
      <c r="GQ291" s="333"/>
      <c r="GR291" s="333"/>
      <c r="GS291" s="333"/>
      <c r="GT291" s="333"/>
      <c r="GU291" s="333"/>
      <c r="GV291" s="333"/>
      <c r="GW291" s="333"/>
      <c r="GX291" s="333"/>
      <c r="GY291" s="333"/>
      <c r="GZ291" s="333"/>
      <c r="HA291" s="333"/>
      <c r="HB291" s="333"/>
      <c r="HC291" s="333"/>
      <c r="HD291" s="333"/>
      <c r="HE291" s="333"/>
      <c r="HF291" s="333"/>
      <c r="HG291" s="334"/>
      <c r="HH291" s="287"/>
      <c r="HI291" s="288"/>
      <c r="HJ291" s="288"/>
      <c r="HK291" s="288"/>
      <c r="HL291" s="288"/>
      <c r="HM291" s="288"/>
      <c r="HN291" s="288"/>
      <c r="HO291" s="288"/>
      <c r="HP291" s="288"/>
      <c r="HQ291" s="288"/>
      <c r="HR291" s="288"/>
      <c r="HS291" s="289"/>
      <c r="LW291" s="12"/>
      <c r="LX291" s="7"/>
    </row>
    <row r="292" spans="3:336" ht="5.0999999999999996" customHeight="1" x14ac:dyDescent="0.3">
      <c r="C292" s="11"/>
      <c r="D292" s="13"/>
      <c r="F292" s="2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  <c r="AF292" s="170"/>
      <c r="AG292" s="271"/>
      <c r="AH292" s="270"/>
      <c r="AI292" s="170"/>
      <c r="AJ292" s="170"/>
      <c r="AK292" s="170"/>
      <c r="AL292" s="170"/>
      <c r="AM292" s="170"/>
      <c r="AN292" s="170"/>
      <c r="AO292" s="170"/>
      <c r="AP292" s="170"/>
      <c r="AQ292" s="170"/>
      <c r="AR292" s="170"/>
      <c r="AS292" s="170"/>
      <c r="AT292" s="170"/>
      <c r="AU292" s="170"/>
      <c r="AV292" s="170"/>
      <c r="AW292" s="170"/>
      <c r="AX292" s="170"/>
      <c r="AY292" s="170"/>
      <c r="AZ292" s="170"/>
      <c r="BA292" s="170"/>
      <c r="BB292" s="170"/>
      <c r="BC292" s="170"/>
      <c r="BD292" s="170"/>
      <c r="BE292" s="170"/>
      <c r="BF292" s="170"/>
      <c r="BG292" s="170"/>
      <c r="BH292" s="170"/>
      <c r="BI292" s="271"/>
      <c r="BJ292" s="270"/>
      <c r="BK292" s="170"/>
      <c r="BL292" s="170"/>
      <c r="BM292" s="170"/>
      <c r="BN292" s="170"/>
      <c r="BO292" s="170"/>
      <c r="BP292" s="170"/>
      <c r="BQ292" s="170"/>
      <c r="BR292" s="170"/>
      <c r="BS292" s="170"/>
      <c r="BT292" s="170"/>
      <c r="BU292" s="170"/>
      <c r="BV292" s="170"/>
      <c r="BW292" s="170"/>
      <c r="BX292" s="170"/>
      <c r="BY292" s="170"/>
      <c r="BZ292" s="170"/>
      <c r="CA292" s="170"/>
      <c r="CB292" s="170"/>
      <c r="CC292" s="170"/>
      <c r="CD292" s="170"/>
      <c r="CE292" s="170"/>
      <c r="CF292" s="170"/>
      <c r="CG292" s="170"/>
      <c r="CH292" s="170"/>
      <c r="CI292" s="170"/>
      <c r="CJ292" s="170"/>
      <c r="CK292" s="271"/>
      <c r="FJ292" s="332"/>
      <c r="FK292" s="333"/>
      <c r="FL292" s="333"/>
      <c r="FM292" s="333"/>
      <c r="FN292" s="333"/>
      <c r="FO292" s="333"/>
      <c r="FP292" s="333"/>
      <c r="FQ292" s="333"/>
      <c r="FR292" s="333"/>
      <c r="FS292" s="333"/>
      <c r="FT292" s="333"/>
      <c r="FU292" s="333"/>
      <c r="FV292" s="333"/>
      <c r="FW292" s="333"/>
      <c r="FX292" s="333"/>
      <c r="FY292" s="333"/>
      <c r="FZ292" s="333"/>
      <c r="GA292" s="333"/>
      <c r="GB292" s="333"/>
      <c r="GC292" s="333"/>
      <c r="GD292" s="333"/>
      <c r="GE292" s="333"/>
      <c r="GF292" s="333"/>
      <c r="GG292" s="333"/>
      <c r="GH292" s="333"/>
      <c r="GI292" s="333"/>
      <c r="GJ292" s="333"/>
      <c r="GK292" s="333"/>
      <c r="GL292" s="333"/>
      <c r="GM292" s="333"/>
      <c r="GN292" s="333"/>
      <c r="GO292" s="333"/>
      <c r="GP292" s="333"/>
      <c r="GQ292" s="333"/>
      <c r="GR292" s="333"/>
      <c r="GS292" s="333"/>
      <c r="GT292" s="333"/>
      <c r="GU292" s="333"/>
      <c r="GV292" s="333"/>
      <c r="GW292" s="333"/>
      <c r="GX292" s="333"/>
      <c r="GY292" s="333"/>
      <c r="GZ292" s="333"/>
      <c r="HA292" s="333"/>
      <c r="HB292" s="333"/>
      <c r="HC292" s="333"/>
      <c r="HD292" s="333"/>
      <c r="HE292" s="333"/>
      <c r="HF292" s="333"/>
      <c r="HG292" s="334"/>
      <c r="HH292" s="287"/>
      <c r="HI292" s="288"/>
      <c r="HJ292" s="288"/>
      <c r="HK292" s="288"/>
      <c r="HL292" s="288"/>
      <c r="HM292" s="288"/>
      <c r="HN292" s="288"/>
      <c r="HO292" s="288"/>
      <c r="HP292" s="288"/>
      <c r="HQ292" s="288"/>
      <c r="HR292" s="288"/>
      <c r="HS292" s="289"/>
      <c r="LW292" s="12"/>
      <c r="LX292" s="7"/>
    </row>
    <row r="293" spans="3:336" ht="5.0999999999999996" customHeight="1" thickBot="1" x14ac:dyDescent="0.35">
      <c r="C293" s="11"/>
      <c r="D293" s="13"/>
      <c r="F293" s="272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  <c r="AD293" s="273"/>
      <c r="AE293" s="273"/>
      <c r="AF293" s="273"/>
      <c r="AG293" s="274"/>
      <c r="AH293" s="272"/>
      <c r="AI293" s="273"/>
      <c r="AJ293" s="273"/>
      <c r="AK293" s="273"/>
      <c r="AL293" s="273"/>
      <c r="AM293" s="273"/>
      <c r="AN293" s="273"/>
      <c r="AO293" s="273"/>
      <c r="AP293" s="273"/>
      <c r="AQ293" s="273"/>
      <c r="AR293" s="273"/>
      <c r="AS293" s="273"/>
      <c r="AT293" s="273"/>
      <c r="AU293" s="273"/>
      <c r="AV293" s="273"/>
      <c r="AW293" s="273"/>
      <c r="AX293" s="273"/>
      <c r="AY293" s="273"/>
      <c r="AZ293" s="273"/>
      <c r="BA293" s="273"/>
      <c r="BB293" s="273"/>
      <c r="BC293" s="273"/>
      <c r="BD293" s="273"/>
      <c r="BE293" s="273"/>
      <c r="BF293" s="273"/>
      <c r="BG293" s="273"/>
      <c r="BH293" s="273"/>
      <c r="BI293" s="274"/>
      <c r="BJ293" s="272"/>
      <c r="BK293" s="273"/>
      <c r="BL293" s="273"/>
      <c r="BM293" s="273"/>
      <c r="BN293" s="273"/>
      <c r="BO293" s="273"/>
      <c r="BP293" s="273"/>
      <c r="BQ293" s="273"/>
      <c r="BR293" s="273"/>
      <c r="BS293" s="273"/>
      <c r="BT293" s="273"/>
      <c r="BU293" s="273"/>
      <c r="BV293" s="273"/>
      <c r="BW293" s="273"/>
      <c r="BX293" s="273"/>
      <c r="BY293" s="273"/>
      <c r="BZ293" s="273"/>
      <c r="CA293" s="273"/>
      <c r="CB293" s="273"/>
      <c r="CC293" s="273"/>
      <c r="CD293" s="273"/>
      <c r="CE293" s="273"/>
      <c r="CF293" s="273"/>
      <c r="CG293" s="273"/>
      <c r="CH293" s="273"/>
      <c r="CI293" s="273"/>
      <c r="CJ293" s="273"/>
      <c r="CK293" s="274"/>
      <c r="FJ293" s="335"/>
      <c r="FK293" s="336"/>
      <c r="FL293" s="336"/>
      <c r="FM293" s="336"/>
      <c r="FN293" s="336"/>
      <c r="FO293" s="336"/>
      <c r="FP293" s="336"/>
      <c r="FQ293" s="336"/>
      <c r="FR293" s="336"/>
      <c r="FS293" s="336"/>
      <c r="FT293" s="336"/>
      <c r="FU293" s="336"/>
      <c r="FV293" s="336"/>
      <c r="FW293" s="336"/>
      <c r="FX293" s="336"/>
      <c r="FY293" s="336"/>
      <c r="FZ293" s="336"/>
      <c r="GA293" s="336"/>
      <c r="GB293" s="336"/>
      <c r="GC293" s="336"/>
      <c r="GD293" s="336"/>
      <c r="GE293" s="336"/>
      <c r="GF293" s="336"/>
      <c r="GG293" s="336"/>
      <c r="GH293" s="336"/>
      <c r="GI293" s="336"/>
      <c r="GJ293" s="336"/>
      <c r="GK293" s="336"/>
      <c r="GL293" s="336"/>
      <c r="GM293" s="336"/>
      <c r="GN293" s="336"/>
      <c r="GO293" s="336"/>
      <c r="GP293" s="336"/>
      <c r="GQ293" s="336"/>
      <c r="GR293" s="336"/>
      <c r="GS293" s="336"/>
      <c r="GT293" s="336"/>
      <c r="GU293" s="336"/>
      <c r="GV293" s="336"/>
      <c r="GW293" s="336"/>
      <c r="GX293" s="336"/>
      <c r="GY293" s="336"/>
      <c r="GZ293" s="336"/>
      <c r="HA293" s="336"/>
      <c r="HB293" s="336"/>
      <c r="HC293" s="336"/>
      <c r="HD293" s="336"/>
      <c r="HE293" s="336"/>
      <c r="HF293" s="336"/>
      <c r="HG293" s="337"/>
      <c r="HH293" s="290"/>
      <c r="HI293" s="291"/>
      <c r="HJ293" s="291"/>
      <c r="HK293" s="291"/>
      <c r="HL293" s="291"/>
      <c r="HM293" s="291"/>
      <c r="HN293" s="291"/>
      <c r="HO293" s="291"/>
      <c r="HP293" s="291"/>
      <c r="HQ293" s="291"/>
      <c r="HR293" s="291"/>
      <c r="HS293" s="292"/>
      <c r="LW293" s="12"/>
      <c r="LX293" s="7"/>
    </row>
    <row r="294" spans="3:336" ht="5.0999999999999996" customHeight="1" x14ac:dyDescent="0.3">
      <c r="C294" s="11"/>
      <c r="D294" s="13"/>
      <c r="F294" s="267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  <c r="AA294" s="268"/>
      <c r="AB294" s="268"/>
      <c r="AC294" s="268"/>
      <c r="AD294" s="268"/>
      <c r="AE294" s="268"/>
      <c r="AF294" s="268"/>
      <c r="AG294" s="269"/>
      <c r="AH294" s="267"/>
      <c r="AI294" s="268"/>
      <c r="AJ294" s="268"/>
      <c r="AK294" s="268"/>
      <c r="AL294" s="268"/>
      <c r="AM294" s="268"/>
      <c r="AN294" s="268"/>
      <c r="AO294" s="268"/>
      <c r="AP294" s="268"/>
      <c r="AQ294" s="268"/>
      <c r="AR294" s="268"/>
      <c r="AS294" s="268"/>
      <c r="AT294" s="268"/>
      <c r="AU294" s="268"/>
      <c r="AV294" s="268"/>
      <c r="AW294" s="268"/>
      <c r="AX294" s="268"/>
      <c r="AY294" s="268"/>
      <c r="AZ294" s="268"/>
      <c r="BA294" s="268"/>
      <c r="BB294" s="268"/>
      <c r="BC294" s="268"/>
      <c r="BD294" s="268"/>
      <c r="BE294" s="268"/>
      <c r="BF294" s="268"/>
      <c r="BG294" s="268"/>
      <c r="BH294" s="268"/>
      <c r="BI294" s="269"/>
      <c r="BJ294" s="267"/>
      <c r="BK294" s="268"/>
      <c r="BL294" s="268"/>
      <c r="BM294" s="268"/>
      <c r="BN294" s="268"/>
      <c r="BO294" s="268"/>
      <c r="BP294" s="268"/>
      <c r="BQ294" s="268"/>
      <c r="BR294" s="268"/>
      <c r="BS294" s="268"/>
      <c r="BT294" s="268"/>
      <c r="BU294" s="268"/>
      <c r="BV294" s="268"/>
      <c r="BW294" s="268"/>
      <c r="BX294" s="268"/>
      <c r="BY294" s="268"/>
      <c r="BZ294" s="268"/>
      <c r="CA294" s="268"/>
      <c r="CB294" s="268"/>
      <c r="CC294" s="268"/>
      <c r="CD294" s="268"/>
      <c r="CE294" s="268"/>
      <c r="CF294" s="268"/>
      <c r="CG294" s="268"/>
      <c r="CH294" s="268"/>
      <c r="CI294" s="268"/>
      <c r="CJ294" s="268"/>
      <c r="CK294" s="269"/>
      <c r="LW294" s="12"/>
      <c r="LX294" s="7"/>
    </row>
    <row r="295" spans="3:336" ht="5.0999999999999996" customHeight="1" thickBot="1" x14ac:dyDescent="0.35">
      <c r="C295" s="11"/>
      <c r="D295" s="13"/>
      <c r="F295" s="2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  <c r="AF295" s="170"/>
      <c r="AG295" s="271"/>
      <c r="AH295" s="270"/>
      <c r="AI295" s="170"/>
      <c r="AJ295" s="170"/>
      <c r="AK295" s="170"/>
      <c r="AL295" s="170"/>
      <c r="AM295" s="170"/>
      <c r="AN295" s="170"/>
      <c r="AO295" s="170"/>
      <c r="AP295" s="170"/>
      <c r="AQ295" s="170"/>
      <c r="AR295" s="170"/>
      <c r="AS295" s="170"/>
      <c r="AT295" s="170"/>
      <c r="AU295" s="170"/>
      <c r="AV295" s="170"/>
      <c r="AW295" s="170"/>
      <c r="AX295" s="170"/>
      <c r="AY295" s="170"/>
      <c r="AZ295" s="170"/>
      <c r="BA295" s="170"/>
      <c r="BB295" s="170"/>
      <c r="BC295" s="170"/>
      <c r="BD295" s="170"/>
      <c r="BE295" s="170"/>
      <c r="BF295" s="170"/>
      <c r="BG295" s="170"/>
      <c r="BH295" s="170"/>
      <c r="BI295" s="271"/>
      <c r="BJ295" s="270"/>
      <c r="BK295" s="170"/>
      <c r="BL295" s="170"/>
      <c r="BM295" s="170"/>
      <c r="BN295" s="170"/>
      <c r="BO295" s="170"/>
      <c r="BP295" s="170"/>
      <c r="BQ295" s="170"/>
      <c r="BR295" s="170"/>
      <c r="BS295" s="170"/>
      <c r="BT295" s="170"/>
      <c r="BU295" s="170"/>
      <c r="BV295" s="170"/>
      <c r="BW295" s="170"/>
      <c r="BX295" s="170"/>
      <c r="BY295" s="170"/>
      <c r="BZ295" s="170"/>
      <c r="CA295" s="170"/>
      <c r="CB295" s="170"/>
      <c r="CC295" s="170"/>
      <c r="CD295" s="170"/>
      <c r="CE295" s="170"/>
      <c r="CF295" s="170"/>
      <c r="CG295" s="170"/>
      <c r="CH295" s="170"/>
      <c r="CI295" s="170"/>
      <c r="CJ295" s="170"/>
      <c r="CK295" s="271"/>
      <c r="LW295" s="12"/>
      <c r="LX295" s="7"/>
    </row>
    <row r="296" spans="3:336" ht="5.0999999999999996" customHeight="1" x14ac:dyDescent="0.3">
      <c r="C296" s="11"/>
      <c r="D296" s="13"/>
      <c r="F296" s="2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  <c r="AF296" s="170"/>
      <c r="AG296" s="271"/>
      <c r="AH296" s="270"/>
      <c r="AI296" s="170"/>
      <c r="AJ296" s="170"/>
      <c r="AK296" s="170"/>
      <c r="AL296" s="170"/>
      <c r="AM296" s="170"/>
      <c r="AN296" s="170"/>
      <c r="AO296" s="170"/>
      <c r="AP296" s="170"/>
      <c r="AQ296" s="170"/>
      <c r="AR296" s="170"/>
      <c r="AS296" s="170"/>
      <c r="AT296" s="170"/>
      <c r="AU296" s="170"/>
      <c r="AV296" s="170"/>
      <c r="AW296" s="170"/>
      <c r="AX296" s="170"/>
      <c r="AY296" s="170"/>
      <c r="AZ296" s="170"/>
      <c r="BA296" s="170"/>
      <c r="BB296" s="170"/>
      <c r="BC296" s="170"/>
      <c r="BD296" s="170"/>
      <c r="BE296" s="170"/>
      <c r="BF296" s="170"/>
      <c r="BG296" s="170"/>
      <c r="BH296" s="170"/>
      <c r="BI296" s="271"/>
      <c r="BJ296" s="270"/>
      <c r="BK296" s="170"/>
      <c r="BL296" s="170"/>
      <c r="BM296" s="170"/>
      <c r="BN296" s="170"/>
      <c r="BO296" s="170"/>
      <c r="BP296" s="170"/>
      <c r="BQ296" s="170"/>
      <c r="BR296" s="170"/>
      <c r="BS296" s="170"/>
      <c r="BT296" s="170"/>
      <c r="BU296" s="170"/>
      <c r="BV296" s="170"/>
      <c r="BW296" s="170"/>
      <c r="BX296" s="170"/>
      <c r="BY296" s="170"/>
      <c r="BZ296" s="170"/>
      <c r="CA296" s="170"/>
      <c r="CB296" s="170"/>
      <c r="CC296" s="170"/>
      <c r="CD296" s="170"/>
      <c r="CE296" s="170"/>
      <c r="CF296" s="170"/>
      <c r="CG296" s="170"/>
      <c r="CH296" s="170"/>
      <c r="CI296" s="170"/>
      <c r="CJ296" s="170"/>
      <c r="CK296" s="271"/>
      <c r="FJ296" s="267" t="s">
        <v>25</v>
      </c>
      <c r="FK296" s="268"/>
      <c r="FL296" s="268"/>
      <c r="FM296" s="268"/>
      <c r="FN296" s="268"/>
      <c r="FO296" s="268"/>
      <c r="FP296" s="268"/>
      <c r="FQ296" s="268"/>
      <c r="FR296" s="268"/>
      <c r="FS296" s="268"/>
      <c r="FT296" s="268"/>
      <c r="FU296" s="268"/>
      <c r="FV296" s="268"/>
      <c r="FW296" s="268"/>
      <c r="FX296" s="268"/>
      <c r="FY296" s="268"/>
      <c r="FZ296" s="268"/>
      <c r="GA296" s="268"/>
      <c r="GB296" s="268"/>
      <c r="GC296" s="268"/>
      <c r="GD296" s="268"/>
      <c r="GE296" s="268"/>
      <c r="GF296" s="268"/>
      <c r="GG296" s="268"/>
      <c r="GH296" s="268"/>
      <c r="GI296" s="268"/>
      <c r="GJ296" s="268"/>
      <c r="GK296" s="269"/>
      <c r="GL296" s="267" t="s">
        <v>151</v>
      </c>
      <c r="GM296" s="268"/>
      <c r="GN296" s="268"/>
      <c r="GO296" s="268"/>
      <c r="GP296" s="268"/>
      <c r="GQ296" s="268"/>
      <c r="GR296" s="268"/>
      <c r="GS296" s="268"/>
      <c r="GT296" s="268"/>
      <c r="GU296" s="268"/>
      <c r="GV296" s="268"/>
      <c r="GW296" s="268"/>
      <c r="GX296" s="268"/>
      <c r="GY296" s="268"/>
      <c r="GZ296" s="268"/>
      <c r="HA296" s="268"/>
      <c r="HB296" s="268"/>
      <c r="HC296" s="268"/>
      <c r="HD296" s="268"/>
      <c r="HE296" s="268"/>
      <c r="HF296" s="268"/>
      <c r="HG296" s="268"/>
      <c r="HH296" s="268"/>
      <c r="HI296" s="268"/>
      <c r="HJ296" s="268"/>
      <c r="HK296" s="268"/>
      <c r="HL296" s="268"/>
      <c r="HM296" s="269"/>
      <c r="HN296" s="267" t="s">
        <v>150</v>
      </c>
      <c r="HO296" s="268"/>
      <c r="HP296" s="268"/>
      <c r="HQ296" s="268"/>
      <c r="HR296" s="268"/>
      <c r="HS296" s="268"/>
      <c r="HT296" s="268"/>
      <c r="HU296" s="268"/>
      <c r="HV296" s="268"/>
      <c r="HW296" s="268"/>
      <c r="HX296" s="268"/>
      <c r="HY296" s="268"/>
      <c r="HZ296" s="268"/>
      <c r="IA296" s="268"/>
      <c r="IB296" s="268"/>
      <c r="IC296" s="268"/>
      <c r="ID296" s="268"/>
      <c r="IE296" s="268"/>
      <c r="IF296" s="268"/>
      <c r="IG296" s="268"/>
      <c r="IH296" s="268"/>
      <c r="II296" s="268"/>
      <c r="IJ296" s="268"/>
      <c r="IK296" s="268"/>
      <c r="IL296" s="268"/>
      <c r="IM296" s="268"/>
      <c r="IN296" s="268"/>
      <c r="IO296" s="269"/>
      <c r="LW296" s="12"/>
      <c r="LX296" s="7"/>
    </row>
    <row r="297" spans="3:336" ht="5.0999999999999996" customHeight="1" x14ac:dyDescent="0.3">
      <c r="C297" s="11"/>
      <c r="D297" s="13"/>
      <c r="F297" s="2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  <c r="AF297" s="170"/>
      <c r="AG297" s="271"/>
      <c r="AH297" s="270"/>
      <c r="AI297" s="170"/>
      <c r="AJ297" s="170"/>
      <c r="AK297" s="170"/>
      <c r="AL297" s="170"/>
      <c r="AM297" s="170"/>
      <c r="AN297" s="170"/>
      <c r="AO297" s="170"/>
      <c r="AP297" s="170"/>
      <c r="AQ297" s="170"/>
      <c r="AR297" s="170"/>
      <c r="AS297" s="170"/>
      <c r="AT297" s="170"/>
      <c r="AU297" s="170"/>
      <c r="AV297" s="170"/>
      <c r="AW297" s="170"/>
      <c r="AX297" s="170"/>
      <c r="AY297" s="170"/>
      <c r="AZ297" s="170"/>
      <c r="BA297" s="170"/>
      <c r="BB297" s="170"/>
      <c r="BC297" s="170"/>
      <c r="BD297" s="170"/>
      <c r="BE297" s="170"/>
      <c r="BF297" s="170"/>
      <c r="BG297" s="170"/>
      <c r="BH297" s="170"/>
      <c r="BI297" s="271"/>
      <c r="BJ297" s="270"/>
      <c r="BK297" s="170"/>
      <c r="BL297" s="170"/>
      <c r="BM297" s="170"/>
      <c r="BN297" s="170"/>
      <c r="BO297" s="170"/>
      <c r="BP297" s="170"/>
      <c r="BQ297" s="170"/>
      <c r="BR297" s="170"/>
      <c r="BS297" s="170"/>
      <c r="BT297" s="170"/>
      <c r="BU297" s="170"/>
      <c r="BV297" s="170"/>
      <c r="BW297" s="170"/>
      <c r="BX297" s="170"/>
      <c r="BY297" s="170"/>
      <c r="BZ297" s="170"/>
      <c r="CA297" s="170"/>
      <c r="CB297" s="170"/>
      <c r="CC297" s="170"/>
      <c r="CD297" s="170"/>
      <c r="CE297" s="170"/>
      <c r="CF297" s="170"/>
      <c r="CG297" s="170"/>
      <c r="CH297" s="170"/>
      <c r="CI297" s="170"/>
      <c r="CJ297" s="170"/>
      <c r="CK297" s="271"/>
      <c r="FJ297" s="270"/>
      <c r="FK297" s="170"/>
      <c r="FL297" s="170"/>
      <c r="FM297" s="170"/>
      <c r="FN297" s="170"/>
      <c r="FO297" s="170"/>
      <c r="FP297" s="170"/>
      <c r="FQ297" s="170"/>
      <c r="FR297" s="170"/>
      <c r="FS297" s="170"/>
      <c r="FT297" s="170"/>
      <c r="FU297" s="170"/>
      <c r="FV297" s="170"/>
      <c r="FW297" s="170"/>
      <c r="FX297" s="170"/>
      <c r="FY297" s="170"/>
      <c r="FZ297" s="170"/>
      <c r="GA297" s="170"/>
      <c r="GB297" s="170"/>
      <c r="GC297" s="170"/>
      <c r="GD297" s="170"/>
      <c r="GE297" s="170"/>
      <c r="GF297" s="170"/>
      <c r="GG297" s="170"/>
      <c r="GH297" s="170"/>
      <c r="GI297" s="170"/>
      <c r="GJ297" s="170"/>
      <c r="GK297" s="271"/>
      <c r="GL297" s="270"/>
      <c r="GM297" s="170"/>
      <c r="GN297" s="170"/>
      <c r="GO297" s="170"/>
      <c r="GP297" s="170"/>
      <c r="GQ297" s="170"/>
      <c r="GR297" s="170"/>
      <c r="GS297" s="170"/>
      <c r="GT297" s="170"/>
      <c r="GU297" s="170"/>
      <c r="GV297" s="170"/>
      <c r="GW297" s="170"/>
      <c r="GX297" s="170"/>
      <c r="GY297" s="170"/>
      <c r="GZ297" s="170"/>
      <c r="HA297" s="170"/>
      <c r="HB297" s="170"/>
      <c r="HC297" s="170"/>
      <c r="HD297" s="170"/>
      <c r="HE297" s="170"/>
      <c r="HF297" s="170"/>
      <c r="HG297" s="170"/>
      <c r="HH297" s="170"/>
      <c r="HI297" s="170"/>
      <c r="HJ297" s="170"/>
      <c r="HK297" s="170"/>
      <c r="HL297" s="170"/>
      <c r="HM297" s="271"/>
      <c r="HN297" s="270"/>
      <c r="HO297" s="170"/>
      <c r="HP297" s="170"/>
      <c r="HQ297" s="170"/>
      <c r="HR297" s="170"/>
      <c r="HS297" s="170"/>
      <c r="HT297" s="170"/>
      <c r="HU297" s="170"/>
      <c r="HV297" s="170"/>
      <c r="HW297" s="170"/>
      <c r="HX297" s="170"/>
      <c r="HY297" s="170"/>
      <c r="HZ297" s="170"/>
      <c r="IA297" s="170"/>
      <c r="IB297" s="170"/>
      <c r="IC297" s="170"/>
      <c r="ID297" s="170"/>
      <c r="IE297" s="170"/>
      <c r="IF297" s="170"/>
      <c r="IG297" s="170"/>
      <c r="IH297" s="170"/>
      <c r="II297" s="170"/>
      <c r="IJ297" s="170"/>
      <c r="IK297" s="170"/>
      <c r="IL297" s="170"/>
      <c r="IM297" s="170"/>
      <c r="IN297" s="170"/>
      <c r="IO297" s="271"/>
      <c r="LW297" s="12"/>
      <c r="LX297" s="7"/>
    </row>
    <row r="298" spans="3:336" ht="5.0999999999999996" customHeight="1" thickBot="1" x14ac:dyDescent="0.35">
      <c r="C298" s="11"/>
      <c r="D298" s="13"/>
      <c r="F298" s="272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  <c r="AD298" s="273"/>
      <c r="AE298" s="273"/>
      <c r="AF298" s="273"/>
      <c r="AG298" s="274"/>
      <c r="AH298" s="272"/>
      <c r="AI298" s="273"/>
      <c r="AJ298" s="273"/>
      <c r="AK298" s="273"/>
      <c r="AL298" s="273"/>
      <c r="AM298" s="273"/>
      <c r="AN298" s="273"/>
      <c r="AO298" s="273"/>
      <c r="AP298" s="273"/>
      <c r="AQ298" s="273"/>
      <c r="AR298" s="273"/>
      <c r="AS298" s="273"/>
      <c r="AT298" s="273"/>
      <c r="AU298" s="273"/>
      <c r="AV298" s="273"/>
      <c r="AW298" s="273"/>
      <c r="AX298" s="273"/>
      <c r="AY298" s="273"/>
      <c r="AZ298" s="273"/>
      <c r="BA298" s="273"/>
      <c r="BB298" s="273"/>
      <c r="BC298" s="273"/>
      <c r="BD298" s="273"/>
      <c r="BE298" s="273"/>
      <c r="BF298" s="273"/>
      <c r="BG298" s="273"/>
      <c r="BH298" s="273"/>
      <c r="BI298" s="274"/>
      <c r="BJ298" s="272"/>
      <c r="BK298" s="273"/>
      <c r="BL298" s="273"/>
      <c r="BM298" s="273"/>
      <c r="BN298" s="273"/>
      <c r="BO298" s="273"/>
      <c r="BP298" s="273"/>
      <c r="BQ298" s="273"/>
      <c r="BR298" s="273"/>
      <c r="BS298" s="273"/>
      <c r="BT298" s="273"/>
      <c r="BU298" s="273"/>
      <c r="BV298" s="273"/>
      <c r="BW298" s="273"/>
      <c r="BX298" s="273"/>
      <c r="BY298" s="273"/>
      <c r="BZ298" s="273"/>
      <c r="CA298" s="273"/>
      <c r="CB298" s="273"/>
      <c r="CC298" s="273"/>
      <c r="CD298" s="273"/>
      <c r="CE298" s="273"/>
      <c r="CF298" s="273"/>
      <c r="CG298" s="273"/>
      <c r="CH298" s="273"/>
      <c r="CI298" s="273"/>
      <c r="CJ298" s="273"/>
      <c r="CK298" s="274"/>
      <c r="FJ298" s="270"/>
      <c r="FK298" s="170"/>
      <c r="FL298" s="170"/>
      <c r="FM298" s="170"/>
      <c r="FN298" s="170"/>
      <c r="FO298" s="170"/>
      <c r="FP298" s="170"/>
      <c r="FQ298" s="170"/>
      <c r="FR298" s="170"/>
      <c r="FS298" s="170"/>
      <c r="FT298" s="170"/>
      <c r="FU298" s="170"/>
      <c r="FV298" s="170"/>
      <c r="FW298" s="170"/>
      <c r="FX298" s="170"/>
      <c r="FY298" s="170"/>
      <c r="FZ298" s="170"/>
      <c r="GA298" s="170"/>
      <c r="GB298" s="170"/>
      <c r="GC298" s="170"/>
      <c r="GD298" s="170"/>
      <c r="GE298" s="170"/>
      <c r="GF298" s="170"/>
      <c r="GG298" s="170"/>
      <c r="GH298" s="170"/>
      <c r="GI298" s="170"/>
      <c r="GJ298" s="170"/>
      <c r="GK298" s="271"/>
      <c r="GL298" s="270"/>
      <c r="GM298" s="170"/>
      <c r="GN298" s="170"/>
      <c r="GO298" s="170"/>
      <c r="GP298" s="170"/>
      <c r="GQ298" s="170"/>
      <c r="GR298" s="170"/>
      <c r="GS298" s="170"/>
      <c r="GT298" s="170"/>
      <c r="GU298" s="170"/>
      <c r="GV298" s="170"/>
      <c r="GW298" s="170"/>
      <c r="GX298" s="170"/>
      <c r="GY298" s="170"/>
      <c r="GZ298" s="170"/>
      <c r="HA298" s="170"/>
      <c r="HB298" s="170"/>
      <c r="HC298" s="170"/>
      <c r="HD298" s="170"/>
      <c r="HE298" s="170"/>
      <c r="HF298" s="170"/>
      <c r="HG298" s="170"/>
      <c r="HH298" s="170"/>
      <c r="HI298" s="170"/>
      <c r="HJ298" s="170"/>
      <c r="HK298" s="170"/>
      <c r="HL298" s="170"/>
      <c r="HM298" s="271"/>
      <c r="HN298" s="270"/>
      <c r="HO298" s="170"/>
      <c r="HP298" s="170"/>
      <c r="HQ298" s="170"/>
      <c r="HR298" s="170"/>
      <c r="HS298" s="170"/>
      <c r="HT298" s="170"/>
      <c r="HU298" s="170"/>
      <c r="HV298" s="170"/>
      <c r="HW298" s="170"/>
      <c r="HX298" s="170"/>
      <c r="HY298" s="170"/>
      <c r="HZ298" s="170"/>
      <c r="IA298" s="170"/>
      <c r="IB298" s="170"/>
      <c r="IC298" s="170"/>
      <c r="ID298" s="170"/>
      <c r="IE298" s="170"/>
      <c r="IF298" s="170"/>
      <c r="IG298" s="170"/>
      <c r="IH298" s="170"/>
      <c r="II298" s="170"/>
      <c r="IJ298" s="170"/>
      <c r="IK298" s="170"/>
      <c r="IL298" s="170"/>
      <c r="IM298" s="170"/>
      <c r="IN298" s="170"/>
      <c r="IO298" s="271"/>
      <c r="LW298" s="12"/>
      <c r="LX298" s="7"/>
    </row>
    <row r="299" spans="3:336" ht="5.0999999999999996" customHeight="1" x14ac:dyDescent="0.3">
      <c r="C299" s="11"/>
      <c r="D299" s="13"/>
      <c r="F299" s="267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  <c r="AA299" s="268"/>
      <c r="AB299" s="268"/>
      <c r="AC299" s="268"/>
      <c r="AD299" s="268"/>
      <c r="AE299" s="268"/>
      <c r="AF299" s="268"/>
      <c r="AG299" s="269"/>
      <c r="AH299" s="267"/>
      <c r="AI299" s="268"/>
      <c r="AJ299" s="268"/>
      <c r="AK299" s="268"/>
      <c r="AL299" s="268"/>
      <c r="AM299" s="268"/>
      <c r="AN299" s="268"/>
      <c r="AO299" s="268"/>
      <c r="AP299" s="268"/>
      <c r="AQ299" s="268"/>
      <c r="AR299" s="268"/>
      <c r="AS299" s="268"/>
      <c r="AT299" s="268"/>
      <c r="AU299" s="268"/>
      <c r="AV299" s="268"/>
      <c r="AW299" s="268"/>
      <c r="AX299" s="268"/>
      <c r="AY299" s="268"/>
      <c r="AZ299" s="268"/>
      <c r="BA299" s="268"/>
      <c r="BB299" s="268"/>
      <c r="BC299" s="268"/>
      <c r="BD299" s="268"/>
      <c r="BE299" s="268"/>
      <c r="BF299" s="268"/>
      <c r="BG299" s="268"/>
      <c r="BH299" s="268"/>
      <c r="BI299" s="269"/>
      <c r="BJ299" s="267"/>
      <c r="BK299" s="268"/>
      <c r="BL299" s="268"/>
      <c r="BM299" s="268"/>
      <c r="BN299" s="268"/>
      <c r="BO299" s="268"/>
      <c r="BP299" s="268"/>
      <c r="BQ299" s="268"/>
      <c r="BR299" s="268"/>
      <c r="BS299" s="268"/>
      <c r="BT299" s="268"/>
      <c r="BU299" s="268"/>
      <c r="BV299" s="268"/>
      <c r="BW299" s="268"/>
      <c r="BX299" s="268"/>
      <c r="BY299" s="268"/>
      <c r="BZ299" s="268"/>
      <c r="CA299" s="268"/>
      <c r="CB299" s="268"/>
      <c r="CC299" s="268"/>
      <c r="CD299" s="268"/>
      <c r="CE299" s="268"/>
      <c r="CF299" s="268"/>
      <c r="CG299" s="268"/>
      <c r="CH299" s="268"/>
      <c r="CI299" s="268"/>
      <c r="CJ299" s="268"/>
      <c r="CK299" s="269"/>
      <c r="FJ299" s="270"/>
      <c r="FK299" s="170"/>
      <c r="FL299" s="170"/>
      <c r="FM299" s="170"/>
      <c r="FN299" s="170"/>
      <c r="FO299" s="170"/>
      <c r="FP299" s="170"/>
      <c r="FQ299" s="170"/>
      <c r="FR299" s="170"/>
      <c r="FS299" s="170"/>
      <c r="FT299" s="170"/>
      <c r="FU299" s="170"/>
      <c r="FV299" s="170"/>
      <c r="FW299" s="170"/>
      <c r="FX299" s="170"/>
      <c r="FY299" s="170"/>
      <c r="FZ299" s="170"/>
      <c r="GA299" s="170"/>
      <c r="GB299" s="170"/>
      <c r="GC299" s="170"/>
      <c r="GD299" s="170"/>
      <c r="GE299" s="170"/>
      <c r="GF299" s="170"/>
      <c r="GG299" s="170"/>
      <c r="GH299" s="170"/>
      <c r="GI299" s="170"/>
      <c r="GJ299" s="170"/>
      <c r="GK299" s="271"/>
      <c r="GL299" s="270"/>
      <c r="GM299" s="170"/>
      <c r="GN299" s="170"/>
      <c r="GO299" s="170"/>
      <c r="GP299" s="170"/>
      <c r="GQ299" s="170"/>
      <c r="GR299" s="170"/>
      <c r="GS299" s="170"/>
      <c r="GT299" s="170"/>
      <c r="GU299" s="170"/>
      <c r="GV299" s="170"/>
      <c r="GW299" s="170"/>
      <c r="GX299" s="170"/>
      <c r="GY299" s="170"/>
      <c r="GZ299" s="170"/>
      <c r="HA299" s="170"/>
      <c r="HB299" s="170"/>
      <c r="HC299" s="170"/>
      <c r="HD299" s="170"/>
      <c r="HE299" s="170"/>
      <c r="HF299" s="170"/>
      <c r="HG299" s="170"/>
      <c r="HH299" s="170"/>
      <c r="HI299" s="170"/>
      <c r="HJ299" s="170"/>
      <c r="HK299" s="170"/>
      <c r="HL299" s="170"/>
      <c r="HM299" s="271"/>
      <c r="HN299" s="270"/>
      <c r="HO299" s="170"/>
      <c r="HP299" s="170"/>
      <c r="HQ299" s="170"/>
      <c r="HR299" s="170"/>
      <c r="HS299" s="170"/>
      <c r="HT299" s="170"/>
      <c r="HU299" s="170"/>
      <c r="HV299" s="170"/>
      <c r="HW299" s="170"/>
      <c r="HX299" s="170"/>
      <c r="HY299" s="170"/>
      <c r="HZ299" s="170"/>
      <c r="IA299" s="170"/>
      <c r="IB299" s="170"/>
      <c r="IC299" s="170"/>
      <c r="ID299" s="170"/>
      <c r="IE299" s="170"/>
      <c r="IF299" s="170"/>
      <c r="IG299" s="170"/>
      <c r="IH299" s="170"/>
      <c r="II299" s="170"/>
      <c r="IJ299" s="170"/>
      <c r="IK299" s="170"/>
      <c r="IL299" s="170"/>
      <c r="IM299" s="170"/>
      <c r="IN299" s="170"/>
      <c r="IO299" s="271"/>
      <c r="LW299" s="12"/>
      <c r="LX299" s="7"/>
    </row>
    <row r="300" spans="3:336" ht="5.0999999999999996" customHeight="1" thickBot="1" x14ac:dyDescent="0.35">
      <c r="C300" s="11"/>
      <c r="D300" s="13"/>
      <c r="F300" s="2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  <c r="AF300" s="170"/>
      <c r="AG300" s="271"/>
      <c r="AH300" s="270"/>
      <c r="AI300" s="170"/>
      <c r="AJ300" s="170"/>
      <c r="AK300" s="170"/>
      <c r="AL300" s="170"/>
      <c r="AM300" s="170"/>
      <c r="AN300" s="170"/>
      <c r="AO300" s="170"/>
      <c r="AP300" s="170"/>
      <c r="AQ300" s="170"/>
      <c r="AR300" s="170"/>
      <c r="AS300" s="170"/>
      <c r="AT300" s="170"/>
      <c r="AU300" s="170"/>
      <c r="AV300" s="170"/>
      <c r="AW300" s="170"/>
      <c r="AX300" s="170"/>
      <c r="AY300" s="170"/>
      <c r="AZ300" s="170"/>
      <c r="BA300" s="170"/>
      <c r="BB300" s="170"/>
      <c r="BC300" s="170"/>
      <c r="BD300" s="170"/>
      <c r="BE300" s="170"/>
      <c r="BF300" s="170"/>
      <c r="BG300" s="170"/>
      <c r="BH300" s="170"/>
      <c r="BI300" s="271"/>
      <c r="BJ300" s="270"/>
      <c r="BK300" s="170"/>
      <c r="BL300" s="170"/>
      <c r="BM300" s="170"/>
      <c r="BN300" s="170"/>
      <c r="BO300" s="170"/>
      <c r="BP300" s="170"/>
      <c r="BQ300" s="170"/>
      <c r="BR300" s="170"/>
      <c r="BS300" s="170"/>
      <c r="BT300" s="170"/>
      <c r="BU300" s="170"/>
      <c r="BV300" s="170"/>
      <c r="BW300" s="170"/>
      <c r="BX300" s="170"/>
      <c r="BY300" s="170"/>
      <c r="BZ300" s="170"/>
      <c r="CA300" s="170"/>
      <c r="CB300" s="170"/>
      <c r="CC300" s="170"/>
      <c r="CD300" s="170"/>
      <c r="CE300" s="170"/>
      <c r="CF300" s="170"/>
      <c r="CG300" s="170"/>
      <c r="CH300" s="170"/>
      <c r="CI300" s="170"/>
      <c r="CJ300" s="170"/>
      <c r="CK300" s="271"/>
      <c r="FJ300" s="272"/>
      <c r="FK300" s="273"/>
      <c r="FL300" s="273"/>
      <c r="FM300" s="273"/>
      <c r="FN300" s="273"/>
      <c r="FO300" s="273"/>
      <c r="FP300" s="273"/>
      <c r="FQ300" s="273"/>
      <c r="FR300" s="273"/>
      <c r="FS300" s="273"/>
      <c r="FT300" s="273"/>
      <c r="FU300" s="273"/>
      <c r="FV300" s="273"/>
      <c r="FW300" s="273"/>
      <c r="FX300" s="273"/>
      <c r="FY300" s="273"/>
      <c r="FZ300" s="273"/>
      <c r="GA300" s="273"/>
      <c r="GB300" s="273"/>
      <c r="GC300" s="273"/>
      <c r="GD300" s="273"/>
      <c r="GE300" s="273"/>
      <c r="GF300" s="273"/>
      <c r="GG300" s="273"/>
      <c r="GH300" s="273"/>
      <c r="GI300" s="273"/>
      <c r="GJ300" s="273"/>
      <c r="GK300" s="274"/>
      <c r="GL300" s="272"/>
      <c r="GM300" s="273"/>
      <c r="GN300" s="273"/>
      <c r="GO300" s="273"/>
      <c r="GP300" s="273"/>
      <c r="GQ300" s="273"/>
      <c r="GR300" s="273"/>
      <c r="GS300" s="273"/>
      <c r="GT300" s="273"/>
      <c r="GU300" s="273"/>
      <c r="GV300" s="273"/>
      <c r="GW300" s="273"/>
      <c r="GX300" s="273"/>
      <c r="GY300" s="273"/>
      <c r="GZ300" s="273"/>
      <c r="HA300" s="273"/>
      <c r="HB300" s="273"/>
      <c r="HC300" s="273"/>
      <c r="HD300" s="273"/>
      <c r="HE300" s="273"/>
      <c r="HF300" s="273"/>
      <c r="HG300" s="273"/>
      <c r="HH300" s="273"/>
      <c r="HI300" s="273"/>
      <c r="HJ300" s="273"/>
      <c r="HK300" s="273"/>
      <c r="HL300" s="273"/>
      <c r="HM300" s="274"/>
      <c r="HN300" s="272"/>
      <c r="HO300" s="273"/>
      <c r="HP300" s="273"/>
      <c r="HQ300" s="273"/>
      <c r="HR300" s="273"/>
      <c r="HS300" s="273"/>
      <c r="HT300" s="273"/>
      <c r="HU300" s="273"/>
      <c r="HV300" s="273"/>
      <c r="HW300" s="273"/>
      <c r="HX300" s="273"/>
      <c r="HY300" s="273"/>
      <c r="HZ300" s="273"/>
      <c r="IA300" s="273"/>
      <c r="IB300" s="273"/>
      <c r="IC300" s="273"/>
      <c r="ID300" s="273"/>
      <c r="IE300" s="273"/>
      <c r="IF300" s="273"/>
      <c r="IG300" s="273"/>
      <c r="IH300" s="273"/>
      <c r="II300" s="273"/>
      <c r="IJ300" s="273"/>
      <c r="IK300" s="273"/>
      <c r="IL300" s="273"/>
      <c r="IM300" s="273"/>
      <c r="IN300" s="273"/>
      <c r="IO300" s="274"/>
      <c r="LW300" s="12"/>
      <c r="LX300" s="7"/>
    </row>
    <row r="301" spans="3:336" ht="5.0999999999999996" customHeight="1" x14ac:dyDescent="0.3">
      <c r="C301" s="11"/>
      <c r="D301" s="13"/>
      <c r="F301" s="2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  <c r="AF301" s="170"/>
      <c r="AG301" s="271"/>
      <c r="AH301" s="270"/>
      <c r="AI301" s="170"/>
      <c r="AJ301" s="170"/>
      <c r="AK301" s="170"/>
      <c r="AL301" s="170"/>
      <c r="AM301" s="170"/>
      <c r="AN301" s="170"/>
      <c r="AO301" s="170"/>
      <c r="AP301" s="170"/>
      <c r="AQ301" s="170"/>
      <c r="AR301" s="170"/>
      <c r="AS301" s="170"/>
      <c r="AT301" s="170"/>
      <c r="AU301" s="170"/>
      <c r="AV301" s="170"/>
      <c r="AW301" s="170"/>
      <c r="AX301" s="170"/>
      <c r="AY301" s="170"/>
      <c r="AZ301" s="170"/>
      <c r="BA301" s="170"/>
      <c r="BB301" s="170"/>
      <c r="BC301" s="170"/>
      <c r="BD301" s="170"/>
      <c r="BE301" s="170"/>
      <c r="BF301" s="170"/>
      <c r="BG301" s="170"/>
      <c r="BH301" s="170"/>
      <c r="BI301" s="271"/>
      <c r="BJ301" s="270"/>
      <c r="BK301" s="170"/>
      <c r="BL301" s="170"/>
      <c r="BM301" s="170"/>
      <c r="BN301" s="170"/>
      <c r="BO301" s="170"/>
      <c r="BP301" s="170"/>
      <c r="BQ301" s="170"/>
      <c r="BR301" s="170"/>
      <c r="BS301" s="170"/>
      <c r="BT301" s="170"/>
      <c r="BU301" s="170"/>
      <c r="BV301" s="170"/>
      <c r="BW301" s="170"/>
      <c r="BX301" s="170"/>
      <c r="BY301" s="170"/>
      <c r="BZ301" s="170"/>
      <c r="CA301" s="170"/>
      <c r="CB301" s="170"/>
      <c r="CC301" s="170"/>
      <c r="CD301" s="170"/>
      <c r="CE301" s="170"/>
      <c r="CF301" s="170"/>
      <c r="CG301" s="170"/>
      <c r="CH301" s="170"/>
      <c r="CI301" s="170"/>
      <c r="CJ301" s="170"/>
      <c r="CK301" s="271"/>
      <c r="LW301" s="12"/>
      <c r="LX301" s="7"/>
    </row>
    <row r="302" spans="3:336" ht="5.0999999999999996" customHeight="1" x14ac:dyDescent="0.3">
      <c r="C302" s="11"/>
      <c r="D302" s="13"/>
      <c r="F302" s="2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  <c r="AF302" s="170"/>
      <c r="AG302" s="271"/>
      <c r="AH302" s="270"/>
      <c r="AI302" s="170"/>
      <c r="AJ302" s="170"/>
      <c r="AK302" s="170"/>
      <c r="AL302" s="170"/>
      <c r="AM302" s="170"/>
      <c r="AN302" s="170"/>
      <c r="AO302" s="170"/>
      <c r="AP302" s="170"/>
      <c r="AQ302" s="170"/>
      <c r="AR302" s="170"/>
      <c r="AS302" s="170"/>
      <c r="AT302" s="170"/>
      <c r="AU302" s="170"/>
      <c r="AV302" s="170"/>
      <c r="AW302" s="170"/>
      <c r="AX302" s="170"/>
      <c r="AY302" s="170"/>
      <c r="AZ302" s="170"/>
      <c r="BA302" s="170"/>
      <c r="BB302" s="170"/>
      <c r="BC302" s="170"/>
      <c r="BD302" s="170"/>
      <c r="BE302" s="170"/>
      <c r="BF302" s="170"/>
      <c r="BG302" s="170"/>
      <c r="BH302" s="170"/>
      <c r="BI302" s="271"/>
      <c r="BJ302" s="270"/>
      <c r="BK302" s="170"/>
      <c r="BL302" s="170"/>
      <c r="BM302" s="170"/>
      <c r="BN302" s="170"/>
      <c r="BO302" s="170"/>
      <c r="BP302" s="170"/>
      <c r="BQ302" s="170"/>
      <c r="BR302" s="170"/>
      <c r="BS302" s="170"/>
      <c r="BT302" s="170"/>
      <c r="BU302" s="170"/>
      <c r="BV302" s="170"/>
      <c r="BW302" s="170"/>
      <c r="BX302" s="170"/>
      <c r="BY302" s="170"/>
      <c r="BZ302" s="170"/>
      <c r="CA302" s="170"/>
      <c r="CB302" s="170"/>
      <c r="CC302" s="170"/>
      <c r="CD302" s="170"/>
      <c r="CE302" s="170"/>
      <c r="CF302" s="170"/>
      <c r="CG302" s="170"/>
      <c r="CH302" s="170"/>
      <c r="CI302" s="170"/>
      <c r="CJ302" s="170"/>
      <c r="CK302" s="271"/>
      <c r="LW302" s="12"/>
      <c r="LX302" s="7"/>
    </row>
    <row r="303" spans="3:336" ht="5.0999999999999996" customHeight="1" thickBot="1" x14ac:dyDescent="0.35">
      <c r="C303" s="11"/>
      <c r="D303" s="13"/>
      <c r="F303" s="272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  <c r="AD303" s="273"/>
      <c r="AE303" s="273"/>
      <c r="AF303" s="273"/>
      <c r="AG303" s="274"/>
      <c r="AH303" s="272"/>
      <c r="AI303" s="273"/>
      <c r="AJ303" s="273"/>
      <c r="AK303" s="273"/>
      <c r="AL303" s="273"/>
      <c r="AM303" s="273"/>
      <c r="AN303" s="273"/>
      <c r="AO303" s="273"/>
      <c r="AP303" s="273"/>
      <c r="AQ303" s="273"/>
      <c r="AR303" s="273"/>
      <c r="AS303" s="273"/>
      <c r="AT303" s="273"/>
      <c r="AU303" s="273"/>
      <c r="AV303" s="273"/>
      <c r="AW303" s="273"/>
      <c r="AX303" s="273"/>
      <c r="AY303" s="273"/>
      <c r="AZ303" s="273"/>
      <c r="BA303" s="273"/>
      <c r="BB303" s="273"/>
      <c r="BC303" s="273"/>
      <c r="BD303" s="273"/>
      <c r="BE303" s="273"/>
      <c r="BF303" s="273"/>
      <c r="BG303" s="273"/>
      <c r="BH303" s="273"/>
      <c r="BI303" s="274"/>
      <c r="BJ303" s="272"/>
      <c r="BK303" s="273"/>
      <c r="BL303" s="273"/>
      <c r="BM303" s="273"/>
      <c r="BN303" s="273"/>
      <c r="BO303" s="273"/>
      <c r="BP303" s="273"/>
      <c r="BQ303" s="273"/>
      <c r="BR303" s="273"/>
      <c r="BS303" s="273"/>
      <c r="BT303" s="273"/>
      <c r="BU303" s="273"/>
      <c r="BV303" s="273"/>
      <c r="BW303" s="273"/>
      <c r="BX303" s="273"/>
      <c r="BY303" s="273"/>
      <c r="BZ303" s="273"/>
      <c r="CA303" s="273"/>
      <c r="CB303" s="273"/>
      <c r="CC303" s="273"/>
      <c r="CD303" s="273"/>
      <c r="CE303" s="273"/>
      <c r="CF303" s="273"/>
      <c r="CG303" s="273"/>
      <c r="CH303" s="273"/>
      <c r="CI303" s="273"/>
      <c r="CJ303" s="273"/>
      <c r="CK303" s="274"/>
      <c r="LW303" s="12"/>
      <c r="LX303" s="7"/>
    </row>
    <row r="304" spans="3:336" ht="5.0999999999999996" customHeight="1" x14ac:dyDescent="0.3">
      <c r="C304" s="11"/>
      <c r="D304" s="13"/>
      <c r="LW304" s="12"/>
      <c r="LX304" s="7"/>
    </row>
    <row r="305" spans="3:360" ht="5.0999999999999996" customHeight="1" x14ac:dyDescent="0.3">
      <c r="C305" s="11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  <c r="II305" s="9"/>
      <c r="IJ305" s="9"/>
      <c r="IK305" s="9"/>
      <c r="IL305" s="9"/>
      <c r="IM305" s="9"/>
      <c r="IN305" s="9"/>
      <c r="IO305" s="9"/>
      <c r="IP305" s="9"/>
      <c r="IQ305" s="9"/>
      <c r="IR305" s="9"/>
      <c r="IS305" s="9"/>
      <c r="IT305" s="9"/>
      <c r="IU305" s="9"/>
      <c r="IV305" s="9"/>
      <c r="IW305" s="9"/>
      <c r="IX305" s="9"/>
      <c r="IY305" s="9"/>
      <c r="IZ305" s="9"/>
      <c r="JA305" s="9"/>
      <c r="JB305" s="9"/>
      <c r="JC305" s="9"/>
      <c r="JD305" s="9"/>
      <c r="JE305" s="9"/>
      <c r="JF305" s="9"/>
      <c r="JG305" s="9"/>
      <c r="JH305" s="9"/>
      <c r="JI305" s="9"/>
      <c r="JJ305" s="9"/>
      <c r="JK305" s="9"/>
      <c r="JL305" s="9"/>
      <c r="JM305" s="9"/>
      <c r="JN305" s="9"/>
      <c r="JO305" s="9"/>
      <c r="JP305" s="9"/>
      <c r="JQ305" s="9"/>
      <c r="JR305" s="9"/>
      <c r="JS305" s="9"/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  <c r="LW305" s="8"/>
      <c r="LX305" s="7"/>
    </row>
    <row r="306" spans="3:360" ht="3" customHeight="1" thickBot="1" x14ac:dyDescent="0.35"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5"/>
      <c r="LK306" s="5"/>
      <c r="LL306" s="5"/>
      <c r="LM306" s="5"/>
      <c r="LN306" s="5"/>
      <c r="LO306" s="5"/>
      <c r="LP306" s="5"/>
      <c r="LQ306" s="5"/>
      <c r="LR306" s="5"/>
      <c r="LS306" s="5"/>
      <c r="LT306" s="5"/>
      <c r="LU306" s="5"/>
      <c r="LV306" s="5"/>
      <c r="LW306" s="5"/>
      <c r="LX306" s="4"/>
    </row>
    <row r="307" spans="3:360" ht="5.0999999999999996" customHeight="1" thickTop="1" x14ac:dyDescent="0.3"/>
    <row r="308" spans="3:360" ht="5.0999999999999996" customHeight="1" x14ac:dyDescent="0.3"/>
    <row r="309" spans="3:360" ht="5.0999999999999996" customHeight="1" x14ac:dyDescent="0.3"/>
    <row r="310" spans="3:360" ht="5.0999999999999996" customHeight="1" x14ac:dyDescent="0.3"/>
    <row r="311" spans="3:360" ht="5.0999999999999996" customHeight="1" x14ac:dyDescent="0.3">
      <c r="N311" s="3"/>
      <c r="O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EI311" s="3"/>
      <c r="EJ311" s="3"/>
      <c r="EK311" s="3"/>
      <c r="EL311" s="3"/>
      <c r="EM311" s="3"/>
      <c r="EN311" s="3"/>
      <c r="EO311" s="3"/>
      <c r="EP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LY311" s="3"/>
      <c r="LZ311" s="3"/>
      <c r="MA311" s="3"/>
      <c r="MB311" s="3"/>
      <c r="MQ311" s="3"/>
      <c r="MR311" s="3"/>
      <c r="MS311" s="3"/>
      <c r="MT311" s="3"/>
      <c r="MU311" s="3"/>
    </row>
    <row r="312" spans="3:360" ht="5.0999999999999996" customHeight="1" x14ac:dyDescent="0.3">
      <c r="N312" s="3"/>
      <c r="O312" s="3"/>
      <c r="P312" s="2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LY312" s="3"/>
      <c r="LZ312" s="3"/>
      <c r="MA312" s="3"/>
      <c r="MB312" s="3"/>
      <c r="MC312" s="2"/>
      <c r="MQ312" s="3"/>
      <c r="MR312" s="3"/>
      <c r="MS312" s="3"/>
      <c r="MT312" s="3"/>
      <c r="MU312" s="3"/>
      <c r="MV312" s="2"/>
    </row>
    <row r="313" spans="3:360" ht="5.0999999999999996" customHeight="1" x14ac:dyDescent="0.3"/>
    <row r="314" spans="3:360" ht="5.0999999999999996" customHeight="1" x14ac:dyDescent="0.3"/>
    <row r="315" spans="3:360" ht="5.0999999999999996" customHeight="1" x14ac:dyDescent="0.3"/>
    <row r="316" spans="3:360" ht="5.0999999999999996" customHeight="1" x14ac:dyDescent="0.3"/>
    <row r="317" spans="3:360" ht="5.0999999999999996" customHeight="1" x14ac:dyDescent="0.3"/>
    <row r="318" spans="3:360" ht="5.0999999999999996" customHeight="1" x14ac:dyDescent="0.3">
      <c r="N318" s="3"/>
      <c r="O318" s="3"/>
      <c r="P318" s="2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LY318" s="3"/>
      <c r="LZ318" s="3"/>
      <c r="MA318" s="3"/>
      <c r="MB318" s="3"/>
      <c r="MC318" s="2"/>
      <c r="MQ318" s="3"/>
      <c r="MR318" s="3"/>
      <c r="MS318" s="3"/>
      <c r="MT318" s="3"/>
      <c r="MU318" s="3"/>
      <c r="MV318" s="2"/>
    </row>
    <row r="319" spans="3:360" ht="5.0999999999999996" customHeight="1" x14ac:dyDescent="0.3">
      <c r="N319" s="3"/>
      <c r="O319" s="3"/>
      <c r="P319" s="2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LY319" s="3"/>
      <c r="LZ319" s="3"/>
      <c r="MA319" s="3"/>
      <c r="MB319" s="3"/>
      <c r="MC319" s="2"/>
      <c r="MQ319" s="3"/>
      <c r="MR319" s="3"/>
      <c r="MS319" s="3"/>
      <c r="MT319" s="3"/>
      <c r="MU319" s="3"/>
      <c r="MV319" s="2"/>
    </row>
    <row r="320" spans="3:360" ht="5.0999999999999996" customHeight="1" x14ac:dyDescent="0.3"/>
    <row r="321" ht="5.0999999999999996" customHeight="1" x14ac:dyDescent="0.3"/>
    <row r="322" ht="5.0999999999999996" customHeight="1" x14ac:dyDescent="0.3"/>
    <row r="323" ht="5.0999999999999996" customHeight="1" x14ac:dyDescent="0.3"/>
    <row r="324" ht="5.0999999999999996" customHeight="1" x14ac:dyDescent="0.3"/>
    <row r="325" ht="5.0999999999999996" customHeight="1" x14ac:dyDescent="0.3"/>
    <row r="326" ht="5.0999999999999996" customHeight="1" x14ac:dyDescent="0.3"/>
  </sheetData>
  <mergeCells count="145">
    <mergeCell ref="FJ266:HG272"/>
    <mergeCell ref="HH266:HS272"/>
    <mergeCell ref="FJ273:HG279"/>
    <mergeCell ref="HH273:HS279"/>
    <mergeCell ref="FJ280:HG286"/>
    <mergeCell ref="HH280:HS286"/>
    <mergeCell ref="FJ287:HG293"/>
    <mergeCell ref="HH287:HS293"/>
    <mergeCell ref="JU210:LI219"/>
    <mergeCell ref="LJ210:LN219"/>
    <mergeCell ref="JU220:LI229"/>
    <mergeCell ref="LJ220:LN229"/>
    <mergeCell ref="JU231:LI240"/>
    <mergeCell ref="LJ231:LN240"/>
    <mergeCell ref="JU242:LI251"/>
    <mergeCell ref="LJ242:LN251"/>
    <mergeCell ref="FJ259:HG265"/>
    <mergeCell ref="HH259:HS265"/>
    <mergeCell ref="JU117:LI126"/>
    <mergeCell ref="LJ117:LN126"/>
    <mergeCell ref="JU128:LI137"/>
    <mergeCell ref="LJ128:LN137"/>
    <mergeCell ref="JU263:LI272"/>
    <mergeCell ref="LJ263:LN272"/>
    <mergeCell ref="JU274:LI283"/>
    <mergeCell ref="LJ274:LN283"/>
    <mergeCell ref="JU139:LI148"/>
    <mergeCell ref="LJ139:LN148"/>
    <mergeCell ref="JU150:LI159"/>
    <mergeCell ref="LJ150:LN159"/>
    <mergeCell ref="JU160:LI169"/>
    <mergeCell ref="LJ160:LN169"/>
    <mergeCell ref="JU170:LI179"/>
    <mergeCell ref="LJ170:LN179"/>
    <mergeCell ref="JU180:LI189"/>
    <mergeCell ref="LJ180:LN189"/>
    <mergeCell ref="JU190:LI199"/>
    <mergeCell ref="LJ190:LN199"/>
    <mergeCell ref="JU252:LI261"/>
    <mergeCell ref="LJ252:LN261"/>
    <mergeCell ref="JU200:LI209"/>
    <mergeCell ref="LJ200:LN209"/>
    <mergeCell ref="F299:AG303"/>
    <mergeCell ref="AH299:BI303"/>
    <mergeCell ref="BJ299:CK303"/>
    <mergeCell ref="FJ296:GK300"/>
    <mergeCell ref="GL296:HM300"/>
    <mergeCell ref="HN296:IO300"/>
    <mergeCell ref="F289:AG293"/>
    <mergeCell ref="AH289:BI293"/>
    <mergeCell ref="BJ289:CK293"/>
    <mergeCell ref="F294:AG298"/>
    <mergeCell ref="AH294:BI298"/>
    <mergeCell ref="BJ294:CK298"/>
    <mergeCell ref="FL181:GY190"/>
    <mergeCell ref="GZ181:HD190"/>
    <mergeCell ref="Q191:BE200"/>
    <mergeCell ref="BF191:BJ200"/>
    <mergeCell ref="FL191:GY200"/>
    <mergeCell ref="GZ191:HD200"/>
    <mergeCell ref="Q171:BE180"/>
    <mergeCell ref="BF171:BJ180"/>
    <mergeCell ref="Q211:BE220"/>
    <mergeCell ref="BF211:BJ220"/>
    <mergeCell ref="Q221:BE230"/>
    <mergeCell ref="BF221:BJ230"/>
    <mergeCell ref="FL171:GY180"/>
    <mergeCell ref="GZ171:HD180"/>
    <mergeCell ref="Q181:BE190"/>
    <mergeCell ref="BF181:BJ190"/>
    <mergeCell ref="JB117:JG126"/>
    <mergeCell ref="HN139:JA148"/>
    <mergeCell ref="JB139:JG148"/>
    <mergeCell ref="Q141:BE150"/>
    <mergeCell ref="BF141:BJ150"/>
    <mergeCell ref="BQ147:DD156"/>
    <mergeCell ref="DE147:DI156"/>
    <mergeCell ref="DO147:FB156"/>
    <mergeCell ref="FC147:FG156"/>
    <mergeCell ref="FL147:GY156"/>
    <mergeCell ref="GZ147:HD156"/>
    <mergeCell ref="HN149:JA158"/>
    <mergeCell ref="JB149:JG158"/>
    <mergeCell ref="Q151:BE160"/>
    <mergeCell ref="BF151:BJ160"/>
    <mergeCell ref="Q129:BE138"/>
    <mergeCell ref="BF129:BJ138"/>
    <mergeCell ref="DO129:FA138"/>
    <mergeCell ref="FB129:FF138"/>
    <mergeCell ref="Q117:BE126"/>
    <mergeCell ref="BF117:BJ126"/>
    <mergeCell ref="DO117:FA126"/>
    <mergeCell ref="FB117:FF126"/>
    <mergeCell ref="HN117:JA126"/>
    <mergeCell ref="E5:LV8"/>
    <mergeCell ref="E9:LV11"/>
    <mergeCell ref="E12:LV15"/>
    <mergeCell ref="DR18:FF26"/>
    <mergeCell ref="FG18:FJ26"/>
    <mergeCell ref="Q54:BE63"/>
    <mergeCell ref="BF54:BJ63"/>
    <mergeCell ref="GH37:HV46"/>
    <mergeCell ref="HW37:IB46"/>
    <mergeCell ref="GH48:HV56"/>
    <mergeCell ref="HW48:IB56"/>
    <mergeCell ref="Q76:BE85"/>
    <mergeCell ref="BF76:BJ85"/>
    <mergeCell ref="DR35:FF43"/>
    <mergeCell ref="FG35:FJ43"/>
    <mergeCell ref="Q87:BE95"/>
    <mergeCell ref="BF87:BJ95"/>
    <mergeCell ref="FL92:GY101"/>
    <mergeCell ref="GZ92:HD101"/>
    <mergeCell ref="BS97:DF106"/>
    <mergeCell ref="DG97:DK106"/>
    <mergeCell ref="FL102:GY111"/>
    <mergeCell ref="GZ102:HD111"/>
    <mergeCell ref="Q65:BE74"/>
    <mergeCell ref="BF65:BJ74"/>
    <mergeCell ref="BS84:DF93"/>
    <mergeCell ref="DG84:DK93"/>
    <mergeCell ref="HN127:JA136"/>
    <mergeCell ref="JB127:JG136"/>
    <mergeCell ref="Q201:BE210"/>
    <mergeCell ref="BF201:BJ210"/>
    <mergeCell ref="HN161:JA170"/>
    <mergeCell ref="JB161:JG170"/>
    <mergeCell ref="HN171:JA180"/>
    <mergeCell ref="JB171:JG180"/>
    <mergeCell ref="HN183:JA192"/>
    <mergeCell ref="JB183:JG192"/>
    <mergeCell ref="HN193:JA202"/>
    <mergeCell ref="JB193:JG202"/>
    <mergeCell ref="Q161:BE170"/>
    <mergeCell ref="BF161:BJ170"/>
    <mergeCell ref="BQ161:DD170"/>
    <mergeCell ref="DE161:DI170"/>
    <mergeCell ref="DO161:FB170"/>
    <mergeCell ref="FC161:FG170"/>
    <mergeCell ref="FL161:GY170"/>
    <mergeCell ref="GZ161:HD170"/>
    <mergeCell ref="BQ173:DD182"/>
    <mergeCell ref="DE173:DI182"/>
    <mergeCell ref="DO171:FB180"/>
    <mergeCell ref="FC171:FG180"/>
  </mergeCells>
  <printOptions horizontalCentered="1" verticalCentered="1"/>
  <pageMargins left="0" right="0" top="0" bottom="0" header="0.31496062992125984" footer="0.31496062992125984"/>
  <pageSetup paperSize="8"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A097-49D2-461D-9488-486EAA2605F6}">
  <sheetPr codeName="Sheet6">
    <pageSetUpPr fitToPage="1"/>
  </sheetPr>
  <dimension ref="C1:MX326"/>
  <sheetViews>
    <sheetView showGridLines="0" view="pageBreakPreview" topLeftCell="A89" zoomScale="115" zoomScaleNormal="70" zoomScaleSheetLayoutView="115" workbookViewId="0">
      <selection activeCell="DG190" sqref="DG190"/>
    </sheetView>
  </sheetViews>
  <sheetFormatPr defaultColWidth="9.109375" defaultRowHeight="17.399999999999999" x14ac:dyDescent="0.3"/>
  <cols>
    <col min="1" max="1" width="1.88671875" style="1" customWidth="1"/>
    <col min="2" max="2" width="1.33203125" style="1" customWidth="1"/>
    <col min="3" max="4" width="0.5546875" style="1" customWidth="1"/>
    <col min="5" max="72" width="0.88671875" style="1" customWidth="1"/>
    <col min="73" max="73" width="1" style="1" customWidth="1"/>
    <col min="74" max="75" width="0.88671875" style="1" hidden="1" customWidth="1"/>
    <col min="76" max="222" width="0.88671875" style="1" customWidth="1"/>
    <col min="223" max="223" width="0.6640625" style="1" customWidth="1"/>
    <col min="224" max="263" width="0.88671875" style="1" customWidth="1"/>
    <col min="264" max="264" width="0.6640625" style="1" customWidth="1"/>
    <col min="265" max="336" width="0.88671875" style="1" customWidth="1"/>
    <col min="337" max="338" width="0.5546875" style="1" customWidth="1"/>
    <col min="339" max="339" width="0.88671875" style="1" customWidth="1"/>
    <col min="340" max="340" width="0.6640625" style="1" customWidth="1"/>
    <col min="341" max="343" width="0.88671875" style="1" hidden="1" customWidth="1"/>
    <col min="344" max="344" width="8.33203125" style="1" hidden="1" customWidth="1"/>
    <col min="345" max="360" width="0.88671875" style="1" customWidth="1"/>
    <col min="361" max="361" width="1" style="1" customWidth="1"/>
    <col min="362" max="372" width="0.88671875" style="1" customWidth="1"/>
    <col min="373" max="16384" width="9.109375" style="1"/>
  </cols>
  <sheetData>
    <row r="1" spans="3:362" ht="18.75" customHeight="1" x14ac:dyDescent="0.3"/>
    <row r="2" spans="3:362" ht="9" customHeight="1" thickBot="1" x14ac:dyDescent="0.35"/>
    <row r="3" spans="3:362" s="35" customFormat="1" ht="3" customHeight="1" thickTop="1" x14ac:dyDescent="0.3">
      <c r="C3" s="47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5"/>
    </row>
    <row r="4" spans="3:362" s="35" customFormat="1" ht="3" customHeight="1" thickBot="1" x14ac:dyDescent="0.35">
      <c r="C4" s="39"/>
      <c r="D4" s="4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2"/>
      <c r="LZ4" s="36"/>
    </row>
    <row r="5" spans="3:362" s="35" customFormat="1" ht="6.75" customHeight="1" x14ac:dyDescent="0.3">
      <c r="C5" s="39"/>
      <c r="D5" s="38"/>
      <c r="E5" s="243" t="s">
        <v>30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4"/>
      <c r="DM5" s="244"/>
      <c r="DN5" s="244"/>
      <c r="DO5" s="244"/>
      <c r="DP5" s="244"/>
      <c r="DQ5" s="244"/>
      <c r="DR5" s="244"/>
      <c r="DS5" s="244"/>
      <c r="DT5" s="244"/>
      <c r="DU5" s="244"/>
      <c r="DV5" s="244"/>
      <c r="DW5" s="244"/>
      <c r="DX5" s="244"/>
      <c r="DY5" s="244"/>
      <c r="DZ5" s="244"/>
      <c r="EA5" s="244"/>
      <c r="EB5" s="244"/>
      <c r="EC5" s="244"/>
      <c r="ED5" s="244"/>
      <c r="EE5" s="244"/>
      <c r="EF5" s="244"/>
      <c r="EG5" s="244"/>
      <c r="EH5" s="244"/>
      <c r="EI5" s="244"/>
      <c r="EJ5" s="244"/>
      <c r="EK5" s="244"/>
      <c r="EL5" s="244"/>
      <c r="EM5" s="244"/>
      <c r="EN5" s="244"/>
      <c r="EO5" s="244"/>
      <c r="EP5" s="244"/>
      <c r="EQ5" s="244"/>
      <c r="ER5" s="244"/>
      <c r="ES5" s="244"/>
      <c r="ET5" s="244"/>
      <c r="EU5" s="244"/>
      <c r="EV5" s="244"/>
      <c r="EW5" s="244"/>
      <c r="EX5" s="244"/>
      <c r="EY5" s="244"/>
      <c r="EZ5" s="244"/>
      <c r="FA5" s="244"/>
      <c r="FB5" s="244"/>
      <c r="FC5" s="244"/>
      <c r="FD5" s="244"/>
      <c r="FE5" s="244"/>
      <c r="FF5" s="244"/>
      <c r="FG5" s="244"/>
      <c r="FH5" s="244"/>
      <c r="FI5" s="244"/>
      <c r="FJ5" s="244"/>
      <c r="FK5" s="244"/>
      <c r="FL5" s="244"/>
      <c r="FM5" s="244"/>
      <c r="FN5" s="244"/>
      <c r="FO5" s="244"/>
      <c r="FP5" s="244"/>
      <c r="FQ5" s="244"/>
      <c r="FR5" s="244"/>
      <c r="FS5" s="244"/>
      <c r="FT5" s="244"/>
      <c r="FU5" s="244"/>
      <c r="FV5" s="244"/>
      <c r="FW5" s="244"/>
      <c r="FX5" s="244"/>
      <c r="FY5" s="244"/>
      <c r="FZ5" s="244"/>
      <c r="GA5" s="244"/>
      <c r="GB5" s="244"/>
      <c r="GC5" s="244"/>
      <c r="GD5" s="244"/>
      <c r="GE5" s="244"/>
      <c r="GF5" s="244"/>
      <c r="GG5" s="244"/>
      <c r="GH5" s="244"/>
      <c r="GI5" s="244"/>
      <c r="GJ5" s="244"/>
      <c r="GK5" s="244"/>
      <c r="GL5" s="244"/>
      <c r="GM5" s="244"/>
      <c r="GN5" s="244"/>
      <c r="GO5" s="244"/>
      <c r="GP5" s="244"/>
      <c r="GQ5" s="244"/>
      <c r="GR5" s="244"/>
      <c r="GS5" s="244"/>
      <c r="GT5" s="244"/>
      <c r="GU5" s="244"/>
      <c r="GV5" s="244"/>
      <c r="GW5" s="244"/>
      <c r="GX5" s="244"/>
      <c r="GY5" s="244"/>
      <c r="GZ5" s="244"/>
      <c r="HA5" s="244"/>
      <c r="HB5" s="244"/>
      <c r="HC5" s="244"/>
      <c r="HD5" s="244"/>
      <c r="HE5" s="244"/>
      <c r="HF5" s="244"/>
      <c r="HG5" s="244"/>
      <c r="HH5" s="244"/>
      <c r="HI5" s="244"/>
      <c r="HJ5" s="244"/>
      <c r="HK5" s="244"/>
      <c r="HL5" s="244"/>
      <c r="HM5" s="244"/>
      <c r="HN5" s="244"/>
      <c r="HO5" s="244"/>
      <c r="HP5" s="244"/>
      <c r="HQ5" s="244"/>
      <c r="HR5" s="244"/>
      <c r="HS5" s="244"/>
      <c r="HT5" s="244"/>
      <c r="HU5" s="244"/>
      <c r="HV5" s="244"/>
      <c r="HW5" s="244"/>
      <c r="HX5" s="244"/>
      <c r="HY5" s="244"/>
      <c r="HZ5" s="244"/>
      <c r="IA5" s="244"/>
      <c r="IB5" s="244"/>
      <c r="IC5" s="244"/>
      <c r="ID5" s="244"/>
      <c r="IE5" s="244"/>
      <c r="IF5" s="244"/>
      <c r="IG5" s="244"/>
      <c r="IH5" s="244"/>
      <c r="II5" s="244"/>
      <c r="IJ5" s="244"/>
      <c r="IK5" s="244"/>
      <c r="IL5" s="244"/>
      <c r="IM5" s="244"/>
      <c r="IN5" s="244"/>
      <c r="IO5" s="244"/>
      <c r="IP5" s="244"/>
      <c r="IQ5" s="244"/>
      <c r="IR5" s="244"/>
      <c r="IS5" s="244"/>
      <c r="IT5" s="244"/>
      <c r="IU5" s="244"/>
      <c r="IV5" s="244"/>
      <c r="IW5" s="244"/>
      <c r="IX5" s="244"/>
      <c r="IY5" s="244"/>
      <c r="IZ5" s="244"/>
      <c r="JA5" s="244"/>
      <c r="JB5" s="244"/>
      <c r="JC5" s="244"/>
      <c r="JD5" s="244"/>
      <c r="JE5" s="244"/>
      <c r="JF5" s="244"/>
      <c r="JG5" s="244"/>
      <c r="JH5" s="244"/>
      <c r="JI5" s="244"/>
      <c r="JJ5" s="244"/>
      <c r="JK5" s="244"/>
      <c r="JL5" s="244"/>
      <c r="JM5" s="244"/>
      <c r="JN5" s="244"/>
      <c r="JO5" s="244"/>
      <c r="JP5" s="244"/>
      <c r="JQ5" s="244"/>
      <c r="JR5" s="244"/>
      <c r="JS5" s="244"/>
      <c r="JT5" s="244"/>
      <c r="JU5" s="244"/>
      <c r="JV5" s="244"/>
      <c r="JW5" s="244"/>
      <c r="JX5" s="244"/>
      <c r="JY5" s="244"/>
      <c r="JZ5" s="244"/>
      <c r="KA5" s="244"/>
      <c r="KB5" s="244"/>
      <c r="KC5" s="244"/>
      <c r="KD5" s="244"/>
      <c r="KE5" s="244"/>
      <c r="KF5" s="244"/>
      <c r="KG5" s="244"/>
      <c r="KH5" s="244"/>
      <c r="KI5" s="244"/>
      <c r="KJ5" s="244"/>
      <c r="KK5" s="244"/>
      <c r="KL5" s="244"/>
      <c r="KM5" s="244"/>
      <c r="KN5" s="244"/>
      <c r="KO5" s="244"/>
      <c r="KP5" s="244"/>
      <c r="KQ5" s="244"/>
      <c r="KR5" s="244"/>
      <c r="KS5" s="244"/>
      <c r="KT5" s="244"/>
      <c r="KU5" s="244"/>
      <c r="KV5" s="244"/>
      <c r="KW5" s="244"/>
      <c r="KX5" s="244"/>
      <c r="KY5" s="244"/>
      <c r="KZ5" s="244"/>
      <c r="LA5" s="244"/>
      <c r="LB5" s="244"/>
      <c r="LC5" s="244"/>
      <c r="LD5" s="244"/>
      <c r="LE5" s="244"/>
      <c r="LF5" s="244"/>
      <c r="LG5" s="244"/>
      <c r="LH5" s="244"/>
      <c r="LI5" s="244"/>
      <c r="LJ5" s="244"/>
      <c r="LK5" s="244"/>
      <c r="LL5" s="244"/>
      <c r="LM5" s="244"/>
      <c r="LN5" s="244"/>
      <c r="LO5" s="244"/>
      <c r="LP5" s="244"/>
      <c r="LQ5" s="244"/>
      <c r="LR5" s="244"/>
      <c r="LS5" s="244"/>
      <c r="LT5" s="244"/>
      <c r="LU5" s="244"/>
      <c r="LV5" s="244"/>
      <c r="LW5" s="244"/>
      <c r="LX5" s="245"/>
      <c r="LY5" s="37"/>
      <c r="LZ5" s="36"/>
    </row>
    <row r="6" spans="3:362" s="35" customFormat="1" ht="6.75" customHeight="1" x14ac:dyDescent="0.3">
      <c r="C6" s="39"/>
      <c r="D6" s="38"/>
      <c r="E6" s="246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7"/>
      <c r="LQ6" s="247"/>
      <c r="LR6" s="247"/>
      <c r="LS6" s="247"/>
      <c r="LT6" s="247"/>
      <c r="LU6" s="247"/>
      <c r="LV6" s="247"/>
      <c r="LW6" s="247"/>
      <c r="LX6" s="248"/>
      <c r="LY6" s="37"/>
      <c r="LZ6" s="36"/>
    </row>
    <row r="7" spans="3:362" s="35" customFormat="1" ht="6.75" customHeight="1" x14ac:dyDescent="0.3">
      <c r="C7" s="39"/>
      <c r="D7" s="38"/>
      <c r="E7" s="246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7"/>
      <c r="LQ7" s="247"/>
      <c r="LR7" s="247"/>
      <c r="LS7" s="247"/>
      <c r="LT7" s="247"/>
      <c r="LU7" s="247"/>
      <c r="LV7" s="247"/>
      <c r="LW7" s="247"/>
      <c r="LX7" s="248"/>
      <c r="LY7" s="37"/>
      <c r="LZ7" s="36"/>
    </row>
    <row r="8" spans="3:362" s="35" customFormat="1" ht="6.75" customHeight="1" x14ac:dyDescent="0.3">
      <c r="C8" s="39"/>
      <c r="D8" s="38"/>
      <c r="E8" s="24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7"/>
      <c r="LW8" s="247"/>
      <c r="LX8" s="248"/>
      <c r="LY8" s="37"/>
      <c r="LZ8" s="36"/>
      <c r="MA8" s="41"/>
      <c r="MB8" s="41"/>
      <c r="MC8" s="41"/>
      <c r="MD8" s="41"/>
      <c r="MS8" s="41"/>
      <c r="MT8" s="41"/>
      <c r="MU8" s="41"/>
      <c r="MV8" s="41"/>
      <c r="MW8" s="41"/>
    </row>
    <row r="9" spans="3:362" s="35" customFormat="1" ht="6.75" customHeight="1" x14ac:dyDescent="0.3">
      <c r="C9" s="39"/>
      <c r="D9" s="38"/>
      <c r="E9" s="246" t="s">
        <v>18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7"/>
      <c r="LW9" s="247"/>
      <c r="LX9" s="248"/>
      <c r="LY9" s="37"/>
      <c r="LZ9" s="36"/>
      <c r="MA9" s="41"/>
      <c r="MB9" s="41"/>
      <c r="MC9" s="41"/>
      <c r="MD9" s="41"/>
      <c r="ME9" s="40"/>
      <c r="MS9" s="41"/>
      <c r="MT9" s="41"/>
      <c r="MU9" s="41"/>
      <c r="MV9" s="41"/>
      <c r="MW9" s="41"/>
      <c r="MX9" s="40"/>
    </row>
    <row r="10" spans="3:362" s="35" customFormat="1" ht="6.75" customHeight="1" x14ac:dyDescent="0.3">
      <c r="C10" s="39"/>
      <c r="D10" s="38"/>
      <c r="E10" s="24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7"/>
      <c r="LQ10" s="247"/>
      <c r="LR10" s="247"/>
      <c r="LS10" s="247"/>
      <c r="LT10" s="247"/>
      <c r="LU10" s="247"/>
      <c r="LV10" s="247"/>
      <c r="LW10" s="247"/>
      <c r="LX10" s="248"/>
      <c r="LY10" s="37"/>
      <c r="LZ10" s="36"/>
      <c r="MA10" s="41"/>
      <c r="MB10" s="41"/>
      <c r="MC10" s="41"/>
      <c r="MD10" s="41"/>
      <c r="ME10" s="40"/>
      <c r="MS10" s="41"/>
      <c r="MT10" s="41"/>
      <c r="MU10" s="41"/>
      <c r="MV10" s="41"/>
      <c r="MW10" s="41"/>
      <c r="MX10" s="40"/>
    </row>
    <row r="11" spans="3:362" s="35" customFormat="1" ht="6.75" customHeight="1" x14ac:dyDescent="0.3">
      <c r="C11" s="39"/>
      <c r="D11" s="38"/>
      <c r="E11" s="246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7"/>
      <c r="LQ11" s="247"/>
      <c r="LR11" s="247"/>
      <c r="LS11" s="247"/>
      <c r="LT11" s="247"/>
      <c r="LU11" s="247"/>
      <c r="LV11" s="247"/>
      <c r="LW11" s="247"/>
      <c r="LX11" s="248"/>
      <c r="LY11" s="37"/>
      <c r="LZ11" s="36"/>
    </row>
    <row r="12" spans="3:362" s="35" customFormat="1" ht="6.75" customHeight="1" x14ac:dyDescent="0.3">
      <c r="C12" s="39"/>
      <c r="D12" s="38"/>
      <c r="E12" s="246" t="s">
        <v>17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7"/>
      <c r="LQ12" s="247"/>
      <c r="LR12" s="247"/>
      <c r="LS12" s="247"/>
      <c r="LT12" s="247"/>
      <c r="LU12" s="247"/>
      <c r="LV12" s="247"/>
      <c r="LW12" s="247"/>
      <c r="LX12" s="248"/>
      <c r="LY12" s="37"/>
      <c r="LZ12" s="36"/>
    </row>
    <row r="13" spans="3:362" s="35" customFormat="1" ht="6.75" customHeight="1" x14ac:dyDescent="0.3">
      <c r="C13" s="39"/>
      <c r="D13" s="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7"/>
      <c r="LQ13" s="247"/>
      <c r="LR13" s="247"/>
      <c r="LS13" s="247"/>
      <c r="LT13" s="247"/>
      <c r="LU13" s="247"/>
      <c r="LV13" s="247"/>
      <c r="LW13" s="247"/>
      <c r="LX13" s="248"/>
      <c r="LY13" s="37"/>
      <c r="LZ13" s="36"/>
    </row>
    <row r="14" spans="3:362" s="35" customFormat="1" ht="6.75" customHeight="1" x14ac:dyDescent="0.3">
      <c r="C14" s="39"/>
      <c r="D14" s="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7"/>
      <c r="LQ14" s="247"/>
      <c r="LR14" s="247"/>
      <c r="LS14" s="247"/>
      <c r="LT14" s="247"/>
      <c r="LU14" s="247"/>
      <c r="LV14" s="247"/>
      <c r="LW14" s="247"/>
      <c r="LX14" s="248"/>
      <c r="LY14" s="37"/>
      <c r="LZ14" s="36"/>
    </row>
    <row r="15" spans="3:362" s="35" customFormat="1" ht="6.75" customHeight="1" thickBot="1" x14ac:dyDescent="0.35">
      <c r="C15" s="39"/>
      <c r="D15" s="38"/>
      <c r="E15" s="249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  <c r="HK15" s="250"/>
      <c r="HL15" s="250"/>
      <c r="HM15" s="250"/>
      <c r="HN15" s="250"/>
      <c r="HO15" s="250"/>
      <c r="HP15" s="250"/>
      <c r="HQ15" s="250"/>
      <c r="HR15" s="250"/>
      <c r="HS15" s="250"/>
      <c r="HT15" s="250"/>
      <c r="HU15" s="250"/>
      <c r="HV15" s="250"/>
      <c r="HW15" s="250"/>
      <c r="HX15" s="250"/>
      <c r="HY15" s="250"/>
      <c r="HZ15" s="250"/>
      <c r="IA15" s="250"/>
      <c r="IB15" s="250"/>
      <c r="IC15" s="250"/>
      <c r="ID15" s="250"/>
      <c r="IE15" s="250"/>
      <c r="IF15" s="250"/>
      <c r="IG15" s="250"/>
      <c r="IH15" s="250"/>
      <c r="II15" s="250"/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F15" s="250"/>
      <c r="KG15" s="250"/>
      <c r="KH15" s="250"/>
      <c r="KI15" s="250"/>
      <c r="KJ15" s="250"/>
      <c r="KK15" s="250"/>
      <c r="KL15" s="250"/>
      <c r="KM15" s="250"/>
      <c r="KN15" s="250"/>
      <c r="KO15" s="250"/>
      <c r="KP15" s="250"/>
      <c r="KQ15" s="250"/>
      <c r="KR15" s="250"/>
      <c r="KS15" s="250"/>
      <c r="KT15" s="250"/>
      <c r="KU15" s="250"/>
      <c r="KV15" s="250"/>
      <c r="KW15" s="250"/>
      <c r="KX15" s="250"/>
      <c r="KY15" s="250"/>
      <c r="KZ15" s="250"/>
      <c r="LA15" s="250"/>
      <c r="LB15" s="250"/>
      <c r="LC15" s="250"/>
      <c r="LD15" s="250"/>
      <c r="LE15" s="250"/>
      <c r="LF15" s="250"/>
      <c r="LG15" s="250"/>
      <c r="LH15" s="250"/>
      <c r="LI15" s="250"/>
      <c r="LJ15" s="250"/>
      <c r="LK15" s="250"/>
      <c r="LL15" s="250"/>
      <c r="LM15" s="250"/>
      <c r="LN15" s="250"/>
      <c r="LO15" s="250"/>
      <c r="LP15" s="250"/>
      <c r="LQ15" s="250"/>
      <c r="LR15" s="250"/>
      <c r="LS15" s="250"/>
      <c r="LT15" s="250"/>
      <c r="LU15" s="250"/>
      <c r="LV15" s="250"/>
      <c r="LW15" s="250"/>
      <c r="LX15" s="251"/>
      <c r="LY15" s="37"/>
      <c r="LZ15" s="36"/>
    </row>
    <row r="16" spans="3:362" ht="5.0999999999999996" customHeight="1" x14ac:dyDescent="0.3">
      <c r="C16" s="11"/>
      <c r="D16" s="1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12"/>
      <c r="LZ16" s="7"/>
    </row>
    <row r="17" spans="3:338" ht="5.0999999999999996" customHeight="1" x14ac:dyDescent="0.3">
      <c r="C17" s="11"/>
      <c r="D17" s="1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12"/>
      <c r="LZ17" s="7"/>
    </row>
    <row r="18" spans="3:338" ht="5.0999999999999996" customHeight="1" x14ac:dyDescent="0.3">
      <c r="C18" s="11"/>
      <c r="D18" s="1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T18" s="216" t="s">
        <v>61</v>
      </c>
      <c r="DU18" s="217"/>
      <c r="DV18" s="217"/>
      <c r="DW18" s="217"/>
      <c r="DX18" s="217"/>
      <c r="DY18" s="217"/>
      <c r="DZ18" s="217"/>
      <c r="EA18" s="217"/>
      <c r="EB18" s="217"/>
      <c r="EC18" s="217"/>
      <c r="ED18" s="217"/>
      <c r="EE18" s="217"/>
      <c r="EF18" s="217"/>
      <c r="EG18" s="217"/>
      <c r="EH18" s="217"/>
      <c r="EI18" s="217"/>
      <c r="EJ18" s="217"/>
      <c r="EK18" s="217"/>
      <c r="EL18" s="217"/>
      <c r="EM18" s="217"/>
      <c r="EN18" s="217"/>
      <c r="EO18" s="217"/>
      <c r="EP18" s="217"/>
      <c r="EQ18" s="217"/>
      <c r="ER18" s="217"/>
      <c r="ES18" s="217"/>
      <c r="ET18" s="217"/>
      <c r="EU18" s="217"/>
      <c r="EV18" s="217"/>
      <c r="EW18" s="217"/>
      <c r="EX18" s="217"/>
      <c r="EY18" s="217"/>
      <c r="EZ18" s="217"/>
      <c r="FA18" s="217"/>
      <c r="FB18" s="217"/>
      <c r="FC18" s="217"/>
      <c r="FD18" s="217"/>
      <c r="FE18" s="217"/>
      <c r="FF18" s="217"/>
      <c r="FG18" s="217"/>
      <c r="FH18" s="252"/>
      <c r="FI18" s="255">
        <v>1</v>
      </c>
      <c r="FJ18" s="255"/>
      <c r="FK18" s="255"/>
      <c r="FL18" s="255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12"/>
      <c r="LZ18" s="7"/>
    </row>
    <row r="19" spans="3:338" ht="5.0999999999999996" customHeight="1" x14ac:dyDescent="0.3">
      <c r="C19" s="11"/>
      <c r="D19" s="1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T19" s="219"/>
      <c r="DU19" s="220"/>
      <c r="DV19" s="220"/>
      <c r="DW19" s="220"/>
      <c r="DX19" s="220"/>
      <c r="DY19" s="220"/>
      <c r="DZ19" s="220"/>
      <c r="EA19" s="220"/>
      <c r="EB19" s="220"/>
      <c r="EC19" s="220"/>
      <c r="ED19" s="220"/>
      <c r="EE19" s="220"/>
      <c r="EF19" s="220"/>
      <c r="EG19" s="220"/>
      <c r="EH19" s="220"/>
      <c r="EI19" s="220"/>
      <c r="EJ19" s="220"/>
      <c r="EK19" s="220"/>
      <c r="EL19" s="220"/>
      <c r="EM19" s="220"/>
      <c r="EN19" s="220"/>
      <c r="EO19" s="220"/>
      <c r="EP19" s="220"/>
      <c r="EQ19" s="220"/>
      <c r="ER19" s="220"/>
      <c r="ES19" s="220"/>
      <c r="ET19" s="220"/>
      <c r="EU19" s="220"/>
      <c r="EV19" s="220"/>
      <c r="EW19" s="220"/>
      <c r="EX19" s="220"/>
      <c r="EY19" s="220"/>
      <c r="EZ19" s="220"/>
      <c r="FA19" s="220"/>
      <c r="FB19" s="220"/>
      <c r="FC19" s="220"/>
      <c r="FD19" s="220"/>
      <c r="FE19" s="220"/>
      <c r="FF19" s="220"/>
      <c r="FG19" s="220"/>
      <c r="FH19" s="253"/>
      <c r="FI19" s="255"/>
      <c r="FJ19" s="255"/>
      <c r="FK19" s="255"/>
      <c r="FL19" s="255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156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12"/>
      <c r="LZ19" s="7"/>
    </row>
    <row r="20" spans="3:338" ht="5.0999999999999996" customHeight="1" x14ac:dyDescent="0.3">
      <c r="C20" s="11"/>
      <c r="D20" s="1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T20" s="219"/>
      <c r="DU20" s="220"/>
      <c r="DV20" s="220"/>
      <c r="DW20" s="220"/>
      <c r="DX20" s="220"/>
      <c r="DY20" s="220"/>
      <c r="DZ20" s="220"/>
      <c r="EA20" s="220"/>
      <c r="EB20" s="220"/>
      <c r="EC20" s="220"/>
      <c r="ED20" s="220"/>
      <c r="EE20" s="220"/>
      <c r="EF20" s="220"/>
      <c r="EG20" s="220"/>
      <c r="EH20" s="220"/>
      <c r="EI20" s="220"/>
      <c r="EJ20" s="220"/>
      <c r="EK20" s="220"/>
      <c r="EL20" s="220"/>
      <c r="EM20" s="220"/>
      <c r="EN20" s="220"/>
      <c r="EO20" s="220"/>
      <c r="EP20" s="220"/>
      <c r="EQ20" s="220"/>
      <c r="ER20" s="220"/>
      <c r="ES20" s="220"/>
      <c r="ET20" s="220"/>
      <c r="EU20" s="220"/>
      <c r="EV20" s="220"/>
      <c r="EW20" s="220"/>
      <c r="EX20" s="220"/>
      <c r="EY20" s="220"/>
      <c r="EZ20" s="220"/>
      <c r="FA20" s="220"/>
      <c r="FB20" s="220"/>
      <c r="FC20" s="220"/>
      <c r="FD20" s="220"/>
      <c r="FE20" s="220"/>
      <c r="FF20" s="220"/>
      <c r="FG20" s="220"/>
      <c r="FH20" s="253"/>
      <c r="FI20" s="255"/>
      <c r="FJ20" s="255"/>
      <c r="FK20" s="255"/>
      <c r="FL20" s="255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156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12"/>
      <c r="LZ20" s="7"/>
    </row>
    <row r="21" spans="3:338" ht="5.0999999999999996" customHeight="1" x14ac:dyDescent="0.3">
      <c r="C21" s="11"/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T21" s="219"/>
      <c r="DU21" s="220"/>
      <c r="DV21" s="220"/>
      <c r="DW21" s="220"/>
      <c r="DX21" s="220"/>
      <c r="DY21" s="220"/>
      <c r="DZ21" s="220"/>
      <c r="EA21" s="220"/>
      <c r="EB21" s="220"/>
      <c r="EC21" s="220"/>
      <c r="ED21" s="220"/>
      <c r="EE21" s="220"/>
      <c r="EF21" s="220"/>
      <c r="EG21" s="220"/>
      <c r="EH21" s="220"/>
      <c r="EI21" s="220"/>
      <c r="EJ21" s="220"/>
      <c r="EK21" s="220"/>
      <c r="EL21" s="220"/>
      <c r="EM21" s="220"/>
      <c r="EN21" s="220"/>
      <c r="EO21" s="220"/>
      <c r="EP21" s="220"/>
      <c r="EQ21" s="220"/>
      <c r="ER21" s="220"/>
      <c r="ES21" s="220"/>
      <c r="ET21" s="220"/>
      <c r="EU21" s="220"/>
      <c r="EV21" s="220"/>
      <c r="EW21" s="220"/>
      <c r="EX21" s="220"/>
      <c r="EY21" s="220"/>
      <c r="EZ21" s="220"/>
      <c r="FA21" s="220"/>
      <c r="FB21" s="220"/>
      <c r="FC21" s="220"/>
      <c r="FD21" s="220"/>
      <c r="FE21" s="220"/>
      <c r="FF21" s="220"/>
      <c r="FG21" s="220"/>
      <c r="FH21" s="253"/>
      <c r="FI21" s="255"/>
      <c r="FJ21" s="255"/>
      <c r="FK21" s="255"/>
      <c r="FL21" s="255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156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12"/>
      <c r="LZ21" s="7"/>
    </row>
    <row r="22" spans="3:338" ht="5.0999999999999996" customHeight="1" x14ac:dyDescent="0.3">
      <c r="C22" s="11"/>
      <c r="D22" s="1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T22" s="219"/>
      <c r="DU22" s="220"/>
      <c r="DV22" s="220"/>
      <c r="DW22" s="220"/>
      <c r="DX22" s="220"/>
      <c r="DY22" s="220"/>
      <c r="DZ22" s="220"/>
      <c r="EA22" s="220"/>
      <c r="EB22" s="220"/>
      <c r="EC22" s="220"/>
      <c r="ED22" s="220"/>
      <c r="EE22" s="220"/>
      <c r="EF22" s="220"/>
      <c r="EG22" s="220"/>
      <c r="EH22" s="220"/>
      <c r="EI22" s="220"/>
      <c r="EJ22" s="220"/>
      <c r="EK22" s="220"/>
      <c r="EL22" s="220"/>
      <c r="EM22" s="220"/>
      <c r="EN22" s="220"/>
      <c r="EO22" s="220"/>
      <c r="EP22" s="220"/>
      <c r="EQ22" s="220"/>
      <c r="ER22" s="220"/>
      <c r="ES22" s="220"/>
      <c r="ET22" s="220"/>
      <c r="EU22" s="220"/>
      <c r="EV22" s="220"/>
      <c r="EW22" s="220"/>
      <c r="EX22" s="220"/>
      <c r="EY22" s="220"/>
      <c r="EZ22" s="220"/>
      <c r="FA22" s="220"/>
      <c r="FB22" s="220"/>
      <c r="FC22" s="220"/>
      <c r="FD22" s="220"/>
      <c r="FE22" s="220"/>
      <c r="FF22" s="220"/>
      <c r="FG22" s="220"/>
      <c r="FH22" s="253"/>
      <c r="FI22" s="255"/>
      <c r="FJ22" s="255"/>
      <c r="FK22" s="255"/>
      <c r="FL22" s="255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156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12"/>
      <c r="LZ22" s="7"/>
    </row>
    <row r="23" spans="3:338" ht="5.0999999999999996" customHeight="1" x14ac:dyDescent="0.3">
      <c r="C23" s="11"/>
      <c r="D23" s="1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T23" s="219"/>
      <c r="DU23" s="220"/>
      <c r="DV23" s="220"/>
      <c r="DW23" s="220"/>
      <c r="DX23" s="220"/>
      <c r="DY23" s="220"/>
      <c r="DZ23" s="220"/>
      <c r="EA23" s="220"/>
      <c r="EB23" s="220"/>
      <c r="EC23" s="220"/>
      <c r="ED23" s="220"/>
      <c r="EE23" s="220"/>
      <c r="EF23" s="220"/>
      <c r="EG23" s="220"/>
      <c r="EH23" s="220"/>
      <c r="EI23" s="220"/>
      <c r="EJ23" s="220"/>
      <c r="EK23" s="220"/>
      <c r="EL23" s="220"/>
      <c r="EM23" s="220"/>
      <c r="EN23" s="220"/>
      <c r="EO23" s="220"/>
      <c r="EP23" s="220"/>
      <c r="EQ23" s="220"/>
      <c r="ER23" s="220"/>
      <c r="ES23" s="220"/>
      <c r="ET23" s="220"/>
      <c r="EU23" s="220"/>
      <c r="EV23" s="220"/>
      <c r="EW23" s="220"/>
      <c r="EX23" s="220"/>
      <c r="EY23" s="220"/>
      <c r="EZ23" s="220"/>
      <c r="FA23" s="220"/>
      <c r="FB23" s="220"/>
      <c r="FC23" s="220"/>
      <c r="FD23" s="220"/>
      <c r="FE23" s="220"/>
      <c r="FF23" s="220"/>
      <c r="FG23" s="220"/>
      <c r="FH23" s="253"/>
      <c r="FI23" s="255"/>
      <c r="FJ23" s="255"/>
      <c r="FK23" s="255"/>
      <c r="FL23" s="255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156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12"/>
      <c r="LZ23" s="7"/>
    </row>
    <row r="24" spans="3:338" ht="5.0999999999999996" customHeight="1" x14ac:dyDescent="0.3">
      <c r="C24" s="11"/>
      <c r="D24" s="1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T24" s="219"/>
      <c r="DU24" s="220"/>
      <c r="DV24" s="220"/>
      <c r="DW24" s="220"/>
      <c r="DX24" s="220"/>
      <c r="DY24" s="220"/>
      <c r="DZ24" s="220"/>
      <c r="EA24" s="220"/>
      <c r="EB24" s="220"/>
      <c r="EC24" s="220"/>
      <c r="ED24" s="220"/>
      <c r="EE24" s="220"/>
      <c r="EF24" s="220"/>
      <c r="EG24" s="220"/>
      <c r="EH24" s="220"/>
      <c r="EI24" s="220"/>
      <c r="EJ24" s="220"/>
      <c r="EK24" s="220"/>
      <c r="EL24" s="220"/>
      <c r="EM24" s="220"/>
      <c r="EN24" s="220"/>
      <c r="EO24" s="220"/>
      <c r="EP24" s="220"/>
      <c r="EQ24" s="220"/>
      <c r="ER24" s="220"/>
      <c r="ES24" s="220"/>
      <c r="ET24" s="220"/>
      <c r="EU24" s="220"/>
      <c r="EV24" s="220"/>
      <c r="EW24" s="220"/>
      <c r="EX24" s="220"/>
      <c r="EY24" s="220"/>
      <c r="EZ24" s="220"/>
      <c r="FA24" s="220"/>
      <c r="FB24" s="220"/>
      <c r="FC24" s="220"/>
      <c r="FD24" s="220"/>
      <c r="FE24" s="220"/>
      <c r="FF24" s="220"/>
      <c r="FG24" s="220"/>
      <c r="FH24" s="253"/>
      <c r="FI24" s="255"/>
      <c r="FJ24" s="255"/>
      <c r="FK24" s="255"/>
      <c r="FL24" s="255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156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12"/>
      <c r="LZ24" s="7"/>
    </row>
    <row r="25" spans="3:338" ht="5.0999999999999996" customHeight="1" x14ac:dyDescent="0.3">
      <c r="C25" s="11"/>
      <c r="D25" s="1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DT25" s="219"/>
      <c r="DU25" s="220"/>
      <c r="DV25" s="220"/>
      <c r="DW25" s="220"/>
      <c r="DX25" s="220"/>
      <c r="DY25" s="220"/>
      <c r="DZ25" s="220"/>
      <c r="EA25" s="220"/>
      <c r="EB25" s="220"/>
      <c r="EC25" s="220"/>
      <c r="ED25" s="220"/>
      <c r="EE25" s="220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D25" s="220"/>
      <c r="FE25" s="220"/>
      <c r="FF25" s="220"/>
      <c r="FG25" s="220"/>
      <c r="FH25" s="253"/>
      <c r="FI25" s="255"/>
      <c r="FJ25" s="255"/>
      <c r="FK25" s="255"/>
      <c r="FL25" s="255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156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12"/>
      <c r="LZ25" s="7"/>
    </row>
    <row r="26" spans="3:338" ht="5.0999999999999996" customHeight="1" x14ac:dyDescent="0.3">
      <c r="C26" s="11"/>
      <c r="D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DT26" s="222"/>
      <c r="DU26" s="223"/>
      <c r="DV26" s="223"/>
      <c r="DW26" s="223"/>
      <c r="DX26" s="223"/>
      <c r="DY26" s="223"/>
      <c r="DZ26" s="223"/>
      <c r="EA26" s="223"/>
      <c r="EB26" s="223"/>
      <c r="EC26" s="223"/>
      <c r="ED26" s="223"/>
      <c r="EE26" s="223"/>
      <c r="EF26" s="223"/>
      <c r="EG26" s="223"/>
      <c r="EH26" s="223"/>
      <c r="EI26" s="223"/>
      <c r="EJ26" s="223"/>
      <c r="EK26" s="223"/>
      <c r="EL26" s="223"/>
      <c r="EM26" s="223"/>
      <c r="EN26" s="223"/>
      <c r="EO26" s="223"/>
      <c r="EP26" s="223"/>
      <c r="EQ26" s="223"/>
      <c r="ER26" s="223"/>
      <c r="ES26" s="223"/>
      <c r="ET26" s="223"/>
      <c r="EU26" s="223"/>
      <c r="EV26" s="223"/>
      <c r="EW26" s="223"/>
      <c r="EX26" s="223"/>
      <c r="EY26" s="223"/>
      <c r="EZ26" s="223"/>
      <c r="FA26" s="223"/>
      <c r="FB26" s="223"/>
      <c r="FC26" s="223"/>
      <c r="FD26" s="223"/>
      <c r="FE26" s="223"/>
      <c r="FF26" s="223"/>
      <c r="FG26" s="223"/>
      <c r="FH26" s="254"/>
      <c r="FI26" s="255"/>
      <c r="FJ26" s="255"/>
      <c r="FK26" s="255"/>
      <c r="FL26" s="255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156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12"/>
      <c r="LZ26" s="7"/>
    </row>
    <row r="27" spans="3:338" ht="5.0999999999999996" customHeight="1" x14ac:dyDescent="0.3">
      <c r="C27" s="11"/>
      <c r="D27" s="1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EN27" s="34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156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12"/>
      <c r="LZ27" s="7"/>
    </row>
    <row r="28" spans="3:338" ht="5.0999999999999996" customHeight="1" x14ac:dyDescent="0.3">
      <c r="C28" s="11"/>
      <c r="D28" s="13"/>
      <c r="E28" s="33"/>
      <c r="F28" s="33"/>
      <c r="G28" s="33"/>
      <c r="H28" s="33"/>
      <c r="I28" s="33"/>
      <c r="J28" s="33"/>
      <c r="K28" s="33"/>
      <c r="L28" s="33"/>
      <c r="M28" s="33"/>
      <c r="EN28" s="34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156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12"/>
      <c r="LZ28" s="7"/>
    </row>
    <row r="29" spans="3:338" ht="5.0999999999999996" customHeight="1" x14ac:dyDescent="0.3">
      <c r="C29" s="11"/>
      <c r="D29" s="13"/>
      <c r="EN29" s="16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GA29" s="32"/>
      <c r="GB29" s="32"/>
      <c r="JP29" s="155"/>
      <c r="LY29" s="12"/>
      <c r="LZ29" s="7"/>
    </row>
    <row r="30" spans="3:338" ht="5.0999999999999996" customHeight="1" x14ac:dyDescent="0.3">
      <c r="C30" s="11"/>
      <c r="D30" s="13"/>
      <c r="EN30" s="16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GA30" s="32"/>
      <c r="GB30" s="32"/>
      <c r="JP30" s="155"/>
      <c r="LY30" s="12"/>
      <c r="LZ30" s="7"/>
    </row>
    <row r="31" spans="3:338" ht="5.0999999999999996" customHeight="1" x14ac:dyDescent="0.3">
      <c r="C31" s="11"/>
      <c r="D31" s="13"/>
      <c r="EN31" s="16"/>
      <c r="JP31" s="155"/>
      <c r="LY31" s="12"/>
      <c r="LZ31" s="7"/>
    </row>
    <row r="32" spans="3:338" ht="5.0999999999999996" customHeight="1" thickBot="1" x14ac:dyDescent="0.35">
      <c r="C32" s="11"/>
      <c r="D32" s="13"/>
      <c r="EN32" s="23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JP32" s="155"/>
      <c r="LY32" s="12"/>
      <c r="LZ32" s="7"/>
    </row>
    <row r="33" spans="3:338" ht="5.0999999999999996" customHeight="1" x14ac:dyDescent="0.3">
      <c r="C33" s="11"/>
      <c r="D33" s="13"/>
      <c r="EN33" s="22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0"/>
      <c r="JP33" s="155"/>
      <c r="LY33" s="12"/>
      <c r="LZ33" s="7"/>
    </row>
    <row r="34" spans="3:338" ht="5.0999999999999996" customHeight="1" x14ac:dyDescent="0.3">
      <c r="C34" s="11"/>
      <c r="D34" s="13"/>
      <c r="EN34" s="16"/>
      <c r="HG34" s="19"/>
      <c r="JP34" s="155"/>
      <c r="LY34" s="12"/>
      <c r="LZ34" s="7"/>
    </row>
    <row r="35" spans="3:338" ht="5.0999999999999996" customHeight="1" x14ac:dyDescent="0.3">
      <c r="C35" s="11"/>
      <c r="D35" s="13"/>
      <c r="DT35" s="184" t="s">
        <v>78</v>
      </c>
      <c r="DU35" s="185"/>
      <c r="DV35" s="185"/>
      <c r="DW35" s="185"/>
      <c r="DX35" s="185"/>
      <c r="DY35" s="185"/>
      <c r="DZ35" s="185"/>
      <c r="EA35" s="185"/>
      <c r="EB35" s="185"/>
      <c r="EC35" s="185"/>
      <c r="ED35" s="185"/>
      <c r="EE35" s="185"/>
      <c r="EF35" s="185"/>
      <c r="EG35" s="185"/>
      <c r="EH35" s="185"/>
      <c r="EI35" s="185"/>
      <c r="EJ35" s="185"/>
      <c r="EK35" s="185"/>
      <c r="EL35" s="185"/>
      <c r="EM35" s="185"/>
      <c r="EN35" s="185"/>
      <c r="EO35" s="185"/>
      <c r="EP35" s="185"/>
      <c r="EQ35" s="185"/>
      <c r="ER35" s="185"/>
      <c r="ES35" s="185"/>
      <c r="ET35" s="185"/>
      <c r="EU35" s="185"/>
      <c r="EV35" s="185"/>
      <c r="EW35" s="185"/>
      <c r="EX35" s="185"/>
      <c r="EY35" s="185"/>
      <c r="EZ35" s="185"/>
      <c r="FA35" s="185"/>
      <c r="FB35" s="185"/>
      <c r="FC35" s="185"/>
      <c r="FD35" s="185"/>
      <c r="FE35" s="185"/>
      <c r="FF35" s="185"/>
      <c r="FG35" s="185"/>
      <c r="FH35" s="263"/>
      <c r="FI35" s="256">
        <v>1</v>
      </c>
      <c r="FJ35" s="257"/>
      <c r="FK35" s="257"/>
      <c r="FL35" s="258"/>
      <c r="HG35" s="19"/>
      <c r="JP35" s="155"/>
      <c r="LY35" s="12"/>
      <c r="LZ35" s="7"/>
    </row>
    <row r="36" spans="3:338" ht="3.75" customHeight="1" x14ac:dyDescent="0.3">
      <c r="C36" s="11"/>
      <c r="D36" s="13"/>
      <c r="DT36" s="187"/>
      <c r="DU36" s="188"/>
      <c r="DV36" s="188"/>
      <c r="DW36" s="188"/>
      <c r="DX36" s="188"/>
      <c r="DY36" s="188"/>
      <c r="DZ36" s="188"/>
      <c r="EA36" s="188"/>
      <c r="EB36" s="188"/>
      <c r="EC36" s="188"/>
      <c r="ED36" s="188"/>
      <c r="EE36" s="188"/>
      <c r="EF36" s="188"/>
      <c r="EG36" s="188"/>
      <c r="EH36" s="188"/>
      <c r="EI36" s="188"/>
      <c r="EJ36" s="188"/>
      <c r="EK36" s="188"/>
      <c r="EL36" s="188"/>
      <c r="EM36" s="188"/>
      <c r="EN36" s="188"/>
      <c r="EO36" s="188"/>
      <c r="EP36" s="188"/>
      <c r="EQ36" s="188"/>
      <c r="ER36" s="188"/>
      <c r="ES36" s="188"/>
      <c r="ET36" s="188"/>
      <c r="EU36" s="188"/>
      <c r="EV36" s="188"/>
      <c r="EW36" s="188"/>
      <c r="EX36" s="188"/>
      <c r="EY36" s="188"/>
      <c r="EZ36" s="188"/>
      <c r="FA36" s="188"/>
      <c r="FB36" s="188"/>
      <c r="FC36" s="188"/>
      <c r="FD36" s="188"/>
      <c r="FE36" s="188"/>
      <c r="FF36" s="188"/>
      <c r="FG36" s="188"/>
      <c r="FH36" s="238"/>
      <c r="FI36" s="259"/>
      <c r="FJ36" s="220"/>
      <c r="FK36" s="220"/>
      <c r="FL36" s="253"/>
      <c r="HG36" s="19"/>
      <c r="JP36" s="155"/>
      <c r="LY36" s="12"/>
      <c r="LZ36" s="7"/>
    </row>
    <row r="37" spans="3:338" ht="5.0999999999999996" customHeight="1" x14ac:dyDescent="0.3">
      <c r="C37" s="11"/>
      <c r="D37" s="13"/>
      <c r="DT37" s="187"/>
      <c r="DU37" s="188"/>
      <c r="DV37" s="188"/>
      <c r="DW37" s="188"/>
      <c r="DX37" s="188"/>
      <c r="DY37" s="188"/>
      <c r="DZ37" s="188"/>
      <c r="EA37" s="188"/>
      <c r="EB37" s="188"/>
      <c r="EC37" s="188"/>
      <c r="ED37" s="188"/>
      <c r="EE37" s="188"/>
      <c r="EF37" s="188"/>
      <c r="EG37" s="188"/>
      <c r="EH37" s="188"/>
      <c r="EI37" s="188"/>
      <c r="EJ37" s="188"/>
      <c r="EK37" s="188"/>
      <c r="EL37" s="188"/>
      <c r="EM37" s="188"/>
      <c r="EN37" s="188"/>
      <c r="EO37" s="188"/>
      <c r="EP37" s="188"/>
      <c r="EQ37" s="188"/>
      <c r="ER37" s="188"/>
      <c r="ES37" s="188"/>
      <c r="ET37" s="188"/>
      <c r="EU37" s="188"/>
      <c r="EV37" s="188"/>
      <c r="EW37" s="188"/>
      <c r="EX37" s="188"/>
      <c r="EY37" s="188"/>
      <c r="EZ37" s="188"/>
      <c r="FA37" s="188"/>
      <c r="FB37" s="188"/>
      <c r="FC37" s="188"/>
      <c r="FD37" s="188"/>
      <c r="FE37" s="188"/>
      <c r="FF37" s="188"/>
      <c r="FG37" s="188"/>
      <c r="FH37" s="238"/>
      <c r="FI37" s="259"/>
      <c r="FJ37" s="220"/>
      <c r="FK37" s="220"/>
      <c r="FL37" s="253"/>
      <c r="GJ37" s="256" t="s">
        <v>15</v>
      </c>
      <c r="GK37" s="257"/>
      <c r="GL37" s="257"/>
      <c r="GM37" s="257"/>
      <c r="GN37" s="257"/>
      <c r="GO37" s="257"/>
      <c r="GP37" s="257"/>
      <c r="GQ37" s="257"/>
      <c r="GR37" s="257"/>
      <c r="GS37" s="257"/>
      <c r="GT37" s="257"/>
      <c r="GU37" s="257"/>
      <c r="GV37" s="257"/>
      <c r="GW37" s="257"/>
      <c r="GX37" s="257"/>
      <c r="GY37" s="257"/>
      <c r="GZ37" s="257"/>
      <c r="HA37" s="257"/>
      <c r="HB37" s="257"/>
      <c r="HC37" s="257"/>
      <c r="HD37" s="257"/>
      <c r="HE37" s="257"/>
      <c r="HF37" s="257"/>
      <c r="HG37" s="257"/>
      <c r="HH37" s="257"/>
      <c r="HI37" s="257"/>
      <c r="HJ37" s="257"/>
      <c r="HK37" s="257"/>
      <c r="HL37" s="257"/>
      <c r="HM37" s="257"/>
      <c r="HN37" s="257"/>
      <c r="HO37" s="257"/>
      <c r="HP37" s="257"/>
      <c r="HQ37" s="257"/>
      <c r="HR37" s="257"/>
      <c r="HS37" s="257"/>
      <c r="HT37" s="257"/>
      <c r="HU37" s="257"/>
      <c r="HV37" s="257"/>
      <c r="HW37" s="257"/>
      <c r="HX37" s="258"/>
      <c r="HY37" s="255">
        <f>SUM(HY48)</f>
        <v>1</v>
      </c>
      <c r="HZ37" s="255"/>
      <c r="IA37" s="255"/>
      <c r="IB37" s="255"/>
      <c r="IC37" s="255"/>
      <c r="ID37" s="255"/>
      <c r="JP37" s="155"/>
      <c r="LY37" s="12"/>
      <c r="LZ37" s="7"/>
    </row>
    <row r="38" spans="3:338" ht="5.0999999999999996" customHeight="1" x14ac:dyDescent="0.3">
      <c r="C38" s="11"/>
      <c r="D38" s="13"/>
      <c r="DT38" s="187"/>
      <c r="DU38" s="188"/>
      <c r="DV38" s="188"/>
      <c r="DW38" s="188"/>
      <c r="DX38" s="188"/>
      <c r="DY38" s="188"/>
      <c r="DZ38" s="188"/>
      <c r="EA38" s="188"/>
      <c r="EB38" s="188"/>
      <c r="EC38" s="188"/>
      <c r="ED38" s="188"/>
      <c r="EE38" s="188"/>
      <c r="EF38" s="188"/>
      <c r="EG38" s="188"/>
      <c r="EH38" s="188"/>
      <c r="EI38" s="188"/>
      <c r="EJ38" s="188"/>
      <c r="EK38" s="188"/>
      <c r="EL38" s="188"/>
      <c r="EM38" s="188"/>
      <c r="EN38" s="188"/>
      <c r="EO38" s="188"/>
      <c r="EP38" s="188"/>
      <c r="EQ38" s="188"/>
      <c r="ER38" s="188"/>
      <c r="ES38" s="188"/>
      <c r="ET38" s="188"/>
      <c r="EU38" s="188"/>
      <c r="EV38" s="188"/>
      <c r="EW38" s="188"/>
      <c r="EX38" s="188"/>
      <c r="EY38" s="188"/>
      <c r="EZ38" s="188"/>
      <c r="FA38" s="188"/>
      <c r="FB38" s="188"/>
      <c r="FC38" s="188"/>
      <c r="FD38" s="188"/>
      <c r="FE38" s="188"/>
      <c r="FF38" s="188"/>
      <c r="FG38" s="188"/>
      <c r="FH38" s="238"/>
      <c r="FI38" s="259"/>
      <c r="FJ38" s="220"/>
      <c r="FK38" s="220"/>
      <c r="FL38" s="253"/>
      <c r="GJ38" s="259"/>
      <c r="GK38" s="220"/>
      <c r="GL38" s="220"/>
      <c r="GM38" s="220"/>
      <c r="GN38" s="220"/>
      <c r="GO38" s="220"/>
      <c r="GP38" s="220"/>
      <c r="GQ38" s="220"/>
      <c r="GR38" s="220"/>
      <c r="GS38" s="220"/>
      <c r="GT38" s="220"/>
      <c r="GU38" s="220"/>
      <c r="GV38" s="220"/>
      <c r="GW38" s="220"/>
      <c r="GX38" s="220"/>
      <c r="GY38" s="220"/>
      <c r="GZ38" s="220"/>
      <c r="HA38" s="220"/>
      <c r="HB38" s="220"/>
      <c r="HC38" s="220"/>
      <c r="HD38" s="220"/>
      <c r="HE38" s="220"/>
      <c r="HF38" s="220"/>
      <c r="HG38" s="220"/>
      <c r="HH38" s="220"/>
      <c r="HI38" s="220"/>
      <c r="HJ38" s="220"/>
      <c r="HK38" s="220"/>
      <c r="HL38" s="220"/>
      <c r="HM38" s="220"/>
      <c r="HN38" s="220"/>
      <c r="HO38" s="220"/>
      <c r="HP38" s="220"/>
      <c r="HQ38" s="220"/>
      <c r="HR38" s="220"/>
      <c r="HS38" s="220"/>
      <c r="HT38" s="220"/>
      <c r="HU38" s="220"/>
      <c r="HV38" s="220"/>
      <c r="HW38" s="220"/>
      <c r="HX38" s="253"/>
      <c r="HY38" s="255"/>
      <c r="HZ38" s="255"/>
      <c r="IA38" s="255"/>
      <c r="IB38" s="255"/>
      <c r="IC38" s="255"/>
      <c r="ID38" s="255"/>
      <c r="JP38" s="155"/>
      <c r="LY38" s="12"/>
      <c r="LZ38" s="7"/>
    </row>
    <row r="39" spans="3:338" ht="5.0999999999999996" customHeight="1" x14ac:dyDescent="0.3">
      <c r="C39" s="11"/>
      <c r="D39" s="13"/>
      <c r="DT39" s="187"/>
      <c r="DU39" s="188"/>
      <c r="DV39" s="188"/>
      <c r="DW39" s="188"/>
      <c r="DX39" s="188"/>
      <c r="DY39" s="188"/>
      <c r="DZ39" s="188"/>
      <c r="EA39" s="188"/>
      <c r="EB39" s="188"/>
      <c r="EC39" s="188"/>
      <c r="ED39" s="188"/>
      <c r="EE39" s="188"/>
      <c r="EF39" s="188"/>
      <c r="EG39" s="188"/>
      <c r="EH39" s="188"/>
      <c r="EI39" s="188"/>
      <c r="EJ39" s="188"/>
      <c r="EK39" s="188"/>
      <c r="EL39" s="188"/>
      <c r="EM39" s="188"/>
      <c r="EN39" s="188"/>
      <c r="EO39" s="188"/>
      <c r="EP39" s="188"/>
      <c r="EQ39" s="188"/>
      <c r="ER39" s="188"/>
      <c r="ES39" s="188"/>
      <c r="ET39" s="188"/>
      <c r="EU39" s="188"/>
      <c r="EV39" s="188"/>
      <c r="EW39" s="188"/>
      <c r="EX39" s="188"/>
      <c r="EY39" s="188"/>
      <c r="EZ39" s="188"/>
      <c r="FA39" s="188"/>
      <c r="FB39" s="188"/>
      <c r="FC39" s="188"/>
      <c r="FD39" s="188"/>
      <c r="FE39" s="188"/>
      <c r="FF39" s="188"/>
      <c r="FG39" s="188"/>
      <c r="FH39" s="238"/>
      <c r="FI39" s="259"/>
      <c r="FJ39" s="220"/>
      <c r="FK39" s="220"/>
      <c r="FL39" s="253"/>
      <c r="GJ39" s="259"/>
      <c r="GK39" s="220"/>
      <c r="GL39" s="220"/>
      <c r="GM39" s="220"/>
      <c r="GN39" s="220"/>
      <c r="GO39" s="220"/>
      <c r="GP39" s="220"/>
      <c r="GQ39" s="220"/>
      <c r="GR39" s="220"/>
      <c r="GS39" s="220"/>
      <c r="GT39" s="220"/>
      <c r="GU39" s="220"/>
      <c r="GV39" s="220"/>
      <c r="GW39" s="220"/>
      <c r="GX39" s="220"/>
      <c r="GY39" s="220"/>
      <c r="GZ39" s="220"/>
      <c r="HA39" s="220"/>
      <c r="HB39" s="220"/>
      <c r="HC39" s="220"/>
      <c r="HD39" s="220"/>
      <c r="HE39" s="220"/>
      <c r="HF39" s="220"/>
      <c r="HG39" s="220"/>
      <c r="HH39" s="220"/>
      <c r="HI39" s="220"/>
      <c r="HJ39" s="220"/>
      <c r="HK39" s="220"/>
      <c r="HL39" s="220"/>
      <c r="HM39" s="220"/>
      <c r="HN39" s="220"/>
      <c r="HO39" s="220"/>
      <c r="HP39" s="220"/>
      <c r="HQ39" s="220"/>
      <c r="HR39" s="220"/>
      <c r="HS39" s="220"/>
      <c r="HT39" s="220"/>
      <c r="HU39" s="220"/>
      <c r="HV39" s="220"/>
      <c r="HW39" s="220"/>
      <c r="HX39" s="253"/>
      <c r="HY39" s="255"/>
      <c r="HZ39" s="255"/>
      <c r="IA39" s="255"/>
      <c r="IB39" s="255"/>
      <c r="IC39" s="255"/>
      <c r="ID39" s="255"/>
      <c r="JP39" s="155"/>
      <c r="LY39" s="12"/>
      <c r="LZ39" s="7"/>
    </row>
    <row r="40" spans="3:338" ht="5.0999999999999996" customHeight="1" x14ac:dyDescent="0.3">
      <c r="C40" s="11"/>
      <c r="D40" s="13"/>
      <c r="DT40" s="187"/>
      <c r="DU40" s="188"/>
      <c r="DV40" s="188"/>
      <c r="DW40" s="188"/>
      <c r="DX40" s="188"/>
      <c r="DY40" s="188"/>
      <c r="DZ40" s="188"/>
      <c r="EA40" s="188"/>
      <c r="EB40" s="188"/>
      <c r="EC40" s="188"/>
      <c r="ED40" s="188"/>
      <c r="EE40" s="188"/>
      <c r="EF40" s="188"/>
      <c r="EG40" s="188"/>
      <c r="EH40" s="188"/>
      <c r="EI40" s="188"/>
      <c r="EJ40" s="188"/>
      <c r="EK40" s="188"/>
      <c r="EL40" s="188"/>
      <c r="EM40" s="188"/>
      <c r="EN40" s="188"/>
      <c r="EO40" s="188"/>
      <c r="EP40" s="188"/>
      <c r="EQ40" s="188"/>
      <c r="ER40" s="188"/>
      <c r="ES40" s="188"/>
      <c r="ET40" s="188"/>
      <c r="EU40" s="188"/>
      <c r="EV40" s="188"/>
      <c r="EW40" s="188"/>
      <c r="EX40" s="188"/>
      <c r="EY40" s="188"/>
      <c r="EZ40" s="188"/>
      <c r="FA40" s="188"/>
      <c r="FB40" s="188"/>
      <c r="FC40" s="188"/>
      <c r="FD40" s="188"/>
      <c r="FE40" s="188"/>
      <c r="FF40" s="188"/>
      <c r="FG40" s="188"/>
      <c r="FH40" s="238"/>
      <c r="FI40" s="259"/>
      <c r="FJ40" s="220"/>
      <c r="FK40" s="220"/>
      <c r="FL40" s="253"/>
      <c r="GJ40" s="259"/>
      <c r="GK40" s="220"/>
      <c r="GL40" s="220"/>
      <c r="GM40" s="220"/>
      <c r="GN40" s="220"/>
      <c r="GO40" s="220"/>
      <c r="GP40" s="220"/>
      <c r="GQ40" s="220"/>
      <c r="GR40" s="220"/>
      <c r="GS40" s="220"/>
      <c r="GT40" s="220"/>
      <c r="GU40" s="220"/>
      <c r="GV40" s="220"/>
      <c r="GW40" s="220"/>
      <c r="GX40" s="220"/>
      <c r="GY40" s="220"/>
      <c r="GZ40" s="220"/>
      <c r="HA40" s="220"/>
      <c r="HB40" s="220"/>
      <c r="HC40" s="220"/>
      <c r="HD40" s="220"/>
      <c r="HE40" s="220"/>
      <c r="HF40" s="220"/>
      <c r="HG40" s="220"/>
      <c r="HH40" s="220"/>
      <c r="HI40" s="220"/>
      <c r="HJ40" s="220"/>
      <c r="HK40" s="220"/>
      <c r="HL40" s="220"/>
      <c r="HM40" s="220"/>
      <c r="HN40" s="220"/>
      <c r="HO40" s="220"/>
      <c r="HP40" s="220"/>
      <c r="HQ40" s="220"/>
      <c r="HR40" s="220"/>
      <c r="HS40" s="220"/>
      <c r="HT40" s="220"/>
      <c r="HU40" s="220"/>
      <c r="HV40" s="220"/>
      <c r="HW40" s="220"/>
      <c r="HX40" s="253"/>
      <c r="HY40" s="255"/>
      <c r="HZ40" s="255"/>
      <c r="IA40" s="255"/>
      <c r="IB40" s="255"/>
      <c r="IC40" s="255"/>
      <c r="ID40" s="255"/>
      <c r="JP40" s="155"/>
      <c r="LY40" s="12"/>
      <c r="LZ40" s="7"/>
    </row>
    <row r="41" spans="3:338" ht="5.0999999999999996" customHeight="1" x14ac:dyDescent="0.3">
      <c r="C41" s="11"/>
      <c r="D41" s="13"/>
      <c r="DT41" s="187"/>
      <c r="DU41" s="188"/>
      <c r="DV41" s="188"/>
      <c r="DW41" s="188"/>
      <c r="DX41" s="188"/>
      <c r="DY41" s="188"/>
      <c r="DZ41" s="188"/>
      <c r="EA41" s="188"/>
      <c r="EB41" s="188"/>
      <c r="EC41" s="188"/>
      <c r="ED41" s="188"/>
      <c r="EE41" s="188"/>
      <c r="EF41" s="188"/>
      <c r="EG41" s="188"/>
      <c r="EH41" s="188"/>
      <c r="EI41" s="188"/>
      <c r="EJ41" s="188"/>
      <c r="EK41" s="188"/>
      <c r="EL41" s="188"/>
      <c r="EM41" s="188"/>
      <c r="EN41" s="188"/>
      <c r="EO41" s="188"/>
      <c r="EP41" s="188"/>
      <c r="EQ41" s="188"/>
      <c r="ER41" s="188"/>
      <c r="ES41" s="188"/>
      <c r="ET41" s="188"/>
      <c r="EU41" s="188"/>
      <c r="EV41" s="188"/>
      <c r="EW41" s="188"/>
      <c r="EX41" s="188"/>
      <c r="EY41" s="188"/>
      <c r="EZ41" s="188"/>
      <c r="FA41" s="188"/>
      <c r="FB41" s="188"/>
      <c r="FC41" s="188"/>
      <c r="FD41" s="188"/>
      <c r="FE41" s="188"/>
      <c r="FF41" s="188"/>
      <c r="FG41" s="188"/>
      <c r="FH41" s="238"/>
      <c r="FI41" s="259"/>
      <c r="FJ41" s="220"/>
      <c r="FK41" s="220"/>
      <c r="FL41" s="253"/>
      <c r="GJ41" s="259"/>
      <c r="GK41" s="220"/>
      <c r="GL41" s="220"/>
      <c r="GM41" s="220"/>
      <c r="GN41" s="220"/>
      <c r="GO41" s="220"/>
      <c r="GP41" s="220"/>
      <c r="GQ41" s="220"/>
      <c r="GR41" s="220"/>
      <c r="GS41" s="220"/>
      <c r="GT41" s="220"/>
      <c r="GU41" s="220"/>
      <c r="GV41" s="220"/>
      <c r="GW41" s="220"/>
      <c r="GX41" s="220"/>
      <c r="GY41" s="220"/>
      <c r="GZ41" s="220"/>
      <c r="HA41" s="220"/>
      <c r="HB41" s="220"/>
      <c r="HC41" s="220"/>
      <c r="HD41" s="220"/>
      <c r="HE41" s="220"/>
      <c r="HF41" s="220"/>
      <c r="HG41" s="220"/>
      <c r="HH41" s="220"/>
      <c r="HI41" s="220"/>
      <c r="HJ41" s="220"/>
      <c r="HK41" s="220"/>
      <c r="HL41" s="220"/>
      <c r="HM41" s="220"/>
      <c r="HN41" s="220"/>
      <c r="HO41" s="220"/>
      <c r="HP41" s="220"/>
      <c r="HQ41" s="220"/>
      <c r="HR41" s="220"/>
      <c r="HS41" s="220"/>
      <c r="HT41" s="220"/>
      <c r="HU41" s="220"/>
      <c r="HV41" s="220"/>
      <c r="HW41" s="220"/>
      <c r="HX41" s="253"/>
      <c r="HY41" s="255"/>
      <c r="HZ41" s="255"/>
      <c r="IA41" s="255"/>
      <c r="IB41" s="255"/>
      <c r="IC41" s="255"/>
      <c r="ID41" s="255"/>
      <c r="JP41" s="155"/>
      <c r="LY41" s="12"/>
      <c r="LZ41" s="7"/>
    </row>
    <row r="42" spans="3:338" ht="5.0999999999999996" customHeight="1" x14ac:dyDescent="0.3">
      <c r="C42" s="11"/>
      <c r="D42" s="13"/>
      <c r="DT42" s="187"/>
      <c r="DU42" s="188"/>
      <c r="DV42" s="188"/>
      <c r="DW42" s="188"/>
      <c r="DX42" s="188"/>
      <c r="DY42" s="188"/>
      <c r="DZ42" s="188"/>
      <c r="EA42" s="188"/>
      <c r="EB42" s="188"/>
      <c r="EC42" s="188"/>
      <c r="ED42" s="188"/>
      <c r="EE42" s="188"/>
      <c r="EF42" s="188"/>
      <c r="EG42" s="188"/>
      <c r="EH42" s="188"/>
      <c r="EI42" s="188"/>
      <c r="EJ42" s="188"/>
      <c r="EK42" s="188"/>
      <c r="EL42" s="188"/>
      <c r="EM42" s="188"/>
      <c r="EN42" s="188"/>
      <c r="EO42" s="188"/>
      <c r="EP42" s="188"/>
      <c r="EQ42" s="188"/>
      <c r="ER42" s="188"/>
      <c r="ES42" s="188"/>
      <c r="ET42" s="188"/>
      <c r="EU42" s="188"/>
      <c r="EV42" s="188"/>
      <c r="EW42" s="188"/>
      <c r="EX42" s="188"/>
      <c r="EY42" s="188"/>
      <c r="EZ42" s="188"/>
      <c r="FA42" s="188"/>
      <c r="FB42" s="188"/>
      <c r="FC42" s="188"/>
      <c r="FD42" s="188"/>
      <c r="FE42" s="188"/>
      <c r="FF42" s="188"/>
      <c r="FG42" s="188"/>
      <c r="FH42" s="238"/>
      <c r="FI42" s="259"/>
      <c r="FJ42" s="220"/>
      <c r="FK42" s="220"/>
      <c r="FL42" s="253"/>
      <c r="GJ42" s="259"/>
      <c r="GK42" s="220"/>
      <c r="GL42" s="220"/>
      <c r="GM42" s="220"/>
      <c r="GN42" s="220"/>
      <c r="GO42" s="220"/>
      <c r="GP42" s="220"/>
      <c r="GQ42" s="220"/>
      <c r="GR42" s="220"/>
      <c r="GS42" s="220"/>
      <c r="GT42" s="220"/>
      <c r="GU42" s="220"/>
      <c r="GV42" s="220"/>
      <c r="GW42" s="220"/>
      <c r="GX42" s="220"/>
      <c r="GY42" s="220"/>
      <c r="GZ42" s="220"/>
      <c r="HA42" s="220"/>
      <c r="HB42" s="220"/>
      <c r="HC42" s="220"/>
      <c r="HD42" s="220"/>
      <c r="HE42" s="220"/>
      <c r="HF42" s="220"/>
      <c r="HG42" s="220"/>
      <c r="HH42" s="220"/>
      <c r="HI42" s="220"/>
      <c r="HJ42" s="220"/>
      <c r="HK42" s="220"/>
      <c r="HL42" s="220"/>
      <c r="HM42" s="220"/>
      <c r="HN42" s="220"/>
      <c r="HO42" s="220"/>
      <c r="HP42" s="220"/>
      <c r="HQ42" s="220"/>
      <c r="HR42" s="220"/>
      <c r="HS42" s="220"/>
      <c r="HT42" s="220"/>
      <c r="HU42" s="220"/>
      <c r="HV42" s="220"/>
      <c r="HW42" s="220"/>
      <c r="HX42" s="253"/>
      <c r="HY42" s="255"/>
      <c r="HZ42" s="255"/>
      <c r="IA42" s="255"/>
      <c r="IB42" s="255"/>
      <c r="IC42" s="255"/>
      <c r="ID42" s="255"/>
      <c r="JP42" s="155"/>
      <c r="LY42" s="12"/>
      <c r="LZ42" s="7"/>
    </row>
    <row r="43" spans="3:338" ht="5.0999999999999996" customHeight="1" x14ac:dyDescent="0.3">
      <c r="C43" s="11"/>
      <c r="D43" s="13"/>
      <c r="DT43" s="190"/>
      <c r="DU43" s="191"/>
      <c r="DV43" s="191"/>
      <c r="DW43" s="191"/>
      <c r="DX43" s="191"/>
      <c r="DY43" s="191"/>
      <c r="DZ43" s="191"/>
      <c r="EA43" s="191"/>
      <c r="EB43" s="191"/>
      <c r="EC43" s="191"/>
      <c r="ED43" s="191"/>
      <c r="EE43" s="191"/>
      <c r="EF43" s="191"/>
      <c r="EG43" s="191"/>
      <c r="EH43" s="191"/>
      <c r="EI43" s="191"/>
      <c r="EJ43" s="191"/>
      <c r="EK43" s="191"/>
      <c r="EL43" s="191"/>
      <c r="EM43" s="191"/>
      <c r="EN43" s="191"/>
      <c r="EO43" s="191"/>
      <c r="EP43" s="191"/>
      <c r="EQ43" s="191"/>
      <c r="ER43" s="191"/>
      <c r="ES43" s="191"/>
      <c r="ET43" s="191"/>
      <c r="EU43" s="191"/>
      <c r="EV43" s="191"/>
      <c r="EW43" s="191"/>
      <c r="EX43" s="191"/>
      <c r="EY43" s="191"/>
      <c r="EZ43" s="191"/>
      <c r="FA43" s="191"/>
      <c r="FB43" s="191"/>
      <c r="FC43" s="191"/>
      <c r="FD43" s="191"/>
      <c r="FE43" s="191"/>
      <c r="FF43" s="191"/>
      <c r="FG43" s="191"/>
      <c r="FH43" s="264"/>
      <c r="FI43" s="260"/>
      <c r="FJ43" s="261"/>
      <c r="FK43" s="261"/>
      <c r="FL43" s="262"/>
      <c r="GJ43" s="259"/>
      <c r="GK43" s="220"/>
      <c r="GL43" s="220"/>
      <c r="GM43" s="220"/>
      <c r="GN43" s="220"/>
      <c r="GO43" s="220"/>
      <c r="GP43" s="220"/>
      <c r="GQ43" s="220"/>
      <c r="GR43" s="220"/>
      <c r="GS43" s="220"/>
      <c r="GT43" s="220"/>
      <c r="GU43" s="220"/>
      <c r="GV43" s="220"/>
      <c r="GW43" s="220"/>
      <c r="GX43" s="220"/>
      <c r="GY43" s="220"/>
      <c r="GZ43" s="220"/>
      <c r="HA43" s="220"/>
      <c r="HB43" s="220"/>
      <c r="HC43" s="220"/>
      <c r="HD43" s="220"/>
      <c r="HE43" s="220"/>
      <c r="HF43" s="220"/>
      <c r="HG43" s="220"/>
      <c r="HH43" s="220"/>
      <c r="HI43" s="220"/>
      <c r="HJ43" s="220"/>
      <c r="HK43" s="220"/>
      <c r="HL43" s="220"/>
      <c r="HM43" s="220"/>
      <c r="HN43" s="220"/>
      <c r="HO43" s="220"/>
      <c r="HP43" s="220"/>
      <c r="HQ43" s="220"/>
      <c r="HR43" s="220"/>
      <c r="HS43" s="220"/>
      <c r="HT43" s="220"/>
      <c r="HU43" s="220"/>
      <c r="HV43" s="220"/>
      <c r="HW43" s="220"/>
      <c r="HX43" s="253"/>
      <c r="HY43" s="255"/>
      <c r="HZ43" s="255"/>
      <c r="IA43" s="255"/>
      <c r="IB43" s="255"/>
      <c r="IC43" s="255"/>
      <c r="ID43" s="255"/>
      <c r="JP43" s="155"/>
      <c r="LY43" s="12"/>
      <c r="LZ43" s="7"/>
    </row>
    <row r="44" spans="3:338" ht="5.0999999999999996" customHeight="1" x14ac:dyDescent="0.3">
      <c r="C44" s="11"/>
      <c r="D44" s="13"/>
      <c r="EN44" s="16"/>
      <c r="GJ44" s="259"/>
      <c r="GK44" s="220"/>
      <c r="GL44" s="220"/>
      <c r="GM44" s="220"/>
      <c r="GN44" s="220"/>
      <c r="GO44" s="220"/>
      <c r="GP44" s="220"/>
      <c r="GQ44" s="220"/>
      <c r="GR44" s="220"/>
      <c r="GS44" s="220"/>
      <c r="GT44" s="220"/>
      <c r="GU44" s="220"/>
      <c r="GV44" s="220"/>
      <c r="GW44" s="220"/>
      <c r="GX44" s="220"/>
      <c r="GY44" s="220"/>
      <c r="GZ44" s="220"/>
      <c r="HA44" s="220"/>
      <c r="HB44" s="220"/>
      <c r="HC44" s="220"/>
      <c r="HD44" s="220"/>
      <c r="HE44" s="220"/>
      <c r="HF44" s="220"/>
      <c r="HG44" s="220"/>
      <c r="HH44" s="220"/>
      <c r="HI44" s="220"/>
      <c r="HJ44" s="220"/>
      <c r="HK44" s="220"/>
      <c r="HL44" s="220"/>
      <c r="HM44" s="220"/>
      <c r="HN44" s="220"/>
      <c r="HO44" s="220"/>
      <c r="HP44" s="220"/>
      <c r="HQ44" s="220"/>
      <c r="HR44" s="220"/>
      <c r="HS44" s="220"/>
      <c r="HT44" s="220"/>
      <c r="HU44" s="220"/>
      <c r="HV44" s="220"/>
      <c r="HW44" s="220"/>
      <c r="HX44" s="253"/>
      <c r="HY44" s="255"/>
      <c r="HZ44" s="255"/>
      <c r="IA44" s="255"/>
      <c r="IB44" s="255"/>
      <c r="IC44" s="255"/>
      <c r="ID44" s="255"/>
      <c r="JP44" s="155"/>
      <c r="LY44" s="12"/>
      <c r="LZ44" s="7"/>
    </row>
    <row r="45" spans="3:338" ht="5.0999999999999996" customHeight="1" x14ac:dyDescent="0.3">
      <c r="C45" s="11"/>
      <c r="D45" s="13"/>
      <c r="EN45" s="16"/>
      <c r="GJ45" s="259"/>
      <c r="GK45" s="220"/>
      <c r="GL45" s="220"/>
      <c r="GM45" s="220"/>
      <c r="GN45" s="220"/>
      <c r="GO45" s="220"/>
      <c r="GP45" s="220"/>
      <c r="GQ45" s="220"/>
      <c r="GR45" s="220"/>
      <c r="GS45" s="220"/>
      <c r="GT45" s="220"/>
      <c r="GU45" s="220"/>
      <c r="GV45" s="220"/>
      <c r="GW45" s="220"/>
      <c r="GX45" s="220"/>
      <c r="GY45" s="220"/>
      <c r="GZ45" s="220"/>
      <c r="HA45" s="220"/>
      <c r="HB45" s="220"/>
      <c r="HC45" s="220"/>
      <c r="HD45" s="220"/>
      <c r="HE45" s="220"/>
      <c r="HF45" s="220"/>
      <c r="HG45" s="220"/>
      <c r="HH45" s="220"/>
      <c r="HI45" s="220"/>
      <c r="HJ45" s="220"/>
      <c r="HK45" s="220"/>
      <c r="HL45" s="220"/>
      <c r="HM45" s="220"/>
      <c r="HN45" s="220"/>
      <c r="HO45" s="220"/>
      <c r="HP45" s="220"/>
      <c r="HQ45" s="220"/>
      <c r="HR45" s="220"/>
      <c r="HS45" s="220"/>
      <c r="HT45" s="220"/>
      <c r="HU45" s="220"/>
      <c r="HV45" s="220"/>
      <c r="HW45" s="220"/>
      <c r="HX45" s="253"/>
      <c r="HY45" s="255"/>
      <c r="HZ45" s="255"/>
      <c r="IA45" s="255"/>
      <c r="IB45" s="255"/>
      <c r="IC45" s="255"/>
      <c r="ID45" s="255"/>
      <c r="JP45" s="155"/>
      <c r="LY45" s="12"/>
      <c r="LZ45" s="7"/>
    </row>
    <row r="46" spans="3:338" ht="5.0999999999999996" customHeight="1" x14ac:dyDescent="0.3">
      <c r="C46" s="11"/>
      <c r="D46" s="13"/>
      <c r="EN46" s="16"/>
      <c r="GJ46" s="260"/>
      <c r="GK46" s="261"/>
      <c r="GL46" s="261"/>
      <c r="GM46" s="261"/>
      <c r="GN46" s="261"/>
      <c r="GO46" s="261"/>
      <c r="GP46" s="261"/>
      <c r="GQ46" s="261"/>
      <c r="GR46" s="261"/>
      <c r="GS46" s="261"/>
      <c r="GT46" s="261"/>
      <c r="GU46" s="261"/>
      <c r="GV46" s="261"/>
      <c r="GW46" s="261"/>
      <c r="GX46" s="261"/>
      <c r="GY46" s="261"/>
      <c r="GZ46" s="261"/>
      <c r="HA46" s="261"/>
      <c r="HB46" s="261"/>
      <c r="HC46" s="261"/>
      <c r="HD46" s="261"/>
      <c r="HE46" s="261"/>
      <c r="HF46" s="261"/>
      <c r="HG46" s="261"/>
      <c r="HH46" s="261"/>
      <c r="HI46" s="261"/>
      <c r="HJ46" s="261"/>
      <c r="HK46" s="261"/>
      <c r="HL46" s="261"/>
      <c r="HM46" s="261"/>
      <c r="HN46" s="261"/>
      <c r="HO46" s="261"/>
      <c r="HP46" s="261"/>
      <c r="HQ46" s="261"/>
      <c r="HR46" s="261"/>
      <c r="HS46" s="261"/>
      <c r="HT46" s="261"/>
      <c r="HU46" s="261"/>
      <c r="HV46" s="261"/>
      <c r="HW46" s="261"/>
      <c r="HX46" s="262"/>
      <c r="HY46" s="255"/>
      <c r="HZ46" s="255"/>
      <c r="IA46" s="255"/>
      <c r="IB46" s="255"/>
      <c r="IC46" s="255"/>
      <c r="ID46" s="255"/>
      <c r="JP46" s="155"/>
      <c r="LY46" s="12"/>
      <c r="LZ46" s="7"/>
    </row>
    <row r="47" spans="3:338" ht="5.0999999999999996" customHeight="1" thickBot="1" x14ac:dyDescent="0.35">
      <c r="C47" s="11"/>
      <c r="D47" s="13"/>
      <c r="EN47" s="16"/>
      <c r="HH47" s="28"/>
      <c r="JP47" s="155"/>
      <c r="LY47" s="12"/>
      <c r="LZ47" s="7"/>
    </row>
    <row r="48" spans="3:338" ht="5.0999999999999996" customHeight="1" x14ac:dyDescent="0.3">
      <c r="C48" s="11"/>
      <c r="D48" s="13"/>
      <c r="AN48" s="22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0"/>
      <c r="EN48" s="16"/>
      <c r="GJ48" s="234" t="s">
        <v>62</v>
      </c>
      <c r="GK48" s="235"/>
      <c r="GL48" s="235"/>
      <c r="GM48" s="235"/>
      <c r="GN48" s="235"/>
      <c r="GO48" s="235"/>
      <c r="GP48" s="235"/>
      <c r="GQ48" s="235"/>
      <c r="GR48" s="235"/>
      <c r="GS48" s="235"/>
      <c r="GT48" s="235"/>
      <c r="GU48" s="235"/>
      <c r="GV48" s="235"/>
      <c r="GW48" s="235"/>
      <c r="GX48" s="235"/>
      <c r="GY48" s="235"/>
      <c r="GZ48" s="235"/>
      <c r="HA48" s="235"/>
      <c r="HB48" s="235"/>
      <c r="HC48" s="235"/>
      <c r="HD48" s="235"/>
      <c r="HE48" s="235"/>
      <c r="HF48" s="235"/>
      <c r="HG48" s="235"/>
      <c r="HH48" s="235"/>
      <c r="HI48" s="235"/>
      <c r="HJ48" s="235"/>
      <c r="HK48" s="235"/>
      <c r="HL48" s="235"/>
      <c r="HM48" s="235"/>
      <c r="HN48" s="235"/>
      <c r="HO48" s="235"/>
      <c r="HP48" s="235"/>
      <c r="HQ48" s="235"/>
      <c r="HR48" s="235"/>
      <c r="HS48" s="235"/>
      <c r="HT48" s="235"/>
      <c r="HU48" s="235"/>
      <c r="HV48" s="235"/>
      <c r="HW48" s="235"/>
      <c r="HX48" s="236"/>
      <c r="HY48" s="242">
        <v>1</v>
      </c>
      <c r="HZ48" s="242"/>
      <c r="IA48" s="242"/>
      <c r="IB48" s="242"/>
      <c r="IC48" s="242"/>
      <c r="ID48" s="242"/>
      <c r="JP48" s="155"/>
      <c r="LY48" s="12"/>
      <c r="LZ48" s="7"/>
    </row>
    <row r="49" spans="3:343" ht="5.0999999999999996" customHeight="1" x14ac:dyDescent="0.3">
      <c r="C49" s="11"/>
      <c r="D49" s="13"/>
      <c r="AN49" s="16"/>
      <c r="EM49" s="19"/>
      <c r="EN49" s="16"/>
      <c r="GJ49" s="237"/>
      <c r="GK49" s="188"/>
      <c r="GL49" s="188"/>
      <c r="GM49" s="188"/>
      <c r="GN49" s="188"/>
      <c r="GO49" s="188"/>
      <c r="GP49" s="188"/>
      <c r="GQ49" s="188"/>
      <c r="GR49" s="188"/>
      <c r="GS49" s="188"/>
      <c r="GT49" s="188"/>
      <c r="GU49" s="188"/>
      <c r="GV49" s="188"/>
      <c r="GW49" s="188"/>
      <c r="GX49" s="188"/>
      <c r="GY49" s="188"/>
      <c r="GZ49" s="188"/>
      <c r="HA49" s="188"/>
      <c r="HB49" s="188"/>
      <c r="HC49" s="188"/>
      <c r="HD49" s="188"/>
      <c r="HE49" s="188"/>
      <c r="HF49" s="188"/>
      <c r="HG49" s="188"/>
      <c r="HH49" s="188"/>
      <c r="HI49" s="188"/>
      <c r="HJ49" s="188"/>
      <c r="HK49" s="188"/>
      <c r="HL49" s="188"/>
      <c r="HM49" s="188"/>
      <c r="HN49" s="188"/>
      <c r="HO49" s="188"/>
      <c r="HP49" s="188"/>
      <c r="HQ49" s="188"/>
      <c r="HR49" s="188"/>
      <c r="HS49" s="188"/>
      <c r="HT49" s="188"/>
      <c r="HU49" s="188"/>
      <c r="HV49" s="188"/>
      <c r="HW49" s="188"/>
      <c r="HX49" s="238"/>
      <c r="HY49" s="242"/>
      <c r="HZ49" s="242"/>
      <c r="IA49" s="242"/>
      <c r="IB49" s="242"/>
      <c r="IC49" s="242"/>
      <c r="ID49" s="242"/>
      <c r="JP49" s="155"/>
      <c r="LY49" s="12"/>
      <c r="LZ49" s="7"/>
    </row>
    <row r="50" spans="3:343" ht="5.0999999999999996" customHeight="1" x14ac:dyDescent="0.3">
      <c r="C50" s="11"/>
      <c r="D50" s="13"/>
      <c r="AN50" s="16"/>
      <c r="EM50" s="19"/>
      <c r="EN50" s="16"/>
      <c r="GJ50" s="237"/>
      <c r="GK50" s="188"/>
      <c r="GL50" s="188"/>
      <c r="GM50" s="188"/>
      <c r="GN50" s="188"/>
      <c r="GO50" s="188"/>
      <c r="GP50" s="188"/>
      <c r="GQ50" s="188"/>
      <c r="GR50" s="188"/>
      <c r="GS50" s="188"/>
      <c r="GT50" s="188"/>
      <c r="GU50" s="188"/>
      <c r="GV50" s="188"/>
      <c r="GW50" s="188"/>
      <c r="GX50" s="188"/>
      <c r="GY50" s="188"/>
      <c r="GZ50" s="188"/>
      <c r="HA50" s="188"/>
      <c r="HB50" s="188"/>
      <c r="HC50" s="188"/>
      <c r="HD50" s="188"/>
      <c r="HE50" s="188"/>
      <c r="HF50" s="188"/>
      <c r="HG50" s="188"/>
      <c r="HH50" s="188"/>
      <c r="HI50" s="188"/>
      <c r="HJ50" s="188"/>
      <c r="HK50" s="188"/>
      <c r="HL50" s="188"/>
      <c r="HM50" s="188"/>
      <c r="HN50" s="188"/>
      <c r="HO50" s="188"/>
      <c r="HP50" s="188"/>
      <c r="HQ50" s="188"/>
      <c r="HR50" s="188"/>
      <c r="HS50" s="188"/>
      <c r="HT50" s="188"/>
      <c r="HU50" s="188"/>
      <c r="HV50" s="188"/>
      <c r="HW50" s="188"/>
      <c r="HX50" s="238"/>
      <c r="HY50" s="242"/>
      <c r="HZ50" s="242"/>
      <c r="IA50" s="242"/>
      <c r="IB50" s="242"/>
      <c r="IC50" s="242"/>
      <c r="ID50" s="242"/>
      <c r="JP50" s="155"/>
      <c r="LY50" s="12"/>
      <c r="LZ50" s="7"/>
    </row>
    <row r="51" spans="3:343" ht="5.0999999999999996" customHeight="1" x14ac:dyDescent="0.3">
      <c r="C51" s="11"/>
      <c r="D51" s="13"/>
      <c r="AN51" s="16"/>
      <c r="EN51" s="16"/>
      <c r="GJ51" s="237"/>
      <c r="GK51" s="188"/>
      <c r="GL51" s="188"/>
      <c r="GM51" s="188"/>
      <c r="GN51" s="188"/>
      <c r="GO51" s="188"/>
      <c r="GP51" s="188"/>
      <c r="GQ51" s="188"/>
      <c r="GR51" s="188"/>
      <c r="GS51" s="188"/>
      <c r="GT51" s="188"/>
      <c r="GU51" s="188"/>
      <c r="GV51" s="188"/>
      <c r="GW51" s="188"/>
      <c r="GX51" s="188"/>
      <c r="GY51" s="188"/>
      <c r="GZ51" s="188"/>
      <c r="HA51" s="188"/>
      <c r="HB51" s="188"/>
      <c r="HC51" s="188"/>
      <c r="HD51" s="188"/>
      <c r="HE51" s="188"/>
      <c r="HF51" s="188"/>
      <c r="HG51" s="188"/>
      <c r="HH51" s="188"/>
      <c r="HI51" s="188"/>
      <c r="HJ51" s="188"/>
      <c r="HK51" s="188"/>
      <c r="HL51" s="188"/>
      <c r="HM51" s="188"/>
      <c r="HN51" s="188"/>
      <c r="HO51" s="188"/>
      <c r="HP51" s="188"/>
      <c r="HQ51" s="188"/>
      <c r="HR51" s="188"/>
      <c r="HS51" s="188"/>
      <c r="HT51" s="188"/>
      <c r="HU51" s="188"/>
      <c r="HV51" s="188"/>
      <c r="HW51" s="188"/>
      <c r="HX51" s="238"/>
      <c r="HY51" s="242"/>
      <c r="HZ51" s="242"/>
      <c r="IA51" s="242"/>
      <c r="IB51" s="242"/>
      <c r="IC51" s="242"/>
      <c r="ID51" s="242"/>
      <c r="JP51" s="155"/>
      <c r="LY51" s="12"/>
      <c r="LZ51" s="7"/>
    </row>
    <row r="52" spans="3:343" ht="5.0999999999999996" customHeight="1" x14ac:dyDescent="0.3">
      <c r="C52" s="11"/>
      <c r="D52" s="13"/>
      <c r="AN52" s="16"/>
      <c r="EN52" s="16"/>
      <c r="GJ52" s="237"/>
      <c r="GK52" s="188"/>
      <c r="GL52" s="188"/>
      <c r="GM52" s="188"/>
      <c r="GN52" s="188"/>
      <c r="GO52" s="188"/>
      <c r="GP52" s="188"/>
      <c r="GQ52" s="188"/>
      <c r="GR52" s="188"/>
      <c r="GS52" s="188"/>
      <c r="GT52" s="188"/>
      <c r="GU52" s="188"/>
      <c r="GV52" s="188"/>
      <c r="GW52" s="188"/>
      <c r="GX52" s="188"/>
      <c r="GY52" s="188"/>
      <c r="GZ52" s="188"/>
      <c r="HA52" s="188"/>
      <c r="HB52" s="188"/>
      <c r="HC52" s="188"/>
      <c r="HD52" s="188"/>
      <c r="HE52" s="188"/>
      <c r="HF52" s="188"/>
      <c r="HG52" s="188"/>
      <c r="HH52" s="188"/>
      <c r="HI52" s="188"/>
      <c r="HJ52" s="188"/>
      <c r="HK52" s="188"/>
      <c r="HL52" s="188"/>
      <c r="HM52" s="188"/>
      <c r="HN52" s="188"/>
      <c r="HO52" s="188"/>
      <c r="HP52" s="188"/>
      <c r="HQ52" s="188"/>
      <c r="HR52" s="188"/>
      <c r="HS52" s="188"/>
      <c r="HT52" s="188"/>
      <c r="HU52" s="188"/>
      <c r="HV52" s="188"/>
      <c r="HW52" s="188"/>
      <c r="HX52" s="238"/>
      <c r="HY52" s="242"/>
      <c r="HZ52" s="242"/>
      <c r="IA52" s="242"/>
      <c r="IB52" s="242"/>
      <c r="IC52" s="242"/>
      <c r="ID52" s="242"/>
      <c r="JP52" s="155"/>
      <c r="LY52" s="12"/>
      <c r="LZ52" s="7"/>
    </row>
    <row r="53" spans="3:343" ht="5.0999999999999996" customHeight="1" x14ac:dyDescent="0.3">
      <c r="C53" s="11"/>
      <c r="D53" s="13"/>
      <c r="AN53" s="16"/>
      <c r="EN53" s="16"/>
      <c r="GJ53" s="237"/>
      <c r="GK53" s="188"/>
      <c r="GL53" s="188"/>
      <c r="GM53" s="188"/>
      <c r="GN53" s="188"/>
      <c r="GO53" s="188"/>
      <c r="GP53" s="188"/>
      <c r="GQ53" s="188"/>
      <c r="GR53" s="188"/>
      <c r="GS53" s="188"/>
      <c r="GT53" s="188"/>
      <c r="GU53" s="188"/>
      <c r="GV53" s="188"/>
      <c r="GW53" s="188"/>
      <c r="GX53" s="188"/>
      <c r="GY53" s="188"/>
      <c r="GZ53" s="188"/>
      <c r="HA53" s="188"/>
      <c r="HB53" s="188"/>
      <c r="HC53" s="188"/>
      <c r="HD53" s="188"/>
      <c r="HE53" s="188"/>
      <c r="HF53" s="188"/>
      <c r="HG53" s="188"/>
      <c r="HH53" s="188"/>
      <c r="HI53" s="188"/>
      <c r="HJ53" s="188"/>
      <c r="HK53" s="188"/>
      <c r="HL53" s="188"/>
      <c r="HM53" s="188"/>
      <c r="HN53" s="188"/>
      <c r="HO53" s="188"/>
      <c r="HP53" s="188"/>
      <c r="HQ53" s="188"/>
      <c r="HR53" s="188"/>
      <c r="HS53" s="188"/>
      <c r="HT53" s="188"/>
      <c r="HU53" s="188"/>
      <c r="HV53" s="188"/>
      <c r="HW53" s="188"/>
      <c r="HX53" s="238"/>
      <c r="HY53" s="242"/>
      <c r="HZ53" s="242"/>
      <c r="IA53" s="242"/>
      <c r="IB53" s="242"/>
      <c r="IC53" s="242"/>
      <c r="ID53" s="242"/>
      <c r="JP53" s="155"/>
      <c r="LY53" s="12"/>
      <c r="LZ53" s="7"/>
    </row>
    <row r="54" spans="3:343" ht="5.0999999999999996" customHeight="1" x14ac:dyDescent="0.3">
      <c r="C54" s="11"/>
      <c r="D54" s="13"/>
      <c r="Q54" s="255" t="s">
        <v>16</v>
      </c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255"/>
      <c r="AN54" s="255"/>
      <c r="AO54" s="255"/>
      <c r="AP54" s="255"/>
      <c r="AQ54" s="255"/>
      <c r="AR54" s="255"/>
      <c r="AS54" s="255"/>
      <c r="AT54" s="255"/>
      <c r="AU54" s="255"/>
      <c r="AV54" s="255"/>
      <c r="AW54" s="255"/>
      <c r="AX54" s="255"/>
      <c r="AY54" s="255"/>
      <c r="AZ54" s="255"/>
      <c r="BA54" s="255"/>
      <c r="BB54" s="255"/>
      <c r="BC54" s="255"/>
      <c r="BD54" s="255"/>
      <c r="BE54" s="255"/>
      <c r="BF54" s="255">
        <f>SUM(BF65:BJ95)</f>
        <v>6</v>
      </c>
      <c r="BG54" s="255"/>
      <c r="BH54" s="255"/>
      <c r="BI54" s="255"/>
      <c r="BJ54" s="255"/>
      <c r="EN54" s="16"/>
      <c r="GJ54" s="237"/>
      <c r="GK54" s="188"/>
      <c r="GL54" s="188"/>
      <c r="GM54" s="188"/>
      <c r="GN54" s="188"/>
      <c r="GO54" s="188"/>
      <c r="GP54" s="188"/>
      <c r="GQ54" s="188"/>
      <c r="GR54" s="188"/>
      <c r="GS54" s="188"/>
      <c r="GT54" s="188"/>
      <c r="GU54" s="188"/>
      <c r="GV54" s="188"/>
      <c r="GW54" s="188"/>
      <c r="GX54" s="188"/>
      <c r="GY54" s="188"/>
      <c r="GZ54" s="188"/>
      <c r="HA54" s="188"/>
      <c r="HB54" s="188"/>
      <c r="HC54" s="188"/>
      <c r="HD54" s="188"/>
      <c r="HE54" s="188"/>
      <c r="HF54" s="188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88"/>
      <c r="HW54" s="188"/>
      <c r="HX54" s="238"/>
      <c r="HY54" s="242"/>
      <c r="HZ54" s="242"/>
      <c r="IA54" s="242"/>
      <c r="IB54" s="242"/>
      <c r="IC54" s="242"/>
      <c r="ID54" s="242"/>
      <c r="JP54" s="155"/>
      <c r="LY54" s="12"/>
      <c r="LZ54" s="7"/>
    </row>
    <row r="55" spans="3:343" ht="5.0999999999999996" customHeight="1" x14ac:dyDescent="0.3">
      <c r="C55" s="11"/>
      <c r="D55" s="13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  <c r="EN55" s="16"/>
      <c r="GJ55" s="237"/>
      <c r="GK55" s="188"/>
      <c r="GL55" s="188"/>
      <c r="GM55" s="188"/>
      <c r="GN55" s="188"/>
      <c r="GO55" s="188"/>
      <c r="GP55" s="188"/>
      <c r="GQ55" s="188"/>
      <c r="GR55" s="188"/>
      <c r="GS55" s="188"/>
      <c r="GT55" s="188"/>
      <c r="GU55" s="188"/>
      <c r="GV55" s="188"/>
      <c r="GW55" s="188"/>
      <c r="GX55" s="188"/>
      <c r="GY55" s="188"/>
      <c r="GZ55" s="188"/>
      <c r="HA55" s="188"/>
      <c r="HB55" s="188"/>
      <c r="HC55" s="188"/>
      <c r="HD55" s="188"/>
      <c r="HE55" s="188"/>
      <c r="HF55" s="188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188"/>
      <c r="HW55" s="188"/>
      <c r="HX55" s="238"/>
      <c r="HY55" s="242"/>
      <c r="HZ55" s="242"/>
      <c r="IA55" s="242"/>
      <c r="IB55" s="242"/>
      <c r="IC55" s="242"/>
      <c r="ID55" s="242"/>
      <c r="JP55" s="155"/>
      <c r="LY55" s="12"/>
      <c r="LZ55" s="7"/>
    </row>
    <row r="56" spans="3:343" ht="5.0999999999999996" customHeight="1" x14ac:dyDescent="0.3">
      <c r="C56" s="11"/>
      <c r="D56" s="13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  <c r="EN56" s="16"/>
      <c r="GJ56" s="239"/>
      <c r="GK56" s="240"/>
      <c r="GL56" s="240"/>
      <c r="GM56" s="240"/>
      <c r="GN56" s="240"/>
      <c r="GO56" s="240"/>
      <c r="GP56" s="240"/>
      <c r="GQ56" s="240"/>
      <c r="GR56" s="240"/>
      <c r="GS56" s="240"/>
      <c r="GT56" s="240"/>
      <c r="GU56" s="240"/>
      <c r="GV56" s="240"/>
      <c r="GW56" s="240"/>
      <c r="GX56" s="240"/>
      <c r="GY56" s="240"/>
      <c r="GZ56" s="240"/>
      <c r="HA56" s="240"/>
      <c r="HB56" s="240"/>
      <c r="HC56" s="240"/>
      <c r="HD56" s="240"/>
      <c r="HE56" s="240"/>
      <c r="HF56" s="240"/>
      <c r="HG56" s="240"/>
      <c r="HH56" s="240"/>
      <c r="HI56" s="240"/>
      <c r="HJ56" s="240"/>
      <c r="HK56" s="240"/>
      <c r="HL56" s="240"/>
      <c r="HM56" s="240"/>
      <c r="HN56" s="240"/>
      <c r="HO56" s="240"/>
      <c r="HP56" s="240"/>
      <c r="HQ56" s="240"/>
      <c r="HR56" s="240"/>
      <c r="HS56" s="240"/>
      <c r="HT56" s="240"/>
      <c r="HU56" s="240"/>
      <c r="HV56" s="240"/>
      <c r="HW56" s="240"/>
      <c r="HX56" s="241"/>
      <c r="HY56" s="242"/>
      <c r="HZ56" s="242"/>
      <c r="IA56" s="242"/>
      <c r="IB56" s="242"/>
      <c r="IC56" s="242"/>
      <c r="ID56" s="242"/>
      <c r="JP56" s="155"/>
      <c r="LY56" s="12"/>
      <c r="LZ56" s="7"/>
    </row>
    <row r="57" spans="3:343" ht="5.0999999999999996" customHeight="1" x14ac:dyDescent="0.3">
      <c r="C57" s="11"/>
      <c r="D57" s="13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255"/>
      <c r="BH57" s="255"/>
      <c r="BI57" s="255"/>
      <c r="BJ57" s="255"/>
      <c r="EN57" s="16"/>
      <c r="JP57" s="155"/>
      <c r="LY57" s="12"/>
      <c r="LZ57" s="7"/>
    </row>
    <row r="58" spans="3:343" ht="5.0999999999999996" customHeight="1" x14ac:dyDescent="0.3">
      <c r="C58" s="11"/>
      <c r="D58" s="13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5"/>
      <c r="EN58" s="16"/>
      <c r="JP58" s="155"/>
      <c r="LY58" s="12"/>
      <c r="LZ58" s="7"/>
    </row>
    <row r="59" spans="3:343" ht="5.0999999999999996" customHeight="1" x14ac:dyDescent="0.3">
      <c r="C59" s="11"/>
      <c r="D59" s="13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  <c r="EN59" s="16"/>
      <c r="JP59" s="155"/>
      <c r="LY59" s="12"/>
      <c r="LZ59" s="7"/>
      <c r="MB59" s="3"/>
      <c r="MC59" s="3"/>
      <c r="MD59" s="3"/>
      <c r="ME59" s="2"/>
    </row>
    <row r="60" spans="3:343" ht="5.0999999999999996" customHeight="1" x14ac:dyDescent="0.3">
      <c r="C60" s="11"/>
      <c r="D60" s="13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5"/>
      <c r="BE60" s="255"/>
      <c r="BF60" s="255"/>
      <c r="BG60" s="255"/>
      <c r="BH60" s="255"/>
      <c r="BI60" s="255"/>
      <c r="BJ60" s="255"/>
      <c r="EN60" s="16"/>
      <c r="JP60" s="155"/>
      <c r="LY60" s="12"/>
      <c r="LZ60" s="7"/>
    </row>
    <row r="61" spans="3:343" ht="5.0999999999999996" customHeight="1" x14ac:dyDescent="0.3">
      <c r="C61" s="11"/>
      <c r="D61" s="13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  <c r="AO61" s="255"/>
      <c r="AP61" s="255"/>
      <c r="AQ61" s="255"/>
      <c r="AR61" s="255"/>
      <c r="AS61" s="255"/>
      <c r="AT61" s="255"/>
      <c r="AU61" s="255"/>
      <c r="AV61" s="255"/>
      <c r="AW61" s="255"/>
      <c r="AX61" s="255"/>
      <c r="AY61" s="255"/>
      <c r="AZ61" s="255"/>
      <c r="BA61" s="255"/>
      <c r="BB61" s="255"/>
      <c r="BC61" s="255"/>
      <c r="BD61" s="255"/>
      <c r="BE61" s="255"/>
      <c r="BF61" s="255"/>
      <c r="BG61" s="255"/>
      <c r="BH61" s="255"/>
      <c r="BI61" s="255"/>
      <c r="BJ61" s="255"/>
      <c r="EN61" s="16"/>
      <c r="JP61" s="155"/>
      <c r="LY61" s="12"/>
      <c r="LZ61" s="7"/>
    </row>
    <row r="62" spans="3:343" ht="5.0999999999999996" customHeight="1" x14ac:dyDescent="0.3">
      <c r="C62" s="11"/>
      <c r="D62" s="13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55"/>
      <c r="AQ62" s="255"/>
      <c r="AR62" s="255"/>
      <c r="AS62" s="255"/>
      <c r="AT62" s="255"/>
      <c r="AU62" s="255"/>
      <c r="AV62" s="255"/>
      <c r="AW62" s="255"/>
      <c r="AX62" s="255"/>
      <c r="AY62" s="255"/>
      <c r="AZ62" s="255"/>
      <c r="BA62" s="255"/>
      <c r="BB62" s="255"/>
      <c r="BC62" s="255"/>
      <c r="BD62" s="255"/>
      <c r="BE62" s="255"/>
      <c r="BF62" s="255"/>
      <c r="BG62" s="255"/>
      <c r="BH62" s="255"/>
      <c r="BI62" s="255"/>
      <c r="BJ62" s="255"/>
      <c r="EN62" s="16"/>
      <c r="JP62" s="155"/>
      <c r="LY62" s="12"/>
      <c r="LZ62" s="7"/>
    </row>
    <row r="63" spans="3:343" ht="5.0999999999999996" customHeight="1" x14ac:dyDescent="0.3">
      <c r="C63" s="11"/>
      <c r="D63" s="13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  <c r="AX63" s="255"/>
      <c r="AY63" s="255"/>
      <c r="AZ63" s="255"/>
      <c r="BA63" s="255"/>
      <c r="BB63" s="255"/>
      <c r="BC63" s="255"/>
      <c r="BD63" s="255"/>
      <c r="BE63" s="255"/>
      <c r="BF63" s="255"/>
      <c r="BG63" s="255"/>
      <c r="BH63" s="255"/>
      <c r="BI63" s="255"/>
      <c r="BJ63" s="255"/>
      <c r="EN63" s="16"/>
      <c r="JP63" s="155"/>
      <c r="LY63" s="12"/>
      <c r="LZ63" s="7"/>
    </row>
    <row r="64" spans="3:343" ht="5.0999999999999996" customHeight="1" x14ac:dyDescent="0.3">
      <c r="C64" s="11"/>
      <c r="D64" s="13"/>
      <c r="AH64" s="15"/>
      <c r="EN64" s="16"/>
      <c r="JP64" s="155"/>
      <c r="LY64" s="12"/>
      <c r="LZ64" s="7"/>
    </row>
    <row r="65" spans="3:343" ht="5.0999999999999996" customHeight="1" x14ac:dyDescent="0.3">
      <c r="C65" s="11"/>
      <c r="D65" s="13"/>
      <c r="Q65" s="184" t="s">
        <v>60</v>
      </c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185"/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6"/>
      <c r="BF65" s="225">
        <v>1</v>
      </c>
      <c r="BG65" s="226"/>
      <c r="BH65" s="226"/>
      <c r="BI65" s="226"/>
      <c r="BJ65" s="227"/>
      <c r="EN65" s="16"/>
      <c r="JP65" s="155"/>
      <c r="LY65" s="12"/>
      <c r="LZ65" s="7"/>
    </row>
    <row r="66" spans="3:343" ht="5.0999999999999996" customHeight="1" x14ac:dyDescent="0.3">
      <c r="C66" s="11"/>
      <c r="D66" s="13"/>
      <c r="Q66" s="187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9"/>
      <c r="BF66" s="228"/>
      <c r="BG66" s="229"/>
      <c r="BH66" s="229"/>
      <c r="BI66" s="229"/>
      <c r="BJ66" s="230"/>
      <c r="EN66" s="16"/>
      <c r="JP66" s="155"/>
      <c r="LY66" s="12"/>
      <c r="LZ66" s="7"/>
    </row>
    <row r="67" spans="3:343" ht="5.0999999999999996" customHeight="1" x14ac:dyDescent="0.3">
      <c r="C67" s="11"/>
      <c r="D67" s="13"/>
      <c r="Q67" s="187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9"/>
      <c r="BF67" s="228"/>
      <c r="BG67" s="229"/>
      <c r="BH67" s="229"/>
      <c r="BI67" s="229"/>
      <c r="BJ67" s="230"/>
      <c r="EN67" s="16"/>
      <c r="JP67" s="155"/>
      <c r="LY67" s="12"/>
      <c r="LZ67" s="7"/>
    </row>
    <row r="68" spans="3:343" ht="5.0999999999999996" customHeight="1" x14ac:dyDescent="0.3">
      <c r="C68" s="11"/>
      <c r="D68" s="13"/>
      <c r="Q68" s="187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9"/>
      <c r="BF68" s="228"/>
      <c r="BG68" s="229"/>
      <c r="BH68" s="229"/>
      <c r="BI68" s="229"/>
      <c r="BJ68" s="230"/>
      <c r="EN68" s="16"/>
      <c r="JP68" s="155"/>
      <c r="LY68" s="12"/>
      <c r="LZ68" s="7"/>
    </row>
    <row r="69" spans="3:343" ht="5.0999999999999996" customHeight="1" x14ac:dyDescent="0.3">
      <c r="C69" s="11"/>
      <c r="D69" s="13"/>
      <c r="Q69" s="187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9"/>
      <c r="BF69" s="228"/>
      <c r="BG69" s="229"/>
      <c r="BH69" s="229"/>
      <c r="BI69" s="229"/>
      <c r="BJ69" s="230"/>
      <c r="EN69" s="16"/>
      <c r="JP69" s="155"/>
      <c r="LY69" s="12"/>
      <c r="LZ69" s="7"/>
      <c r="MB69" s="3"/>
      <c r="MC69" s="3"/>
      <c r="MD69" s="3"/>
      <c r="ME69" s="2"/>
    </row>
    <row r="70" spans="3:343" ht="5.0999999999999996" customHeight="1" x14ac:dyDescent="0.3">
      <c r="C70" s="11"/>
      <c r="D70" s="13"/>
      <c r="Q70" s="187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E70" s="189"/>
      <c r="BF70" s="228"/>
      <c r="BG70" s="229"/>
      <c r="BH70" s="229"/>
      <c r="BI70" s="229"/>
      <c r="BJ70" s="230"/>
      <c r="EN70" s="16"/>
      <c r="JP70" s="155"/>
      <c r="LY70" s="12"/>
      <c r="LZ70" s="7"/>
    </row>
    <row r="71" spans="3:343" ht="5.0999999999999996" customHeight="1" x14ac:dyDescent="0.3">
      <c r="C71" s="11"/>
      <c r="D71" s="13"/>
      <c r="Q71" s="187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E71" s="189"/>
      <c r="BF71" s="228"/>
      <c r="BG71" s="229"/>
      <c r="BH71" s="229"/>
      <c r="BI71" s="229"/>
      <c r="BJ71" s="230"/>
      <c r="EN71" s="16"/>
      <c r="JP71" s="155"/>
      <c r="LY71" s="12"/>
      <c r="LZ71" s="7"/>
    </row>
    <row r="72" spans="3:343" ht="5.0999999999999996" customHeight="1" x14ac:dyDescent="0.3">
      <c r="C72" s="11"/>
      <c r="D72" s="13"/>
      <c r="Q72" s="187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E72" s="189"/>
      <c r="BF72" s="228"/>
      <c r="BG72" s="229"/>
      <c r="BH72" s="229"/>
      <c r="BI72" s="229"/>
      <c r="BJ72" s="230"/>
      <c r="EN72" s="16"/>
      <c r="JP72" s="155"/>
      <c r="LY72" s="12"/>
      <c r="LZ72" s="7"/>
    </row>
    <row r="73" spans="3:343" ht="5.0999999999999996" customHeight="1" x14ac:dyDescent="0.3">
      <c r="C73" s="11"/>
      <c r="D73" s="13"/>
      <c r="Q73" s="187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9"/>
      <c r="BF73" s="228"/>
      <c r="BG73" s="229"/>
      <c r="BH73" s="229"/>
      <c r="BI73" s="229"/>
      <c r="BJ73" s="230"/>
      <c r="EN73" s="16"/>
      <c r="JP73" s="155"/>
      <c r="LY73" s="12"/>
      <c r="LZ73" s="7"/>
    </row>
    <row r="74" spans="3:343" ht="5.0999999999999996" customHeight="1" x14ac:dyDescent="0.3">
      <c r="C74" s="11"/>
      <c r="D74" s="13"/>
      <c r="Q74" s="190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  <c r="BD74" s="191"/>
      <c r="BE74" s="192"/>
      <c r="BF74" s="231"/>
      <c r="BG74" s="232"/>
      <c r="BH74" s="232"/>
      <c r="BI74" s="232"/>
      <c r="BJ74" s="233"/>
      <c r="EN74" s="16"/>
      <c r="JP74" s="155"/>
      <c r="LY74" s="12"/>
      <c r="LZ74" s="7"/>
    </row>
    <row r="75" spans="3:343" ht="5.0999999999999996" customHeight="1" x14ac:dyDescent="0.3">
      <c r="C75" s="11"/>
      <c r="D75" s="13"/>
      <c r="AF75" s="27"/>
      <c r="AG75" s="26"/>
      <c r="EN75" s="16"/>
      <c r="JP75" s="155"/>
      <c r="LY75" s="12"/>
      <c r="LZ75" s="7"/>
    </row>
    <row r="76" spans="3:343" ht="5.0999999999999996" customHeight="1" x14ac:dyDescent="0.3">
      <c r="C76" s="11"/>
      <c r="D76" s="13"/>
      <c r="Q76" s="184" t="s">
        <v>147</v>
      </c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6"/>
      <c r="BF76" s="225">
        <v>1</v>
      </c>
      <c r="BG76" s="226"/>
      <c r="BH76" s="226"/>
      <c r="BI76" s="226"/>
      <c r="BJ76" s="227"/>
      <c r="EN76" s="16"/>
      <c r="JP76" s="155"/>
      <c r="LY76" s="12"/>
      <c r="LZ76" s="7"/>
    </row>
    <row r="77" spans="3:343" ht="5.0999999999999996" customHeight="1" x14ac:dyDescent="0.3">
      <c r="C77" s="11"/>
      <c r="D77" s="13"/>
      <c r="Q77" s="187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9"/>
      <c r="BF77" s="228"/>
      <c r="BG77" s="229"/>
      <c r="BH77" s="229"/>
      <c r="BI77" s="229"/>
      <c r="BJ77" s="230"/>
      <c r="EN77" s="16"/>
      <c r="JP77" s="155"/>
      <c r="LY77" s="12"/>
      <c r="LZ77" s="7"/>
    </row>
    <row r="78" spans="3:343" ht="5.0999999999999996" customHeight="1" x14ac:dyDescent="0.3">
      <c r="C78" s="11"/>
      <c r="D78" s="13"/>
      <c r="Q78" s="187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9"/>
      <c r="BF78" s="228"/>
      <c r="BG78" s="229"/>
      <c r="BH78" s="229"/>
      <c r="BI78" s="229"/>
      <c r="BJ78" s="230"/>
      <c r="EN78" s="16"/>
      <c r="JP78" s="155"/>
      <c r="LY78" s="12"/>
      <c r="LZ78" s="7"/>
    </row>
    <row r="79" spans="3:343" ht="5.0999999999999996" customHeight="1" x14ac:dyDescent="0.3">
      <c r="C79" s="11"/>
      <c r="D79" s="13"/>
      <c r="Q79" s="187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9"/>
      <c r="BF79" s="228"/>
      <c r="BG79" s="229"/>
      <c r="BH79" s="229"/>
      <c r="BI79" s="229"/>
      <c r="BJ79" s="230"/>
      <c r="EN79" s="16"/>
      <c r="JP79" s="155"/>
      <c r="LY79" s="12"/>
      <c r="LZ79" s="7"/>
    </row>
    <row r="80" spans="3:343" ht="5.0999999999999996" customHeight="1" x14ac:dyDescent="0.3">
      <c r="C80" s="11"/>
      <c r="D80" s="13"/>
      <c r="Q80" s="187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9"/>
      <c r="BF80" s="228"/>
      <c r="BG80" s="229"/>
      <c r="BH80" s="229"/>
      <c r="BI80" s="229"/>
      <c r="BJ80" s="230"/>
      <c r="EN80" s="16"/>
      <c r="JP80" s="155"/>
      <c r="LY80" s="12"/>
      <c r="LZ80" s="7"/>
    </row>
    <row r="81" spans="3:338" ht="5.0999999999999996" customHeight="1" x14ac:dyDescent="0.3">
      <c r="C81" s="11"/>
      <c r="D81" s="13"/>
      <c r="Q81" s="187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E81" s="189"/>
      <c r="BF81" s="228"/>
      <c r="BG81" s="229"/>
      <c r="BH81" s="229"/>
      <c r="BI81" s="229"/>
      <c r="BJ81" s="230"/>
      <c r="EN81" s="16"/>
      <c r="JP81" s="155"/>
      <c r="LY81" s="12"/>
      <c r="LZ81" s="7"/>
    </row>
    <row r="82" spans="3:338" ht="5.0999999999999996" customHeight="1" x14ac:dyDescent="0.3">
      <c r="C82" s="11"/>
      <c r="D82" s="13"/>
      <c r="Q82" s="187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E82" s="189"/>
      <c r="BF82" s="228"/>
      <c r="BG82" s="229"/>
      <c r="BH82" s="229"/>
      <c r="BI82" s="229"/>
      <c r="BJ82" s="230"/>
      <c r="EN82" s="16"/>
      <c r="JP82" s="155"/>
      <c r="LY82" s="12"/>
      <c r="LZ82" s="7"/>
    </row>
    <row r="83" spans="3:338" ht="5.0999999999999996" customHeight="1" x14ac:dyDescent="0.3">
      <c r="C83" s="11"/>
      <c r="D83" s="13"/>
      <c r="Q83" s="187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E83" s="189"/>
      <c r="BF83" s="228"/>
      <c r="BG83" s="229"/>
      <c r="BH83" s="229"/>
      <c r="BI83" s="229"/>
      <c r="BJ83" s="230"/>
      <c r="EN83" s="16"/>
      <c r="JP83" s="155"/>
      <c r="LY83" s="12"/>
      <c r="LZ83" s="7"/>
    </row>
    <row r="84" spans="3:338" ht="5.0999999999999996" customHeight="1" x14ac:dyDescent="0.3">
      <c r="C84" s="11"/>
      <c r="D84" s="13"/>
      <c r="Q84" s="187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E84" s="189"/>
      <c r="BF84" s="228"/>
      <c r="BG84" s="229"/>
      <c r="BH84" s="229"/>
      <c r="BI84" s="229"/>
      <c r="BJ84" s="230"/>
      <c r="BU84" s="184" t="s">
        <v>59</v>
      </c>
      <c r="BV84" s="185"/>
      <c r="BW84" s="185"/>
      <c r="BX84" s="185"/>
      <c r="BY84" s="185"/>
      <c r="BZ84" s="185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85"/>
      <c r="CQ84" s="185"/>
      <c r="CR84" s="185"/>
      <c r="CS84" s="185"/>
      <c r="CT84" s="185"/>
      <c r="CU84" s="185"/>
      <c r="CV84" s="185"/>
      <c r="CW84" s="185"/>
      <c r="CX84" s="185"/>
      <c r="CY84" s="185"/>
      <c r="CZ84" s="185"/>
      <c r="DA84" s="185"/>
      <c r="DB84" s="185"/>
      <c r="DC84" s="185"/>
      <c r="DD84" s="185"/>
      <c r="DE84" s="185"/>
      <c r="DF84" s="185"/>
      <c r="DG84" s="185"/>
      <c r="DH84" s="186"/>
      <c r="DI84" s="184">
        <v>1</v>
      </c>
      <c r="DJ84" s="185"/>
      <c r="DK84" s="185"/>
      <c r="DL84" s="185"/>
      <c r="DM84" s="186"/>
      <c r="EN84" s="16"/>
      <c r="JP84" s="155"/>
      <c r="LY84" s="12"/>
      <c r="LZ84" s="7"/>
    </row>
    <row r="85" spans="3:338" ht="5.0999999999999996" customHeight="1" x14ac:dyDescent="0.3">
      <c r="C85" s="11"/>
      <c r="D85" s="13"/>
      <c r="Q85" s="190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2"/>
      <c r="BF85" s="231"/>
      <c r="BG85" s="232"/>
      <c r="BH85" s="232"/>
      <c r="BI85" s="232"/>
      <c r="BJ85" s="233"/>
      <c r="BU85" s="187"/>
      <c r="BV85" s="188"/>
      <c r="BW85" s="188"/>
      <c r="BX85" s="188"/>
      <c r="BY85" s="188"/>
      <c r="BZ85" s="188"/>
      <c r="CA85" s="188"/>
      <c r="CB85" s="188"/>
      <c r="CC85" s="188"/>
      <c r="CD85" s="188"/>
      <c r="CE85" s="188"/>
      <c r="CF85" s="188"/>
      <c r="CG85" s="188"/>
      <c r="CH85" s="188"/>
      <c r="CI85" s="188"/>
      <c r="CJ85" s="188"/>
      <c r="CK85" s="188"/>
      <c r="CL85" s="188"/>
      <c r="CM85" s="188"/>
      <c r="CN85" s="188"/>
      <c r="CO85" s="188"/>
      <c r="CP85" s="188"/>
      <c r="CQ85" s="188"/>
      <c r="CR85" s="188"/>
      <c r="CS85" s="188"/>
      <c r="CT85" s="188"/>
      <c r="CU85" s="188"/>
      <c r="CV85" s="188"/>
      <c r="CW85" s="188"/>
      <c r="CX85" s="188"/>
      <c r="CY85" s="188"/>
      <c r="CZ85" s="188"/>
      <c r="DA85" s="188"/>
      <c r="DB85" s="188"/>
      <c r="DC85" s="188"/>
      <c r="DD85" s="188"/>
      <c r="DE85" s="188"/>
      <c r="DF85" s="188"/>
      <c r="DG85" s="188"/>
      <c r="DH85" s="189"/>
      <c r="DI85" s="187"/>
      <c r="DJ85" s="188"/>
      <c r="DK85" s="188"/>
      <c r="DL85" s="188"/>
      <c r="DM85" s="189"/>
      <c r="EN85" s="16"/>
      <c r="JP85" s="155"/>
      <c r="LY85" s="12"/>
      <c r="LZ85" s="7"/>
    </row>
    <row r="86" spans="3:338" ht="5.0999999999999996" customHeight="1" x14ac:dyDescent="0.3">
      <c r="C86" s="11"/>
      <c r="D86" s="13"/>
      <c r="AF86" s="27"/>
      <c r="AG86" s="26"/>
      <c r="BU86" s="187"/>
      <c r="BV86" s="188"/>
      <c r="BW86" s="188"/>
      <c r="BX86" s="188"/>
      <c r="BY86" s="188"/>
      <c r="BZ86" s="188"/>
      <c r="CA86" s="188"/>
      <c r="CB86" s="188"/>
      <c r="CC86" s="188"/>
      <c r="CD86" s="188"/>
      <c r="CE86" s="188"/>
      <c r="CF86" s="188"/>
      <c r="CG86" s="188"/>
      <c r="CH86" s="188"/>
      <c r="CI86" s="188"/>
      <c r="CJ86" s="188"/>
      <c r="CK86" s="188"/>
      <c r="CL86" s="188"/>
      <c r="CM86" s="188"/>
      <c r="CN86" s="188"/>
      <c r="CO86" s="188"/>
      <c r="CP86" s="188"/>
      <c r="CQ86" s="188"/>
      <c r="CR86" s="188"/>
      <c r="CS86" s="188"/>
      <c r="CT86" s="188"/>
      <c r="CU86" s="188"/>
      <c r="CV86" s="188"/>
      <c r="CW86" s="188"/>
      <c r="CX86" s="188"/>
      <c r="CY86" s="188"/>
      <c r="CZ86" s="188"/>
      <c r="DA86" s="188"/>
      <c r="DB86" s="188"/>
      <c r="DC86" s="188"/>
      <c r="DD86" s="188"/>
      <c r="DE86" s="188"/>
      <c r="DF86" s="188"/>
      <c r="DG86" s="188"/>
      <c r="DH86" s="189"/>
      <c r="DI86" s="187"/>
      <c r="DJ86" s="188"/>
      <c r="DK86" s="188"/>
      <c r="DL86" s="188"/>
      <c r="DM86" s="189"/>
      <c r="EN86" s="16"/>
      <c r="JP86" s="155"/>
      <c r="LY86" s="12"/>
      <c r="LZ86" s="7"/>
    </row>
    <row r="87" spans="3:338" ht="5.0999999999999996" customHeight="1" x14ac:dyDescent="0.3">
      <c r="C87" s="11"/>
      <c r="D87" s="13"/>
      <c r="Q87" s="184" t="s">
        <v>79</v>
      </c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6"/>
      <c r="BF87" s="225">
        <v>4</v>
      </c>
      <c r="BG87" s="226"/>
      <c r="BH87" s="226"/>
      <c r="BI87" s="226"/>
      <c r="BJ87" s="227"/>
      <c r="BU87" s="187"/>
      <c r="BV87" s="188"/>
      <c r="BW87" s="188"/>
      <c r="BX87" s="188"/>
      <c r="BY87" s="188"/>
      <c r="BZ87" s="188"/>
      <c r="CA87" s="188"/>
      <c r="CB87" s="188"/>
      <c r="CC87" s="188"/>
      <c r="CD87" s="188"/>
      <c r="CE87" s="188"/>
      <c r="CF87" s="188"/>
      <c r="CG87" s="188"/>
      <c r="CH87" s="188"/>
      <c r="CI87" s="188"/>
      <c r="CJ87" s="188"/>
      <c r="CK87" s="188"/>
      <c r="CL87" s="188"/>
      <c r="CM87" s="188"/>
      <c r="CN87" s="188"/>
      <c r="CO87" s="188"/>
      <c r="CP87" s="188"/>
      <c r="CQ87" s="188"/>
      <c r="CR87" s="188"/>
      <c r="CS87" s="188"/>
      <c r="CT87" s="188"/>
      <c r="CU87" s="188"/>
      <c r="CV87" s="188"/>
      <c r="CW87" s="188"/>
      <c r="CX87" s="188"/>
      <c r="CY87" s="188"/>
      <c r="CZ87" s="188"/>
      <c r="DA87" s="188"/>
      <c r="DB87" s="188"/>
      <c r="DC87" s="188"/>
      <c r="DD87" s="188"/>
      <c r="DE87" s="188"/>
      <c r="DF87" s="188"/>
      <c r="DG87" s="188"/>
      <c r="DH87" s="189"/>
      <c r="DI87" s="187"/>
      <c r="DJ87" s="188"/>
      <c r="DK87" s="188"/>
      <c r="DL87" s="188"/>
      <c r="DM87" s="189"/>
      <c r="EN87" s="16"/>
      <c r="JP87" s="155"/>
      <c r="LY87" s="12"/>
      <c r="LZ87" s="7"/>
    </row>
    <row r="88" spans="3:338" ht="5.0999999999999996" customHeight="1" thickBot="1" x14ac:dyDescent="0.35">
      <c r="C88" s="11"/>
      <c r="D88" s="13"/>
      <c r="Q88" s="187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E88" s="189"/>
      <c r="BF88" s="228"/>
      <c r="BG88" s="229"/>
      <c r="BH88" s="229"/>
      <c r="BI88" s="229"/>
      <c r="BJ88" s="230"/>
      <c r="BU88" s="187"/>
      <c r="BV88" s="188"/>
      <c r="BW88" s="188"/>
      <c r="BX88" s="188"/>
      <c r="BY88" s="188"/>
      <c r="BZ88" s="188"/>
      <c r="CA88" s="188"/>
      <c r="CB88" s="188"/>
      <c r="CC88" s="188"/>
      <c r="CD88" s="188"/>
      <c r="CE88" s="188"/>
      <c r="CF88" s="188"/>
      <c r="CG88" s="188"/>
      <c r="CH88" s="188"/>
      <c r="CI88" s="188"/>
      <c r="CJ88" s="188"/>
      <c r="CK88" s="188"/>
      <c r="CL88" s="188"/>
      <c r="CM88" s="188"/>
      <c r="CN88" s="188"/>
      <c r="CO88" s="188"/>
      <c r="CP88" s="188"/>
      <c r="CQ88" s="188"/>
      <c r="CR88" s="188"/>
      <c r="CS88" s="188"/>
      <c r="CT88" s="188"/>
      <c r="CU88" s="188"/>
      <c r="CV88" s="188"/>
      <c r="CW88" s="188"/>
      <c r="CX88" s="188"/>
      <c r="CY88" s="188"/>
      <c r="CZ88" s="188"/>
      <c r="DA88" s="188"/>
      <c r="DB88" s="188"/>
      <c r="DC88" s="188"/>
      <c r="DD88" s="188"/>
      <c r="DE88" s="188"/>
      <c r="DF88" s="188"/>
      <c r="DG88" s="188"/>
      <c r="DH88" s="189"/>
      <c r="DI88" s="187"/>
      <c r="DJ88" s="188"/>
      <c r="DK88" s="188"/>
      <c r="DL88" s="188"/>
      <c r="DM88" s="189"/>
      <c r="EN88" s="16"/>
      <c r="JP88" s="155"/>
      <c r="LY88" s="12"/>
      <c r="LZ88" s="7"/>
    </row>
    <row r="89" spans="3:338" ht="5.0999999999999996" customHeight="1" x14ac:dyDescent="0.3">
      <c r="C89" s="11"/>
      <c r="D89" s="13"/>
      <c r="Q89" s="187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9"/>
      <c r="BF89" s="228"/>
      <c r="BG89" s="229"/>
      <c r="BH89" s="229"/>
      <c r="BI89" s="229"/>
      <c r="BJ89" s="230"/>
      <c r="BU89" s="187"/>
      <c r="BV89" s="188"/>
      <c r="BW89" s="188"/>
      <c r="BX89" s="188"/>
      <c r="BY89" s="188"/>
      <c r="BZ89" s="188"/>
      <c r="CA89" s="188"/>
      <c r="CB89" s="188"/>
      <c r="CC89" s="188"/>
      <c r="CD89" s="188"/>
      <c r="CE89" s="188"/>
      <c r="CF89" s="188"/>
      <c r="CG89" s="188"/>
      <c r="CH89" s="188"/>
      <c r="CI89" s="188"/>
      <c r="CJ89" s="188"/>
      <c r="CK89" s="188"/>
      <c r="CL89" s="188"/>
      <c r="CM89" s="188"/>
      <c r="CN89" s="188"/>
      <c r="CO89" s="188"/>
      <c r="CP89" s="188"/>
      <c r="CQ89" s="188"/>
      <c r="CR89" s="188"/>
      <c r="CS89" s="188"/>
      <c r="CT89" s="188"/>
      <c r="CU89" s="188"/>
      <c r="CV89" s="188"/>
      <c r="CW89" s="188"/>
      <c r="CX89" s="188"/>
      <c r="CY89" s="188"/>
      <c r="CZ89" s="188"/>
      <c r="DA89" s="188"/>
      <c r="DB89" s="188"/>
      <c r="DC89" s="188"/>
      <c r="DD89" s="188"/>
      <c r="DE89" s="188"/>
      <c r="DF89" s="188"/>
      <c r="DG89" s="188"/>
      <c r="DH89" s="189"/>
      <c r="DI89" s="187"/>
      <c r="DJ89" s="188"/>
      <c r="DK89" s="188"/>
      <c r="DL89" s="188"/>
      <c r="DM89" s="189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0"/>
      <c r="EN89" s="16"/>
      <c r="JP89" s="155"/>
      <c r="LY89" s="12"/>
      <c r="LZ89" s="7"/>
    </row>
    <row r="90" spans="3:338" ht="5.0999999999999996" customHeight="1" x14ac:dyDescent="0.3">
      <c r="C90" s="11"/>
      <c r="D90" s="13"/>
      <c r="Q90" s="187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E90" s="189"/>
      <c r="BF90" s="228"/>
      <c r="BG90" s="229"/>
      <c r="BH90" s="229"/>
      <c r="BI90" s="229"/>
      <c r="BJ90" s="230"/>
      <c r="BU90" s="187"/>
      <c r="BV90" s="188"/>
      <c r="BW90" s="188"/>
      <c r="BX90" s="188"/>
      <c r="BY90" s="188"/>
      <c r="BZ90" s="188"/>
      <c r="CA90" s="188"/>
      <c r="CB90" s="188"/>
      <c r="CC90" s="188"/>
      <c r="CD90" s="188"/>
      <c r="CE90" s="188"/>
      <c r="CF90" s="188"/>
      <c r="CG90" s="188"/>
      <c r="CH90" s="188"/>
      <c r="CI90" s="188"/>
      <c r="CJ90" s="188"/>
      <c r="CK90" s="188"/>
      <c r="CL90" s="188"/>
      <c r="CM90" s="188"/>
      <c r="CN90" s="188"/>
      <c r="CO90" s="188"/>
      <c r="CP90" s="188"/>
      <c r="CQ90" s="188"/>
      <c r="CR90" s="188"/>
      <c r="CS90" s="188"/>
      <c r="CT90" s="188"/>
      <c r="CU90" s="188"/>
      <c r="CV90" s="188"/>
      <c r="CW90" s="188"/>
      <c r="CX90" s="188"/>
      <c r="CY90" s="188"/>
      <c r="CZ90" s="188"/>
      <c r="DA90" s="188"/>
      <c r="DB90" s="188"/>
      <c r="DC90" s="188"/>
      <c r="DD90" s="188"/>
      <c r="DE90" s="188"/>
      <c r="DF90" s="188"/>
      <c r="DG90" s="188"/>
      <c r="DH90" s="189"/>
      <c r="DI90" s="187"/>
      <c r="DJ90" s="188"/>
      <c r="DK90" s="188"/>
      <c r="DL90" s="188"/>
      <c r="DM90" s="189"/>
      <c r="EM90" s="19"/>
      <c r="EN90" s="16"/>
      <c r="JP90" s="155"/>
      <c r="LY90" s="12"/>
      <c r="LZ90" s="7"/>
    </row>
    <row r="91" spans="3:338" ht="5.0999999999999996" customHeight="1" x14ac:dyDescent="0.3">
      <c r="C91" s="11"/>
      <c r="D91" s="13"/>
      <c r="Q91" s="187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E91" s="189"/>
      <c r="BF91" s="228"/>
      <c r="BG91" s="229"/>
      <c r="BH91" s="229"/>
      <c r="BI91" s="229"/>
      <c r="BJ91" s="230"/>
      <c r="BU91" s="187"/>
      <c r="BV91" s="188"/>
      <c r="BW91" s="188"/>
      <c r="BX91" s="188"/>
      <c r="BY91" s="188"/>
      <c r="BZ91" s="188"/>
      <c r="CA91" s="188"/>
      <c r="CB91" s="188"/>
      <c r="CC91" s="188"/>
      <c r="CD91" s="188"/>
      <c r="CE91" s="188"/>
      <c r="CF91" s="188"/>
      <c r="CG91" s="188"/>
      <c r="CH91" s="188"/>
      <c r="CI91" s="188"/>
      <c r="CJ91" s="188"/>
      <c r="CK91" s="188"/>
      <c r="CL91" s="188"/>
      <c r="CM91" s="188"/>
      <c r="CN91" s="188"/>
      <c r="CO91" s="188"/>
      <c r="CP91" s="188"/>
      <c r="CQ91" s="188"/>
      <c r="CR91" s="188"/>
      <c r="CS91" s="188"/>
      <c r="CT91" s="188"/>
      <c r="CU91" s="188"/>
      <c r="CV91" s="188"/>
      <c r="CW91" s="188"/>
      <c r="CX91" s="188"/>
      <c r="CY91" s="188"/>
      <c r="CZ91" s="188"/>
      <c r="DA91" s="188"/>
      <c r="DB91" s="188"/>
      <c r="DC91" s="188"/>
      <c r="DD91" s="188"/>
      <c r="DE91" s="188"/>
      <c r="DF91" s="188"/>
      <c r="DG91" s="188"/>
      <c r="DH91" s="189"/>
      <c r="DI91" s="187"/>
      <c r="DJ91" s="188"/>
      <c r="DK91" s="188"/>
      <c r="DL91" s="188"/>
      <c r="DM91" s="189"/>
      <c r="EN91" s="16"/>
      <c r="JP91" s="155"/>
      <c r="LY91" s="12"/>
      <c r="LZ91" s="7"/>
    </row>
    <row r="92" spans="3:338" ht="5.0999999999999996" customHeight="1" x14ac:dyDescent="0.3">
      <c r="C92" s="11"/>
      <c r="D92" s="13"/>
      <c r="Q92" s="187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E92" s="189"/>
      <c r="BF92" s="228"/>
      <c r="BG92" s="229"/>
      <c r="BH92" s="229"/>
      <c r="BI92" s="229"/>
      <c r="BJ92" s="230"/>
      <c r="BU92" s="187"/>
      <c r="BV92" s="188"/>
      <c r="BW92" s="188"/>
      <c r="BX92" s="188"/>
      <c r="BY92" s="188"/>
      <c r="BZ92" s="188"/>
      <c r="CA92" s="188"/>
      <c r="CB92" s="188"/>
      <c r="CC92" s="188"/>
      <c r="CD92" s="188"/>
      <c r="CE92" s="188"/>
      <c r="CF92" s="188"/>
      <c r="CG92" s="188"/>
      <c r="CH92" s="188"/>
      <c r="CI92" s="188"/>
      <c r="CJ92" s="188"/>
      <c r="CK92" s="188"/>
      <c r="CL92" s="188"/>
      <c r="CM92" s="188"/>
      <c r="CN92" s="188"/>
      <c r="CO92" s="188"/>
      <c r="CP92" s="188"/>
      <c r="CQ92" s="188"/>
      <c r="CR92" s="188"/>
      <c r="CS92" s="188"/>
      <c r="CT92" s="188"/>
      <c r="CU92" s="188"/>
      <c r="CV92" s="188"/>
      <c r="CW92" s="188"/>
      <c r="CX92" s="188"/>
      <c r="CY92" s="188"/>
      <c r="CZ92" s="188"/>
      <c r="DA92" s="188"/>
      <c r="DB92" s="188"/>
      <c r="DC92" s="188"/>
      <c r="DD92" s="188"/>
      <c r="DE92" s="188"/>
      <c r="DF92" s="188"/>
      <c r="DG92" s="188"/>
      <c r="DH92" s="189"/>
      <c r="DI92" s="187"/>
      <c r="DJ92" s="188"/>
      <c r="DK92" s="188"/>
      <c r="DL92" s="188"/>
      <c r="DM92" s="189"/>
      <c r="EN92" s="16"/>
      <c r="FN92" s="184" t="s">
        <v>56</v>
      </c>
      <c r="FO92" s="185"/>
      <c r="FP92" s="185"/>
      <c r="FQ92" s="185"/>
      <c r="FR92" s="185"/>
      <c r="FS92" s="185"/>
      <c r="FT92" s="185"/>
      <c r="FU92" s="185"/>
      <c r="FV92" s="185"/>
      <c r="FW92" s="185"/>
      <c r="FX92" s="185"/>
      <c r="FY92" s="185"/>
      <c r="FZ92" s="185"/>
      <c r="GA92" s="185"/>
      <c r="GB92" s="185"/>
      <c r="GC92" s="185"/>
      <c r="GD92" s="185"/>
      <c r="GE92" s="185"/>
      <c r="GF92" s="185"/>
      <c r="GG92" s="185"/>
      <c r="GH92" s="185"/>
      <c r="GI92" s="185"/>
      <c r="GJ92" s="185"/>
      <c r="GK92" s="185"/>
      <c r="GL92" s="185"/>
      <c r="GM92" s="185"/>
      <c r="GN92" s="185"/>
      <c r="GO92" s="185"/>
      <c r="GP92" s="185"/>
      <c r="GQ92" s="185"/>
      <c r="GR92" s="185"/>
      <c r="GS92" s="185"/>
      <c r="GT92" s="185"/>
      <c r="GU92" s="185"/>
      <c r="GV92" s="185"/>
      <c r="GW92" s="185"/>
      <c r="GX92" s="185"/>
      <c r="GY92" s="185"/>
      <c r="GZ92" s="185"/>
      <c r="HA92" s="186"/>
      <c r="HB92" s="184">
        <v>1</v>
      </c>
      <c r="HC92" s="185"/>
      <c r="HD92" s="185"/>
      <c r="HE92" s="185"/>
      <c r="HF92" s="186"/>
      <c r="JP92" s="155"/>
      <c r="LY92" s="12"/>
      <c r="LZ92" s="7"/>
    </row>
    <row r="93" spans="3:338" ht="5.0999999999999996" customHeight="1" x14ac:dyDescent="0.3">
      <c r="C93" s="11"/>
      <c r="D93" s="13"/>
      <c r="Q93" s="187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E93" s="189"/>
      <c r="BF93" s="228"/>
      <c r="BG93" s="229"/>
      <c r="BH93" s="229"/>
      <c r="BI93" s="229"/>
      <c r="BJ93" s="230"/>
      <c r="BU93" s="190"/>
      <c r="BV93" s="191"/>
      <c r="BW93" s="191"/>
      <c r="BX93" s="191"/>
      <c r="BY93" s="191"/>
      <c r="BZ93" s="191"/>
      <c r="CA93" s="191"/>
      <c r="CB93" s="191"/>
      <c r="CC93" s="191"/>
      <c r="CD93" s="191"/>
      <c r="CE93" s="191"/>
      <c r="CF93" s="191"/>
      <c r="CG93" s="191"/>
      <c r="CH93" s="191"/>
      <c r="CI93" s="191"/>
      <c r="CJ93" s="191"/>
      <c r="CK93" s="191"/>
      <c r="CL93" s="191"/>
      <c r="CM93" s="191"/>
      <c r="CN93" s="191"/>
      <c r="CO93" s="191"/>
      <c r="CP93" s="191"/>
      <c r="CQ93" s="191"/>
      <c r="CR93" s="191"/>
      <c r="CS93" s="191"/>
      <c r="CT93" s="191"/>
      <c r="CU93" s="191"/>
      <c r="CV93" s="191"/>
      <c r="CW93" s="191"/>
      <c r="CX93" s="191"/>
      <c r="CY93" s="191"/>
      <c r="CZ93" s="191"/>
      <c r="DA93" s="191"/>
      <c r="DB93" s="191"/>
      <c r="DC93" s="191"/>
      <c r="DD93" s="191"/>
      <c r="DE93" s="191"/>
      <c r="DF93" s="191"/>
      <c r="DG93" s="191"/>
      <c r="DH93" s="192"/>
      <c r="DI93" s="190"/>
      <c r="DJ93" s="191"/>
      <c r="DK93" s="191"/>
      <c r="DL93" s="191"/>
      <c r="DM93" s="192"/>
      <c r="EN93" s="16"/>
      <c r="FN93" s="187"/>
      <c r="FO93" s="188"/>
      <c r="FP93" s="188"/>
      <c r="FQ93" s="188"/>
      <c r="FR93" s="188"/>
      <c r="FS93" s="188"/>
      <c r="FT93" s="188"/>
      <c r="FU93" s="188"/>
      <c r="FV93" s="188"/>
      <c r="FW93" s="188"/>
      <c r="FX93" s="188"/>
      <c r="FY93" s="188"/>
      <c r="FZ93" s="188"/>
      <c r="GA93" s="188"/>
      <c r="GB93" s="188"/>
      <c r="GC93" s="188"/>
      <c r="GD93" s="188"/>
      <c r="GE93" s="188"/>
      <c r="GF93" s="188"/>
      <c r="GG93" s="188"/>
      <c r="GH93" s="188"/>
      <c r="GI93" s="188"/>
      <c r="GJ93" s="188"/>
      <c r="GK93" s="188"/>
      <c r="GL93" s="188"/>
      <c r="GM93" s="188"/>
      <c r="GN93" s="188"/>
      <c r="GO93" s="188"/>
      <c r="GP93" s="188"/>
      <c r="GQ93" s="188"/>
      <c r="GR93" s="188"/>
      <c r="GS93" s="188"/>
      <c r="GT93" s="188"/>
      <c r="GU93" s="188"/>
      <c r="GV93" s="188"/>
      <c r="GW93" s="188"/>
      <c r="GX93" s="188"/>
      <c r="GY93" s="188"/>
      <c r="GZ93" s="188"/>
      <c r="HA93" s="189"/>
      <c r="HB93" s="187"/>
      <c r="HC93" s="188"/>
      <c r="HD93" s="188"/>
      <c r="HE93" s="188"/>
      <c r="HF93" s="189"/>
      <c r="JP93" s="155"/>
      <c r="LY93" s="12"/>
      <c r="LZ93" s="7"/>
    </row>
    <row r="94" spans="3:338" ht="5.0999999999999996" customHeight="1" x14ac:dyDescent="0.3">
      <c r="C94" s="11"/>
      <c r="D94" s="13"/>
      <c r="Q94" s="187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E94" s="189"/>
      <c r="BF94" s="228"/>
      <c r="BG94" s="229"/>
      <c r="BH94" s="229"/>
      <c r="BI94" s="229"/>
      <c r="BJ94" s="230"/>
      <c r="EN94" s="16"/>
      <c r="FN94" s="187"/>
      <c r="FO94" s="188"/>
      <c r="FP94" s="188"/>
      <c r="FQ94" s="188"/>
      <c r="FR94" s="188"/>
      <c r="FS94" s="188"/>
      <c r="FT94" s="188"/>
      <c r="FU94" s="188"/>
      <c r="FV94" s="188"/>
      <c r="FW94" s="188"/>
      <c r="FX94" s="188"/>
      <c r="FY94" s="188"/>
      <c r="FZ94" s="188"/>
      <c r="GA94" s="188"/>
      <c r="GB94" s="188"/>
      <c r="GC94" s="188"/>
      <c r="GD94" s="188"/>
      <c r="GE94" s="188"/>
      <c r="GF94" s="188"/>
      <c r="GG94" s="188"/>
      <c r="GH94" s="188"/>
      <c r="GI94" s="188"/>
      <c r="GJ94" s="188"/>
      <c r="GK94" s="188"/>
      <c r="GL94" s="188"/>
      <c r="GM94" s="188"/>
      <c r="GN94" s="188"/>
      <c r="GO94" s="188"/>
      <c r="GP94" s="188"/>
      <c r="GQ94" s="188"/>
      <c r="GR94" s="188"/>
      <c r="GS94" s="188"/>
      <c r="GT94" s="188"/>
      <c r="GU94" s="188"/>
      <c r="GV94" s="188"/>
      <c r="GW94" s="188"/>
      <c r="GX94" s="188"/>
      <c r="GY94" s="188"/>
      <c r="GZ94" s="188"/>
      <c r="HA94" s="189"/>
      <c r="HB94" s="187"/>
      <c r="HC94" s="188"/>
      <c r="HD94" s="188"/>
      <c r="HE94" s="188"/>
      <c r="HF94" s="189"/>
      <c r="JP94" s="155"/>
      <c r="LY94" s="12"/>
      <c r="LZ94" s="7"/>
    </row>
    <row r="95" spans="3:338" ht="5.0999999999999996" customHeight="1" x14ac:dyDescent="0.3">
      <c r="C95" s="11"/>
      <c r="D95" s="13"/>
      <c r="Q95" s="190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  <c r="BD95" s="191"/>
      <c r="BE95" s="192"/>
      <c r="BF95" s="231"/>
      <c r="BG95" s="232"/>
      <c r="BH95" s="232"/>
      <c r="BI95" s="232"/>
      <c r="BJ95" s="233"/>
      <c r="EN95" s="16"/>
      <c r="FN95" s="187"/>
      <c r="FO95" s="188"/>
      <c r="FP95" s="188"/>
      <c r="FQ95" s="188"/>
      <c r="FR95" s="188"/>
      <c r="FS95" s="188"/>
      <c r="FT95" s="188"/>
      <c r="FU95" s="188"/>
      <c r="FV95" s="188"/>
      <c r="FW95" s="188"/>
      <c r="FX95" s="188"/>
      <c r="FY95" s="188"/>
      <c r="FZ95" s="188"/>
      <c r="GA95" s="188"/>
      <c r="GB95" s="188"/>
      <c r="GC95" s="188"/>
      <c r="GD95" s="188"/>
      <c r="GE95" s="188"/>
      <c r="GF95" s="188"/>
      <c r="GG95" s="188"/>
      <c r="GH95" s="188"/>
      <c r="GI95" s="188"/>
      <c r="GJ95" s="188"/>
      <c r="GK95" s="188"/>
      <c r="GL95" s="188"/>
      <c r="GM95" s="188"/>
      <c r="GN95" s="188"/>
      <c r="GO95" s="188"/>
      <c r="GP95" s="188"/>
      <c r="GQ95" s="188"/>
      <c r="GR95" s="188"/>
      <c r="GS95" s="188"/>
      <c r="GT95" s="188"/>
      <c r="GU95" s="188"/>
      <c r="GV95" s="188"/>
      <c r="GW95" s="188"/>
      <c r="GX95" s="188"/>
      <c r="GY95" s="188"/>
      <c r="GZ95" s="188"/>
      <c r="HA95" s="189"/>
      <c r="HB95" s="187"/>
      <c r="HC95" s="188"/>
      <c r="HD95" s="188"/>
      <c r="HE95" s="188"/>
      <c r="HF95" s="189"/>
      <c r="JP95" s="155"/>
      <c r="LY95" s="12"/>
      <c r="LZ95" s="7"/>
    </row>
    <row r="96" spans="3:338" ht="5.0999999999999996" customHeight="1" x14ac:dyDescent="0.3">
      <c r="C96" s="11"/>
      <c r="D96" s="13"/>
      <c r="EN96" s="16"/>
      <c r="FN96" s="187"/>
      <c r="FO96" s="188"/>
      <c r="FP96" s="188"/>
      <c r="FQ96" s="188"/>
      <c r="FR96" s="188"/>
      <c r="FS96" s="188"/>
      <c r="FT96" s="188"/>
      <c r="FU96" s="188"/>
      <c r="FV96" s="188"/>
      <c r="FW96" s="188"/>
      <c r="FX96" s="188"/>
      <c r="FY96" s="188"/>
      <c r="FZ96" s="188"/>
      <c r="GA96" s="188"/>
      <c r="GB96" s="188"/>
      <c r="GC96" s="188"/>
      <c r="GD96" s="188"/>
      <c r="GE96" s="188"/>
      <c r="GF96" s="188"/>
      <c r="GG96" s="188"/>
      <c r="GH96" s="188"/>
      <c r="GI96" s="188"/>
      <c r="GJ96" s="188"/>
      <c r="GK96" s="188"/>
      <c r="GL96" s="188"/>
      <c r="GM96" s="188"/>
      <c r="GN96" s="188"/>
      <c r="GO96" s="188"/>
      <c r="GP96" s="188"/>
      <c r="GQ96" s="188"/>
      <c r="GR96" s="188"/>
      <c r="GS96" s="188"/>
      <c r="GT96" s="188"/>
      <c r="GU96" s="188"/>
      <c r="GV96" s="188"/>
      <c r="GW96" s="188"/>
      <c r="GX96" s="188"/>
      <c r="GY96" s="188"/>
      <c r="GZ96" s="188"/>
      <c r="HA96" s="189"/>
      <c r="HB96" s="187"/>
      <c r="HC96" s="188"/>
      <c r="HD96" s="188"/>
      <c r="HE96" s="188"/>
      <c r="HF96" s="189"/>
      <c r="JP96" s="155"/>
      <c r="LY96" s="12"/>
      <c r="LZ96" s="7"/>
    </row>
    <row r="97" spans="3:343" ht="5.0999999999999996" customHeight="1" x14ac:dyDescent="0.3">
      <c r="C97" s="11"/>
      <c r="D97" s="13"/>
      <c r="BU97" s="184" t="s">
        <v>70</v>
      </c>
      <c r="BV97" s="185"/>
      <c r="BW97" s="185"/>
      <c r="BX97" s="185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5"/>
      <c r="DG97" s="185"/>
      <c r="DH97" s="186"/>
      <c r="DI97" s="184">
        <v>1</v>
      </c>
      <c r="DJ97" s="185"/>
      <c r="DK97" s="185"/>
      <c r="DL97" s="185"/>
      <c r="DM97" s="186"/>
      <c r="EN97" s="16"/>
      <c r="FN97" s="187"/>
      <c r="FO97" s="188"/>
      <c r="FP97" s="188"/>
      <c r="FQ97" s="188"/>
      <c r="FR97" s="188"/>
      <c r="FS97" s="188"/>
      <c r="FT97" s="188"/>
      <c r="FU97" s="188"/>
      <c r="FV97" s="188"/>
      <c r="FW97" s="188"/>
      <c r="FX97" s="188"/>
      <c r="FY97" s="188"/>
      <c r="FZ97" s="188"/>
      <c r="GA97" s="188"/>
      <c r="GB97" s="188"/>
      <c r="GC97" s="188"/>
      <c r="GD97" s="188"/>
      <c r="GE97" s="188"/>
      <c r="GF97" s="188"/>
      <c r="GG97" s="188"/>
      <c r="GH97" s="188"/>
      <c r="GI97" s="188"/>
      <c r="GJ97" s="188"/>
      <c r="GK97" s="188"/>
      <c r="GL97" s="188"/>
      <c r="GM97" s="188"/>
      <c r="GN97" s="188"/>
      <c r="GO97" s="188"/>
      <c r="GP97" s="188"/>
      <c r="GQ97" s="188"/>
      <c r="GR97" s="188"/>
      <c r="GS97" s="188"/>
      <c r="GT97" s="188"/>
      <c r="GU97" s="188"/>
      <c r="GV97" s="188"/>
      <c r="GW97" s="188"/>
      <c r="GX97" s="188"/>
      <c r="GY97" s="188"/>
      <c r="GZ97" s="188"/>
      <c r="HA97" s="189"/>
      <c r="HB97" s="187"/>
      <c r="HC97" s="188"/>
      <c r="HD97" s="188"/>
      <c r="HE97" s="188"/>
      <c r="HF97" s="189"/>
      <c r="JP97" s="155"/>
      <c r="LY97" s="12"/>
      <c r="LZ97" s="7"/>
    </row>
    <row r="98" spans="3:343" ht="5.0999999999999996" customHeight="1" x14ac:dyDescent="0.3">
      <c r="C98" s="11"/>
      <c r="D98" s="13"/>
      <c r="BU98" s="187"/>
      <c r="BV98" s="188"/>
      <c r="BW98" s="188"/>
      <c r="BX98" s="188"/>
      <c r="BY98" s="188"/>
      <c r="BZ98" s="188"/>
      <c r="CA98" s="188"/>
      <c r="CB98" s="188"/>
      <c r="CC98" s="188"/>
      <c r="CD98" s="188"/>
      <c r="CE98" s="188"/>
      <c r="CF98" s="188"/>
      <c r="CG98" s="188"/>
      <c r="CH98" s="188"/>
      <c r="CI98" s="188"/>
      <c r="CJ98" s="188"/>
      <c r="CK98" s="188"/>
      <c r="CL98" s="188"/>
      <c r="CM98" s="188"/>
      <c r="CN98" s="188"/>
      <c r="CO98" s="188"/>
      <c r="CP98" s="188"/>
      <c r="CQ98" s="188"/>
      <c r="CR98" s="188"/>
      <c r="CS98" s="188"/>
      <c r="CT98" s="188"/>
      <c r="CU98" s="188"/>
      <c r="CV98" s="188"/>
      <c r="CW98" s="188"/>
      <c r="CX98" s="188"/>
      <c r="CY98" s="188"/>
      <c r="CZ98" s="188"/>
      <c r="DA98" s="188"/>
      <c r="DB98" s="188"/>
      <c r="DC98" s="188"/>
      <c r="DD98" s="188"/>
      <c r="DE98" s="188"/>
      <c r="DF98" s="188"/>
      <c r="DG98" s="188"/>
      <c r="DH98" s="189"/>
      <c r="DI98" s="187"/>
      <c r="DJ98" s="188"/>
      <c r="DK98" s="188"/>
      <c r="DL98" s="188"/>
      <c r="DM98" s="189"/>
      <c r="EN98" s="16"/>
      <c r="FN98" s="187"/>
      <c r="FO98" s="188"/>
      <c r="FP98" s="188"/>
      <c r="FQ98" s="188"/>
      <c r="FR98" s="188"/>
      <c r="FS98" s="188"/>
      <c r="FT98" s="188"/>
      <c r="FU98" s="188"/>
      <c r="FV98" s="188"/>
      <c r="FW98" s="188"/>
      <c r="FX98" s="188"/>
      <c r="FY98" s="188"/>
      <c r="FZ98" s="188"/>
      <c r="GA98" s="188"/>
      <c r="GB98" s="188"/>
      <c r="GC98" s="188"/>
      <c r="GD98" s="188"/>
      <c r="GE98" s="188"/>
      <c r="GF98" s="188"/>
      <c r="GG98" s="188"/>
      <c r="GH98" s="188"/>
      <c r="GI98" s="188"/>
      <c r="GJ98" s="188"/>
      <c r="GK98" s="188"/>
      <c r="GL98" s="188"/>
      <c r="GM98" s="188"/>
      <c r="GN98" s="188"/>
      <c r="GO98" s="188"/>
      <c r="GP98" s="188"/>
      <c r="GQ98" s="188"/>
      <c r="GR98" s="188"/>
      <c r="GS98" s="188"/>
      <c r="GT98" s="188"/>
      <c r="GU98" s="188"/>
      <c r="GV98" s="188"/>
      <c r="GW98" s="188"/>
      <c r="GX98" s="188"/>
      <c r="GY98" s="188"/>
      <c r="GZ98" s="188"/>
      <c r="HA98" s="189"/>
      <c r="HB98" s="187"/>
      <c r="HC98" s="188"/>
      <c r="HD98" s="188"/>
      <c r="HE98" s="188"/>
      <c r="HF98" s="189"/>
      <c r="JP98" s="155"/>
      <c r="LY98" s="12"/>
      <c r="LZ98" s="7"/>
    </row>
    <row r="99" spans="3:343" ht="5.0999999999999996" customHeight="1" x14ac:dyDescent="0.3">
      <c r="C99" s="11"/>
      <c r="D99" s="13"/>
      <c r="BU99" s="187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8"/>
      <c r="CG99" s="188"/>
      <c r="CH99" s="188"/>
      <c r="CI99" s="188"/>
      <c r="CJ99" s="188"/>
      <c r="CK99" s="188"/>
      <c r="CL99" s="188"/>
      <c r="CM99" s="188"/>
      <c r="CN99" s="188"/>
      <c r="CO99" s="188"/>
      <c r="CP99" s="188"/>
      <c r="CQ99" s="188"/>
      <c r="CR99" s="188"/>
      <c r="CS99" s="188"/>
      <c r="CT99" s="188"/>
      <c r="CU99" s="188"/>
      <c r="CV99" s="188"/>
      <c r="CW99" s="188"/>
      <c r="CX99" s="188"/>
      <c r="CY99" s="188"/>
      <c r="CZ99" s="188"/>
      <c r="DA99" s="188"/>
      <c r="DB99" s="188"/>
      <c r="DC99" s="188"/>
      <c r="DD99" s="188"/>
      <c r="DE99" s="188"/>
      <c r="DF99" s="188"/>
      <c r="DG99" s="188"/>
      <c r="DH99" s="189"/>
      <c r="DI99" s="187"/>
      <c r="DJ99" s="188"/>
      <c r="DK99" s="188"/>
      <c r="DL99" s="188"/>
      <c r="DM99" s="189"/>
      <c r="EN99" s="16"/>
      <c r="FN99" s="187"/>
      <c r="FO99" s="188"/>
      <c r="FP99" s="188"/>
      <c r="FQ99" s="188"/>
      <c r="FR99" s="188"/>
      <c r="FS99" s="188"/>
      <c r="FT99" s="188"/>
      <c r="FU99" s="188"/>
      <c r="FV99" s="188"/>
      <c r="FW99" s="188"/>
      <c r="FX99" s="188"/>
      <c r="FY99" s="188"/>
      <c r="FZ99" s="188"/>
      <c r="GA99" s="188"/>
      <c r="GB99" s="188"/>
      <c r="GC99" s="188"/>
      <c r="GD99" s="188"/>
      <c r="GE99" s="188"/>
      <c r="GF99" s="188"/>
      <c r="GG99" s="188"/>
      <c r="GH99" s="188"/>
      <c r="GI99" s="188"/>
      <c r="GJ99" s="188"/>
      <c r="GK99" s="188"/>
      <c r="GL99" s="188"/>
      <c r="GM99" s="188"/>
      <c r="GN99" s="188"/>
      <c r="GO99" s="188"/>
      <c r="GP99" s="188"/>
      <c r="GQ99" s="188"/>
      <c r="GR99" s="188"/>
      <c r="GS99" s="188"/>
      <c r="GT99" s="188"/>
      <c r="GU99" s="188"/>
      <c r="GV99" s="188"/>
      <c r="GW99" s="188"/>
      <c r="GX99" s="188"/>
      <c r="GY99" s="188"/>
      <c r="GZ99" s="188"/>
      <c r="HA99" s="189"/>
      <c r="HB99" s="187"/>
      <c r="HC99" s="188"/>
      <c r="HD99" s="188"/>
      <c r="HE99" s="188"/>
      <c r="HF99" s="189"/>
      <c r="JP99" s="155"/>
      <c r="LY99" s="12"/>
      <c r="LZ99" s="7"/>
    </row>
    <row r="100" spans="3:343" ht="5.0999999999999996" customHeight="1" x14ac:dyDescent="0.3">
      <c r="C100" s="11"/>
      <c r="D100" s="13"/>
      <c r="BU100" s="187"/>
      <c r="BV100" s="188"/>
      <c r="BW100" s="188"/>
      <c r="BX100" s="188"/>
      <c r="BY100" s="188"/>
      <c r="BZ100" s="188"/>
      <c r="CA100" s="188"/>
      <c r="CB100" s="188"/>
      <c r="CC100" s="188"/>
      <c r="CD100" s="188"/>
      <c r="CE100" s="188"/>
      <c r="CF100" s="188"/>
      <c r="CG100" s="188"/>
      <c r="CH100" s="188"/>
      <c r="CI100" s="188"/>
      <c r="CJ100" s="188"/>
      <c r="CK100" s="188"/>
      <c r="CL100" s="188"/>
      <c r="CM100" s="188"/>
      <c r="CN100" s="188"/>
      <c r="CO100" s="188"/>
      <c r="CP100" s="188"/>
      <c r="CQ100" s="188"/>
      <c r="CR100" s="188"/>
      <c r="CS100" s="188"/>
      <c r="CT100" s="188"/>
      <c r="CU100" s="188"/>
      <c r="CV100" s="188"/>
      <c r="CW100" s="188"/>
      <c r="CX100" s="188"/>
      <c r="CY100" s="188"/>
      <c r="CZ100" s="188"/>
      <c r="DA100" s="188"/>
      <c r="DB100" s="188"/>
      <c r="DC100" s="188"/>
      <c r="DD100" s="188"/>
      <c r="DE100" s="188"/>
      <c r="DF100" s="188"/>
      <c r="DG100" s="188"/>
      <c r="DH100" s="189"/>
      <c r="DI100" s="187"/>
      <c r="DJ100" s="188"/>
      <c r="DK100" s="188"/>
      <c r="DL100" s="188"/>
      <c r="DM100" s="189"/>
      <c r="EN100" s="16"/>
      <c r="FN100" s="187"/>
      <c r="FO100" s="188"/>
      <c r="FP100" s="188"/>
      <c r="FQ100" s="188"/>
      <c r="FR100" s="188"/>
      <c r="FS100" s="188"/>
      <c r="FT100" s="188"/>
      <c r="FU100" s="188"/>
      <c r="FV100" s="188"/>
      <c r="FW100" s="188"/>
      <c r="FX100" s="188"/>
      <c r="FY100" s="188"/>
      <c r="FZ100" s="188"/>
      <c r="GA100" s="188"/>
      <c r="GB100" s="188"/>
      <c r="GC100" s="188"/>
      <c r="GD100" s="188"/>
      <c r="GE100" s="188"/>
      <c r="GF100" s="188"/>
      <c r="GG100" s="188"/>
      <c r="GH100" s="188"/>
      <c r="GI100" s="188"/>
      <c r="GJ100" s="188"/>
      <c r="GK100" s="188"/>
      <c r="GL100" s="188"/>
      <c r="GM100" s="188"/>
      <c r="GN100" s="188"/>
      <c r="GO100" s="188"/>
      <c r="GP100" s="188"/>
      <c r="GQ100" s="188"/>
      <c r="GR100" s="188"/>
      <c r="GS100" s="188"/>
      <c r="GT100" s="188"/>
      <c r="GU100" s="188"/>
      <c r="GV100" s="188"/>
      <c r="GW100" s="188"/>
      <c r="GX100" s="188"/>
      <c r="GY100" s="188"/>
      <c r="GZ100" s="188"/>
      <c r="HA100" s="189"/>
      <c r="HB100" s="187"/>
      <c r="HC100" s="188"/>
      <c r="HD100" s="188"/>
      <c r="HE100" s="188"/>
      <c r="HF100" s="189"/>
      <c r="JP100" s="155"/>
      <c r="LY100" s="12"/>
      <c r="LZ100" s="7"/>
    </row>
    <row r="101" spans="3:343" ht="5.0999999999999996" customHeight="1" thickBot="1" x14ac:dyDescent="0.35">
      <c r="C101" s="11"/>
      <c r="D101" s="13"/>
      <c r="BU101" s="187"/>
      <c r="BV101" s="188"/>
      <c r="BW101" s="188"/>
      <c r="BX101" s="188"/>
      <c r="BY101" s="188"/>
      <c r="BZ101" s="188"/>
      <c r="CA101" s="188"/>
      <c r="CB101" s="188"/>
      <c r="CC101" s="188"/>
      <c r="CD101" s="188"/>
      <c r="CE101" s="188"/>
      <c r="CF101" s="188"/>
      <c r="CG101" s="188"/>
      <c r="CH101" s="188"/>
      <c r="CI101" s="188"/>
      <c r="CJ101" s="188"/>
      <c r="CK101" s="188"/>
      <c r="CL101" s="188"/>
      <c r="CM101" s="188"/>
      <c r="CN101" s="188"/>
      <c r="CO101" s="188"/>
      <c r="CP101" s="188"/>
      <c r="CQ101" s="188"/>
      <c r="CR101" s="188"/>
      <c r="CS101" s="188"/>
      <c r="CT101" s="188"/>
      <c r="CU101" s="188"/>
      <c r="CV101" s="188"/>
      <c r="CW101" s="188"/>
      <c r="CX101" s="188"/>
      <c r="CY101" s="188"/>
      <c r="CZ101" s="188"/>
      <c r="DA101" s="188"/>
      <c r="DB101" s="188"/>
      <c r="DC101" s="188"/>
      <c r="DD101" s="188"/>
      <c r="DE101" s="188"/>
      <c r="DF101" s="188"/>
      <c r="DG101" s="188"/>
      <c r="DH101" s="189"/>
      <c r="DI101" s="187"/>
      <c r="DJ101" s="188"/>
      <c r="DK101" s="188"/>
      <c r="DL101" s="188"/>
      <c r="DM101" s="189"/>
      <c r="EN101" s="16"/>
      <c r="FN101" s="190"/>
      <c r="FO101" s="191"/>
      <c r="FP101" s="191"/>
      <c r="FQ101" s="191"/>
      <c r="FR101" s="191"/>
      <c r="FS101" s="191"/>
      <c r="FT101" s="191"/>
      <c r="FU101" s="191"/>
      <c r="FV101" s="191"/>
      <c r="FW101" s="191"/>
      <c r="FX101" s="191"/>
      <c r="FY101" s="191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/>
      <c r="GL101" s="191"/>
      <c r="GM101" s="191"/>
      <c r="GN101" s="191"/>
      <c r="GO101" s="191"/>
      <c r="GP101" s="191"/>
      <c r="GQ101" s="191"/>
      <c r="GR101" s="191"/>
      <c r="GS101" s="191"/>
      <c r="GT101" s="191"/>
      <c r="GU101" s="191"/>
      <c r="GV101" s="191"/>
      <c r="GW101" s="191"/>
      <c r="GX101" s="191"/>
      <c r="GY101" s="191"/>
      <c r="GZ101" s="191"/>
      <c r="HA101" s="192"/>
      <c r="HB101" s="190"/>
      <c r="HC101" s="191"/>
      <c r="HD101" s="191"/>
      <c r="HE101" s="191"/>
      <c r="HF101" s="192"/>
      <c r="JP101" s="155"/>
      <c r="LY101" s="12"/>
      <c r="LZ101" s="7"/>
    </row>
    <row r="102" spans="3:343" ht="5.0999999999999996" customHeight="1" x14ac:dyDescent="0.3">
      <c r="C102" s="11"/>
      <c r="D102" s="13"/>
      <c r="BU102" s="187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8"/>
      <c r="CH102" s="188"/>
      <c r="CI102" s="188"/>
      <c r="CJ102" s="188"/>
      <c r="CK102" s="188"/>
      <c r="CL102" s="188"/>
      <c r="CM102" s="188"/>
      <c r="CN102" s="188"/>
      <c r="CO102" s="188"/>
      <c r="CP102" s="188"/>
      <c r="CQ102" s="188"/>
      <c r="CR102" s="188"/>
      <c r="CS102" s="188"/>
      <c r="CT102" s="188"/>
      <c r="CU102" s="188"/>
      <c r="CV102" s="188"/>
      <c r="CW102" s="188"/>
      <c r="CX102" s="188"/>
      <c r="CY102" s="188"/>
      <c r="CZ102" s="188"/>
      <c r="DA102" s="188"/>
      <c r="DB102" s="188"/>
      <c r="DC102" s="188"/>
      <c r="DD102" s="188"/>
      <c r="DE102" s="188"/>
      <c r="DF102" s="188"/>
      <c r="DG102" s="188"/>
      <c r="DH102" s="189"/>
      <c r="DI102" s="187"/>
      <c r="DJ102" s="188"/>
      <c r="DK102" s="188"/>
      <c r="DL102" s="188"/>
      <c r="DM102" s="189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0"/>
      <c r="EN102" s="22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48"/>
      <c r="FN102" s="184" t="s">
        <v>77</v>
      </c>
      <c r="FO102" s="185"/>
      <c r="FP102" s="185"/>
      <c r="FQ102" s="185"/>
      <c r="FR102" s="185"/>
      <c r="FS102" s="185"/>
      <c r="FT102" s="185"/>
      <c r="FU102" s="185"/>
      <c r="FV102" s="185"/>
      <c r="FW102" s="185"/>
      <c r="FX102" s="185"/>
      <c r="FY102" s="185"/>
      <c r="FZ102" s="185"/>
      <c r="GA102" s="185"/>
      <c r="GB102" s="185"/>
      <c r="GC102" s="185"/>
      <c r="GD102" s="185"/>
      <c r="GE102" s="185"/>
      <c r="GF102" s="185"/>
      <c r="GG102" s="185"/>
      <c r="GH102" s="185"/>
      <c r="GI102" s="185"/>
      <c r="GJ102" s="185"/>
      <c r="GK102" s="185"/>
      <c r="GL102" s="185"/>
      <c r="GM102" s="185"/>
      <c r="GN102" s="185"/>
      <c r="GO102" s="185"/>
      <c r="GP102" s="185"/>
      <c r="GQ102" s="185"/>
      <c r="GR102" s="185"/>
      <c r="GS102" s="185"/>
      <c r="GT102" s="185"/>
      <c r="GU102" s="185"/>
      <c r="GV102" s="185"/>
      <c r="GW102" s="185"/>
      <c r="GX102" s="185"/>
      <c r="GY102" s="185"/>
      <c r="GZ102" s="185"/>
      <c r="HA102" s="186"/>
      <c r="HB102" s="184">
        <v>2</v>
      </c>
      <c r="HC102" s="185"/>
      <c r="HD102" s="185"/>
      <c r="HE102" s="185"/>
      <c r="HF102" s="186"/>
      <c r="JP102" s="155"/>
      <c r="LY102" s="12"/>
      <c r="LZ102" s="7"/>
    </row>
    <row r="103" spans="3:343" ht="5.0999999999999996" customHeight="1" x14ac:dyDescent="0.3">
      <c r="C103" s="11"/>
      <c r="D103" s="13"/>
      <c r="BU103" s="187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8"/>
      <c r="CH103" s="188"/>
      <c r="CI103" s="188"/>
      <c r="CJ103" s="188"/>
      <c r="CK103" s="188"/>
      <c r="CL103" s="188"/>
      <c r="CM103" s="188"/>
      <c r="CN103" s="188"/>
      <c r="CO103" s="188"/>
      <c r="CP103" s="188"/>
      <c r="CQ103" s="188"/>
      <c r="CR103" s="188"/>
      <c r="CS103" s="188"/>
      <c r="CT103" s="188"/>
      <c r="CU103" s="188"/>
      <c r="CV103" s="188"/>
      <c r="CW103" s="188"/>
      <c r="CX103" s="188"/>
      <c r="CY103" s="188"/>
      <c r="CZ103" s="188"/>
      <c r="DA103" s="188"/>
      <c r="DB103" s="188"/>
      <c r="DC103" s="188"/>
      <c r="DD103" s="188"/>
      <c r="DE103" s="188"/>
      <c r="DF103" s="188"/>
      <c r="DG103" s="188"/>
      <c r="DH103" s="189"/>
      <c r="DI103" s="187"/>
      <c r="DJ103" s="188"/>
      <c r="DK103" s="188"/>
      <c r="DL103" s="188"/>
      <c r="DM103" s="189"/>
      <c r="EM103" s="19"/>
      <c r="EN103" s="16"/>
      <c r="FN103" s="187"/>
      <c r="FO103" s="188"/>
      <c r="FP103" s="188"/>
      <c r="FQ103" s="188"/>
      <c r="FR103" s="188"/>
      <c r="FS103" s="188"/>
      <c r="FT103" s="188"/>
      <c r="FU103" s="188"/>
      <c r="FV103" s="188"/>
      <c r="FW103" s="188"/>
      <c r="FX103" s="188"/>
      <c r="FY103" s="188"/>
      <c r="FZ103" s="188"/>
      <c r="GA103" s="188"/>
      <c r="GB103" s="188"/>
      <c r="GC103" s="188"/>
      <c r="GD103" s="188"/>
      <c r="GE103" s="188"/>
      <c r="GF103" s="188"/>
      <c r="GG103" s="188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8"/>
      <c r="GW103" s="188"/>
      <c r="GX103" s="188"/>
      <c r="GY103" s="188"/>
      <c r="GZ103" s="188"/>
      <c r="HA103" s="189"/>
      <c r="HB103" s="187"/>
      <c r="HC103" s="188"/>
      <c r="HD103" s="188"/>
      <c r="HE103" s="188"/>
      <c r="HF103" s="189"/>
      <c r="HP103" s="1" t="s">
        <v>14</v>
      </c>
      <c r="JP103" s="155"/>
      <c r="LY103" s="12"/>
      <c r="LZ103" s="7"/>
    </row>
    <row r="104" spans="3:343" ht="5.0999999999999996" customHeight="1" x14ac:dyDescent="0.3">
      <c r="C104" s="11"/>
      <c r="D104" s="13"/>
      <c r="BU104" s="187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8"/>
      <c r="CH104" s="188"/>
      <c r="CI104" s="188"/>
      <c r="CJ104" s="188"/>
      <c r="CK104" s="188"/>
      <c r="CL104" s="188"/>
      <c r="CM104" s="188"/>
      <c r="CN104" s="188"/>
      <c r="CO104" s="188"/>
      <c r="CP104" s="188"/>
      <c r="CQ104" s="188"/>
      <c r="CR104" s="188"/>
      <c r="CS104" s="188"/>
      <c r="CT104" s="188"/>
      <c r="CU104" s="188"/>
      <c r="CV104" s="188"/>
      <c r="CW104" s="188"/>
      <c r="CX104" s="188"/>
      <c r="CY104" s="188"/>
      <c r="CZ104" s="188"/>
      <c r="DA104" s="188"/>
      <c r="DB104" s="188"/>
      <c r="DC104" s="188"/>
      <c r="DD104" s="188"/>
      <c r="DE104" s="188"/>
      <c r="DF104" s="188"/>
      <c r="DG104" s="188"/>
      <c r="DH104" s="189"/>
      <c r="DI104" s="187"/>
      <c r="DJ104" s="188"/>
      <c r="DK104" s="188"/>
      <c r="DL104" s="188"/>
      <c r="DM104" s="189"/>
      <c r="EN104" s="16"/>
      <c r="FN104" s="187"/>
      <c r="FO104" s="188"/>
      <c r="FP104" s="188"/>
      <c r="FQ104" s="188"/>
      <c r="FR104" s="188"/>
      <c r="FS104" s="188"/>
      <c r="FT104" s="188"/>
      <c r="FU104" s="188"/>
      <c r="FV104" s="188"/>
      <c r="FW104" s="188"/>
      <c r="FX104" s="188"/>
      <c r="FY104" s="188"/>
      <c r="FZ104" s="188"/>
      <c r="GA104" s="188"/>
      <c r="GB104" s="188"/>
      <c r="GC104" s="188"/>
      <c r="GD104" s="188"/>
      <c r="GE104" s="188"/>
      <c r="GF104" s="188"/>
      <c r="GG104" s="188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8"/>
      <c r="GW104" s="188"/>
      <c r="GX104" s="188"/>
      <c r="GY104" s="188"/>
      <c r="GZ104" s="188"/>
      <c r="HA104" s="189"/>
      <c r="HB104" s="187"/>
      <c r="HC104" s="188"/>
      <c r="HD104" s="188"/>
      <c r="HE104" s="188"/>
      <c r="HF104" s="189"/>
      <c r="JP104" s="155"/>
      <c r="LY104" s="12"/>
      <c r="LZ104" s="7"/>
    </row>
    <row r="105" spans="3:343" ht="5.0999999999999996" customHeight="1" x14ac:dyDescent="0.3">
      <c r="C105" s="11"/>
      <c r="D105" s="13"/>
      <c r="BU105" s="187"/>
      <c r="BV105" s="188"/>
      <c r="BW105" s="188"/>
      <c r="BX105" s="188"/>
      <c r="BY105" s="188"/>
      <c r="BZ105" s="188"/>
      <c r="CA105" s="188"/>
      <c r="CB105" s="188"/>
      <c r="CC105" s="188"/>
      <c r="CD105" s="188"/>
      <c r="CE105" s="188"/>
      <c r="CF105" s="188"/>
      <c r="CG105" s="188"/>
      <c r="CH105" s="188"/>
      <c r="CI105" s="188"/>
      <c r="CJ105" s="188"/>
      <c r="CK105" s="188"/>
      <c r="CL105" s="188"/>
      <c r="CM105" s="188"/>
      <c r="CN105" s="188"/>
      <c r="CO105" s="188"/>
      <c r="CP105" s="188"/>
      <c r="CQ105" s="188"/>
      <c r="CR105" s="188"/>
      <c r="CS105" s="188"/>
      <c r="CT105" s="188"/>
      <c r="CU105" s="188"/>
      <c r="CV105" s="188"/>
      <c r="CW105" s="188"/>
      <c r="CX105" s="188"/>
      <c r="CY105" s="188"/>
      <c r="CZ105" s="188"/>
      <c r="DA105" s="188"/>
      <c r="DB105" s="188"/>
      <c r="DC105" s="188"/>
      <c r="DD105" s="188"/>
      <c r="DE105" s="188"/>
      <c r="DF105" s="188"/>
      <c r="DG105" s="188"/>
      <c r="DH105" s="189"/>
      <c r="DI105" s="187"/>
      <c r="DJ105" s="188"/>
      <c r="DK105" s="188"/>
      <c r="DL105" s="188"/>
      <c r="DM105" s="189"/>
      <c r="EN105" s="16"/>
      <c r="FN105" s="187"/>
      <c r="FO105" s="188"/>
      <c r="FP105" s="188"/>
      <c r="FQ105" s="188"/>
      <c r="FR105" s="188"/>
      <c r="FS105" s="188"/>
      <c r="FT105" s="188"/>
      <c r="FU105" s="188"/>
      <c r="FV105" s="188"/>
      <c r="FW105" s="188"/>
      <c r="FX105" s="188"/>
      <c r="FY105" s="188"/>
      <c r="FZ105" s="188"/>
      <c r="GA105" s="188"/>
      <c r="GB105" s="188"/>
      <c r="GC105" s="188"/>
      <c r="GD105" s="188"/>
      <c r="GE105" s="188"/>
      <c r="GF105" s="188"/>
      <c r="GG105" s="188"/>
      <c r="GH105" s="188"/>
      <c r="GI105" s="188"/>
      <c r="GJ105" s="188"/>
      <c r="GK105" s="188"/>
      <c r="GL105" s="188"/>
      <c r="GM105" s="188"/>
      <c r="GN105" s="188"/>
      <c r="GO105" s="188"/>
      <c r="GP105" s="188"/>
      <c r="GQ105" s="188"/>
      <c r="GR105" s="188"/>
      <c r="GS105" s="188"/>
      <c r="GT105" s="188"/>
      <c r="GU105" s="188"/>
      <c r="GV105" s="188"/>
      <c r="GW105" s="188"/>
      <c r="GX105" s="188"/>
      <c r="GY105" s="188"/>
      <c r="GZ105" s="188"/>
      <c r="HA105" s="189"/>
      <c r="HB105" s="187"/>
      <c r="HC105" s="188"/>
      <c r="HD105" s="188"/>
      <c r="HE105" s="188"/>
      <c r="HF105" s="189"/>
      <c r="JP105" s="155"/>
      <c r="LY105" s="12"/>
      <c r="LZ105" s="7"/>
    </row>
    <row r="106" spans="3:343" ht="5.0999999999999996" customHeight="1" x14ac:dyDescent="0.3">
      <c r="C106" s="11"/>
      <c r="D106" s="13"/>
      <c r="BU106" s="190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2"/>
      <c r="DI106" s="190"/>
      <c r="DJ106" s="191"/>
      <c r="DK106" s="191"/>
      <c r="DL106" s="191"/>
      <c r="DM106" s="192"/>
      <c r="EN106" s="16"/>
      <c r="FN106" s="187"/>
      <c r="FO106" s="188"/>
      <c r="FP106" s="188"/>
      <c r="FQ106" s="188"/>
      <c r="FR106" s="188"/>
      <c r="FS106" s="188"/>
      <c r="FT106" s="188"/>
      <c r="FU106" s="188"/>
      <c r="FV106" s="188"/>
      <c r="FW106" s="188"/>
      <c r="FX106" s="188"/>
      <c r="FY106" s="188"/>
      <c r="FZ106" s="188"/>
      <c r="GA106" s="188"/>
      <c r="GB106" s="188"/>
      <c r="GC106" s="188"/>
      <c r="GD106" s="188"/>
      <c r="GE106" s="188"/>
      <c r="GF106" s="188"/>
      <c r="GG106" s="188"/>
      <c r="GH106" s="188"/>
      <c r="GI106" s="188"/>
      <c r="GJ106" s="188"/>
      <c r="GK106" s="188"/>
      <c r="GL106" s="188"/>
      <c r="GM106" s="188"/>
      <c r="GN106" s="188"/>
      <c r="GO106" s="188"/>
      <c r="GP106" s="188"/>
      <c r="GQ106" s="188"/>
      <c r="GR106" s="188"/>
      <c r="GS106" s="188"/>
      <c r="GT106" s="188"/>
      <c r="GU106" s="188"/>
      <c r="GV106" s="188"/>
      <c r="GW106" s="188"/>
      <c r="GX106" s="188"/>
      <c r="GY106" s="188"/>
      <c r="GZ106" s="188"/>
      <c r="HA106" s="189"/>
      <c r="HB106" s="187"/>
      <c r="HC106" s="188"/>
      <c r="HD106" s="188"/>
      <c r="HE106" s="188"/>
      <c r="HF106" s="189"/>
      <c r="JP106" s="155"/>
      <c r="LY106" s="12"/>
      <c r="LZ106" s="7"/>
    </row>
    <row r="107" spans="3:343" ht="5.0999999999999996" customHeight="1" x14ac:dyDescent="0.3">
      <c r="C107" s="11"/>
      <c r="D107" s="13"/>
      <c r="EN107" s="16"/>
      <c r="FN107" s="187"/>
      <c r="FO107" s="188"/>
      <c r="FP107" s="188"/>
      <c r="FQ107" s="188"/>
      <c r="FR107" s="188"/>
      <c r="FS107" s="188"/>
      <c r="FT107" s="188"/>
      <c r="FU107" s="188"/>
      <c r="FV107" s="188"/>
      <c r="FW107" s="188"/>
      <c r="FX107" s="188"/>
      <c r="FY107" s="188"/>
      <c r="FZ107" s="188"/>
      <c r="GA107" s="188"/>
      <c r="GB107" s="188"/>
      <c r="GC107" s="188"/>
      <c r="GD107" s="188"/>
      <c r="GE107" s="188"/>
      <c r="GF107" s="188"/>
      <c r="GG107" s="188"/>
      <c r="GH107" s="188"/>
      <c r="GI107" s="188"/>
      <c r="GJ107" s="188"/>
      <c r="GK107" s="188"/>
      <c r="GL107" s="188"/>
      <c r="GM107" s="188"/>
      <c r="GN107" s="188"/>
      <c r="GO107" s="188"/>
      <c r="GP107" s="188"/>
      <c r="GQ107" s="188"/>
      <c r="GR107" s="188"/>
      <c r="GS107" s="188"/>
      <c r="GT107" s="188"/>
      <c r="GU107" s="188"/>
      <c r="GV107" s="188"/>
      <c r="GW107" s="188"/>
      <c r="GX107" s="188"/>
      <c r="GY107" s="188"/>
      <c r="GZ107" s="188"/>
      <c r="HA107" s="189"/>
      <c r="HB107" s="187"/>
      <c r="HC107" s="188"/>
      <c r="HD107" s="188"/>
      <c r="HE107" s="188"/>
      <c r="HF107" s="189"/>
      <c r="JP107" s="155"/>
      <c r="LY107" s="12"/>
      <c r="LZ107" s="7"/>
    </row>
    <row r="108" spans="3:343" ht="5.0999999999999996" customHeight="1" x14ac:dyDescent="0.3">
      <c r="C108" s="11"/>
      <c r="D108" s="13"/>
      <c r="EN108" s="16"/>
      <c r="FN108" s="187"/>
      <c r="FO108" s="188"/>
      <c r="FP108" s="188"/>
      <c r="FQ108" s="188"/>
      <c r="FR108" s="188"/>
      <c r="FS108" s="188"/>
      <c r="FT108" s="188"/>
      <c r="FU108" s="188"/>
      <c r="FV108" s="188"/>
      <c r="FW108" s="188"/>
      <c r="FX108" s="188"/>
      <c r="FY108" s="188"/>
      <c r="FZ108" s="188"/>
      <c r="GA108" s="188"/>
      <c r="GB108" s="188"/>
      <c r="GC108" s="188"/>
      <c r="GD108" s="188"/>
      <c r="GE108" s="188"/>
      <c r="GF108" s="188"/>
      <c r="GG108" s="188"/>
      <c r="GH108" s="188"/>
      <c r="GI108" s="188"/>
      <c r="GJ108" s="188"/>
      <c r="GK108" s="188"/>
      <c r="GL108" s="188"/>
      <c r="GM108" s="188"/>
      <c r="GN108" s="188"/>
      <c r="GO108" s="188"/>
      <c r="GP108" s="188"/>
      <c r="GQ108" s="188"/>
      <c r="GR108" s="188"/>
      <c r="GS108" s="188"/>
      <c r="GT108" s="188"/>
      <c r="GU108" s="188"/>
      <c r="GV108" s="188"/>
      <c r="GW108" s="188"/>
      <c r="GX108" s="188"/>
      <c r="GY108" s="188"/>
      <c r="GZ108" s="188"/>
      <c r="HA108" s="189"/>
      <c r="HB108" s="187"/>
      <c r="HC108" s="188"/>
      <c r="HD108" s="188"/>
      <c r="HE108" s="188"/>
      <c r="HF108" s="189"/>
      <c r="JP108" s="155"/>
      <c r="LY108" s="12"/>
      <c r="LZ108" s="7"/>
    </row>
    <row r="109" spans="3:343" ht="5.0999999999999996" customHeight="1" x14ac:dyDescent="0.3">
      <c r="C109" s="11"/>
      <c r="D109" s="13"/>
      <c r="EN109" s="16"/>
      <c r="FN109" s="187"/>
      <c r="FO109" s="188"/>
      <c r="FP109" s="188"/>
      <c r="FQ109" s="188"/>
      <c r="FR109" s="188"/>
      <c r="FS109" s="188"/>
      <c r="FT109" s="188"/>
      <c r="FU109" s="188"/>
      <c r="FV109" s="188"/>
      <c r="FW109" s="188"/>
      <c r="FX109" s="188"/>
      <c r="FY109" s="188"/>
      <c r="FZ109" s="188"/>
      <c r="GA109" s="188"/>
      <c r="GB109" s="188"/>
      <c r="GC109" s="188"/>
      <c r="GD109" s="188"/>
      <c r="GE109" s="188"/>
      <c r="GF109" s="188"/>
      <c r="GG109" s="188"/>
      <c r="GH109" s="188"/>
      <c r="GI109" s="188"/>
      <c r="GJ109" s="188"/>
      <c r="GK109" s="188"/>
      <c r="GL109" s="188"/>
      <c r="GM109" s="188"/>
      <c r="GN109" s="188"/>
      <c r="GO109" s="188"/>
      <c r="GP109" s="188"/>
      <c r="GQ109" s="188"/>
      <c r="GR109" s="188"/>
      <c r="GS109" s="188"/>
      <c r="GT109" s="188"/>
      <c r="GU109" s="188"/>
      <c r="GV109" s="188"/>
      <c r="GW109" s="188"/>
      <c r="GX109" s="188"/>
      <c r="GY109" s="188"/>
      <c r="GZ109" s="188"/>
      <c r="HA109" s="189"/>
      <c r="HB109" s="187"/>
      <c r="HC109" s="188"/>
      <c r="HD109" s="188"/>
      <c r="HE109" s="188"/>
      <c r="HF109" s="189"/>
      <c r="JP109" s="155"/>
      <c r="LY109" s="12"/>
      <c r="LZ109" s="7"/>
    </row>
    <row r="110" spans="3:343" ht="5.0999999999999996" customHeight="1" x14ac:dyDescent="0.3">
      <c r="C110" s="11"/>
      <c r="D110" s="13"/>
      <c r="EN110" s="16"/>
      <c r="FN110" s="187"/>
      <c r="FO110" s="188"/>
      <c r="FP110" s="188"/>
      <c r="FQ110" s="188"/>
      <c r="FR110" s="188"/>
      <c r="FS110" s="188"/>
      <c r="FT110" s="188"/>
      <c r="FU110" s="188"/>
      <c r="FV110" s="188"/>
      <c r="FW110" s="188"/>
      <c r="FX110" s="188"/>
      <c r="FY110" s="188"/>
      <c r="FZ110" s="188"/>
      <c r="GA110" s="188"/>
      <c r="GB110" s="188"/>
      <c r="GC110" s="188"/>
      <c r="GD110" s="188"/>
      <c r="GE110" s="188"/>
      <c r="GF110" s="188"/>
      <c r="GG110" s="188"/>
      <c r="GH110" s="188"/>
      <c r="GI110" s="188"/>
      <c r="GJ110" s="188"/>
      <c r="GK110" s="188"/>
      <c r="GL110" s="188"/>
      <c r="GM110" s="188"/>
      <c r="GN110" s="188"/>
      <c r="GO110" s="188"/>
      <c r="GP110" s="188"/>
      <c r="GQ110" s="188"/>
      <c r="GR110" s="188"/>
      <c r="GS110" s="188"/>
      <c r="GT110" s="188"/>
      <c r="GU110" s="188"/>
      <c r="GV110" s="188"/>
      <c r="GW110" s="188"/>
      <c r="GX110" s="188"/>
      <c r="GY110" s="188"/>
      <c r="GZ110" s="188"/>
      <c r="HA110" s="189"/>
      <c r="HB110" s="187"/>
      <c r="HC110" s="188"/>
      <c r="HD110" s="188"/>
      <c r="HE110" s="188"/>
      <c r="HF110" s="189"/>
      <c r="JP110" s="155"/>
      <c r="LY110" s="12"/>
      <c r="LZ110" s="7"/>
    </row>
    <row r="111" spans="3:343" ht="5.0999999999999996" customHeight="1" x14ac:dyDescent="0.3">
      <c r="C111" s="11"/>
      <c r="D111" s="13"/>
      <c r="EN111" s="16"/>
      <c r="FN111" s="190"/>
      <c r="FO111" s="191"/>
      <c r="FP111" s="191"/>
      <c r="FQ111" s="191"/>
      <c r="FR111" s="191"/>
      <c r="FS111" s="191"/>
      <c r="FT111" s="191"/>
      <c r="FU111" s="191"/>
      <c r="FV111" s="191"/>
      <c r="FW111" s="191"/>
      <c r="FX111" s="191"/>
      <c r="FY111" s="191"/>
      <c r="FZ111" s="191"/>
      <c r="GA111" s="191"/>
      <c r="GB111" s="191"/>
      <c r="GC111" s="191"/>
      <c r="GD111" s="191"/>
      <c r="GE111" s="191"/>
      <c r="GF111" s="191"/>
      <c r="GG111" s="191"/>
      <c r="GH111" s="191"/>
      <c r="GI111" s="191"/>
      <c r="GJ111" s="191"/>
      <c r="GK111" s="191"/>
      <c r="GL111" s="191"/>
      <c r="GM111" s="191"/>
      <c r="GN111" s="191"/>
      <c r="GO111" s="191"/>
      <c r="GP111" s="191"/>
      <c r="GQ111" s="191"/>
      <c r="GR111" s="191"/>
      <c r="GS111" s="191"/>
      <c r="GT111" s="191"/>
      <c r="GU111" s="191"/>
      <c r="GV111" s="191"/>
      <c r="GW111" s="191"/>
      <c r="GX111" s="191"/>
      <c r="GY111" s="191"/>
      <c r="GZ111" s="191"/>
      <c r="HA111" s="192"/>
      <c r="HB111" s="190"/>
      <c r="HC111" s="191"/>
      <c r="HD111" s="191"/>
      <c r="HE111" s="191"/>
      <c r="HF111" s="192"/>
      <c r="JP111" s="155"/>
      <c r="LY111" s="12"/>
      <c r="LZ111" s="7"/>
    </row>
    <row r="112" spans="3:343" ht="5.0999999999999996" customHeight="1" x14ac:dyDescent="0.3">
      <c r="C112" s="11"/>
      <c r="D112" s="13"/>
      <c r="EN112" s="16"/>
      <c r="JP112" s="155"/>
      <c r="LY112" s="12"/>
      <c r="LZ112" s="7"/>
      <c r="MA112" s="3"/>
      <c r="MB112" s="3"/>
      <c r="MC112" s="3"/>
      <c r="MD112" s="3"/>
      <c r="ME112" s="2"/>
    </row>
    <row r="113" spans="3:362" ht="5.0999999999999996" customHeight="1" x14ac:dyDescent="0.3">
      <c r="C113" s="11"/>
      <c r="D113" s="13"/>
      <c r="EN113" s="16"/>
      <c r="JP113" s="155"/>
      <c r="LY113" s="12"/>
      <c r="LZ113" s="7"/>
      <c r="MA113" s="3"/>
      <c r="MB113" s="3"/>
      <c r="MC113" s="3"/>
      <c r="MD113" s="3"/>
      <c r="ME113" s="2"/>
    </row>
    <row r="114" spans="3:362" ht="5.0999999999999996" customHeight="1" thickBot="1" x14ac:dyDescent="0.35">
      <c r="C114" s="11"/>
      <c r="D114" s="13"/>
      <c r="EN114" s="16"/>
      <c r="JP114" s="155"/>
      <c r="LY114" s="12"/>
      <c r="LZ114" s="7"/>
      <c r="MA114" s="3"/>
      <c r="MB114" s="3"/>
      <c r="MC114" s="3"/>
      <c r="MD114" s="3"/>
      <c r="ME114" s="2"/>
    </row>
    <row r="115" spans="3:362" ht="5.0999999999999996" customHeight="1" x14ac:dyDescent="0.3">
      <c r="C115" s="11"/>
      <c r="D115" s="13"/>
      <c r="AN115" s="22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2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0"/>
      <c r="JP115" s="155"/>
      <c r="LY115" s="12"/>
      <c r="LZ115" s="7"/>
      <c r="MA115" s="3"/>
      <c r="MB115" s="3"/>
      <c r="MC115" s="3"/>
      <c r="MD115" s="3"/>
      <c r="ME115" s="2"/>
    </row>
    <row r="116" spans="3:362" ht="5.0999999999999996" customHeight="1" x14ac:dyDescent="0.3">
      <c r="C116" s="11"/>
      <c r="D116" s="13"/>
      <c r="AH116" s="9"/>
      <c r="AI116" s="9"/>
      <c r="AJ116" s="9"/>
      <c r="AK116" s="9"/>
      <c r="AL116" s="9"/>
      <c r="AM116" s="9"/>
      <c r="AN116" s="15"/>
      <c r="AO116" s="9"/>
      <c r="AP116" s="9"/>
      <c r="EN116" s="15"/>
      <c r="IL116" s="19"/>
      <c r="JP116" s="155"/>
      <c r="LY116" s="12"/>
      <c r="LZ116" s="7"/>
      <c r="MA116" s="3"/>
      <c r="MB116" s="3"/>
      <c r="MC116" s="3"/>
      <c r="MD116" s="3"/>
      <c r="ME116" s="2"/>
      <c r="MS116" s="3"/>
      <c r="MT116" s="3"/>
      <c r="MU116" s="3"/>
      <c r="MV116" s="3"/>
      <c r="MW116" s="3"/>
      <c r="MX116" s="2"/>
    </row>
    <row r="117" spans="3:362" ht="5.0999999999999996" customHeight="1" x14ac:dyDescent="0.3">
      <c r="C117" s="11"/>
      <c r="D117" s="13"/>
      <c r="Q117" s="206" t="s">
        <v>13</v>
      </c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8"/>
      <c r="BF117" s="206">
        <f>SUM(BF129,BF141:BJ240)</f>
        <v>18</v>
      </c>
      <c r="BG117" s="207"/>
      <c r="BH117" s="207"/>
      <c r="BI117" s="207"/>
      <c r="BJ117" s="208"/>
      <c r="DQ117" s="265" t="s">
        <v>12</v>
      </c>
      <c r="DR117" s="265"/>
      <c r="DS117" s="265"/>
      <c r="DT117" s="265"/>
      <c r="DU117" s="265"/>
      <c r="DV117" s="265"/>
      <c r="DW117" s="265"/>
      <c r="DX117" s="265"/>
      <c r="DY117" s="265"/>
      <c r="DZ117" s="265"/>
      <c r="EA117" s="265"/>
      <c r="EB117" s="265"/>
      <c r="EC117" s="265"/>
      <c r="ED117" s="265"/>
      <c r="EE117" s="265"/>
      <c r="EF117" s="265"/>
      <c r="EG117" s="265"/>
      <c r="EH117" s="265"/>
      <c r="EI117" s="265"/>
      <c r="EJ117" s="265"/>
      <c r="EK117" s="265"/>
      <c r="EL117" s="265"/>
      <c r="EM117" s="265"/>
      <c r="EN117" s="265"/>
      <c r="EO117" s="265"/>
      <c r="EP117" s="265"/>
      <c r="EQ117" s="265"/>
      <c r="ER117" s="265"/>
      <c r="ES117" s="265"/>
      <c r="ET117" s="265"/>
      <c r="EU117" s="265"/>
      <c r="EV117" s="265"/>
      <c r="EW117" s="265"/>
      <c r="EX117" s="265"/>
      <c r="EY117" s="265"/>
      <c r="EZ117" s="265"/>
      <c r="FA117" s="265"/>
      <c r="FB117" s="265"/>
      <c r="FC117" s="265"/>
      <c r="FD117" s="302">
        <f>SUM(DG147,FE147,HB147,FD129)</f>
        <v>27</v>
      </c>
      <c r="FE117" s="303"/>
      <c r="FF117" s="303"/>
      <c r="FG117" s="303"/>
      <c r="FH117" s="304"/>
      <c r="HN117" s="14"/>
      <c r="HP117" s="195" t="s">
        <v>11</v>
      </c>
      <c r="HQ117" s="196"/>
      <c r="HR117" s="196"/>
      <c r="HS117" s="196"/>
      <c r="HT117" s="196"/>
      <c r="HU117" s="196"/>
      <c r="HV117" s="196"/>
      <c r="HW117" s="196"/>
      <c r="HX117" s="196"/>
      <c r="HY117" s="196"/>
      <c r="HZ117" s="196"/>
      <c r="IA117" s="196"/>
      <c r="IB117" s="196"/>
      <c r="IC117" s="196"/>
      <c r="ID117" s="196"/>
      <c r="IE117" s="196"/>
      <c r="IF117" s="196"/>
      <c r="IG117" s="196"/>
      <c r="IH117" s="196"/>
      <c r="II117" s="196"/>
      <c r="IJ117" s="196"/>
      <c r="IK117" s="196"/>
      <c r="IL117" s="196"/>
      <c r="IM117" s="196"/>
      <c r="IN117" s="196"/>
      <c r="IO117" s="196"/>
      <c r="IP117" s="196"/>
      <c r="IQ117" s="196"/>
      <c r="IR117" s="196"/>
      <c r="IS117" s="196"/>
      <c r="IT117" s="196"/>
      <c r="IU117" s="196"/>
      <c r="IV117" s="196"/>
      <c r="IW117" s="196"/>
      <c r="IX117" s="196"/>
      <c r="IY117" s="196"/>
      <c r="IZ117" s="196"/>
      <c r="JA117" s="196"/>
      <c r="JB117" s="196"/>
      <c r="JC117" s="196"/>
      <c r="JD117" s="204">
        <f>JD127</f>
        <v>10</v>
      </c>
      <c r="JE117" s="204"/>
      <c r="JF117" s="204"/>
      <c r="JG117" s="204"/>
      <c r="JH117" s="204"/>
      <c r="JI117" s="204"/>
      <c r="JP117" s="155"/>
      <c r="JW117" s="311" t="s">
        <v>35</v>
      </c>
      <c r="JX117" s="312"/>
      <c r="JY117" s="312"/>
      <c r="JZ117" s="312"/>
      <c r="KA117" s="312"/>
      <c r="KB117" s="312"/>
      <c r="KC117" s="312"/>
      <c r="KD117" s="312"/>
      <c r="KE117" s="312"/>
      <c r="KF117" s="312"/>
      <c r="KG117" s="312"/>
      <c r="KH117" s="312"/>
      <c r="KI117" s="312"/>
      <c r="KJ117" s="312"/>
      <c r="KK117" s="312"/>
      <c r="KL117" s="312"/>
      <c r="KM117" s="312"/>
      <c r="KN117" s="312"/>
      <c r="KO117" s="312"/>
      <c r="KP117" s="312"/>
      <c r="KQ117" s="312"/>
      <c r="KR117" s="312"/>
      <c r="KS117" s="312"/>
      <c r="KT117" s="312"/>
      <c r="KU117" s="312"/>
      <c r="KV117" s="312"/>
      <c r="KW117" s="312"/>
      <c r="KX117" s="312"/>
      <c r="KY117" s="312"/>
      <c r="KZ117" s="312"/>
      <c r="LA117" s="312"/>
      <c r="LB117" s="312"/>
      <c r="LC117" s="312"/>
      <c r="LD117" s="312"/>
      <c r="LE117" s="312"/>
      <c r="LF117" s="312"/>
      <c r="LG117" s="312"/>
      <c r="LH117" s="312"/>
      <c r="LI117" s="312"/>
      <c r="LJ117" s="312"/>
      <c r="LK117" s="313"/>
      <c r="LL117" s="320">
        <f>SUM(LL128:LP283)</f>
        <v>32</v>
      </c>
      <c r="LM117" s="321"/>
      <c r="LN117" s="321"/>
      <c r="LO117" s="321"/>
      <c r="LP117" s="322"/>
      <c r="LY117" s="12"/>
      <c r="LZ117" s="7"/>
      <c r="MA117" s="3"/>
      <c r="MB117" s="3"/>
      <c r="MC117" s="3"/>
      <c r="MD117" s="3"/>
      <c r="ME117" s="2"/>
      <c r="MS117" s="3"/>
      <c r="MT117" s="3"/>
      <c r="MU117" s="3"/>
      <c r="MV117" s="3"/>
      <c r="MW117" s="3"/>
      <c r="MX117" s="2"/>
    </row>
    <row r="118" spans="3:362" ht="5.0999999999999996" customHeight="1" x14ac:dyDescent="0.3">
      <c r="C118" s="11"/>
      <c r="D118" s="13"/>
      <c r="Q118" s="209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1"/>
      <c r="BF118" s="209"/>
      <c r="BG118" s="210"/>
      <c r="BH118" s="210"/>
      <c r="BI118" s="210"/>
      <c r="BJ118" s="211"/>
      <c r="DQ118" s="265"/>
      <c r="DR118" s="265"/>
      <c r="DS118" s="265"/>
      <c r="DT118" s="265"/>
      <c r="DU118" s="265"/>
      <c r="DV118" s="265"/>
      <c r="DW118" s="265"/>
      <c r="DX118" s="265"/>
      <c r="DY118" s="265"/>
      <c r="DZ118" s="265"/>
      <c r="EA118" s="265"/>
      <c r="EB118" s="265"/>
      <c r="EC118" s="265"/>
      <c r="ED118" s="265"/>
      <c r="EE118" s="265"/>
      <c r="EF118" s="265"/>
      <c r="EG118" s="265"/>
      <c r="EH118" s="265"/>
      <c r="EI118" s="265"/>
      <c r="EJ118" s="265"/>
      <c r="EK118" s="265"/>
      <c r="EL118" s="265"/>
      <c r="EM118" s="265"/>
      <c r="EN118" s="265"/>
      <c r="EO118" s="265"/>
      <c r="EP118" s="265"/>
      <c r="EQ118" s="265"/>
      <c r="ER118" s="265"/>
      <c r="ES118" s="265"/>
      <c r="ET118" s="265"/>
      <c r="EU118" s="265"/>
      <c r="EV118" s="265"/>
      <c r="EW118" s="265"/>
      <c r="EX118" s="265"/>
      <c r="EY118" s="265"/>
      <c r="EZ118" s="265"/>
      <c r="FA118" s="265"/>
      <c r="FB118" s="265"/>
      <c r="FC118" s="265"/>
      <c r="FD118" s="305"/>
      <c r="FE118" s="306"/>
      <c r="FF118" s="306"/>
      <c r="FG118" s="306"/>
      <c r="FH118" s="307"/>
      <c r="HN118" s="14"/>
      <c r="HP118" s="198"/>
      <c r="HQ118" s="199"/>
      <c r="HR118" s="199"/>
      <c r="HS118" s="199"/>
      <c r="HT118" s="199"/>
      <c r="HU118" s="199"/>
      <c r="HV118" s="199"/>
      <c r="HW118" s="199"/>
      <c r="HX118" s="199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  <c r="IW118" s="199"/>
      <c r="IX118" s="199"/>
      <c r="IY118" s="199"/>
      <c r="IZ118" s="199"/>
      <c r="JA118" s="199"/>
      <c r="JB118" s="199"/>
      <c r="JC118" s="199"/>
      <c r="JD118" s="204"/>
      <c r="JE118" s="204"/>
      <c r="JF118" s="204"/>
      <c r="JG118" s="204"/>
      <c r="JH118" s="204"/>
      <c r="JI118" s="204"/>
      <c r="JP118" s="155"/>
      <c r="JW118" s="314"/>
      <c r="JX118" s="315"/>
      <c r="JY118" s="315"/>
      <c r="JZ118" s="315"/>
      <c r="KA118" s="315"/>
      <c r="KB118" s="315"/>
      <c r="KC118" s="315"/>
      <c r="KD118" s="315"/>
      <c r="KE118" s="315"/>
      <c r="KF118" s="315"/>
      <c r="KG118" s="315"/>
      <c r="KH118" s="315"/>
      <c r="KI118" s="315"/>
      <c r="KJ118" s="315"/>
      <c r="KK118" s="315"/>
      <c r="KL118" s="315"/>
      <c r="KM118" s="315"/>
      <c r="KN118" s="315"/>
      <c r="KO118" s="315"/>
      <c r="KP118" s="315"/>
      <c r="KQ118" s="315"/>
      <c r="KR118" s="315"/>
      <c r="KS118" s="315"/>
      <c r="KT118" s="315"/>
      <c r="KU118" s="315"/>
      <c r="KV118" s="315"/>
      <c r="KW118" s="315"/>
      <c r="KX118" s="315"/>
      <c r="KY118" s="315"/>
      <c r="KZ118" s="315"/>
      <c r="LA118" s="315"/>
      <c r="LB118" s="315"/>
      <c r="LC118" s="315"/>
      <c r="LD118" s="315"/>
      <c r="LE118" s="315"/>
      <c r="LF118" s="315"/>
      <c r="LG118" s="315"/>
      <c r="LH118" s="315"/>
      <c r="LI118" s="315"/>
      <c r="LJ118" s="315"/>
      <c r="LK118" s="316"/>
      <c r="LL118" s="323"/>
      <c r="LM118" s="324"/>
      <c r="LN118" s="324"/>
      <c r="LO118" s="324"/>
      <c r="LP118" s="325"/>
      <c r="LY118" s="12"/>
      <c r="LZ118" s="7"/>
      <c r="MA118" s="3"/>
      <c r="MB118" s="3"/>
      <c r="MC118" s="3"/>
      <c r="MD118" s="3"/>
      <c r="ME118" s="2"/>
      <c r="MS118" s="3"/>
      <c r="MT118" s="3"/>
      <c r="MU118" s="3"/>
      <c r="MV118" s="3"/>
      <c r="MW118" s="3"/>
      <c r="MX118" s="2"/>
    </row>
    <row r="119" spans="3:362" ht="5.0999999999999996" customHeight="1" x14ac:dyDescent="0.3">
      <c r="C119" s="11"/>
      <c r="D119" s="13"/>
      <c r="Q119" s="209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1"/>
      <c r="BF119" s="209"/>
      <c r="BG119" s="210"/>
      <c r="BH119" s="210"/>
      <c r="BI119" s="210"/>
      <c r="BJ119" s="211"/>
      <c r="DQ119" s="265"/>
      <c r="DR119" s="265"/>
      <c r="DS119" s="265"/>
      <c r="DT119" s="265"/>
      <c r="DU119" s="265"/>
      <c r="DV119" s="265"/>
      <c r="DW119" s="265"/>
      <c r="DX119" s="265"/>
      <c r="DY119" s="265"/>
      <c r="DZ119" s="265"/>
      <c r="EA119" s="265"/>
      <c r="EB119" s="265"/>
      <c r="EC119" s="265"/>
      <c r="ED119" s="265"/>
      <c r="EE119" s="265"/>
      <c r="EF119" s="265"/>
      <c r="EG119" s="265"/>
      <c r="EH119" s="265"/>
      <c r="EI119" s="265"/>
      <c r="EJ119" s="265"/>
      <c r="EK119" s="265"/>
      <c r="EL119" s="265"/>
      <c r="EM119" s="265"/>
      <c r="EN119" s="265"/>
      <c r="EO119" s="265"/>
      <c r="EP119" s="265"/>
      <c r="EQ119" s="265"/>
      <c r="ER119" s="265"/>
      <c r="ES119" s="265"/>
      <c r="ET119" s="265"/>
      <c r="EU119" s="265"/>
      <c r="EV119" s="265"/>
      <c r="EW119" s="265"/>
      <c r="EX119" s="265"/>
      <c r="EY119" s="265"/>
      <c r="EZ119" s="265"/>
      <c r="FA119" s="265"/>
      <c r="FB119" s="265"/>
      <c r="FC119" s="265"/>
      <c r="FD119" s="305"/>
      <c r="FE119" s="306"/>
      <c r="FF119" s="306"/>
      <c r="FG119" s="306"/>
      <c r="FH119" s="307"/>
      <c r="HN119" s="14"/>
      <c r="HP119" s="198"/>
      <c r="HQ119" s="199"/>
      <c r="HR119" s="199"/>
      <c r="HS119" s="199"/>
      <c r="HT119" s="199"/>
      <c r="HU119" s="199"/>
      <c r="HV119" s="199"/>
      <c r="HW119" s="199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  <c r="IW119" s="199"/>
      <c r="IX119" s="199"/>
      <c r="IY119" s="199"/>
      <c r="IZ119" s="199"/>
      <c r="JA119" s="199"/>
      <c r="JB119" s="199"/>
      <c r="JC119" s="199"/>
      <c r="JD119" s="204"/>
      <c r="JE119" s="204"/>
      <c r="JF119" s="204"/>
      <c r="JG119" s="204"/>
      <c r="JH119" s="204"/>
      <c r="JI119" s="204"/>
      <c r="JP119" s="155"/>
      <c r="JW119" s="314"/>
      <c r="JX119" s="315"/>
      <c r="JY119" s="315"/>
      <c r="JZ119" s="315"/>
      <c r="KA119" s="315"/>
      <c r="KB119" s="315"/>
      <c r="KC119" s="315"/>
      <c r="KD119" s="315"/>
      <c r="KE119" s="315"/>
      <c r="KF119" s="315"/>
      <c r="KG119" s="315"/>
      <c r="KH119" s="315"/>
      <c r="KI119" s="315"/>
      <c r="KJ119" s="315"/>
      <c r="KK119" s="315"/>
      <c r="KL119" s="315"/>
      <c r="KM119" s="315"/>
      <c r="KN119" s="315"/>
      <c r="KO119" s="315"/>
      <c r="KP119" s="315"/>
      <c r="KQ119" s="315"/>
      <c r="KR119" s="315"/>
      <c r="KS119" s="315"/>
      <c r="KT119" s="315"/>
      <c r="KU119" s="315"/>
      <c r="KV119" s="315"/>
      <c r="KW119" s="315"/>
      <c r="KX119" s="315"/>
      <c r="KY119" s="315"/>
      <c r="KZ119" s="315"/>
      <c r="LA119" s="315"/>
      <c r="LB119" s="315"/>
      <c r="LC119" s="315"/>
      <c r="LD119" s="315"/>
      <c r="LE119" s="315"/>
      <c r="LF119" s="315"/>
      <c r="LG119" s="315"/>
      <c r="LH119" s="315"/>
      <c r="LI119" s="315"/>
      <c r="LJ119" s="315"/>
      <c r="LK119" s="316"/>
      <c r="LL119" s="323"/>
      <c r="LM119" s="324"/>
      <c r="LN119" s="324"/>
      <c r="LO119" s="324"/>
      <c r="LP119" s="325"/>
      <c r="LY119" s="12"/>
      <c r="LZ119" s="7"/>
      <c r="MA119" s="3"/>
      <c r="MB119" s="3"/>
      <c r="MC119" s="3"/>
      <c r="MD119" s="3"/>
      <c r="ME119" s="2"/>
      <c r="MS119" s="3"/>
      <c r="MT119" s="3"/>
      <c r="MU119" s="3"/>
      <c r="MV119" s="3"/>
      <c r="MW119" s="3"/>
      <c r="MX119" s="2"/>
    </row>
    <row r="120" spans="3:362" ht="5.0999999999999996" customHeight="1" x14ac:dyDescent="0.3">
      <c r="C120" s="11"/>
      <c r="D120" s="13"/>
      <c r="Q120" s="209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1"/>
      <c r="BF120" s="209"/>
      <c r="BG120" s="210"/>
      <c r="BH120" s="210"/>
      <c r="BI120" s="210"/>
      <c r="BJ120" s="211"/>
      <c r="DQ120" s="265"/>
      <c r="DR120" s="265"/>
      <c r="DS120" s="265"/>
      <c r="DT120" s="265"/>
      <c r="DU120" s="265"/>
      <c r="DV120" s="265"/>
      <c r="DW120" s="265"/>
      <c r="DX120" s="265"/>
      <c r="DY120" s="265"/>
      <c r="DZ120" s="265"/>
      <c r="EA120" s="265"/>
      <c r="EB120" s="265"/>
      <c r="EC120" s="265"/>
      <c r="ED120" s="265"/>
      <c r="EE120" s="265"/>
      <c r="EF120" s="265"/>
      <c r="EG120" s="265"/>
      <c r="EH120" s="265"/>
      <c r="EI120" s="265"/>
      <c r="EJ120" s="265"/>
      <c r="EK120" s="265"/>
      <c r="EL120" s="265"/>
      <c r="EM120" s="265"/>
      <c r="EN120" s="265"/>
      <c r="EO120" s="265"/>
      <c r="EP120" s="265"/>
      <c r="EQ120" s="265"/>
      <c r="ER120" s="265"/>
      <c r="ES120" s="265"/>
      <c r="ET120" s="265"/>
      <c r="EU120" s="265"/>
      <c r="EV120" s="265"/>
      <c r="EW120" s="265"/>
      <c r="EX120" s="265"/>
      <c r="EY120" s="265"/>
      <c r="EZ120" s="265"/>
      <c r="FA120" s="265"/>
      <c r="FB120" s="265"/>
      <c r="FC120" s="265"/>
      <c r="FD120" s="305"/>
      <c r="FE120" s="306"/>
      <c r="FF120" s="306"/>
      <c r="FG120" s="306"/>
      <c r="FH120" s="307"/>
      <c r="HN120" s="14"/>
      <c r="HP120" s="198"/>
      <c r="HQ120" s="199"/>
      <c r="HR120" s="199"/>
      <c r="HS120" s="199"/>
      <c r="HT120" s="199"/>
      <c r="HU120" s="199"/>
      <c r="HV120" s="199"/>
      <c r="HW120" s="199"/>
      <c r="HX120" s="199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  <c r="IW120" s="199"/>
      <c r="IX120" s="199"/>
      <c r="IY120" s="199"/>
      <c r="IZ120" s="199"/>
      <c r="JA120" s="199"/>
      <c r="JB120" s="199"/>
      <c r="JC120" s="199"/>
      <c r="JD120" s="204"/>
      <c r="JE120" s="204"/>
      <c r="JF120" s="204"/>
      <c r="JG120" s="204"/>
      <c r="JH120" s="204"/>
      <c r="JI120" s="204"/>
      <c r="JP120" s="155"/>
      <c r="JW120" s="314"/>
      <c r="JX120" s="315"/>
      <c r="JY120" s="315"/>
      <c r="JZ120" s="315"/>
      <c r="KA120" s="315"/>
      <c r="KB120" s="315"/>
      <c r="KC120" s="315"/>
      <c r="KD120" s="315"/>
      <c r="KE120" s="315"/>
      <c r="KF120" s="315"/>
      <c r="KG120" s="315"/>
      <c r="KH120" s="315"/>
      <c r="KI120" s="315"/>
      <c r="KJ120" s="315"/>
      <c r="KK120" s="315"/>
      <c r="KL120" s="315"/>
      <c r="KM120" s="315"/>
      <c r="KN120" s="315"/>
      <c r="KO120" s="315"/>
      <c r="KP120" s="315"/>
      <c r="KQ120" s="315"/>
      <c r="KR120" s="315"/>
      <c r="KS120" s="315"/>
      <c r="KT120" s="315"/>
      <c r="KU120" s="315"/>
      <c r="KV120" s="315"/>
      <c r="KW120" s="315"/>
      <c r="KX120" s="315"/>
      <c r="KY120" s="315"/>
      <c r="KZ120" s="315"/>
      <c r="LA120" s="315"/>
      <c r="LB120" s="315"/>
      <c r="LC120" s="315"/>
      <c r="LD120" s="315"/>
      <c r="LE120" s="315"/>
      <c r="LF120" s="315"/>
      <c r="LG120" s="315"/>
      <c r="LH120" s="315"/>
      <c r="LI120" s="315"/>
      <c r="LJ120" s="315"/>
      <c r="LK120" s="316"/>
      <c r="LL120" s="323"/>
      <c r="LM120" s="324"/>
      <c r="LN120" s="324"/>
      <c r="LO120" s="324"/>
      <c r="LP120" s="325"/>
      <c r="LY120" s="12"/>
      <c r="LZ120" s="7"/>
      <c r="MA120" s="3"/>
      <c r="MB120" s="3"/>
      <c r="MC120" s="3"/>
      <c r="MD120" s="3"/>
      <c r="ME120" s="2"/>
      <c r="MS120" s="3"/>
      <c r="MT120" s="3"/>
      <c r="MU120" s="3"/>
      <c r="MV120" s="3"/>
      <c r="MW120" s="3"/>
      <c r="MX120" s="2"/>
    </row>
    <row r="121" spans="3:362" ht="5.0999999999999996" customHeight="1" thickBot="1" x14ac:dyDescent="0.35">
      <c r="C121" s="11"/>
      <c r="D121" s="13"/>
      <c r="Q121" s="209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1"/>
      <c r="BF121" s="209"/>
      <c r="BG121" s="210"/>
      <c r="BH121" s="210"/>
      <c r="BI121" s="210"/>
      <c r="BJ121" s="211"/>
      <c r="DQ121" s="265"/>
      <c r="DR121" s="265"/>
      <c r="DS121" s="265"/>
      <c r="DT121" s="265"/>
      <c r="DU121" s="265"/>
      <c r="DV121" s="265"/>
      <c r="DW121" s="265"/>
      <c r="DX121" s="265"/>
      <c r="DY121" s="265"/>
      <c r="DZ121" s="265"/>
      <c r="EA121" s="265"/>
      <c r="EB121" s="265"/>
      <c r="EC121" s="265"/>
      <c r="ED121" s="265"/>
      <c r="EE121" s="265"/>
      <c r="EF121" s="265"/>
      <c r="EG121" s="265"/>
      <c r="EH121" s="265"/>
      <c r="EI121" s="265"/>
      <c r="EJ121" s="265"/>
      <c r="EK121" s="265"/>
      <c r="EL121" s="265"/>
      <c r="EM121" s="265"/>
      <c r="EN121" s="265"/>
      <c r="EO121" s="265"/>
      <c r="EP121" s="265"/>
      <c r="EQ121" s="265"/>
      <c r="ER121" s="265"/>
      <c r="ES121" s="265"/>
      <c r="ET121" s="265"/>
      <c r="EU121" s="265"/>
      <c r="EV121" s="265"/>
      <c r="EW121" s="265"/>
      <c r="EX121" s="265"/>
      <c r="EY121" s="265"/>
      <c r="EZ121" s="265"/>
      <c r="FA121" s="265"/>
      <c r="FB121" s="265"/>
      <c r="FC121" s="265"/>
      <c r="FD121" s="305"/>
      <c r="FE121" s="306"/>
      <c r="FF121" s="306"/>
      <c r="FG121" s="306"/>
      <c r="FH121" s="307"/>
      <c r="HN121" s="14"/>
      <c r="HP121" s="198"/>
      <c r="HQ121" s="199"/>
      <c r="HR121" s="199"/>
      <c r="HS121" s="199"/>
      <c r="HT121" s="199"/>
      <c r="HU121" s="199"/>
      <c r="HV121" s="199"/>
      <c r="HW121" s="199"/>
      <c r="HX121" s="199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  <c r="IW121" s="199"/>
      <c r="IX121" s="199"/>
      <c r="IY121" s="199"/>
      <c r="IZ121" s="199"/>
      <c r="JA121" s="199"/>
      <c r="JB121" s="199"/>
      <c r="JC121" s="199"/>
      <c r="JD121" s="204"/>
      <c r="JE121" s="204"/>
      <c r="JF121" s="204"/>
      <c r="JG121" s="204"/>
      <c r="JH121" s="204"/>
      <c r="JI121" s="204"/>
      <c r="JP121" s="155"/>
      <c r="JW121" s="314"/>
      <c r="JX121" s="315"/>
      <c r="JY121" s="315"/>
      <c r="JZ121" s="315"/>
      <c r="KA121" s="315"/>
      <c r="KB121" s="315"/>
      <c r="KC121" s="315"/>
      <c r="KD121" s="315"/>
      <c r="KE121" s="315"/>
      <c r="KF121" s="315"/>
      <c r="KG121" s="315"/>
      <c r="KH121" s="315"/>
      <c r="KI121" s="315"/>
      <c r="KJ121" s="315"/>
      <c r="KK121" s="315"/>
      <c r="KL121" s="315"/>
      <c r="KM121" s="315"/>
      <c r="KN121" s="315"/>
      <c r="KO121" s="315"/>
      <c r="KP121" s="315"/>
      <c r="KQ121" s="315"/>
      <c r="KR121" s="315"/>
      <c r="KS121" s="315"/>
      <c r="KT121" s="315"/>
      <c r="KU121" s="315"/>
      <c r="KV121" s="315"/>
      <c r="KW121" s="315"/>
      <c r="KX121" s="315"/>
      <c r="KY121" s="315"/>
      <c r="KZ121" s="315"/>
      <c r="LA121" s="315"/>
      <c r="LB121" s="315"/>
      <c r="LC121" s="315"/>
      <c r="LD121" s="315"/>
      <c r="LE121" s="315"/>
      <c r="LF121" s="315"/>
      <c r="LG121" s="315"/>
      <c r="LH121" s="315"/>
      <c r="LI121" s="315"/>
      <c r="LJ121" s="315"/>
      <c r="LK121" s="316"/>
      <c r="LL121" s="323"/>
      <c r="LM121" s="324"/>
      <c r="LN121" s="324"/>
      <c r="LO121" s="324"/>
      <c r="LP121" s="325"/>
      <c r="LY121" s="12"/>
      <c r="LZ121" s="7"/>
      <c r="MA121" s="3"/>
      <c r="MB121" s="3"/>
      <c r="MC121" s="3"/>
      <c r="MD121" s="3"/>
      <c r="ME121" s="2"/>
      <c r="MS121" s="3"/>
      <c r="MT121" s="3"/>
      <c r="MU121" s="3"/>
      <c r="MV121" s="3"/>
      <c r="MW121" s="3"/>
      <c r="MX121" s="2"/>
    </row>
    <row r="122" spans="3:362" ht="5.0999999999999996" customHeight="1" x14ac:dyDescent="0.3">
      <c r="C122" s="11"/>
      <c r="D122" s="13"/>
      <c r="Q122" s="209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1"/>
      <c r="BF122" s="209"/>
      <c r="BG122" s="210"/>
      <c r="BH122" s="210"/>
      <c r="BI122" s="210"/>
      <c r="BJ122" s="211"/>
      <c r="DQ122" s="265"/>
      <c r="DR122" s="265"/>
      <c r="DS122" s="265"/>
      <c r="DT122" s="265"/>
      <c r="DU122" s="265"/>
      <c r="DV122" s="265"/>
      <c r="DW122" s="265"/>
      <c r="DX122" s="265"/>
      <c r="DY122" s="265"/>
      <c r="DZ122" s="265"/>
      <c r="EA122" s="265"/>
      <c r="EB122" s="265"/>
      <c r="EC122" s="265"/>
      <c r="ED122" s="265"/>
      <c r="EE122" s="265"/>
      <c r="EF122" s="265"/>
      <c r="EG122" s="265"/>
      <c r="EH122" s="265"/>
      <c r="EI122" s="265"/>
      <c r="EJ122" s="265"/>
      <c r="EK122" s="265"/>
      <c r="EL122" s="265"/>
      <c r="EM122" s="265"/>
      <c r="EN122" s="265"/>
      <c r="EO122" s="265"/>
      <c r="EP122" s="265"/>
      <c r="EQ122" s="265"/>
      <c r="ER122" s="265"/>
      <c r="ES122" s="265"/>
      <c r="ET122" s="265"/>
      <c r="EU122" s="265"/>
      <c r="EV122" s="265"/>
      <c r="EW122" s="265"/>
      <c r="EX122" s="265"/>
      <c r="EY122" s="265"/>
      <c r="EZ122" s="265"/>
      <c r="FA122" s="265"/>
      <c r="FB122" s="265"/>
      <c r="FC122" s="265"/>
      <c r="FD122" s="305"/>
      <c r="FE122" s="306"/>
      <c r="FF122" s="306"/>
      <c r="FG122" s="306"/>
      <c r="FH122" s="307"/>
      <c r="HN122" s="14"/>
      <c r="HP122" s="198"/>
      <c r="HQ122" s="199"/>
      <c r="HR122" s="199"/>
      <c r="HS122" s="199"/>
      <c r="HT122" s="199"/>
      <c r="HU122" s="199"/>
      <c r="HV122" s="199"/>
      <c r="HW122" s="199"/>
      <c r="HX122" s="199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  <c r="IW122" s="199"/>
      <c r="IX122" s="199"/>
      <c r="IY122" s="199"/>
      <c r="IZ122" s="199"/>
      <c r="JA122" s="199"/>
      <c r="JB122" s="199"/>
      <c r="JC122" s="199"/>
      <c r="JD122" s="204"/>
      <c r="JE122" s="204"/>
      <c r="JF122" s="204"/>
      <c r="JG122" s="204"/>
      <c r="JH122" s="204"/>
      <c r="JI122" s="204"/>
      <c r="JP122" s="155"/>
      <c r="JT122" s="22"/>
      <c r="JU122" s="21"/>
      <c r="JV122" s="21"/>
      <c r="JW122" s="314"/>
      <c r="JX122" s="315"/>
      <c r="JY122" s="315"/>
      <c r="JZ122" s="315"/>
      <c r="KA122" s="315"/>
      <c r="KB122" s="315"/>
      <c r="KC122" s="315"/>
      <c r="KD122" s="315"/>
      <c r="KE122" s="315"/>
      <c r="KF122" s="315"/>
      <c r="KG122" s="315"/>
      <c r="KH122" s="315"/>
      <c r="KI122" s="315"/>
      <c r="KJ122" s="315"/>
      <c r="KK122" s="315"/>
      <c r="KL122" s="315"/>
      <c r="KM122" s="315"/>
      <c r="KN122" s="315"/>
      <c r="KO122" s="315"/>
      <c r="KP122" s="315"/>
      <c r="KQ122" s="315"/>
      <c r="KR122" s="315"/>
      <c r="KS122" s="315"/>
      <c r="KT122" s="315"/>
      <c r="KU122" s="315"/>
      <c r="KV122" s="315"/>
      <c r="KW122" s="315"/>
      <c r="KX122" s="315"/>
      <c r="KY122" s="315"/>
      <c r="KZ122" s="315"/>
      <c r="LA122" s="315"/>
      <c r="LB122" s="315"/>
      <c r="LC122" s="315"/>
      <c r="LD122" s="315"/>
      <c r="LE122" s="315"/>
      <c r="LF122" s="315"/>
      <c r="LG122" s="315"/>
      <c r="LH122" s="315"/>
      <c r="LI122" s="315"/>
      <c r="LJ122" s="315"/>
      <c r="LK122" s="316"/>
      <c r="LL122" s="323"/>
      <c r="LM122" s="324"/>
      <c r="LN122" s="324"/>
      <c r="LO122" s="324"/>
      <c r="LP122" s="325"/>
      <c r="LY122" s="12"/>
      <c r="LZ122" s="7"/>
      <c r="MA122" s="3"/>
      <c r="MB122" s="3"/>
      <c r="MC122" s="3"/>
      <c r="MD122" s="3"/>
      <c r="ME122" s="2"/>
      <c r="MS122" s="3"/>
      <c r="MT122" s="3"/>
      <c r="MU122" s="3"/>
      <c r="MV122" s="3"/>
      <c r="MW122" s="3"/>
      <c r="MX122" s="2"/>
    </row>
    <row r="123" spans="3:362" ht="5.0999999999999996" customHeight="1" x14ac:dyDescent="0.3">
      <c r="C123" s="11"/>
      <c r="D123" s="13"/>
      <c r="Q123" s="209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  <c r="AW123" s="210"/>
      <c r="AX123" s="210"/>
      <c r="AY123" s="210"/>
      <c r="AZ123" s="210"/>
      <c r="BA123" s="210"/>
      <c r="BB123" s="210"/>
      <c r="BC123" s="210"/>
      <c r="BD123" s="210"/>
      <c r="BE123" s="211"/>
      <c r="BF123" s="209"/>
      <c r="BG123" s="210"/>
      <c r="BH123" s="210"/>
      <c r="BI123" s="210"/>
      <c r="BJ123" s="211"/>
      <c r="DQ123" s="265"/>
      <c r="DR123" s="265"/>
      <c r="DS123" s="265"/>
      <c r="DT123" s="265"/>
      <c r="DU123" s="265"/>
      <c r="DV123" s="265"/>
      <c r="DW123" s="265"/>
      <c r="DX123" s="265"/>
      <c r="DY123" s="265"/>
      <c r="DZ123" s="265"/>
      <c r="EA123" s="265"/>
      <c r="EB123" s="265"/>
      <c r="EC123" s="265"/>
      <c r="ED123" s="265"/>
      <c r="EE123" s="265"/>
      <c r="EF123" s="265"/>
      <c r="EG123" s="265"/>
      <c r="EH123" s="265"/>
      <c r="EI123" s="265"/>
      <c r="EJ123" s="265"/>
      <c r="EK123" s="265"/>
      <c r="EL123" s="265"/>
      <c r="EM123" s="265"/>
      <c r="EN123" s="265"/>
      <c r="EO123" s="265"/>
      <c r="EP123" s="265"/>
      <c r="EQ123" s="265"/>
      <c r="ER123" s="265"/>
      <c r="ES123" s="265"/>
      <c r="ET123" s="265"/>
      <c r="EU123" s="265"/>
      <c r="EV123" s="265"/>
      <c r="EW123" s="265"/>
      <c r="EX123" s="265"/>
      <c r="EY123" s="265"/>
      <c r="EZ123" s="265"/>
      <c r="FA123" s="265"/>
      <c r="FB123" s="265"/>
      <c r="FC123" s="265"/>
      <c r="FD123" s="305"/>
      <c r="FE123" s="306"/>
      <c r="FF123" s="306"/>
      <c r="FG123" s="306"/>
      <c r="FH123" s="307"/>
      <c r="HN123" s="14"/>
      <c r="HP123" s="198"/>
      <c r="HQ123" s="199"/>
      <c r="HR123" s="199"/>
      <c r="HS123" s="199"/>
      <c r="HT123" s="199"/>
      <c r="HU123" s="199"/>
      <c r="HV123" s="199"/>
      <c r="HW123" s="199"/>
      <c r="HX123" s="199"/>
      <c r="HY123" s="199"/>
      <c r="HZ123" s="199"/>
      <c r="IA123" s="199"/>
      <c r="IB123" s="199"/>
      <c r="IC123" s="199"/>
      <c r="ID123" s="199"/>
      <c r="IE123" s="199"/>
      <c r="IF123" s="199"/>
      <c r="IG123" s="199"/>
      <c r="IH123" s="199"/>
      <c r="II123" s="199"/>
      <c r="IJ123" s="199"/>
      <c r="IK123" s="199"/>
      <c r="IL123" s="199"/>
      <c r="IM123" s="199"/>
      <c r="IN123" s="199"/>
      <c r="IO123" s="199"/>
      <c r="IP123" s="199"/>
      <c r="IQ123" s="199"/>
      <c r="IR123" s="199"/>
      <c r="IS123" s="199"/>
      <c r="IT123" s="199"/>
      <c r="IU123" s="199"/>
      <c r="IV123" s="199"/>
      <c r="IW123" s="199"/>
      <c r="IX123" s="199"/>
      <c r="IY123" s="199"/>
      <c r="IZ123" s="199"/>
      <c r="JA123" s="199"/>
      <c r="JB123" s="199"/>
      <c r="JC123" s="199"/>
      <c r="JD123" s="204"/>
      <c r="JE123" s="204"/>
      <c r="JF123" s="204"/>
      <c r="JG123" s="204"/>
      <c r="JH123" s="204"/>
      <c r="JI123" s="204"/>
      <c r="JP123" s="155"/>
      <c r="JT123" s="16"/>
      <c r="JW123" s="314"/>
      <c r="JX123" s="315"/>
      <c r="JY123" s="315"/>
      <c r="JZ123" s="315"/>
      <c r="KA123" s="315"/>
      <c r="KB123" s="315"/>
      <c r="KC123" s="315"/>
      <c r="KD123" s="315"/>
      <c r="KE123" s="315"/>
      <c r="KF123" s="315"/>
      <c r="KG123" s="315"/>
      <c r="KH123" s="315"/>
      <c r="KI123" s="315"/>
      <c r="KJ123" s="315"/>
      <c r="KK123" s="315"/>
      <c r="KL123" s="315"/>
      <c r="KM123" s="315"/>
      <c r="KN123" s="315"/>
      <c r="KO123" s="315"/>
      <c r="KP123" s="315"/>
      <c r="KQ123" s="315"/>
      <c r="KR123" s="315"/>
      <c r="KS123" s="315"/>
      <c r="KT123" s="315"/>
      <c r="KU123" s="315"/>
      <c r="KV123" s="315"/>
      <c r="KW123" s="315"/>
      <c r="KX123" s="315"/>
      <c r="KY123" s="315"/>
      <c r="KZ123" s="315"/>
      <c r="LA123" s="315"/>
      <c r="LB123" s="315"/>
      <c r="LC123" s="315"/>
      <c r="LD123" s="315"/>
      <c r="LE123" s="315"/>
      <c r="LF123" s="315"/>
      <c r="LG123" s="315"/>
      <c r="LH123" s="315"/>
      <c r="LI123" s="315"/>
      <c r="LJ123" s="315"/>
      <c r="LK123" s="316"/>
      <c r="LL123" s="323"/>
      <c r="LM123" s="324"/>
      <c r="LN123" s="324"/>
      <c r="LO123" s="324"/>
      <c r="LP123" s="325"/>
      <c r="LY123" s="12"/>
      <c r="LZ123" s="7"/>
      <c r="MA123" s="3"/>
      <c r="MB123" s="3"/>
      <c r="MC123" s="3"/>
      <c r="MD123" s="3"/>
      <c r="ME123" s="2"/>
      <c r="MS123" s="3"/>
      <c r="MT123" s="3"/>
      <c r="MU123" s="3"/>
      <c r="MV123" s="3"/>
      <c r="MW123" s="3"/>
      <c r="MX123" s="2"/>
    </row>
    <row r="124" spans="3:362" ht="5.0999999999999996" customHeight="1" x14ac:dyDescent="0.3">
      <c r="C124" s="11"/>
      <c r="D124" s="13"/>
      <c r="Q124" s="209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  <c r="BD124" s="210"/>
      <c r="BE124" s="211"/>
      <c r="BF124" s="209"/>
      <c r="BG124" s="210"/>
      <c r="BH124" s="210"/>
      <c r="BI124" s="210"/>
      <c r="BJ124" s="211"/>
      <c r="DQ124" s="265"/>
      <c r="DR124" s="265"/>
      <c r="DS124" s="265"/>
      <c r="DT124" s="265"/>
      <c r="DU124" s="265"/>
      <c r="DV124" s="265"/>
      <c r="DW124" s="265"/>
      <c r="DX124" s="265"/>
      <c r="DY124" s="265"/>
      <c r="DZ124" s="265"/>
      <c r="EA124" s="265"/>
      <c r="EB124" s="265"/>
      <c r="EC124" s="265"/>
      <c r="ED124" s="265"/>
      <c r="EE124" s="265"/>
      <c r="EF124" s="265"/>
      <c r="EG124" s="265"/>
      <c r="EH124" s="265"/>
      <c r="EI124" s="265"/>
      <c r="EJ124" s="265"/>
      <c r="EK124" s="265"/>
      <c r="EL124" s="265"/>
      <c r="EM124" s="265"/>
      <c r="EN124" s="265"/>
      <c r="EO124" s="265"/>
      <c r="EP124" s="265"/>
      <c r="EQ124" s="265"/>
      <c r="ER124" s="265"/>
      <c r="ES124" s="265"/>
      <c r="ET124" s="265"/>
      <c r="EU124" s="265"/>
      <c r="EV124" s="265"/>
      <c r="EW124" s="265"/>
      <c r="EX124" s="265"/>
      <c r="EY124" s="265"/>
      <c r="EZ124" s="265"/>
      <c r="FA124" s="265"/>
      <c r="FB124" s="265"/>
      <c r="FC124" s="265"/>
      <c r="FD124" s="305"/>
      <c r="FE124" s="306"/>
      <c r="FF124" s="306"/>
      <c r="FG124" s="306"/>
      <c r="FH124" s="307"/>
      <c r="HP124" s="198"/>
      <c r="HQ124" s="199"/>
      <c r="HR124" s="199"/>
      <c r="HS124" s="199"/>
      <c r="HT124" s="199"/>
      <c r="HU124" s="199"/>
      <c r="HV124" s="199"/>
      <c r="HW124" s="199"/>
      <c r="HX124" s="199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  <c r="IW124" s="199"/>
      <c r="IX124" s="199"/>
      <c r="IY124" s="199"/>
      <c r="IZ124" s="199"/>
      <c r="JA124" s="199"/>
      <c r="JB124" s="199"/>
      <c r="JC124" s="199"/>
      <c r="JD124" s="204"/>
      <c r="JE124" s="204"/>
      <c r="JF124" s="204"/>
      <c r="JG124" s="204"/>
      <c r="JH124" s="204"/>
      <c r="JI124" s="204"/>
      <c r="JP124" s="155"/>
      <c r="JT124" s="16"/>
      <c r="JW124" s="314"/>
      <c r="JX124" s="315"/>
      <c r="JY124" s="315"/>
      <c r="JZ124" s="315"/>
      <c r="KA124" s="315"/>
      <c r="KB124" s="315"/>
      <c r="KC124" s="315"/>
      <c r="KD124" s="315"/>
      <c r="KE124" s="315"/>
      <c r="KF124" s="315"/>
      <c r="KG124" s="315"/>
      <c r="KH124" s="315"/>
      <c r="KI124" s="315"/>
      <c r="KJ124" s="315"/>
      <c r="KK124" s="315"/>
      <c r="KL124" s="315"/>
      <c r="KM124" s="315"/>
      <c r="KN124" s="315"/>
      <c r="KO124" s="315"/>
      <c r="KP124" s="315"/>
      <c r="KQ124" s="315"/>
      <c r="KR124" s="315"/>
      <c r="KS124" s="315"/>
      <c r="KT124" s="315"/>
      <c r="KU124" s="315"/>
      <c r="KV124" s="315"/>
      <c r="KW124" s="315"/>
      <c r="KX124" s="315"/>
      <c r="KY124" s="315"/>
      <c r="KZ124" s="315"/>
      <c r="LA124" s="315"/>
      <c r="LB124" s="315"/>
      <c r="LC124" s="315"/>
      <c r="LD124" s="315"/>
      <c r="LE124" s="315"/>
      <c r="LF124" s="315"/>
      <c r="LG124" s="315"/>
      <c r="LH124" s="315"/>
      <c r="LI124" s="315"/>
      <c r="LJ124" s="315"/>
      <c r="LK124" s="316"/>
      <c r="LL124" s="323"/>
      <c r="LM124" s="324"/>
      <c r="LN124" s="324"/>
      <c r="LO124" s="324"/>
      <c r="LP124" s="325"/>
      <c r="LY124" s="12"/>
      <c r="LZ124" s="7"/>
      <c r="MA124" s="3"/>
      <c r="MB124" s="3"/>
      <c r="MC124" s="3"/>
      <c r="MD124" s="3"/>
      <c r="ME124" s="2"/>
      <c r="MS124" s="3"/>
      <c r="MT124" s="3"/>
      <c r="MU124" s="3"/>
      <c r="MV124" s="3"/>
      <c r="MW124" s="3"/>
      <c r="MX124" s="2"/>
    </row>
    <row r="125" spans="3:362" ht="5.0999999999999996" customHeight="1" x14ac:dyDescent="0.3">
      <c r="C125" s="11"/>
      <c r="D125" s="13"/>
      <c r="Q125" s="209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  <c r="BD125" s="210"/>
      <c r="BE125" s="211"/>
      <c r="BF125" s="209"/>
      <c r="BG125" s="210"/>
      <c r="BH125" s="210"/>
      <c r="BI125" s="210"/>
      <c r="BJ125" s="211"/>
      <c r="DQ125" s="265"/>
      <c r="DR125" s="265"/>
      <c r="DS125" s="265"/>
      <c r="DT125" s="265"/>
      <c r="DU125" s="265"/>
      <c r="DV125" s="265"/>
      <c r="DW125" s="265"/>
      <c r="DX125" s="265"/>
      <c r="DY125" s="265"/>
      <c r="DZ125" s="265"/>
      <c r="EA125" s="265"/>
      <c r="EB125" s="265"/>
      <c r="EC125" s="265"/>
      <c r="ED125" s="265"/>
      <c r="EE125" s="265"/>
      <c r="EF125" s="265"/>
      <c r="EG125" s="265"/>
      <c r="EH125" s="265"/>
      <c r="EI125" s="265"/>
      <c r="EJ125" s="265"/>
      <c r="EK125" s="265"/>
      <c r="EL125" s="265"/>
      <c r="EM125" s="265"/>
      <c r="EN125" s="265"/>
      <c r="EO125" s="265"/>
      <c r="EP125" s="265"/>
      <c r="EQ125" s="265"/>
      <c r="ER125" s="265"/>
      <c r="ES125" s="265"/>
      <c r="ET125" s="265"/>
      <c r="EU125" s="265"/>
      <c r="EV125" s="265"/>
      <c r="EW125" s="265"/>
      <c r="EX125" s="265"/>
      <c r="EY125" s="265"/>
      <c r="EZ125" s="265"/>
      <c r="FA125" s="265"/>
      <c r="FB125" s="265"/>
      <c r="FC125" s="265"/>
      <c r="FD125" s="305"/>
      <c r="FE125" s="306"/>
      <c r="FF125" s="306"/>
      <c r="FG125" s="306"/>
      <c r="FH125" s="307"/>
      <c r="HP125" s="198"/>
      <c r="HQ125" s="199"/>
      <c r="HR125" s="199"/>
      <c r="HS125" s="199"/>
      <c r="HT125" s="199"/>
      <c r="HU125" s="199"/>
      <c r="HV125" s="199"/>
      <c r="HW125" s="199"/>
      <c r="HX125" s="199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  <c r="IW125" s="199"/>
      <c r="IX125" s="199"/>
      <c r="IY125" s="199"/>
      <c r="IZ125" s="199"/>
      <c r="JA125" s="199"/>
      <c r="JB125" s="199"/>
      <c r="JC125" s="199"/>
      <c r="JD125" s="204"/>
      <c r="JE125" s="204"/>
      <c r="JF125" s="204"/>
      <c r="JG125" s="204"/>
      <c r="JH125" s="204"/>
      <c r="JI125" s="204"/>
      <c r="JP125" s="155"/>
      <c r="JT125" s="16"/>
      <c r="JW125" s="314"/>
      <c r="JX125" s="315"/>
      <c r="JY125" s="315"/>
      <c r="JZ125" s="315"/>
      <c r="KA125" s="315"/>
      <c r="KB125" s="315"/>
      <c r="KC125" s="315"/>
      <c r="KD125" s="315"/>
      <c r="KE125" s="315"/>
      <c r="KF125" s="315"/>
      <c r="KG125" s="315"/>
      <c r="KH125" s="315"/>
      <c r="KI125" s="315"/>
      <c r="KJ125" s="315"/>
      <c r="KK125" s="315"/>
      <c r="KL125" s="315"/>
      <c r="KM125" s="315"/>
      <c r="KN125" s="315"/>
      <c r="KO125" s="315"/>
      <c r="KP125" s="315"/>
      <c r="KQ125" s="315"/>
      <c r="KR125" s="315"/>
      <c r="KS125" s="315"/>
      <c r="KT125" s="315"/>
      <c r="KU125" s="315"/>
      <c r="KV125" s="315"/>
      <c r="KW125" s="315"/>
      <c r="KX125" s="315"/>
      <c r="KY125" s="315"/>
      <c r="KZ125" s="315"/>
      <c r="LA125" s="315"/>
      <c r="LB125" s="315"/>
      <c r="LC125" s="315"/>
      <c r="LD125" s="315"/>
      <c r="LE125" s="315"/>
      <c r="LF125" s="315"/>
      <c r="LG125" s="315"/>
      <c r="LH125" s="315"/>
      <c r="LI125" s="315"/>
      <c r="LJ125" s="315"/>
      <c r="LK125" s="316"/>
      <c r="LL125" s="323"/>
      <c r="LM125" s="324"/>
      <c r="LN125" s="324"/>
      <c r="LO125" s="324"/>
      <c r="LP125" s="325"/>
      <c r="LY125" s="12"/>
      <c r="LZ125" s="7"/>
      <c r="MA125" s="3"/>
      <c r="MB125" s="3"/>
      <c r="MC125" s="3"/>
      <c r="MD125" s="3"/>
      <c r="ME125" s="2"/>
      <c r="MS125" s="3"/>
      <c r="MT125" s="3"/>
      <c r="MU125" s="3"/>
      <c r="MV125" s="3"/>
      <c r="MW125" s="3"/>
      <c r="MX125" s="2"/>
    </row>
    <row r="126" spans="3:362" ht="5.0999999999999996" customHeight="1" thickBot="1" x14ac:dyDescent="0.35">
      <c r="C126" s="11"/>
      <c r="D126" s="13"/>
      <c r="Q126" s="212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4"/>
      <c r="BF126" s="212"/>
      <c r="BG126" s="213"/>
      <c r="BH126" s="213"/>
      <c r="BI126" s="213"/>
      <c r="BJ126" s="214"/>
      <c r="DQ126" s="265"/>
      <c r="DR126" s="265"/>
      <c r="DS126" s="265"/>
      <c r="DT126" s="265"/>
      <c r="DU126" s="265"/>
      <c r="DV126" s="265"/>
      <c r="DW126" s="265"/>
      <c r="DX126" s="265"/>
      <c r="DY126" s="265"/>
      <c r="DZ126" s="265"/>
      <c r="EA126" s="265"/>
      <c r="EB126" s="265"/>
      <c r="EC126" s="265"/>
      <c r="ED126" s="265"/>
      <c r="EE126" s="265"/>
      <c r="EF126" s="265"/>
      <c r="EG126" s="265"/>
      <c r="EH126" s="265"/>
      <c r="EI126" s="265"/>
      <c r="EJ126" s="265"/>
      <c r="EK126" s="265"/>
      <c r="EL126" s="265"/>
      <c r="EM126" s="265"/>
      <c r="EN126" s="265"/>
      <c r="EO126" s="265"/>
      <c r="EP126" s="265"/>
      <c r="EQ126" s="265"/>
      <c r="ER126" s="265"/>
      <c r="ES126" s="265"/>
      <c r="ET126" s="265"/>
      <c r="EU126" s="265"/>
      <c r="EV126" s="265"/>
      <c r="EW126" s="265"/>
      <c r="EX126" s="265"/>
      <c r="EY126" s="265"/>
      <c r="EZ126" s="265"/>
      <c r="FA126" s="265"/>
      <c r="FB126" s="265"/>
      <c r="FC126" s="265"/>
      <c r="FD126" s="308"/>
      <c r="FE126" s="309"/>
      <c r="FF126" s="309"/>
      <c r="FG126" s="309"/>
      <c r="FH126" s="310"/>
      <c r="HP126" s="201"/>
      <c r="HQ126" s="202"/>
      <c r="HR126" s="202"/>
      <c r="HS126" s="202"/>
      <c r="HT126" s="202"/>
      <c r="HU126" s="202"/>
      <c r="HV126" s="202"/>
      <c r="HW126" s="202"/>
      <c r="HX126" s="202"/>
      <c r="HY126" s="202"/>
      <c r="HZ126" s="202"/>
      <c r="IA126" s="202"/>
      <c r="IB126" s="202"/>
      <c r="IC126" s="202"/>
      <c r="ID126" s="202"/>
      <c r="IE126" s="202"/>
      <c r="IF126" s="202"/>
      <c r="IG126" s="202"/>
      <c r="IH126" s="202"/>
      <c r="II126" s="202"/>
      <c r="IJ126" s="202"/>
      <c r="IK126" s="202"/>
      <c r="IL126" s="202"/>
      <c r="IM126" s="202"/>
      <c r="IN126" s="202"/>
      <c r="IO126" s="202"/>
      <c r="IP126" s="202"/>
      <c r="IQ126" s="202"/>
      <c r="IR126" s="202"/>
      <c r="IS126" s="202"/>
      <c r="IT126" s="202"/>
      <c r="IU126" s="202"/>
      <c r="IV126" s="202"/>
      <c r="IW126" s="202"/>
      <c r="IX126" s="202"/>
      <c r="IY126" s="202"/>
      <c r="IZ126" s="202"/>
      <c r="JA126" s="202"/>
      <c r="JB126" s="202"/>
      <c r="JC126" s="202"/>
      <c r="JD126" s="204"/>
      <c r="JE126" s="204"/>
      <c r="JF126" s="204"/>
      <c r="JG126" s="204"/>
      <c r="JH126" s="204"/>
      <c r="JI126" s="204"/>
      <c r="JP126" s="155"/>
      <c r="JT126" s="16"/>
      <c r="JW126" s="317"/>
      <c r="JX126" s="318"/>
      <c r="JY126" s="318"/>
      <c r="JZ126" s="318"/>
      <c r="KA126" s="318"/>
      <c r="KB126" s="318"/>
      <c r="KC126" s="318"/>
      <c r="KD126" s="318"/>
      <c r="KE126" s="318"/>
      <c r="KF126" s="318"/>
      <c r="KG126" s="318"/>
      <c r="KH126" s="318"/>
      <c r="KI126" s="318"/>
      <c r="KJ126" s="318"/>
      <c r="KK126" s="318"/>
      <c r="KL126" s="318"/>
      <c r="KM126" s="318"/>
      <c r="KN126" s="318"/>
      <c r="KO126" s="318"/>
      <c r="KP126" s="318"/>
      <c r="KQ126" s="318"/>
      <c r="KR126" s="318"/>
      <c r="KS126" s="318"/>
      <c r="KT126" s="318"/>
      <c r="KU126" s="318"/>
      <c r="KV126" s="318"/>
      <c r="KW126" s="318"/>
      <c r="KX126" s="318"/>
      <c r="KY126" s="318"/>
      <c r="KZ126" s="318"/>
      <c r="LA126" s="318"/>
      <c r="LB126" s="318"/>
      <c r="LC126" s="318"/>
      <c r="LD126" s="318"/>
      <c r="LE126" s="318"/>
      <c r="LF126" s="318"/>
      <c r="LG126" s="318"/>
      <c r="LH126" s="318"/>
      <c r="LI126" s="318"/>
      <c r="LJ126" s="318"/>
      <c r="LK126" s="319"/>
      <c r="LL126" s="326"/>
      <c r="LM126" s="327"/>
      <c r="LN126" s="327"/>
      <c r="LO126" s="327"/>
      <c r="LP126" s="328"/>
      <c r="LY126" s="12"/>
      <c r="LZ126" s="7"/>
      <c r="MA126" s="3"/>
      <c r="MB126" s="3"/>
      <c r="MC126" s="3"/>
      <c r="MD126" s="3"/>
      <c r="ME126" s="2"/>
      <c r="MS126" s="3"/>
      <c r="MT126" s="3"/>
      <c r="MU126" s="3"/>
      <c r="MV126" s="3"/>
      <c r="MW126" s="3"/>
      <c r="MX126" s="2"/>
    </row>
    <row r="127" spans="3:362" ht="5.0999999999999996" customHeight="1" x14ac:dyDescent="0.3">
      <c r="C127" s="11"/>
      <c r="D127" s="13"/>
      <c r="AN127" s="25"/>
      <c r="EN127" s="16"/>
      <c r="HP127" s="184" t="s">
        <v>10</v>
      </c>
      <c r="HQ127" s="185"/>
      <c r="HR127" s="185"/>
      <c r="HS127" s="185"/>
      <c r="HT127" s="185"/>
      <c r="HU127" s="185"/>
      <c r="HV127" s="185"/>
      <c r="HW127" s="185"/>
      <c r="HX127" s="185"/>
      <c r="HY127" s="185"/>
      <c r="HZ127" s="185"/>
      <c r="IA127" s="185"/>
      <c r="IB127" s="185"/>
      <c r="IC127" s="185"/>
      <c r="ID127" s="185"/>
      <c r="IE127" s="185"/>
      <c r="IF127" s="185"/>
      <c r="IG127" s="185"/>
      <c r="IH127" s="185"/>
      <c r="II127" s="185"/>
      <c r="IJ127" s="185"/>
      <c r="IK127" s="185"/>
      <c r="IL127" s="185"/>
      <c r="IM127" s="185"/>
      <c r="IN127" s="185"/>
      <c r="IO127" s="185"/>
      <c r="IP127" s="185"/>
      <c r="IQ127" s="185"/>
      <c r="IR127" s="185"/>
      <c r="IS127" s="185"/>
      <c r="IT127" s="185"/>
      <c r="IU127" s="185"/>
      <c r="IV127" s="185"/>
      <c r="IW127" s="185"/>
      <c r="IX127" s="185"/>
      <c r="IY127" s="185"/>
      <c r="IZ127" s="185"/>
      <c r="JA127" s="185"/>
      <c r="JB127" s="185"/>
      <c r="JC127" s="185"/>
      <c r="JD127" s="187">
        <v>10</v>
      </c>
      <c r="JE127" s="188"/>
      <c r="JF127" s="188"/>
      <c r="JG127" s="188"/>
      <c r="JH127" s="188"/>
      <c r="JI127" s="189"/>
      <c r="JJ127" s="52"/>
      <c r="JP127" s="155"/>
      <c r="JT127" s="16"/>
      <c r="LY127" s="12"/>
      <c r="LZ127" s="7"/>
      <c r="MA127" s="3"/>
      <c r="MB127" s="3"/>
      <c r="MC127" s="3"/>
      <c r="MD127" s="3"/>
      <c r="ME127" s="2"/>
      <c r="MS127" s="3"/>
      <c r="MT127" s="3"/>
      <c r="MU127" s="3"/>
      <c r="MV127" s="3"/>
      <c r="MW127" s="3"/>
      <c r="MX127" s="2"/>
    </row>
    <row r="128" spans="3:362" ht="5.0999999999999996" customHeight="1" x14ac:dyDescent="0.3">
      <c r="C128" s="11"/>
      <c r="D128" s="13"/>
      <c r="AN128" s="24"/>
      <c r="EN128" s="16"/>
      <c r="HP128" s="187"/>
      <c r="HQ128" s="188"/>
      <c r="HR128" s="188"/>
      <c r="HS128" s="188"/>
      <c r="HT128" s="188"/>
      <c r="HU128" s="188"/>
      <c r="HV128" s="188"/>
      <c r="HW128" s="188"/>
      <c r="HX128" s="188"/>
      <c r="HY128" s="188"/>
      <c r="HZ128" s="188"/>
      <c r="IA128" s="188"/>
      <c r="IB128" s="188"/>
      <c r="IC128" s="188"/>
      <c r="ID128" s="188"/>
      <c r="IE128" s="188"/>
      <c r="IF128" s="188"/>
      <c r="IG128" s="188"/>
      <c r="IH128" s="188"/>
      <c r="II128" s="188"/>
      <c r="IJ128" s="188"/>
      <c r="IK128" s="188"/>
      <c r="IL128" s="188"/>
      <c r="IM128" s="188"/>
      <c r="IN128" s="188"/>
      <c r="IO128" s="188"/>
      <c r="IP128" s="188"/>
      <c r="IQ128" s="188"/>
      <c r="IR128" s="188"/>
      <c r="IS128" s="188"/>
      <c r="IT128" s="188"/>
      <c r="IU128" s="188"/>
      <c r="IV128" s="188"/>
      <c r="IW128" s="188"/>
      <c r="IX128" s="188"/>
      <c r="IY128" s="188"/>
      <c r="IZ128" s="188"/>
      <c r="JA128" s="188"/>
      <c r="JB128" s="188"/>
      <c r="JC128" s="188"/>
      <c r="JD128" s="187"/>
      <c r="JE128" s="188"/>
      <c r="JF128" s="188"/>
      <c r="JG128" s="188"/>
      <c r="JH128" s="188"/>
      <c r="JI128" s="189"/>
      <c r="JJ128" s="53"/>
      <c r="JP128" s="155"/>
      <c r="JT128" s="16"/>
      <c r="JW128" s="184" t="s">
        <v>57</v>
      </c>
      <c r="JX128" s="185"/>
      <c r="JY128" s="185"/>
      <c r="JZ128" s="185"/>
      <c r="KA128" s="185"/>
      <c r="KB128" s="185"/>
      <c r="KC128" s="185"/>
      <c r="KD128" s="185"/>
      <c r="KE128" s="185"/>
      <c r="KF128" s="185"/>
      <c r="KG128" s="185"/>
      <c r="KH128" s="185"/>
      <c r="KI128" s="185"/>
      <c r="KJ128" s="185"/>
      <c r="KK128" s="185"/>
      <c r="KL128" s="185"/>
      <c r="KM128" s="185"/>
      <c r="KN128" s="185"/>
      <c r="KO128" s="185"/>
      <c r="KP128" s="185"/>
      <c r="KQ128" s="185"/>
      <c r="KR128" s="185"/>
      <c r="KS128" s="185"/>
      <c r="KT128" s="185"/>
      <c r="KU128" s="185"/>
      <c r="KV128" s="185"/>
      <c r="KW128" s="185"/>
      <c r="KX128" s="185"/>
      <c r="KY128" s="185"/>
      <c r="KZ128" s="185"/>
      <c r="LA128" s="185"/>
      <c r="LB128" s="185"/>
      <c r="LC128" s="185"/>
      <c r="LD128" s="185"/>
      <c r="LE128" s="185"/>
      <c r="LF128" s="185"/>
      <c r="LG128" s="185"/>
      <c r="LH128" s="185"/>
      <c r="LI128" s="185"/>
      <c r="LJ128" s="185"/>
      <c r="LK128" s="186"/>
      <c r="LL128" s="184">
        <v>1</v>
      </c>
      <c r="LM128" s="185"/>
      <c r="LN128" s="185"/>
      <c r="LO128" s="185"/>
      <c r="LP128" s="186"/>
      <c r="LY128" s="12"/>
      <c r="LZ128" s="7"/>
      <c r="MA128" s="3"/>
      <c r="MB128" s="3"/>
      <c r="MC128" s="3"/>
      <c r="MD128" s="3"/>
      <c r="ME128" s="2"/>
      <c r="MS128" s="3"/>
      <c r="MT128" s="3"/>
      <c r="MU128" s="3"/>
      <c r="MV128" s="3"/>
      <c r="MW128" s="3"/>
      <c r="MX128" s="2"/>
    </row>
    <row r="129" spans="3:362" ht="5.0999999999999996" customHeight="1" x14ac:dyDescent="0.3">
      <c r="C129" s="11"/>
      <c r="D129" s="13"/>
      <c r="Q129" s="184" t="s">
        <v>47</v>
      </c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6"/>
      <c r="BF129" s="184">
        <v>1</v>
      </c>
      <c r="BG129" s="185"/>
      <c r="BH129" s="185"/>
      <c r="BI129" s="185"/>
      <c r="BJ129" s="186"/>
      <c r="DQ129" s="215" t="s">
        <v>9</v>
      </c>
      <c r="DR129" s="215"/>
      <c r="DS129" s="215"/>
      <c r="DT129" s="215"/>
      <c r="DU129" s="215"/>
      <c r="DV129" s="215"/>
      <c r="DW129" s="215"/>
      <c r="DX129" s="215"/>
      <c r="DY129" s="215"/>
      <c r="DZ129" s="215"/>
      <c r="EA129" s="215"/>
      <c r="EB129" s="215"/>
      <c r="EC129" s="215"/>
      <c r="ED129" s="215"/>
      <c r="EE129" s="215"/>
      <c r="EF129" s="215"/>
      <c r="EG129" s="215"/>
      <c r="EH129" s="215"/>
      <c r="EI129" s="215"/>
      <c r="EJ129" s="215"/>
      <c r="EK129" s="215"/>
      <c r="EL129" s="215"/>
      <c r="EM129" s="215"/>
      <c r="EN129" s="215"/>
      <c r="EO129" s="215"/>
      <c r="EP129" s="215"/>
      <c r="EQ129" s="215"/>
      <c r="ER129" s="215"/>
      <c r="ES129" s="215"/>
      <c r="ET129" s="215"/>
      <c r="EU129" s="215"/>
      <c r="EV129" s="215"/>
      <c r="EW129" s="215"/>
      <c r="EX129" s="215"/>
      <c r="EY129" s="215"/>
      <c r="EZ129" s="215"/>
      <c r="FA129" s="215"/>
      <c r="FB129" s="215"/>
      <c r="FC129" s="215"/>
      <c r="FD129" s="215">
        <v>1</v>
      </c>
      <c r="FE129" s="215"/>
      <c r="FF129" s="215"/>
      <c r="FG129" s="215"/>
      <c r="FH129" s="215"/>
      <c r="HP129" s="187"/>
      <c r="HQ129" s="188"/>
      <c r="HR129" s="188"/>
      <c r="HS129" s="188"/>
      <c r="HT129" s="188"/>
      <c r="HU129" s="188"/>
      <c r="HV129" s="188"/>
      <c r="HW129" s="188"/>
      <c r="HX129" s="188"/>
      <c r="HY129" s="188"/>
      <c r="HZ129" s="188"/>
      <c r="IA129" s="188"/>
      <c r="IB129" s="188"/>
      <c r="IC129" s="188"/>
      <c r="ID129" s="188"/>
      <c r="IE129" s="188"/>
      <c r="IF129" s="188"/>
      <c r="IG129" s="188"/>
      <c r="IH129" s="188"/>
      <c r="II129" s="188"/>
      <c r="IJ129" s="188"/>
      <c r="IK129" s="188"/>
      <c r="IL129" s="188"/>
      <c r="IM129" s="188"/>
      <c r="IN129" s="188"/>
      <c r="IO129" s="188"/>
      <c r="IP129" s="188"/>
      <c r="IQ129" s="188"/>
      <c r="IR129" s="188"/>
      <c r="IS129" s="188"/>
      <c r="IT129" s="188"/>
      <c r="IU129" s="188"/>
      <c r="IV129" s="188"/>
      <c r="IW129" s="188"/>
      <c r="IX129" s="188"/>
      <c r="IY129" s="188"/>
      <c r="IZ129" s="188"/>
      <c r="JA129" s="188"/>
      <c r="JB129" s="188"/>
      <c r="JC129" s="188"/>
      <c r="JD129" s="187"/>
      <c r="JE129" s="188"/>
      <c r="JF129" s="188"/>
      <c r="JG129" s="188"/>
      <c r="JH129" s="188"/>
      <c r="JI129" s="189"/>
      <c r="JJ129" s="53"/>
      <c r="JP129" s="155"/>
      <c r="JT129" s="16"/>
      <c r="JW129" s="187"/>
      <c r="JX129" s="188"/>
      <c r="JY129" s="188"/>
      <c r="JZ129" s="188"/>
      <c r="KA129" s="188"/>
      <c r="KB129" s="188"/>
      <c r="KC129" s="188"/>
      <c r="KD129" s="188"/>
      <c r="KE129" s="188"/>
      <c r="KF129" s="188"/>
      <c r="KG129" s="188"/>
      <c r="KH129" s="188"/>
      <c r="KI129" s="188"/>
      <c r="KJ129" s="188"/>
      <c r="KK129" s="188"/>
      <c r="KL129" s="188"/>
      <c r="KM129" s="188"/>
      <c r="KN129" s="188"/>
      <c r="KO129" s="188"/>
      <c r="KP129" s="188"/>
      <c r="KQ129" s="188"/>
      <c r="KR129" s="188"/>
      <c r="KS129" s="188"/>
      <c r="KT129" s="188"/>
      <c r="KU129" s="188"/>
      <c r="KV129" s="188"/>
      <c r="KW129" s="188"/>
      <c r="KX129" s="188"/>
      <c r="KY129" s="188"/>
      <c r="KZ129" s="188"/>
      <c r="LA129" s="188"/>
      <c r="LB129" s="188"/>
      <c r="LC129" s="188"/>
      <c r="LD129" s="188"/>
      <c r="LE129" s="188"/>
      <c r="LF129" s="188"/>
      <c r="LG129" s="188"/>
      <c r="LH129" s="188"/>
      <c r="LI129" s="188"/>
      <c r="LJ129" s="188"/>
      <c r="LK129" s="189"/>
      <c r="LL129" s="187"/>
      <c r="LM129" s="188"/>
      <c r="LN129" s="188"/>
      <c r="LO129" s="188"/>
      <c r="LP129" s="189"/>
      <c r="LY129" s="12"/>
      <c r="LZ129" s="7"/>
      <c r="MA129" s="3"/>
      <c r="MB129" s="3"/>
      <c r="MC129" s="3"/>
      <c r="MD129" s="3"/>
      <c r="ME129" s="2"/>
      <c r="MS129" s="3"/>
      <c r="MT129" s="3"/>
      <c r="MU129" s="3"/>
      <c r="MV129" s="3"/>
      <c r="MW129" s="3"/>
      <c r="MX129" s="2"/>
    </row>
    <row r="130" spans="3:362" ht="5.0999999999999996" customHeight="1" x14ac:dyDescent="0.3">
      <c r="C130" s="11"/>
      <c r="D130" s="13"/>
      <c r="Q130" s="187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9"/>
      <c r="BF130" s="187"/>
      <c r="BG130" s="188"/>
      <c r="BH130" s="188"/>
      <c r="BI130" s="188"/>
      <c r="BJ130" s="189"/>
      <c r="DQ130" s="215"/>
      <c r="DR130" s="215"/>
      <c r="DS130" s="215"/>
      <c r="DT130" s="215"/>
      <c r="DU130" s="215"/>
      <c r="DV130" s="215"/>
      <c r="DW130" s="215"/>
      <c r="DX130" s="215"/>
      <c r="DY130" s="215"/>
      <c r="DZ130" s="215"/>
      <c r="EA130" s="215"/>
      <c r="EB130" s="215"/>
      <c r="EC130" s="215"/>
      <c r="ED130" s="215"/>
      <c r="EE130" s="215"/>
      <c r="EF130" s="215"/>
      <c r="EG130" s="215"/>
      <c r="EH130" s="215"/>
      <c r="EI130" s="215"/>
      <c r="EJ130" s="215"/>
      <c r="EK130" s="215"/>
      <c r="EL130" s="215"/>
      <c r="EM130" s="215"/>
      <c r="EN130" s="215"/>
      <c r="EO130" s="215"/>
      <c r="EP130" s="215"/>
      <c r="EQ130" s="215"/>
      <c r="ER130" s="215"/>
      <c r="ES130" s="215"/>
      <c r="ET130" s="215"/>
      <c r="EU130" s="215"/>
      <c r="EV130" s="215"/>
      <c r="EW130" s="215"/>
      <c r="EX130" s="215"/>
      <c r="EY130" s="215"/>
      <c r="EZ130" s="215"/>
      <c r="FA130" s="215"/>
      <c r="FB130" s="215"/>
      <c r="FC130" s="215"/>
      <c r="FD130" s="215"/>
      <c r="FE130" s="215"/>
      <c r="FF130" s="215"/>
      <c r="FG130" s="215"/>
      <c r="FH130" s="215"/>
      <c r="HP130" s="187"/>
      <c r="HQ130" s="188"/>
      <c r="HR130" s="188"/>
      <c r="HS130" s="188"/>
      <c r="HT130" s="188"/>
      <c r="HU130" s="188"/>
      <c r="HV130" s="188"/>
      <c r="HW130" s="188"/>
      <c r="HX130" s="188"/>
      <c r="HY130" s="188"/>
      <c r="HZ130" s="188"/>
      <c r="IA130" s="188"/>
      <c r="IB130" s="188"/>
      <c r="IC130" s="188"/>
      <c r="ID130" s="188"/>
      <c r="IE130" s="188"/>
      <c r="IF130" s="188"/>
      <c r="IG130" s="188"/>
      <c r="IH130" s="188"/>
      <c r="II130" s="188"/>
      <c r="IJ130" s="188"/>
      <c r="IK130" s="188"/>
      <c r="IL130" s="188"/>
      <c r="IM130" s="188"/>
      <c r="IN130" s="188"/>
      <c r="IO130" s="188"/>
      <c r="IP130" s="188"/>
      <c r="IQ130" s="188"/>
      <c r="IR130" s="188"/>
      <c r="IS130" s="188"/>
      <c r="IT130" s="188"/>
      <c r="IU130" s="188"/>
      <c r="IV130" s="188"/>
      <c r="IW130" s="188"/>
      <c r="IX130" s="188"/>
      <c r="IY130" s="188"/>
      <c r="IZ130" s="188"/>
      <c r="JA130" s="188"/>
      <c r="JB130" s="188"/>
      <c r="JC130" s="188"/>
      <c r="JD130" s="187"/>
      <c r="JE130" s="188"/>
      <c r="JF130" s="188"/>
      <c r="JG130" s="188"/>
      <c r="JH130" s="188"/>
      <c r="JI130" s="189"/>
      <c r="JJ130" s="19"/>
      <c r="JP130" s="155"/>
      <c r="JT130" s="16"/>
      <c r="JW130" s="187"/>
      <c r="JX130" s="188"/>
      <c r="JY130" s="188"/>
      <c r="JZ130" s="188"/>
      <c r="KA130" s="188"/>
      <c r="KB130" s="188"/>
      <c r="KC130" s="188"/>
      <c r="KD130" s="188"/>
      <c r="KE130" s="188"/>
      <c r="KF130" s="188"/>
      <c r="KG130" s="188"/>
      <c r="KH130" s="188"/>
      <c r="KI130" s="188"/>
      <c r="KJ130" s="188"/>
      <c r="KK130" s="188"/>
      <c r="KL130" s="188"/>
      <c r="KM130" s="188"/>
      <c r="KN130" s="188"/>
      <c r="KO130" s="188"/>
      <c r="KP130" s="188"/>
      <c r="KQ130" s="188"/>
      <c r="KR130" s="188"/>
      <c r="KS130" s="188"/>
      <c r="KT130" s="188"/>
      <c r="KU130" s="188"/>
      <c r="KV130" s="188"/>
      <c r="KW130" s="188"/>
      <c r="KX130" s="188"/>
      <c r="KY130" s="188"/>
      <c r="KZ130" s="188"/>
      <c r="LA130" s="188"/>
      <c r="LB130" s="188"/>
      <c r="LC130" s="188"/>
      <c r="LD130" s="188"/>
      <c r="LE130" s="188"/>
      <c r="LF130" s="188"/>
      <c r="LG130" s="188"/>
      <c r="LH130" s="188"/>
      <c r="LI130" s="188"/>
      <c r="LJ130" s="188"/>
      <c r="LK130" s="189"/>
      <c r="LL130" s="187"/>
      <c r="LM130" s="188"/>
      <c r="LN130" s="188"/>
      <c r="LO130" s="188"/>
      <c r="LP130" s="189"/>
      <c r="LY130" s="12"/>
      <c r="LZ130" s="7"/>
      <c r="MA130" s="3"/>
      <c r="MB130" s="3"/>
      <c r="MC130" s="3"/>
      <c r="MD130" s="3"/>
      <c r="ME130" s="2"/>
      <c r="MS130" s="3"/>
      <c r="MT130" s="3"/>
      <c r="MU130" s="3"/>
      <c r="MV130" s="3"/>
      <c r="MW130" s="3"/>
      <c r="MX130" s="2"/>
    </row>
    <row r="131" spans="3:362" ht="5.0999999999999996" customHeight="1" x14ac:dyDescent="0.3">
      <c r="C131" s="11"/>
      <c r="D131" s="13"/>
      <c r="Q131" s="187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9"/>
      <c r="BF131" s="187"/>
      <c r="BG131" s="188"/>
      <c r="BH131" s="188"/>
      <c r="BI131" s="188"/>
      <c r="BJ131" s="189"/>
      <c r="DQ131" s="215"/>
      <c r="DR131" s="215"/>
      <c r="DS131" s="215"/>
      <c r="DT131" s="215"/>
      <c r="DU131" s="215"/>
      <c r="DV131" s="215"/>
      <c r="DW131" s="215"/>
      <c r="DX131" s="215"/>
      <c r="DY131" s="215"/>
      <c r="DZ131" s="215"/>
      <c r="EA131" s="215"/>
      <c r="EB131" s="215"/>
      <c r="EC131" s="215"/>
      <c r="ED131" s="215"/>
      <c r="EE131" s="215"/>
      <c r="EF131" s="215"/>
      <c r="EG131" s="215"/>
      <c r="EH131" s="215"/>
      <c r="EI131" s="215"/>
      <c r="EJ131" s="215"/>
      <c r="EK131" s="215"/>
      <c r="EL131" s="215"/>
      <c r="EM131" s="215"/>
      <c r="EN131" s="215"/>
      <c r="EO131" s="215"/>
      <c r="EP131" s="215"/>
      <c r="EQ131" s="215"/>
      <c r="ER131" s="215"/>
      <c r="ES131" s="215"/>
      <c r="ET131" s="215"/>
      <c r="EU131" s="215"/>
      <c r="EV131" s="215"/>
      <c r="EW131" s="215"/>
      <c r="EX131" s="215"/>
      <c r="EY131" s="215"/>
      <c r="EZ131" s="215"/>
      <c r="FA131" s="215"/>
      <c r="FB131" s="215"/>
      <c r="FC131" s="215"/>
      <c r="FD131" s="215"/>
      <c r="FE131" s="215"/>
      <c r="FF131" s="215"/>
      <c r="FG131" s="215"/>
      <c r="FH131" s="215"/>
      <c r="HP131" s="187"/>
      <c r="HQ131" s="188"/>
      <c r="HR131" s="188"/>
      <c r="HS131" s="188"/>
      <c r="HT131" s="188"/>
      <c r="HU131" s="188"/>
      <c r="HV131" s="188"/>
      <c r="HW131" s="188"/>
      <c r="HX131" s="188"/>
      <c r="HY131" s="188"/>
      <c r="HZ131" s="188"/>
      <c r="IA131" s="188"/>
      <c r="IB131" s="188"/>
      <c r="IC131" s="188"/>
      <c r="ID131" s="188"/>
      <c r="IE131" s="188"/>
      <c r="IF131" s="188"/>
      <c r="IG131" s="188"/>
      <c r="IH131" s="188"/>
      <c r="II131" s="188"/>
      <c r="IJ131" s="188"/>
      <c r="IK131" s="188"/>
      <c r="IL131" s="188"/>
      <c r="IM131" s="188"/>
      <c r="IN131" s="188"/>
      <c r="IO131" s="188"/>
      <c r="IP131" s="188"/>
      <c r="IQ131" s="188"/>
      <c r="IR131" s="188"/>
      <c r="IS131" s="188"/>
      <c r="IT131" s="188"/>
      <c r="IU131" s="188"/>
      <c r="IV131" s="188"/>
      <c r="IW131" s="188"/>
      <c r="IX131" s="188"/>
      <c r="IY131" s="188"/>
      <c r="IZ131" s="188"/>
      <c r="JA131" s="188"/>
      <c r="JB131" s="188"/>
      <c r="JC131" s="188"/>
      <c r="JD131" s="187"/>
      <c r="JE131" s="188"/>
      <c r="JF131" s="188"/>
      <c r="JG131" s="188"/>
      <c r="JH131" s="188"/>
      <c r="JI131" s="189"/>
      <c r="JJ131" s="19"/>
      <c r="JP131" s="155"/>
      <c r="JT131" s="16"/>
      <c r="JW131" s="187"/>
      <c r="JX131" s="188"/>
      <c r="JY131" s="188"/>
      <c r="JZ131" s="188"/>
      <c r="KA131" s="188"/>
      <c r="KB131" s="188"/>
      <c r="KC131" s="188"/>
      <c r="KD131" s="188"/>
      <c r="KE131" s="188"/>
      <c r="KF131" s="188"/>
      <c r="KG131" s="188"/>
      <c r="KH131" s="188"/>
      <c r="KI131" s="188"/>
      <c r="KJ131" s="188"/>
      <c r="KK131" s="188"/>
      <c r="KL131" s="188"/>
      <c r="KM131" s="188"/>
      <c r="KN131" s="188"/>
      <c r="KO131" s="188"/>
      <c r="KP131" s="188"/>
      <c r="KQ131" s="188"/>
      <c r="KR131" s="188"/>
      <c r="KS131" s="188"/>
      <c r="KT131" s="188"/>
      <c r="KU131" s="188"/>
      <c r="KV131" s="188"/>
      <c r="KW131" s="188"/>
      <c r="KX131" s="188"/>
      <c r="KY131" s="188"/>
      <c r="KZ131" s="188"/>
      <c r="LA131" s="188"/>
      <c r="LB131" s="188"/>
      <c r="LC131" s="188"/>
      <c r="LD131" s="188"/>
      <c r="LE131" s="188"/>
      <c r="LF131" s="188"/>
      <c r="LG131" s="188"/>
      <c r="LH131" s="188"/>
      <c r="LI131" s="188"/>
      <c r="LJ131" s="188"/>
      <c r="LK131" s="189"/>
      <c r="LL131" s="187"/>
      <c r="LM131" s="188"/>
      <c r="LN131" s="188"/>
      <c r="LO131" s="188"/>
      <c r="LP131" s="189"/>
      <c r="LY131" s="12"/>
      <c r="LZ131" s="7"/>
      <c r="MA131" s="3"/>
      <c r="MB131" s="3"/>
      <c r="MC131" s="3"/>
      <c r="MD131" s="3"/>
      <c r="ME131" s="2"/>
      <c r="MS131" s="3"/>
      <c r="MT131" s="3"/>
      <c r="MU131" s="3"/>
      <c r="MV131" s="3"/>
      <c r="MW131" s="3"/>
      <c r="MX131" s="2"/>
    </row>
    <row r="132" spans="3:362" ht="5.0999999999999996" customHeight="1" thickBot="1" x14ac:dyDescent="0.35">
      <c r="C132" s="11"/>
      <c r="D132" s="13"/>
      <c r="Q132" s="187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9"/>
      <c r="BF132" s="187"/>
      <c r="BG132" s="188"/>
      <c r="BH132" s="188"/>
      <c r="BI132" s="188"/>
      <c r="BJ132" s="189"/>
      <c r="DQ132" s="215"/>
      <c r="DR132" s="215"/>
      <c r="DS132" s="215"/>
      <c r="DT132" s="215"/>
      <c r="DU132" s="215"/>
      <c r="DV132" s="215"/>
      <c r="DW132" s="215"/>
      <c r="DX132" s="215"/>
      <c r="DY132" s="215"/>
      <c r="DZ132" s="215"/>
      <c r="EA132" s="215"/>
      <c r="EB132" s="215"/>
      <c r="EC132" s="215"/>
      <c r="ED132" s="215"/>
      <c r="EE132" s="215"/>
      <c r="EF132" s="215"/>
      <c r="EG132" s="215"/>
      <c r="EH132" s="215"/>
      <c r="EI132" s="215"/>
      <c r="EJ132" s="215"/>
      <c r="EK132" s="215"/>
      <c r="EL132" s="215"/>
      <c r="EM132" s="215"/>
      <c r="EN132" s="215"/>
      <c r="EO132" s="215"/>
      <c r="EP132" s="215"/>
      <c r="EQ132" s="215"/>
      <c r="ER132" s="215"/>
      <c r="ES132" s="215"/>
      <c r="ET132" s="215"/>
      <c r="EU132" s="215"/>
      <c r="EV132" s="215"/>
      <c r="EW132" s="215"/>
      <c r="EX132" s="215"/>
      <c r="EY132" s="215"/>
      <c r="EZ132" s="215"/>
      <c r="FA132" s="215"/>
      <c r="FB132" s="215"/>
      <c r="FC132" s="215"/>
      <c r="FD132" s="215"/>
      <c r="FE132" s="215"/>
      <c r="FF132" s="215"/>
      <c r="FG132" s="215"/>
      <c r="FH132" s="215"/>
      <c r="HP132" s="187"/>
      <c r="HQ132" s="188"/>
      <c r="HR132" s="188"/>
      <c r="HS132" s="188"/>
      <c r="HT132" s="188"/>
      <c r="HU132" s="188"/>
      <c r="HV132" s="188"/>
      <c r="HW132" s="188"/>
      <c r="HX132" s="188"/>
      <c r="HY132" s="188"/>
      <c r="HZ132" s="188"/>
      <c r="IA132" s="188"/>
      <c r="IB132" s="188"/>
      <c r="IC132" s="188"/>
      <c r="ID132" s="188"/>
      <c r="IE132" s="188"/>
      <c r="IF132" s="188"/>
      <c r="IG132" s="188"/>
      <c r="IH132" s="188"/>
      <c r="II132" s="188"/>
      <c r="IJ132" s="188"/>
      <c r="IK132" s="188"/>
      <c r="IL132" s="188"/>
      <c r="IM132" s="188"/>
      <c r="IN132" s="188"/>
      <c r="IO132" s="188"/>
      <c r="IP132" s="188"/>
      <c r="IQ132" s="188"/>
      <c r="IR132" s="188"/>
      <c r="IS132" s="188"/>
      <c r="IT132" s="188"/>
      <c r="IU132" s="188"/>
      <c r="IV132" s="188"/>
      <c r="IW132" s="188"/>
      <c r="IX132" s="188"/>
      <c r="IY132" s="188"/>
      <c r="IZ132" s="188"/>
      <c r="JA132" s="188"/>
      <c r="JB132" s="188"/>
      <c r="JC132" s="188"/>
      <c r="JD132" s="187"/>
      <c r="JE132" s="188"/>
      <c r="JF132" s="188"/>
      <c r="JG132" s="188"/>
      <c r="JH132" s="188"/>
      <c r="JI132" s="189"/>
      <c r="JJ132" s="19"/>
      <c r="JP132" s="155"/>
      <c r="JT132" s="23"/>
      <c r="JU132" s="31"/>
      <c r="JV132" s="153"/>
      <c r="JW132" s="187"/>
      <c r="JX132" s="188"/>
      <c r="JY132" s="188"/>
      <c r="JZ132" s="188"/>
      <c r="KA132" s="188"/>
      <c r="KB132" s="188"/>
      <c r="KC132" s="188"/>
      <c r="KD132" s="188"/>
      <c r="KE132" s="188"/>
      <c r="KF132" s="188"/>
      <c r="KG132" s="188"/>
      <c r="KH132" s="188"/>
      <c r="KI132" s="188"/>
      <c r="KJ132" s="188"/>
      <c r="KK132" s="188"/>
      <c r="KL132" s="188"/>
      <c r="KM132" s="188"/>
      <c r="KN132" s="188"/>
      <c r="KO132" s="188"/>
      <c r="KP132" s="188"/>
      <c r="KQ132" s="188"/>
      <c r="KR132" s="188"/>
      <c r="KS132" s="188"/>
      <c r="KT132" s="188"/>
      <c r="KU132" s="188"/>
      <c r="KV132" s="188"/>
      <c r="KW132" s="188"/>
      <c r="KX132" s="188"/>
      <c r="KY132" s="188"/>
      <c r="KZ132" s="188"/>
      <c r="LA132" s="188"/>
      <c r="LB132" s="188"/>
      <c r="LC132" s="188"/>
      <c r="LD132" s="188"/>
      <c r="LE132" s="188"/>
      <c r="LF132" s="188"/>
      <c r="LG132" s="188"/>
      <c r="LH132" s="188"/>
      <c r="LI132" s="188"/>
      <c r="LJ132" s="188"/>
      <c r="LK132" s="189"/>
      <c r="LL132" s="187"/>
      <c r="LM132" s="188"/>
      <c r="LN132" s="188"/>
      <c r="LO132" s="188"/>
      <c r="LP132" s="189"/>
      <c r="LY132" s="12"/>
      <c r="LZ132" s="7"/>
      <c r="MA132" s="3"/>
      <c r="MB132" s="3"/>
      <c r="MC132" s="3"/>
      <c r="MD132" s="3"/>
      <c r="ME132" s="2"/>
      <c r="MS132" s="3"/>
      <c r="MT132" s="3"/>
      <c r="MU132" s="3"/>
      <c r="MV132" s="3"/>
      <c r="MW132" s="3"/>
      <c r="MX132" s="2"/>
    </row>
    <row r="133" spans="3:362" ht="5.0999999999999996" customHeight="1" x14ac:dyDescent="0.3">
      <c r="C133" s="11"/>
      <c r="D133" s="13"/>
      <c r="Q133" s="187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9"/>
      <c r="BF133" s="187"/>
      <c r="BG133" s="188"/>
      <c r="BH133" s="188"/>
      <c r="BI133" s="188"/>
      <c r="BJ133" s="189"/>
      <c r="DQ133" s="215"/>
      <c r="DR133" s="215"/>
      <c r="DS133" s="215"/>
      <c r="DT133" s="215"/>
      <c r="DU133" s="215"/>
      <c r="DV133" s="215"/>
      <c r="DW133" s="215"/>
      <c r="DX133" s="215"/>
      <c r="DY133" s="215"/>
      <c r="DZ133" s="215"/>
      <c r="EA133" s="215"/>
      <c r="EB133" s="215"/>
      <c r="EC133" s="215"/>
      <c r="ED133" s="215"/>
      <c r="EE133" s="215"/>
      <c r="EF133" s="215"/>
      <c r="EG133" s="215"/>
      <c r="EH133" s="215"/>
      <c r="EI133" s="215"/>
      <c r="EJ133" s="215"/>
      <c r="EK133" s="215"/>
      <c r="EL133" s="215"/>
      <c r="EM133" s="215"/>
      <c r="EN133" s="215"/>
      <c r="EO133" s="215"/>
      <c r="EP133" s="215"/>
      <c r="EQ133" s="215"/>
      <c r="ER133" s="215"/>
      <c r="ES133" s="215"/>
      <c r="ET133" s="215"/>
      <c r="EU133" s="215"/>
      <c r="EV133" s="215"/>
      <c r="EW133" s="215"/>
      <c r="EX133" s="215"/>
      <c r="EY133" s="215"/>
      <c r="EZ133" s="215"/>
      <c r="FA133" s="215"/>
      <c r="FB133" s="215"/>
      <c r="FC133" s="215"/>
      <c r="FD133" s="215"/>
      <c r="FE133" s="215"/>
      <c r="FF133" s="215"/>
      <c r="FG133" s="215"/>
      <c r="FH133" s="215"/>
      <c r="HP133" s="187"/>
      <c r="HQ133" s="188"/>
      <c r="HR133" s="188"/>
      <c r="HS133" s="188"/>
      <c r="HT133" s="188"/>
      <c r="HU133" s="188"/>
      <c r="HV133" s="188"/>
      <c r="HW133" s="188"/>
      <c r="HX133" s="188"/>
      <c r="HY133" s="188"/>
      <c r="HZ133" s="188"/>
      <c r="IA133" s="188"/>
      <c r="IB133" s="188"/>
      <c r="IC133" s="188"/>
      <c r="ID133" s="188"/>
      <c r="IE133" s="188"/>
      <c r="IF133" s="188"/>
      <c r="IG133" s="188"/>
      <c r="IH133" s="188"/>
      <c r="II133" s="188"/>
      <c r="IJ133" s="188"/>
      <c r="IK133" s="188"/>
      <c r="IL133" s="188"/>
      <c r="IM133" s="188"/>
      <c r="IN133" s="188"/>
      <c r="IO133" s="188"/>
      <c r="IP133" s="188"/>
      <c r="IQ133" s="188"/>
      <c r="IR133" s="188"/>
      <c r="IS133" s="188"/>
      <c r="IT133" s="188"/>
      <c r="IU133" s="188"/>
      <c r="IV133" s="188"/>
      <c r="IW133" s="188"/>
      <c r="IX133" s="188"/>
      <c r="IY133" s="188"/>
      <c r="IZ133" s="188"/>
      <c r="JA133" s="188"/>
      <c r="JB133" s="188"/>
      <c r="JC133" s="188"/>
      <c r="JD133" s="187"/>
      <c r="JE133" s="188"/>
      <c r="JF133" s="188"/>
      <c r="JG133" s="188"/>
      <c r="JH133" s="188"/>
      <c r="JI133" s="189"/>
      <c r="JJ133" s="19"/>
      <c r="JP133" s="155"/>
      <c r="JT133" s="22"/>
      <c r="JU133" s="21"/>
      <c r="JV133" s="48"/>
      <c r="JW133" s="187"/>
      <c r="JX133" s="188"/>
      <c r="JY133" s="188"/>
      <c r="JZ133" s="188"/>
      <c r="KA133" s="188"/>
      <c r="KB133" s="188"/>
      <c r="KC133" s="188"/>
      <c r="KD133" s="188"/>
      <c r="KE133" s="188"/>
      <c r="KF133" s="188"/>
      <c r="KG133" s="188"/>
      <c r="KH133" s="188"/>
      <c r="KI133" s="188"/>
      <c r="KJ133" s="188"/>
      <c r="KK133" s="188"/>
      <c r="KL133" s="188"/>
      <c r="KM133" s="188"/>
      <c r="KN133" s="188"/>
      <c r="KO133" s="188"/>
      <c r="KP133" s="188"/>
      <c r="KQ133" s="188"/>
      <c r="KR133" s="188"/>
      <c r="KS133" s="188"/>
      <c r="KT133" s="188"/>
      <c r="KU133" s="188"/>
      <c r="KV133" s="188"/>
      <c r="KW133" s="188"/>
      <c r="KX133" s="188"/>
      <c r="KY133" s="188"/>
      <c r="KZ133" s="188"/>
      <c r="LA133" s="188"/>
      <c r="LB133" s="188"/>
      <c r="LC133" s="188"/>
      <c r="LD133" s="188"/>
      <c r="LE133" s="188"/>
      <c r="LF133" s="188"/>
      <c r="LG133" s="188"/>
      <c r="LH133" s="188"/>
      <c r="LI133" s="188"/>
      <c r="LJ133" s="188"/>
      <c r="LK133" s="189"/>
      <c r="LL133" s="187"/>
      <c r="LM133" s="188"/>
      <c r="LN133" s="188"/>
      <c r="LO133" s="188"/>
      <c r="LP133" s="189"/>
      <c r="LY133" s="12"/>
      <c r="LZ133" s="7"/>
      <c r="MA133" s="3"/>
      <c r="MB133" s="3"/>
      <c r="MC133" s="3"/>
      <c r="MD133" s="3"/>
      <c r="ME133" s="2"/>
      <c r="MS133" s="3"/>
      <c r="MT133" s="3"/>
      <c r="MU133" s="3"/>
      <c r="MV133" s="3"/>
      <c r="MW133" s="3"/>
      <c r="MX133" s="2"/>
    </row>
    <row r="134" spans="3:362" ht="5.0999999999999996" customHeight="1" x14ac:dyDescent="0.3">
      <c r="C134" s="11"/>
      <c r="D134" s="13"/>
      <c r="Q134" s="187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9"/>
      <c r="BF134" s="187"/>
      <c r="BG134" s="188"/>
      <c r="BH134" s="188"/>
      <c r="BI134" s="188"/>
      <c r="BJ134" s="189"/>
      <c r="DQ134" s="215"/>
      <c r="DR134" s="215"/>
      <c r="DS134" s="215"/>
      <c r="DT134" s="215"/>
      <c r="DU134" s="215"/>
      <c r="DV134" s="215"/>
      <c r="DW134" s="215"/>
      <c r="DX134" s="215"/>
      <c r="DY134" s="215"/>
      <c r="DZ134" s="215"/>
      <c r="EA134" s="215"/>
      <c r="EB134" s="215"/>
      <c r="EC134" s="215"/>
      <c r="ED134" s="215"/>
      <c r="EE134" s="215"/>
      <c r="EF134" s="215"/>
      <c r="EG134" s="215"/>
      <c r="EH134" s="215"/>
      <c r="EI134" s="215"/>
      <c r="EJ134" s="215"/>
      <c r="EK134" s="215"/>
      <c r="EL134" s="215"/>
      <c r="EM134" s="215"/>
      <c r="EN134" s="215"/>
      <c r="EO134" s="215"/>
      <c r="EP134" s="215"/>
      <c r="EQ134" s="215"/>
      <c r="ER134" s="215"/>
      <c r="ES134" s="215"/>
      <c r="ET134" s="215"/>
      <c r="EU134" s="215"/>
      <c r="EV134" s="215"/>
      <c r="EW134" s="215"/>
      <c r="EX134" s="215"/>
      <c r="EY134" s="215"/>
      <c r="EZ134" s="215"/>
      <c r="FA134" s="215"/>
      <c r="FB134" s="215"/>
      <c r="FC134" s="215"/>
      <c r="FD134" s="215"/>
      <c r="FE134" s="215"/>
      <c r="FF134" s="215"/>
      <c r="FG134" s="215"/>
      <c r="FH134" s="215"/>
      <c r="HP134" s="187"/>
      <c r="HQ134" s="188"/>
      <c r="HR134" s="188"/>
      <c r="HS134" s="188"/>
      <c r="HT134" s="188"/>
      <c r="HU134" s="188"/>
      <c r="HV134" s="188"/>
      <c r="HW134" s="188"/>
      <c r="HX134" s="188"/>
      <c r="HY134" s="188"/>
      <c r="HZ134" s="188"/>
      <c r="IA134" s="188"/>
      <c r="IB134" s="188"/>
      <c r="IC134" s="188"/>
      <c r="ID134" s="188"/>
      <c r="IE134" s="188"/>
      <c r="IF134" s="188"/>
      <c r="IG134" s="188"/>
      <c r="IH134" s="188"/>
      <c r="II134" s="188"/>
      <c r="IJ134" s="188"/>
      <c r="IK134" s="188"/>
      <c r="IL134" s="188"/>
      <c r="IM134" s="188"/>
      <c r="IN134" s="188"/>
      <c r="IO134" s="188"/>
      <c r="IP134" s="188"/>
      <c r="IQ134" s="188"/>
      <c r="IR134" s="188"/>
      <c r="IS134" s="188"/>
      <c r="IT134" s="188"/>
      <c r="IU134" s="188"/>
      <c r="IV134" s="188"/>
      <c r="IW134" s="188"/>
      <c r="IX134" s="188"/>
      <c r="IY134" s="188"/>
      <c r="IZ134" s="188"/>
      <c r="JA134" s="188"/>
      <c r="JB134" s="188"/>
      <c r="JC134" s="188"/>
      <c r="JD134" s="187"/>
      <c r="JE134" s="188"/>
      <c r="JF134" s="188"/>
      <c r="JG134" s="188"/>
      <c r="JH134" s="188"/>
      <c r="JI134" s="189"/>
      <c r="JJ134" s="19"/>
      <c r="JP134" s="155"/>
      <c r="JT134" s="16"/>
      <c r="JW134" s="187"/>
      <c r="JX134" s="188"/>
      <c r="JY134" s="188"/>
      <c r="JZ134" s="188"/>
      <c r="KA134" s="188"/>
      <c r="KB134" s="188"/>
      <c r="KC134" s="188"/>
      <c r="KD134" s="188"/>
      <c r="KE134" s="188"/>
      <c r="KF134" s="188"/>
      <c r="KG134" s="188"/>
      <c r="KH134" s="188"/>
      <c r="KI134" s="188"/>
      <c r="KJ134" s="188"/>
      <c r="KK134" s="188"/>
      <c r="KL134" s="188"/>
      <c r="KM134" s="188"/>
      <c r="KN134" s="188"/>
      <c r="KO134" s="188"/>
      <c r="KP134" s="188"/>
      <c r="KQ134" s="188"/>
      <c r="KR134" s="188"/>
      <c r="KS134" s="188"/>
      <c r="KT134" s="188"/>
      <c r="KU134" s="188"/>
      <c r="KV134" s="188"/>
      <c r="KW134" s="188"/>
      <c r="KX134" s="188"/>
      <c r="KY134" s="188"/>
      <c r="KZ134" s="188"/>
      <c r="LA134" s="188"/>
      <c r="LB134" s="188"/>
      <c r="LC134" s="188"/>
      <c r="LD134" s="188"/>
      <c r="LE134" s="188"/>
      <c r="LF134" s="188"/>
      <c r="LG134" s="188"/>
      <c r="LH134" s="188"/>
      <c r="LI134" s="188"/>
      <c r="LJ134" s="188"/>
      <c r="LK134" s="189"/>
      <c r="LL134" s="187"/>
      <c r="LM134" s="188"/>
      <c r="LN134" s="188"/>
      <c r="LO134" s="188"/>
      <c r="LP134" s="189"/>
      <c r="LY134" s="12"/>
      <c r="LZ134" s="7"/>
      <c r="MA134" s="3"/>
      <c r="MB134" s="3"/>
      <c r="MC134" s="3"/>
      <c r="MD134" s="3"/>
      <c r="ME134" s="2"/>
      <c r="MS134" s="3"/>
      <c r="MT134" s="3"/>
      <c r="MU134" s="3"/>
      <c r="MV134" s="3"/>
      <c r="MW134" s="3"/>
      <c r="MX134" s="2"/>
    </row>
    <row r="135" spans="3:362" ht="5.0999999999999996" customHeight="1" x14ac:dyDescent="0.3">
      <c r="C135" s="11"/>
      <c r="D135" s="13"/>
      <c r="Q135" s="187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9"/>
      <c r="BF135" s="187"/>
      <c r="BG135" s="188"/>
      <c r="BH135" s="188"/>
      <c r="BI135" s="188"/>
      <c r="BJ135" s="189"/>
      <c r="DQ135" s="215"/>
      <c r="DR135" s="215"/>
      <c r="DS135" s="215"/>
      <c r="DT135" s="215"/>
      <c r="DU135" s="215"/>
      <c r="DV135" s="215"/>
      <c r="DW135" s="215"/>
      <c r="DX135" s="215"/>
      <c r="DY135" s="215"/>
      <c r="DZ135" s="215"/>
      <c r="EA135" s="215"/>
      <c r="EB135" s="215"/>
      <c r="EC135" s="215"/>
      <c r="ED135" s="215"/>
      <c r="EE135" s="215"/>
      <c r="EF135" s="215"/>
      <c r="EG135" s="215"/>
      <c r="EH135" s="215"/>
      <c r="EI135" s="215"/>
      <c r="EJ135" s="215"/>
      <c r="EK135" s="215"/>
      <c r="EL135" s="215"/>
      <c r="EM135" s="215"/>
      <c r="EN135" s="215"/>
      <c r="EO135" s="215"/>
      <c r="EP135" s="215"/>
      <c r="EQ135" s="215"/>
      <c r="ER135" s="215"/>
      <c r="ES135" s="215"/>
      <c r="ET135" s="215"/>
      <c r="EU135" s="215"/>
      <c r="EV135" s="215"/>
      <c r="EW135" s="215"/>
      <c r="EX135" s="215"/>
      <c r="EY135" s="215"/>
      <c r="EZ135" s="215"/>
      <c r="FA135" s="215"/>
      <c r="FB135" s="215"/>
      <c r="FC135" s="215"/>
      <c r="FD135" s="215"/>
      <c r="FE135" s="215"/>
      <c r="FF135" s="215"/>
      <c r="FG135" s="215"/>
      <c r="FH135" s="215"/>
      <c r="HP135" s="187"/>
      <c r="HQ135" s="188"/>
      <c r="HR135" s="188"/>
      <c r="HS135" s="188"/>
      <c r="HT135" s="188"/>
      <c r="HU135" s="188"/>
      <c r="HV135" s="188"/>
      <c r="HW135" s="188"/>
      <c r="HX135" s="188"/>
      <c r="HY135" s="188"/>
      <c r="HZ135" s="188"/>
      <c r="IA135" s="188"/>
      <c r="IB135" s="188"/>
      <c r="IC135" s="188"/>
      <c r="ID135" s="188"/>
      <c r="IE135" s="188"/>
      <c r="IF135" s="188"/>
      <c r="IG135" s="188"/>
      <c r="IH135" s="188"/>
      <c r="II135" s="188"/>
      <c r="IJ135" s="188"/>
      <c r="IK135" s="188"/>
      <c r="IL135" s="188"/>
      <c r="IM135" s="188"/>
      <c r="IN135" s="188"/>
      <c r="IO135" s="188"/>
      <c r="IP135" s="188"/>
      <c r="IQ135" s="188"/>
      <c r="IR135" s="188"/>
      <c r="IS135" s="188"/>
      <c r="IT135" s="188"/>
      <c r="IU135" s="188"/>
      <c r="IV135" s="188"/>
      <c r="IW135" s="188"/>
      <c r="IX135" s="188"/>
      <c r="IY135" s="188"/>
      <c r="IZ135" s="188"/>
      <c r="JA135" s="188"/>
      <c r="JB135" s="188"/>
      <c r="JC135" s="188"/>
      <c r="JD135" s="187"/>
      <c r="JE135" s="188"/>
      <c r="JF135" s="188"/>
      <c r="JG135" s="188"/>
      <c r="JH135" s="188"/>
      <c r="JI135" s="189"/>
      <c r="JJ135" s="19"/>
      <c r="JP135" s="155"/>
      <c r="JT135" s="16"/>
      <c r="JW135" s="187"/>
      <c r="JX135" s="188"/>
      <c r="JY135" s="188"/>
      <c r="JZ135" s="188"/>
      <c r="KA135" s="188"/>
      <c r="KB135" s="188"/>
      <c r="KC135" s="188"/>
      <c r="KD135" s="188"/>
      <c r="KE135" s="188"/>
      <c r="KF135" s="188"/>
      <c r="KG135" s="188"/>
      <c r="KH135" s="188"/>
      <c r="KI135" s="188"/>
      <c r="KJ135" s="188"/>
      <c r="KK135" s="188"/>
      <c r="KL135" s="188"/>
      <c r="KM135" s="188"/>
      <c r="KN135" s="188"/>
      <c r="KO135" s="188"/>
      <c r="KP135" s="188"/>
      <c r="KQ135" s="188"/>
      <c r="KR135" s="188"/>
      <c r="KS135" s="188"/>
      <c r="KT135" s="188"/>
      <c r="KU135" s="188"/>
      <c r="KV135" s="188"/>
      <c r="KW135" s="188"/>
      <c r="KX135" s="188"/>
      <c r="KY135" s="188"/>
      <c r="KZ135" s="188"/>
      <c r="LA135" s="188"/>
      <c r="LB135" s="188"/>
      <c r="LC135" s="188"/>
      <c r="LD135" s="188"/>
      <c r="LE135" s="188"/>
      <c r="LF135" s="188"/>
      <c r="LG135" s="188"/>
      <c r="LH135" s="188"/>
      <c r="LI135" s="188"/>
      <c r="LJ135" s="188"/>
      <c r="LK135" s="189"/>
      <c r="LL135" s="187"/>
      <c r="LM135" s="188"/>
      <c r="LN135" s="188"/>
      <c r="LO135" s="188"/>
      <c r="LP135" s="189"/>
      <c r="LY135" s="12"/>
      <c r="LZ135" s="7"/>
      <c r="MA135" s="3"/>
      <c r="MB135" s="3"/>
      <c r="MC135" s="3"/>
      <c r="MD135" s="3"/>
      <c r="ME135" s="2"/>
      <c r="MS135" s="3"/>
      <c r="MT135" s="3"/>
      <c r="MU135" s="3"/>
      <c r="MV135" s="3"/>
      <c r="MW135" s="3"/>
      <c r="MX135" s="2"/>
    </row>
    <row r="136" spans="3:362" ht="5.0999999999999996" customHeight="1" x14ac:dyDescent="0.3">
      <c r="C136" s="11"/>
      <c r="D136" s="13"/>
      <c r="Q136" s="187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9"/>
      <c r="BF136" s="187"/>
      <c r="BG136" s="188"/>
      <c r="BH136" s="188"/>
      <c r="BI136" s="188"/>
      <c r="BJ136" s="189"/>
      <c r="DQ136" s="215"/>
      <c r="DR136" s="215"/>
      <c r="DS136" s="215"/>
      <c r="DT136" s="215"/>
      <c r="DU136" s="215"/>
      <c r="DV136" s="215"/>
      <c r="DW136" s="215"/>
      <c r="DX136" s="215"/>
      <c r="DY136" s="215"/>
      <c r="DZ136" s="215"/>
      <c r="EA136" s="215"/>
      <c r="EB136" s="215"/>
      <c r="EC136" s="215"/>
      <c r="ED136" s="215"/>
      <c r="EE136" s="215"/>
      <c r="EF136" s="215"/>
      <c r="EG136" s="215"/>
      <c r="EH136" s="215"/>
      <c r="EI136" s="215"/>
      <c r="EJ136" s="215"/>
      <c r="EK136" s="215"/>
      <c r="EL136" s="215"/>
      <c r="EM136" s="215"/>
      <c r="EN136" s="215"/>
      <c r="EO136" s="215"/>
      <c r="EP136" s="215"/>
      <c r="EQ136" s="215"/>
      <c r="ER136" s="215"/>
      <c r="ES136" s="215"/>
      <c r="ET136" s="215"/>
      <c r="EU136" s="215"/>
      <c r="EV136" s="215"/>
      <c r="EW136" s="215"/>
      <c r="EX136" s="215"/>
      <c r="EY136" s="215"/>
      <c r="EZ136" s="215"/>
      <c r="FA136" s="215"/>
      <c r="FB136" s="215"/>
      <c r="FC136" s="215"/>
      <c r="FD136" s="215"/>
      <c r="FE136" s="215"/>
      <c r="FF136" s="215"/>
      <c r="FG136" s="215"/>
      <c r="FH136" s="215"/>
      <c r="HP136" s="190"/>
      <c r="HQ136" s="191"/>
      <c r="HR136" s="191"/>
      <c r="HS136" s="191"/>
      <c r="HT136" s="191"/>
      <c r="HU136" s="191"/>
      <c r="HV136" s="191"/>
      <c r="HW136" s="191"/>
      <c r="HX136" s="191"/>
      <c r="HY136" s="191"/>
      <c r="HZ136" s="191"/>
      <c r="IA136" s="191"/>
      <c r="IB136" s="191"/>
      <c r="IC136" s="191"/>
      <c r="ID136" s="191"/>
      <c r="IE136" s="191"/>
      <c r="IF136" s="191"/>
      <c r="IG136" s="191"/>
      <c r="IH136" s="191"/>
      <c r="II136" s="191"/>
      <c r="IJ136" s="191"/>
      <c r="IK136" s="191"/>
      <c r="IL136" s="191"/>
      <c r="IM136" s="191"/>
      <c r="IN136" s="191"/>
      <c r="IO136" s="191"/>
      <c r="IP136" s="191"/>
      <c r="IQ136" s="191"/>
      <c r="IR136" s="191"/>
      <c r="IS136" s="191"/>
      <c r="IT136" s="191"/>
      <c r="IU136" s="191"/>
      <c r="IV136" s="191"/>
      <c r="IW136" s="191"/>
      <c r="IX136" s="191"/>
      <c r="IY136" s="191"/>
      <c r="IZ136" s="191"/>
      <c r="JA136" s="191"/>
      <c r="JB136" s="191"/>
      <c r="JC136" s="191"/>
      <c r="JD136" s="190"/>
      <c r="JE136" s="191"/>
      <c r="JF136" s="191"/>
      <c r="JG136" s="191"/>
      <c r="JH136" s="191"/>
      <c r="JI136" s="192"/>
      <c r="JJ136" s="19"/>
      <c r="JP136" s="155"/>
      <c r="JT136" s="16"/>
      <c r="JW136" s="187"/>
      <c r="JX136" s="188"/>
      <c r="JY136" s="188"/>
      <c r="JZ136" s="188"/>
      <c r="KA136" s="188"/>
      <c r="KB136" s="188"/>
      <c r="KC136" s="188"/>
      <c r="KD136" s="188"/>
      <c r="KE136" s="188"/>
      <c r="KF136" s="188"/>
      <c r="KG136" s="188"/>
      <c r="KH136" s="188"/>
      <c r="KI136" s="188"/>
      <c r="KJ136" s="188"/>
      <c r="KK136" s="188"/>
      <c r="KL136" s="188"/>
      <c r="KM136" s="188"/>
      <c r="KN136" s="188"/>
      <c r="KO136" s="188"/>
      <c r="KP136" s="188"/>
      <c r="KQ136" s="188"/>
      <c r="KR136" s="188"/>
      <c r="KS136" s="188"/>
      <c r="KT136" s="188"/>
      <c r="KU136" s="188"/>
      <c r="KV136" s="188"/>
      <c r="KW136" s="188"/>
      <c r="KX136" s="188"/>
      <c r="KY136" s="188"/>
      <c r="KZ136" s="188"/>
      <c r="LA136" s="188"/>
      <c r="LB136" s="188"/>
      <c r="LC136" s="188"/>
      <c r="LD136" s="188"/>
      <c r="LE136" s="188"/>
      <c r="LF136" s="188"/>
      <c r="LG136" s="188"/>
      <c r="LH136" s="188"/>
      <c r="LI136" s="188"/>
      <c r="LJ136" s="188"/>
      <c r="LK136" s="189"/>
      <c r="LL136" s="187"/>
      <c r="LM136" s="188"/>
      <c r="LN136" s="188"/>
      <c r="LO136" s="188"/>
      <c r="LP136" s="189"/>
      <c r="LY136" s="12"/>
      <c r="LZ136" s="7"/>
      <c r="MA136" s="3"/>
      <c r="MB136" s="3"/>
      <c r="MC136" s="3"/>
      <c r="MD136" s="3"/>
      <c r="ME136" s="2"/>
      <c r="MS136" s="3"/>
      <c r="MT136" s="3"/>
      <c r="MU136" s="3"/>
      <c r="MV136" s="3"/>
      <c r="MW136" s="3"/>
      <c r="MX136" s="2"/>
    </row>
    <row r="137" spans="3:362" ht="5.0999999999999996" customHeight="1" x14ac:dyDescent="0.3">
      <c r="C137" s="11"/>
      <c r="D137" s="13"/>
      <c r="Q137" s="187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9"/>
      <c r="BF137" s="187"/>
      <c r="BG137" s="188"/>
      <c r="BH137" s="188"/>
      <c r="BI137" s="188"/>
      <c r="BJ137" s="189"/>
      <c r="DQ137" s="215"/>
      <c r="DR137" s="215"/>
      <c r="DS137" s="215"/>
      <c r="DT137" s="215"/>
      <c r="DU137" s="215"/>
      <c r="DV137" s="215"/>
      <c r="DW137" s="215"/>
      <c r="DX137" s="215"/>
      <c r="DY137" s="215"/>
      <c r="DZ137" s="215"/>
      <c r="EA137" s="215"/>
      <c r="EB137" s="215"/>
      <c r="EC137" s="215"/>
      <c r="ED137" s="215"/>
      <c r="EE137" s="215"/>
      <c r="EF137" s="215"/>
      <c r="EG137" s="215"/>
      <c r="EH137" s="215"/>
      <c r="EI137" s="215"/>
      <c r="EJ137" s="215"/>
      <c r="EK137" s="215"/>
      <c r="EL137" s="215"/>
      <c r="EM137" s="215"/>
      <c r="EN137" s="215"/>
      <c r="EO137" s="215"/>
      <c r="EP137" s="215"/>
      <c r="EQ137" s="215"/>
      <c r="ER137" s="215"/>
      <c r="ES137" s="215"/>
      <c r="ET137" s="215"/>
      <c r="EU137" s="215"/>
      <c r="EV137" s="215"/>
      <c r="EW137" s="215"/>
      <c r="EX137" s="215"/>
      <c r="EY137" s="215"/>
      <c r="EZ137" s="215"/>
      <c r="FA137" s="215"/>
      <c r="FB137" s="215"/>
      <c r="FC137" s="215"/>
      <c r="FD137" s="215"/>
      <c r="FE137" s="215"/>
      <c r="FF137" s="215"/>
      <c r="FG137" s="215"/>
      <c r="FH137" s="215"/>
      <c r="JJ137" s="19"/>
      <c r="JP137" s="155"/>
      <c r="JT137" s="16"/>
      <c r="JW137" s="190"/>
      <c r="JX137" s="191"/>
      <c r="JY137" s="191"/>
      <c r="JZ137" s="191"/>
      <c r="KA137" s="191"/>
      <c r="KB137" s="191"/>
      <c r="KC137" s="191"/>
      <c r="KD137" s="191"/>
      <c r="KE137" s="191"/>
      <c r="KF137" s="191"/>
      <c r="KG137" s="191"/>
      <c r="KH137" s="191"/>
      <c r="KI137" s="191"/>
      <c r="KJ137" s="191"/>
      <c r="KK137" s="191"/>
      <c r="KL137" s="191"/>
      <c r="KM137" s="191"/>
      <c r="KN137" s="191"/>
      <c r="KO137" s="191"/>
      <c r="KP137" s="191"/>
      <c r="KQ137" s="191"/>
      <c r="KR137" s="191"/>
      <c r="KS137" s="191"/>
      <c r="KT137" s="191"/>
      <c r="KU137" s="191"/>
      <c r="KV137" s="191"/>
      <c r="KW137" s="191"/>
      <c r="KX137" s="191"/>
      <c r="KY137" s="191"/>
      <c r="KZ137" s="191"/>
      <c r="LA137" s="191"/>
      <c r="LB137" s="191"/>
      <c r="LC137" s="191"/>
      <c r="LD137" s="191"/>
      <c r="LE137" s="191"/>
      <c r="LF137" s="191"/>
      <c r="LG137" s="191"/>
      <c r="LH137" s="191"/>
      <c r="LI137" s="191"/>
      <c r="LJ137" s="191"/>
      <c r="LK137" s="192"/>
      <c r="LL137" s="190"/>
      <c r="LM137" s="191"/>
      <c r="LN137" s="191"/>
      <c r="LO137" s="191"/>
      <c r="LP137" s="192"/>
      <c r="LY137" s="12"/>
      <c r="LZ137" s="7"/>
      <c r="MA137" s="3"/>
      <c r="MB137" s="3"/>
      <c r="MC137" s="3"/>
      <c r="MD137" s="3"/>
      <c r="ME137" s="2"/>
      <c r="MS137" s="3"/>
      <c r="MT137" s="3"/>
      <c r="MU137" s="3"/>
      <c r="MV137" s="3"/>
      <c r="MW137" s="3"/>
      <c r="MX137" s="2"/>
    </row>
    <row r="138" spans="3:362" ht="5.0999999999999996" customHeight="1" x14ac:dyDescent="0.3">
      <c r="C138" s="11"/>
      <c r="D138" s="13"/>
      <c r="Q138" s="190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2"/>
      <c r="BF138" s="190"/>
      <c r="BG138" s="191"/>
      <c r="BH138" s="191"/>
      <c r="BI138" s="191"/>
      <c r="BJ138" s="192"/>
      <c r="DQ138" s="215"/>
      <c r="DR138" s="215"/>
      <c r="DS138" s="215"/>
      <c r="DT138" s="215"/>
      <c r="DU138" s="215"/>
      <c r="DV138" s="215"/>
      <c r="DW138" s="215"/>
      <c r="DX138" s="215"/>
      <c r="DY138" s="215"/>
      <c r="DZ138" s="215"/>
      <c r="EA138" s="215"/>
      <c r="EB138" s="215"/>
      <c r="EC138" s="215"/>
      <c r="ED138" s="215"/>
      <c r="EE138" s="215"/>
      <c r="EF138" s="215"/>
      <c r="EG138" s="215"/>
      <c r="EH138" s="215"/>
      <c r="EI138" s="215"/>
      <c r="EJ138" s="215"/>
      <c r="EK138" s="215"/>
      <c r="EL138" s="215"/>
      <c r="EM138" s="215"/>
      <c r="EN138" s="215"/>
      <c r="EO138" s="215"/>
      <c r="EP138" s="215"/>
      <c r="EQ138" s="215"/>
      <c r="ER138" s="215"/>
      <c r="ES138" s="215"/>
      <c r="ET138" s="215"/>
      <c r="EU138" s="215"/>
      <c r="EV138" s="215"/>
      <c r="EW138" s="215"/>
      <c r="EX138" s="215"/>
      <c r="EY138" s="215"/>
      <c r="EZ138" s="215"/>
      <c r="FA138" s="215"/>
      <c r="FB138" s="215"/>
      <c r="FC138" s="215"/>
      <c r="FD138" s="215"/>
      <c r="FE138" s="215"/>
      <c r="FF138" s="215"/>
      <c r="FG138" s="215"/>
      <c r="FH138" s="215"/>
      <c r="JJ138" s="19"/>
      <c r="JP138" s="155"/>
      <c r="JT138" s="16"/>
      <c r="LY138" s="12"/>
      <c r="LZ138" s="7"/>
      <c r="MA138" s="3"/>
      <c r="MB138" s="3"/>
      <c r="MC138" s="3"/>
      <c r="MD138" s="3"/>
      <c r="ME138" s="2"/>
      <c r="MS138" s="3"/>
      <c r="MT138" s="3"/>
      <c r="MU138" s="3"/>
      <c r="MV138" s="3"/>
      <c r="MW138" s="3"/>
      <c r="MX138" s="2"/>
    </row>
    <row r="139" spans="3:362" ht="5.0999999999999996" customHeight="1" x14ac:dyDescent="0.3">
      <c r="C139" s="11"/>
      <c r="D139" s="13"/>
      <c r="AN139" s="16"/>
      <c r="EN139" s="17"/>
      <c r="HP139" s="195" t="s">
        <v>8</v>
      </c>
      <c r="HQ139" s="196"/>
      <c r="HR139" s="196"/>
      <c r="HS139" s="196"/>
      <c r="HT139" s="196"/>
      <c r="HU139" s="196"/>
      <c r="HV139" s="196"/>
      <c r="HW139" s="196"/>
      <c r="HX139" s="196"/>
      <c r="HY139" s="196"/>
      <c r="HZ139" s="196"/>
      <c r="IA139" s="196"/>
      <c r="IB139" s="196"/>
      <c r="IC139" s="196"/>
      <c r="ID139" s="196"/>
      <c r="IE139" s="196"/>
      <c r="IF139" s="196"/>
      <c r="IG139" s="196"/>
      <c r="IH139" s="196"/>
      <c r="II139" s="196"/>
      <c r="IJ139" s="196"/>
      <c r="IK139" s="196"/>
      <c r="IL139" s="196"/>
      <c r="IM139" s="196"/>
      <c r="IN139" s="196"/>
      <c r="IO139" s="196"/>
      <c r="IP139" s="196"/>
      <c r="IQ139" s="196"/>
      <c r="IR139" s="196"/>
      <c r="IS139" s="196"/>
      <c r="IT139" s="196"/>
      <c r="IU139" s="196"/>
      <c r="IV139" s="196"/>
      <c r="IW139" s="196"/>
      <c r="IX139" s="196"/>
      <c r="IY139" s="196"/>
      <c r="IZ139" s="196"/>
      <c r="JA139" s="196"/>
      <c r="JB139" s="196"/>
      <c r="JC139" s="197"/>
      <c r="JD139" s="204">
        <f>JD149</f>
        <v>50</v>
      </c>
      <c r="JE139" s="204"/>
      <c r="JF139" s="204"/>
      <c r="JG139" s="204"/>
      <c r="JH139" s="204"/>
      <c r="JI139" s="204"/>
      <c r="JJ139" s="19"/>
      <c r="JP139" s="155"/>
      <c r="JT139" s="16"/>
      <c r="JW139" s="184" t="s">
        <v>47</v>
      </c>
      <c r="JX139" s="185"/>
      <c r="JY139" s="185"/>
      <c r="JZ139" s="185"/>
      <c r="KA139" s="185"/>
      <c r="KB139" s="185"/>
      <c r="KC139" s="185"/>
      <c r="KD139" s="185"/>
      <c r="KE139" s="185"/>
      <c r="KF139" s="185"/>
      <c r="KG139" s="185"/>
      <c r="KH139" s="185"/>
      <c r="KI139" s="185"/>
      <c r="KJ139" s="185"/>
      <c r="KK139" s="185"/>
      <c r="KL139" s="185"/>
      <c r="KM139" s="185"/>
      <c r="KN139" s="185"/>
      <c r="KO139" s="185"/>
      <c r="KP139" s="185"/>
      <c r="KQ139" s="185"/>
      <c r="KR139" s="185"/>
      <c r="KS139" s="185"/>
      <c r="KT139" s="185"/>
      <c r="KU139" s="185"/>
      <c r="KV139" s="185"/>
      <c r="KW139" s="185"/>
      <c r="KX139" s="185"/>
      <c r="KY139" s="185"/>
      <c r="KZ139" s="185"/>
      <c r="LA139" s="185"/>
      <c r="LB139" s="185"/>
      <c r="LC139" s="185"/>
      <c r="LD139" s="185"/>
      <c r="LE139" s="185"/>
      <c r="LF139" s="185"/>
      <c r="LG139" s="185"/>
      <c r="LH139" s="185"/>
      <c r="LI139" s="185"/>
      <c r="LJ139" s="185"/>
      <c r="LK139" s="186"/>
      <c r="LL139" s="184">
        <v>1</v>
      </c>
      <c r="LM139" s="185"/>
      <c r="LN139" s="185"/>
      <c r="LO139" s="185"/>
      <c r="LP139" s="186"/>
      <c r="LY139" s="12"/>
      <c r="LZ139" s="7"/>
      <c r="MA139" s="3"/>
      <c r="MB139" s="3"/>
      <c r="MC139" s="3"/>
      <c r="MD139" s="3"/>
      <c r="ME139" s="2"/>
      <c r="MS139" s="3"/>
      <c r="MT139" s="3"/>
      <c r="MU139" s="3"/>
      <c r="MV139" s="3"/>
      <c r="MW139" s="3"/>
      <c r="MX139" s="2"/>
    </row>
    <row r="140" spans="3:362" ht="5.0999999999999996" customHeight="1" x14ac:dyDescent="0.3">
      <c r="C140" s="11"/>
      <c r="D140" s="13"/>
      <c r="AN140" s="15"/>
      <c r="AO140" s="9"/>
      <c r="EN140" s="16"/>
      <c r="HP140" s="198"/>
      <c r="HQ140" s="199"/>
      <c r="HR140" s="199"/>
      <c r="HS140" s="199"/>
      <c r="HT140" s="199"/>
      <c r="HU140" s="199"/>
      <c r="HV140" s="199"/>
      <c r="HW140" s="199"/>
      <c r="HX140" s="199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199"/>
      <c r="IW140" s="199"/>
      <c r="IX140" s="199"/>
      <c r="IY140" s="199"/>
      <c r="IZ140" s="199"/>
      <c r="JA140" s="199"/>
      <c r="JB140" s="199"/>
      <c r="JC140" s="200"/>
      <c r="JD140" s="204"/>
      <c r="JE140" s="204"/>
      <c r="JF140" s="204"/>
      <c r="JG140" s="204"/>
      <c r="JH140" s="204"/>
      <c r="JI140" s="204"/>
      <c r="JJ140" s="19"/>
      <c r="JP140" s="155"/>
      <c r="JT140" s="16"/>
      <c r="JW140" s="187"/>
      <c r="JX140" s="188"/>
      <c r="JY140" s="188"/>
      <c r="JZ140" s="188"/>
      <c r="KA140" s="188"/>
      <c r="KB140" s="188"/>
      <c r="KC140" s="188"/>
      <c r="KD140" s="188"/>
      <c r="KE140" s="188"/>
      <c r="KF140" s="188"/>
      <c r="KG140" s="188"/>
      <c r="KH140" s="188"/>
      <c r="KI140" s="188"/>
      <c r="KJ140" s="188"/>
      <c r="KK140" s="188"/>
      <c r="KL140" s="188"/>
      <c r="KM140" s="188"/>
      <c r="KN140" s="188"/>
      <c r="KO140" s="188"/>
      <c r="KP140" s="188"/>
      <c r="KQ140" s="188"/>
      <c r="KR140" s="188"/>
      <c r="KS140" s="188"/>
      <c r="KT140" s="188"/>
      <c r="KU140" s="188"/>
      <c r="KV140" s="188"/>
      <c r="KW140" s="188"/>
      <c r="KX140" s="188"/>
      <c r="KY140" s="188"/>
      <c r="KZ140" s="188"/>
      <c r="LA140" s="188"/>
      <c r="LB140" s="188"/>
      <c r="LC140" s="188"/>
      <c r="LD140" s="188"/>
      <c r="LE140" s="188"/>
      <c r="LF140" s="188"/>
      <c r="LG140" s="188"/>
      <c r="LH140" s="188"/>
      <c r="LI140" s="188"/>
      <c r="LJ140" s="188"/>
      <c r="LK140" s="189"/>
      <c r="LL140" s="187"/>
      <c r="LM140" s="188"/>
      <c r="LN140" s="188"/>
      <c r="LO140" s="188"/>
      <c r="LP140" s="189"/>
      <c r="LY140" s="12"/>
      <c r="LZ140" s="7"/>
      <c r="MA140" s="3"/>
      <c r="MB140" s="3"/>
      <c r="MC140" s="3"/>
      <c r="MD140" s="3"/>
      <c r="ME140" s="2"/>
      <c r="MS140" s="3"/>
      <c r="MT140" s="3"/>
      <c r="MU140" s="3"/>
      <c r="MV140" s="3"/>
      <c r="MW140" s="3"/>
      <c r="MX140" s="2"/>
    </row>
    <row r="141" spans="3:362" ht="5.0999999999999996" customHeight="1" x14ac:dyDescent="0.3">
      <c r="C141" s="11"/>
      <c r="D141" s="13"/>
      <c r="Q141" s="184" t="s">
        <v>46</v>
      </c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6"/>
      <c r="BF141" s="184">
        <v>2</v>
      </c>
      <c r="BG141" s="185"/>
      <c r="BH141" s="185"/>
      <c r="BI141" s="185"/>
      <c r="BJ141" s="186"/>
      <c r="EN141" s="16"/>
      <c r="HP141" s="198"/>
      <c r="HQ141" s="199"/>
      <c r="HR141" s="199"/>
      <c r="HS141" s="199"/>
      <c r="HT141" s="199"/>
      <c r="HU141" s="199"/>
      <c r="HV141" s="199"/>
      <c r="HW141" s="199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  <c r="IW141" s="199"/>
      <c r="IX141" s="199"/>
      <c r="IY141" s="199"/>
      <c r="IZ141" s="199"/>
      <c r="JA141" s="199"/>
      <c r="JB141" s="199"/>
      <c r="JC141" s="200"/>
      <c r="JD141" s="204"/>
      <c r="JE141" s="204"/>
      <c r="JF141" s="204"/>
      <c r="JG141" s="204"/>
      <c r="JH141" s="204"/>
      <c r="JI141" s="204"/>
      <c r="JJ141" s="19"/>
      <c r="JP141" s="155"/>
      <c r="JT141" s="16"/>
      <c r="JW141" s="187"/>
      <c r="JX141" s="188"/>
      <c r="JY141" s="188"/>
      <c r="JZ141" s="188"/>
      <c r="KA141" s="188"/>
      <c r="KB141" s="188"/>
      <c r="KC141" s="188"/>
      <c r="KD141" s="188"/>
      <c r="KE141" s="188"/>
      <c r="KF141" s="188"/>
      <c r="KG141" s="188"/>
      <c r="KH141" s="188"/>
      <c r="KI141" s="188"/>
      <c r="KJ141" s="188"/>
      <c r="KK141" s="188"/>
      <c r="KL141" s="188"/>
      <c r="KM141" s="188"/>
      <c r="KN141" s="188"/>
      <c r="KO141" s="188"/>
      <c r="KP141" s="188"/>
      <c r="KQ141" s="188"/>
      <c r="KR141" s="188"/>
      <c r="KS141" s="188"/>
      <c r="KT141" s="188"/>
      <c r="KU141" s="188"/>
      <c r="KV141" s="188"/>
      <c r="KW141" s="188"/>
      <c r="KX141" s="188"/>
      <c r="KY141" s="188"/>
      <c r="KZ141" s="188"/>
      <c r="LA141" s="188"/>
      <c r="LB141" s="188"/>
      <c r="LC141" s="188"/>
      <c r="LD141" s="188"/>
      <c r="LE141" s="188"/>
      <c r="LF141" s="188"/>
      <c r="LG141" s="188"/>
      <c r="LH141" s="188"/>
      <c r="LI141" s="188"/>
      <c r="LJ141" s="188"/>
      <c r="LK141" s="189"/>
      <c r="LL141" s="187"/>
      <c r="LM141" s="188"/>
      <c r="LN141" s="188"/>
      <c r="LO141" s="188"/>
      <c r="LP141" s="189"/>
      <c r="LY141" s="12"/>
      <c r="LZ141" s="7"/>
      <c r="MA141" s="3"/>
      <c r="MB141" s="3"/>
      <c r="MC141" s="3"/>
      <c r="MD141" s="3"/>
      <c r="ME141" s="2"/>
      <c r="MS141" s="3"/>
      <c r="MT141" s="3"/>
      <c r="MU141" s="3"/>
      <c r="MV141" s="3"/>
      <c r="MW141" s="3"/>
      <c r="MX141" s="2"/>
    </row>
    <row r="142" spans="3:362" ht="5.0999999999999996" customHeight="1" x14ac:dyDescent="0.3">
      <c r="C142" s="11"/>
      <c r="D142" s="13"/>
      <c r="Q142" s="187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9"/>
      <c r="BF142" s="187"/>
      <c r="BG142" s="188"/>
      <c r="BH142" s="188"/>
      <c r="BI142" s="188"/>
      <c r="BJ142" s="189"/>
      <c r="EN142" s="16"/>
      <c r="FL142" s="49"/>
      <c r="FM142" s="49"/>
      <c r="FN142" s="49"/>
      <c r="HP142" s="198"/>
      <c r="HQ142" s="199"/>
      <c r="HR142" s="199"/>
      <c r="HS142" s="199"/>
      <c r="HT142" s="199"/>
      <c r="HU142" s="199"/>
      <c r="HV142" s="199"/>
      <c r="HW142" s="199"/>
      <c r="HX142" s="199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199"/>
      <c r="IW142" s="199"/>
      <c r="IX142" s="199"/>
      <c r="IY142" s="199"/>
      <c r="IZ142" s="199"/>
      <c r="JA142" s="199"/>
      <c r="JB142" s="199"/>
      <c r="JC142" s="200"/>
      <c r="JD142" s="204"/>
      <c r="JE142" s="204"/>
      <c r="JF142" s="204"/>
      <c r="JG142" s="204"/>
      <c r="JH142" s="204"/>
      <c r="JI142" s="204"/>
      <c r="JJ142" s="19"/>
      <c r="JP142" s="155"/>
      <c r="JT142" s="16"/>
      <c r="JW142" s="187"/>
      <c r="JX142" s="188"/>
      <c r="JY142" s="188"/>
      <c r="JZ142" s="188"/>
      <c r="KA142" s="188"/>
      <c r="KB142" s="188"/>
      <c r="KC142" s="188"/>
      <c r="KD142" s="188"/>
      <c r="KE142" s="188"/>
      <c r="KF142" s="188"/>
      <c r="KG142" s="188"/>
      <c r="KH142" s="188"/>
      <c r="KI142" s="188"/>
      <c r="KJ142" s="188"/>
      <c r="KK142" s="188"/>
      <c r="KL142" s="188"/>
      <c r="KM142" s="188"/>
      <c r="KN142" s="188"/>
      <c r="KO142" s="188"/>
      <c r="KP142" s="188"/>
      <c r="KQ142" s="188"/>
      <c r="KR142" s="188"/>
      <c r="KS142" s="188"/>
      <c r="KT142" s="188"/>
      <c r="KU142" s="188"/>
      <c r="KV142" s="188"/>
      <c r="KW142" s="188"/>
      <c r="KX142" s="188"/>
      <c r="KY142" s="188"/>
      <c r="KZ142" s="188"/>
      <c r="LA142" s="188"/>
      <c r="LB142" s="188"/>
      <c r="LC142" s="188"/>
      <c r="LD142" s="188"/>
      <c r="LE142" s="188"/>
      <c r="LF142" s="188"/>
      <c r="LG142" s="188"/>
      <c r="LH142" s="188"/>
      <c r="LI142" s="188"/>
      <c r="LJ142" s="188"/>
      <c r="LK142" s="189"/>
      <c r="LL142" s="187"/>
      <c r="LM142" s="188"/>
      <c r="LN142" s="188"/>
      <c r="LO142" s="188"/>
      <c r="LP142" s="189"/>
      <c r="LY142" s="12"/>
      <c r="LZ142" s="7"/>
      <c r="MA142" s="3"/>
      <c r="MB142" s="3"/>
      <c r="MC142" s="3"/>
      <c r="MD142" s="3"/>
      <c r="ME142" s="2"/>
      <c r="MS142" s="3"/>
      <c r="MT142" s="3"/>
      <c r="MU142" s="3"/>
      <c r="MV142" s="3"/>
      <c r="MW142" s="3"/>
      <c r="MX142" s="2"/>
    </row>
    <row r="143" spans="3:362" ht="5.0999999999999996" customHeight="1" thickBot="1" x14ac:dyDescent="0.35">
      <c r="C143" s="11"/>
      <c r="D143" s="13"/>
      <c r="Q143" s="187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9"/>
      <c r="BF143" s="187"/>
      <c r="BG143" s="188"/>
      <c r="BH143" s="188"/>
      <c r="BI143" s="188"/>
      <c r="BJ143" s="189"/>
      <c r="EN143" s="16"/>
      <c r="FM143" s="49"/>
      <c r="FN143" s="49"/>
      <c r="FO143" s="49"/>
      <c r="HA143" s="49"/>
      <c r="HP143" s="198"/>
      <c r="HQ143" s="199"/>
      <c r="HR143" s="199"/>
      <c r="HS143" s="199"/>
      <c r="HT143" s="199"/>
      <c r="HU143" s="199"/>
      <c r="HV143" s="199"/>
      <c r="HW143" s="199"/>
      <c r="HX143" s="199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199"/>
      <c r="IW143" s="199"/>
      <c r="IX143" s="199"/>
      <c r="IY143" s="199"/>
      <c r="IZ143" s="199"/>
      <c r="JA143" s="199"/>
      <c r="JB143" s="199"/>
      <c r="JC143" s="200"/>
      <c r="JD143" s="204"/>
      <c r="JE143" s="204"/>
      <c r="JF143" s="204"/>
      <c r="JG143" s="204"/>
      <c r="JH143" s="204"/>
      <c r="JI143" s="204"/>
      <c r="JJ143" s="19"/>
      <c r="JP143" s="155"/>
      <c r="JT143" s="23"/>
      <c r="JU143" s="31"/>
      <c r="JV143" s="31"/>
      <c r="JW143" s="187"/>
      <c r="JX143" s="188"/>
      <c r="JY143" s="188"/>
      <c r="JZ143" s="188"/>
      <c r="KA143" s="188"/>
      <c r="KB143" s="188"/>
      <c r="KC143" s="188"/>
      <c r="KD143" s="188"/>
      <c r="KE143" s="188"/>
      <c r="KF143" s="188"/>
      <c r="KG143" s="188"/>
      <c r="KH143" s="188"/>
      <c r="KI143" s="188"/>
      <c r="KJ143" s="188"/>
      <c r="KK143" s="188"/>
      <c r="KL143" s="188"/>
      <c r="KM143" s="188"/>
      <c r="KN143" s="188"/>
      <c r="KO143" s="188"/>
      <c r="KP143" s="188"/>
      <c r="KQ143" s="188"/>
      <c r="KR143" s="188"/>
      <c r="KS143" s="188"/>
      <c r="KT143" s="188"/>
      <c r="KU143" s="188"/>
      <c r="KV143" s="188"/>
      <c r="KW143" s="188"/>
      <c r="KX143" s="188"/>
      <c r="KY143" s="188"/>
      <c r="KZ143" s="188"/>
      <c r="LA143" s="188"/>
      <c r="LB143" s="188"/>
      <c r="LC143" s="188"/>
      <c r="LD143" s="188"/>
      <c r="LE143" s="188"/>
      <c r="LF143" s="188"/>
      <c r="LG143" s="188"/>
      <c r="LH143" s="188"/>
      <c r="LI143" s="188"/>
      <c r="LJ143" s="188"/>
      <c r="LK143" s="189"/>
      <c r="LL143" s="187"/>
      <c r="LM143" s="188"/>
      <c r="LN143" s="188"/>
      <c r="LO143" s="188"/>
      <c r="LP143" s="189"/>
      <c r="LY143" s="12"/>
      <c r="LZ143" s="7"/>
      <c r="MA143" s="3"/>
      <c r="MB143" s="3"/>
      <c r="MC143" s="3"/>
      <c r="MD143" s="3"/>
      <c r="ME143" s="2"/>
      <c r="MS143" s="3"/>
      <c r="MT143" s="3"/>
      <c r="MU143" s="3"/>
      <c r="MV143" s="3"/>
      <c r="MW143" s="3"/>
      <c r="MX143" s="2"/>
    </row>
    <row r="144" spans="3:362" ht="5.0999999999999996" customHeight="1" thickBot="1" x14ac:dyDescent="0.35">
      <c r="C144" s="11"/>
      <c r="D144" s="13"/>
      <c r="Q144" s="187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9"/>
      <c r="BF144" s="187"/>
      <c r="BG144" s="188"/>
      <c r="BH144" s="188"/>
      <c r="BI144" s="188"/>
      <c r="BJ144" s="189"/>
      <c r="EN144" s="23"/>
      <c r="FM144" s="49"/>
      <c r="FN144" s="49"/>
      <c r="FO144" s="49"/>
      <c r="HP144" s="198"/>
      <c r="HQ144" s="199"/>
      <c r="HR144" s="199"/>
      <c r="HS144" s="199"/>
      <c r="HT144" s="199"/>
      <c r="HU144" s="199"/>
      <c r="HV144" s="199"/>
      <c r="HW144" s="199"/>
      <c r="HX144" s="199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199"/>
      <c r="IW144" s="199"/>
      <c r="IX144" s="199"/>
      <c r="IY144" s="199"/>
      <c r="IZ144" s="199"/>
      <c r="JA144" s="199"/>
      <c r="JB144" s="199"/>
      <c r="JC144" s="200"/>
      <c r="JD144" s="204"/>
      <c r="JE144" s="204"/>
      <c r="JF144" s="204"/>
      <c r="JG144" s="204"/>
      <c r="JH144" s="204"/>
      <c r="JI144" s="204"/>
      <c r="JJ144" s="19"/>
      <c r="JP144" s="155"/>
      <c r="JT144" s="16"/>
      <c r="JW144" s="187"/>
      <c r="JX144" s="188"/>
      <c r="JY144" s="188"/>
      <c r="JZ144" s="188"/>
      <c r="KA144" s="188"/>
      <c r="KB144" s="188"/>
      <c r="KC144" s="188"/>
      <c r="KD144" s="188"/>
      <c r="KE144" s="188"/>
      <c r="KF144" s="188"/>
      <c r="KG144" s="188"/>
      <c r="KH144" s="188"/>
      <c r="KI144" s="188"/>
      <c r="KJ144" s="188"/>
      <c r="KK144" s="188"/>
      <c r="KL144" s="188"/>
      <c r="KM144" s="188"/>
      <c r="KN144" s="188"/>
      <c r="KO144" s="188"/>
      <c r="KP144" s="188"/>
      <c r="KQ144" s="188"/>
      <c r="KR144" s="188"/>
      <c r="KS144" s="188"/>
      <c r="KT144" s="188"/>
      <c r="KU144" s="188"/>
      <c r="KV144" s="188"/>
      <c r="KW144" s="188"/>
      <c r="KX144" s="188"/>
      <c r="KY144" s="188"/>
      <c r="KZ144" s="188"/>
      <c r="LA144" s="188"/>
      <c r="LB144" s="188"/>
      <c r="LC144" s="188"/>
      <c r="LD144" s="188"/>
      <c r="LE144" s="188"/>
      <c r="LF144" s="188"/>
      <c r="LG144" s="188"/>
      <c r="LH144" s="188"/>
      <c r="LI144" s="188"/>
      <c r="LJ144" s="188"/>
      <c r="LK144" s="189"/>
      <c r="LL144" s="187"/>
      <c r="LM144" s="188"/>
      <c r="LN144" s="188"/>
      <c r="LO144" s="188"/>
      <c r="LP144" s="189"/>
      <c r="LY144" s="12"/>
      <c r="LZ144" s="7"/>
      <c r="MA144" s="3"/>
      <c r="MB144" s="3"/>
      <c r="MC144" s="3"/>
      <c r="MD144" s="3"/>
      <c r="ME144" s="2"/>
      <c r="MS144" s="3"/>
      <c r="MT144" s="3"/>
      <c r="MU144" s="3"/>
      <c r="MV144" s="3"/>
      <c r="MW144" s="3"/>
      <c r="MX144" s="2"/>
    </row>
    <row r="145" spans="3:362" ht="5.0999999999999996" customHeight="1" x14ac:dyDescent="0.3">
      <c r="C145" s="11"/>
      <c r="D145" s="13"/>
      <c r="Q145" s="187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9"/>
      <c r="BF145" s="187"/>
      <c r="BG145" s="188"/>
      <c r="BH145" s="188"/>
      <c r="BI145" s="188"/>
      <c r="BJ145" s="189"/>
      <c r="CN145" s="22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0"/>
      <c r="EN145" s="22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0"/>
      <c r="HP145" s="198"/>
      <c r="HQ145" s="199"/>
      <c r="HR145" s="199"/>
      <c r="HS145" s="199"/>
      <c r="HT145" s="199"/>
      <c r="HU145" s="199"/>
      <c r="HV145" s="199"/>
      <c r="HW145" s="199"/>
      <c r="HX145" s="199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199"/>
      <c r="IW145" s="199"/>
      <c r="IX145" s="199"/>
      <c r="IY145" s="199"/>
      <c r="IZ145" s="199"/>
      <c r="JA145" s="199"/>
      <c r="JB145" s="199"/>
      <c r="JC145" s="200"/>
      <c r="JD145" s="204"/>
      <c r="JE145" s="204"/>
      <c r="JF145" s="204"/>
      <c r="JG145" s="204"/>
      <c r="JH145" s="204"/>
      <c r="JI145" s="204"/>
      <c r="JJ145" s="19"/>
      <c r="JP145" s="155"/>
      <c r="JT145" s="16"/>
      <c r="JW145" s="187"/>
      <c r="JX145" s="188"/>
      <c r="JY145" s="188"/>
      <c r="JZ145" s="188"/>
      <c r="KA145" s="188"/>
      <c r="KB145" s="188"/>
      <c r="KC145" s="188"/>
      <c r="KD145" s="188"/>
      <c r="KE145" s="188"/>
      <c r="KF145" s="188"/>
      <c r="KG145" s="188"/>
      <c r="KH145" s="188"/>
      <c r="KI145" s="188"/>
      <c r="KJ145" s="188"/>
      <c r="KK145" s="188"/>
      <c r="KL145" s="188"/>
      <c r="KM145" s="188"/>
      <c r="KN145" s="188"/>
      <c r="KO145" s="188"/>
      <c r="KP145" s="188"/>
      <c r="KQ145" s="188"/>
      <c r="KR145" s="188"/>
      <c r="KS145" s="188"/>
      <c r="KT145" s="188"/>
      <c r="KU145" s="188"/>
      <c r="KV145" s="188"/>
      <c r="KW145" s="188"/>
      <c r="KX145" s="188"/>
      <c r="KY145" s="188"/>
      <c r="KZ145" s="188"/>
      <c r="LA145" s="188"/>
      <c r="LB145" s="188"/>
      <c r="LC145" s="188"/>
      <c r="LD145" s="188"/>
      <c r="LE145" s="188"/>
      <c r="LF145" s="188"/>
      <c r="LG145" s="188"/>
      <c r="LH145" s="188"/>
      <c r="LI145" s="188"/>
      <c r="LJ145" s="188"/>
      <c r="LK145" s="189"/>
      <c r="LL145" s="187"/>
      <c r="LM145" s="188"/>
      <c r="LN145" s="188"/>
      <c r="LO145" s="188"/>
      <c r="LP145" s="189"/>
      <c r="LY145" s="12"/>
      <c r="LZ145" s="7"/>
      <c r="MA145" s="3"/>
      <c r="MB145" s="3"/>
      <c r="MC145" s="3"/>
      <c r="MD145" s="3"/>
      <c r="ME145" s="2"/>
      <c r="MS145" s="3"/>
      <c r="MT145" s="3"/>
      <c r="MU145" s="3"/>
      <c r="MV145" s="3"/>
      <c r="MW145" s="3"/>
      <c r="MX145" s="2"/>
    </row>
    <row r="146" spans="3:362" ht="5.0999999999999996" customHeight="1" x14ac:dyDescent="0.3">
      <c r="C146" s="11"/>
      <c r="D146" s="13"/>
      <c r="Q146" s="187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E146" s="189"/>
      <c r="BF146" s="187"/>
      <c r="BG146" s="188"/>
      <c r="BH146" s="188"/>
      <c r="BI146" s="188"/>
      <c r="BJ146" s="189"/>
      <c r="CN146" s="16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19"/>
      <c r="EN146" s="15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50"/>
      <c r="HP146" s="198"/>
      <c r="HQ146" s="199"/>
      <c r="HR146" s="199"/>
      <c r="HS146" s="199"/>
      <c r="HT146" s="199"/>
      <c r="HU146" s="199"/>
      <c r="HV146" s="199"/>
      <c r="HW146" s="199"/>
      <c r="HX146" s="199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199"/>
      <c r="IW146" s="199"/>
      <c r="IX146" s="199"/>
      <c r="IY146" s="199"/>
      <c r="IZ146" s="199"/>
      <c r="JA146" s="199"/>
      <c r="JB146" s="199"/>
      <c r="JC146" s="200"/>
      <c r="JD146" s="204"/>
      <c r="JE146" s="204"/>
      <c r="JF146" s="204"/>
      <c r="JG146" s="204"/>
      <c r="JH146" s="204"/>
      <c r="JI146" s="204"/>
      <c r="JJ146" s="19"/>
      <c r="JP146" s="155"/>
      <c r="JT146" s="16"/>
      <c r="JW146" s="187"/>
      <c r="JX146" s="188"/>
      <c r="JY146" s="188"/>
      <c r="JZ146" s="188"/>
      <c r="KA146" s="188"/>
      <c r="KB146" s="188"/>
      <c r="KC146" s="188"/>
      <c r="KD146" s="188"/>
      <c r="KE146" s="188"/>
      <c r="KF146" s="188"/>
      <c r="KG146" s="188"/>
      <c r="KH146" s="188"/>
      <c r="KI146" s="188"/>
      <c r="KJ146" s="188"/>
      <c r="KK146" s="188"/>
      <c r="KL146" s="188"/>
      <c r="KM146" s="188"/>
      <c r="KN146" s="188"/>
      <c r="KO146" s="188"/>
      <c r="KP146" s="188"/>
      <c r="KQ146" s="188"/>
      <c r="KR146" s="188"/>
      <c r="KS146" s="188"/>
      <c r="KT146" s="188"/>
      <c r="KU146" s="188"/>
      <c r="KV146" s="188"/>
      <c r="KW146" s="188"/>
      <c r="KX146" s="188"/>
      <c r="KY146" s="188"/>
      <c r="KZ146" s="188"/>
      <c r="LA146" s="188"/>
      <c r="LB146" s="188"/>
      <c r="LC146" s="188"/>
      <c r="LD146" s="188"/>
      <c r="LE146" s="188"/>
      <c r="LF146" s="188"/>
      <c r="LG146" s="188"/>
      <c r="LH146" s="188"/>
      <c r="LI146" s="188"/>
      <c r="LJ146" s="188"/>
      <c r="LK146" s="189"/>
      <c r="LL146" s="187"/>
      <c r="LM146" s="188"/>
      <c r="LN146" s="188"/>
      <c r="LO146" s="188"/>
      <c r="LP146" s="189"/>
      <c r="LY146" s="12"/>
      <c r="LZ146" s="7"/>
      <c r="MA146" s="3"/>
      <c r="MB146" s="3"/>
      <c r="MC146" s="3"/>
      <c r="MD146" s="3"/>
      <c r="ME146" s="2"/>
      <c r="MS146" s="3"/>
      <c r="MT146" s="3"/>
      <c r="MU146" s="3"/>
      <c r="MV146" s="3"/>
      <c r="MW146" s="3"/>
      <c r="MX146" s="2"/>
    </row>
    <row r="147" spans="3:362" ht="5.0999999999999996" customHeight="1" x14ac:dyDescent="0.3">
      <c r="C147" s="11"/>
      <c r="D147" s="13"/>
      <c r="Q147" s="187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E147" s="189"/>
      <c r="BF147" s="187"/>
      <c r="BG147" s="188"/>
      <c r="BH147" s="188"/>
      <c r="BI147" s="188"/>
      <c r="BJ147" s="189"/>
      <c r="BS147" s="216" t="s">
        <v>7</v>
      </c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7"/>
      <c r="DE147" s="217"/>
      <c r="DF147" s="218"/>
      <c r="DG147" s="216">
        <f>SUM(DG161,DG173)</f>
        <v>14</v>
      </c>
      <c r="DH147" s="217"/>
      <c r="DI147" s="217"/>
      <c r="DJ147" s="217"/>
      <c r="DK147" s="218"/>
      <c r="DQ147" s="216" t="s">
        <v>6</v>
      </c>
      <c r="DR147" s="217"/>
      <c r="DS147" s="217"/>
      <c r="DT147" s="217"/>
      <c r="DU147" s="217"/>
      <c r="DV147" s="217"/>
      <c r="DW147" s="217"/>
      <c r="DX147" s="217"/>
      <c r="DY147" s="217"/>
      <c r="DZ147" s="217"/>
      <c r="EA147" s="217"/>
      <c r="EB147" s="217"/>
      <c r="EC147" s="217"/>
      <c r="ED147" s="217"/>
      <c r="EE147" s="217"/>
      <c r="EF147" s="217"/>
      <c r="EG147" s="217"/>
      <c r="EH147" s="217"/>
      <c r="EI147" s="217"/>
      <c r="EJ147" s="217"/>
      <c r="EK147" s="217"/>
      <c r="EL147" s="217"/>
      <c r="EM147" s="217"/>
      <c r="EN147" s="217"/>
      <c r="EO147" s="217"/>
      <c r="EP147" s="217"/>
      <c r="EQ147" s="217"/>
      <c r="ER147" s="217"/>
      <c r="ES147" s="217"/>
      <c r="ET147" s="217"/>
      <c r="EU147" s="217"/>
      <c r="EV147" s="217"/>
      <c r="EW147" s="217"/>
      <c r="EX147" s="217"/>
      <c r="EY147" s="217"/>
      <c r="EZ147" s="217"/>
      <c r="FA147" s="217"/>
      <c r="FB147" s="217"/>
      <c r="FC147" s="217"/>
      <c r="FD147" s="218"/>
      <c r="FE147" s="216">
        <f>SUM(FE161,FE171,FE181)</f>
        <v>7</v>
      </c>
      <c r="FF147" s="217"/>
      <c r="FG147" s="217"/>
      <c r="FH147" s="217"/>
      <c r="FI147" s="218"/>
      <c r="FN147" s="216" t="s">
        <v>5</v>
      </c>
      <c r="FO147" s="217"/>
      <c r="FP147" s="217"/>
      <c r="FQ147" s="217"/>
      <c r="FR147" s="217"/>
      <c r="FS147" s="217"/>
      <c r="FT147" s="217"/>
      <c r="FU147" s="217"/>
      <c r="FV147" s="217"/>
      <c r="FW147" s="217"/>
      <c r="FX147" s="217"/>
      <c r="FY147" s="217"/>
      <c r="FZ147" s="217"/>
      <c r="GA147" s="217"/>
      <c r="GB147" s="217"/>
      <c r="GC147" s="217"/>
      <c r="GD147" s="217"/>
      <c r="GE147" s="217"/>
      <c r="GF147" s="217"/>
      <c r="GG147" s="217"/>
      <c r="GH147" s="217"/>
      <c r="GI147" s="217"/>
      <c r="GJ147" s="217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7"/>
      <c r="GZ147" s="217"/>
      <c r="HA147" s="218"/>
      <c r="HB147" s="216">
        <f>SUM(HB161:HF200)</f>
        <v>5</v>
      </c>
      <c r="HC147" s="217"/>
      <c r="HD147" s="217"/>
      <c r="HE147" s="217"/>
      <c r="HF147" s="218"/>
      <c r="HP147" s="198"/>
      <c r="HQ147" s="199"/>
      <c r="HR147" s="199"/>
      <c r="HS147" s="199"/>
      <c r="HT147" s="199"/>
      <c r="HU147" s="199"/>
      <c r="HV147" s="199"/>
      <c r="HW147" s="199"/>
      <c r="HX147" s="199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199"/>
      <c r="IW147" s="199"/>
      <c r="IX147" s="199"/>
      <c r="IY147" s="199"/>
      <c r="IZ147" s="199"/>
      <c r="JA147" s="199"/>
      <c r="JB147" s="199"/>
      <c r="JC147" s="200"/>
      <c r="JD147" s="204"/>
      <c r="JE147" s="204"/>
      <c r="JF147" s="204"/>
      <c r="JG147" s="204"/>
      <c r="JH147" s="204"/>
      <c r="JI147" s="204"/>
      <c r="JJ147" s="19"/>
      <c r="JP147" s="155"/>
      <c r="JT147" s="16"/>
      <c r="JW147" s="187"/>
      <c r="JX147" s="188"/>
      <c r="JY147" s="188"/>
      <c r="JZ147" s="188"/>
      <c r="KA147" s="188"/>
      <c r="KB147" s="188"/>
      <c r="KC147" s="188"/>
      <c r="KD147" s="188"/>
      <c r="KE147" s="188"/>
      <c r="KF147" s="188"/>
      <c r="KG147" s="188"/>
      <c r="KH147" s="188"/>
      <c r="KI147" s="188"/>
      <c r="KJ147" s="188"/>
      <c r="KK147" s="188"/>
      <c r="KL147" s="188"/>
      <c r="KM147" s="188"/>
      <c r="KN147" s="188"/>
      <c r="KO147" s="188"/>
      <c r="KP147" s="188"/>
      <c r="KQ147" s="188"/>
      <c r="KR147" s="188"/>
      <c r="KS147" s="188"/>
      <c r="KT147" s="188"/>
      <c r="KU147" s="188"/>
      <c r="KV147" s="188"/>
      <c r="KW147" s="188"/>
      <c r="KX147" s="188"/>
      <c r="KY147" s="188"/>
      <c r="KZ147" s="188"/>
      <c r="LA147" s="188"/>
      <c r="LB147" s="188"/>
      <c r="LC147" s="188"/>
      <c r="LD147" s="188"/>
      <c r="LE147" s="188"/>
      <c r="LF147" s="188"/>
      <c r="LG147" s="188"/>
      <c r="LH147" s="188"/>
      <c r="LI147" s="188"/>
      <c r="LJ147" s="188"/>
      <c r="LK147" s="189"/>
      <c r="LL147" s="187"/>
      <c r="LM147" s="188"/>
      <c r="LN147" s="188"/>
      <c r="LO147" s="188"/>
      <c r="LP147" s="189"/>
      <c r="LY147" s="12"/>
      <c r="LZ147" s="7"/>
      <c r="MA147" s="3"/>
      <c r="MB147" s="3"/>
      <c r="MC147" s="3"/>
      <c r="MD147" s="3"/>
      <c r="ME147" s="2"/>
      <c r="MS147" s="3"/>
      <c r="MT147" s="3"/>
      <c r="MU147" s="3"/>
      <c r="MV147" s="3"/>
      <c r="MW147" s="3"/>
      <c r="MX147" s="2"/>
    </row>
    <row r="148" spans="3:362" ht="5.0999999999999996" customHeight="1" thickBot="1" x14ac:dyDescent="0.35">
      <c r="C148" s="11"/>
      <c r="D148" s="13"/>
      <c r="Q148" s="187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E148" s="189"/>
      <c r="BF148" s="187"/>
      <c r="BG148" s="188"/>
      <c r="BH148" s="188"/>
      <c r="BI148" s="188"/>
      <c r="BJ148" s="189"/>
      <c r="BS148" s="219"/>
      <c r="BT148" s="220"/>
      <c r="BU148" s="220"/>
      <c r="BV148" s="220"/>
      <c r="BW148" s="220"/>
      <c r="BX148" s="220"/>
      <c r="BY148" s="220"/>
      <c r="BZ148" s="220"/>
      <c r="CA148" s="220"/>
      <c r="CB148" s="220"/>
      <c r="CC148" s="220"/>
      <c r="CD148" s="220"/>
      <c r="CE148" s="220"/>
      <c r="CF148" s="220"/>
      <c r="CG148" s="220"/>
      <c r="CH148" s="220"/>
      <c r="CI148" s="220"/>
      <c r="CJ148" s="220"/>
      <c r="CK148" s="220"/>
      <c r="CL148" s="220"/>
      <c r="CM148" s="220"/>
      <c r="CN148" s="220"/>
      <c r="CO148" s="220"/>
      <c r="CP148" s="220"/>
      <c r="CQ148" s="220"/>
      <c r="CR148" s="220"/>
      <c r="CS148" s="220"/>
      <c r="CT148" s="220"/>
      <c r="CU148" s="220"/>
      <c r="CV148" s="220"/>
      <c r="CW148" s="220"/>
      <c r="CX148" s="220"/>
      <c r="CY148" s="220"/>
      <c r="CZ148" s="220"/>
      <c r="DA148" s="220"/>
      <c r="DB148" s="220"/>
      <c r="DC148" s="220"/>
      <c r="DD148" s="220"/>
      <c r="DE148" s="220"/>
      <c r="DF148" s="221"/>
      <c r="DG148" s="219"/>
      <c r="DH148" s="220"/>
      <c r="DI148" s="220"/>
      <c r="DJ148" s="220"/>
      <c r="DK148" s="221"/>
      <c r="DQ148" s="219"/>
      <c r="DR148" s="220"/>
      <c r="DS148" s="220"/>
      <c r="DT148" s="220"/>
      <c r="DU148" s="220"/>
      <c r="DV148" s="220"/>
      <c r="DW148" s="220"/>
      <c r="DX148" s="220"/>
      <c r="DY148" s="220"/>
      <c r="DZ148" s="220"/>
      <c r="EA148" s="220"/>
      <c r="EB148" s="220"/>
      <c r="EC148" s="220"/>
      <c r="ED148" s="220"/>
      <c r="EE148" s="220"/>
      <c r="EF148" s="220"/>
      <c r="EG148" s="220"/>
      <c r="EH148" s="220"/>
      <c r="EI148" s="220"/>
      <c r="EJ148" s="220"/>
      <c r="EK148" s="220"/>
      <c r="EL148" s="220"/>
      <c r="EM148" s="220"/>
      <c r="EN148" s="220"/>
      <c r="EO148" s="220"/>
      <c r="EP148" s="220"/>
      <c r="EQ148" s="220"/>
      <c r="ER148" s="220"/>
      <c r="ES148" s="220"/>
      <c r="ET148" s="220"/>
      <c r="EU148" s="220"/>
      <c r="EV148" s="220"/>
      <c r="EW148" s="220"/>
      <c r="EX148" s="220"/>
      <c r="EY148" s="220"/>
      <c r="EZ148" s="220"/>
      <c r="FA148" s="220"/>
      <c r="FB148" s="220"/>
      <c r="FC148" s="220"/>
      <c r="FD148" s="221"/>
      <c r="FE148" s="219"/>
      <c r="FF148" s="220"/>
      <c r="FG148" s="220"/>
      <c r="FH148" s="220"/>
      <c r="FI148" s="221"/>
      <c r="FN148" s="219"/>
      <c r="FO148" s="220"/>
      <c r="FP148" s="220"/>
      <c r="FQ148" s="220"/>
      <c r="FR148" s="220"/>
      <c r="FS148" s="220"/>
      <c r="FT148" s="220"/>
      <c r="FU148" s="220"/>
      <c r="FV148" s="220"/>
      <c r="FW148" s="220"/>
      <c r="FX148" s="220"/>
      <c r="FY148" s="220"/>
      <c r="FZ148" s="220"/>
      <c r="GA148" s="220"/>
      <c r="GB148" s="220"/>
      <c r="GC148" s="220"/>
      <c r="GD148" s="220"/>
      <c r="GE148" s="220"/>
      <c r="GF148" s="220"/>
      <c r="GG148" s="220"/>
      <c r="GH148" s="220"/>
      <c r="GI148" s="220"/>
      <c r="GJ148" s="220"/>
      <c r="GK148" s="220"/>
      <c r="GL148" s="220"/>
      <c r="GM148" s="220"/>
      <c r="GN148" s="220"/>
      <c r="GO148" s="220"/>
      <c r="GP148" s="220"/>
      <c r="GQ148" s="220"/>
      <c r="GR148" s="220"/>
      <c r="GS148" s="220"/>
      <c r="GT148" s="220"/>
      <c r="GU148" s="220"/>
      <c r="GV148" s="220"/>
      <c r="GW148" s="220"/>
      <c r="GX148" s="220"/>
      <c r="GY148" s="220"/>
      <c r="GZ148" s="220"/>
      <c r="HA148" s="221"/>
      <c r="HB148" s="219"/>
      <c r="HC148" s="220"/>
      <c r="HD148" s="220"/>
      <c r="HE148" s="220"/>
      <c r="HF148" s="221"/>
      <c r="HP148" s="201"/>
      <c r="HQ148" s="202"/>
      <c r="HR148" s="202"/>
      <c r="HS148" s="202"/>
      <c r="HT148" s="202"/>
      <c r="HU148" s="202"/>
      <c r="HV148" s="202"/>
      <c r="HW148" s="202"/>
      <c r="HX148" s="202"/>
      <c r="HY148" s="202"/>
      <c r="HZ148" s="202"/>
      <c r="IA148" s="202"/>
      <c r="IB148" s="202"/>
      <c r="IC148" s="202"/>
      <c r="ID148" s="202"/>
      <c r="IE148" s="202"/>
      <c r="IF148" s="202"/>
      <c r="IG148" s="202"/>
      <c r="IH148" s="202"/>
      <c r="II148" s="202"/>
      <c r="IJ148" s="202"/>
      <c r="IK148" s="202"/>
      <c r="IL148" s="202"/>
      <c r="IM148" s="202"/>
      <c r="IN148" s="202"/>
      <c r="IO148" s="202"/>
      <c r="IP148" s="202"/>
      <c r="IQ148" s="202"/>
      <c r="IR148" s="202"/>
      <c r="IS148" s="202"/>
      <c r="IT148" s="202"/>
      <c r="IU148" s="202"/>
      <c r="IV148" s="202"/>
      <c r="IW148" s="202"/>
      <c r="IX148" s="202"/>
      <c r="IY148" s="202"/>
      <c r="IZ148" s="202"/>
      <c r="JA148" s="202"/>
      <c r="JB148" s="202"/>
      <c r="JC148" s="203"/>
      <c r="JD148" s="204"/>
      <c r="JE148" s="204"/>
      <c r="JF148" s="204"/>
      <c r="JG148" s="204"/>
      <c r="JH148" s="204"/>
      <c r="JI148" s="204"/>
      <c r="JJ148" s="19"/>
      <c r="JP148" s="155"/>
      <c r="JT148" s="16"/>
      <c r="JW148" s="190"/>
      <c r="JX148" s="191"/>
      <c r="JY148" s="191"/>
      <c r="JZ148" s="191"/>
      <c r="KA148" s="191"/>
      <c r="KB148" s="191"/>
      <c r="KC148" s="191"/>
      <c r="KD148" s="191"/>
      <c r="KE148" s="191"/>
      <c r="KF148" s="191"/>
      <c r="KG148" s="191"/>
      <c r="KH148" s="191"/>
      <c r="KI148" s="191"/>
      <c r="KJ148" s="191"/>
      <c r="KK148" s="191"/>
      <c r="KL148" s="191"/>
      <c r="KM148" s="191"/>
      <c r="KN148" s="191"/>
      <c r="KO148" s="191"/>
      <c r="KP148" s="191"/>
      <c r="KQ148" s="191"/>
      <c r="KR148" s="191"/>
      <c r="KS148" s="191"/>
      <c r="KT148" s="191"/>
      <c r="KU148" s="191"/>
      <c r="KV148" s="191"/>
      <c r="KW148" s="191"/>
      <c r="KX148" s="191"/>
      <c r="KY148" s="191"/>
      <c r="KZ148" s="191"/>
      <c r="LA148" s="191"/>
      <c r="LB148" s="191"/>
      <c r="LC148" s="191"/>
      <c r="LD148" s="191"/>
      <c r="LE148" s="191"/>
      <c r="LF148" s="191"/>
      <c r="LG148" s="191"/>
      <c r="LH148" s="191"/>
      <c r="LI148" s="191"/>
      <c r="LJ148" s="191"/>
      <c r="LK148" s="192"/>
      <c r="LL148" s="190"/>
      <c r="LM148" s="191"/>
      <c r="LN148" s="191"/>
      <c r="LO148" s="191"/>
      <c r="LP148" s="192"/>
      <c r="LY148" s="12"/>
      <c r="LZ148" s="7"/>
      <c r="MA148" s="3"/>
      <c r="MB148" s="3"/>
      <c r="MC148" s="3"/>
      <c r="MD148" s="3"/>
      <c r="ME148" s="2"/>
      <c r="MS148" s="3"/>
      <c r="MT148" s="3"/>
      <c r="MU148" s="3"/>
      <c r="MV148" s="3"/>
      <c r="MW148" s="3"/>
      <c r="MX148" s="2"/>
    </row>
    <row r="149" spans="3:362" ht="5.0999999999999996" customHeight="1" x14ac:dyDescent="0.3">
      <c r="C149" s="11"/>
      <c r="D149" s="13"/>
      <c r="Q149" s="187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E149" s="189"/>
      <c r="BF149" s="187"/>
      <c r="BG149" s="188"/>
      <c r="BH149" s="188"/>
      <c r="BI149" s="188"/>
      <c r="BJ149" s="189"/>
      <c r="BS149" s="219"/>
      <c r="BT149" s="220"/>
      <c r="BU149" s="220"/>
      <c r="BV149" s="220"/>
      <c r="BW149" s="220"/>
      <c r="BX149" s="220"/>
      <c r="BY149" s="220"/>
      <c r="BZ149" s="220"/>
      <c r="CA149" s="220"/>
      <c r="CB149" s="220"/>
      <c r="CC149" s="220"/>
      <c r="CD149" s="220"/>
      <c r="CE149" s="220"/>
      <c r="CF149" s="220"/>
      <c r="CG149" s="220"/>
      <c r="CH149" s="220"/>
      <c r="CI149" s="220"/>
      <c r="CJ149" s="220"/>
      <c r="CK149" s="220"/>
      <c r="CL149" s="220"/>
      <c r="CM149" s="220"/>
      <c r="CN149" s="220"/>
      <c r="CO149" s="220"/>
      <c r="CP149" s="220"/>
      <c r="CQ149" s="220"/>
      <c r="CR149" s="220"/>
      <c r="CS149" s="220"/>
      <c r="CT149" s="220"/>
      <c r="CU149" s="220"/>
      <c r="CV149" s="220"/>
      <c r="CW149" s="220"/>
      <c r="CX149" s="220"/>
      <c r="CY149" s="220"/>
      <c r="CZ149" s="220"/>
      <c r="DA149" s="220"/>
      <c r="DB149" s="220"/>
      <c r="DC149" s="220"/>
      <c r="DD149" s="220"/>
      <c r="DE149" s="220"/>
      <c r="DF149" s="221"/>
      <c r="DG149" s="219"/>
      <c r="DH149" s="220"/>
      <c r="DI149" s="220"/>
      <c r="DJ149" s="220"/>
      <c r="DK149" s="221"/>
      <c r="DQ149" s="219"/>
      <c r="DR149" s="220"/>
      <c r="DS149" s="220"/>
      <c r="DT149" s="220"/>
      <c r="DU149" s="220"/>
      <c r="DV149" s="220"/>
      <c r="DW149" s="220"/>
      <c r="DX149" s="220"/>
      <c r="DY149" s="220"/>
      <c r="DZ149" s="220"/>
      <c r="EA149" s="220"/>
      <c r="EB149" s="220"/>
      <c r="EC149" s="220"/>
      <c r="ED149" s="220"/>
      <c r="EE149" s="220"/>
      <c r="EF149" s="220"/>
      <c r="EG149" s="220"/>
      <c r="EH149" s="220"/>
      <c r="EI149" s="220"/>
      <c r="EJ149" s="220"/>
      <c r="EK149" s="220"/>
      <c r="EL149" s="220"/>
      <c r="EM149" s="220"/>
      <c r="EN149" s="220"/>
      <c r="EO149" s="220"/>
      <c r="EP149" s="220"/>
      <c r="EQ149" s="220"/>
      <c r="ER149" s="220"/>
      <c r="ES149" s="220"/>
      <c r="ET149" s="220"/>
      <c r="EU149" s="220"/>
      <c r="EV149" s="220"/>
      <c r="EW149" s="220"/>
      <c r="EX149" s="220"/>
      <c r="EY149" s="220"/>
      <c r="EZ149" s="220"/>
      <c r="FA149" s="220"/>
      <c r="FB149" s="220"/>
      <c r="FC149" s="220"/>
      <c r="FD149" s="221"/>
      <c r="FE149" s="219"/>
      <c r="FF149" s="220"/>
      <c r="FG149" s="220"/>
      <c r="FH149" s="220"/>
      <c r="FI149" s="221"/>
      <c r="FN149" s="219"/>
      <c r="FO149" s="220"/>
      <c r="FP149" s="220"/>
      <c r="FQ149" s="220"/>
      <c r="FR149" s="220"/>
      <c r="FS149" s="220"/>
      <c r="FT149" s="220"/>
      <c r="FU149" s="220"/>
      <c r="FV149" s="220"/>
      <c r="FW149" s="220"/>
      <c r="FX149" s="220"/>
      <c r="FY149" s="220"/>
      <c r="FZ149" s="220"/>
      <c r="GA149" s="220"/>
      <c r="GB149" s="220"/>
      <c r="GC149" s="220"/>
      <c r="GD149" s="220"/>
      <c r="GE149" s="220"/>
      <c r="GF149" s="220"/>
      <c r="GG149" s="220"/>
      <c r="GH149" s="220"/>
      <c r="GI149" s="220"/>
      <c r="GJ149" s="220"/>
      <c r="GK149" s="220"/>
      <c r="GL149" s="220"/>
      <c r="GM149" s="220"/>
      <c r="GN149" s="220"/>
      <c r="GO149" s="220"/>
      <c r="GP149" s="220"/>
      <c r="GQ149" s="220"/>
      <c r="GR149" s="220"/>
      <c r="GS149" s="220"/>
      <c r="GT149" s="220"/>
      <c r="GU149" s="220"/>
      <c r="GV149" s="220"/>
      <c r="GW149" s="220"/>
      <c r="GX149" s="220"/>
      <c r="GY149" s="220"/>
      <c r="GZ149" s="220"/>
      <c r="HA149" s="221"/>
      <c r="HB149" s="219"/>
      <c r="HC149" s="220"/>
      <c r="HD149" s="220"/>
      <c r="HE149" s="220"/>
      <c r="HF149" s="221"/>
      <c r="HP149" s="184" t="s">
        <v>4</v>
      </c>
      <c r="HQ149" s="185"/>
      <c r="HR149" s="185"/>
      <c r="HS149" s="185"/>
      <c r="HT149" s="185"/>
      <c r="HU149" s="185"/>
      <c r="HV149" s="185"/>
      <c r="HW149" s="185"/>
      <c r="HX149" s="185"/>
      <c r="HY149" s="185"/>
      <c r="HZ149" s="185"/>
      <c r="IA149" s="185"/>
      <c r="IB149" s="185"/>
      <c r="IC149" s="185"/>
      <c r="ID149" s="185"/>
      <c r="IE149" s="185"/>
      <c r="IF149" s="185"/>
      <c r="IG149" s="185"/>
      <c r="IH149" s="185"/>
      <c r="II149" s="185"/>
      <c r="IJ149" s="185"/>
      <c r="IK149" s="185"/>
      <c r="IL149" s="185"/>
      <c r="IM149" s="185"/>
      <c r="IN149" s="185"/>
      <c r="IO149" s="185"/>
      <c r="IP149" s="185"/>
      <c r="IQ149" s="185"/>
      <c r="IR149" s="185"/>
      <c r="IS149" s="185"/>
      <c r="IT149" s="185"/>
      <c r="IU149" s="185"/>
      <c r="IV149" s="185"/>
      <c r="IW149" s="185"/>
      <c r="IX149" s="185"/>
      <c r="IY149" s="185"/>
      <c r="IZ149" s="185"/>
      <c r="JA149" s="185"/>
      <c r="JB149" s="185"/>
      <c r="JC149" s="186"/>
      <c r="JD149" s="184">
        <v>50</v>
      </c>
      <c r="JE149" s="185"/>
      <c r="JF149" s="185"/>
      <c r="JG149" s="185"/>
      <c r="JH149" s="185"/>
      <c r="JI149" s="186"/>
      <c r="JJ149" s="52"/>
      <c r="JP149" s="155"/>
      <c r="JT149" s="16"/>
      <c r="KR149" s="152"/>
      <c r="LY149" s="12"/>
      <c r="LZ149" s="7"/>
      <c r="MA149" s="3"/>
      <c r="MB149" s="3"/>
      <c r="MC149" s="3"/>
      <c r="MD149" s="3"/>
      <c r="ME149" s="2"/>
      <c r="MS149" s="3"/>
      <c r="MT149" s="3"/>
      <c r="MU149" s="3"/>
      <c r="MV149" s="3"/>
      <c r="MW149" s="3"/>
      <c r="MX149" s="2"/>
    </row>
    <row r="150" spans="3:362" ht="5.0999999999999996" customHeight="1" x14ac:dyDescent="0.3">
      <c r="C150" s="11"/>
      <c r="D150" s="13"/>
      <c r="Q150" s="190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2"/>
      <c r="BF150" s="190"/>
      <c r="BG150" s="191"/>
      <c r="BH150" s="191"/>
      <c r="BI150" s="191"/>
      <c r="BJ150" s="192"/>
      <c r="BS150" s="219"/>
      <c r="BT150" s="220"/>
      <c r="BU150" s="220"/>
      <c r="BV150" s="220"/>
      <c r="BW150" s="220"/>
      <c r="BX150" s="220"/>
      <c r="BY150" s="220"/>
      <c r="BZ150" s="220"/>
      <c r="CA150" s="220"/>
      <c r="CB150" s="220"/>
      <c r="CC150" s="220"/>
      <c r="CD150" s="220"/>
      <c r="CE150" s="220"/>
      <c r="CF150" s="220"/>
      <c r="CG150" s="220"/>
      <c r="CH150" s="220"/>
      <c r="CI150" s="220"/>
      <c r="CJ150" s="220"/>
      <c r="CK150" s="220"/>
      <c r="CL150" s="220"/>
      <c r="CM150" s="220"/>
      <c r="CN150" s="220"/>
      <c r="CO150" s="220"/>
      <c r="CP150" s="220"/>
      <c r="CQ150" s="220"/>
      <c r="CR150" s="220"/>
      <c r="CS150" s="220"/>
      <c r="CT150" s="220"/>
      <c r="CU150" s="220"/>
      <c r="CV150" s="220"/>
      <c r="CW150" s="220"/>
      <c r="CX150" s="220"/>
      <c r="CY150" s="220"/>
      <c r="CZ150" s="220"/>
      <c r="DA150" s="220"/>
      <c r="DB150" s="220"/>
      <c r="DC150" s="220"/>
      <c r="DD150" s="220"/>
      <c r="DE150" s="220"/>
      <c r="DF150" s="221"/>
      <c r="DG150" s="219"/>
      <c r="DH150" s="220"/>
      <c r="DI150" s="220"/>
      <c r="DJ150" s="220"/>
      <c r="DK150" s="221"/>
      <c r="DQ150" s="219"/>
      <c r="DR150" s="220"/>
      <c r="DS150" s="220"/>
      <c r="DT150" s="220"/>
      <c r="DU150" s="220"/>
      <c r="DV150" s="220"/>
      <c r="DW150" s="220"/>
      <c r="DX150" s="220"/>
      <c r="DY150" s="220"/>
      <c r="DZ150" s="220"/>
      <c r="EA150" s="220"/>
      <c r="EB150" s="220"/>
      <c r="EC150" s="220"/>
      <c r="ED150" s="220"/>
      <c r="EE150" s="220"/>
      <c r="EF150" s="220"/>
      <c r="EG150" s="220"/>
      <c r="EH150" s="220"/>
      <c r="EI150" s="220"/>
      <c r="EJ150" s="220"/>
      <c r="EK150" s="220"/>
      <c r="EL150" s="220"/>
      <c r="EM150" s="220"/>
      <c r="EN150" s="220"/>
      <c r="EO150" s="220"/>
      <c r="EP150" s="220"/>
      <c r="EQ150" s="220"/>
      <c r="ER150" s="220"/>
      <c r="ES150" s="220"/>
      <c r="ET150" s="220"/>
      <c r="EU150" s="220"/>
      <c r="EV150" s="220"/>
      <c r="EW150" s="220"/>
      <c r="EX150" s="220"/>
      <c r="EY150" s="220"/>
      <c r="EZ150" s="220"/>
      <c r="FA150" s="220"/>
      <c r="FB150" s="220"/>
      <c r="FC150" s="220"/>
      <c r="FD150" s="221"/>
      <c r="FE150" s="219"/>
      <c r="FF150" s="220"/>
      <c r="FG150" s="220"/>
      <c r="FH150" s="220"/>
      <c r="FI150" s="221"/>
      <c r="FN150" s="219"/>
      <c r="FO150" s="220"/>
      <c r="FP150" s="220"/>
      <c r="FQ150" s="220"/>
      <c r="FR150" s="220"/>
      <c r="FS150" s="220"/>
      <c r="FT150" s="220"/>
      <c r="FU150" s="220"/>
      <c r="FV150" s="220"/>
      <c r="FW150" s="220"/>
      <c r="FX150" s="220"/>
      <c r="FY150" s="220"/>
      <c r="FZ150" s="220"/>
      <c r="GA150" s="220"/>
      <c r="GB150" s="220"/>
      <c r="GC150" s="220"/>
      <c r="GD150" s="220"/>
      <c r="GE150" s="220"/>
      <c r="GF150" s="220"/>
      <c r="GG150" s="220"/>
      <c r="GH150" s="220"/>
      <c r="GI150" s="220"/>
      <c r="GJ150" s="220"/>
      <c r="GK150" s="220"/>
      <c r="GL150" s="220"/>
      <c r="GM150" s="220"/>
      <c r="GN150" s="220"/>
      <c r="GO150" s="220"/>
      <c r="GP150" s="220"/>
      <c r="GQ150" s="220"/>
      <c r="GR150" s="220"/>
      <c r="GS150" s="220"/>
      <c r="GT150" s="220"/>
      <c r="GU150" s="220"/>
      <c r="GV150" s="220"/>
      <c r="GW150" s="220"/>
      <c r="GX150" s="220"/>
      <c r="GY150" s="220"/>
      <c r="GZ150" s="220"/>
      <c r="HA150" s="221"/>
      <c r="HB150" s="219"/>
      <c r="HC150" s="220"/>
      <c r="HD150" s="220"/>
      <c r="HE150" s="220"/>
      <c r="HF150" s="221"/>
      <c r="HP150" s="187"/>
      <c r="HQ150" s="188"/>
      <c r="HR150" s="188"/>
      <c r="HS150" s="188"/>
      <c r="HT150" s="188"/>
      <c r="HU150" s="188"/>
      <c r="HV150" s="188"/>
      <c r="HW150" s="188"/>
      <c r="HX150" s="188"/>
      <c r="HY150" s="188"/>
      <c r="HZ150" s="188"/>
      <c r="IA150" s="188"/>
      <c r="IB150" s="188"/>
      <c r="IC150" s="188"/>
      <c r="ID150" s="188"/>
      <c r="IE150" s="188"/>
      <c r="IF150" s="188"/>
      <c r="IG150" s="188"/>
      <c r="IH150" s="188"/>
      <c r="II150" s="188"/>
      <c r="IJ150" s="188"/>
      <c r="IK150" s="188"/>
      <c r="IL150" s="188"/>
      <c r="IM150" s="188"/>
      <c r="IN150" s="188"/>
      <c r="IO150" s="188"/>
      <c r="IP150" s="188"/>
      <c r="IQ150" s="188"/>
      <c r="IR150" s="188"/>
      <c r="IS150" s="188"/>
      <c r="IT150" s="188"/>
      <c r="IU150" s="188"/>
      <c r="IV150" s="188"/>
      <c r="IW150" s="188"/>
      <c r="IX150" s="188"/>
      <c r="IY150" s="188"/>
      <c r="IZ150" s="188"/>
      <c r="JA150" s="188"/>
      <c r="JB150" s="188"/>
      <c r="JC150" s="189"/>
      <c r="JD150" s="187"/>
      <c r="JE150" s="188"/>
      <c r="JF150" s="188"/>
      <c r="JG150" s="188"/>
      <c r="JH150" s="188"/>
      <c r="JI150" s="189"/>
      <c r="JJ150" s="19"/>
      <c r="JP150" s="155"/>
      <c r="JT150" s="16"/>
      <c r="JW150" s="184" t="s">
        <v>46</v>
      </c>
      <c r="JX150" s="185"/>
      <c r="JY150" s="185"/>
      <c r="JZ150" s="185"/>
      <c r="KA150" s="185"/>
      <c r="KB150" s="185"/>
      <c r="KC150" s="185"/>
      <c r="KD150" s="185"/>
      <c r="KE150" s="185"/>
      <c r="KF150" s="185"/>
      <c r="KG150" s="185"/>
      <c r="KH150" s="185"/>
      <c r="KI150" s="185"/>
      <c r="KJ150" s="185"/>
      <c r="KK150" s="185"/>
      <c r="KL150" s="185"/>
      <c r="KM150" s="185"/>
      <c r="KN150" s="185"/>
      <c r="KO150" s="185"/>
      <c r="KP150" s="185"/>
      <c r="KQ150" s="185"/>
      <c r="KR150" s="185"/>
      <c r="KS150" s="185"/>
      <c r="KT150" s="185"/>
      <c r="KU150" s="185"/>
      <c r="KV150" s="185"/>
      <c r="KW150" s="185"/>
      <c r="KX150" s="185"/>
      <c r="KY150" s="185"/>
      <c r="KZ150" s="185"/>
      <c r="LA150" s="185"/>
      <c r="LB150" s="185"/>
      <c r="LC150" s="185"/>
      <c r="LD150" s="185"/>
      <c r="LE150" s="185"/>
      <c r="LF150" s="185"/>
      <c r="LG150" s="185"/>
      <c r="LH150" s="185"/>
      <c r="LI150" s="185"/>
      <c r="LJ150" s="185"/>
      <c r="LK150" s="186"/>
      <c r="LL150" s="184">
        <v>2</v>
      </c>
      <c r="LM150" s="185"/>
      <c r="LN150" s="185"/>
      <c r="LO150" s="185"/>
      <c r="LP150" s="186"/>
      <c r="LY150" s="12"/>
      <c r="LZ150" s="7"/>
      <c r="MA150" s="3"/>
      <c r="MB150" s="3"/>
      <c r="MC150" s="3"/>
      <c r="MD150" s="3"/>
      <c r="ME150" s="2"/>
      <c r="MS150" s="3"/>
      <c r="MT150" s="3"/>
      <c r="MU150" s="3"/>
      <c r="MV150" s="3"/>
      <c r="MW150" s="3"/>
      <c r="MX150" s="2"/>
    </row>
    <row r="151" spans="3:362" ht="5.0999999999999996" customHeight="1" x14ac:dyDescent="0.3">
      <c r="C151" s="11"/>
      <c r="D151" s="13"/>
      <c r="Q151" s="184" t="s">
        <v>45</v>
      </c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6"/>
      <c r="BF151" s="184">
        <v>4</v>
      </c>
      <c r="BG151" s="185"/>
      <c r="BH151" s="185"/>
      <c r="BI151" s="185"/>
      <c r="BJ151" s="186"/>
      <c r="BS151" s="219"/>
      <c r="BT151" s="220"/>
      <c r="BU151" s="220"/>
      <c r="BV151" s="220"/>
      <c r="BW151" s="220"/>
      <c r="BX151" s="220"/>
      <c r="BY151" s="220"/>
      <c r="BZ151" s="220"/>
      <c r="CA151" s="220"/>
      <c r="CB151" s="220"/>
      <c r="CC151" s="220"/>
      <c r="CD151" s="220"/>
      <c r="CE151" s="220"/>
      <c r="CF151" s="220"/>
      <c r="CG151" s="220"/>
      <c r="CH151" s="220"/>
      <c r="CI151" s="220"/>
      <c r="CJ151" s="220"/>
      <c r="CK151" s="220"/>
      <c r="CL151" s="220"/>
      <c r="CM151" s="220"/>
      <c r="CN151" s="220"/>
      <c r="CO151" s="220"/>
      <c r="CP151" s="220"/>
      <c r="CQ151" s="220"/>
      <c r="CR151" s="220"/>
      <c r="CS151" s="220"/>
      <c r="CT151" s="220"/>
      <c r="CU151" s="220"/>
      <c r="CV151" s="220"/>
      <c r="CW151" s="220"/>
      <c r="CX151" s="220"/>
      <c r="CY151" s="220"/>
      <c r="CZ151" s="220"/>
      <c r="DA151" s="220"/>
      <c r="DB151" s="220"/>
      <c r="DC151" s="220"/>
      <c r="DD151" s="220"/>
      <c r="DE151" s="220"/>
      <c r="DF151" s="221"/>
      <c r="DG151" s="219"/>
      <c r="DH151" s="220"/>
      <c r="DI151" s="220"/>
      <c r="DJ151" s="220"/>
      <c r="DK151" s="221"/>
      <c r="DQ151" s="219"/>
      <c r="DR151" s="220"/>
      <c r="DS151" s="220"/>
      <c r="DT151" s="220"/>
      <c r="DU151" s="220"/>
      <c r="DV151" s="220"/>
      <c r="DW151" s="220"/>
      <c r="DX151" s="220"/>
      <c r="DY151" s="220"/>
      <c r="DZ151" s="220"/>
      <c r="EA151" s="220"/>
      <c r="EB151" s="220"/>
      <c r="EC151" s="220"/>
      <c r="ED151" s="220"/>
      <c r="EE151" s="220"/>
      <c r="EF151" s="220"/>
      <c r="EG151" s="220"/>
      <c r="EH151" s="220"/>
      <c r="EI151" s="220"/>
      <c r="EJ151" s="220"/>
      <c r="EK151" s="220"/>
      <c r="EL151" s="220"/>
      <c r="EM151" s="220"/>
      <c r="EN151" s="220"/>
      <c r="EO151" s="220"/>
      <c r="EP151" s="220"/>
      <c r="EQ151" s="220"/>
      <c r="ER151" s="220"/>
      <c r="ES151" s="220"/>
      <c r="ET151" s="220"/>
      <c r="EU151" s="220"/>
      <c r="EV151" s="220"/>
      <c r="EW151" s="220"/>
      <c r="EX151" s="220"/>
      <c r="EY151" s="220"/>
      <c r="EZ151" s="220"/>
      <c r="FA151" s="220"/>
      <c r="FB151" s="220"/>
      <c r="FC151" s="220"/>
      <c r="FD151" s="221"/>
      <c r="FE151" s="219"/>
      <c r="FF151" s="220"/>
      <c r="FG151" s="220"/>
      <c r="FH151" s="220"/>
      <c r="FI151" s="221"/>
      <c r="FN151" s="219"/>
      <c r="FO151" s="220"/>
      <c r="FP151" s="220"/>
      <c r="FQ151" s="220"/>
      <c r="FR151" s="220"/>
      <c r="FS151" s="220"/>
      <c r="FT151" s="220"/>
      <c r="FU151" s="220"/>
      <c r="FV151" s="220"/>
      <c r="FW151" s="220"/>
      <c r="FX151" s="220"/>
      <c r="FY151" s="220"/>
      <c r="FZ151" s="220"/>
      <c r="GA151" s="220"/>
      <c r="GB151" s="220"/>
      <c r="GC151" s="220"/>
      <c r="GD151" s="220"/>
      <c r="GE151" s="220"/>
      <c r="GF151" s="220"/>
      <c r="GG151" s="220"/>
      <c r="GH151" s="220"/>
      <c r="GI151" s="220"/>
      <c r="GJ151" s="220"/>
      <c r="GK151" s="220"/>
      <c r="GL151" s="220"/>
      <c r="GM151" s="220"/>
      <c r="GN151" s="220"/>
      <c r="GO151" s="220"/>
      <c r="GP151" s="220"/>
      <c r="GQ151" s="220"/>
      <c r="GR151" s="220"/>
      <c r="GS151" s="220"/>
      <c r="GT151" s="220"/>
      <c r="GU151" s="220"/>
      <c r="GV151" s="220"/>
      <c r="GW151" s="220"/>
      <c r="GX151" s="220"/>
      <c r="GY151" s="220"/>
      <c r="GZ151" s="220"/>
      <c r="HA151" s="221"/>
      <c r="HB151" s="219"/>
      <c r="HC151" s="220"/>
      <c r="HD151" s="220"/>
      <c r="HE151" s="220"/>
      <c r="HF151" s="221"/>
      <c r="HP151" s="187"/>
      <c r="HQ151" s="188"/>
      <c r="HR151" s="188"/>
      <c r="HS151" s="188"/>
      <c r="HT151" s="188"/>
      <c r="HU151" s="188"/>
      <c r="HV151" s="188"/>
      <c r="HW151" s="188"/>
      <c r="HX151" s="188"/>
      <c r="HY151" s="188"/>
      <c r="HZ151" s="188"/>
      <c r="IA151" s="188"/>
      <c r="IB151" s="188"/>
      <c r="IC151" s="188"/>
      <c r="ID151" s="188"/>
      <c r="IE151" s="188"/>
      <c r="IF151" s="188"/>
      <c r="IG151" s="188"/>
      <c r="IH151" s="188"/>
      <c r="II151" s="188"/>
      <c r="IJ151" s="188"/>
      <c r="IK151" s="188"/>
      <c r="IL151" s="188"/>
      <c r="IM151" s="188"/>
      <c r="IN151" s="188"/>
      <c r="IO151" s="188"/>
      <c r="IP151" s="188"/>
      <c r="IQ151" s="188"/>
      <c r="IR151" s="188"/>
      <c r="IS151" s="188"/>
      <c r="IT151" s="188"/>
      <c r="IU151" s="188"/>
      <c r="IV151" s="188"/>
      <c r="IW151" s="188"/>
      <c r="IX151" s="188"/>
      <c r="IY151" s="188"/>
      <c r="IZ151" s="188"/>
      <c r="JA151" s="188"/>
      <c r="JB151" s="188"/>
      <c r="JC151" s="189"/>
      <c r="JD151" s="187"/>
      <c r="JE151" s="188"/>
      <c r="JF151" s="188"/>
      <c r="JG151" s="188"/>
      <c r="JH151" s="188"/>
      <c r="JI151" s="189"/>
      <c r="JJ151" s="19"/>
      <c r="JP151" s="155"/>
      <c r="JT151" s="16"/>
      <c r="JW151" s="187"/>
      <c r="JX151" s="188"/>
      <c r="JY151" s="188"/>
      <c r="JZ151" s="188"/>
      <c r="KA151" s="188"/>
      <c r="KB151" s="188"/>
      <c r="KC151" s="188"/>
      <c r="KD151" s="188"/>
      <c r="KE151" s="188"/>
      <c r="KF151" s="188"/>
      <c r="KG151" s="188"/>
      <c r="KH151" s="188"/>
      <c r="KI151" s="188"/>
      <c r="KJ151" s="188"/>
      <c r="KK151" s="188"/>
      <c r="KL151" s="188"/>
      <c r="KM151" s="188"/>
      <c r="KN151" s="188"/>
      <c r="KO151" s="188"/>
      <c r="KP151" s="188"/>
      <c r="KQ151" s="188"/>
      <c r="KR151" s="188"/>
      <c r="KS151" s="188"/>
      <c r="KT151" s="188"/>
      <c r="KU151" s="188"/>
      <c r="KV151" s="188"/>
      <c r="KW151" s="188"/>
      <c r="KX151" s="188"/>
      <c r="KY151" s="188"/>
      <c r="KZ151" s="188"/>
      <c r="LA151" s="188"/>
      <c r="LB151" s="188"/>
      <c r="LC151" s="188"/>
      <c r="LD151" s="188"/>
      <c r="LE151" s="188"/>
      <c r="LF151" s="188"/>
      <c r="LG151" s="188"/>
      <c r="LH151" s="188"/>
      <c r="LI151" s="188"/>
      <c r="LJ151" s="188"/>
      <c r="LK151" s="189"/>
      <c r="LL151" s="187"/>
      <c r="LM151" s="188"/>
      <c r="LN151" s="188"/>
      <c r="LO151" s="188"/>
      <c r="LP151" s="189"/>
      <c r="LY151" s="12"/>
      <c r="LZ151" s="7"/>
      <c r="MA151" s="3"/>
      <c r="MB151" s="3"/>
      <c r="MC151" s="3"/>
      <c r="MD151" s="3"/>
      <c r="ME151" s="2"/>
      <c r="MS151" s="3"/>
      <c r="MT151" s="3"/>
      <c r="MU151" s="3"/>
      <c r="MV151" s="3"/>
      <c r="MW151" s="3"/>
      <c r="MX151" s="2"/>
    </row>
    <row r="152" spans="3:362" ht="5.0999999999999996" customHeight="1" x14ac:dyDescent="0.3">
      <c r="C152" s="11"/>
      <c r="D152" s="13"/>
      <c r="Q152" s="187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E152" s="189"/>
      <c r="BF152" s="187"/>
      <c r="BG152" s="188"/>
      <c r="BH152" s="188"/>
      <c r="BI152" s="188"/>
      <c r="BJ152" s="189"/>
      <c r="BS152" s="219"/>
      <c r="BT152" s="220"/>
      <c r="BU152" s="220"/>
      <c r="BV152" s="220"/>
      <c r="BW152" s="220"/>
      <c r="BX152" s="220"/>
      <c r="BY152" s="220"/>
      <c r="BZ152" s="220"/>
      <c r="CA152" s="220"/>
      <c r="CB152" s="220"/>
      <c r="CC152" s="220"/>
      <c r="CD152" s="220"/>
      <c r="CE152" s="220"/>
      <c r="CF152" s="220"/>
      <c r="CG152" s="220"/>
      <c r="CH152" s="220"/>
      <c r="CI152" s="220"/>
      <c r="CJ152" s="220"/>
      <c r="CK152" s="220"/>
      <c r="CL152" s="220"/>
      <c r="CM152" s="220"/>
      <c r="CN152" s="220"/>
      <c r="CO152" s="220"/>
      <c r="CP152" s="220"/>
      <c r="CQ152" s="220"/>
      <c r="CR152" s="220"/>
      <c r="CS152" s="220"/>
      <c r="CT152" s="220"/>
      <c r="CU152" s="220"/>
      <c r="CV152" s="220"/>
      <c r="CW152" s="220"/>
      <c r="CX152" s="220"/>
      <c r="CY152" s="220"/>
      <c r="CZ152" s="220"/>
      <c r="DA152" s="220"/>
      <c r="DB152" s="220"/>
      <c r="DC152" s="220"/>
      <c r="DD152" s="220"/>
      <c r="DE152" s="220"/>
      <c r="DF152" s="221"/>
      <c r="DG152" s="219"/>
      <c r="DH152" s="220"/>
      <c r="DI152" s="220"/>
      <c r="DJ152" s="220"/>
      <c r="DK152" s="221"/>
      <c r="DQ152" s="219"/>
      <c r="DR152" s="220"/>
      <c r="DS152" s="220"/>
      <c r="DT152" s="220"/>
      <c r="DU152" s="220"/>
      <c r="DV152" s="220"/>
      <c r="DW152" s="220"/>
      <c r="DX152" s="220"/>
      <c r="DY152" s="220"/>
      <c r="DZ152" s="220"/>
      <c r="EA152" s="220"/>
      <c r="EB152" s="220"/>
      <c r="EC152" s="220"/>
      <c r="ED152" s="220"/>
      <c r="EE152" s="220"/>
      <c r="EF152" s="220"/>
      <c r="EG152" s="220"/>
      <c r="EH152" s="220"/>
      <c r="EI152" s="220"/>
      <c r="EJ152" s="220"/>
      <c r="EK152" s="220"/>
      <c r="EL152" s="220"/>
      <c r="EM152" s="220"/>
      <c r="EN152" s="220"/>
      <c r="EO152" s="220"/>
      <c r="EP152" s="220"/>
      <c r="EQ152" s="220"/>
      <c r="ER152" s="220"/>
      <c r="ES152" s="220"/>
      <c r="ET152" s="220"/>
      <c r="EU152" s="220"/>
      <c r="EV152" s="220"/>
      <c r="EW152" s="220"/>
      <c r="EX152" s="220"/>
      <c r="EY152" s="220"/>
      <c r="EZ152" s="220"/>
      <c r="FA152" s="220"/>
      <c r="FB152" s="220"/>
      <c r="FC152" s="220"/>
      <c r="FD152" s="221"/>
      <c r="FE152" s="219"/>
      <c r="FF152" s="220"/>
      <c r="FG152" s="220"/>
      <c r="FH152" s="220"/>
      <c r="FI152" s="221"/>
      <c r="FN152" s="219"/>
      <c r="FO152" s="220"/>
      <c r="FP152" s="220"/>
      <c r="FQ152" s="220"/>
      <c r="FR152" s="220"/>
      <c r="FS152" s="220"/>
      <c r="FT152" s="220"/>
      <c r="FU152" s="220"/>
      <c r="FV152" s="220"/>
      <c r="FW152" s="220"/>
      <c r="FX152" s="220"/>
      <c r="FY152" s="220"/>
      <c r="FZ152" s="220"/>
      <c r="GA152" s="220"/>
      <c r="GB152" s="220"/>
      <c r="GC152" s="220"/>
      <c r="GD152" s="220"/>
      <c r="GE152" s="220"/>
      <c r="GF152" s="220"/>
      <c r="GG152" s="220"/>
      <c r="GH152" s="220"/>
      <c r="GI152" s="220"/>
      <c r="GJ152" s="220"/>
      <c r="GK152" s="220"/>
      <c r="GL152" s="220"/>
      <c r="GM152" s="220"/>
      <c r="GN152" s="220"/>
      <c r="GO152" s="220"/>
      <c r="GP152" s="220"/>
      <c r="GQ152" s="220"/>
      <c r="GR152" s="220"/>
      <c r="GS152" s="220"/>
      <c r="GT152" s="220"/>
      <c r="GU152" s="220"/>
      <c r="GV152" s="220"/>
      <c r="GW152" s="220"/>
      <c r="GX152" s="220"/>
      <c r="GY152" s="220"/>
      <c r="GZ152" s="220"/>
      <c r="HA152" s="221"/>
      <c r="HB152" s="219"/>
      <c r="HC152" s="220"/>
      <c r="HD152" s="220"/>
      <c r="HE152" s="220"/>
      <c r="HF152" s="221"/>
      <c r="HP152" s="187"/>
      <c r="HQ152" s="188"/>
      <c r="HR152" s="188"/>
      <c r="HS152" s="188"/>
      <c r="HT152" s="188"/>
      <c r="HU152" s="188"/>
      <c r="HV152" s="188"/>
      <c r="HW152" s="188"/>
      <c r="HX152" s="188"/>
      <c r="HY152" s="188"/>
      <c r="HZ152" s="188"/>
      <c r="IA152" s="188"/>
      <c r="IB152" s="188"/>
      <c r="IC152" s="188"/>
      <c r="ID152" s="188"/>
      <c r="IE152" s="188"/>
      <c r="IF152" s="188"/>
      <c r="IG152" s="188"/>
      <c r="IH152" s="188"/>
      <c r="II152" s="188"/>
      <c r="IJ152" s="188"/>
      <c r="IK152" s="188"/>
      <c r="IL152" s="188"/>
      <c r="IM152" s="188"/>
      <c r="IN152" s="188"/>
      <c r="IO152" s="188"/>
      <c r="IP152" s="188"/>
      <c r="IQ152" s="188"/>
      <c r="IR152" s="188"/>
      <c r="IS152" s="188"/>
      <c r="IT152" s="188"/>
      <c r="IU152" s="188"/>
      <c r="IV152" s="188"/>
      <c r="IW152" s="188"/>
      <c r="IX152" s="188"/>
      <c r="IY152" s="188"/>
      <c r="IZ152" s="188"/>
      <c r="JA152" s="188"/>
      <c r="JB152" s="188"/>
      <c r="JC152" s="189"/>
      <c r="JD152" s="187"/>
      <c r="JE152" s="188"/>
      <c r="JF152" s="188"/>
      <c r="JG152" s="188"/>
      <c r="JH152" s="188"/>
      <c r="JI152" s="189"/>
      <c r="JJ152" s="19"/>
      <c r="JP152" s="155"/>
      <c r="JT152" s="16"/>
      <c r="JW152" s="187"/>
      <c r="JX152" s="188"/>
      <c r="JY152" s="188"/>
      <c r="JZ152" s="188"/>
      <c r="KA152" s="188"/>
      <c r="KB152" s="188"/>
      <c r="KC152" s="188"/>
      <c r="KD152" s="188"/>
      <c r="KE152" s="188"/>
      <c r="KF152" s="188"/>
      <c r="KG152" s="188"/>
      <c r="KH152" s="188"/>
      <c r="KI152" s="188"/>
      <c r="KJ152" s="188"/>
      <c r="KK152" s="188"/>
      <c r="KL152" s="188"/>
      <c r="KM152" s="188"/>
      <c r="KN152" s="188"/>
      <c r="KO152" s="188"/>
      <c r="KP152" s="188"/>
      <c r="KQ152" s="188"/>
      <c r="KR152" s="188"/>
      <c r="KS152" s="188"/>
      <c r="KT152" s="188"/>
      <c r="KU152" s="188"/>
      <c r="KV152" s="188"/>
      <c r="KW152" s="188"/>
      <c r="KX152" s="188"/>
      <c r="KY152" s="188"/>
      <c r="KZ152" s="188"/>
      <c r="LA152" s="188"/>
      <c r="LB152" s="188"/>
      <c r="LC152" s="188"/>
      <c r="LD152" s="188"/>
      <c r="LE152" s="188"/>
      <c r="LF152" s="188"/>
      <c r="LG152" s="188"/>
      <c r="LH152" s="188"/>
      <c r="LI152" s="188"/>
      <c r="LJ152" s="188"/>
      <c r="LK152" s="189"/>
      <c r="LL152" s="187"/>
      <c r="LM152" s="188"/>
      <c r="LN152" s="188"/>
      <c r="LO152" s="188"/>
      <c r="LP152" s="189"/>
      <c r="LY152" s="12"/>
      <c r="LZ152" s="7"/>
      <c r="MA152" s="3"/>
      <c r="MB152" s="3"/>
      <c r="MC152" s="3"/>
      <c r="MD152" s="3"/>
      <c r="ME152" s="2"/>
      <c r="MS152" s="3"/>
      <c r="MT152" s="3"/>
      <c r="MU152" s="3"/>
      <c r="MV152" s="3"/>
      <c r="MW152" s="3"/>
      <c r="MX152" s="2"/>
    </row>
    <row r="153" spans="3:362" ht="5.0999999999999996" customHeight="1" x14ac:dyDescent="0.3">
      <c r="C153" s="11"/>
      <c r="D153" s="13"/>
      <c r="Q153" s="187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E153" s="189"/>
      <c r="BF153" s="187"/>
      <c r="BG153" s="188"/>
      <c r="BH153" s="188"/>
      <c r="BI153" s="188"/>
      <c r="BJ153" s="189"/>
      <c r="BS153" s="219"/>
      <c r="BT153" s="220"/>
      <c r="BU153" s="220"/>
      <c r="BV153" s="220"/>
      <c r="BW153" s="220"/>
      <c r="BX153" s="220"/>
      <c r="BY153" s="220"/>
      <c r="BZ153" s="220"/>
      <c r="CA153" s="220"/>
      <c r="CB153" s="220"/>
      <c r="CC153" s="220"/>
      <c r="CD153" s="220"/>
      <c r="CE153" s="220"/>
      <c r="CF153" s="220"/>
      <c r="CG153" s="220"/>
      <c r="CH153" s="220"/>
      <c r="CI153" s="220"/>
      <c r="CJ153" s="220"/>
      <c r="CK153" s="220"/>
      <c r="CL153" s="220"/>
      <c r="CM153" s="220"/>
      <c r="CN153" s="220"/>
      <c r="CO153" s="220"/>
      <c r="CP153" s="220"/>
      <c r="CQ153" s="220"/>
      <c r="CR153" s="220"/>
      <c r="CS153" s="220"/>
      <c r="CT153" s="220"/>
      <c r="CU153" s="220"/>
      <c r="CV153" s="220"/>
      <c r="CW153" s="220"/>
      <c r="CX153" s="220"/>
      <c r="CY153" s="220"/>
      <c r="CZ153" s="220"/>
      <c r="DA153" s="220"/>
      <c r="DB153" s="220"/>
      <c r="DC153" s="220"/>
      <c r="DD153" s="220"/>
      <c r="DE153" s="220"/>
      <c r="DF153" s="221"/>
      <c r="DG153" s="219"/>
      <c r="DH153" s="220"/>
      <c r="DI153" s="220"/>
      <c r="DJ153" s="220"/>
      <c r="DK153" s="221"/>
      <c r="DQ153" s="219"/>
      <c r="DR153" s="220"/>
      <c r="DS153" s="220"/>
      <c r="DT153" s="220"/>
      <c r="DU153" s="220"/>
      <c r="DV153" s="220"/>
      <c r="DW153" s="220"/>
      <c r="DX153" s="220"/>
      <c r="DY153" s="220"/>
      <c r="DZ153" s="220"/>
      <c r="EA153" s="220"/>
      <c r="EB153" s="220"/>
      <c r="EC153" s="220"/>
      <c r="ED153" s="220"/>
      <c r="EE153" s="220"/>
      <c r="EF153" s="220"/>
      <c r="EG153" s="220"/>
      <c r="EH153" s="220"/>
      <c r="EI153" s="220"/>
      <c r="EJ153" s="220"/>
      <c r="EK153" s="220"/>
      <c r="EL153" s="220"/>
      <c r="EM153" s="220"/>
      <c r="EN153" s="220"/>
      <c r="EO153" s="220"/>
      <c r="EP153" s="220"/>
      <c r="EQ153" s="220"/>
      <c r="ER153" s="220"/>
      <c r="ES153" s="220"/>
      <c r="ET153" s="220"/>
      <c r="EU153" s="220"/>
      <c r="EV153" s="220"/>
      <c r="EW153" s="220"/>
      <c r="EX153" s="220"/>
      <c r="EY153" s="220"/>
      <c r="EZ153" s="220"/>
      <c r="FA153" s="220"/>
      <c r="FB153" s="220"/>
      <c r="FC153" s="220"/>
      <c r="FD153" s="221"/>
      <c r="FE153" s="219"/>
      <c r="FF153" s="220"/>
      <c r="FG153" s="220"/>
      <c r="FH153" s="220"/>
      <c r="FI153" s="221"/>
      <c r="FN153" s="219"/>
      <c r="FO153" s="220"/>
      <c r="FP153" s="220"/>
      <c r="FQ153" s="220"/>
      <c r="FR153" s="220"/>
      <c r="FS153" s="220"/>
      <c r="FT153" s="220"/>
      <c r="FU153" s="220"/>
      <c r="FV153" s="220"/>
      <c r="FW153" s="220"/>
      <c r="FX153" s="220"/>
      <c r="FY153" s="220"/>
      <c r="FZ153" s="220"/>
      <c r="GA153" s="220"/>
      <c r="GB153" s="220"/>
      <c r="GC153" s="220"/>
      <c r="GD153" s="220"/>
      <c r="GE153" s="220"/>
      <c r="GF153" s="220"/>
      <c r="GG153" s="220"/>
      <c r="GH153" s="220"/>
      <c r="GI153" s="220"/>
      <c r="GJ153" s="220"/>
      <c r="GK153" s="220"/>
      <c r="GL153" s="220"/>
      <c r="GM153" s="220"/>
      <c r="GN153" s="220"/>
      <c r="GO153" s="220"/>
      <c r="GP153" s="220"/>
      <c r="GQ153" s="220"/>
      <c r="GR153" s="220"/>
      <c r="GS153" s="220"/>
      <c r="GT153" s="220"/>
      <c r="GU153" s="220"/>
      <c r="GV153" s="220"/>
      <c r="GW153" s="220"/>
      <c r="GX153" s="220"/>
      <c r="GY153" s="220"/>
      <c r="GZ153" s="220"/>
      <c r="HA153" s="221"/>
      <c r="HB153" s="219"/>
      <c r="HC153" s="220"/>
      <c r="HD153" s="220"/>
      <c r="HE153" s="220"/>
      <c r="HF153" s="221"/>
      <c r="HP153" s="187"/>
      <c r="HQ153" s="188"/>
      <c r="HR153" s="188"/>
      <c r="HS153" s="188"/>
      <c r="HT153" s="188"/>
      <c r="HU153" s="188"/>
      <c r="HV153" s="188"/>
      <c r="HW153" s="188"/>
      <c r="HX153" s="188"/>
      <c r="HY153" s="188"/>
      <c r="HZ153" s="188"/>
      <c r="IA153" s="188"/>
      <c r="IB153" s="188"/>
      <c r="IC153" s="188"/>
      <c r="ID153" s="188"/>
      <c r="IE153" s="188"/>
      <c r="IF153" s="188"/>
      <c r="IG153" s="188"/>
      <c r="IH153" s="188"/>
      <c r="II153" s="188"/>
      <c r="IJ153" s="188"/>
      <c r="IK153" s="188"/>
      <c r="IL153" s="188"/>
      <c r="IM153" s="188"/>
      <c r="IN153" s="188"/>
      <c r="IO153" s="188"/>
      <c r="IP153" s="188"/>
      <c r="IQ153" s="188"/>
      <c r="IR153" s="188"/>
      <c r="IS153" s="188"/>
      <c r="IT153" s="188"/>
      <c r="IU153" s="188"/>
      <c r="IV153" s="188"/>
      <c r="IW153" s="188"/>
      <c r="IX153" s="188"/>
      <c r="IY153" s="188"/>
      <c r="IZ153" s="188"/>
      <c r="JA153" s="188"/>
      <c r="JB153" s="188"/>
      <c r="JC153" s="189"/>
      <c r="JD153" s="187"/>
      <c r="JE153" s="188"/>
      <c r="JF153" s="188"/>
      <c r="JG153" s="188"/>
      <c r="JH153" s="188"/>
      <c r="JI153" s="189"/>
      <c r="JJ153" s="19"/>
      <c r="JP153" s="155"/>
      <c r="JT153" s="16"/>
      <c r="JW153" s="187"/>
      <c r="JX153" s="188"/>
      <c r="JY153" s="188"/>
      <c r="JZ153" s="188"/>
      <c r="KA153" s="188"/>
      <c r="KB153" s="188"/>
      <c r="KC153" s="188"/>
      <c r="KD153" s="188"/>
      <c r="KE153" s="188"/>
      <c r="KF153" s="188"/>
      <c r="KG153" s="188"/>
      <c r="KH153" s="188"/>
      <c r="KI153" s="188"/>
      <c r="KJ153" s="188"/>
      <c r="KK153" s="188"/>
      <c r="KL153" s="188"/>
      <c r="KM153" s="188"/>
      <c r="KN153" s="188"/>
      <c r="KO153" s="188"/>
      <c r="KP153" s="188"/>
      <c r="KQ153" s="188"/>
      <c r="KR153" s="188"/>
      <c r="KS153" s="188"/>
      <c r="KT153" s="188"/>
      <c r="KU153" s="188"/>
      <c r="KV153" s="188"/>
      <c r="KW153" s="188"/>
      <c r="KX153" s="188"/>
      <c r="KY153" s="188"/>
      <c r="KZ153" s="188"/>
      <c r="LA153" s="188"/>
      <c r="LB153" s="188"/>
      <c r="LC153" s="188"/>
      <c r="LD153" s="188"/>
      <c r="LE153" s="188"/>
      <c r="LF153" s="188"/>
      <c r="LG153" s="188"/>
      <c r="LH153" s="188"/>
      <c r="LI153" s="188"/>
      <c r="LJ153" s="188"/>
      <c r="LK153" s="189"/>
      <c r="LL153" s="187"/>
      <c r="LM153" s="188"/>
      <c r="LN153" s="188"/>
      <c r="LO153" s="188"/>
      <c r="LP153" s="189"/>
      <c r="LY153" s="12"/>
      <c r="LZ153" s="7"/>
      <c r="MA153" s="3"/>
      <c r="MB153" s="3"/>
      <c r="MC153" s="3"/>
      <c r="MD153" s="3"/>
      <c r="ME153" s="2"/>
      <c r="MS153" s="3"/>
      <c r="MT153" s="3"/>
      <c r="MU153" s="3"/>
      <c r="MV153" s="3"/>
      <c r="MW153" s="3"/>
      <c r="MX153" s="2"/>
    </row>
    <row r="154" spans="3:362" ht="5.0999999999999996" customHeight="1" x14ac:dyDescent="0.3">
      <c r="C154" s="11"/>
      <c r="D154" s="13"/>
      <c r="Q154" s="187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E154" s="189"/>
      <c r="BF154" s="187"/>
      <c r="BG154" s="188"/>
      <c r="BH154" s="188"/>
      <c r="BI154" s="188"/>
      <c r="BJ154" s="189"/>
      <c r="BS154" s="219"/>
      <c r="BT154" s="220"/>
      <c r="BU154" s="220"/>
      <c r="BV154" s="220"/>
      <c r="BW154" s="220"/>
      <c r="BX154" s="220"/>
      <c r="BY154" s="220"/>
      <c r="BZ154" s="220"/>
      <c r="CA154" s="220"/>
      <c r="CB154" s="220"/>
      <c r="CC154" s="220"/>
      <c r="CD154" s="220"/>
      <c r="CE154" s="220"/>
      <c r="CF154" s="220"/>
      <c r="CG154" s="220"/>
      <c r="CH154" s="220"/>
      <c r="CI154" s="220"/>
      <c r="CJ154" s="220"/>
      <c r="CK154" s="220"/>
      <c r="CL154" s="220"/>
      <c r="CM154" s="220"/>
      <c r="CN154" s="220"/>
      <c r="CO154" s="220"/>
      <c r="CP154" s="220"/>
      <c r="CQ154" s="220"/>
      <c r="CR154" s="220"/>
      <c r="CS154" s="220"/>
      <c r="CT154" s="220"/>
      <c r="CU154" s="220"/>
      <c r="CV154" s="220"/>
      <c r="CW154" s="220"/>
      <c r="CX154" s="220"/>
      <c r="CY154" s="220"/>
      <c r="CZ154" s="220"/>
      <c r="DA154" s="220"/>
      <c r="DB154" s="220"/>
      <c r="DC154" s="220"/>
      <c r="DD154" s="220"/>
      <c r="DE154" s="220"/>
      <c r="DF154" s="221"/>
      <c r="DG154" s="219"/>
      <c r="DH154" s="220"/>
      <c r="DI154" s="220"/>
      <c r="DJ154" s="220"/>
      <c r="DK154" s="221"/>
      <c r="DQ154" s="219"/>
      <c r="DR154" s="220"/>
      <c r="DS154" s="220"/>
      <c r="DT154" s="220"/>
      <c r="DU154" s="220"/>
      <c r="DV154" s="220"/>
      <c r="DW154" s="220"/>
      <c r="DX154" s="220"/>
      <c r="DY154" s="220"/>
      <c r="DZ154" s="220"/>
      <c r="EA154" s="220"/>
      <c r="EB154" s="220"/>
      <c r="EC154" s="220"/>
      <c r="ED154" s="220"/>
      <c r="EE154" s="220"/>
      <c r="EF154" s="220"/>
      <c r="EG154" s="220"/>
      <c r="EH154" s="220"/>
      <c r="EI154" s="220"/>
      <c r="EJ154" s="220"/>
      <c r="EK154" s="220"/>
      <c r="EL154" s="220"/>
      <c r="EM154" s="220"/>
      <c r="EN154" s="220"/>
      <c r="EO154" s="220"/>
      <c r="EP154" s="220"/>
      <c r="EQ154" s="220"/>
      <c r="ER154" s="220"/>
      <c r="ES154" s="220"/>
      <c r="ET154" s="220"/>
      <c r="EU154" s="220"/>
      <c r="EV154" s="220"/>
      <c r="EW154" s="220"/>
      <c r="EX154" s="220"/>
      <c r="EY154" s="220"/>
      <c r="EZ154" s="220"/>
      <c r="FA154" s="220"/>
      <c r="FB154" s="220"/>
      <c r="FC154" s="220"/>
      <c r="FD154" s="221"/>
      <c r="FE154" s="219"/>
      <c r="FF154" s="220"/>
      <c r="FG154" s="220"/>
      <c r="FH154" s="220"/>
      <c r="FI154" s="221"/>
      <c r="FN154" s="219"/>
      <c r="FO154" s="220"/>
      <c r="FP154" s="220"/>
      <c r="FQ154" s="220"/>
      <c r="FR154" s="220"/>
      <c r="FS154" s="220"/>
      <c r="FT154" s="220"/>
      <c r="FU154" s="220"/>
      <c r="FV154" s="220"/>
      <c r="FW154" s="220"/>
      <c r="FX154" s="220"/>
      <c r="FY154" s="220"/>
      <c r="FZ154" s="220"/>
      <c r="GA154" s="220"/>
      <c r="GB154" s="220"/>
      <c r="GC154" s="220"/>
      <c r="GD154" s="220"/>
      <c r="GE154" s="220"/>
      <c r="GF154" s="220"/>
      <c r="GG154" s="220"/>
      <c r="GH154" s="220"/>
      <c r="GI154" s="220"/>
      <c r="GJ154" s="220"/>
      <c r="GK154" s="220"/>
      <c r="GL154" s="220"/>
      <c r="GM154" s="220"/>
      <c r="GN154" s="220"/>
      <c r="GO154" s="220"/>
      <c r="GP154" s="220"/>
      <c r="GQ154" s="220"/>
      <c r="GR154" s="220"/>
      <c r="GS154" s="220"/>
      <c r="GT154" s="220"/>
      <c r="GU154" s="220"/>
      <c r="GV154" s="220"/>
      <c r="GW154" s="220"/>
      <c r="GX154" s="220"/>
      <c r="GY154" s="220"/>
      <c r="GZ154" s="220"/>
      <c r="HA154" s="221"/>
      <c r="HB154" s="219"/>
      <c r="HC154" s="220"/>
      <c r="HD154" s="220"/>
      <c r="HE154" s="220"/>
      <c r="HF154" s="221"/>
      <c r="HP154" s="187"/>
      <c r="HQ154" s="188"/>
      <c r="HR154" s="188"/>
      <c r="HS154" s="188"/>
      <c r="HT154" s="188"/>
      <c r="HU154" s="188"/>
      <c r="HV154" s="188"/>
      <c r="HW154" s="188"/>
      <c r="HX154" s="188"/>
      <c r="HY154" s="188"/>
      <c r="HZ154" s="188"/>
      <c r="IA154" s="188"/>
      <c r="IB154" s="188"/>
      <c r="IC154" s="188"/>
      <c r="ID154" s="188"/>
      <c r="IE154" s="188"/>
      <c r="IF154" s="188"/>
      <c r="IG154" s="188"/>
      <c r="IH154" s="188"/>
      <c r="II154" s="188"/>
      <c r="IJ154" s="188"/>
      <c r="IK154" s="188"/>
      <c r="IL154" s="188"/>
      <c r="IM154" s="188"/>
      <c r="IN154" s="188"/>
      <c r="IO154" s="188"/>
      <c r="IP154" s="188"/>
      <c r="IQ154" s="188"/>
      <c r="IR154" s="188"/>
      <c r="IS154" s="188"/>
      <c r="IT154" s="188"/>
      <c r="IU154" s="188"/>
      <c r="IV154" s="188"/>
      <c r="IW154" s="188"/>
      <c r="IX154" s="188"/>
      <c r="IY154" s="188"/>
      <c r="IZ154" s="188"/>
      <c r="JA154" s="188"/>
      <c r="JB154" s="188"/>
      <c r="JC154" s="189"/>
      <c r="JD154" s="187"/>
      <c r="JE154" s="188"/>
      <c r="JF154" s="188"/>
      <c r="JG154" s="188"/>
      <c r="JH154" s="188"/>
      <c r="JI154" s="189"/>
      <c r="JJ154" s="19"/>
      <c r="JP154" s="155"/>
      <c r="JT154" s="16"/>
      <c r="JW154" s="187"/>
      <c r="JX154" s="188"/>
      <c r="JY154" s="188"/>
      <c r="JZ154" s="188"/>
      <c r="KA154" s="188"/>
      <c r="KB154" s="188"/>
      <c r="KC154" s="188"/>
      <c r="KD154" s="188"/>
      <c r="KE154" s="188"/>
      <c r="KF154" s="188"/>
      <c r="KG154" s="188"/>
      <c r="KH154" s="188"/>
      <c r="KI154" s="188"/>
      <c r="KJ154" s="188"/>
      <c r="KK154" s="188"/>
      <c r="KL154" s="188"/>
      <c r="KM154" s="188"/>
      <c r="KN154" s="188"/>
      <c r="KO154" s="188"/>
      <c r="KP154" s="188"/>
      <c r="KQ154" s="188"/>
      <c r="KR154" s="188"/>
      <c r="KS154" s="188"/>
      <c r="KT154" s="188"/>
      <c r="KU154" s="188"/>
      <c r="KV154" s="188"/>
      <c r="KW154" s="188"/>
      <c r="KX154" s="188"/>
      <c r="KY154" s="188"/>
      <c r="KZ154" s="188"/>
      <c r="LA154" s="188"/>
      <c r="LB154" s="188"/>
      <c r="LC154" s="188"/>
      <c r="LD154" s="188"/>
      <c r="LE154" s="188"/>
      <c r="LF154" s="188"/>
      <c r="LG154" s="188"/>
      <c r="LH154" s="188"/>
      <c r="LI154" s="188"/>
      <c r="LJ154" s="188"/>
      <c r="LK154" s="189"/>
      <c r="LL154" s="187"/>
      <c r="LM154" s="188"/>
      <c r="LN154" s="188"/>
      <c r="LO154" s="188"/>
      <c r="LP154" s="189"/>
      <c r="LY154" s="12"/>
      <c r="LZ154" s="7"/>
      <c r="MA154" s="3"/>
      <c r="MB154" s="3"/>
      <c r="MC154" s="3"/>
      <c r="MD154" s="3"/>
      <c r="ME154" s="2"/>
      <c r="MS154" s="3"/>
      <c r="MT154" s="3"/>
      <c r="MU154" s="3"/>
      <c r="MV154" s="3"/>
      <c r="MW154" s="3"/>
      <c r="MX154" s="2"/>
    </row>
    <row r="155" spans="3:362" ht="5.0999999999999996" customHeight="1" x14ac:dyDescent="0.3">
      <c r="C155" s="11"/>
      <c r="D155" s="13"/>
      <c r="Q155" s="187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9"/>
      <c r="BF155" s="187"/>
      <c r="BG155" s="188"/>
      <c r="BH155" s="188"/>
      <c r="BI155" s="188"/>
      <c r="BJ155" s="189"/>
      <c r="BS155" s="219"/>
      <c r="BT155" s="220"/>
      <c r="BU155" s="220"/>
      <c r="BV155" s="220"/>
      <c r="BW155" s="220"/>
      <c r="BX155" s="220"/>
      <c r="BY155" s="220"/>
      <c r="BZ155" s="220"/>
      <c r="CA155" s="220"/>
      <c r="CB155" s="220"/>
      <c r="CC155" s="220"/>
      <c r="CD155" s="220"/>
      <c r="CE155" s="220"/>
      <c r="CF155" s="220"/>
      <c r="CG155" s="220"/>
      <c r="CH155" s="220"/>
      <c r="CI155" s="220"/>
      <c r="CJ155" s="220"/>
      <c r="CK155" s="220"/>
      <c r="CL155" s="220"/>
      <c r="CM155" s="220"/>
      <c r="CN155" s="220"/>
      <c r="CO155" s="220"/>
      <c r="CP155" s="220"/>
      <c r="CQ155" s="220"/>
      <c r="CR155" s="220"/>
      <c r="CS155" s="220"/>
      <c r="CT155" s="220"/>
      <c r="CU155" s="220"/>
      <c r="CV155" s="220"/>
      <c r="CW155" s="220"/>
      <c r="CX155" s="220"/>
      <c r="CY155" s="220"/>
      <c r="CZ155" s="220"/>
      <c r="DA155" s="220"/>
      <c r="DB155" s="220"/>
      <c r="DC155" s="220"/>
      <c r="DD155" s="220"/>
      <c r="DE155" s="220"/>
      <c r="DF155" s="221"/>
      <c r="DG155" s="219"/>
      <c r="DH155" s="220"/>
      <c r="DI155" s="220"/>
      <c r="DJ155" s="220"/>
      <c r="DK155" s="221"/>
      <c r="DQ155" s="219"/>
      <c r="DR155" s="220"/>
      <c r="DS155" s="220"/>
      <c r="DT155" s="220"/>
      <c r="DU155" s="220"/>
      <c r="DV155" s="220"/>
      <c r="DW155" s="220"/>
      <c r="DX155" s="220"/>
      <c r="DY155" s="220"/>
      <c r="DZ155" s="220"/>
      <c r="EA155" s="220"/>
      <c r="EB155" s="220"/>
      <c r="EC155" s="220"/>
      <c r="ED155" s="220"/>
      <c r="EE155" s="220"/>
      <c r="EF155" s="220"/>
      <c r="EG155" s="220"/>
      <c r="EH155" s="220"/>
      <c r="EI155" s="220"/>
      <c r="EJ155" s="220"/>
      <c r="EK155" s="220"/>
      <c r="EL155" s="220"/>
      <c r="EM155" s="220"/>
      <c r="EN155" s="220"/>
      <c r="EO155" s="220"/>
      <c r="EP155" s="220"/>
      <c r="EQ155" s="220"/>
      <c r="ER155" s="220"/>
      <c r="ES155" s="220"/>
      <c r="ET155" s="220"/>
      <c r="EU155" s="220"/>
      <c r="EV155" s="220"/>
      <c r="EW155" s="220"/>
      <c r="EX155" s="220"/>
      <c r="EY155" s="220"/>
      <c r="EZ155" s="220"/>
      <c r="FA155" s="220"/>
      <c r="FB155" s="220"/>
      <c r="FC155" s="220"/>
      <c r="FD155" s="221"/>
      <c r="FE155" s="219"/>
      <c r="FF155" s="220"/>
      <c r="FG155" s="220"/>
      <c r="FH155" s="220"/>
      <c r="FI155" s="221"/>
      <c r="FN155" s="219"/>
      <c r="FO155" s="220"/>
      <c r="FP155" s="220"/>
      <c r="FQ155" s="220"/>
      <c r="FR155" s="220"/>
      <c r="FS155" s="220"/>
      <c r="FT155" s="220"/>
      <c r="FU155" s="220"/>
      <c r="FV155" s="220"/>
      <c r="FW155" s="220"/>
      <c r="FX155" s="220"/>
      <c r="FY155" s="220"/>
      <c r="FZ155" s="220"/>
      <c r="GA155" s="220"/>
      <c r="GB155" s="220"/>
      <c r="GC155" s="220"/>
      <c r="GD155" s="220"/>
      <c r="GE155" s="220"/>
      <c r="GF155" s="220"/>
      <c r="GG155" s="220"/>
      <c r="GH155" s="220"/>
      <c r="GI155" s="220"/>
      <c r="GJ155" s="220"/>
      <c r="GK155" s="220"/>
      <c r="GL155" s="220"/>
      <c r="GM155" s="220"/>
      <c r="GN155" s="220"/>
      <c r="GO155" s="220"/>
      <c r="GP155" s="220"/>
      <c r="GQ155" s="220"/>
      <c r="GR155" s="220"/>
      <c r="GS155" s="220"/>
      <c r="GT155" s="220"/>
      <c r="GU155" s="220"/>
      <c r="GV155" s="220"/>
      <c r="GW155" s="220"/>
      <c r="GX155" s="220"/>
      <c r="GY155" s="220"/>
      <c r="GZ155" s="220"/>
      <c r="HA155" s="221"/>
      <c r="HB155" s="219"/>
      <c r="HC155" s="220"/>
      <c r="HD155" s="220"/>
      <c r="HE155" s="220"/>
      <c r="HF155" s="221"/>
      <c r="HP155" s="187"/>
      <c r="HQ155" s="188"/>
      <c r="HR155" s="188"/>
      <c r="HS155" s="188"/>
      <c r="HT155" s="188"/>
      <c r="HU155" s="188"/>
      <c r="HV155" s="188"/>
      <c r="HW155" s="188"/>
      <c r="HX155" s="188"/>
      <c r="HY155" s="188"/>
      <c r="HZ155" s="188"/>
      <c r="IA155" s="188"/>
      <c r="IB155" s="188"/>
      <c r="IC155" s="188"/>
      <c r="ID155" s="188"/>
      <c r="IE155" s="188"/>
      <c r="IF155" s="188"/>
      <c r="IG155" s="188"/>
      <c r="IH155" s="188"/>
      <c r="II155" s="188"/>
      <c r="IJ155" s="188"/>
      <c r="IK155" s="188"/>
      <c r="IL155" s="188"/>
      <c r="IM155" s="188"/>
      <c r="IN155" s="188"/>
      <c r="IO155" s="188"/>
      <c r="IP155" s="188"/>
      <c r="IQ155" s="188"/>
      <c r="IR155" s="188"/>
      <c r="IS155" s="188"/>
      <c r="IT155" s="188"/>
      <c r="IU155" s="188"/>
      <c r="IV155" s="188"/>
      <c r="IW155" s="188"/>
      <c r="IX155" s="188"/>
      <c r="IY155" s="188"/>
      <c r="IZ155" s="188"/>
      <c r="JA155" s="188"/>
      <c r="JB155" s="188"/>
      <c r="JC155" s="189"/>
      <c r="JD155" s="187"/>
      <c r="JE155" s="188"/>
      <c r="JF155" s="188"/>
      <c r="JG155" s="188"/>
      <c r="JH155" s="188"/>
      <c r="JI155" s="189"/>
      <c r="JJ155" s="19"/>
      <c r="JP155" s="155"/>
      <c r="JT155" s="16"/>
      <c r="JW155" s="187"/>
      <c r="JX155" s="188"/>
      <c r="JY155" s="188"/>
      <c r="JZ155" s="188"/>
      <c r="KA155" s="188"/>
      <c r="KB155" s="188"/>
      <c r="KC155" s="188"/>
      <c r="KD155" s="188"/>
      <c r="KE155" s="188"/>
      <c r="KF155" s="188"/>
      <c r="KG155" s="188"/>
      <c r="KH155" s="188"/>
      <c r="KI155" s="188"/>
      <c r="KJ155" s="188"/>
      <c r="KK155" s="188"/>
      <c r="KL155" s="188"/>
      <c r="KM155" s="188"/>
      <c r="KN155" s="188"/>
      <c r="KO155" s="188"/>
      <c r="KP155" s="188"/>
      <c r="KQ155" s="188"/>
      <c r="KR155" s="188"/>
      <c r="KS155" s="188"/>
      <c r="KT155" s="188"/>
      <c r="KU155" s="188"/>
      <c r="KV155" s="188"/>
      <c r="KW155" s="188"/>
      <c r="KX155" s="188"/>
      <c r="KY155" s="188"/>
      <c r="KZ155" s="188"/>
      <c r="LA155" s="188"/>
      <c r="LB155" s="188"/>
      <c r="LC155" s="188"/>
      <c r="LD155" s="188"/>
      <c r="LE155" s="188"/>
      <c r="LF155" s="188"/>
      <c r="LG155" s="188"/>
      <c r="LH155" s="188"/>
      <c r="LI155" s="188"/>
      <c r="LJ155" s="188"/>
      <c r="LK155" s="189"/>
      <c r="LL155" s="187"/>
      <c r="LM155" s="188"/>
      <c r="LN155" s="188"/>
      <c r="LO155" s="188"/>
      <c r="LP155" s="189"/>
      <c r="LY155" s="12"/>
      <c r="LZ155" s="7"/>
      <c r="MA155" s="3"/>
      <c r="MB155" s="3"/>
      <c r="MC155" s="3"/>
      <c r="MD155" s="3"/>
      <c r="ME155" s="2"/>
      <c r="MS155" s="3"/>
      <c r="MT155" s="3"/>
      <c r="MU155" s="3"/>
      <c r="MV155" s="3"/>
      <c r="MW155" s="3"/>
      <c r="MX155" s="2"/>
    </row>
    <row r="156" spans="3:362" ht="5.0999999999999996" customHeight="1" x14ac:dyDescent="0.3">
      <c r="C156" s="11"/>
      <c r="D156" s="13"/>
      <c r="Q156" s="187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E156" s="189"/>
      <c r="BF156" s="187"/>
      <c r="BG156" s="188"/>
      <c r="BH156" s="188"/>
      <c r="BI156" s="188"/>
      <c r="BJ156" s="189"/>
      <c r="BS156" s="222"/>
      <c r="BT156" s="223"/>
      <c r="BU156" s="223"/>
      <c r="BV156" s="223"/>
      <c r="BW156" s="223"/>
      <c r="BX156" s="223"/>
      <c r="BY156" s="223"/>
      <c r="BZ156" s="223"/>
      <c r="CA156" s="223"/>
      <c r="CB156" s="223"/>
      <c r="CC156" s="223"/>
      <c r="CD156" s="223"/>
      <c r="CE156" s="223"/>
      <c r="CF156" s="223"/>
      <c r="CG156" s="223"/>
      <c r="CH156" s="223"/>
      <c r="CI156" s="223"/>
      <c r="CJ156" s="223"/>
      <c r="CK156" s="223"/>
      <c r="CL156" s="223"/>
      <c r="CM156" s="223"/>
      <c r="CN156" s="223"/>
      <c r="CO156" s="223"/>
      <c r="CP156" s="223"/>
      <c r="CQ156" s="223"/>
      <c r="CR156" s="223"/>
      <c r="CS156" s="223"/>
      <c r="CT156" s="223"/>
      <c r="CU156" s="223"/>
      <c r="CV156" s="223"/>
      <c r="CW156" s="223"/>
      <c r="CX156" s="223"/>
      <c r="CY156" s="223"/>
      <c r="CZ156" s="223"/>
      <c r="DA156" s="223"/>
      <c r="DB156" s="223"/>
      <c r="DC156" s="223"/>
      <c r="DD156" s="223"/>
      <c r="DE156" s="223"/>
      <c r="DF156" s="224"/>
      <c r="DG156" s="222"/>
      <c r="DH156" s="223"/>
      <c r="DI156" s="223"/>
      <c r="DJ156" s="223"/>
      <c r="DK156" s="224"/>
      <c r="DQ156" s="222"/>
      <c r="DR156" s="223"/>
      <c r="DS156" s="223"/>
      <c r="DT156" s="223"/>
      <c r="DU156" s="223"/>
      <c r="DV156" s="223"/>
      <c r="DW156" s="223"/>
      <c r="DX156" s="223"/>
      <c r="DY156" s="223"/>
      <c r="DZ156" s="223"/>
      <c r="EA156" s="223"/>
      <c r="EB156" s="223"/>
      <c r="EC156" s="223"/>
      <c r="ED156" s="223"/>
      <c r="EE156" s="223"/>
      <c r="EF156" s="223"/>
      <c r="EG156" s="223"/>
      <c r="EH156" s="223"/>
      <c r="EI156" s="223"/>
      <c r="EJ156" s="223"/>
      <c r="EK156" s="223"/>
      <c r="EL156" s="223"/>
      <c r="EM156" s="223"/>
      <c r="EN156" s="223"/>
      <c r="EO156" s="223"/>
      <c r="EP156" s="223"/>
      <c r="EQ156" s="223"/>
      <c r="ER156" s="223"/>
      <c r="ES156" s="223"/>
      <c r="ET156" s="223"/>
      <c r="EU156" s="223"/>
      <c r="EV156" s="223"/>
      <c r="EW156" s="223"/>
      <c r="EX156" s="223"/>
      <c r="EY156" s="223"/>
      <c r="EZ156" s="223"/>
      <c r="FA156" s="223"/>
      <c r="FB156" s="223"/>
      <c r="FC156" s="223"/>
      <c r="FD156" s="224"/>
      <c r="FE156" s="222"/>
      <c r="FF156" s="223"/>
      <c r="FG156" s="223"/>
      <c r="FH156" s="223"/>
      <c r="FI156" s="224"/>
      <c r="FN156" s="222"/>
      <c r="FO156" s="223"/>
      <c r="FP156" s="223"/>
      <c r="FQ156" s="223"/>
      <c r="FR156" s="223"/>
      <c r="FS156" s="223"/>
      <c r="FT156" s="223"/>
      <c r="FU156" s="223"/>
      <c r="FV156" s="223"/>
      <c r="FW156" s="223"/>
      <c r="FX156" s="223"/>
      <c r="FY156" s="223"/>
      <c r="FZ156" s="223"/>
      <c r="GA156" s="223"/>
      <c r="GB156" s="223"/>
      <c r="GC156" s="223"/>
      <c r="GD156" s="223"/>
      <c r="GE156" s="223"/>
      <c r="GF156" s="223"/>
      <c r="GG156" s="223"/>
      <c r="GH156" s="223"/>
      <c r="GI156" s="223"/>
      <c r="GJ156" s="223"/>
      <c r="GK156" s="223"/>
      <c r="GL156" s="223"/>
      <c r="GM156" s="223"/>
      <c r="GN156" s="223"/>
      <c r="GO156" s="223"/>
      <c r="GP156" s="223"/>
      <c r="GQ156" s="223"/>
      <c r="GR156" s="223"/>
      <c r="GS156" s="223"/>
      <c r="GT156" s="223"/>
      <c r="GU156" s="223"/>
      <c r="GV156" s="223"/>
      <c r="GW156" s="223"/>
      <c r="GX156" s="223"/>
      <c r="GY156" s="223"/>
      <c r="GZ156" s="223"/>
      <c r="HA156" s="224"/>
      <c r="HB156" s="222"/>
      <c r="HC156" s="223"/>
      <c r="HD156" s="223"/>
      <c r="HE156" s="223"/>
      <c r="HF156" s="224"/>
      <c r="HP156" s="187"/>
      <c r="HQ156" s="188"/>
      <c r="HR156" s="188"/>
      <c r="HS156" s="188"/>
      <c r="HT156" s="188"/>
      <c r="HU156" s="188"/>
      <c r="HV156" s="188"/>
      <c r="HW156" s="188"/>
      <c r="HX156" s="188"/>
      <c r="HY156" s="188"/>
      <c r="HZ156" s="188"/>
      <c r="IA156" s="188"/>
      <c r="IB156" s="188"/>
      <c r="IC156" s="188"/>
      <c r="ID156" s="188"/>
      <c r="IE156" s="188"/>
      <c r="IF156" s="188"/>
      <c r="IG156" s="188"/>
      <c r="IH156" s="188"/>
      <c r="II156" s="188"/>
      <c r="IJ156" s="188"/>
      <c r="IK156" s="188"/>
      <c r="IL156" s="188"/>
      <c r="IM156" s="188"/>
      <c r="IN156" s="188"/>
      <c r="IO156" s="188"/>
      <c r="IP156" s="188"/>
      <c r="IQ156" s="188"/>
      <c r="IR156" s="188"/>
      <c r="IS156" s="188"/>
      <c r="IT156" s="188"/>
      <c r="IU156" s="188"/>
      <c r="IV156" s="188"/>
      <c r="IW156" s="188"/>
      <c r="IX156" s="188"/>
      <c r="IY156" s="188"/>
      <c r="IZ156" s="188"/>
      <c r="JA156" s="188"/>
      <c r="JB156" s="188"/>
      <c r="JC156" s="189"/>
      <c r="JD156" s="187"/>
      <c r="JE156" s="188"/>
      <c r="JF156" s="188"/>
      <c r="JG156" s="188"/>
      <c r="JH156" s="188"/>
      <c r="JI156" s="189"/>
      <c r="JJ156" s="19"/>
      <c r="JP156" s="155"/>
      <c r="JT156" s="16"/>
      <c r="JW156" s="187"/>
      <c r="JX156" s="188"/>
      <c r="JY156" s="188"/>
      <c r="JZ156" s="188"/>
      <c r="KA156" s="188"/>
      <c r="KB156" s="188"/>
      <c r="KC156" s="188"/>
      <c r="KD156" s="188"/>
      <c r="KE156" s="188"/>
      <c r="KF156" s="188"/>
      <c r="KG156" s="188"/>
      <c r="KH156" s="188"/>
      <c r="KI156" s="188"/>
      <c r="KJ156" s="188"/>
      <c r="KK156" s="188"/>
      <c r="KL156" s="188"/>
      <c r="KM156" s="188"/>
      <c r="KN156" s="188"/>
      <c r="KO156" s="188"/>
      <c r="KP156" s="188"/>
      <c r="KQ156" s="188"/>
      <c r="KR156" s="188"/>
      <c r="KS156" s="188"/>
      <c r="KT156" s="188"/>
      <c r="KU156" s="188"/>
      <c r="KV156" s="188"/>
      <c r="KW156" s="188"/>
      <c r="KX156" s="188"/>
      <c r="KY156" s="188"/>
      <c r="KZ156" s="188"/>
      <c r="LA156" s="188"/>
      <c r="LB156" s="188"/>
      <c r="LC156" s="188"/>
      <c r="LD156" s="188"/>
      <c r="LE156" s="188"/>
      <c r="LF156" s="188"/>
      <c r="LG156" s="188"/>
      <c r="LH156" s="188"/>
      <c r="LI156" s="188"/>
      <c r="LJ156" s="188"/>
      <c r="LK156" s="189"/>
      <c r="LL156" s="187"/>
      <c r="LM156" s="188"/>
      <c r="LN156" s="188"/>
      <c r="LO156" s="188"/>
      <c r="LP156" s="189"/>
      <c r="LY156" s="12"/>
      <c r="LZ156" s="7"/>
      <c r="MA156" s="3"/>
      <c r="MB156" s="3"/>
      <c r="MC156" s="3"/>
      <c r="MD156" s="3"/>
      <c r="ME156" s="2"/>
      <c r="MS156" s="3"/>
      <c r="MT156" s="3"/>
      <c r="MU156" s="3"/>
      <c r="MV156" s="3"/>
      <c r="MW156" s="3"/>
      <c r="MX156" s="2"/>
    </row>
    <row r="157" spans="3:362" ht="5.0999999999999996" customHeight="1" x14ac:dyDescent="0.3">
      <c r="C157" s="11"/>
      <c r="D157" s="13"/>
      <c r="Q157" s="187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E157" s="189"/>
      <c r="BF157" s="187"/>
      <c r="BG157" s="188"/>
      <c r="BH157" s="188"/>
      <c r="BI157" s="188"/>
      <c r="BJ157" s="189"/>
      <c r="CP157" s="17"/>
      <c r="CQ157" s="18"/>
      <c r="EN157" s="17"/>
      <c r="EO157" s="18"/>
      <c r="GK157" s="17"/>
      <c r="HP157" s="187"/>
      <c r="HQ157" s="188"/>
      <c r="HR157" s="188"/>
      <c r="HS157" s="188"/>
      <c r="HT157" s="188"/>
      <c r="HU157" s="188"/>
      <c r="HV157" s="188"/>
      <c r="HW157" s="188"/>
      <c r="HX157" s="188"/>
      <c r="HY157" s="188"/>
      <c r="HZ157" s="188"/>
      <c r="IA157" s="188"/>
      <c r="IB157" s="188"/>
      <c r="IC157" s="188"/>
      <c r="ID157" s="188"/>
      <c r="IE157" s="188"/>
      <c r="IF157" s="188"/>
      <c r="IG157" s="188"/>
      <c r="IH157" s="188"/>
      <c r="II157" s="188"/>
      <c r="IJ157" s="188"/>
      <c r="IK157" s="188"/>
      <c r="IL157" s="188"/>
      <c r="IM157" s="188"/>
      <c r="IN157" s="188"/>
      <c r="IO157" s="188"/>
      <c r="IP157" s="188"/>
      <c r="IQ157" s="188"/>
      <c r="IR157" s="188"/>
      <c r="IS157" s="188"/>
      <c r="IT157" s="188"/>
      <c r="IU157" s="188"/>
      <c r="IV157" s="188"/>
      <c r="IW157" s="188"/>
      <c r="IX157" s="188"/>
      <c r="IY157" s="188"/>
      <c r="IZ157" s="188"/>
      <c r="JA157" s="188"/>
      <c r="JB157" s="188"/>
      <c r="JC157" s="189"/>
      <c r="JD157" s="187"/>
      <c r="JE157" s="188"/>
      <c r="JF157" s="188"/>
      <c r="JG157" s="188"/>
      <c r="JH157" s="188"/>
      <c r="JI157" s="189"/>
      <c r="JJ157" s="19"/>
      <c r="JP157" s="155"/>
      <c r="JT157" s="16"/>
      <c r="JW157" s="187"/>
      <c r="JX157" s="188"/>
      <c r="JY157" s="188"/>
      <c r="JZ157" s="188"/>
      <c r="KA157" s="188"/>
      <c r="KB157" s="188"/>
      <c r="KC157" s="188"/>
      <c r="KD157" s="188"/>
      <c r="KE157" s="188"/>
      <c r="KF157" s="188"/>
      <c r="KG157" s="188"/>
      <c r="KH157" s="188"/>
      <c r="KI157" s="188"/>
      <c r="KJ157" s="188"/>
      <c r="KK157" s="188"/>
      <c r="KL157" s="188"/>
      <c r="KM157" s="188"/>
      <c r="KN157" s="188"/>
      <c r="KO157" s="188"/>
      <c r="KP157" s="188"/>
      <c r="KQ157" s="188"/>
      <c r="KR157" s="188"/>
      <c r="KS157" s="188"/>
      <c r="KT157" s="188"/>
      <c r="KU157" s="188"/>
      <c r="KV157" s="188"/>
      <c r="KW157" s="188"/>
      <c r="KX157" s="188"/>
      <c r="KY157" s="188"/>
      <c r="KZ157" s="188"/>
      <c r="LA157" s="188"/>
      <c r="LB157" s="188"/>
      <c r="LC157" s="188"/>
      <c r="LD157" s="188"/>
      <c r="LE157" s="188"/>
      <c r="LF157" s="188"/>
      <c r="LG157" s="188"/>
      <c r="LH157" s="188"/>
      <c r="LI157" s="188"/>
      <c r="LJ157" s="188"/>
      <c r="LK157" s="189"/>
      <c r="LL157" s="187"/>
      <c r="LM157" s="188"/>
      <c r="LN157" s="188"/>
      <c r="LO157" s="188"/>
      <c r="LP157" s="189"/>
      <c r="LY157" s="12"/>
      <c r="LZ157" s="7"/>
      <c r="MA157" s="3"/>
      <c r="MB157" s="3"/>
      <c r="MC157" s="3"/>
      <c r="MD157" s="3"/>
      <c r="ME157" s="2"/>
      <c r="MS157" s="3"/>
      <c r="MT157" s="3"/>
      <c r="MU157" s="3"/>
      <c r="MV157" s="3"/>
      <c r="MW157" s="3"/>
      <c r="MX157" s="2"/>
    </row>
    <row r="158" spans="3:362" ht="5.0999999999999996" customHeight="1" x14ac:dyDescent="0.3">
      <c r="C158" s="11"/>
      <c r="D158" s="13"/>
      <c r="Q158" s="187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9"/>
      <c r="BF158" s="187"/>
      <c r="BG158" s="188"/>
      <c r="BH158" s="188"/>
      <c r="BI158" s="188"/>
      <c r="BJ158" s="189"/>
      <c r="CP158" s="16"/>
      <c r="EN158" s="16"/>
      <c r="GK158" s="16"/>
      <c r="HP158" s="190"/>
      <c r="HQ158" s="191"/>
      <c r="HR158" s="191"/>
      <c r="HS158" s="191"/>
      <c r="HT158" s="191"/>
      <c r="HU158" s="191"/>
      <c r="HV158" s="191"/>
      <c r="HW158" s="191"/>
      <c r="HX158" s="191"/>
      <c r="HY158" s="191"/>
      <c r="HZ158" s="191"/>
      <c r="IA158" s="191"/>
      <c r="IB158" s="191"/>
      <c r="IC158" s="191"/>
      <c r="ID158" s="191"/>
      <c r="IE158" s="191"/>
      <c r="IF158" s="191"/>
      <c r="IG158" s="191"/>
      <c r="IH158" s="191"/>
      <c r="II158" s="191"/>
      <c r="IJ158" s="191"/>
      <c r="IK158" s="191"/>
      <c r="IL158" s="191"/>
      <c r="IM158" s="191"/>
      <c r="IN158" s="191"/>
      <c r="IO158" s="191"/>
      <c r="IP158" s="191"/>
      <c r="IQ158" s="191"/>
      <c r="IR158" s="191"/>
      <c r="IS158" s="191"/>
      <c r="IT158" s="191"/>
      <c r="IU158" s="191"/>
      <c r="IV158" s="191"/>
      <c r="IW158" s="191"/>
      <c r="IX158" s="191"/>
      <c r="IY158" s="191"/>
      <c r="IZ158" s="191"/>
      <c r="JA158" s="191"/>
      <c r="JB158" s="191"/>
      <c r="JC158" s="192"/>
      <c r="JD158" s="190"/>
      <c r="JE158" s="191"/>
      <c r="JF158" s="191"/>
      <c r="JG158" s="191"/>
      <c r="JH158" s="191"/>
      <c r="JI158" s="192"/>
      <c r="JJ158" s="19"/>
      <c r="JP158" s="155"/>
      <c r="JT158" s="16"/>
      <c r="JW158" s="187"/>
      <c r="JX158" s="188"/>
      <c r="JY158" s="188"/>
      <c r="JZ158" s="188"/>
      <c r="KA158" s="188"/>
      <c r="KB158" s="188"/>
      <c r="KC158" s="188"/>
      <c r="KD158" s="188"/>
      <c r="KE158" s="188"/>
      <c r="KF158" s="188"/>
      <c r="KG158" s="188"/>
      <c r="KH158" s="188"/>
      <c r="KI158" s="188"/>
      <c r="KJ158" s="188"/>
      <c r="KK158" s="188"/>
      <c r="KL158" s="188"/>
      <c r="KM158" s="188"/>
      <c r="KN158" s="188"/>
      <c r="KO158" s="188"/>
      <c r="KP158" s="188"/>
      <c r="KQ158" s="188"/>
      <c r="KR158" s="188"/>
      <c r="KS158" s="188"/>
      <c r="KT158" s="188"/>
      <c r="KU158" s="188"/>
      <c r="KV158" s="188"/>
      <c r="KW158" s="188"/>
      <c r="KX158" s="188"/>
      <c r="KY158" s="188"/>
      <c r="KZ158" s="188"/>
      <c r="LA158" s="188"/>
      <c r="LB158" s="188"/>
      <c r="LC158" s="188"/>
      <c r="LD158" s="188"/>
      <c r="LE158" s="188"/>
      <c r="LF158" s="188"/>
      <c r="LG158" s="188"/>
      <c r="LH158" s="188"/>
      <c r="LI158" s="188"/>
      <c r="LJ158" s="188"/>
      <c r="LK158" s="189"/>
      <c r="LL158" s="187"/>
      <c r="LM158" s="188"/>
      <c r="LN158" s="188"/>
      <c r="LO158" s="188"/>
      <c r="LP158" s="189"/>
      <c r="LY158" s="12"/>
      <c r="LZ158" s="7"/>
      <c r="MA158" s="3"/>
      <c r="MB158" s="3"/>
      <c r="MC158" s="3"/>
      <c r="MD158" s="3"/>
      <c r="ME158" s="2"/>
      <c r="MS158" s="3"/>
      <c r="MT158" s="3"/>
      <c r="MU158" s="3"/>
      <c r="MV158" s="3"/>
      <c r="MW158" s="3"/>
      <c r="MX158" s="2"/>
    </row>
    <row r="159" spans="3:362" ht="5.0999999999999996" customHeight="1" x14ac:dyDescent="0.3">
      <c r="C159" s="11"/>
      <c r="D159" s="13"/>
      <c r="Q159" s="187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9"/>
      <c r="BF159" s="187"/>
      <c r="BG159" s="188"/>
      <c r="BH159" s="188"/>
      <c r="BI159" s="188"/>
      <c r="BJ159" s="189"/>
      <c r="CP159" s="16"/>
      <c r="EN159" s="16"/>
      <c r="GK159" s="16"/>
      <c r="JJ159" s="19"/>
      <c r="JP159" s="155"/>
      <c r="JT159" s="16"/>
      <c r="JW159" s="190"/>
      <c r="JX159" s="191"/>
      <c r="JY159" s="191"/>
      <c r="JZ159" s="191"/>
      <c r="KA159" s="191"/>
      <c r="KB159" s="191"/>
      <c r="KC159" s="191"/>
      <c r="KD159" s="191"/>
      <c r="KE159" s="191"/>
      <c r="KF159" s="191"/>
      <c r="KG159" s="191"/>
      <c r="KH159" s="191"/>
      <c r="KI159" s="191"/>
      <c r="KJ159" s="191"/>
      <c r="KK159" s="191"/>
      <c r="KL159" s="191"/>
      <c r="KM159" s="191"/>
      <c r="KN159" s="191"/>
      <c r="KO159" s="191"/>
      <c r="KP159" s="191"/>
      <c r="KQ159" s="191"/>
      <c r="KR159" s="191"/>
      <c r="KS159" s="191"/>
      <c r="KT159" s="191"/>
      <c r="KU159" s="191"/>
      <c r="KV159" s="191"/>
      <c r="KW159" s="191"/>
      <c r="KX159" s="191"/>
      <c r="KY159" s="191"/>
      <c r="KZ159" s="191"/>
      <c r="LA159" s="191"/>
      <c r="LB159" s="191"/>
      <c r="LC159" s="191"/>
      <c r="LD159" s="191"/>
      <c r="LE159" s="191"/>
      <c r="LF159" s="191"/>
      <c r="LG159" s="191"/>
      <c r="LH159" s="191"/>
      <c r="LI159" s="191"/>
      <c r="LJ159" s="191"/>
      <c r="LK159" s="192"/>
      <c r="LL159" s="190"/>
      <c r="LM159" s="191"/>
      <c r="LN159" s="191"/>
      <c r="LO159" s="191"/>
      <c r="LP159" s="192"/>
      <c r="LY159" s="12"/>
      <c r="LZ159" s="7"/>
      <c r="MA159" s="3"/>
      <c r="MB159" s="3"/>
      <c r="MC159" s="3"/>
      <c r="MD159" s="3"/>
      <c r="ME159" s="2"/>
      <c r="MS159" s="3"/>
      <c r="MT159" s="3"/>
      <c r="MU159" s="3"/>
      <c r="MV159" s="3"/>
      <c r="MW159" s="3"/>
      <c r="MX159" s="2"/>
    </row>
    <row r="160" spans="3:362" ht="5.0999999999999996" customHeight="1" x14ac:dyDescent="0.3">
      <c r="C160" s="11"/>
      <c r="D160" s="13"/>
      <c r="Q160" s="190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2"/>
      <c r="BF160" s="190"/>
      <c r="BG160" s="191"/>
      <c r="BH160" s="191"/>
      <c r="BI160" s="191"/>
      <c r="BJ160" s="192"/>
      <c r="CP160" s="15"/>
      <c r="CQ160" s="9"/>
      <c r="EN160" s="15"/>
      <c r="EO160" s="9"/>
      <c r="GK160" s="15"/>
      <c r="JJ160" s="19"/>
      <c r="JP160" s="155"/>
      <c r="JT160" s="16"/>
      <c r="JW160" s="184" t="s">
        <v>45</v>
      </c>
      <c r="JX160" s="185"/>
      <c r="JY160" s="185"/>
      <c r="JZ160" s="185"/>
      <c r="KA160" s="185"/>
      <c r="KB160" s="185"/>
      <c r="KC160" s="185"/>
      <c r="KD160" s="185"/>
      <c r="KE160" s="185"/>
      <c r="KF160" s="185"/>
      <c r="KG160" s="185"/>
      <c r="KH160" s="185"/>
      <c r="KI160" s="185"/>
      <c r="KJ160" s="185"/>
      <c r="KK160" s="185"/>
      <c r="KL160" s="185"/>
      <c r="KM160" s="185"/>
      <c r="KN160" s="185"/>
      <c r="KO160" s="185"/>
      <c r="KP160" s="185"/>
      <c r="KQ160" s="185"/>
      <c r="KR160" s="185"/>
      <c r="KS160" s="185"/>
      <c r="KT160" s="185"/>
      <c r="KU160" s="185"/>
      <c r="KV160" s="185"/>
      <c r="KW160" s="185"/>
      <c r="KX160" s="185"/>
      <c r="KY160" s="185"/>
      <c r="KZ160" s="185"/>
      <c r="LA160" s="185"/>
      <c r="LB160" s="185"/>
      <c r="LC160" s="185"/>
      <c r="LD160" s="185"/>
      <c r="LE160" s="185"/>
      <c r="LF160" s="185"/>
      <c r="LG160" s="185"/>
      <c r="LH160" s="185"/>
      <c r="LI160" s="185"/>
      <c r="LJ160" s="185"/>
      <c r="LK160" s="186"/>
      <c r="LL160" s="184">
        <v>2</v>
      </c>
      <c r="LM160" s="185"/>
      <c r="LN160" s="185"/>
      <c r="LO160" s="185"/>
      <c r="LP160" s="186"/>
      <c r="LY160" s="12"/>
      <c r="LZ160" s="7"/>
      <c r="MA160" s="3"/>
      <c r="MB160" s="3"/>
      <c r="MC160" s="3"/>
      <c r="MD160" s="3"/>
      <c r="ME160" s="2"/>
      <c r="MS160" s="3"/>
      <c r="MT160" s="3"/>
      <c r="MU160" s="3"/>
      <c r="MV160" s="3"/>
      <c r="MW160" s="3"/>
      <c r="MX160" s="2"/>
    </row>
    <row r="161" spans="3:362" ht="5.0999999999999996" customHeight="1" x14ac:dyDescent="0.3">
      <c r="C161" s="11"/>
      <c r="D161" s="13"/>
      <c r="Q161" s="184" t="s">
        <v>44</v>
      </c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6"/>
      <c r="BF161" s="184">
        <v>2</v>
      </c>
      <c r="BG161" s="185"/>
      <c r="BH161" s="185"/>
      <c r="BI161" s="185"/>
      <c r="BJ161" s="186"/>
      <c r="BS161" s="184" t="s">
        <v>66</v>
      </c>
      <c r="BT161" s="185"/>
      <c r="BU161" s="185"/>
      <c r="BV161" s="185"/>
      <c r="BW161" s="185"/>
      <c r="BX161" s="185"/>
      <c r="BY161" s="185"/>
      <c r="BZ161" s="185"/>
      <c r="CA161" s="185"/>
      <c r="CB161" s="185"/>
      <c r="CC161" s="185"/>
      <c r="CD161" s="185"/>
      <c r="CE161" s="185"/>
      <c r="CF161" s="185"/>
      <c r="CG161" s="185"/>
      <c r="CH161" s="185"/>
      <c r="CI161" s="185"/>
      <c r="CJ161" s="185"/>
      <c r="CK161" s="185"/>
      <c r="CL161" s="185"/>
      <c r="CM161" s="185"/>
      <c r="CN161" s="185"/>
      <c r="CO161" s="185"/>
      <c r="CP161" s="185"/>
      <c r="CQ161" s="185"/>
      <c r="CR161" s="185"/>
      <c r="CS161" s="185"/>
      <c r="CT161" s="185"/>
      <c r="CU161" s="185"/>
      <c r="CV161" s="185"/>
      <c r="CW161" s="185"/>
      <c r="CX161" s="185"/>
      <c r="CY161" s="185"/>
      <c r="CZ161" s="185"/>
      <c r="DA161" s="185"/>
      <c r="DB161" s="185"/>
      <c r="DC161" s="185"/>
      <c r="DD161" s="185"/>
      <c r="DE161" s="185">
        <v>4</v>
      </c>
      <c r="DF161" s="186"/>
      <c r="DG161" s="184">
        <v>3</v>
      </c>
      <c r="DH161" s="185"/>
      <c r="DI161" s="185"/>
      <c r="DJ161" s="185"/>
      <c r="DK161" s="186"/>
      <c r="DQ161" s="184" t="s">
        <v>75</v>
      </c>
      <c r="DR161" s="185"/>
      <c r="DS161" s="185"/>
      <c r="DT161" s="185"/>
      <c r="DU161" s="185"/>
      <c r="DV161" s="185"/>
      <c r="DW161" s="185"/>
      <c r="DX161" s="185"/>
      <c r="DY161" s="185"/>
      <c r="DZ161" s="185"/>
      <c r="EA161" s="185"/>
      <c r="EB161" s="185"/>
      <c r="EC161" s="185"/>
      <c r="ED161" s="185"/>
      <c r="EE161" s="185"/>
      <c r="EF161" s="185"/>
      <c r="EG161" s="185"/>
      <c r="EH161" s="185"/>
      <c r="EI161" s="185"/>
      <c r="EJ161" s="185"/>
      <c r="EK161" s="185"/>
      <c r="EL161" s="185"/>
      <c r="EM161" s="185"/>
      <c r="EN161" s="185"/>
      <c r="EO161" s="185"/>
      <c r="EP161" s="185"/>
      <c r="EQ161" s="185"/>
      <c r="ER161" s="185"/>
      <c r="ES161" s="185"/>
      <c r="ET161" s="185"/>
      <c r="EU161" s="185"/>
      <c r="EV161" s="185"/>
      <c r="EW161" s="185"/>
      <c r="EX161" s="185"/>
      <c r="EY161" s="185"/>
      <c r="EZ161" s="185"/>
      <c r="FA161" s="185"/>
      <c r="FB161" s="185"/>
      <c r="FC161" s="185">
        <v>1</v>
      </c>
      <c r="FD161" s="186"/>
      <c r="FE161" s="184">
        <v>7</v>
      </c>
      <c r="FF161" s="185"/>
      <c r="FG161" s="185"/>
      <c r="FH161" s="185"/>
      <c r="FI161" s="186"/>
      <c r="FN161" s="184" t="s">
        <v>76</v>
      </c>
      <c r="FO161" s="185"/>
      <c r="FP161" s="185"/>
      <c r="FQ161" s="185"/>
      <c r="FR161" s="185"/>
      <c r="FS161" s="185"/>
      <c r="FT161" s="185"/>
      <c r="FU161" s="185"/>
      <c r="FV161" s="185"/>
      <c r="FW161" s="185"/>
      <c r="FX161" s="185"/>
      <c r="FY161" s="185"/>
      <c r="FZ161" s="185"/>
      <c r="GA161" s="185"/>
      <c r="GB161" s="185"/>
      <c r="GC161" s="185"/>
      <c r="GD161" s="185"/>
      <c r="GE161" s="185"/>
      <c r="GF161" s="185"/>
      <c r="GG161" s="185"/>
      <c r="GH161" s="185"/>
      <c r="GI161" s="185"/>
      <c r="GJ161" s="185"/>
      <c r="GK161" s="185"/>
      <c r="GL161" s="185"/>
      <c r="GM161" s="185"/>
      <c r="GN161" s="185"/>
      <c r="GO161" s="185"/>
      <c r="GP161" s="185"/>
      <c r="GQ161" s="185"/>
      <c r="GR161" s="185"/>
      <c r="GS161" s="185"/>
      <c r="GT161" s="185"/>
      <c r="GU161" s="185"/>
      <c r="GV161" s="185"/>
      <c r="GW161" s="185"/>
      <c r="GX161" s="185"/>
      <c r="GY161" s="185"/>
      <c r="GZ161" s="185"/>
      <c r="HA161" s="186"/>
      <c r="HB161" s="184">
        <v>1</v>
      </c>
      <c r="HC161" s="185"/>
      <c r="HD161" s="185"/>
      <c r="HE161" s="185"/>
      <c r="HF161" s="186"/>
      <c r="HP161" s="195" t="s">
        <v>36</v>
      </c>
      <c r="HQ161" s="196"/>
      <c r="HR161" s="196"/>
      <c r="HS161" s="196"/>
      <c r="HT161" s="196"/>
      <c r="HU161" s="196"/>
      <c r="HV161" s="196"/>
      <c r="HW161" s="196"/>
      <c r="HX161" s="196"/>
      <c r="HY161" s="196"/>
      <c r="HZ161" s="196"/>
      <c r="IA161" s="196"/>
      <c r="IB161" s="196"/>
      <c r="IC161" s="196"/>
      <c r="ID161" s="196"/>
      <c r="IE161" s="196"/>
      <c r="IF161" s="196"/>
      <c r="IG161" s="196"/>
      <c r="IH161" s="196"/>
      <c r="II161" s="196"/>
      <c r="IJ161" s="196"/>
      <c r="IK161" s="196"/>
      <c r="IL161" s="196"/>
      <c r="IM161" s="196"/>
      <c r="IN161" s="196"/>
      <c r="IO161" s="196"/>
      <c r="IP161" s="196"/>
      <c r="IQ161" s="196"/>
      <c r="IR161" s="196"/>
      <c r="IS161" s="196"/>
      <c r="IT161" s="196"/>
      <c r="IU161" s="196"/>
      <c r="IV161" s="196"/>
      <c r="IW161" s="196"/>
      <c r="IX161" s="196"/>
      <c r="IY161" s="196"/>
      <c r="IZ161" s="196"/>
      <c r="JA161" s="196"/>
      <c r="JB161" s="196"/>
      <c r="JC161" s="196"/>
      <c r="JD161" s="204">
        <f>JD171</f>
        <v>1</v>
      </c>
      <c r="JE161" s="204"/>
      <c r="JF161" s="204"/>
      <c r="JG161" s="204"/>
      <c r="JH161" s="204"/>
      <c r="JI161" s="204"/>
      <c r="JJ161" s="19"/>
      <c r="JP161" s="155"/>
      <c r="JT161" s="16"/>
      <c r="JW161" s="187"/>
      <c r="JX161" s="188"/>
      <c r="JY161" s="188"/>
      <c r="JZ161" s="188"/>
      <c r="KA161" s="188"/>
      <c r="KB161" s="188"/>
      <c r="KC161" s="188"/>
      <c r="KD161" s="188"/>
      <c r="KE161" s="188"/>
      <c r="KF161" s="188"/>
      <c r="KG161" s="188"/>
      <c r="KH161" s="188"/>
      <c r="KI161" s="188"/>
      <c r="KJ161" s="188"/>
      <c r="KK161" s="188"/>
      <c r="KL161" s="188"/>
      <c r="KM161" s="188"/>
      <c r="KN161" s="188"/>
      <c r="KO161" s="188"/>
      <c r="KP161" s="188"/>
      <c r="KQ161" s="188"/>
      <c r="KR161" s="188"/>
      <c r="KS161" s="188"/>
      <c r="KT161" s="188"/>
      <c r="KU161" s="188"/>
      <c r="KV161" s="188"/>
      <c r="KW161" s="188"/>
      <c r="KX161" s="188"/>
      <c r="KY161" s="188"/>
      <c r="KZ161" s="188"/>
      <c r="LA161" s="188"/>
      <c r="LB161" s="188"/>
      <c r="LC161" s="188"/>
      <c r="LD161" s="188"/>
      <c r="LE161" s="188"/>
      <c r="LF161" s="188"/>
      <c r="LG161" s="188"/>
      <c r="LH161" s="188"/>
      <c r="LI161" s="188"/>
      <c r="LJ161" s="188"/>
      <c r="LK161" s="189"/>
      <c r="LL161" s="187"/>
      <c r="LM161" s="188"/>
      <c r="LN161" s="188"/>
      <c r="LO161" s="188"/>
      <c r="LP161" s="189"/>
      <c r="LY161" s="12"/>
      <c r="LZ161" s="7"/>
      <c r="MA161" s="3"/>
      <c r="MB161" s="3"/>
      <c r="MC161" s="3"/>
      <c r="MD161" s="3"/>
      <c r="ME161" s="2"/>
      <c r="MS161" s="3"/>
      <c r="MT161" s="3"/>
      <c r="MU161" s="3"/>
      <c r="MV161" s="3"/>
      <c r="MW161" s="3"/>
      <c r="MX161" s="2"/>
    </row>
    <row r="162" spans="3:362" ht="5.0999999999999996" customHeight="1" x14ac:dyDescent="0.3">
      <c r="C162" s="11"/>
      <c r="D162" s="13"/>
      <c r="Q162" s="187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E162" s="189"/>
      <c r="BF162" s="187"/>
      <c r="BG162" s="188"/>
      <c r="BH162" s="188"/>
      <c r="BI162" s="188"/>
      <c r="BJ162" s="189"/>
      <c r="BS162" s="187"/>
      <c r="BT162" s="188"/>
      <c r="BU162" s="188"/>
      <c r="BV162" s="188"/>
      <c r="BW162" s="188"/>
      <c r="BX162" s="188"/>
      <c r="BY162" s="188"/>
      <c r="BZ162" s="188"/>
      <c r="CA162" s="188"/>
      <c r="CB162" s="188"/>
      <c r="CC162" s="188"/>
      <c r="CD162" s="188"/>
      <c r="CE162" s="188"/>
      <c r="CF162" s="188"/>
      <c r="CG162" s="188"/>
      <c r="CH162" s="188"/>
      <c r="CI162" s="188"/>
      <c r="CJ162" s="188"/>
      <c r="CK162" s="188"/>
      <c r="CL162" s="188"/>
      <c r="CM162" s="188"/>
      <c r="CN162" s="188"/>
      <c r="CO162" s="188"/>
      <c r="CP162" s="188"/>
      <c r="CQ162" s="188"/>
      <c r="CR162" s="188"/>
      <c r="CS162" s="188"/>
      <c r="CT162" s="188"/>
      <c r="CU162" s="188"/>
      <c r="CV162" s="188"/>
      <c r="CW162" s="188"/>
      <c r="CX162" s="188"/>
      <c r="CY162" s="188"/>
      <c r="CZ162" s="188"/>
      <c r="DA162" s="188"/>
      <c r="DB162" s="188"/>
      <c r="DC162" s="188"/>
      <c r="DD162" s="188"/>
      <c r="DE162" s="188"/>
      <c r="DF162" s="189"/>
      <c r="DG162" s="187"/>
      <c r="DH162" s="188"/>
      <c r="DI162" s="188"/>
      <c r="DJ162" s="188"/>
      <c r="DK162" s="189"/>
      <c r="DQ162" s="187"/>
      <c r="DR162" s="188"/>
      <c r="DS162" s="188"/>
      <c r="DT162" s="188"/>
      <c r="DU162" s="188"/>
      <c r="DV162" s="188"/>
      <c r="DW162" s="188"/>
      <c r="DX162" s="188"/>
      <c r="DY162" s="188"/>
      <c r="DZ162" s="188"/>
      <c r="EA162" s="188"/>
      <c r="EB162" s="188"/>
      <c r="EC162" s="188"/>
      <c r="ED162" s="188"/>
      <c r="EE162" s="188"/>
      <c r="EF162" s="188"/>
      <c r="EG162" s="188"/>
      <c r="EH162" s="188"/>
      <c r="EI162" s="188"/>
      <c r="EJ162" s="188"/>
      <c r="EK162" s="188"/>
      <c r="EL162" s="188"/>
      <c r="EM162" s="188"/>
      <c r="EN162" s="188"/>
      <c r="EO162" s="188"/>
      <c r="EP162" s="188"/>
      <c r="EQ162" s="188"/>
      <c r="ER162" s="188"/>
      <c r="ES162" s="188"/>
      <c r="ET162" s="188"/>
      <c r="EU162" s="188"/>
      <c r="EV162" s="188"/>
      <c r="EW162" s="188"/>
      <c r="EX162" s="188"/>
      <c r="EY162" s="188"/>
      <c r="EZ162" s="188"/>
      <c r="FA162" s="188"/>
      <c r="FB162" s="188"/>
      <c r="FC162" s="188"/>
      <c r="FD162" s="189"/>
      <c r="FE162" s="187"/>
      <c r="FF162" s="188"/>
      <c r="FG162" s="188"/>
      <c r="FH162" s="188"/>
      <c r="FI162" s="189"/>
      <c r="FN162" s="187"/>
      <c r="FO162" s="188"/>
      <c r="FP162" s="188"/>
      <c r="FQ162" s="188"/>
      <c r="FR162" s="188"/>
      <c r="FS162" s="188"/>
      <c r="FT162" s="188"/>
      <c r="FU162" s="188"/>
      <c r="FV162" s="188"/>
      <c r="FW162" s="188"/>
      <c r="FX162" s="188"/>
      <c r="FY162" s="188"/>
      <c r="FZ162" s="188"/>
      <c r="GA162" s="188"/>
      <c r="GB162" s="188"/>
      <c r="GC162" s="188"/>
      <c r="GD162" s="188"/>
      <c r="GE162" s="188"/>
      <c r="GF162" s="188"/>
      <c r="GG162" s="188"/>
      <c r="GH162" s="188"/>
      <c r="GI162" s="188"/>
      <c r="GJ162" s="188"/>
      <c r="GK162" s="188"/>
      <c r="GL162" s="188"/>
      <c r="GM162" s="188"/>
      <c r="GN162" s="188"/>
      <c r="GO162" s="188"/>
      <c r="GP162" s="188"/>
      <c r="GQ162" s="188"/>
      <c r="GR162" s="188"/>
      <c r="GS162" s="188"/>
      <c r="GT162" s="188"/>
      <c r="GU162" s="188"/>
      <c r="GV162" s="188"/>
      <c r="GW162" s="188"/>
      <c r="GX162" s="188"/>
      <c r="GY162" s="188"/>
      <c r="GZ162" s="188"/>
      <c r="HA162" s="189"/>
      <c r="HB162" s="187"/>
      <c r="HC162" s="188"/>
      <c r="HD162" s="188"/>
      <c r="HE162" s="188"/>
      <c r="HF162" s="189"/>
      <c r="HP162" s="198"/>
      <c r="HQ162" s="199"/>
      <c r="HR162" s="199"/>
      <c r="HS162" s="199"/>
      <c r="HT162" s="199"/>
      <c r="HU162" s="199"/>
      <c r="HV162" s="199"/>
      <c r="HW162" s="199"/>
      <c r="HX162" s="199"/>
      <c r="HY162" s="199"/>
      <c r="HZ162" s="199"/>
      <c r="IA162" s="199"/>
      <c r="IB162" s="199"/>
      <c r="IC162" s="199"/>
      <c r="ID162" s="199"/>
      <c r="IE162" s="199"/>
      <c r="IF162" s="199"/>
      <c r="IG162" s="199"/>
      <c r="IH162" s="199"/>
      <c r="II162" s="199"/>
      <c r="IJ162" s="199"/>
      <c r="IK162" s="199"/>
      <c r="IL162" s="199"/>
      <c r="IM162" s="199"/>
      <c r="IN162" s="199"/>
      <c r="IO162" s="199"/>
      <c r="IP162" s="199"/>
      <c r="IQ162" s="199"/>
      <c r="IR162" s="199"/>
      <c r="IS162" s="199"/>
      <c r="IT162" s="199"/>
      <c r="IU162" s="199"/>
      <c r="IV162" s="199"/>
      <c r="IW162" s="199"/>
      <c r="IX162" s="199"/>
      <c r="IY162" s="199"/>
      <c r="IZ162" s="199"/>
      <c r="JA162" s="199"/>
      <c r="JB162" s="199"/>
      <c r="JC162" s="199"/>
      <c r="JD162" s="204"/>
      <c r="JE162" s="204"/>
      <c r="JF162" s="204"/>
      <c r="JG162" s="204"/>
      <c r="JH162" s="204"/>
      <c r="JI162" s="204"/>
      <c r="JJ162" s="19"/>
      <c r="JP162" s="155"/>
      <c r="JT162" s="16"/>
      <c r="JW162" s="187"/>
      <c r="JX162" s="188"/>
      <c r="JY162" s="188"/>
      <c r="JZ162" s="188"/>
      <c r="KA162" s="188"/>
      <c r="KB162" s="188"/>
      <c r="KC162" s="188"/>
      <c r="KD162" s="188"/>
      <c r="KE162" s="188"/>
      <c r="KF162" s="188"/>
      <c r="KG162" s="188"/>
      <c r="KH162" s="188"/>
      <c r="KI162" s="188"/>
      <c r="KJ162" s="188"/>
      <c r="KK162" s="188"/>
      <c r="KL162" s="188"/>
      <c r="KM162" s="188"/>
      <c r="KN162" s="188"/>
      <c r="KO162" s="188"/>
      <c r="KP162" s="188"/>
      <c r="KQ162" s="188"/>
      <c r="KR162" s="188"/>
      <c r="KS162" s="188"/>
      <c r="KT162" s="188"/>
      <c r="KU162" s="188"/>
      <c r="KV162" s="188"/>
      <c r="KW162" s="188"/>
      <c r="KX162" s="188"/>
      <c r="KY162" s="188"/>
      <c r="KZ162" s="188"/>
      <c r="LA162" s="188"/>
      <c r="LB162" s="188"/>
      <c r="LC162" s="188"/>
      <c r="LD162" s="188"/>
      <c r="LE162" s="188"/>
      <c r="LF162" s="188"/>
      <c r="LG162" s="188"/>
      <c r="LH162" s="188"/>
      <c r="LI162" s="188"/>
      <c r="LJ162" s="188"/>
      <c r="LK162" s="189"/>
      <c r="LL162" s="187"/>
      <c r="LM162" s="188"/>
      <c r="LN162" s="188"/>
      <c r="LO162" s="188"/>
      <c r="LP162" s="189"/>
      <c r="LY162" s="12"/>
      <c r="LZ162" s="7"/>
      <c r="MA162" s="3"/>
      <c r="MB162" s="3"/>
      <c r="MC162" s="3"/>
      <c r="MD162" s="3"/>
      <c r="ME162" s="2"/>
      <c r="MS162" s="3"/>
      <c r="MT162" s="3"/>
      <c r="MU162" s="3"/>
      <c r="MV162" s="3"/>
      <c r="MW162" s="3"/>
      <c r="MX162" s="2"/>
    </row>
    <row r="163" spans="3:362" ht="5.0999999999999996" customHeight="1" x14ac:dyDescent="0.3">
      <c r="C163" s="11"/>
      <c r="D163" s="13"/>
      <c r="Q163" s="187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  <c r="BD163" s="188"/>
      <c r="BE163" s="189"/>
      <c r="BF163" s="187"/>
      <c r="BG163" s="188"/>
      <c r="BH163" s="188"/>
      <c r="BI163" s="188"/>
      <c r="BJ163" s="189"/>
      <c r="BS163" s="187"/>
      <c r="BT163" s="188"/>
      <c r="BU163" s="188"/>
      <c r="BV163" s="188"/>
      <c r="BW163" s="188"/>
      <c r="BX163" s="188"/>
      <c r="BY163" s="188"/>
      <c r="BZ163" s="188"/>
      <c r="CA163" s="188"/>
      <c r="CB163" s="188"/>
      <c r="CC163" s="188"/>
      <c r="CD163" s="188"/>
      <c r="CE163" s="188"/>
      <c r="CF163" s="188"/>
      <c r="CG163" s="188"/>
      <c r="CH163" s="188"/>
      <c r="CI163" s="188"/>
      <c r="CJ163" s="188"/>
      <c r="CK163" s="188"/>
      <c r="CL163" s="188"/>
      <c r="CM163" s="188"/>
      <c r="CN163" s="188"/>
      <c r="CO163" s="188"/>
      <c r="CP163" s="188"/>
      <c r="CQ163" s="188"/>
      <c r="CR163" s="188"/>
      <c r="CS163" s="188"/>
      <c r="CT163" s="188"/>
      <c r="CU163" s="188"/>
      <c r="CV163" s="188"/>
      <c r="CW163" s="188"/>
      <c r="CX163" s="188"/>
      <c r="CY163" s="188"/>
      <c r="CZ163" s="188"/>
      <c r="DA163" s="188"/>
      <c r="DB163" s="188"/>
      <c r="DC163" s="188"/>
      <c r="DD163" s="188"/>
      <c r="DE163" s="188"/>
      <c r="DF163" s="189"/>
      <c r="DG163" s="187"/>
      <c r="DH163" s="188"/>
      <c r="DI163" s="188"/>
      <c r="DJ163" s="188"/>
      <c r="DK163" s="189"/>
      <c r="DQ163" s="187"/>
      <c r="DR163" s="188"/>
      <c r="DS163" s="188"/>
      <c r="DT163" s="188"/>
      <c r="DU163" s="188"/>
      <c r="DV163" s="188"/>
      <c r="DW163" s="188"/>
      <c r="DX163" s="188"/>
      <c r="DY163" s="188"/>
      <c r="DZ163" s="188"/>
      <c r="EA163" s="188"/>
      <c r="EB163" s="188"/>
      <c r="EC163" s="188"/>
      <c r="ED163" s="188"/>
      <c r="EE163" s="188"/>
      <c r="EF163" s="188"/>
      <c r="EG163" s="188"/>
      <c r="EH163" s="188"/>
      <c r="EI163" s="188"/>
      <c r="EJ163" s="188"/>
      <c r="EK163" s="188"/>
      <c r="EL163" s="188"/>
      <c r="EM163" s="188"/>
      <c r="EN163" s="188"/>
      <c r="EO163" s="188"/>
      <c r="EP163" s="188"/>
      <c r="EQ163" s="188"/>
      <c r="ER163" s="188"/>
      <c r="ES163" s="188"/>
      <c r="ET163" s="188"/>
      <c r="EU163" s="188"/>
      <c r="EV163" s="188"/>
      <c r="EW163" s="188"/>
      <c r="EX163" s="188"/>
      <c r="EY163" s="188"/>
      <c r="EZ163" s="188"/>
      <c r="FA163" s="188"/>
      <c r="FB163" s="188"/>
      <c r="FC163" s="188"/>
      <c r="FD163" s="189"/>
      <c r="FE163" s="187"/>
      <c r="FF163" s="188"/>
      <c r="FG163" s="188"/>
      <c r="FH163" s="188"/>
      <c r="FI163" s="189"/>
      <c r="FN163" s="187"/>
      <c r="FO163" s="188"/>
      <c r="FP163" s="188"/>
      <c r="FQ163" s="188"/>
      <c r="FR163" s="188"/>
      <c r="FS163" s="188"/>
      <c r="FT163" s="188"/>
      <c r="FU163" s="188"/>
      <c r="FV163" s="188"/>
      <c r="FW163" s="188"/>
      <c r="FX163" s="188"/>
      <c r="FY163" s="188"/>
      <c r="FZ163" s="188"/>
      <c r="GA163" s="188"/>
      <c r="GB163" s="188"/>
      <c r="GC163" s="188"/>
      <c r="GD163" s="188"/>
      <c r="GE163" s="188"/>
      <c r="GF163" s="188"/>
      <c r="GG163" s="188"/>
      <c r="GH163" s="188"/>
      <c r="GI163" s="188"/>
      <c r="GJ163" s="188"/>
      <c r="GK163" s="188"/>
      <c r="GL163" s="188"/>
      <c r="GM163" s="188"/>
      <c r="GN163" s="188"/>
      <c r="GO163" s="188"/>
      <c r="GP163" s="188"/>
      <c r="GQ163" s="188"/>
      <c r="GR163" s="188"/>
      <c r="GS163" s="188"/>
      <c r="GT163" s="188"/>
      <c r="GU163" s="188"/>
      <c r="GV163" s="188"/>
      <c r="GW163" s="188"/>
      <c r="GX163" s="188"/>
      <c r="GY163" s="188"/>
      <c r="GZ163" s="188"/>
      <c r="HA163" s="189"/>
      <c r="HB163" s="187"/>
      <c r="HC163" s="188"/>
      <c r="HD163" s="188"/>
      <c r="HE163" s="188"/>
      <c r="HF163" s="189"/>
      <c r="HP163" s="198"/>
      <c r="HQ163" s="199"/>
      <c r="HR163" s="199"/>
      <c r="HS163" s="199"/>
      <c r="HT163" s="199"/>
      <c r="HU163" s="199"/>
      <c r="HV163" s="199"/>
      <c r="HW163" s="199"/>
      <c r="HX163" s="199"/>
      <c r="HY163" s="199"/>
      <c r="HZ163" s="199"/>
      <c r="IA163" s="199"/>
      <c r="IB163" s="199"/>
      <c r="IC163" s="199"/>
      <c r="ID163" s="199"/>
      <c r="IE163" s="199"/>
      <c r="IF163" s="199"/>
      <c r="IG163" s="199"/>
      <c r="IH163" s="199"/>
      <c r="II163" s="199"/>
      <c r="IJ163" s="199"/>
      <c r="IK163" s="199"/>
      <c r="IL163" s="199"/>
      <c r="IM163" s="199"/>
      <c r="IN163" s="199"/>
      <c r="IO163" s="199"/>
      <c r="IP163" s="199"/>
      <c r="IQ163" s="199"/>
      <c r="IR163" s="199"/>
      <c r="IS163" s="199"/>
      <c r="IT163" s="199"/>
      <c r="IU163" s="199"/>
      <c r="IV163" s="199"/>
      <c r="IW163" s="199"/>
      <c r="IX163" s="199"/>
      <c r="IY163" s="199"/>
      <c r="IZ163" s="199"/>
      <c r="JA163" s="199"/>
      <c r="JB163" s="199"/>
      <c r="JC163" s="199"/>
      <c r="JD163" s="204"/>
      <c r="JE163" s="204"/>
      <c r="JF163" s="204"/>
      <c r="JG163" s="204"/>
      <c r="JH163" s="204"/>
      <c r="JI163" s="204"/>
      <c r="JJ163" s="19"/>
      <c r="JP163" s="155"/>
      <c r="JT163" s="16"/>
      <c r="JW163" s="187"/>
      <c r="JX163" s="188"/>
      <c r="JY163" s="188"/>
      <c r="JZ163" s="188"/>
      <c r="KA163" s="188"/>
      <c r="KB163" s="188"/>
      <c r="KC163" s="188"/>
      <c r="KD163" s="188"/>
      <c r="KE163" s="188"/>
      <c r="KF163" s="188"/>
      <c r="KG163" s="188"/>
      <c r="KH163" s="188"/>
      <c r="KI163" s="188"/>
      <c r="KJ163" s="188"/>
      <c r="KK163" s="188"/>
      <c r="KL163" s="188"/>
      <c r="KM163" s="188"/>
      <c r="KN163" s="188"/>
      <c r="KO163" s="188"/>
      <c r="KP163" s="188"/>
      <c r="KQ163" s="188"/>
      <c r="KR163" s="188"/>
      <c r="KS163" s="188"/>
      <c r="KT163" s="188"/>
      <c r="KU163" s="188"/>
      <c r="KV163" s="188"/>
      <c r="KW163" s="188"/>
      <c r="KX163" s="188"/>
      <c r="KY163" s="188"/>
      <c r="KZ163" s="188"/>
      <c r="LA163" s="188"/>
      <c r="LB163" s="188"/>
      <c r="LC163" s="188"/>
      <c r="LD163" s="188"/>
      <c r="LE163" s="188"/>
      <c r="LF163" s="188"/>
      <c r="LG163" s="188"/>
      <c r="LH163" s="188"/>
      <c r="LI163" s="188"/>
      <c r="LJ163" s="188"/>
      <c r="LK163" s="189"/>
      <c r="LL163" s="187"/>
      <c r="LM163" s="188"/>
      <c r="LN163" s="188"/>
      <c r="LO163" s="188"/>
      <c r="LP163" s="189"/>
      <c r="LY163" s="12"/>
      <c r="LZ163" s="7"/>
      <c r="MA163" s="3"/>
      <c r="MB163" s="3"/>
      <c r="MC163" s="3"/>
      <c r="MD163" s="3"/>
      <c r="ME163" s="2"/>
      <c r="MS163" s="3"/>
      <c r="MT163" s="3"/>
      <c r="MU163" s="3"/>
      <c r="MV163" s="3"/>
      <c r="MW163" s="3"/>
      <c r="MX163" s="2"/>
    </row>
    <row r="164" spans="3:362" ht="5.0999999999999996" customHeight="1" x14ac:dyDescent="0.3">
      <c r="C164" s="11"/>
      <c r="D164" s="13"/>
      <c r="Q164" s="187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  <c r="BD164" s="188"/>
      <c r="BE164" s="189"/>
      <c r="BF164" s="187"/>
      <c r="BG164" s="188"/>
      <c r="BH164" s="188"/>
      <c r="BI164" s="188"/>
      <c r="BJ164" s="189"/>
      <c r="BS164" s="187"/>
      <c r="BT164" s="188"/>
      <c r="BU164" s="188"/>
      <c r="BV164" s="188"/>
      <c r="BW164" s="188"/>
      <c r="BX164" s="188"/>
      <c r="BY164" s="188"/>
      <c r="BZ164" s="188"/>
      <c r="CA164" s="188"/>
      <c r="CB164" s="188"/>
      <c r="CC164" s="188"/>
      <c r="CD164" s="188"/>
      <c r="CE164" s="188"/>
      <c r="CF164" s="188"/>
      <c r="CG164" s="188"/>
      <c r="CH164" s="188"/>
      <c r="CI164" s="188"/>
      <c r="CJ164" s="188"/>
      <c r="CK164" s="188"/>
      <c r="CL164" s="188"/>
      <c r="CM164" s="188"/>
      <c r="CN164" s="188"/>
      <c r="CO164" s="188"/>
      <c r="CP164" s="188"/>
      <c r="CQ164" s="188"/>
      <c r="CR164" s="188"/>
      <c r="CS164" s="188"/>
      <c r="CT164" s="188"/>
      <c r="CU164" s="188"/>
      <c r="CV164" s="188"/>
      <c r="CW164" s="188"/>
      <c r="CX164" s="188"/>
      <c r="CY164" s="188"/>
      <c r="CZ164" s="188"/>
      <c r="DA164" s="188"/>
      <c r="DB164" s="188"/>
      <c r="DC164" s="188"/>
      <c r="DD164" s="188"/>
      <c r="DE164" s="188"/>
      <c r="DF164" s="189"/>
      <c r="DG164" s="187"/>
      <c r="DH164" s="188"/>
      <c r="DI164" s="188"/>
      <c r="DJ164" s="188"/>
      <c r="DK164" s="189"/>
      <c r="DQ164" s="187"/>
      <c r="DR164" s="188"/>
      <c r="DS164" s="188"/>
      <c r="DT164" s="188"/>
      <c r="DU164" s="188"/>
      <c r="DV164" s="188"/>
      <c r="DW164" s="188"/>
      <c r="DX164" s="188"/>
      <c r="DY164" s="188"/>
      <c r="DZ164" s="188"/>
      <c r="EA164" s="188"/>
      <c r="EB164" s="188"/>
      <c r="EC164" s="188"/>
      <c r="ED164" s="188"/>
      <c r="EE164" s="188"/>
      <c r="EF164" s="188"/>
      <c r="EG164" s="188"/>
      <c r="EH164" s="188"/>
      <c r="EI164" s="188"/>
      <c r="EJ164" s="188"/>
      <c r="EK164" s="188"/>
      <c r="EL164" s="188"/>
      <c r="EM164" s="188"/>
      <c r="EN164" s="188"/>
      <c r="EO164" s="188"/>
      <c r="EP164" s="188"/>
      <c r="EQ164" s="188"/>
      <c r="ER164" s="188"/>
      <c r="ES164" s="188"/>
      <c r="ET164" s="188"/>
      <c r="EU164" s="188"/>
      <c r="EV164" s="188"/>
      <c r="EW164" s="188"/>
      <c r="EX164" s="188"/>
      <c r="EY164" s="188"/>
      <c r="EZ164" s="188"/>
      <c r="FA164" s="188"/>
      <c r="FB164" s="188"/>
      <c r="FC164" s="188"/>
      <c r="FD164" s="189"/>
      <c r="FE164" s="187"/>
      <c r="FF164" s="188"/>
      <c r="FG164" s="188"/>
      <c r="FH164" s="188"/>
      <c r="FI164" s="189"/>
      <c r="FN164" s="187"/>
      <c r="FO164" s="188"/>
      <c r="FP164" s="188"/>
      <c r="FQ164" s="188"/>
      <c r="FR164" s="188"/>
      <c r="FS164" s="188"/>
      <c r="FT164" s="188"/>
      <c r="FU164" s="188"/>
      <c r="FV164" s="188"/>
      <c r="FW164" s="188"/>
      <c r="FX164" s="188"/>
      <c r="FY164" s="188"/>
      <c r="FZ164" s="188"/>
      <c r="GA164" s="188"/>
      <c r="GB164" s="188"/>
      <c r="GC164" s="188"/>
      <c r="GD164" s="188"/>
      <c r="GE164" s="188"/>
      <c r="GF164" s="188"/>
      <c r="GG164" s="188"/>
      <c r="GH164" s="188"/>
      <c r="GI164" s="188"/>
      <c r="GJ164" s="188"/>
      <c r="GK164" s="188"/>
      <c r="GL164" s="188"/>
      <c r="GM164" s="188"/>
      <c r="GN164" s="188"/>
      <c r="GO164" s="188"/>
      <c r="GP164" s="188"/>
      <c r="GQ164" s="188"/>
      <c r="GR164" s="188"/>
      <c r="GS164" s="188"/>
      <c r="GT164" s="188"/>
      <c r="GU164" s="188"/>
      <c r="GV164" s="188"/>
      <c r="GW164" s="188"/>
      <c r="GX164" s="188"/>
      <c r="GY164" s="188"/>
      <c r="GZ164" s="188"/>
      <c r="HA164" s="189"/>
      <c r="HB164" s="187"/>
      <c r="HC164" s="188"/>
      <c r="HD164" s="188"/>
      <c r="HE164" s="188"/>
      <c r="HF164" s="189"/>
      <c r="HP164" s="198"/>
      <c r="HQ164" s="199"/>
      <c r="HR164" s="199"/>
      <c r="HS164" s="199"/>
      <c r="HT164" s="199"/>
      <c r="HU164" s="199"/>
      <c r="HV164" s="199"/>
      <c r="HW164" s="199"/>
      <c r="HX164" s="199"/>
      <c r="HY164" s="199"/>
      <c r="HZ164" s="199"/>
      <c r="IA164" s="199"/>
      <c r="IB164" s="199"/>
      <c r="IC164" s="199"/>
      <c r="ID164" s="199"/>
      <c r="IE164" s="199"/>
      <c r="IF164" s="199"/>
      <c r="IG164" s="199"/>
      <c r="IH164" s="199"/>
      <c r="II164" s="199"/>
      <c r="IJ164" s="199"/>
      <c r="IK164" s="199"/>
      <c r="IL164" s="199"/>
      <c r="IM164" s="199"/>
      <c r="IN164" s="199"/>
      <c r="IO164" s="199"/>
      <c r="IP164" s="199"/>
      <c r="IQ164" s="199"/>
      <c r="IR164" s="199"/>
      <c r="IS164" s="199"/>
      <c r="IT164" s="199"/>
      <c r="IU164" s="199"/>
      <c r="IV164" s="199"/>
      <c r="IW164" s="199"/>
      <c r="IX164" s="199"/>
      <c r="IY164" s="199"/>
      <c r="IZ164" s="199"/>
      <c r="JA164" s="199"/>
      <c r="JB164" s="199"/>
      <c r="JC164" s="199"/>
      <c r="JD164" s="204"/>
      <c r="JE164" s="204"/>
      <c r="JF164" s="204"/>
      <c r="JG164" s="204"/>
      <c r="JH164" s="204"/>
      <c r="JI164" s="204"/>
      <c r="JJ164" s="19"/>
      <c r="JP164" s="155"/>
      <c r="JT164" s="16"/>
      <c r="JW164" s="187"/>
      <c r="JX164" s="188"/>
      <c r="JY164" s="188"/>
      <c r="JZ164" s="188"/>
      <c r="KA164" s="188"/>
      <c r="KB164" s="188"/>
      <c r="KC164" s="188"/>
      <c r="KD164" s="188"/>
      <c r="KE164" s="188"/>
      <c r="KF164" s="188"/>
      <c r="KG164" s="188"/>
      <c r="KH164" s="188"/>
      <c r="KI164" s="188"/>
      <c r="KJ164" s="188"/>
      <c r="KK164" s="188"/>
      <c r="KL164" s="188"/>
      <c r="KM164" s="188"/>
      <c r="KN164" s="188"/>
      <c r="KO164" s="188"/>
      <c r="KP164" s="188"/>
      <c r="KQ164" s="188"/>
      <c r="KR164" s="188"/>
      <c r="KS164" s="188"/>
      <c r="KT164" s="188"/>
      <c r="KU164" s="188"/>
      <c r="KV164" s="188"/>
      <c r="KW164" s="188"/>
      <c r="KX164" s="188"/>
      <c r="KY164" s="188"/>
      <c r="KZ164" s="188"/>
      <c r="LA164" s="188"/>
      <c r="LB164" s="188"/>
      <c r="LC164" s="188"/>
      <c r="LD164" s="188"/>
      <c r="LE164" s="188"/>
      <c r="LF164" s="188"/>
      <c r="LG164" s="188"/>
      <c r="LH164" s="188"/>
      <c r="LI164" s="188"/>
      <c r="LJ164" s="188"/>
      <c r="LK164" s="189"/>
      <c r="LL164" s="187"/>
      <c r="LM164" s="188"/>
      <c r="LN164" s="188"/>
      <c r="LO164" s="188"/>
      <c r="LP164" s="189"/>
      <c r="LY164" s="12"/>
      <c r="LZ164" s="7"/>
      <c r="MA164" s="3"/>
      <c r="MB164" s="3"/>
      <c r="MC164" s="3"/>
      <c r="MD164" s="3"/>
      <c r="ME164" s="2"/>
      <c r="MS164" s="3"/>
      <c r="MT164" s="3"/>
      <c r="MU164" s="3"/>
      <c r="MV164" s="3"/>
      <c r="MW164" s="3"/>
      <c r="MX164" s="2"/>
    </row>
    <row r="165" spans="3:362" ht="5.0999999999999996" customHeight="1" x14ac:dyDescent="0.3">
      <c r="C165" s="11"/>
      <c r="D165" s="13"/>
      <c r="Q165" s="187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  <c r="BD165" s="188"/>
      <c r="BE165" s="189"/>
      <c r="BF165" s="187"/>
      <c r="BG165" s="188"/>
      <c r="BH165" s="188"/>
      <c r="BI165" s="188"/>
      <c r="BJ165" s="189"/>
      <c r="BS165" s="187"/>
      <c r="BT165" s="188"/>
      <c r="BU165" s="188"/>
      <c r="BV165" s="188"/>
      <c r="BW165" s="188"/>
      <c r="BX165" s="188"/>
      <c r="BY165" s="188"/>
      <c r="BZ165" s="188"/>
      <c r="CA165" s="188"/>
      <c r="CB165" s="188"/>
      <c r="CC165" s="188"/>
      <c r="CD165" s="188"/>
      <c r="CE165" s="188"/>
      <c r="CF165" s="188"/>
      <c r="CG165" s="188"/>
      <c r="CH165" s="188"/>
      <c r="CI165" s="188"/>
      <c r="CJ165" s="188"/>
      <c r="CK165" s="188"/>
      <c r="CL165" s="188"/>
      <c r="CM165" s="188"/>
      <c r="CN165" s="188"/>
      <c r="CO165" s="188"/>
      <c r="CP165" s="188"/>
      <c r="CQ165" s="188"/>
      <c r="CR165" s="188"/>
      <c r="CS165" s="188"/>
      <c r="CT165" s="188"/>
      <c r="CU165" s="188"/>
      <c r="CV165" s="188"/>
      <c r="CW165" s="188"/>
      <c r="CX165" s="188"/>
      <c r="CY165" s="188"/>
      <c r="CZ165" s="188"/>
      <c r="DA165" s="188"/>
      <c r="DB165" s="188"/>
      <c r="DC165" s="188"/>
      <c r="DD165" s="188"/>
      <c r="DE165" s="188"/>
      <c r="DF165" s="189"/>
      <c r="DG165" s="187"/>
      <c r="DH165" s="188"/>
      <c r="DI165" s="188"/>
      <c r="DJ165" s="188"/>
      <c r="DK165" s="189"/>
      <c r="DQ165" s="187"/>
      <c r="DR165" s="188"/>
      <c r="DS165" s="188"/>
      <c r="DT165" s="188"/>
      <c r="DU165" s="188"/>
      <c r="DV165" s="188"/>
      <c r="DW165" s="188"/>
      <c r="DX165" s="188"/>
      <c r="DY165" s="188"/>
      <c r="DZ165" s="188"/>
      <c r="EA165" s="188"/>
      <c r="EB165" s="188"/>
      <c r="EC165" s="188"/>
      <c r="ED165" s="188"/>
      <c r="EE165" s="188"/>
      <c r="EF165" s="188"/>
      <c r="EG165" s="188"/>
      <c r="EH165" s="188"/>
      <c r="EI165" s="188"/>
      <c r="EJ165" s="188"/>
      <c r="EK165" s="188"/>
      <c r="EL165" s="188"/>
      <c r="EM165" s="188"/>
      <c r="EN165" s="188"/>
      <c r="EO165" s="188"/>
      <c r="EP165" s="188"/>
      <c r="EQ165" s="188"/>
      <c r="ER165" s="188"/>
      <c r="ES165" s="188"/>
      <c r="ET165" s="188"/>
      <c r="EU165" s="188"/>
      <c r="EV165" s="188"/>
      <c r="EW165" s="188"/>
      <c r="EX165" s="188"/>
      <c r="EY165" s="188"/>
      <c r="EZ165" s="188"/>
      <c r="FA165" s="188"/>
      <c r="FB165" s="188"/>
      <c r="FC165" s="188"/>
      <c r="FD165" s="189"/>
      <c r="FE165" s="187"/>
      <c r="FF165" s="188"/>
      <c r="FG165" s="188"/>
      <c r="FH165" s="188"/>
      <c r="FI165" s="189"/>
      <c r="FN165" s="187"/>
      <c r="FO165" s="188"/>
      <c r="FP165" s="188"/>
      <c r="FQ165" s="188"/>
      <c r="FR165" s="188"/>
      <c r="FS165" s="188"/>
      <c r="FT165" s="188"/>
      <c r="FU165" s="188"/>
      <c r="FV165" s="188"/>
      <c r="FW165" s="188"/>
      <c r="FX165" s="188"/>
      <c r="FY165" s="188"/>
      <c r="FZ165" s="188"/>
      <c r="GA165" s="188"/>
      <c r="GB165" s="188"/>
      <c r="GC165" s="188"/>
      <c r="GD165" s="188"/>
      <c r="GE165" s="188"/>
      <c r="GF165" s="188"/>
      <c r="GG165" s="188"/>
      <c r="GH165" s="188"/>
      <c r="GI165" s="188"/>
      <c r="GJ165" s="188"/>
      <c r="GK165" s="188"/>
      <c r="GL165" s="188"/>
      <c r="GM165" s="188"/>
      <c r="GN165" s="188"/>
      <c r="GO165" s="188"/>
      <c r="GP165" s="188"/>
      <c r="GQ165" s="188"/>
      <c r="GR165" s="188"/>
      <c r="GS165" s="188"/>
      <c r="GT165" s="188"/>
      <c r="GU165" s="188"/>
      <c r="GV165" s="188"/>
      <c r="GW165" s="188"/>
      <c r="GX165" s="188"/>
      <c r="GY165" s="188"/>
      <c r="GZ165" s="188"/>
      <c r="HA165" s="189"/>
      <c r="HB165" s="187"/>
      <c r="HC165" s="188"/>
      <c r="HD165" s="188"/>
      <c r="HE165" s="188"/>
      <c r="HF165" s="189"/>
      <c r="HP165" s="198"/>
      <c r="HQ165" s="199"/>
      <c r="HR165" s="199"/>
      <c r="HS165" s="199"/>
      <c r="HT165" s="199"/>
      <c r="HU165" s="199"/>
      <c r="HV165" s="199"/>
      <c r="HW165" s="199"/>
      <c r="HX165" s="199"/>
      <c r="HY165" s="199"/>
      <c r="HZ165" s="199"/>
      <c r="IA165" s="199"/>
      <c r="IB165" s="199"/>
      <c r="IC165" s="199"/>
      <c r="ID165" s="199"/>
      <c r="IE165" s="199"/>
      <c r="IF165" s="199"/>
      <c r="IG165" s="199"/>
      <c r="IH165" s="199"/>
      <c r="II165" s="199"/>
      <c r="IJ165" s="199"/>
      <c r="IK165" s="199"/>
      <c r="IL165" s="199"/>
      <c r="IM165" s="199"/>
      <c r="IN165" s="199"/>
      <c r="IO165" s="199"/>
      <c r="IP165" s="199"/>
      <c r="IQ165" s="199"/>
      <c r="IR165" s="199"/>
      <c r="IS165" s="199"/>
      <c r="IT165" s="199"/>
      <c r="IU165" s="199"/>
      <c r="IV165" s="199"/>
      <c r="IW165" s="199"/>
      <c r="IX165" s="199"/>
      <c r="IY165" s="199"/>
      <c r="IZ165" s="199"/>
      <c r="JA165" s="199"/>
      <c r="JB165" s="199"/>
      <c r="JC165" s="199"/>
      <c r="JD165" s="204"/>
      <c r="JE165" s="204"/>
      <c r="JF165" s="204"/>
      <c r="JG165" s="204"/>
      <c r="JH165" s="204"/>
      <c r="JI165" s="204"/>
      <c r="JJ165" s="19"/>
      <c r="JP165" s="155"/>
      <c r="JT165" s="16"/>
      <c r="JW165" s="187"/>
      <c r="JX165" s="188"/>
      <c r="JY165" s="188"/>
      <c r="JZ165" s="188"/>
      <c r="KA165" s="188"/>
      <c r="KB165" s="188"/>
      <c r="KC165" s="188"/>
      <c r="KD165" s="188"/>
      <c r="KE165" s="188"/>
      <c r="KF165" s="188"/>
      <c r="KG165" s="188"/>
      <c r="KH165" s="188"/>
      <c r="KI165" s="188"/>
      <c r="KJ165" s="188"/>
      <c r="KK165" s="188"/>
      <c r="KL165" s="188"/>
      <c r="KM165" s="188"/>
      <c r="KN165" s="188"/>
      <c r="KO165" s="188"/>
      <c r="KP165" s="188"/>
      <c r="KQ165" s="188"/>
      <c r="KR165" s="188"/>
      <c r="KS165" s="188"/>
      <c r="KT165" s="188"/>
      <c r="KU165" s="188"/>
      <c r="KV165" s="188"/>
      <c r="KW165" s="188"/>
      <c r="KX165" s="188"/>
      <c r="KY165" s="188"/>
      <c r="KZ165" s="188"/>
      <c r="LA165" s="188"/>
      <c r="LB165" s="188"/>
      <c r="LC165" s="188"/>
      <c r="LD165" s="188"/>
      <c r="LE165" s="188"/>
      <c r="LF165" s="188"/>
      <c r="LG165" s="188"/>
      <c r="LH165" s="188"/>
      <c r="LI165" s="188"/>
      <c r="LJ165" s="188"/>
      <c r="LK165" s="189"/>
      <c r="LL165" s="187"/>
      <c r="LM165" s="188"/>
      <c r="LN165" s="188"/>
      <c r="LO165" s="188"/>
      <c r="LP165" s="189"/>
      <c r="LY165" s="12"/>
      <c r="LZ165" s="7"/>
      <c r="MA165" s="3"/>
      <c r="MB165" s="3"/>
      <c r="MC165" s="3"/>
      <c r="MD165" s="3"/>
      <c r="ME165" s="2"/>
      <c r="MS165" s="3"/>
      <c r="MT165" s="3"/>
      <c r="MU165" s="3"/>
      <c r="MV165" s="3"/>
      <c r="MW165" s="3"/>
      <c r="MX165" s="2"/>
    </row>
    <row r="166" spans="3:362" ht="5.0999999999999996" customHeight="1" x14ac:dyDescent="0.3">
      <c r="C166" s="11"/>
      <c r="D166" s="13"/>
      <c r="Q166" s="187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  <c r="BD166" s="188"/>
      <c r="BE166" s="189"/>
      <c r="BF166" s="187"/>
      <c r="BG166" s="188"/>
      <c r="BH166" s="188"/>
      <c r="BI166" s="188"/>
      <c r="BJ166" s="189"/>
      <c r="BS166" s="187"/>
      <c r="BT166" s="188"/>
      <c r="BU166" s="188"/>
      <c r="BV166" s="188"/>
      <c r="BW166" s="188"/>
      <c r="BX166" s="188"/>
      <c r="BY166" s="188"/>
      <c r="BZ166" s="188"/>
      <c r="CA166" s="188"/>
      <c r="CB166" s="188"/>
      <c r="CC166" s="188"/>
      <c r="CD166" s="188"/>
      <c r="CE166" s="188"/>
      <c r="CF166" s="188"/>
      <c r="CG166" s="188"/>
      <c r="CH166" s="188"/>
      <c r="CI166" s="188"/>
      <c r="CJ166" s="188"/>
      <c r="CK166" s="188"/>
      <c r="CL166" s="188"/>
      <c r="CM166" s="188"/>
      <c r="CN166" s="188"/>
      <c r="CO166" s="188"/>
      <c r="CP166" s="188"/>
      <c r="CQ166" s="188"/>
      <c r="CR166" s="188"/>
      <c r="CS166" s="188"/>
      <c r="CT166" s="188"/>
      <c r="CU166" s="188"/>
      <c r="CV166" s="188"/>
      <c r="CW166" s="188"/>
      <c r="CX166" s="188"/>
      <c r="CY166" s="188"/>
      <c r="CZ166" s="188"/>
      <c r="DA166" s="188"/>
      <c r="DB166" s="188"/>
      <c r="DC166" s="188"/>
      <c r="DD166" s="188"/>
      <c r="DE166" s="188"/>
      <c r="DF166" s="189"/>
      <c r="DG166" s="187"/>
      <c r="DH166" s="188"/>
      <c r="DI166" s="188"/>
      <c r="DJ166" s="188"/>
      <c r="DK166" s="189"/>
      <c r="DQ166" s="187"/>
      <c r="DR166" s="188"/>
      <c r="DS166" s="188"/>
      <c r="DT166" s="188"/>
      <c r="DU166" s="188"/>
      <c r="DV166" s="188"/>
      <c r="DW166" s="188"/>
      <c r="DX166" s="188"/>
      <c r="DY166" s="188"/>
      <c r="DZ166" s="188"/>
      <c r="EA166" s="188"/>
      <c r="EB166" s="188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R166" s="188"/>
      <c r="ES166" s="188"/>
      <c r="ET166" s="188"/>
      <c r="EU166" s="188"/>
      <c r="EV166" s="188"/>
      <c r="EW166" s="188"/>
      <c r="EX166" s="188"/>
      <c r="EY166" s="188"/>
      <c r="EZ166" s="188"/>
      <c r="FA166" s="188"/>
      <c r="FB166" s="188"/>
      <c r="FC166" s="188"/>
      <c r="FD166" s="189"/>
      <c r="FE166" s="187"/>
      <c r="FF166" s="188"/>
      <c r="FG166" s="188"/>
      <c r="FH166" s="188"/>
      <c r="FI166" s="189"/>
      <c r="FN166" s="187"/>
      <c r="FO166" s="188"/>
      <c r="FP166" s="188"/>
      <c r="FQ166" s="188"/>
      <c r="FR166" s="188"/>
      <c r="FS166" s="188"/>
      <c r="FT166" s="188"/>
      <c r="FU166" s="188"/>
      <c r="FV166" s="188"/>
      <c r="FW166" s="188"/>
      <c r="FX166" s="188"/>
      <c r="FY166" s="188"/>
      <c r="FZ166" s="188"/>
      <c r="GA166" s="188"/>
      <c r="GB166" s="188"/>
      <c r="GC166" s="188"/>
      <c r="GD166" s="188"/>
      <c r="GE166" s="188"/>
      <c r="GF166" s="188"/>
      <c r="GG166" s="188"/>
      <c r="GH166" s="188"/>
      <c r="GI166" s="188"/>
      <c r="GJ166" s="188"/>
      <c r="GK166" s="188"/>
      <c r="GL166" s="188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  <c r="GY166" s="188"/>
      <c r="GZ166" s="188"/>
      <c r="HA166" s="189"/>
      <c r="HB166" s="187"/>
      <c r="HC166" s="188"/>
      <c r="HD166" s="188"/>
      <c r="HE166" s="188"/>
      <c r="HF166" s="189"/>
      <c r="HP166" s="198"/>
      <c r="HQ166" s="199"/>
      <c r="HR166" s="199"/>
      <c r="HS166" s="199"/>
      <c r="HT166" s="199"/>
      <c r="HU166" s="199"/>
      <c r="HV166" s="199"/>
      <c r="HW166" s="199"/>
      <c r="HX166" s="199"/>
      <c r="HY166" s="199"/>
      <c r="HZ166" s="199"/>
      <c r="IA166" s="199"/>
      <c r="IB166" s="199"/>
      <c r="IC166" s="199"/>
      <c r="ID166" s="199"/>
      <c r="IE166" s="199"/>
      <c r="IF166" s="199"/>
      <c r="IG166" s="199"/>
      <c r="IH166" s="199"/>
      <c r="II166" s="199"/>
      <c r="IJ166" s="199"/>
      <c r="IK166" s="199"/>
      <c r="IL166" s="199"/>
      <c r="IM166" s="199"/>
      <c r="IN166" s="199"/>
      <c r="IO166" s="199"/>
      <c r="IP166" s="199"/>
      <c r="IQ166" s="199"/>
      <c r="IR166" s="199"/>
      <c r="IS166" s="199"/>
      <c r="IT166" s="199"/>
      <c r="IU166" s="199"/>
      <c r="IV166" s="199"/>
      <c r="IW166" s="199"/>
      <c r="IX166" s="199"/>
      <c r="IY166" s="199"/>
      <c r="IZ166" s="199"/>
      <c r="JA166" s="199"/>
      <c r="JB166" s="199"/>
      <c r="JC166" s="199"/>
      <c r="JD166" s="204"/>
      <c r="JE166" s="204"/>
      <c r="JF166" s="204"/>
      <c r="JG166" s="204"/>
      <c r="JH166" s="204"/>
      <c r="JI166" s="204"/>
      <c r="JJ166" s="19"/>
      <c r="JP166" s="155"/>
      <c r="JT166" s="16"/>
      <c r="JW166" s="187"/>
      <c r="JX166" s="188"/>
      <c r="JY166" s="188"/>
      <c r="JZ166" s="188"/>
      <c r="KA166" s="188"/>
      <c r="KB166" s="188"/>
      <c r="KC166" s="188"/>
      <c r="KD166" s="188"/>
      <c r="KE166" s="188"/>
      <c r="KF166" s="188"/>
      <c r="KG166" s="188"/>
      <c r="KH166" s="188"/>
      <c r="KI166" s="188"/>
      <c r="KJ166" s="188"/>
      <c r="KK166" s="188"/>
      <c r="KL166" s="188"/>
      <c r="KM166" s="188"/>
      <c r="KN166" s="188"/>
      <c r="KO166" s="188"/>
      <c r="KP166" s="188"/>
      <c r="KQ166" s="188"/>
      <c r="KR166" s="188"/>
      <c r="KS166" s="188"/>
      <c r="KT166" s="188"/>
      <c r="KU166" s="188"/>
      <c r="KV166" s="188"/>
      <c r="KW166" s="188"/>
      <c r="KX166" s="188"/>
      <c r="KY166" s="188"/>
      <c r="KZ166" s="188"/>
      <c r="LA166" s="188"/>
      <c r="LB166" s="188"/>
      <c r="LC166" s="188"/>
      <c r="LD166" s="188"/>
      <c r="LE166" s="188"/>
      <c r="LF166" s="188"/>
      <c r="LG166" s="188"/>
      <c r="LH166" s="188"/>
      <c r="LI166" s="188"/>
      <c r="LJ166" s="188"/>
      <c r="LK166" s="189"/>
      <c r="LL166" s="187"/>
      <c r="LM166" s="188"/>
      <c r="LN166" s="188"/>
      <c r="LO166" s="188"/>
      <c r="LP166" s="189"/>
      <c r="LY166" s="12"/>
      <c r="LZ166" s="7"/>
      <c r="MA166" s="3"/>
      <c r="MB166" s="3"/>
      <c r="MC166" s="3"/>
      <c r="MD166" s="3"/>
      <c r="ME166" s="2"/>
      <c r="MS166" s="3"/>
      <c r="MT166" s="3"/>
      <c r="MU166" s="3"/>
      <c r="MV166" s="3"/>
      <c r="MW166" s="3"/>
      <c r="MX166" s="2"/>
    </row>
    <row r="167" spans="3:362" ht="5.0999999999999996" customHeight="1" x14ac:dyDescent="0.3">
      <c r="C167" s="11"/>
      <c r="D167" s="13"/>
      <c r="Q167" s="187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  <c r="BD167" s="188"/>
      <c r="BE167" s="189"/>
      <c r="BF167" s="187"/>
      <c r="BG167" s="188"/>
      <c r="BH167" s="188"/>
      <c r="BI167" s="188"/>
      <c r="BJ167" s="189"/>
      <c r="BS167" s="187"/>
      <c r="BT167" s="188"/>
      <c r="BU167" s="188"/>
      <c r="BV167" s="188"/>
      <c r="BW167" s="188"/>
      <c r="BX167" s="188"/>
      <c r="BY167" s="188"/>
      <c r="BZ167" s="188"/>
      <c r="CA167" s="188"/>
      <c r="CB167" s="188"/>
      <c r="CC167" s="188"/>
      <c r="CD167" s="188"/>
      <c r="CE167" s="188"/>
      <c r="CF167" s="188"/>
      <c r="CG167" s="188"/>
      <c r="CH167" s="188"/>
      <c r="CI167" s="188"/>
      <c r="CJ167" s="188"/>
      <c r="CK167" s="188"/>
      <c r="CL167" s="188"/>
      <c r="CM167" s="188"/>
      <c r="CN167" s="188"/>
      <c r="CO167" s="188"/>
      <c r="CP167" s="188"/>
      <c r="CQ167" s="188"/>
      <c r="CR167" s="188"/>
      <c r="CS167" s="188"/>
      <c r="CT167" s="188"/>
      <c r="CU167" s="188"/>
      <c r="CV167" s="188"/>
      <c r="CW167" s="188"/>
      <c r="CX167" s="188"/>
      <c r="CY167" s="188"/>
      <c r="CZ167" s="188"/>
      <c r="DA167" s="188"/>
      <c r="DB167" s="188"/>
      <c r="DC167" s="188"/>
      <c r="DD167" s="188"/>
      <c r="DE167" s="188"/>
      <c r="DF167" s="189"/>
      <c r="DG167" s="187"/>
      <c r="DH167" s="188"/>
      <c r="DI167" s="188"/>
      <c r="DJ167" s="188"/>
      <c r="DK167" s="189"/>
      <c r="DQ167" s="187"/>
      <c r="DR167" s="188"/>
      <c r="DS167" s="188"/>
      <c r="DT167" s="188"/>
      <c r="DU167" s="188"/>
      <c r="DV167" s="188"/>
      <c r="DW167" s="188"/>
      <c r="DX167" s="188"/>
      <c r="DY167" s="188"/>
      <c r="DZ167" s="188"/>
      <c r="EA167" s="188"/>
      <c r="EB167" s="188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R167" s="188"/>
      <c r="ES167" s="188"/>
      <c r="ET167" s="188"/>
      <c r="EU167" s="188"/>
      <c r="EV167" s="188"/>
      <c r="EW167" s="188"/>
      <c r="EX167" s="188"/>
      <c r="EY167" s="188"/>
      <c r="EZ167" s="188"/>
      <c r="FA167" s="188"/>
      <c r="FB167" s="188"/>
      <c r="FC167" s="188"/>
      <c r="FD167" s="189"/>
      <c r="FE167" s="187"/>
      <c r="FF167" s="188"/>
      <c r="FG167" s="188"/>
      <c r="FH167" s="188"/>
      <c r="FI167" s="189"/>
      <c r="FN167" s="187"/>
      <c r="FO167" s="188"/>
      <c r="FP167" s="188"/>
      <c r="FQ167" s="188"/>
      <c r="FR167" s="188"/>
      <c r="FS167" s="188"/>
      <c r="FT167" s="188"/>
      <c r="FU167" s="188"/>
      <c r="FV167" s="188"/>
      <c r="FW167" s="188"/>
      <c r="FX167" s="188"/>
      <c r="FY167" s="188"/>
      <c r="FZ167" s="188"/>
      <c r="GA167" s="188"/>
      <c r="GB167" s="188"/>
      <c r="GC167" s="188"/>
      <c r="GD167" s="188"/>
      <c r="GE167" s="188"/>
      <c r="GF167" s="188"/>
      <c r="GG167" s="188"/>
      <c r="GH167" s="188"/>
      <c r="GI167" s="188"/>
      <c r="GJ167" s="188"/>
      <c r="GK167" s="188"/>
      <c r="GL167" s="188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  <c r="GY167" s="188"/>
      <c r="GZ167" s="188"/>
      <c r="HA167" s="189"/>
      <c r="HB167" s="187"/>
      <c r="HC167" s="188"/>
      <c r="HD167" s="188"/>
      <c r="HE167" s="188"/>
      <c r="HF167" s="189"/>
      <c r="HP167" s="198"/>
      <c r="HQ167" s="199"/>
      <c r="HR167" s="199"/>
      <c r="HS167" s="199"/>
      <c r="HT167" s="199"/>
      <c r="HU167" s="199"/>
      <c r="HV167" s="199"/>
      <c r="HW167" s="199"/>
      <c r="HX167" s="199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  <c r="IW167" s="199"/>
      <c r="IX167" s="199"/>
      <c r="IY167" s="199"/>
      <c r="IZ167" s="199"/>
      <c r="JA167" s="199"/>
      <c r="JB167" s="199"/>
      <c r="JC167" s="199"/>
      <c r="JD167" s="204"/>
      <c r="JE167" s="204"/>
      <c r="JF167" s="204"/>
      <c r="JG167" s="204"/>
      <c r="JH167" s="204"/>
      <c r="JI167" s="204"/>
      <c r="JJ167" s="19"/>
      <c r="JP167" s="155"/>
      <c r="JT167" s="16"/>
      <c r="JW167" s="187"/>
      <c r="JX167" s="188"/>
      <c r="JY167" s="188"/>
      <c r="JZ167" s="188"/>
      <c r="KA167" s="188"/>
      <c r="KB167" s="188"/>
      <c r="KC167" s="188"/>
      <c r="KD167" s="188"/>
      <c r="KE167" s="188"/>
      <c r="KF167" s="188"/>
      <c r="KG167" s="188"/>
      <c r="KH167" s="188"/>
      <c r="KI167" s="188"/>
      <c r="KJ167" s="188"/>
      <c r="KK167" s="188"/>
      <c r="KL167" s="188"/>
      <c r="KM167" s="188"/>
      <c r="KN167" s="188"/>
      <c r="KO167" s="188"/>
      <c r="KP167" s="188"/>
      <c r="KQ167" s="188"/>
      <c r="KR167" s="188"/>
      <c r="KS167" s="188"/>
      <c r="KT167" s="188"/>
      <c r="KU167" s="188"/>
      <c r="KV167" s="188"/>
      <c r="KW167" s="188"/>
      <c r="KX167" s="188"/>
      <c r="KY167" s="188"/>
      <c r="KZ167" s="188"/>
      <c r="LA167" s="188"/>
      <c r="LB167" s="188"/>
      <c r="LC167" s="188"/>
      <c r="LD167" s="188"/>
      <c r="LE167" s="188"/>
      <c r="LF167" s="188"/>
      <c r="LG167" s="188"/>
      <c r="LH167" s="188"/>
      <c r="LI167" s="188"/>
      <c r="LJ167" s="188"/>
      <c r="LK167" s="189"/>
      <c r="LL167" s="187"/>
      <c r="LM167" s="188"/>
      <c r="LN167" s="188"/>
      <c r="LO167" s="188"/>
      <c r="LP167" s="189"/>
      <c r="LY167" s="12"/>
      <c r="LZ167" s="7"/>
      <c r="MA167" s="3"/>
      <c r="MB167" s="3"/>
      <c r="MC167" s="3"/>
      <c r="MD167" s="3"/>
      <c r="ME167" s="2"/>
      <c r="MS167" s="3"/>
      <c r="MT167" s="3"/>
      <c r="MU167" s="3"/>
      <c r="MV167" s="3"/>
      <c r="MW167" s="3"/>
      <c r="MX167" s="2"/>
    </row>
    <row r="168" spans="3:362" ht="5.0999999999999996" customHeight="1" x14ac:dyDescent="0.3">
      <c r="C168" s="11"/>
      <c r="D168" s="13"/>
      <c r="Q168" s="187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  <c r="BD168" s="188"/>
      <c r="BE168" s="189"/>
      <c r="BF168" s="187"/>
      <c r="BG168" s="188"/>
      <c r="BH168" s="188"/>
      <c r="BI168" s="188"/>
      <c r="BJ168" s="189"/>
      <c r="BS168" s="187"/>
      <c r="BT168" s="188"/>
      <c r="BU168" s="188"/>
      <c r="BV168" s="188"/>
      <c r="BW168" s="188"/>
      <c r="BX168" s="188"/>
      <c r="BY168" s="188"/>
      <c r="BZ168" s="188"/>
      <c r="CA168" s="188"/>
      <c r="CB168" s="188"/>
      <c r="CC168" s="188"/>
      <c r="CD168" s="188"/>
      <c r="CE168" s="188"/>
      <c r="CF168" s="188"/>
      <c r="CG168" s="188"/>
      <c r="CH168" s="188"/>
      <c r="CI168" s="188"/>
      <c r="CJ168" s="188"/>
      <c r="CK168" s="188"/>
      <c r="CL168" s="188"/>
      <c r="CM168" s="188"/>
      <c r="CN168" s="188"/>
      <c r="CO168" s="188"/>
      <c r="CP168" s="188"/>
      <c r="CQ168" s="188"/>
      <c r="CR168" s="188"/>
      <c r="CS168" s="188"/>
      <c r="CT168" s="188"/>
      <c r="CU168" s="188"/>
      <c r="CV168" s="188"/>
      <c r="CW168" s="188"/>
      <c r="CX168" s="188"/>
      <c r="CY168" s="188"/>
      <c r="CZ168" s="188"/>
      <c r="DA168" s="188"/>
      <c r="DB168" s="188"/>
      <c r="DC168" s="188"/>
      <c r="DD168" s="188"/>
      <c r="DE168" s="188"/>
      <c r="DF168" s="189"/>
      <c r="DG168" s="187"/>
      <c r="DH168" s="188"/>
      <c r="DI168" s="188"/>
      <c r="DJ168" s="188"/>
      <c r="DK168" s="189"/>
      <c r="DQ168" s="187"/>
      <c r="DR168" s="188"/>
      <c r="DS168" s="188"/>
      <c r="DT168" s="188"/>
      <c r="DU168" s="188"/>
      <c r="DV168" s="188"/>
      <c r="DW168" s="188"/>
      <c r="DX168" s="188"/>
      <c r="DY168" s="188"/>
      <c r="DZ168" s="188"/>
      <c r="EA168" s="188"/>
      <c r="EB168" s="188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R168" s="188"/>
      <c r="ES168" s="188"/>
      <c r="ET168" s="188"/>
      <c r="EU168" s="188"/>
      <c r="EV168" s="188"/>
      <c r="EW168" s="188"/>
      <c r="EX168" s="188"/>
      <c r="EY168" s="188"/>
      <c r="EZ168" s="188"/>
      <c r="FA168" s="188"/>
      <c r="FB168" s="188"/>
      <c r="FC168" s="188"/>
      <c r="FD168" s="189"/>
      <c r="FE168" s="187"/>
      <c r="FF168" s="188"/>
      <c r="FG168" s="188"/>
      <c r="FH168" s="188"/>
      <c r="FI168" s="189"/>
      <c r="FN168" s="187"/>
      <c r="FO168" s="188"/>
      <c r="FP168" s="188"/>
      <c r="FQ168" s="188"/>
      <c r="FR168" s="188"/>
      <c r="FS168" s="188"/>
      <c r="FT168" s="188"/>
      <c r="FU168" s="188"/>
      <c r="FV168" s="188"/>
      <c r="FW168" s="188"/>
      <c r="FX168" s="188"/>
      <c r="FY168" s="188"/>
      <c r="FZ168" s="188"/>
      <c r="GA168" s="188"/>
      <c r="GB168" s="188"/>
      <c r="GC168" s="188"/>
      <c r="GD168" s="188"/>
      <c r="GE168" s="188"/>
      <c r="GF168" s="188"/>
      <c r="GG168" s="188"/>
      <c r="GH168" s="188"/>
      <c r="GI168" s="188"/>
      <c r="GJ168" s="188"/>
      <c r="GK168" s="188"/>
      <c r="GL168" s="188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  <c r="GY168" s="188"/>
      <c r="GZ168" s="188"/>
      <c r="HA168" s="189"/>
      <c r="HB168" s="187"/>
      <c r="HC168" s="188"/>
      <c r="HD168" s="188"/>
      <c r="HE168" s="188"/>
      <c r="HF168" s="189"/>
      <c r="HP168" s="198"/>
      <c r="HQ168" s="199"/>
      <c r="HR168" s="199"/>
      <c r="HS168" s="199"/>
      <c r="HT168" s="199"/>
      <c r="HU168" s="199"/>
      <c r="HV168" s="199"/>
      <c r="HW168" s="199"/>
      <c r="HX168" s="199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  <c r="IW168" s="199"/>
      <c r="IX168" s="199"/>
      <c r="IY168" s="199"/>
      <c r="IZ168" s="199"/>
      <c r="JA168" s="199"/>
      <c r="JB168" s="199"/>
      <c r="JC168" s="199"/>
      <c r="JD168" s="204"/>
      <c r="JE168" s="204"/>
      <c r="JF168" s="204"/>
      <c r="JG168" s="204"/>
      <c r="JH168" s="204"/>
      <c r="JI168" s="204"/>
      <c r="JJ168" s="19"/>
      <c r="JP168" s="155"/>
      <c r="JT168" s="16"/>
      <c r="JW168" s="187"/>
      <c r="JX168" s="188"/>
      <c r="JY168" s="188"/>
      <c r="JZ168" s="188"/>
      <c r="KA168" s="188"/>
      <c r="KB168" s="188"/>
      <c r="KC168" s="188"/>
      <c r="KD168" s="188"/>
      <c r="KE168" s="188"/>
      <c r="KF168" s="188"/>
      <c r="KG168" s="188"/>
      <c r="KH168" s="188"/>
      <c r="KI168" s="188"/>
      <c r="KJ168" s="188"/>
      <c r="KK168" s="188"/>
      <c r="KL168" s="188"/>
      <c r="KM168" s="188"/>
      <c r="KN168" s="188"/>
      <c r="KO168" s="188"/>
      <c r="KP168" s="188"/>
      <c r="KQ168" s="188"/>
      <c r="KR168" s="188"/>
      <c r="KS168" s="188"/>
      <c r="KT168" s="188"/>
      <c r="KU168" s="188"/>
      <c r="KV168" s="188"/>
      <c r="KW168" s="188"/>
      <c r="KX168" s="188"/>
      <c r="KY168" s="188"/>
      <c r="KZ168" s="188"/>
      <c r="LA168" s="188"/>
      <c r="LB168" s="188"/>
      <c r="LC168" s="188"/>
      <c r="LD168" s="188"/>
      <c r="LE168" s="188"/>
      <c r="LF168" s="188"/>
      <c r="LG168" s="188"/>
      <c r="LH168" s="188"/>
      <c r="LI168" s="188"/>
      <c r="LJ168" s="188"/>
      <c r="LK168" s="189"/>
      <c r="LL168" s="187"/>
      <c r="LM168" s="188"/>
      <c r="LN168" s="188"/>
      <c r="LO168" s="188"/>
      <c r="LP168" s="189"/>
      <c r="LY168" s="12"/>
      <c r="LZ168" s="7"/>
      <c r="MA168" s="3"/>
      <c r="MB168" s="3"/>
      <c r="MC168" s="3"/>
      <c r="MD168" s="3"/>
      <c r="ME168" s="2"/>
      <c r="MS168" s="3"/>
      <c r="MT168" s="3"/>
      <c r="MU168" s="3"/>
      <c r="MV168" s="3"/>
      <c r="MW168" s="3"/>
      <c r="MX168" s="2"/>
    </row>
    <row r="169" spans="3:362" ht="5.0999999999999996" customHeight="1" x14ac:dyDescent="0.3">
      <c r="C169" s="11"/>
      <c r="D169" s="13"/>
      <c r="Q169" s="187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  <c r="BE169" s="189"/>
      <c r="BF169" s="187"/>
      <c r="BG169" s="188"/>
      <c r="BH169" s="188"/>
      <c r="BI169" s="188"/>
      <c r="BJ169" s="189"/>
      <c r="BS169" s="187"/>
      <c r="BT169" s="188"/>
      <c r="BU169" s="188"/>
      <c r="BV169" s="188"/>
      <c r="BW169" s="188"/>
      <c r="BX169" s="188"/>
      <c r="BY169" s="188"/>
      <c r="BZ169" s="188"/>
      <c r="CA169" s="188"/>
      <c r="CB169" s="188"/>
      <c r="CC169" s="188"/>
      <c r="CD169" s="188"/>
      <c r="CE169" s="188"/>
      <c r="CF169" s="188"/>
      <c r="CG169" s="188"/>
      <c r="CH169" s="188"/>
      <c r="CI169" s="188"/>
      <c r="CJ169" s="188"/>
      <c r="CK169" s="188"/>
      <c r="CL169" s="188"/>
      <c r="CM169" s="188"/>
      <c r="CN169" s="188"/>
      <c r="CO169" s="188"/>
      <c r="CP169" s="188"/>
      <c r="CQ169" s="188"/>
      <c r="CR169" s="188"/>
      <c r="CS169" s="188"/>
      <c r="CT169" s="188"/>
      <c r="CU169" s="188"/>
      <c r="CV169" s="188"/>
      <c r="CW169" s="188"/>
      <c r="CX169" s="188"/>
      <c r="CY169" s="188"/>
      <c r="CZ169" s="188"/>
      <c r="DA169" s="188"/>
      <c r="DB169" s="188"/>
      <c r="DC169" s="188"/>
      <c r="DD169" s="188"/>
      <c r="DE169" s="188"/>
      <c r="DF169" s="189"/>
      <c r="DG169" s="187"/>
      <c r="DH169" s="188"/>
      <c r="DI169" s="188"/>
      <c r="DJ169" s="188"/>
      <c r="DK169" s="189"/>
      <c r="DQ169" s="187"/>
      <c r="DR169" s="188"/>
      <c r="DS169" s="188"/>
      <c r="DT169" s="188"/>
      <c r="DU169" s="188"/>
      <c r="DV169" s="188"/>
      <c r="DW169" s="188"/>
      <c r="DX169" s="188"/>
      <c r="DY169" s="188"/>
      <c r="DZ169" s="188"/>
      <c r="EA169" s="188"/>
      <c r="EB169" s="188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R169" s="188"/>
      <c r="ES169" s="188"/>
      <c r="ET169" s="188"/>
      <c r="EU169" s="188"/>
      <c r="EV169" s="188"/>
      <c r="EW169" s="188"/>
      <c r="EX169" s="188"/>
      <c r="EY169" s="188"/>
      <c r="EZ169" s="188"/>
      <c r="FA169" s="188"/>
      <c r="FB169" s="188"/>
      <c r="FC169" s="188"/>
      <c r="FD169" s="189"/>
      <c r="FE169" s="187"/>
      <c r="FF169" s="188"/>
      <c r="FG169" s="188"/>
      <c r="FH169" s="188"/>
      <c r="FI169" s="189"/>
      <c r="FN169" s="187"/>
      <c r="FO169" s="188"/>
      <c r="FP169" s="188"/>
      <c r="FQ169" s="188"/>
      <c r="FR169" s="188"/>
      <c r="FS169" s="188"/>
      <c r="FT169" s="188"/>
      <c r="FU169" s="188"/>
      <c r="FV169" s="188"/>
      <c r="FW169" s="188"/>
      <c r="FX169" s="188"/>
      <c r="FY169" s="188"/>
      <c r="FZ169" s="188"/>
      <c r="GA169" s="188"/>
      <c r="GB169" s="188"/>
      <c r="GC169" s="188"/>
      <c r="GD169" s="188"/>
      <c r="GE169" s="188"/>
      <c r="GF169" s="188"/>
      <c r="GG169" s="188"/>
      <c r="GH169" s="188"/>
      <c r="GI169" s="188"/>
      <c r="GJ169" s="188"/>
      <c r="GK169" s="188"/>
      <c r="GL169" s="188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  <c r="GY169" s="188"/>
      <c r="GZ169" s="188"/>
      <c r="HA169" s="189"/>
      <c r="HB169" s="187"/>
      <c r="HC169" s="188"/>
      <c r="HD169" s="188"/>
      <c r="HE169" s="188"/>
      <c r="HF169" s="189"/>
      <c r="HP169" s="198"/>
      <c r="HQ169" s="199"/>
      <c r="HR169" s="199"/>
      <c r="HS169" s="199"/>
      <c r="HT169" s="199"/>
      <c r="HU169" s="199"/>
      <c r="HV169" s="199"/>
      <c r="HW169" s="199"/>
      <c r="HX169" s="199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  <c r="IW169" s="199"/>
      <c r="IX169" s="199"/>
      <c r="IY169" s="199"/>
      <c r="IZ169" s="199"/>
      <c r="JA169" s="199"/>
      <c r="JB169" s="199"/>
      <c r="JC169" s="199"/>
      <c r="JD169" s="204"/>
      <c r="JE169" s="204"/>
      <c r="JF169" s="204"/>
      <c r="JG169" s="204"/>
      <c r="JH169" s="204"/>
      <c r="JI169" s="204"/>
      <c r="JJ169" s="19"/>
      <c r="JP169" s="155"/>
      <c r="JT169" s="16"/>
      <c r="JW169" s="190"/>
      <c r="JX169" s="191"/>
      <c r="JY169" s="191"/>
      <c r="JZ169" s="191"/>
      <c r="KA169" s="191"/>
      <c r="KB169" s="191"/>
      <c r="KC169" s="191"/>
      <c r="KD169" s="191"/>
      <c r="KE169" s="191"/>
      <c r="KF169" s="191"/>
      <c r="KG169" s="191"/>
      <c r="KH169" s="191"/>
      <c r="KI169" s="191"/>
      <c r="KJ169" s="191"/>
      <c r="KK169" s="191"/>
      <c r="KL169" s="191"/>
      <c r="KM169" s="191"/>
      <c r="KN169" s="191"/>
      <c r="KO169" s="191"/>
      <c r="KP169" s="191"/>
      <c r="KQ169" s="191"/>
      <c r="KR169" s="191"/>
      <c r="KS169" s="191"/>
      <c r="KT169" s="191"/>
      <c r="KU169" s="191"/>
      <c r="KV169" s="191"/>
      <c r="KW169" s="191"/>
      <c r="KX169" s="191"/>
      <c r="KY169" s="191"/>
      <c r="KZ169" s="191"/>
      <c r="LA169" s="191"/>
      <c r="LB169" s="191"/>
      <c r="LC169" s="191"/>
      <c r="LD169" s="191"/>
      <c r="LE169" s="191"/>
      <c r="LF169" s="191"/>
      <c r="LG169" s="191"/>
      <c r="LH169" s="191"/>
      <c r="LI169" s="191"/>
      <c r="LJ169" s="191"/>
      <c r="LK169" s="192"/>
      <c r="LL169" s="190"/>
      <c r="LM169" s="191"/>
      <c r="LN169" s="191"/>
      <c r="LO169" s="191"/>
      <c r="LP169" s="192"/>
      <c r="LY169" s="12"/>
      <c r="LZ169" s="7"/>
      <c r="MA169" s="3"/>
      <c r="MB169" s="3"/>
      <c r="MC169" s="3"/>
      <c r="MD169" s="3"/>
      <c r="ME169" s="2"/>
      <c r="MS169" s="3"/>
      <c r="MT169" s="3"/>
      <c r="MU169" s="3"/>
      <c r="MV169" s="3"/>
      <c r="MW169" s="3"/>
      <c r="MX169" s="2"/>
    </row>
    <row r="170" spans="3:362" ht="5.0999999999999996" customHeight="1" thickBot="1" x14ac:dyDescent="0.35">
      <c r="C170" s="11"/>
      <c r="D170" s="13"/>
      <c r="Q170" s="190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2"/>
      <c r="BF170" s="190"/>
      <c r="BG170" s="191"/>
      <c r="BH170" s="191"/>
      <c r="BI170" s="191"/>
      <c r="BJ170" s="192"/>
      <c r="BS170" s="190"/>
      <c r="BT170" s="191"/>
      <c r="BU170" s="191"/>
      <c r="BV170" s="191"/>
      <c r="BW170" s="191"/>
      <c r="BX170" s="191"/>
      <c r="BY170" s="191"/>
      <c r="BZ170" s="191"/>
      <c r="CA170" s="191"/>
      <c r="CB170" s="191"/>
      <c r="CC170" s="191"/>
      <c r="CD170" s="191"/>
      <c r="CE170" s="191"/>
      <c r="CF170" s="191"/>
      <c r="CG170" s="191"/>
      <c r="CH170" s="191"/>
      <c r="CI170" s="191"/>
      <c r="CJ170" s="191"/>
      <c r="CK170" s="191"/>
      <c r="CL170" s="191"/>
      <c r="CM170" s="191"/>
      <c r="CN170" s="191"/>
      <c r="CO170" s="191"/>
      <c r="CP170" s="191"/>
      <c r="CQ170" s="191"/>
      <c r="CR170" s="191"/>
      <c r="CS170" s="191"/>
      <c r="CT170" s="191"/>
      <c r="CU170" s="191"/>
      <c r="CV170" s="191"/>
      <c r="CW170" s="191"/>
      <c r="CX170" s="191"/>
      <c r="CY170" s="191"/>
      <c r="CZ170" s="191"/>
      <c r="DA170" s="191"/>
      <c r="DB170" s="191"/>
      <c r="DC170" s="191"/>
      <c r="DD170" s="191"/>
      <c r="DE170" s="191"/>
      <c r="DF170" s="192"/>
      <c r="DG170" s="190"/>
      <c r="DH170" s="191"/>
      <c r="DI170" s="191"/>
      <c r="DJ170" s="191"/>
      <c r="DK170" s="192"/>
      <c r="DQ170" s="190"/>
      <c r="DR170" s="191"/>
      <c r="DS170" s="191"/>
      <c r="DT170" s="191"/>
      <c r="DU170" s="191"/>
      <c r="DV170" s="191"/>
      <c r="DW170" s="191"/>
      <c r="DX170" s="191"/>
      <c r="DY170" s="191"/>
      <c r="DZ170" s="191"/>
      <c r="EA170" s="191"/>
      <c r="EB170" s="191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1"/>
      <c r="FC170" s="191"/>
      <c r="FD170" s="192"/>
      <c r="FE170" s="190"/>
      <c r="FF170" s="191"/>
      <c r="FG170" s="191"/>
      <c r="FH170" s="191"/>
      <c r="FI170" s="192"/>
      <c r="FN170" s="190"/>
      <c r="FO170" s="191"/>
      <c r="FP170" s="191"/>
      <c r="FQ170" s="191"/>
      <c r="FR170" s="191"/>
      <c r="FS170" s="191"/>
      <c r="FT170" s="191"/>
      <c r="FU170" s="191"/>
      <c r="FV170" s="191"/>
      <c r="FW170" s="191"/>
      <c r="FX170" s="191"/>
      <c r="FY170" s="191"/>
      <c r="FZ170" s="191"/>
      <c r="GA170" s="191"/>
      <c r="GB170" s="191"/>
      <c r="GC170" s="191"/>
      <c r="GD170" s="191"/>
      <c r="GE170" s="191"/>
      <c r="GF170" s="191"/>
      <c r="GG170" s="191"/>
      <c r="GH170" s="191"/>
      <c r="GI170" s="191"/>
      <c r="GJ170" s="191"/>
      <c r="GK170" s="191"/>
      <c r="GL170" s="191"/>
      <c r="GM170" s="191"/>
      <c r="GN170" s="191"/>
      <c r="GO170" s="191"/>
      <c r="GP170" s="191"/>
      <c r="GQ170" s="191"/>
      <c r="GR170" s="191"/>
      <c r="GS170" s="191"/>
      <c r="GT170" s="191"/>
      <c r="GU170" s="191"/>
      <c r="GV170" s="191"/>
      <c r="GW170" s="191"/>
      <c r="GX170" s="191"/>
      <c r="GY170" s="191"/>
      <c r="GZ170" s="191"/>
      <c r="HA170" s="192"/>
      <c r="HB170" s="190"/>
      <c r="HC170" s="191"/>
      <c r="HD170" s="191"/>
      <c r="HE170" s="191"/>
      <c r="HF170" s="192"/>
      <c r="HP170" s="201"/>
      <c r="HQ170" s="202"/>
      <c r="HR170" s="202"/>
      <c r="HS170" s="202"/>
      <c r="HT170" s="202"/>
      <c r="HU170" s="202"/>
      <c r="HV170" s="202"/>
      <c r="HW170" s="202"/>
      <c r="HX170" s="202"/>
      <c r="HY170" s="202"/>
      <c r="HZ170" s="202"/>
      <c r="IA170" s="202"/>
      <c r="IB170" s="202"/>
      <c r="IC170" s="202"/>
      <c r="ID170" s="202"/>
      <c r="IE170" s="202"/>
      <c r="IF170" s="202"/>
      <c r="IG170" s="202"/>
      <c r="IH170" s="202"/>
      <c r="II170" s="202"/>
      <c r="IJ170" s="202"/>
      <c r="IK170" s="202"/>
      <c r="IL170" s="202"/>
      <c r="IM170" s="202"/>
      <c r="IN170" s="202"/>
      <c r="IO170" s="202"/>
      <c r="IP170" s="202"/>
      <c r="IQ170" s="202"/>
      <c r="IR170" s="202"/>
      <c r="IS170" s="202"/>
      <c r="IT170" s="202"/>
      <c r="IU170" s="202"/>
      <c r="IV170" s="202"/>
      <c r="IW170" s="202"/>
      <c r="IX170" s="202"/>
      <c r="IY170" s="202"/>
      <c r="IZ170" s="202"/>
      <c r="JA170" s="202"/>
      <c r="JB170" s="202"/>
      <c r="JC170" s="202"/>
      <c r="JD170" s="204"/>
      <c r="JE170" s="204"/>
      <c r="JF170" s="204"/>
      <c r="JG170" s="204"/>
      <c r="JH170" s="204"/>
      <c r="JI170" s="204"/>
      <c r="JJ170" s="19"/>
      <c r="JP170" s="155"/>
      <c r="JT170" s="16"/>
      <c r="JW170" s="184" t="s">
        <v>44</v>
      </c>
      <c r="JX170" s="185"/>
      <c r="JY170" s="185"/>
      <c r="JZ170" s="185"/>
      <c r="KA170" s="185"/>
      <c r="KB170" s="185"/>
      <c r="KC170" s="185"/>
      <c r="KD170" s="185"/>
      <c r="KE170" s="185"/>
      <c r="KF170" s="185"/>
      <c r="KG170" s="185"/>
      <c r="KH170" s="185"/>
      <c r="KI170" s="185"/>
      <c r="KJ170" s="185"/>
      <c r="KK170" s="185"/>
      <c r="KL170" s="185"/>
      <c r="KM170" s="185"/>
      <c r="KN170" s="185"/>
      <c r="KO170" s="185"/>
      <c r="KP170" s="185"/>
      <c r="KQ170" s="185"/>
      <c r="KR170" s="185"/>
      <c r="KS170" s="185"/>
      <c r="KT170" s="185"/>
      <c r="KU170" s="185"/>
      <c r="KV170" s="185"/>
      <c r="KW170" s="185"/>
      <c r="KX170" s="185"/>
      <c r="KY170" s="185"/>
      <c r="KZ170" s="185"/>
      <c r="LA170" s="185"/>
      <c r="LB170" s="185"/>
      <c r="LC170" s="185"/>
      <c r="LD170" s="185"/>
      <c r="LE170" s="185"/>
      <c r="LF170" s="185"/>
      <c r="LG170" s="185"/>
      <c r="LH170" s="185"/>
      <c r="LI170" s="185"/>
      <c r="LJ170" s="185"/>
      <c r="LK170" s="186"/>
      <c r="LL170" s="184">
        <v>2</v>
      </c>
      <c r="LM170" s="185"/>
      <c r="LN170" s="185"/>
      <c r="LO170" s="185"/>
      <c r="LP170" s="186"/>
      <c r="LY170" s="12"/>
      <c r="LZ170" s="7"/>
      <c r="MA170" s="3"/>
      <c r="MB170" s="3"/>
      <c r="MC170" s="3"/>
      <c r="MD170" s="3"/>
      <c r="ME170" s="2"/>
      <c r="MS170" s="3"/>
      <c r="MT170" s="3"/>
      <c r="MU170" s="3"/>
      <c r="MV170" s="3"/>
      <c r="MW170" s="3"/>
      <c r="MX170" s="2"/>
    </row>
    <row r="171" spans="3:362" ht="5.0999999999999996" customHeight="1" x14ac:dyDescent="0.3">
      <c r="C171" s="11"/>
      <c r="D171" s="13"/>
      <c r="Q171" s="184" t="s">
        <v>149</v>
      </c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6"/>
      <c r="BF171" s="184">
        <v>2</v>
      </c>
      <c r="BG171" s="185"/>
      <c r="BH171" s="185"/>
      <c r="BI171" s="185"/>
      <c r="BJ171" s="186"/>
      <c r="CO171" s="54"/>
      <c r="CP171" s="18"/>
      <c r="FN171" s="184" t="s">
        <v>53</v>
      </c>
      <c r="FO171" s="185"/>
      <c r="FP171" s="185"/>
      <c r="FQ171" s="185"/>
      <c r="FR171" s="185"/>
      <c r="FS171" s="185"/>
      <c r="FT171" s="185"/>
      <c r="FU171" s="185"/>
      <c r="FV171" s="185"/>
      <c r="FW171" s="185"/>
      <c r="FX171" s="185"/>
      <c r="FY171" s="185"/>
      <c r="FZ171" s="185"/>
      <c r="GA171" s="185"/>
      <c r="GB171" s="185"/>
      <c r="GC171" s="185"/>
      <c r="GD171" s="185"/>
      <c r="GE171" s="185"/>
      <c r="GF171" s="185"/>
      <c r="GG171" s="185"/>
      <c r="GH171" s="185"/>
      <c r="GI171" s="185"/>
      <c r="GJ171" s="185"/>
      <c r="GK171" s="185"/>
      <c r="GL171" s="185"/>
      <c r="GM171" s="185"/>
      <c r="GN171" s="185"/>
      <c r="GO171" s="185"/>
      <c r="GP171" s="185"/>
      <c r="GQ171" s="185"/>
      <c r="GR171" s="185"/>
      <c r="GS171" s="185"/>
      <c r="GT171" s="185"/>
      <c r="GU171" s="185"/>
      <c r="GV171" s="185"/>
      <c r="GW171" s="185"/>
      <c r="GX171" s="185"/>
      <c r="GY171" s="185"/>
      <c r="GZ171" s="185"/>
      <c r="HA171" s="186"/>
      <c r="HB171" s="184">
        <v>1</v>
      </c>
      <c r="HC171" s="185"/>
      <c r="HD171" s="185"/>
      <c r="HE171" s="185"/>
      <c r="HF171" s="186"/>
      <c r="HP171" s="216" t="s">
        <v>37</v>
      </c>
      <c r="HQ171" s="217"/>
      <c r="HR171" s="217"/>
      <c r="HS171" s="217"/>
      <c r="HT171" s="217"/>
      <c r="HU171" s="217"/>
      <c r="HV171" s="217"/>
      <c r="HW171" s="217"/>
      <c r="HX171" s="217"/>
      <c r="HY171" s="217"/>
      <c r="HZ171" s="217"/>
      <c r="IA171" s="217"/>
      <c r="IB171" s="217"/>
      <c r="IC171" s="217"/>
      <c r="ID171" s="217"/>
      <c r="IE171" s="217"/>
      <c r="IF171" s="217"/>
      <c r="IG171" s="217"/>
      <c r="IH171" s="217"/>
      <c r="II171" s="217"/>
      <c r="IJ171" s="217"/>
      <c r="IK171" s="217"/>
      <c r="IL171" s="217"/>
      <c r="IM171" s="217"/>
      <c r="IN171" s="217"/>
      <c r="IO171" s="217"/>
      <c r="IP171" s="217"/>
      <c r="IQ171" s="217"/>
      <c r="IR171" s="217"/>
      <c r="IS171" s="217"/>
      <c r="IT171" s="217"/>
      <c r="IU171" s="217"/>
      <c r="IV171" s="217"/>
      <c r="IW171" s="217"/>
      <c r="IX171" s="217"/>
      <c r="IY171" s="217"/>
      <c r="IZ171" s="217"/>
      <c r="JA171" s="217"/>
      <c r="JB171" s="217"/>
      <c r="JC171" s="217"/>
      <c r="JD171" s="187">
        <v>1</v>
      </c>
      <c r="JE171" s="188"/>
      <c r="JF171" s="188"/>
      <c r="JG171" s="188"/>
      <c r="JH171" s="188"/>
      <c r="JI171" s="189"/>
      <c r="JJ171" s="52"/>
      <c r="JP171" s="155"/>
      <c r="JT171" s="16"/>
      <c r="JW171" s="187"/>
      <c r="JX171" s="188"/>
      <c r="JY171" s="188"/>
      <c r="JZ171" s="188"/>
      <c r="KA171" s="188"/>
      <c r="KB171" s="188"/>
      <c r="KC171" s="188"/>
      <c r="KD171" s="188"/>
      <c r="KE171" s="188"/>
      <c r="KF171" s="188"/>
      <c r="KG171" s="188"/>
      <c r="KH171" s="188"/>
      <c r="KI171" s="188"/>
      <c r="KJ171" s="188"/>
      <c r="KK171" s="188"/>
      <c r="KL171" s="188"/>
      <c r="KM171" s="188"/>
      <c r="KN171" s="188"/>
      <c r="KO171" s="188"/>
      <c r="KP171" s="188"/>
      <c r="KQ171" s="188"/>
      <c r="KR171" s="188"/>
      <c r="KS171" s="188"/>
      <c r="KT171" s="188"/>
      <c r="KU171" s="188"/>
      <c r="KV171" s="188"/>
      <c r="KW171" s="188"/>
      <c r="KX171" s="188"/>
      <c r="KY171" s="188"/>
      <c r="KZ171" s="188"/>
      <c r="LA171" s="188"/>
      <c r="LB171" s="188"/>
      <c r="LC171" s="188"/>
      <c r="LD171" s="188"/>
      <c r="LE171" s="188"/>
      <c r="LF171" s="188"/>
      <c r="LG171" s="188"/>
      <c r="LH171" s="188"/>
      <c r="LI171" s="188"/>
      <c r="LJ171" s="188"/>
      <c r="LK171" s="189"/>
      <c r="LL171" s="187"/>
      <c r="LM171" s="188"/>
      <c r="LN171" s="188"/>
      <c r="LO171" s="188"/>
      <c r="LP171" s="189"/>
      <c r="LY171" s="12"/>
      <c r="LZ171" s="7"/>
      <c r="MA171" s="3"/>
      <c r="MB171" s="3"/>
      <c r="MC171" s="3"/>
      <c r="MD171" s="3"/>
      <c r="ME171" s="2"/>
      <c r="MS171" s="3"/>
      <c r="MT171" s="3"/>
      <c r="MU171" s="3"/>
      <c r="MV171" s="3"/>
      <c r="MW171" s="3"/>
      <c r="MX171" s="2"/>
    </row>
    <row r="172" spans="3:362" ht="5.0999999999999996" customHeight="1" x14ac:dyDescent="0.3">
      <c r="C172" s="11"/>
      <c r="D172" s="13"/>
      <c r="Q172" s="187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9"/>
      <c r="BF172" s="187"/>
      <c r="BG172" s="188"/>
      <c r="BH172" s="188"/>
      <c r="BI172" s="188"/>
      <c r="BJ172" s="189"/>
      <c r="CO172" s="19"/>
      <c r="FN172" s="187"/>
      <c r="FO172" s="188"/>
      <c r="FP172" s="188"/>
      <c r="FQ172" s="188"/>
      <c r="FR172" s="188"/>
      <c r="FS172" s="188"/>
      <c r="FT172" s="188"/>
      <c r="FU172" s="188"/>
      <c r="FV172" s="188"/>
      <c r="FW172" s="188"/>
      <c r="FX172" s="188"/>
      <c r="FY172" s="188"/>
      <c r="FZ172" s="188"/>
      <c r="GA172" s="188"/>
      <c r="GB172" s="188"/>
      <c r="GC172" s="188"/>
      <c r="GD172" s="188"/>
      <c r="GE172" s="188"/>
      <c r="GF172" s="188"/>
      <c r="GG172" s="188"/>
      <c r="GH172" s="188"/>
      <c r="GI172" s="188"/>
      <c r="GJ172" s="188"/>
      <c r="GK172" s="188"/>
      <c r="GL172" s="188"/>
      <c r="GM172" s="188"/>
      <c r="GN172" s="188"/>
      <c r="GO172" s="188"/>
      <c r="GP172" s="188"/>
      <c r="GQ172" s="188"/>
      <c r="GR172" s="188"/>
      <c r="GS172" s="188"/>
      <c r="GT172" s="188"/>
      <c r="GU172" s="188"/>
      <c r="GV172" s="188"/>
      <c r="GW172" s="188"/>
      <c r="GX172" s="188"/>
      <c r="GY172" s="188"/>
      <c r="GZ172" s="188"/>
      <c r="HA172" s="189"/>
      <c r="HB172" s="187"/>
      <c r="HC172" s="188"/>
      <c r="HD172" s="188"/>
      <c r="HE172" s="188"/>
      <c r="HF172" s="189"/>
      <c r="HP172" s="219"/>
      <c r="HQ172" s="220"/>
      <c r="HR172" s="220"/>
      <c r="HS172" s="220"/>
      <c r="HT172" s="220"/>
      <c r="HU172" s="220"/>
      <c r="HV172" s="220"/>
      <c r="HW172" s="220"/>
      <c r="HX172" s="220"/>
      <c r="HY172" s="220"/>
      <c r="HZ172" s="220"/>
      <c r="IA172" s="220"/>
      <c r="IB172" s="220"/>
      <c r="IC172" s="220"/>
      <c r="ID172" s="220"/>
      <c r="IE172" s="220"/>
      <c r="IF172" s="220"/>
      <c r="IG172" s="220"/>
      <c r="IH172" s="220"/>
      <c r="II172" s="220"/>
      <c r="IJ172" s="220"/>
      <c r="IK172" s="220"/>
      <c r="IL172" s="220"/>
      <c r="IM172" s="220"/>
      <c r="IN172" s="220"/>
      <c r="IO172" s="220"/>
      <c r="IP172" s="220"/>
      <c r="IQ172" s="220"/>
      <c r="IR172" s="220"/>
      <c r="IS172" s="220"/>
      <c r="IT172" s="220"/>
      <c r="IU172" s="220"/>
      <c r="IV172" s="220"/>
      <c r="IW172" s="220"/>
      <c r="IX172" s="220"/>
      <c r="IY172" s="220"/>
      <c r="IZ172" s="220"/>
      <c r="JA172" s="220"/>
      <c r="JB172" s="220"/>
      <c r="JC172" s="220"/>
      <c r="JD172" s="187"/>
      <c r="JE172" s="188"/>
      <c r="JF172" s="188"/>
      <c r="JG172" s="188"/>
      <c r="JH172" s="188"/>
      <c r="JI172" s="189"/>
      <c r="JJ172" s="53"/>
      <c r="JP172" s="155"/>
      <c r="JT172" s="16"/>
      <c r="JW172" s="187"/>
      <c r="JX172" s="188"/>
      <c r="JY172" s="188"/>
      <c r="JZ172" s="188"/>
      <c r="KA172" s="188"/>
      <c r="KB172" s="188"/>
      <c r="KC172" s="188"/>
      <c r="KD172" s="188"/>
      <c r="KE172" s="188"/>
      <c r="KF172" s="188"/>
      <c r="KG172" s="188"/>
      <c r="KH172" s="188"/>
      <c r="KI172" s="188"/>
      <c r="KJ172" s="188"/>
      <c r="KK172" s="188"/>
      <c r="KL172" s="188"/>
      <c r="KM172" s="188"/>
      <c r="KN172" s="188"/>
      <c r="KO172" s="188"/>
      <c r="KP172" s="188"/>
      <c r="KQ172" s="188"/>
      <c r="KR172" s="188"/>
      <c r="KS172" s="188"/>
      <c r="KT172" s="188"/>
      <c r="KU172" s="188"/>
      <c r="KV172" s="188"/>
      <c r="KW172" s="188"/>
      <c r="KX172" s="188"/>
      <c r="KY172" s="188"/>
      <c r="KZ172" s="188"/>
      <c r="LA172" s="188"/>
      <c r="LB172" s="188"/>
      <c r="LC172" s="188"/>
      <c r="LD172" s="188"/>
      <c r="LE172" s="188"/>
      <c r="LF172" s="188"/>
      <c r="LG172" s="188"/>
      <c r="LH172" s="188"/>
      <c r="LI172" s="188"/>
      <c r="LJ172" s="188"/>
      <c r="LK172" s="189"/>
      <c r="LL172" s="187"/>
      <c r="LM172" s="188"/>
      <c r="LN172" s="188"/>
      <c r="LO172" s="188"/>
      <c r="LP172" s="189"/>
      <c r="LY172" s="12"/>
      <c r="LZ172" s="7"/>
      <c r="MA172" s="3"/>
      <c r="MB172" s="3"/>
      <c r="MC172" s="3"/>
      <c r="MD172" s="3"/>
      <c r="ME172" s="2"/>
      <c r="MS172" s="3"/>
      <c r="MT172" s="3"/>
      <c r="MU172" s="3"/>
      <c r="MV172" s="3"/>
      <c r="MW172" s="3"/>
      <c r="MX172" s="2"/>
    </row>
    <row r="173" spans="3:362" ht="5.0999999999999996" customHeight="1" x14ac:dyDescent="0.3">
      <c r="C173" s="11"/>
      <c r="D173" s="13"/>
      <c r="Q173" s="187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  <c r="BD173" s="188"/>
      <c r="BE173" s="189"/>
      <c r="BF173" s="187"/>
      <c r="BG173" s="188"/>
      <c r="BH173" s="188"/>
      <c r="BI173" s="188"/>
      <c r="BJ173" s="189"/>
      <c r="BS173" s="184" t="s">
        <v>74</v>
      </c>
      <c r="BT173" s="185"/>
      <c r="BU173" s="185"/>
      <c r="BV173" s="185"/>
      <c r="BW173" s="185"/>
      <c r="BX173" s="185"/>
      <c r="BY173" s="185"/>
      <c r="BZ173" s="185"/>
      <c r="CA173" s="185"/>
      <c r="CB173" s="185"/>
      <c r="CC173" s="185"/>
      <c r="CD173" s="185"/>
      <c r="CE173" s="185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5"/>
      <c r="CP173" s="185"/>
      <c r="CQ173" s="185"/>
      <c r="CR173" s="185"/>
      <c r="CS173" s="185"/>
      <c r="CT173" s="185"/>
      <c r="CU173" s="185"/>
      <c r="CV173" s="185"/>
      <c r="CW173" s="185"/>
      <c r="CX173" s="185"/>
      <c r="CY173" s="185"/>
      <c r="CZ173" s="185"/>
      <c r="DA173" s="185"/>
      <c r="DB173" s="185"/>
      <c r="DC173" s="185"/>
      <c r="DD173" s="185"/>
      <c r="DE173" s="185">
        <v>1</v>
      </c>
      <c r="DF173" s="186"/>
      <c r="DG173" s="184">
        <v>11</v>
      </c>
      <c r="DH173" s="185"/>
      <c r="DI173" s="185"/>
      <c r="DJ173" s="185"/>
      <c r="DK173" s="186"/>
      <c r="FN173" s="187"/>
      <c r="FO173" s="188"/>
      <c r="FP173" s="188"/>
      <c r="FQ173" s="188"/>
      <c r="FR173" s="188"/>
      <c r="FS173" s="188"/>
      <c r="FT173" s="188"/>
      <c r="FU173" s="188"/>
      <c r="FV173" s="188"/>
      <c r="FW173" s="188"/>
      <c r="FX173" s="188"/>
      <c r="FY173" s="188"/>
      <c r="FZ173" s="188"/>
      <c r="GA173" s="188"/>
      <c r="GB173" s="188"/>
      <c r="GC173" s="188"/>
      <c r="GD173" s="188"/>
      <c r="GE173" s="188"/>
      <c r="GF173" s="188"/>
      <c r="GG173" s="188"/>
      <c r="GH173" s="188"/>
      <c r="GI173" s="188"/>
      <c r="GJ173" s="188"/>
      <c r="GK173" s="188"/>
      <c r="GL173" s="188"/>
      <c r="GM173" s="188"/>
      <c r="GN173" s="188"/>
      <c r="GO173" s="188"/>
      <c r="GP173" s="188"/>
      <c r="GQ173" s="188"/>
      <c r="GR173" s="188"/>
      <c r="GS173" s="188"/>
      <c r="GT173" s="188"/>
      <c r="GU173" s="188"/>
      <c r="GV173" s="188"/>
      <c r="GW173" s="188"/>
      <c r="GX173" s="188"/>
      <c r="GY173" s="188"/>
      <c r="GZ173" s="188"/>
      <c r="HA173" s="189"/>
      <c r="HB173" s="187"/>
      <c r="HC173" s="188"/>
      <c r="HD173" s="188"/>
      <c r="HE173" s="188"/>
      <c r="HF173" s="189"/>
      <c r="HN173" s="14"/>
      <c r="HP173" s="219"/>
      <c r="HQ173" s="220"/>
      <c r="HR173" s="220"/>
      <c r="HS173" s="220"/>
      <c r="HT173" s="220"/>
      <c r="HU173" s="220"/>
      <c r="HV173" s="220"/>
      <c r="HW173" s="220"/>
      <c r="HX173" s="220"/>
      <c r="HY173" s="220"/>
      <c r="HZ173" s="220"/>
      <c r="IA173" s="220"/>
      <c r="IB173" s="220"/>
      <c r="IC173" s="220"/>
      <c r="ID173" s="220"/>
      <c r="IE173" s="220"/>
      <c r="IF173" s="220"/>
      <c r="IG173" s="220"/>
      <c r="IH173" s="220"/>
      <c r="II173" s="220"/>
      <c r="IJ173" s="220"/>
      <c r="IK173" s="220"/>
      <c r="IL173" s="220"/>
      <c r="IM173" s="220"/>
      <c r="IN173" s="220"/>
      <c r="IO173" s="220"/>
      <c r="IP173" s="220"/>
      <c r="IQ173" s="220"/>
      <c r="IR173" s="220"/>
      <c r="IS173" s="220"/>
      <c r="IT173" s="220"/>
      <c r="IU173" s="220"/>
      <c r="IV173" s="220"/>
      <c r="IW173" s="220"/>
      <c r="IX173" s="220"/>
      <c r="IY173" s="220"/>
      <c r="IZ173" s="220"/>
      <c r="JA173" s="220"/>
      <c r="JB173" s="220"/>
      <c r="JC173" s="220"/>
      <c r="JD173" s="187"/>
      <c r="JE173" s="188"/>
      <c r="JF173" s="188"/>
      <c r="JG173" s="188"/>
      <c r="JH173" s="188"/>
      <c r="JI173" s="189"/>
      <c r="JJ173" s="53"/>
      <c r="JP173" s="155"/>
      <c r="JT173" s="16"/>
      <c r="JW173" s="187"/>
      <c r="JX173" s="188"/>
      <c r="JY173" s="188"/>
      <c r="JZ173" s="188"/>
      <c r="KA173" s="188"/>
      <c r="KB173" s="188"/>
      <c r="KC173" s="188"/>
      <c r="KD173" s="188"/>
      <c r="KE173" s="188"/>
      <c r="KF173" s="188"/>
      <c r="KG173" s="188"/>
      <c r="KH173" s="188"/>
      <c r="KI173" s="188"/>
      <c r="KJ173" s="188"/>
      <c r="KK173" s="188"/>
      <c r="KL173" s="188"/>
      <c r="KM173" s="188"/>
      <c r="KN173" s="188"/>
      <c r="KO173" s="188"/>
      <c r="KP173" s="188"/>
      <c r="KQ173" s="188"/>
      <c r="KR173" s="188"/>
      <c r="KS173" s="188"/>
      <c r="KT173" s="188"/>
      <c r="KU173" s="188"/>
      <c r="KV173" s="188"/>
      <c r="KW173" s="188"/>
      <c r="KX173" s="188"/>
      <c r="KY173" s="188"/>
      <c r="KZ173" s="188"/>
      <c r="LA173" s="188"/>
      <c r="LB173" s="188"/>
      <c r="LC173" s="188"/>
      <c r="LD173" s="188"/>
      <c r="LE173" s="188"/>
      <c r="LF173" s="188"/>
      <c r="LG173" s="188"/>
      <c r="LH173" s="188"/>
      <c r="LI173" s="188"/>
      <c r="LJ173" s="188"/>
      <c r="LK173" s="189"/>
      <c r="LL173" s="187"/>
      <c r="LM173" s="188"/>
      <c r="LN173" s="188"/>
      <c r="LO173" s="188"/>
      <c r="LP173" s="189"/>
      <c r="LY173" s="12"/>
      <c r="LZ173" s="7"/>
      <c r="MA173" s="3"/>
      <c r="MB173" s="3"/>
      <c r="MC173" s="3"/>
      <c r="MD173" s="3"/>
      <c r="ME173" s="2"/>
      <c r="MS173" s="3"/>
      <c r="MT173" s="3"/>
      <c r="MU173" s="3"/>
      <c r="MV173" s="3"/>
      <c r="MW173" s="3"/>
      <c r="MX173" s="2"/>
    </row>
    <row r="174" spans="3:362" ht="5.0999999999999996" customHeight="1" x14ac:dyDescent="0.3">
      <c r="C174" s="11"/>
      <c r="D174" s="13"/>
      <c r="Q174" s="187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  <c r="BD174" s="188"/>
      <c r="BE174" s="189"/>
      <c r="BF174" s="187"/>
      <c r="BG174" s="188"/>
      <c r="BH174" s="188"/>
      <c r="BI174" s="188"/>
      <c r="BJ174" s="189"/>
      <c r="BS174" s="187"/>
      <c r="BT174" s="188"/>
      <c r="BU174" s="188"/>
      <c r="BV174" s="188"/>
      <c r="BW174" s="188"/>
      <c r="BX174" s="188"/>
      <c r="BY174" s="188"/>
      <c r="BZ174" s="188"/>
      <c r="CA174" s="188"/>
      <c r="CB174" s="188"/>
      <c r="CC174" s="188"/>
      <c r="CD174" s="188"/>
      <c r="CE174" s="188"/>
      <c r="CF174" s="188"/>
      <c r="CG174" s="188"/>
      <c r="CH174" s="188"/>
      <c r="CI174" s="188"/>
      <c r="CJ174" s="188"/>
      <c r="CK174" s="188"/>
      <c r="CL174" s="188"/>
      <c r="CM174" s="188"/>
      <c r="CN174" s="188"/>
      <c r="CO174" s="188"/>
      <c r="CP174" s="188"/>
      <c r="CQ174" s="188"/>
      <c r="CR174" s="188"/>
      <c r="CS174" s="188"/>
      <c r="CT174" s="188"/>
      <c r="CU174" s="188"/>
      <c r="CV174" s="188"/>
      <c r="CW174" s="188"/>
      <c r="CX174" s="188"/>
      <c r="CY174" s="188"/>
      <c r="CZ174" s="188"/>
      <c r="DA174" s="188"/>
      <c r="DB174" s="188"/>
      <c r="DC174" s="188"/>
      <c r="DD174" s="188"/>
      <c r="DE174" s="188"/>
      <c r="DF174" s="189"/>
      <c r="DG174" s="187"/>
      <c r="DH174" s="188"/>
      <c r="DI174" s="188"/>
      <c r="DJ174" s="188"/>
      <c r="DK174" s="189"/>
      <c r="FN174" s="187"/>
      <c r="FO174" s="188"/>
      <c r="FP174" s="188"/>
      <c r="FQ174" s="188"/>
      <c r="FR174" s="188"/>
      <c r="FS174" s="188"/>
      <c r="FT174" s="188"/>
      <c r="FU174" s="188"/>
      <c r="FV174" s="188"/>
      <c r="FW174" s="188"/>
      <c r="FX174" s="188"/>
      <c r="FY174" s="188"/>
      <c r="FZ174" s="188"/>
      <c r="GA174" s="188"/>
      <c r="GB174" s="188"/>
      <c r="GC174" s="188"/>
      <c r="GD174" s="188"/>
      <c r="GE174" s="188"/>
      <c r="GF174" s="188"/>
      <c r="GG174" s="188"/>
      <c r="GH174" s="188"/>
      <c r="GI174" s="188"/>
      <c r="GJ174" s="188"/>
      <c r="GK174" s="188"/>
      <c r="GL174" s="188"/>
      <c r="GM174" s="188"/>
      <c r="GN174" s="188"/>
      <c r="GO174" s="188"/>
      <c r="GP174" s="188"/>
      <c r="GQ174" s="188"/>
      <c r="GR174" s="188"/>
      <c r="GS174" s="188"/>
      <c r="GT174" s="188"/>
      <c r="GU174" s="188"/>
      <c r="GV174" s="188"/>
      <c r="GW174" s="188"/>
      <c r="GX174" s="188"/>
      <c r="GY174" s="188"/>
      <c r="GZ174" s="188"/>
      <c r="HA174" s="189"/>
      <c r="HB174" s="187"/>
      <c r="HC174" s="188"/>
      <c r="HD174" s="188"/>
      <c r="HE174" s="188"/>
      <c r="HF174" s="189"/>
      <c r="HN174" s="14"/>
      <c r="HP174" s="219"/>
      <c r="HQ174" s="220"/>
      <c r="HR174" s="220"/>
      <c r="HS174" s="220"/>
      <c r="HT174" s="220"/>
      <c r="HU174" s="220"/>
      <c r="HV174" s="220"/>
      <c r="HW174" s="220"/>
      <c r="HX174" s="220"/>
      <c r="HY174" s="220"/>
      <c r="HZ174" s="220"/>
      <c r="IA174" s="220"/>
      <c r="IB174" s="220"/>
      <c r="IC174" s="220"/>
      <c r="ID174" s="220"/>
      <c r="IE174" s="220"/>
      <c r="IF174" s="220"/>
      <c r="IG174" s="220"/>
      <c r="IH174" s="220"/>
      <c r="II174" s="220"/>
      <c r="IJ174" s="220"/>
      <c r="IK174" s="220"/>
      <c r="IL174" s="220"/>
      <c r="IM174" s="220"/>
      <c r="IN174" s="220"/>
      <c r="IO174" s="220"/>
      <c r="IP174" s="220"/>
      <c r="IQ174" s="220"/>
      <c r="IR174" s="220"/>
      <c r="IS174" s="220"/>
      <c r="IT174" s="220"/>
      <c r="IU174" s="220"/>
      <c r="IV174" s="220"/>
      <c r="IW174" s="220"/>
      <c r="IX174" s="220"/>
      <c r="IY174" s="220"/>
      <c r="IZ174" s="220"/>
      <c r="JA174" s="220"/>
      <c r="JB174" s="220"/>
      <c r="JC174" s="220"/>
      <c r="JD174" s="187"/>
      <c r="JE174" s="188"/>
      <c r="JF174" s="188"/>
      <c r="JG174" s="188"/>
      <c r="JH174" s="188"/>
      <c r="JI174" s="189"/>
      <c r="JJ174" s="19"/>
      <c r="JP174" s="155"/>
      <c r="JT174" s="16"/>
      <c r="JW174" s="187"/>
      <c r="JX174" s="188"/>
      <c r="JY174" s="188"/>
      <c r="JZ174" s="188"/>
      <c r="KA174" s="188"/>
      <c r="KB174" s="188"/>
      <c r="KC174" s="188"/>
      <c r="KD174" s="188"/>
      <c r="KE174" s="188"/>
      <c r="KF174" s="188"/>
      <c r="KG174" s="188"/>
      <c r="KH174" s="188"/>
      <c r="KI174" s="188"/>
      <c r="KJ174" s="188"/>
      <c r="KK174" s="188"/>
      <c r="KL174" s="188"/>
      <c r="KM174" s="188"/>
      <c r="KN174" s="188"/>
      <c r="KO174" s="188"/>
      <c r="KP174" s="188"/>
      <c r="KQ174" s="188"/>
      <c r="KR174" s="188"/>
      <c r="KS174" s="188"/>
      <c r="KT174" s="188"/>
      <c r="KU174" s="188"/>
      <c r="KV174" s="188"/>
      <c r="KW174" s="188"/>
      <c r="KX174" s="188"/>
      <c r="KY174" s="188"/>
      <c r="KZ174" s="188"/>
      <c r="LA174" s="188"/>
      <c r="LB174" s="188"/>
      <c r="LC174" s="188"/>
      <c r="LD174" s="188"/>
      <c r="LE174" s="188"/>
      <c r="LF174" s="188"/>
      <c r="LG174" s="188"/>
      <c r="LH174" s="188"/>
      <c r="LI174" s="188"/>
      <c r="LJ174" s="188"/>
      <c r="LK174" s="189"/>
      <c r="LL174" s="187"/>
      <c r="LM174" s="188"/>
      <c r="LN174" s="188"/>
      <c r="LO174" s="188"/>
      <c r="LP174" s="189"/>
      <c r="LY174" s="12"/>
      <c r="LZ174" s="7"/>
      <c r="MA174" s="3"/>
      <c r="MB174" s="3"/>
      <c r="MC174" s="3"/>
      <c r="MD174" s="3"/>
      <c r="ME174" s="2"/>
      <c r="MS174" s="3"/>
      <c r="MT174" s="3"/>
      <c r="MU174" s="3"/>
      <c r="MV174" s="3"/>
      <c r="MW174" s="3"/>
      <c r="MX174" s="2"/>
    </row>
    <row r="175" spans="3:362" ht="5.0999999999999996" customHeight="1" x14ac:dyDescent="0.3">
      <c r="C175" s="11"/>
      <c r="D175" s="13"/>
      <c r="Q175" s="187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9"/>
      <c r="BF175" s="187"/>
      <c r="BG175" s="188"/>
      <c r="BH175" s="188"/>
      <c r="BI175" s="188"/>
      <c r="BJ175" s="189"/>
      <c r="BS175" s="187"/>
      <c r="BT175" s="188"/>
      <c r="BU175" s="188"/>
      <c r="BV175" s="188"/>
      <c r="BW175" s="188"/>
      <c r="BX175" s="188"/>
      <c r="BY175" s="188"/>
      <c r="BZ175" s="188"/>
      <c r="CA175" s="188"/>
      <c r="CB175" s="188"/>
      <c r="CC175" s="188"/>
      <c r="CD175" s="188"/>
      <c r="CE175" s="188"/>
      <c r="CF175" s="188"/>
      <c r="CG175" s="188"/>
      <c r="CH175" s="188"/>
      <c r="CI175" s="188"/>
      <c r="CJ175" s="188"/>
      <c r="CK175" s="188"/>
      <c r="CL175" s="188"/>
      <c r="CM175" s="188"/>
      <c r="CN175" s="188"/>
      <c r="CO175" s="188"/>
      <c r="CP175" s="188"/>
      <c r="CQ175" s="188"/>
      <c r="CR175" s="188"/>
      <c r="CS175" s="188"/>
      <c r="CT175" s="188"/>
      <c r="CU175" s="188"/>
      <c r="CV175" s="188"/>
      <c r="CW175" s="188"/>
      <c r="CX175" s="188"/>
      <c r="CY175" s="188"/>
      <c r="CZ175" s="188"/>
      <c r="DA175" s="188"/>
      <c r="DB175" s="188"/>
      <c r="DC175" s="188"/>
      <c r="DD175" s="188"/>
      <c r="DE175" s="188"/>
      <c r="DF175" s="189"/>
      <c r="DG175" s="187"/>
      <c r="DH175" s="188"/>
      <c r="DI175" s="188"/>
      <c r="DJ175" s="188"/>
      <c r="DK175" s="189"/>
      <c r="FN175" s="187"/>
      <c r="FO175" s="188"/>
      <c r="FP175" s="188"/>
      <c r="FQ175" s="188"/>
      <c r="FR175" s="188"/>
      <c r="FS175" s="188"/>
      <c r="FT175" s="188"/>
      <c r="FU175" s="188"/>
      <c r="FV175" s="188"/>
      <c r="FW175" s="188"/>
      <c r="FX175" s="188"/>
      <c r="FY175" s="188"/>
      <c r="FZ175" s="188"/>
      <c r="GA175" s="188"/>
      <c r="GB175" s="188"/>
      <c r="GC175" s="188"/>
      <c r="GD175" s="188"/>
      <c r="GE175" s="188"/>
      <c r="GF175" s="188"/>
      <c r="GG175" s="188"/>
      <c r="GH175" s="188"/>
      <c r="GI175" s="188"/>
      <c r="GJ175" s="188"/>
      <c r="GK175" s="188"/>
      <c r="GL175" s="188"/>
      <c r="GM175" s="188"/>
      <c r="GN175" s="188"/>
      <c r="GO175" s="188"/>
      <c r="GP175" s="188"/>
      <c r="GQ175" s="188"/>
      <c r="GR175" s="188"/>
      <c r="GS175" s="188"/>
      <c r="GT175" s="188"/>
      <c r="GU175" s="188"/>
      <c r="GV175" s="188"/>
      <c r="GW175" s="188"/>
      <c r="GX175" s="188"/>
      <c r="GY175" s="188"/>
      <c r="GZ175" s="188"/>
      <c r="HA175" s="189"/>
      <c r="HB175" s="187"/>
      <c r="HC175" s="188"/>
      <c r="HD175" s="188"/>
      <c r="HE175" s="188"/>
      <c r="HF175" s="189"/>
      <c r="HN175" s="14"/>
      <c r="HP175" s="219"/>
      <c r="HQ175" s="220"/>
      <c r="HR175" s="220"/>
      <c r="HS175" s="220"/>
      <c r="HT175" s="220"/>
      <c r="HU175" s="220"/>
      <c r="HV175" s="220"/>
      <c r="HW175" s="220"/>
      <c r="HX175" s="220"/>
      <c r="HY175" s="220"/>
      <c r="HZ175" s="220"/>
      <c r="IA175" s="220"/>
      <c r="IB175" s="220"/>
      <c r="IC175" s="220"/>
      <c r="ID175" s="220"/>
      <c r="IE175" s="220"/>
      <c r="IF175" s="220"/>
      <c r="IG175" s="220"/>
      <c r="IH175" s="220"/>
      <c r="II175" s="220"/>
      <c r="IJ175" s="220"/>
      <c r="IK175" s="220"/>
      <c r="IL175" s="220"/>
      <c r="IM175" s="220"/>
      <c r="IN175" s="220"/>
      <c r="IO175" s="220"/>
      <c r="IP175" s="220"/>
      <c r="IQ175" s="220"/>
      <c r="IR175" s="220"/>
      <c r="IS175" s="220"/>
      <c r="IT175" s="220"/>
      <c r="IU175" s="220"/>
      <c r="IV175" s="220"/>
      <c r="IW175" s="220"/>
      <c r="IX175" s="220"/>
      <c r="IY175" s="220"/>
      <c r="IZ175" s="220"/>
      <c r="JA175" s="220"/>
      <c r="JB175" s="220"/>
      <c r="JC175" s="220"/>
      <c r="JD175" s="187"/>
      <c r="JE175" s="188"/>
      <c r="JF175" s="188"/>
      <c r="JG175" s="188"/>
      <c r="JH175" s="188"/>
      <c r="JI175" s="189"/>
      <c r="JJ175" s="19"/>
      <c r="JP175" s="155"/>
      <c r="JT175" s="16"/>
      <c r="JW175" s="187"/>
      <c r="JX175" s="188"/>
      <c r="JY175" s="188"/>
      <c r="JZ175" s="188"/>
      <c r="KA175" s="188"/>
      <c r="KB175" s="188"/>
      <c r="KC175" s="188"/>
      <c r="KD175" s="188"/>
      <c r="KE175" s="188"/>
      <c r="KF175" s="188"/>
      <c r="KG175" s="188"/>
      <c r="KH175" s="188"/>
      <c r="KI175" s="188"/>
      <c r="KJ175" s="188"/>
      <c r="KK175" s="188"/>
      <c r="KL175" s="188"/>
      <c r="KM175" s="188"/>
      <c r="KN175" s="188"/>
      <c r="KO175" s="188"/>
      <c r="KP175" s="188"/>
      <c r="KQ175" s="188"/>
      <c r="KR175" s="188"/>
      <c r="KS175" s="188"/>
      <c r="KT175" s="188"/>
      <c r="KU175" s="188"/>
      <c r="KV175" s="188"/>
      <c r="KW175" s="188"/>
      <c r="KX175" s="188"/>
      <c r="KY175" s="188"/>
      <c r="KZ175" s="188"/>
      <c r="LA175" s="188"/>
      <c r="LB175" s="188"/>
      <c r="LC175" s="188"/>
      <c r="LD175" s="188"/>
      <c r="LE175" s="188"/>
      <c r="LF175" s="188"/>
      <c r="LG175" s="188"/>
      <c r="LH175" s="188"/>
      <c r="LI175" s="188"/>
      <c r="LJ175" s="188"/>
      <c r="LK175" s="189"/>
      <c r="LL175" s="187"/>
      <c r="LM175" s="188"/>
      <c r="LN175" s="188"/>
      <c r="LO175" s="188"/>
      <c r="LP175" s="189"/>
      <c r="LY175" s="12"/>
      <c r="LZ175" s="7"/>
      <c r="MA175" s="3"/>
      <c r="MB175" s="3"/>
      <c r="MC175" s="3"/>
      <c r="MD175" s="3"/>
      <c r="ME175" s="2"/>
      <c r="MS175" s="3"/>
      <c r="MT175" s="3"/>
      <c r="MU175" s="3"/>
      <c r="MV175" s="3"/>
      <c r="MW175" s="3"/>
      <c r="MX175" s="2"/>
    </row>
    <row r="176" spans="3:362" ht="5.0999999999999996" customHeight="1" x14ac:dyDescent="0.3">
      <c r="C176" s="11"/>
      <c r="D176" s="13"/>
      <c r="Q176" s="187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9"/>
      <c r="BF176" s="187"/>
      <c r="BG176" s="188"/>
      <c r="BH176" s="188"/>
      <c r="BI176" s="188"/>
      <c r="BJ176" s="189"/>
      <c r="BS176" s="187"/>
      <c r="BT176" s="188"/>
      <c r="BU176" s="188"/>
      <c r="BV176" s="188"/>
      <c r="BW176" s="188"/>
      <c r="BX176" s="188"/>
      <c r="BY176" s="188"/>
      <c r="BZ176" s="188"/>
      <c r="CA176" s="188"/>
      <c r="CB176" s="188"/>
      <c r="CC176" s="188"/>
      <c r="CD176" s="188"/>
      <c r="CE176" s="188"/>
      <c r="CF176" s="188"/>
      <c r="CG176" s="188"/>
      <c r="CH176" s="188"/>
      <c r="CI176" s="188"/>
      <c r="CJ176" s="188"/>
      <c r="CK176" s="188"/>
      <c r="CL176" s="188"/>
      <c r="CM176" s="188"/>
      <c r="CN176" s="188"/>
      <c r="CO176" s="188"/>
      <c r="CP176" s="188"/>
      <c r="CQ176" s="188"/>
      <c r="CR176" s="188"/>
      <c r="CS176" s="188"/>
      <c r="CT176" s="188"/>
      <c r="CU176" s="188"/>
      <c r="CV176" s="188"/>
      <c r="CW176" s="188"/>
      <c r="CX176" s="188"/>
      <c r="CY176" s="188"/>
      <c r="CZ176" s="188"/>
      <c r="DA176" s="188"/>
      <c r="DB176" s="188"/>
      <c r="DC176" s="188"/>
      <c r="DD176" s="188"/>
      <c r="DE176" s="188"/>
      <c r="DF176" s="189"/>
      <c r="DG176" s="187"/>
      <c r="DH176" s="188"/>
      <c r="DI176" s="188"/>
      <c r="DJ176" s="188"/>
      <c r="DK176" s="189"/>
      <c r="FN176" s="187"/>
      <c r="FO176" s="188"/>
      <c r="FP176" s="188"/>
      <c r="FQ176" s="188"/>
      <c r="FR176" s="188"/>
      <c r="FS176" s="188"/>
      <c r="FT176" s="188"/>
      <c r="FU176" s="188"/>
      <c r="FV176" s="188"/>
      <c r="FW176" s="188"/>
      <c r="FX176" s="188"/>
      <c r="FY176" s="188"/>
      <c r="FZ176" s="188"/>
      <c r="GA176" s="188"/>
      <c r="GB176" s="188"/>
      <c r="GC176" s="188"/>
      <c r="GD176" s="188"/>
      <c r="GE176" s="188"/>
      <c r="GF176" s="188"/>
      <c r="GG176" s="188"/>
      <c r="GH176" s="188"/>
      <c r="GI176" s="188"/>
      <c r="GJ176" s="188"/>
      <c r="GK176" s="188"/>
      <c r="GL176" s="188"/>
      <c r="GM176" s="188"/>
      <c r="GN176" s="188"/>
      <c r="GO176" s="188"/>
      <c r="GP176" s="188"/>
      <c r="GQ176" s="188"/>
      <c r="GR176" s="188"/>
      <c r="GS176" s="188"/>
      <c r="GT176" s="188"/>
      <c r="GU176" s="188"/>
      <c r="GV176" s="188"/>
      <c r="GW176" s="188"/>
      <c r="GX176" s="188"/>
      <c r="GY176" s="188"/>
      <c r="GZ176" s="188"/>
      <c r="HA176" s="189"/>
      <c r="HB176" s="187"/>
      <c r="HC176" s="188"/>
      <c r="HD176" s="188"/>
      <c r="HE176" s="188"/>
      <c r="HF176" s="189"/>
      <c r="HP176" s="219"/>
      <c r="HQ176" s="220"/>
      <c r="HR176" s="220"/>
      <c r="HS176" s="220"/>
      <c r="HT176" s="220"/>
      <c r="HU176" s="220"/>
      <c r="HV176" s="220"/>
      <c r="HW176" s="220"/>
      <c r="HX176" s="220"/>
      <c r="HY176" s="220"/>
      <c r="HZ176" s="220"/>
      <c r="IA176" s="220"/>
      <c r="IB176" s="220"/>
      <c r="IC176" s="220"/>
      <c r="ID176" s="220"/>
      <c r="IE176" s="220"/>
      <c r="IF176" s="220"/>
      <c r="IG176" s="220"/>
      <c r="IH176" s="220"/>
      <c r="II176" s="220"/>
      <c r="IJ176" s="220"/>
      <c r="IK176" s="220"/>
      <c r="IL176" s="220"/>
      <c r="IM176" s="220"/>
      <c r="IN176" s="220"/>
      <c r="IO176" s="220"/>
      <c r="IP176" s="220"/>
      <c r="IQ176" s="220"/>
      <c r="IR176" s="220"/>
      <c r="IS176" s="220"/>
      <c r="IT176" s="220"/>
      <c r="IU176" s="220"/>
      <c r="IV176" s="220"/>
      <c r="IW176" s="220"/>
      <c r="IX176" s="220"/>
      <c r="IY176" s="220"/>
      <c r="IZ176" s="220"/>
      <c r="JA176" s="220"/>
      <c r="JB176" s="220"/>
      <c r="JC176" s="220"/>
      <c r="JD176" s="187"/>
      <c r="JE176" s="188"/>
      <c r="JF176" s="188"/>
      <c r="JG176" s="188"/>
      <c r="JH176" s="188"/>
      <c r="JI176" s="189"/>
      <c r="JJ176" s="19"/>
      <c r="JP176" s="155"/>
      <c r="JT176" s="16"/>
      <c r="JW176" s="187"/>
      <c r="JX176" s="188"/>
      <c r="JY176" s="188"/>
      <c r="JZ176" s="188"/>
      <c r="KA176" s="188"/>
      <c r="KB176" s="188"/>
      <c r="KC176" s="188"/>
      <c r="KD176" s="188"/>
      <c r="KE176" s="188"/>
      <c r="KF176" s="188"/>
      <c r="KG176" s="188"/>
      <c r="KH176" s="188"/>
      <c r="KI176" s="188"/>
      <c r="KJ176" s="188"/>
      <c r="KK176" s="188"/>
      <c r="KL176" s="188"/>
      <c r="KM176" s="188"/>
      <c r="KN176" s="188"/>
      <c r="KO176" s="188"/>
      <c r="KP176" s="188"/>
      <c r="KQ176" s="188"/>
      <c r="KR176" s="188"/>
      <c r="KS176" s="188"/>
      <c r="KT176" s="188"/>
      <c r="KU176" s="188"/>
      <c r="KV176" s="188"/>
      <c r="KW176" s="188"/>
      <c r="KX176" s="188"/>
      <c r="KY176" s="188"/>
      <c r="KZ176" s="188"/>
      <c r="LA176" s="188"/>
      <c r="LB176" s="188"/>
      <c r="LC176" s="188"/>
      <c r="LD176" s="188"/>
      <c r="LE176" s="188"/>
      <c r="LF176" s="188"/>
      <c r="LG176" s="188"/>
      <c r="LH176" s="188"/>
      <c r="LI176" s="188"/>
      <c r="LJ176" s="188"/>
      <c r="LK176" s="189"/>
      <c r="LL176" s="187"/>
      <c r="LM176" s="188"/>
      <c r="LN176" s="188"/>
      <c r="LO176" s="188"/>
      <c r="LP176" s="189"/>
      <c r="LY176" s="12"/>
      <c r="LZ176" s="7"/>
      <c r="MA176" s="3"/>
      <c r="MB176" s="3"/>
      <c r="MC176" s="3"/>
      <c r="MD176" s="3"/>
      <c r="ME176" s="2"/>
      <c r="MS176" s="3"/>
      <c r="MT176" s="3"/>
      <c r="MU176" s="3"/>
      <c r="MV176" s="3"/>
      <c r="MW176" s="3"/>
      <c r="MX176" s="2"/>
    </row>
    <row r="177" spans="3:362" ht="5.0999999999999996" customHeight="1" x14ac:dyDescent="0.3">
      <c r="C177" s="11"/>
      <c r="D177" s="13"/>
      <c r="Q177" s="187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  <c r="BE177" s="189"/>
      <c r="BF177" s="187"/>
      <c r="BG177" s="188"/>
      <c r="BH177" s="188"/>
      <c r="BI177" s="188"/>
      <c r="BJ177" s="189"/>
      <c r="BS177" s="187"/>
      <c r="BT177" s="188"/>
      <c r="BU177" s="188"/>
      <c r="BV177" s="188"/>
      <c r="BW177" s="188"/>
      <c r="BX177" s="188"/>
      <c r="BY177" s="188"/>
      <c r="BZ177" s="188"/>
      <c r="CA177" s="188"/>
      <c r="CB177" s="188"/>
      <c r="CC177" s="188"/>
      <c r="CD177" s="188"/>
      <c r="CE177" s="188"/>
      <c r="CF177" s="188"/>
      <c r="CG177" s="188"/>
      <c r="CH177" s="188"/>
      <c r="CI177" s="188"/>
      <c r="CJ177" s="188"/>
      <c r="CK177" s="188"/>
      <c r="CL177" s="188"/>
      <c r="CM177" s="188"/>
      <c r="CN177" s="188"/>
      <c r="CO177" s="188"/>
      <c r="CP177" s="188"/>
      <c r="CQ177" s="188"/>
      <c r="CR177" s="188"/>
      <c r="CS177" s="188"/>
      <c r="CT177" s="188"/>
      <c r="CU177" s="188"/>
      <c r="CV177" s="188"/>
      <c r="CW177" s="188"/>
      <c r="CX177" s="188"/>
      <c r="CY177" s="188"/>
      <c r="CZ177" s="188"/>
      <c r="DA177" s="188"/>
      <c r="DB177" s="188"/>
      <c r="DC177" s="188"/>
      <c r="DD177" s="188"/>
      <c r="DE177" s="188"/>
      <c r="DF177" s="189"/>
      <c r="DG177" s="187"/>
      <c r="DH177" s="188"/>
      <c r="DI177" s="188"/>
      <c r="DJ177" s="188"/>
      <c r="DK177" s="189"/>
      <c r="FN177" s="187"/>
      <c r="FO177" s="188"/>
      <c r="FP177" s="188"/>
      <c r="FQ177" s="188"/>
      <c r="FR177" s="188"/>
      <c r="FS177" s="188"/>
      <c r="FT177" s="188"/>
      <c r="FU177" s="188"/>
      <c r="FV177" s="188"/>
      <c r="FW177" s="188"/>
      <c r="FX177" s="188"/>
      <c r="FY177" s="188"/>
      <c r="FZ177" s="188"/>
      <c r="GA177" s="188"/>
      <c r="GB177" s="188"/>
      <c r="GC177" s="188"/>
      <c r="GD177" s="188"/>
      <c r="GE177" s="188"/>
      <c r="GF177" s="188"/>
      <c r="GG177" s="188"/>
      <c r="GH177" s="188"/>
      <c r="GI177" s="188"/>
      <c r="GJ177" s="188"/>
      <c r="GK177" s="188"/>
      <c r="GL177" s="188"/>
      <c r="GM177" s="188"/>
      <c r="GN177" s="188"/>
      <c r="GO177" s="188"/>
      <c r="GP177" s="188"/>
      <c r="GQ177" s="188"/>
      <c r="GR177" s="188"/>
      <c r="GS177" s="188"/>
      <c r="GT177" s="188"/>
      <c r="GU177" s="188"/>
      <c r="GV177" s="188"/>
      <c r="GW177" s="188"/>
      <c r="GX177" s="188"/>
      <c r="GY177" s="188"/>
      <c r="GZ177" s="188"/>
      <c r="HA177" s="189"/>
      <c r="HB177" s="187"/>
      <c r="HC177" s="188"/>
      <c r="HD177" s="188"/>
      <c r="HE177" s="188"/>
      <c r="HF177" s="189"/>
      <c r="HP177" s="219"/>
      <c r="HQ177" s="220"/>
      <c r="HR177" s="220"/>
      <c r="HS177" s="220"/>
      <c r="HT177" s="220"/>
      <c r="HU177" s="220"/>
      <c r="HV177" s="220"/>
      <c r="HW177" s="220"/>
      <c r="HX177" s="220"/>
      <c r="HY177" s="220"/>
      <c r="HZ177" s="220"/>
      <c r="IA177" s="220"/>
      <c r="IB177" s="220"/>
      <c r="IC177" s="220"/>
      <c r="ID177" s="220"/>
      <c r="IE177" s="220"/>
      <c r="IF177" s="220"/>
      <c r="IG177" s="220"/>
      <c r="IH177" s="220"/>
      <c r="II177" s="220"/>
      <c r="IJ177" s="220"/>
      <c r="IK177" s="220"/>
      <c r="IL177" s="220"/>
      <c r="IM177" s="220"/>
      <c r="IN177" s="220"/>
      <c r="IO177" s="220"/>
      <c r="IP177" s="220"/>
      <c r="IQ177" s="220"/>
      <c r="IR177" s="220"/>
      <c r="IS177" s="220"/>
      <c r="IT177" s="220"/>
      <c r="IU177" s="220"/>
      <c r="IV177" s="220"/>
      <c r="IW177" s="220"/>
      <c r="IX177" s="220"/>
      <c r="IY177" s="220"/>
      <c r="IZ177" s="220"/>
      <c r="JA177" s="220"/>
      <c r="JB177" s="220"/>
      <c r="JC177" s="220"/>
      <c r="JD177" s="187"/>
      <c r="JE177" s="188"/>
      <c r="JF177" s="188"/>
      <c r="JG177" s="188"/>
      <c r="JH177" s="188"/>
      <c r="JI177" s="189"/>
      <c r="JJ177" s="19"/>
      <c r="JP177" s="155"/>
      <c r="JT177" s="16"/>
      <c r="JW177" s="187"/>
      <c r="JX177" s="188"/>
      <c r="JY177" s="188"/>
      <c r="JZ177" s="188"/>
      <c r="KA177" s="188"/>
      <c r="KB177" s="188"/>
      <c r="KC177" s="188"/>
      <c r="KD177" s="188"/>
      <c r="KE177" s="188"/>
      <c r="KF177" s="188"/>
      <c r="KG177" s="188"/>
      <c r="KH177" s="188"/>
      <c r="KI177" s="188"/>
      <c r="KJ177" s="188"/>
      <c r="KK177" s="188"/>
      <c r="KL177" s="188"/>
      <c r="KM177" s="188"/>
      <c r="KN177" s="188"/>
      <c r="KO177" s="188"/>
      <c r="KP177" s="188"/>
      <c r="KQ177" s="188"/>
      <c r="KR177" s="188"/>
      <c r="KS177" s="188"/>
      <c r="KT177" s="188"/>
      <c r="KU177" s="188"/>
      <c r="KV177" s="188"/>
      <c r="KW177" s="188"/>
      <c r="KX177" s="188"/>
      <c r="KY177" s="188"/>
      <c r="KZ177" s="188"/>
      <c r="LA177" s="188"/>
      <c r="LB177" s="188"/>
      <c r="LC177" s="188"/>
      <c r="LD177" s="188"/>
      <c r="LE177" s="188"/>
      <c r="LF177" s="188"/>
      <c r="LG177" s="188"/>
      <c r="LH177" s="188"/>
      <c r="LI177" s="188"/>
      <c r="LJ177" s="188"/>
      <c r="LK177" s="189"/>
      <c r="LL177" s="187"/>
      <c r="LM177" s="188"/>
      <c r="LN177" s="188"/>
      <c r="LO177" s="188"/>
      <c r="LP177" s="189"/>
      <c r="LY177" s="12"/>
      <c r="LZ177" s="7"/>
    </row>
    <row r="178" spans="3:362" ht="5.0999999999999996" customHeight="1" x14ac:dyDescent="0.3">
      <c r="C178" s="11"/>
      <c r="D178" s="13"/>
      <c r="Q178" s="187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  <c r="BD178" s="188"/>
      <c r="BE178" s="189"/>
      <c r="BF178" s="187"/>
      <c r="BG178" s="188"/>
      <c r="BH178" s="188"/>
      <c r="BI178" s="188"/>
      <c r="BJ178" s="189"/>
      <c r="BS178" s="187"/>
      <c r="BT178" s="188"/>
      <c r="BU178" s="188"/>
      <c r="BV178" s="188"/>
      <c r="BW178" s="188"/>
      <c r="BX178" s="188"/>
      <c r="BY178" s="188"/>
      <c r="BZ178" s="188"/>
      <c r="CA178" s="188"/>
      <c r="CB178" s="188"/>
      <c r="CC178" s="188"/>
      <c r="CD178" s="188"/>
      <c r="CE178" s="188"/>
      <c r="CF178" s="188"/>
      <c r="CG178" s="188"/>
      <c r="CH178" s="188"/>
      <c r="CI178" s="188"/>
      <c r="CJ178" s="188"/>
      <c r="CK178" s="188"/>
      <c r="CL178" s="188"/>
      <c r="CM178" s="188"/>
      <c r="CN178" s="188"/>
      <c r="CO178" s="188"/>
      <c r="CP178" s="188"/>
      <c r="CQ178" s="188"/>
      <c r="CR178" s="188"/>
      <c r="CS178" s="188"/>
      <c r="CT178" s="188"/>
      <c r="CU178" s="188"/>
      <c r="CV178" s="188"/>
      <c r="CW178" s="188"/>
      <c r="CX178" s="188"/>
      <c r="CY178" s="188"/>
      <c r="CZ178" s="188"/>
      <c r="DA178" s="188"/>
      <c r="DB178" s="188"/>
      <c r="DC178" s="188"/>
      <c r="DD178" s="188"/>
      <c r="DE178" s="188"/>
      <c r="DF178" s="189"/>
      <c r="DG178" s="187"/>
      <c r="DH178" s="188"/>
      <c r="DI178" s="188"/>
      <c r="DJ178" s="188"/>
      <c r="DK178" s="189"/>
      <c r="FN178" s="187"/>
      <c r="FO178" s="188"/>
      <c r="FP178" s="188"/>
      <c r="FQ178" s="188"/>
      <c r="FR178" s="188"/>
      <c r="FS178" s="188"/>
      <c r="FT178" s="188"/>
      <c r="FU178" s="188"/>
      <c r="FV178" s="188"/>
      <c r="FW178" s="188"/>
      <c r="FX178" s="188"/>
      <c r="FY178" s="188"/>
      <c r="FZ178" s="188"/>
      <c r="GA178" s="188"/>
      <c r="GB178" s="188"/>
      <c r="GC178" s="188"/>
      <c r="GD178" s="188"/>
      <c r="GE178" s="188"/>
      <c r="GF178" s="188"/>
      <c r="GG178" s="188"/>
      <c r="GH178" s="188"/>
      <c r="GI178" s="188"/>
      <c r="GJ178" s="188"/>
      <c r="GK178" s="188"/>
      <c r="GL178" s="188"/>
      <c r="GM178" s="188"/>
      <c r="GN178" s="188"/>
      <c r="GO178" s="188"/>
      <c r="GP178" s="188"/>
      <c r="GQ178" s="188"/>
      <c r="GR178" s="188"/>
      <c r="GS178" s="188"/>
      <c r="GT178" s="188"/>
      <c r="GU178" s="188"/>
      <c r="GV178" s="188"/>
      <c r="GW178" s="188"/>
      <c r="GX178" s="188"/>
      <c r="GY178" s="188"/>
      <c r="GZ178" s="188"/>
      <c r="HA178" s="189"/>
      <c r="HB178" s="187"/>
      <c r="HC178" s="188"/>
      <c r="HD178" s="188"/>
      <c r="HE178" s="188"/>
      <c r="HF178" s="189"/>
      <c r="HP178" s="219"/>
      <c r="HQ178" s="220"/>
      <c r="HR178" s="220"/>
      <c r="HS178" s="220"/>
      <c r="HT178" s="220"/>
      <c r="HU178" s="220"/>
      <c r="HV178" s="220"/>
      <c r="HW178" s="220"/>
      <c r="HX178" s="220"/>
      <c r="HY178" s="220"/>
      <c r="HZ178" s="220"/>
      <c r="IA178" s="220"/>
      <c r="IB178" s="220"/>
      <c r="IC178" s="220"/>
      <c r="ID178" s="220"/>
      <c r="IE178" s="220"/>
      <c r="IF178" s="220"/>
      <c r="IG178" s="220"/>
      <c r="IH178" s="220"/>
      <c r="II178" s="220"/>
      <c r="IJ178" s="220"/>
      <c r="IK178" s="220"/>
      <c r="IL178" s="220"/>
      <c r="IM178" s="220"/>
      <c r="IN178" s="220"/>
      <c r="IO178" s="220"/>
      <c r="IP178" s="220"/>
      <c r="IQ178" s="220"/>
      <c r="IR178" s="220"/>
      <c r="IS178" s="220"/>
      <c r="IT178" s="220"/>
      <c r="IU178" s="220"/>
      <c r="IV178" s="220"/>
      <c r="IW178" s="220"/>
      <c r="IX178" s="220"/>
      <c r="IY178" s="220"/>
      <c r="IZ178" s="220"/>
      <c r="JA178" s="220"/>
      <c r="JB178" s="220"/>
      <c r="JC178" s="220"/>
      <c r="JD178" s="187"/>
      <c r="JE178" s="188"/>
      <c r="JF178" s="188"/>
      <c r="JG178" s="188"/>
      <c r="JH178" s="188"/>
      <c r="JI178" s="189"/>
      <c r="JJ178" s="19"/>
      <c r="JP178" s="155"/>
      <c r="JT178" s="16"/>
      <c r="JW178" s="187"/>
      <c r="JX178" s="188"/>
      <c r="JY178" s="188"/>
      <c r="JZ178" s="188"/>
      <c r="KA178" s="188"/>
      <c r="KB178" s="188"/>
      <c r="KC178" s="188"/>
      <c r="KD178" s="188"/>
      <c r="KE178" s="188"/>
      <c r="KF178" s="188"/>
      <c r="KG178" s="188"/>
      <c r="KH178" s="188"/>
      <c r="KI178" s="188"/>
      <c r="KJ178" s="188"/>
      <c r="KK178" s="188"/>
      <c r="KL178" s="188"/>
      <c r="KM178" s="188"/>
      <c r="KN178" s="188"/>
      <c r="KO178" s="188"/>
      <c r="KP178" s="188"/>
      <c r="KQ178" s="188"/>
      <c r="KR178" s="188"/>
      <c r="KS178" s="188"/>
      <c r="KT178" s="188"/>
      <c r="KU178" s="188"/>
      <c r="KV178" s="188"/>
      <c r="KW178" s="188"/>
      <c r="KX178" s="188"/>
      <c r="KY178" s="188"/>
      <c r="KZ178" s="188"/>
      <c r="LA178" s="188"/>
      <c r="LB178" s="188"/>
      <c r="LC178" s="188"/>
      <c r="LD178" s="188"/>
      <c r="LE178" s="188"/>
      <c r="LF178" s="188"/>
      <c r="LG178" s="188"/>
      <c r="LH178" s="188"/>
      <c r="LI178" s="188"/>
      <c r="LJ178" s="188"/>
      <c r="LK178" s="189"/>
      <c r="LL178" s="187"/>
      <c r="LM178" s="188"/>
      <c r="LN178" s="188"/>
      <c r="LO178" s="188"/>
      <c r="LP178" s="189"/>
      <c r="LY178" s="12"/>
      <c r="LZ178" s="7"/>
    </row>
    <row r="179" spans="3:362" ht="5.0999999999999996" customHeight="1" x14ac:dyDescent="0.3">
      <c r="C179" s="11"/>
      <c r="D179" s="13"/>
      <c r="Q179" s="187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  <c r="BD179" s="188"/>
      <c r="BE179" s="189"/>
      <c r="BF179" s="187"/>
      <c r="BG179" s="188"/>
      <c r="BH179" s="188"/>
      <c r="BI179" s="188"/>
      <c r="BJ179" s="189"/>
      <c r="BS179" s="187"/>
      <c r="BT179" s="188"/>
      <c r="BU179" s="188"/>
      <c r="BV179" s="188"/>
      <c r="BW179" s="188"/>
      <c r="BX179" s="188"/>
      <c r="BY179" s="188"/>
      <c r="BZ179" s="188"/>
      <c r="CA179" s="188"/>
      <c r="CB179" s="188"/>
      <c r="CC179" s="188"/>
      <c r="CD179" s="188"/>
      <c r="CE179" s="188"/>
      <c r="CF179" s="188"/>
      <c r="CG179" s="188"/>
      <c r="CH179" s="188"/>
      <c r="CI179" s="188"/>
      <c r="CJ179" s="188"/>
      <c r="CK179" s="188"/>
      <c r="CL179" s="188"/>
      <c r="CM179" s="188"/>
      <c r="CN179" s="188"/>
      <c r="CO179" s="188"/>
      <c r="CP179" s="188"/>
      <c r="CQ179" s="188"/>
      <c r="CR179" s="188"/>
      <c r="CS179" s="188"/>
      <c r="CT179" s="188"/>
      <c r="CU179" s="188"/>
      <c r="CV179" s="188"/>
      <c r="CW179" s="188"/>
      <c r="CX179" s="188"/>
      <c r="CY179" s="188"/>
      <c r="CZ179" s="188"/>
      <c r="DA179" s="188"/>
      <c r="DB179" s="188"/>
      <c r="DC179" s="188"/>
      <c r="DD179" s="188"/>
      <c r="DE179" s="188"/>
      <c r="DF179" s="189"/>
      <c r="DG179" s="187"/>
      <c r="DH179" s="188"/>
      <c r="DI179" s="188"/>
      <c r="DJ179" s="188"/>
      <c r="DK179" s="189"/>
      <c r="FN179" s="187"/>
      <c r="FO179" s="188"/>
      <c r="FP179" s="188"/>
      <c r="FQ179" s="188"/>
      <c r="FR179" s="188"/>
      <c r="FS179" s="188"/>
      <c r="FT179" s="188"/>
      <c r="FU179" s="188"/>
      <c r="FV179" s="188"/>
      <c r="FW179" s="188"/>
      <c r="FX179" s="188"/>
      <c r="FY179" s="188"/>
      <c r="FZ179" s="188"/>
      <c r="GA179" s="188"/>
      <c r="GB179" s="188"/>
      <c r="GC179" s="188"/>
      <c r="GD179" s="188"/>
      <c r="GE179" s="188"/>
      <c r="GF179" s="188"/>
      <c r="GG179" s="188"/>
      <c r="GH179" s="188"/>
      <c r="GI179" s="188"/>
      <c r="GJ179" s="188"/>
      <c r="GK179" s="188"/>
      <c r="GL179" s="188"/>
      <c r="GM179" s="188"/>
      <c r="GN179" s="188"/>
      <c r="GO179" s="188"/>
      <c r="GP179" s="188"/>
      <c r="GQ179" s="188"/>
      <c r="GR179" s="188"/>
      <c r="GS179" s="188"/>
      <c r="GT179" s="188"/>
      <c r="GU179" s="188"/>
      <c r="GV179" s="188"/>
      <c r="GW179" s="188"/>
      <c r="GX179" s="188"/>
      <c r="GY179" s="188"/>
      <c r="GZ179" s="188"/>
      <c r="HA179" s="189"/>
      <c r="HB179" s="187"/>
      <c r="HC179" s="188"/>
      <c r="HD179" s="188"/>
      <c r="HE179" s="188"/>
      <c r="HF179" s="189"/>
      <c r="HP179" s="219"/>
      <c r="HQ179" s="220"/>
      <c r="HR179" s="220"/>
      <c r="HS179" s="220"/>
      <c r="HT179" s="220"/>
      <c r="HU179" s="220"/>
      <c r="HV179" s="220"/>
      <c r="HW179" s="220"/>
      <c r="HX179" s="220"/>
      <c r="HY179" s="220"/>
      <c r="HZ179" s="220"/>
      <c r="IA179" s="220"/>
      <c r="IB179" s="220"/>
      <c r="IC179" s="220"/>
      <c r="ID179" s="220"/>
      <c r="IE179" s="220"/>
      <c r="IF179" s="220"/>
      <c r="IG179" s="220"/>
      <c r="IH179" s="220"/>
      <c r="II179" s="220"/>
      <c r="IJ179" s="220"/>
      <c r="IK179" s="220"/>
      <c r="IL179" s="220"/>
      <c r="IM179" s="220"/>
      <c r="IN179" s="220"/>
      <c r="IO179" s="220"/>
      <c r="IP179" s="220"/>
      <c r="IQ179" s="220"/>
      <c r="IR179" s="220"/>
      <c r="IS179" s="220"/>
      <c r="IT179" s="220"/>
      <c r="IU179" s="220"/>
      <c r="IV179" s="220"/>
      <c r="IW179" s="220"/>
      <c r="IX179" s="220"/>
      <c r="IY179" s="220"/>
      <c r="IZ179" s="220"/>
      <c r="JA179" s="220"/>
      <c r="JB179" s="220"/>
      <c r="JC179" s="220"/>
      <c r="JD179" s="187"/>
      <c r="JE179" s="188"/>
      <c r="JF179" s="188"/>
      <c r="JG179" s="188"/>
      <c r="JH179" s="188"/>
      <c r="JI179" s="189"/>
      <c r="JJ179" s="19"/>
      <c r="JP179" s="155"/>
      <c r="JT179" s="16"/>
      <c r="JW179" s="190"/>
      <c r="JX179" s="191"/>
      <c r="JY179" s="191"/>
      <c r="JZ179" s="191"/>
      <c r="KA179" s="191"/>
      <c r="KB179" s="191"/>
      <c r="KC179" s="191"/>
      <c r="KD179" s="191"/>
      <c r="KE179" s="191"/>
      <c r="KF179" s="191"/>
      <c r="KG179" s="191"/>
      <c r="KH179" s="191"/>
      <c r="KI179" s="191"/>
      <c r="KJ179" s="191"/>
      <c r="KK179" s="191"/>
      <c r="KL179" s="191"/>
      <c r="KM179" s="191"/>
      <c r="KN179" s="191"/>
      <c r="KO179" s="191"/>
      <c r="KP179" s="191"/>
      <c r="KQ179" s="191"/>
      <c r="KR179" s="191"/>
      <c r="KS179" s="191"/>
      <c r="KT179" s="191"/>
      <c r="KU179" s="191"/>
      <c r="KV179" s="191"/>
      <c r="KW179" s="191"/>
      <c r="KX179" s="191"/>
      <c r="KY179" s="191"/>
      <c r="KZ179" s="191"/>
      <c r="LA179" s="191"/>
      <c r="LB179" s="191"/>
      <c r="LC179" s="191"/>
      <c r="LD179" s="191"/>
      <c r="LE179" s="191"/>
      <c r="LF179" s="191"/>
      <c r="LG179" s="191"/>
      <c r="LH179" s="191"/>
      <c r="LI179" s="191"/>
      <c r="LJ179" s="191"/>
      <c r="LK179" s="192"/>
      <c r="LL179" s="190"/>
      <c r="LM179" s="191"/>
      <c r="LN179" s="191"/>
      <c r="LO179" s="191"/>
      <c r="LP179" s="192"/>
      <c r="LY179" s="12"/>
      <c r="LZ179" s="7"/>
    </row>
    <row r="180" spans="3:362" ht="5.0999999999999996" customHeight="1" x14ac:dyDescent="0.3">
      <c r="C180" s="11"/>
      <c r="D180" s="13"/>
      <c r="Q180" s="190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2"/>
      <c r="BF180" s="190"/>
      <c r="BG180" s="191"/>
      <c r="BH180" s="191"/>
      <c r="BI180" s="191"/>
      <c r="BJ180" s="192"/>
      <c r="BS180" s="187"/>
      <c r="BT180" s="188"/>
      <c r="BU180" s="188"/>
      <c r="BV180" s="188"/>
      <c r="BW180" s="188"/>
      <c r="BX180" s="188"/>
      <c r="BY180" s="188"/>
      <c r="BZ180" s="188"/>
      <c r="CA180" s="188"/>
      <c r="CB180" s="188"/>
      <c r="CC180" s="188"/>
      <c r="CD180" s="188"/>
      <c r="CE180" s="188"/>
      <c r="CF180" s="188"/>
      <c r="CG180" s="188"/>
      <c r="CH180" s="188"/>
      <c r="CI180" s="188"/>
      <c r="CJ180" s="188"/>
      <c r="CK180" s="188"/>
      <c r="CL180" s="188"/>
      <c r="CM180" s="188"/>
      <c r="CN180" s="188"/>
      <c r="CO180" s="188"/>
      <c r="CP180" s="188"/>
      <c r="CQ180" s="188"/>
      <c r="CR180" s="188"/>
      <c r="CS180" s="188"/>
      <c r="CT180" s="188"/>
      <c r="CU180" s="188"/>
      <c r="CV180" s="188"/>
      <c r="CW180" s="188"/>
      <c r="CX180" s="188"/>
      <c r="CY180" s="188"/>
      <c r="CZ180" s="188"/>
      <c r="DA180" s="188"/>
      <c r="DB180" s="188"/>
      <c r="DC180" s="188"/>
      <c r="DD180" s="188"/>
      <c r="DE180" s="188"/>
      <c r="DF180" s="189"/>
      <c r="DG180" s="187"/>
      <c r="DH180" s="188"/>
      <c r="DI180" s="188"/>
      <c r="DJ180" s="188"/>
      <c r="DK180" s="189"/>
      <c r="FN180" s="190"/>
      <c r="FO180" s="191"/>
      <c r="FP180" s="191"/>
      <c r="FQ180" s="191"/>
      <c r="FR180" s="191"/>
      <c r="FS180" s="191"/>
      <c r="FT180" s="191"/>
      <c r="FU180" s="191"/>
      <c r="FV180" s="191"/>
      <c r="FW180" s="191"/>
      <c r="FX180" s="191"/>
      <c r="FY180" s="191"/>
      <c r="FZ180" s="191"/>
      <c r="GA180" s="191"/>
      <c r="GB180" s="191"/>
      <c r="GC180" s="191"/>
      <c r="GD180" s="191"/>
      <c r="GE180" s="191"/>
      <c r="GF180" s="191"/>
      <c r="GG180" s="191"/>
      <c r="GH180" s="191"/>
      <c r="GI180" s="191"/>
      <c r="GJ180" s="191"/>
      <c r="GK180" s="191"/>
      <c r="GL180" s="191"/>
      <c r="GM180" s="191"/>
      <c r="GN180" s="191"/>
      <c r="GO180" s="191"/>
      <c r="GP180" s="191"/>
      <c r="GQ180" s="191"/>
      <c r="GR180" s="191"/>
      <c r="GS180" s="191"/>
      <c r="GT180" s="191"/>
      <c r="GU180" s="191"/>
      <c r="GV180" s="191"/>
      <c r="GW180" s="191"/>
      <c r="GX180" s="191"/>
      <c r="GY180" s="191"/>
      <c r="GZ180" s="191"/>
      <c r="HA180" s="192"/>
      <c r="HB180" s="190"/>
      <c r="HC180" s="191"/>
      <c r="HD180" s="191"/>
      <c r="HE180" s="191"/>
      <c r="HF180" s="192"/>
      <c r="HP180" s="222"/>
      <c r="HQ180" s="223"/>
      <c r="HR180" s="223"/>
      <c r="HS180" s="223"/>
      <c r="HT180" s="223"/>
      <c r="HU180" s="223"/>
      <c r="HV180" s="223"/>
      <c r="HW180" s="223"/>
      <c r="HX180" s="223"/>
      <c r="HY180" s="223"/>
      <c r="HZ180" s="223"/>
      <c r="IA180" s="223"/>
      <c r="IB180" s="223"/>
      <c r="IC180" s="223"/>
      <c r="ID180" s="223"/>
      <c r="IE180" s="223"/>
      <c r="IF180" s="223"/>
      <c r="IG180" s="223"/>
      <c r="IH180" s="223"/>
      <c r="II180" s="223"/>
      <c r="IJ180" s="223"/>
      <c r="IK180" s="223"/>
      <c r="IL180" s="223"/>
      <c r="IM180" s="223"/>
      <c r="IN180" s="223"/>
      <c r="IO180" s="223"/>
      <c r="IP180" s="223"/>
      <c r="IQ180" s="223"/>
      <c r="IR180" s="223"/>
      <c r="IS180" s="223"/>
      <c r="IT180" s="223"/>
      <c r="IU180" s="223"/>
      <c r="IV180" s="223"/>
      <c r="IW180" s="223"/>
      <c r="IX180" s="223"/>
      <c r="IY180" s="223"/>
      <c r="IZ180" s="223"/>
      <c r="JA180" s="223"/>
      <c r="JB180" s="223"/>
      <c r="JC180" s="223"/>
      <c r="JD180" s="190"/>
      <c r="JE180" s="191"/>
      <c r="JF180" s="191"/>
      <c r="JG180" s="191"/>
      <c r="JH180" s="191"/>
      <c r="JI180" s="192"/>
      <c r="JJ180" s="19"/>
      <c r="JP180" s="155"/>
      <c r="JT180" s="16"/>
      <c r="JW180" s="184" t="s">
        <v>43</v>
      </c>
      <c r="JX180" s="185"/>
      <c r="JY180" s="185"/>
      <c r="JZ180" s="185"/>
      <c r="KA180" s="185"/>
      <c r="KB180" s="185"/>
      <c r="KC180" s="185"/>
      <c r="KD180" s="185"/>
      <c r="KE180" s="185"/>
      <c r="KF180" s="185"/>
      <c r="KG180" s="185"/>
      <c r="KH180" s="185"/>
      <c r="KI180" s="185"/>
      <c r="KJ180" s="185"/>
      <c r="KK180" s="185"/>
      <c r="KL180" s="185"/>
      <c r="KM180" s="185"/>
      <c r="KN180" s="185"/>
      <c r="KO180" s="185"/>
      <c r="KP180" s="185"/>
      <c r="KQ180" s="185"/>
      <c r="KR180" s="185"/>
      <c r="KS180" s="185"/>
      <c r="KT180" s="185"/>
      <c r="KU180" s="185"/>
      <c r="KV180" s="185"/>
      <c r="KW180" s="185"/>
      <c r="KX180" s="185"/>
      <c r="KY180" s="185"/>
      <c r="KZ180" s="185"/>
      <c r="LA180" s="185"/>
      <c r="LB180" s="185"/>
      <c r="LC180" s="185"/>
      <c r="LD180" s="185"/>
      <c r="LE180" s="185"/>
      <c r="LF180" s="185"/>
      <c r="LG180" s="185"/>
      <c r="LH180" s="185"/>
      <c r="LI180" s="185"/>
      <c r="LJ180" s="185"/>
      <c r="LK180" s="186"/>
      <c r="LL180" s="184">
        <v>1</v>
      </c>
      <c r="LM180" s="185"/>
      <c r="LN180" s="185"/>
      <c r="LO180" s="185"/>
      <c r="LP180" s="186"/>
      <c r="LY180" s="12"/>
      <c r="LZ180" s="7"/>
    </row>
    <row r="181" spans="3:362" ht="5.0999999999999996" customHeight="1" x14ac:dyDescent="0.3">
      <c r="C181" s="11"/>
      <c r="D181" s="13"/>
      <c r="Q181" s="184" t="s">
        <v>80</v>
      </c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6"/>
      <c r="BF181" s="184">
        <v>2</v>
      </c>
      <c r="BG181" s="185"/>
      <c r="BH181" s="185"/>
      <c r="BI181" s="185"/>
      <c r="BJ181" s="186"/>
      <c r="BS181" s="187"/>
      <c r="BT181" s="188"/>
      <c r="BU181" s="188"/>
      <c r="BV181" s="188"/>
      <c r="BW181" s="188"/>
      <c r="BX181" s="188"/>
      <c r="BY181" s="188"/>
      <c r="BZ181" s="188"/>
      <c r="CA181" s="188"/>
      <c r="CB181" s="188"/>
      <c r="CC181" s="188"/>
      <c r="CD181" s="188"/>
      <c r="CE181" s="188"/>
      <c r="CF181" s="188"/>
      <c r="CG181" s="188"/>
      <c r="CH181" s="188"/>
      <c r="CI181" s="188"/>
      <c r="CJ181" s="188"/>
      <c r="CK181" s="188"/>
      <c r="CL181" s="188"/>
      <c r="CM181" s="188"/>
      <c r="CN181" s="188"/>
      <c r="CO181" s="188"/>
      <c r="CP181" s="188"/>
      <c r="CQ181" s="188"/>
      <c r="CR181" s="188"/>
      <c r="CS181" s="188"/>
      <c r="CT181" s="188"/>
      <c r="CU181" s="188"/>
      <c r="CV181" s="188"/>
      <c r="CW181" s="188"/>
      <c r="CX181" s="188"/>
      <c r="CY181" s="188"/>
      <c r="CZ181" s="188"/>
      <c r="DA181" s="188"/>
      <c r="DB181" s="188"/>
      <c r="DC181" s="188"/>
      <c r="DD181" s="188"/>
      <c r="DE181" s="188"/>
      <c r="DF181" s="189"/>
      <c r="DG181" s="187"/>
      <c r="DH181" s="188"/>
      <c r="DI181" s="188"/>
      <c r="DJ181" s="188"/>
      <c r="DK181" s="189"/>
      <c r="FN181" s="184" t="s">
        <v>69</v>
      </c>
      <c r="FO181" s="185"/>
      <c r="FP181" s="185"/>
      <c r="FQ181" s="185"/>
      <c r="FR181" s="185"/>
      <c r="FS181" s="185"/>
      <c r="FT181" s="185"/>
      <c r="FU181" s="185"/>
      <c r="FV181" s="185"/>
      <c r="FW181" s="185"/>
      <c r="FX181" s="185"/>
      <c r="FY181" s="185"/>
      <c r="FZ181" s="185"/>
      <c r="GA181" s="185"/>
      <c r="GB181" s="185"/>
      <c r="GC181" s="185"/>
      <c r="GD181" s="185"/>
      <c r="GE181" s="185"/>
      <c r="GF181" s="185"/>
      <c r="GG181" s="185"/>
      <c r="GH181" s="185"/>
      <c r="GI181" s="185"/>
      <c r="GJ181" s="185"/>
      <c r="GK181" s="185"/>
      <c r="GL181" s="185"/>
      <c r="GM181" s="185"/>
      <c r="GN181" s="185"/>
      <c r="GO181" s="185"/>
      <c r="GP181" s="185"/>
      <c r="GQ181" s="185"/>
      <c r="GR181" s="185"/>
      <c r="GS181" s="185"/>
      <c r="GT181" s="185"/>
      <c r="GU181" s="185"/>
      <c r="GV181" s="185"/>
      <c r="GW181" s="185"/>
      <c r="GX181" s="185"/>
      <c r="GY181" s="185"/>
      <c r="GZ181" s="185"/>
      <c r="HA181" s="186"/>
      <c r="HB181" s="184">
        <v>1</v>
      </c>
      <c r="HC181" s="185"/>
      <c r="HD181" s="185"/>
      <c r="HE181" s="185"/>
      <c r="HF181" s="186"/>
      <c r="JJ181" s="19"/>
      <c r="JP181" s="155"/>
      <c r="JT181" s="16"/>
      <c r="JW181" s="187"/>
      <c r="JX181" s="188"/>
      <c r="JY181" s="188"/>
      <c r="JZ181" s="188"/>
      <c r="KA181" s="188"/>
      <c r="KB181" s="188"/>
      <c r="KC181" s="188"/>
      <c r="KD181" s="188"/>
      <c r="KE181" s="188"/>
      <c r="KF181" s="188"/>
      <c r="KG181" s="188"/>
      <c r="KH181" s="188"/>
      <c r="KI181" s="188"/>
      <c r="KJ181" s="188"/>
      <c r="KK181" s="188"/>
      <c r="KL181" s="188"/>
      <c r="KM181" s="188"/>
      <c r="KN181" s="188"/>
      <c r="KO181" s="188"/>
      <c r="KP181" s="188"/>
      <c r="KQ181" s="188"/>
      <c r="KR181" s="188"/>
      <c r="KS181" s="188"/>
      <c r="KT181" s="188"/>
      <c r="KU181" s="188"/>
      <c r="KV181" s="188"/>
      <c r="KW181" s="188"/>
      <c r="KX181" s="188"/>
      <c r="KY181" s="188"/>
      <c r="KZ181" s="188"/>
      <c r="LA181" s="188"/>
      <c r="LB181" s="188"/>
      <c r="LC181" s="188"/>
      <c r="LD181" s="188"/>
      <c r="LE181" s="188"/>
      <c r="LF181" s="188"/>
      <c r="LG181" s="188"/>
      <c r="LH181" s="188"/>
      <c r="LI181" s="188"/>
      <c r="LJ181" s="188"/>
      <c r="LK181" s="189"/>
      <c r="LL181" s="187"/>
      <c r="LM181" s="188"/>
      <c r="LN181" s="188"/>
      <c r="LO181" s="188"/>
      <c r="LP181" s="189"/>
      <c r="LY181" s="12"/>
      <c r="LZ181" s="7"/>
    </row>
    <row r="182" spans="3:362" ht="5.0999999999999996" customHeight="1" x14ac:dyDescent="0.3">
      <c r="C182" s="11"/>
      <c r="D182" s="13"/>
      <c r="Q182" s="187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  <c r="BD182" s="188"/>
      <c r="BE182" s="189"/>
      <c r="BF182" s="187"/>
      <c r="BG182" s="188"/>
      <c r="BH182" s="188"/>
      <c r="BI182" s="188"/>
      <c r="BJ182" s="189"/>
      <c r="BS182" s="190"/>
      <c r="BT182" s="191"/>
      <c r="BU182" s="191"/>
      <c r="BV182" s="191"/>
      <c r="BW182" s="191"/>
      <c r="BX182" s="191"/>
      <c r="BY182" s="191"/>
      <c r="BZ182" s="191"/>
      <c r="CA182" s="191"/>
      <c r="CB182" s="191"/>
      <c r="CC182" s="191"/>
      <c r="CD182" s="191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  <c r="CT182" s="191"/>
      <c r="CU182" s="191"/>
      <c r="CV182" s="191"/>
      <c r="CW182" s="191"/>
      <c r="CX182" s="191"/>
      <c r="CY182" s="191"/>
      <c r="CZ182" s="191"/>
      <c r="DA182" s="191"/>
      <c r="DB182" s="191"/>
      <c r="DC182" s="191"/>
      <c r="DD182" s="191"/>
      <c r="DE182" s="191"/>
      <c r="DF182" s="192"/>
      <c r="DG182" s="190"/>
      <c r="DH182" s="191"/>
      <c r="DI182" s="191"/>
      <c r="DJ182" s="191"/>
      <c r="DK182" s="192"/>
      <c r="FN182" s="187"/>
      <c r="FO182" s="188"/>
      <c r="FP182" s="188"/>
      <c r="FQ182" s="188"/>
      <c r="FR182" s="188"/>
      <c r="FS182" s="188"/>
      <c r="FT182" s="188"/>
      <c r="FU182" s="188"/>
      <c r="FV182" s="188"/>
      <c r="FW182" s="188"/>
      <c r="FX182" s="188"/>
      <c r="FY182" s="188"/>
      <c r="FZ182" s="188"/>
      <c r="GA182" s="188"/>
      <c r="GB182" s="188"/>
      <c r="GC182" s="188"/>
      <c r="GD182" s="188"/>
      <c r="GE182" s="188"/>
      <c r="GF182" s="188"/>
      <c r="GG182" s="188"/>
      <c r="GH182" s="188"/>
      <c r="GI182" s="188"/>
      <c r="GJ182" s="188"/>
      <c r="GK182" s="188"/>
      <c r="GL182" s="188"/>
      <c r="GM182" s="188"/>
      <c r="GN182" s="188"/>
      <c r="GO182" s="188"/>
      <c r="GP182" s="188"/>
      <c r="GQ182" s="188"/>
      <c r="GR182" s="188"/>
      <c r="GS182" s="188"/>
      <c r="GT182" s="188"/>
      <c r="GU182" s="188"/>
      <c r="GV182" s="188"/>
      <c r="GW182" s="188"/>
      <c r="GX182" s="188"/>
      <c r="GY182" s="188"/>
      <c r="GZ182" s="188"/>
      <c r="HA182" s="189"/>
      <c r="HB182" s="187"/>
      <c r="HC182" s="188"/>
      <c r="HD182" s="188"/>
      <c r="HE182" s="188"/>
      <c r="HF182" s="189"/>
      <c r="JJ182" s="19"/>
      <c r="JP182" s="155"/>
      <c r="JT182" s="16"/>
      <c r="JW182" s="187"/>
      <c r="JX182" s="188"/>
      <c r="JY182" s="188"/>
      <c r="JZ182" s="188"/>
      <c r="KA182" s="188"/>
      <c r="KB182" s="188"/>
      <c r="KC182" s="188"/>
      <c r="KD182" s="188"/>
      <c r="KE182" s="188"/>
      <c r="KF182" s="188"/>
      <c r="KG182" s="188"/>
      <c r="KH182" s="188"/>
      <c r="KI182" s="188"/>
      <c r="KJ182" s="188"/>
      <c r="KK182" s="188"/>
      <c r="KL182" s="188"/>
      <c r="KM182" s="188"/>
      <c r="KN182" s="188"/>
      <c r="KO182" s="188"/>
      <c r="KP182" s="188"/>
      <c r="KQ182" s="188"/>
      <c r="KR182" s="188"/>
      <c r="KS182" s="188"/>
      <c r="KT182" s="188"/>
      <c r="KU182" s="188"/>
      <c r="KV182" s="188"/>
      <c r="KW182" s="188"/>
      <c r="KX182" s="188"/>
      <c r="KY182" s="188"/>
      <c r="KZ182" s="188"/>
      <c r="LA182" s="188"/>
      <c r="LB182" s="188"/>
      <c r="LC182" s="188"/>
      <c r="LD182" s="188"/>
      <c r="LE182" s="188"/>
      <c r="LF182" s="188"/>
      <c r="LG182" s="188"/>
      <c r="LH182" s="188"/>
      <c r="LI182" s="188"/>
      <c r="LJ182" s="188"/>
      <c r="LK182" s="189"/>
      <c r="LL182" s="187"/>
      <c r="LM182" s="188"/>
      <c r="LN182" s="188"/>
      <c r="LO182" s="188"/>
      <c r="LP182" s="189"/>
      <c r="LY182" s="12"/>
      <c r="LZ182" s="7"/>
    </row>
    <row r="183" spans="3:362" ht="5.0999999999999996" customHeight="1" x14ac:dyDescent="0.3">
      <c r="C183" s="11"/>
      <c r="D183" s="13"/>
      <c r="Q183" s="187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  <c r="BE183" s="189"/>
      <c r="BF183" s="187"/>
      <c r="BG183" s="188"/>
      <c r="BH183" s="188"/>
      <c r="BI183" s="188"/>
      <c r="BJ183" s="189"/>
      <c r="FN183" s="187"/>
      <c r="FO183" s="188"/>
      <c r="FP183" s="188"/>
      <c r="FQ183" s="188"/>
      <c r="FR183" s="188"/>
      <c r="FS183" s="188"/>
      <c r="FT183" s="188"/>
      <c r="FU183" s="188"/>
      <c r="FV183" s="188"/>
      <c r="FW183" s="188"/>
      <c r="FX183" s="188"/>
      <c r="FY183" s="188"/>
      <c r="FZ183" s="188"/>
      <c r="GA183" s="188"/>
      <c r="GB183" s="188"/>
      <c r="GC183" s="188"/>
      <c r="GD183" s="188"/>
      <c r="GE183" s="188"/>
      <c r="GF183" s="188"/>
      <c r="GG183" s="188"/>
      <c r="GH183" s="188"/>
      <c r="GI183" s="188"/>
      <c r="GJ183" s="188"/>
      <c r="GK183" s="188"/>
      <c r="GL183" s="188"/>
      <c r="GM183" s="188"/>
      <c r="GN183" s="188"/>
      <c r="GO183" s="188"/>
      <c r="GP183" s="188"/>
      <c r="GQ183" s="188"/>
      <c r="GR183" s="188"/>
      <c r="GS183" s="188"/>
      <c r="GT183" s="188"/>
      <c r="GU183" s="188"/>
      <c r="GV183" s="188"/>
      <c r="GW183" s="188"/>
      <c r="GX183" s="188"/>
      <c r="GY183" s="188"/>
      <c r="GZ183" s="188"/>
      <c r="HA183" s="189"/>
      <c r="HB183" s="187"/>
      <c r="HC183" s="188"/>
      <c r="HD183" s="188"/>
      <c r="HE183" s="188"/>
      <c r="HF183" s="189"/>
      <c r="HP183" s="195" t="s">
        <v>38</v>
      </c>
      <c r="HQ183" s="196"/>
      <c r="HR183" s="196"/>
      <c r="HS183" s="196"/>
      <c r="HT183" s="196"/>
      <c r="HU183" s="196"/>
      <c r="HV183" s="196"/>
      <c r="HW183" s="196"/>
      <c r="HX183" s="196"/>
      <c r="HY183" s="196"/>
      <c r="HZ183" s="196"/>
      <c r="IA183" s="196"/>
      <c r="IB183" s="196"/>
      <c r="IC183" s="196"/>
      <c r="ID183" s="196"/>
      <c r="IE183" s="196"/>
      <c r="IF183" s="196"/>
      <c r="IG183" s="196"/>
      <c r="IH183" s="196"/>
      <c r="II183" s="196"/>
      <c r="IJ183" s="196"/>
      <c r="IK183" s="196"/>
      <c r="IL183" s="196"/>
      <c r="IM183" s="196"/>
      <c r="IN183" s="196"/>
      <c r="IO183" s="196"/>
      <c r="IP183" s="196"/>
      <c r="IQ183" s="196"/>
      <c r="IR183" s="196"/>
      <c r="IS183" s="196"/>
      <c r="IT183" s="196"/>
      <c r="IU183" s="196"/>
      <c r="IV183" s="196"/>
      <c r="IW183" s="196"/>
      <c r="IX183" s="196"/>
      <c r="IY183" s="196"/>
      <c r="IZ183" s="196"/>
      <c r="JA183" s="196"/>
      <c r="JB183" s="196"/>
      <c r="JC183" s="197"/>
      <c r="JD183" s="204">
        <v>1</v>
      </c>
      <c r="JE183" s="204"/>
      <c r="JF183" s="204"/>
      <c r="JG183" s="204"/>
      <c r="JH183" s="204"/>
      <c r="JI183" s="204"/>
      <c r="JJ183" s="19"/>
      <c r="JP183" s="155"/>
      <c r="JT183" s="16"/>
      <c r="JW183" s="187"/>
      <c r="JX183" s="188"/>
      <c r="JY183" s="188"/>
      <c r="JZ183" s="188"/>
      <c r="KA183" s="188"/>
      <c r="KB183" s="188"/>
      <c r="KC183" s="188"/>
      <c r="KD183" s="188"/>
      <c r="KE183" s="188"/>
      <c r="KF183" s="188"/>
      <c r="KG183" s="188"/>
      <c r="KH183" s="188"/>
      <c r="KI183" s="188"/>
      <c r="KJ183" s="188"/>
      <c r="KK183" s="188"/>
      <c r="KL183" s="188"/>
      <c r="KM183" s="188"/>
      <c r="KN183" s="188"/>
      <c r="KO183" s="188"/>
      <c r="KP183" s="188"/>
      <c r="KQ183" s="188"/>
      <c r="KR183" s="188"/>
      <c r="KS183" s="188"/>
      <c r="KT183" s="188"/>
      <c r="KU183" s="188"/>
      <c r="KV183" s="188"/>
      <c r="KW183" s="188"/>
      <c r="KX183" s="188"/>
      <c r="KY183" s="188"/>
      <c r="KZ183" s="188"/>
      <c r="LA183" s="188"/>
      <c r="LB183" s="188"/>
      <c r="LC183" s="188"/>
      <c r="LD183" s="188"/>
      <c r="LE183" s="188"/>
      <c r="LF183" s="188"/>
      <c r="LG183" s="188"/>
      <c r="LH183" s="188"/>
      <c r="LI183" s="188"/>
      <c r="LJ183" s="188"/>
      <c r="LK183" s="189"/>
      <c r="LL183" s="187"/>
      <c r="LM183" s="188"/>
      <c r="LN183" s="188"/>
      <c r="LO183" s="188"/>
      <c r="LP183" s="189"/>
      <c r="LY183" s="12"/>
      <c r="LZ183" s="7"/>
    </row>
    <row r="184" spans="3:362" ht="5.0999999999999996" customHeight="1" x14ac:dyDescent="0.3">
      <c r="C184" s="11"/>
      <c r="D184" s="13"/>
      <c r="Q184" s="187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  <c r="BD184" s="188"/>
      <c r="BE184" s="189"/>
      <c r="BF184" s="187"/>
      <c r="BG184" s="188"/>
      <c r="BH184" s="188"/>
      <c r="BI184" s="188"/>
      <c r="BJ184" s="189"/>
      <c r="FN184" s="187"/>
      <c r="FO184" s="188"/>
      <c r="FP184" s="188"/>
      <c r="FQ184" s="188"/>
      <c r="FR184" s="188"/>
      <c r="FS184" s="188"/>
      <c r="FT184" s="188"/>
      <c r="FU184" s="188"/>
      <c r="FV184" s="188"/>
      <c r="FW184" s="188"/>
      <c r="FX184" s="188"/>
      <c r="FY184" s="188"/>
      <c r="FZ184" s="188"/>
      <c r="GA184" s="188"/>
      <c r="GB184" s="188"/>
      <c r="GC184" s="188"/>
      <c r="GD184" s="188"/>
      <c r="GE184" s="188"/>
      <c r="GF184" s="188"/>
      <c r="GG184" s="188"/>
      <c r="GH184" s="188"/>
      <c r="GI184" s="188"/>
      <c r="GJ184" s="188"/>
      <c r="GK184" s="188"/>
      <c r="GL184" s="188"/>
      <c r="GM184" s="188"/>
      <c r="GN184" s="188"/>
      <c r="GO184" s="188"/>
      <c r="GP184" s="188"/>
      <c r="GQ184" s="188"/>
      <c r="GR184" s="188"/>
      <c r="GS184" s="188"/>
      <c r="GT184" s="188"/>
      <c r="GU184" s="188"/>
      <c r="GV184" s="188"/>
      <c r="GW184" s="188"/>
      <c r="GX184" s="188"/>
      <c r="GY184" s="188"/>
      <c r="GZ184" s="188"/>
      <c r="HA184" s="189"/>
      <c r="HB184" s="187"/>
      <c r="HC184" s="188"/>
      <c r="HD184" s="188"/>
      <c r="HE184" s="188"/>
      <c r="HF184" s="189"/>
      <c r="HP184" s="198"/>
      <c r="HQ184" s="199"/>
      <c r="HR184" s="199"/>
      <c r="HS184" s="199"/>
      <c r="HT184" s="199"/>
      <c r="HU184" s="199"/>
      <c r="HV184" s="199"/>
      <c r="HW184" s="199"/>
      <c r="HX184" s="199"/>
      <c r="HY184" s="199"/>
      <c r="HZ184" s="199"/>
      <c r="IA184" s="199"/>
      <c r="IB184" s="199"/>
      <c r="IC184" s="199"/>
      <c r="ID184" s="199"/>
      <c r="IE184" s="199"/>
      <c r="IF184" s="199"/>
      <c r="IG184" s="199"/>
      <c r="IH184" s="199"/>
      <c r="II184" s="199"/>
      <c r="IJ184" s="199"/>
      <c r="IK184" s="199"/>
      <c r="IL184" s="199"/>
      <c r="IM184" s="199"/>
      <c r="IN184" s="199"/>
      <c r="IO184" s="199"/>
      <c r="IP184" s="199"/>
      <c r="IQ184" s="199"/>
      <c r="IR184" s="199"/>
      <c r="IS184" s="199"/>
      <c r="IT184" s="199"/>
      <c r="IU184" s="199"/>
      <c r="IV184" s="199"/>
      <c r="IW184" s="199"/>
      <c r="IX184" s="199"/>
      <c r="IY184" s="199"/>
      <c r="IZ184" s="199"/>
      <c r="JA184" s="199"/>
      <c r="JB184" s="199"/>
      <c r="JC184" s="200"/>
      <c r="JD184" s="204"/>
      <c r="JE184" s="204"/>
      <c r="JF184" s="204"/>
      <c r="JG184" s="204"/>
      <c r="JH184" s="204"/>
      <c r="JI184" s="204"/>
      <c r="JJ184" s="19"/>
      <c r="JP184" s="155"/>
      <c r="JT184" s="16"/>
      <c r="JW184" s="187"/>
      <c r="JX184" s="188"/>
      <c r="JY184" s="188"/>
      <c r="JZ184" s="188"/>
      <c r="KA184" s="188"/>
      <c r="KB184" s="188"/>
      <c r="KC184" s="188"/>
      <c r="KD184" s="188"/>
      <c r="KE184" s="188"/>
      <c r="KF184" s="188"/>
      <c r="KG184" s="188"/>
      <c r="KH184" s="188"/>
      <c r="KI184" s="188"/>
      <c r="KJ184" s="188"/>
      <c r="KK184" s="188"/>
      <c r="KL184" s="188"/>
      <c r="KM184" s="188"/>
      <c r="KN184" s="188"/>
      <c r="KO184" s="188"/>
      <c r="KP184" s="188"/>
      <c r="KQ184" s="188"/>
      <c r="KR184" s="188"/>
      <c r="KS184" s="188"/>
      <c r="KT184" s="188"/>
      <c r="KU184" s="188"/>
      <c r="KV184" s="188"/>
      <c r="KW184" s="188"/>
      <c r="KX184" s="188"/>
      <c r="KY184" s="188"/>
      <c r="KZ184" s="188"/>
      <c r="LA184" s="188"/>
      <c r="LB184" s="188"/>
      <c r="LC184" s="188"/>
      <c r="LD184" s="188"/>
      <c r="LE184" s="188"/>
      <c r="LF184" s="188"/>
      <c r="LG184" s="188"/>
      <c r="LH184" s="188"/>
      <c r="LI184" s="188"/>
      <c r="LJ184" s="188"/>
      <c r="LK184" s="189"/>
      <c r="LL184" s="187"/>
      <c r="LM184" s="188"/>
      <c r="LN184" s="188"/>
      <c r="LO184" s="188"/>
      <c r="LP184" s="189"/>
      <c r="LY184" s="12"/>
      <c r="LZ184" s="7"/>
    </row>
    <row r="185" spans="3:362" ht="5.0999999999999996" customHeight="1" x14ac:dyDescent="0.3">
      <c r="C185" s="11"/>
      <c r="D185" s="13"/>
      <c r="Q185" s="187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  <c r="BD185" s="188"/>
      <c r="BE185" s="189"/>
      <c r="BF185" s="187"/>
      <c r="BG185" s="188"/>
      <c r="BH185" s="188"/>
      <c r="BI185" s="188"/>
      <c r="BJ185" s="189"/>
      <c r="FN185" s="187"/>
      <c r="FO185" s="188"/>
      <c r="FP185" s="188"/>
      <c r="FQ185" s="188"/>
      <c r="FR185" s="188"/>
      <c r="FS185" s="188"/>
      <c r="FT185" s="188"/>
      <c r="FU185" s="188"/>
      <c r="FV185" s="188"/>
      <c r="FW185" s="188"/>
      <c r="FX185" s="188"/>
      <c r="FY185" s="188"/>
      <c r="FZ185" s="188"/>
      <c r="GA185" s="188"/>
      <c r="GB185" s="188"/>
      <c r="GC185" s="188"/>
      <c r="GD185" s="188"/>
      <c r="GE185" s="188"/>
      <c r="GF185" s="188"/>
      <c r="GG185" s="188"/>
      <c r="GH185" s="188"/>
      <c r="GI185" s="188"/>
      <c r="GJ185" s="188"/>
      <c r="GK185" s="188"/>
      <c r="GL185" s="188"/>
      <c r="GM185" s="188"/>
      <c r="GN185" s="188"/>
      <c r="GO185" s="188"/>
      <c r="GP185" s="188"/>
      <c r="GQ185" s="188"/>
      <c r="GR185" s="188"/>
      <c r="GS185" s="188"/>
      <c r="GT185" s="188"/>
      <c r="GU185" s="188"/>
      <c r="GV185" s="188"/>
      <c r="GW185" s="188"/>
      <c r="GX185" s="188"/>
      <c r="GY185" s="188"/>
      <c r="GZ185" s="188"/>
      <c r="HA185" s="189"/>
      <c r="HB185" s="187"/>
      <c r="HC185" s="188"/>
      <c r="HD185" s="188"/>
      <c r="HE185" s="188"/>
      <c r="HF185" s="189"/>
      <c r="HP185" s="198"/>
      <c r="HQ185" s="199"/>
      <c r="HR185" s="199"/>
      <c r="HS185" s="199"/>
      <c r="HT185" s="199"/>
      <c r="HU185" s="199"/>
      <c r="HV185" s="199"/>
      <c r="HW185" s="199"/>
      <c r="HX185" s="199"/>
      <c r="HY185" s="199"/>
      <c r="HZ185" s="199"/>
      <c r="IA185" s="199"/>
      <c r="IB185" s="199"/>
      <c r="IC185" s="199"/>
      <c r="ID185" s="199"/>
      <c r="IE185" s="199"/>
      <c r="IF185" s="199"/>
      <c r="IG185" s="199"/>
      <c r="IH185" s="199"/>
      <c r="II185" s="199"/>
      <c r="IJ185" s="199"/>
      <c r="IK185" s="199"/>
      <c r="IL185" s="199"/>
      <c r="IM185" s="199"/>
      <c r="IN185" s="199"/>
      <c r="IO185" s="199"/>
      <c r="IP185" s="199"/>
      <c r="IQ185" s="199"/>
      <c r="IR185" s="199"/>
      <c r="IS185" s="199"/>
      <c r="IT185" s="199"/>
      <c r="IU185" s="199"/>
      <c r="IV185" s="199"/>
      <c r="IW185" s="199"/>
      <c r="IX185" s="199"/>
      <c r="IY185" s="199"/>
      <c r="IZ185" s="199"/>
      <c r="JA185" s="199"/>
      <c r="JB185" s="199"/>
      <c r="JC185" s="200"/>
      <c r="JD185" s="204"/>
      <c r="JE185" s="204"/>
      <c r="JF185" s="204"/>
      <c r="JG185" s="204"/>
      <c r="JH185" s="204"/>
      <c r="JI185" s="204"/>
      <c r="JJ185" s="19"/>
      <c r="JP185" s="155"/>
      <c r="JT185" s="16"/>
      <c r="JW185" s="187"/>
      <c r="JX185" s="188"/>
      <c r="JY185" s="188"/>
      <c r="JZ185" s="188"/>
      <c r="KA185" s="188"/>
      <c r="KB185" s="188"/>
      <c r="KC185" s="188"/>
      <c r="KD185" s="188"/>
      <c r="KE185" s="188"/>
      <c r="KF185" s="188"/>
      <c r="KG185" s="188"/>
      <c r="KH185" s="188"/>
      <c r="KI185" s="188"/>
      <c r="KJ185" s="188"/>
      <c r="KK185" s="188"/>
      <c r="KL185" s="188"/>
      <c r="KM185" s="188"/>
      <c r="KN185" s="188"/>
      <c r="KO185" s="188"/>
      <c r="KP185" s="188"/>
      <c r="KQ185" s="188"/>
      <c r="KR185" s="188"/>
      <c r="KS185" s="188"/>
      <c r="KT185" s="188"/>
      <c r="KU185" s="188"/>
      <c r="KV185" s="188"/>
      <c r="KW185" s="188"/>
      <c r="KX185" s="188"/>
      <c r="KY185" s="188"/>
      <c r="KZ185" s="188"/>
      <c r="LA185" s="188"/>
      <c r="LB185" s="188"/>
      <c r="LC185" s="188"/>
      <c r="LD185" s="188"/>
      <c r="LE185" s="188"/>
      <c r="LF185" s="188"/>
      <c r="LG185" s="188"/>
      <c r="LH185" s="188"/>
      <c r="LI185" s="188"/>
      <c r="LJ185" s="188"/>
      <c r="LK185" s="189"/>
      <c r="LL185" s="187"/>
      <c r="LM185" s="188"/>
      <c r="LN185" s="188"/>
      <c r="LO185" s="188"/>
      <c r="LP185" s="189"/>
      <c r="LY185" s="12"/>
      <c r="LZ185" s="7"/>
      <c r="MA185" s="3"/>
      <c r="MB185" s="3"/>
      <c r="MC185" s="3"/>
      <c r="MD185" s="3"/>
      <c r="ME185" s="2"/>
      <c r="MS185" s="3"/>
      <c r="MT185" s="3"/>
      <c r="MU185" s="3"/>
      <c r="MV185" s="3"/>
      <c r="MW185" s="3"/>
      <c r="MX185" s="2"/>
    </row>
    <row r="186" spans="3:362" ht="5.0999999999999996" customHeight="1" x14ac:dyDescent="0.3">
      <c r="C186" s="11"/>
      <c r="D186" s="13"/>
      <c r="Q186" s="187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  <c r="BD186" s="188"/>
      <c r="BE186" s="189"/>
      <c r="BF186" s="187"/>
      <c r="BG186" s="188"/>
      <c r="BH186" s="188"/>
      <c r="BI186" s="188"/>
      <c r="BJ186" s="189"/>
      <c r="FN186" s="187"/>
      <c r="FO186" s="188"/>
      <c r="FP186" s="188"/>
      <c r="FQ186" s="188"/>
      <c r="FR186" s="188"/>
      <c r="FS186" s="188"/>
      <c r="FT186" s="188"/>
      <c r="FU186" s="188"/>
      <c r="FV186" s="188"/>
      <c r="FW186" s="188"/>
      <c r="FX186" s="188"/>
      <c r="FY186" s="188"/>
      <c r="FZ186" s="188"/>
      <c r="GA186" s="188"/>
      <c r="GB186" s="188"/>
      <c r="GC186" s="188"/>
      <c r="GD186" s="188"/>
      <c r="GE186" s="188"/>
      <c r="GF186" s="188"/>
      <c r="GG186" s="188"/>
      <c r="GH186" s="188"/>
      <c r="GI186" s="188"/>
      <c r="GJ186" s="188"/>
      <c r="GK186" s="188"/>
      <c r="GL186" s="188"/>
      <c r="GM186" s="188"/>
      <c r="GN186" s="188"/>
      <c r="GO186" s="188"/>
      <c r="GP186" s="188"/>
      <c r="GQ186" s="188"/>
      <c r="GR186" s="188"/>
      <c r="GS186" s="188"/>
      <c r="GT186" s="188"/>
      <c r="GU186" s="188"/>
      <c r="GV186" s="188"/>
      <c r="GW186" s="188"/>
      <c r="GX186" s="188"/>
      <c r="GY186" s="188"/>
      <c r="GZ186" s="188"/>
      <c r="HA186" s="189"/>
      <c r="HB186" s="187"/>
      <c r="HC186" s="188"/>
      <c r="HD186" s="188"/>
      <c r="HE186" s="188"/>
      <c r="HF186" s="189"/>
      <c r="HP186" s="198"/>
      <c r="HQ186" s="199"/>
      <c r="HR186" s="199"/>
      <c r="HS186" s="199"/>
      <c r="HT186" s="199"/>
      <c r="HU186" s="199"/>
      <c r="HV186" s="199"/>
      <c r="HW186" s="199"/>
      <c r="HX186" s="199"/>
      <c r="HY186" s="199"/>
      <c r="HZ186" s="199"/>
      <c r="IA186" s="199"/>
      <c r="IB186" s="199"/>
      <c r="IC186" s="199"/>
      <c r="ID186" s="199"/>
      <c r="IE186" s="199"/>
      <c r="IF186" s="199"/>
      <c r="IG186" s="199"/>
      <c r="IH186" s="199"/>
      <c r="II186" s="199"/>
      <c r="IJ186" s="199"/>
      <c r="IK186" s="199"/>
      <c r="IL186" s="199"/>
      <c r="IM186" s="199"/>
      <c r="IN186" s="199"/>
      <c r="IO186" s="199"/>
      <c r="IP186" s="199"/>
      <c r="IQ186" s="199"/>
      <c r="IR186" s="199"/>
      <c r="IS186" s="199"/>
      <c r="IT186" s="199"/>
      <c r="IU186" s="199"/>
      <c r="IV186" s="199"/>
      <c r="IW186" s="199"/>
      <c r="IX186" s="199"/>
      <c r="IY186" s="199"/>
      <c r="IZ186" s="199"/>
      <c r="JA186" s="199"/>
      <c r="JB186" s="199"/>
      <c r="JC186" s="200"/>
      <c r="JD186" s="204"/>
      <c r="JE186" s="204"/>
      <c r="JF186" s="204"/>
      <c r="JG186" s="204"/>
      <c r="JH186" s="204"/>
      <c r="JI186" s="204"/>
      <c r="JJ186" s="19"/>
      <c r="JP186" s="155"/>
      <c r="JT186" s="16"/>
      <c r="JW186" s="187"/>
      <c r="JX186" s="188"/>
      <c r="JY186" s="188"/>
      <c r="JZ186" s="188"/>
      <c r="KA186" s="188"/>
      <c r="KB186" s="188"/>
      <c r="KC186" s="188"/>
      <c r="KD186" s="188"/>
      <c r="KE186" s="188"/>
      <c r="KF186" s="188"/>
      <c r="KG186" s="188"/>
      <c r="KH186" s="188"/>
      <c r="KI186" s="188"/>
      <c r="KJ186" s="188"/>
      <c r="KK186" s="188"/>
      <c r="KL186" s="188"/>
      <c r="KM186" s="188"/>
      <c r="KN186" s="188"/>
      <c r="KO186" s="188"/>
      <c r="KP186" s="188"/>
      <c r="KQ186" s="188"/>
      <c r="KR186" s="188"/>
      <c r="KS186" s="188"/>
      <c r="KT186" s="188"/>
      <c r="KU186" s="188"/>
      <c r="KV186" s="188"/>
      <c r="KW186" s="188"/>
      <c r="KX186" s="188"/>
      <c r="KY186" s="188"/>
      <c r="KZ186" s="188"/>
      <c r="LA186" s="188"/>
      <c r="LB186" s="188"/>
      <c r="LC186" s="188"/>
      <c r="LD186" s="188"/>
      <c r="LE186" s="188"/>
      <c r="LF186" s="188"/>
      <c r="LG186" s="188"/>
      <c r="LH186" s="188"/>
      <c r="LI186" s="188"/>
      <c r="LJ186" s="188"/>
      <c r="LK186" s="189"/>
      <c r="LL186" s="187"/>
      <c r="LM186" s="188"/>
      <c r="LN186" s="188"/>
      <c r="LO186" s="188"/>
      <c r="LP186" s="189"/>
      <c r="LY186" s="12"/>
      <c r="LZ186" s="7"/>
      <c r="MA186" s="3"/>
      <c r="MB186" s="3"/>
      <c r="MC186" s="3"/>
      <c r="MD186" s="3"/>
      <c r="ME186" s="2"/>
      <c r="MS186" s="3"/>
      <c r="MT186" s="3"/>
      <c r="MU186" s="3"/>
      <c r="MV186" s="3"/>
      <c r="MW186" s="3"/>
      <c r="MX186" s="2"/>
    </row>
    <row r="187" spans="3:362" ht="3.75" customHeight="1" x14ac:dyDescent="0.3">
      <c r="C187" s="11"/>
      <c r="D187" s="13"/>
      <c r="Q187" s="187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  <c r="BD187" s="188"/>
      <c r="BE187" s="189"/>
      <c r="BF187" s="187"/>
      <c r="BG187" s="188"/>
      <c r="BH187" s="188"/>
      <c r="BI187" s="188"/>
      <c r="BJ187" s="189"/>
      <c r="FN187" s="187"/>
      <c r="FO187" s="188"/>
      <c r="FP187" s="188"/>
      <c r="FQ187" s="188"/>
      <c r="FR187" s="188"/>
      <c r="FS187" s="188"/>
      <c r="FT187" s="188"/>
      <c r="FU187" s="188"/>
      <c r="FV187" s="188"/>
      <c r="FW187" s="188"/>
      <c r="FX187" s="188"/>
      <c r="FY187" s="188"/>
      <c r="FZ187" s="188"/>
      <c r="GA187" s="188"/>
      <c r="GB187" s="188"/>
      <c r="GC187" s="188"/>
      <c r="GD187" s="188"/>
      <c r="GE187" s="188"/>
      <c r="GF187" s="188"/>
      <c r="GG187" s="188"/>
      <c r="GH187" s="188"/>
      <c r="GI187" s="188"/>
      <c r="GJ187" s="188"/>
      <c r="GK187" s="188"/>
      <c r="GL187" s="188"/>
      <c r="GM187" s="188"/>
      <c r="GN187" s="188"/>
      <c r="GO187" s="188"/>
      <c r="GP187" s="188"/>
      <c r="GQ187" s="188"/>
      <c r="GR187" s="188"/>
      <c r="GS187" s="188"/>
      <c r="GT187" s="188"/>
      <c r="GU187" s="188"/>
      <c r="GV187" s="188"/>
      <c r="GW187" s="188"/>
      <c r="GX187" s="188"/>
      <c r="GY187" s="188"/>
      <c r="GZ187" s="188"/>
      <c r="HA187" s="189"/>
      <c r="HB187" s="187"/>
      <c r="HC187" s="188"/>
      <c r="HD187" s="188"/>
      <c r="HE187" s="188"/>
      <c r="HF187" s="189"/>
      <c r="HP187" s="198"/>
      <c r="HQ187" s="199"/>
      <c r="HR187" s="199"/>
      <c r="HS187" s="199"/>
      <c r="HT187" s="199"/>
      <c r="HU187" s="199"/>
      <c r="HV187" s="199"/>
      <c r="HW187" s="199"/>
      <c r="HX187" s="199"/>
      <c r="HY187" s="199"/>
      <c r="HZ187" s="199"/>
      <c r="IA187" s="199"/>
      <c r="IB187" s="199"/>
      <c r="IC187" s="199"/>
      <c r="ID187" s="199"/>
      <c r="IE187" s="199"/>
      <c r="IF187" s="199"/>
      <c r="IG187" s="199"/>
      <c r="IH187" s="199"/>
      <c r="II187" s="199"/>
      <c r="IJ187" s="199"/>
      <c r="IK187" s="199"/>
      <c r="IL187" s="199"/>
      <c r="IM187" s="199"/>
      <c r="IN187" s="199"/>
      <c r="IO187" s="199"/>
      <c r="IP187" s="199"/>
      <c r="IQ187" s="199"/>
      <c r="IR187" s="199"/>
      <c r="IS187" s="199"/>
      <c r="IT187" s="199"/>
      <c r="IU187" s="199"/>
      <c r="IV187" s="199"/>
      <c r="IW187" s="199"/>
      <c r="IX187" s="199"/>
      <c r="IY187" s="199"/>
      <c r="IZ187" s="199"/>
      <c r="JA187" s="199"/>
      <c r="JB187" s="199"/>
      <c r="JC187" s="200"/>
      <c r="JD187" s="204"/>
      <c r="JE187" s="204"/>
      <c r="JF187" s="204"/>
      <c r="JG187" s="204"/>
      <c r="JH187" s="204"/>
      <c r="JI187" s="204"/>
      <c r="JJ187" s="19"/>
      <c r="JP187" s="155"/>
      <c r="JT187" s="16"/>
      <c r="JW187" s="187"/>
      <c r="JX187" s="188"/>
      <c r="JY187" s="188"/>
      <c r="JZ187" s="188"/>
      <c r="KA187" s="188"/>
      <c r="KB187" s="188"/>
      <c r="KC187" s="188"/>
      <c r="KD187" s="188"/>
      <c r="KE187" s="188"/>
      <c r="KF187" s="188"/>
      <c r="KG187" s="188"/>
      <c r="KH187" s="188"/>
      <c r="KI187" s="188"/>
      <c r="KJ187" s="188"/>
      <c r="KK187" s="188"/>
      <c r="KL187" s="188"/>
      <c r="KM187" s="188"/>
      <c r="KN187" s="188"/>
      <c r="KO187" s="188"/>
      <c r="KP187" s="188"/>
      <c r="KQ187" s="188"/>
      <c r="KR187" s="188"/>
      <c r="KS187" s="188"/>
      <c r="KT187" s="188"/>
      <c r="KU187" s="188"/>
      <c r="KV187" s="188"/>
      <c r="KW187" s="188"/>
      <c r="KX187" s="188"/>
      <c r="KY187" s="188"/>
      <c r="KZ187" s="188"/>
      <c r="LA187" s="188"/>
      <c r="LB187" s="188"/>
      <c r="LC187" s="188"/>
      <c r="LD187" s="188"/>
      <c r="LE187" s="188"/>
      <c r="LF187" s="188"/>
      <c r="LG187" s="188"/>
      <c r="LH187" s="188"/>
      <c r="LI187" s="188"/>
      <c r="LJ187" s="188"/>
      <c r="LK187" s="189"/>
      <c r="LL187" s="187"/>
      <c r="LM187" s="188"/>
      <c r="LN187" s="188"/>
      <c r="LO187" s="188"/>
      <c r="LP187" s="189"/>
      <c r="LY187" s="12"/>
      <c r="LZ187" s="7"/>
      <c r="MA187" s="3"/>
      <c r="MB187" s="3"/>
      <c r="MC187" s="3"/>
      <c r="MD187" s="3"/>
      <c r="ME187" s="2"/>
      <c r="MS187" s="3"/>
      <c r="MT187" s="3"/>
      <c r="MU187" s="3"/>
      <c r="MV187" s="3"/>
      <c r="MW187" s="3"/>
      <c r="MX187" s="2"/>
    </row>
    <row r="188" spans="3:362" ht="5.0999999999999996" customHeight="1" x14ac:dyDescent="0.3">
      <c r="C188" s="11"/>
      <c r="D188" s="13"/>
      <c r="Q188" s="187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  <c r="BD188" s="188"/>
      <c r="BE188" s="189"/>
      <c r="BF188" s="187"/>
      <c r="BG188" s="188"/>
      <c r="BH188" s="188"/>
      <c r="BI188" s="188"/>
      <c r="BJ188" s="189"/>
      <c r="FN188" s="187"/>
      <c r="FO188" s="188"/>
      <c r="FP188" s="188"/>
      <c r="FQ188" s="188"/>
      <c r="FR188" s="188"/>
      <c r="FS188" s="188"/>
      <c r="FT188" s="188"/>
      <c r="FU188" s="188"/>
      <c r="FV188" s="188"/>
      <c r="FW188" s="188"/>
      <c r="FX188" s="188"/>
      <c r="FY188" s="188"/>
      <c r="FZ188" s="188"/>
      <c r="GA188" s="188"/>
      <c r="GB188" s="188"/>
      <c r="GC188" s="188"/>
      <c r="GD188" s="188"/>
      <c r="GE188" s="188"/>
      <c r="GF188" s="188"/>
      <c r="GG188" s="188"/>
      <c r="GH188" s="188"/>
      <c r="GI188" s="188"/>
      <c r="GJ188" s="188"/>
      <c r="GK188" s="188"/>
      <c r="GL188" s="188"/>
      <c r="GM188" s="188"/>
      <c r="GN188" s="188"/>
      <c r="GO188" s="188"/>
      <c r="GP188" s="188"/>
      <c r="GQ188" s="188"/>
      <c r="GR188" s="188"/>
      <c r="GS188" s="188"/>
      <c r="GT188" s="188"/>
      <c r="GU188" s="188"/>
      <c r="GV188" s="188"/>
      <c r="GW188" s="188"/>
      <c r="GX188" s="188"/>
      <c r="GY188" s="188"/>
      <c r="GZ188" s="188"/>
      <c r="HA188" s="189"/>
      <c r="HB188" s="187"/>
      <c r="HC188" s="188"/>
      <c r="HD188" s="188"/>
      <c r="HE188" s="188"/>
      <c r="HF188" s="189"/>
      <c r="HP188" s="198"/>
      <c r="HQ188" s="199"/>
      <c r="HR188" s="199"/>
      <c r="HS188" s="199"/>
      <c r="HT188" s="199"/>
      <c r="HU188" s="199"/>
      <c r="HV188" s="199"/>
      <c r="HW188" s="199"/>
      <c r="HX188" s="199"/>
      <c r="HY188" s="199"/>
      <c r="HZ188" s="199"/>
      <c r="IA188" s="199"/>
      <c r="IB188" s="199"/>
      <c r="IC188" s="199"/>
      <c r="ID188" s="199"/>
      <c r="IE188" s="199"/>
      <c r="IF188" s="199"/>
      <c r="IG188" s="199"/>
      <c r="IH188" s="199"/>
      <c r="II188" s="199"/>
      <c r="IJ188" s="199"/>
      <c r="IK188" s="199"/>
      <c r="IL188" s="199"/>
      <c r="IM188" s="199"/>
      <c r="IN188" s="199"/>
      <c r="IO188" s="199"/>
      <c r="IP188" s="199"/>
      <c r="IQ188" s="199"/>
      <c r="IR188" s="199"/>
      <c r="IS188" s="199"/>
      <c r="IT188" s="199"/>
      <c r="IU188" s="199"/>
      <c r="IV188" s="199"/>
      <c r="IW188" s="199"/>
      <c r="IX188" s="199"/>
      <c r="IY188" s="199"/>
      <c r="IZ188" s="199"/>
      <c r="JA188" s="199"/>
      <c r="JB188" s="199"/>
      <c r="JC188" s="200"/>
      <c r="JD188" s="204"/>
      <c r="JE188" s="204"/>
      <c r="JF188" s="204"/>
      <c r="JG188" s="204"/>
      <c r="JH188" s="204"/>
      <c r="JI188" s="204"/>
      <c r="JJ188" s="19"/>
      <c r="JP188" s="155"/>
      <c r="JT188" s="16"/>
      <c r="JW188" s="187"/>
      <c r="JX188" s="188"/>
      <c r="JY188" s="188"/>
      <c r="JZ188" s="188"/>
      <c r="KA188" s="188"/>
      <c r="KB188" s="188"/>
      <c r="KC188" s="188"/>
      <c r="KD188" s="188"/>
      <c r="KE188" s="188"/>
      <c r="KF188" s="188"/>
      <c r="KG188" s="188"/>
      <c r="KH188" s="188"/>
      <c r="KI188" s="188"/>
      <c r="KJ188" s="188"/>
      <c r="KK188" s="188"/>
      <c r="KL188" s="188"/>
      <c r="KM188" s="188"/>
      <c r="KN188" s="188"/>
      <c r="KO188" s="188"/>
      <c r="KP188" s="188"/>
      <c r="KQ188" s="188"/>
      <c r="KR188" s="188"/>
      <c r="KS188" s="188"/>
      <c r="KT188" s="188"/>
      <c r="KU188" s="188"/>
      <c r="KV188" s="188"/>
      <c r="KW188" s="188"/>
      <c r="KX188" s="188"/>
      <c r="KY188" s="188"/>
      <c r="KZ188" s="188"/>
      <c r="LA188" s="188"/>
      <c r="LB188" s="188"/>
      <c r="LC188" s="188"/>
      <c r="LD188" s="188"/>
      <c r="LE188" s="188"/>
      <c r="LF188" s="188"/>
      <c r="LG188" s="188"/>
      <c r="LH188" s="188"/>
      <c r="LI188" s="188"/>
      <c r="LJ188" s="188"/>
      <c r="LK188" s="189"/>
      <c r="LL188" s="187"/>
      <c r="LM188" s="188"/>
      <c r="LN188" s="188"/>
      <c r="LO188" s="188"/>
      <c r="LP188" s="189"/>
      <c r="LY188" s="12"/>
      <c r="LZ188" s="7"/>
      <c r="MA188" s="3"/>
      <c r="MB188" s="3"/>
      <c r="MC188" s="3"/>
      <c r="MD188" s="3"/>
      <c r="ME188" s="2"/>
      <c r="MS188" s="3"/>
      <c r="MT188" s="3"/>
      <c r="MU188" s="3"/>
      <c r="MV188" s="3"/>
      <c r="MW188" s="3"/>
      <c r="MX188" s="2"/>
    </row>
    <row r="189" spans="3:362" ht="5.0999999999999996" customHeight="1" x14ac:dyDescent="0.3">
      <c r="C189" s="11"/>
      <c r="D189" s="13"/>
      <c r="Q189" s="187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  <c r="BE189" s="189"/>
      <c r="BF189" s="187"/>
      <c r="BG189" s="188"/>
      <c r="BH189" s="188"/>
      <c r="BI189" s="188"/>
      <c r="BJ189" s="189"/>
      <c r="FN189" s="187"/>
      <c r="FO189" s="188"/>
      <c r="FP189" s="188"/>
      <c r="FQ189" s="188"/>
      <c r="FR189" s="188"/>
      <c r="FS189" s="188"/>
      <c r="FT189" s="188"/>
      <c r="FU189" s="188"/>
      <c r="FV189" s="188"/>
      <c r="FW189" s="188"/>
      <c r="FX189" s="188"/>
      <c r="FY189" s="188"/>
      <c r="FZ189" s="188"/>
      <c r="GA189" s="188"/>
      <c r="GB189" s="188"/>
      <c r="GC189" s="188"/>
      <c r="GD189" s="188"/>
      <c r="GE189" s="188"/>
      <c r="GF189" s="188"/>
      <c r="GG189" s="188"/>
      <c r="GH189" s="188"/>
      <c r="GI189" s="188"/>
      <c r="GJ189" s="188"/>
      <c r="GK189" s="188"/>
      <c r="GL189" s="188"/>
      <c r="GM189" s="188"/>
      <c r="GN189" s="188"/>
      <c r="GO189" s="188"/>
      <c r="GP189" s="188"/>
      <c r="GQ189" s="188"/>
      <c r="GR189" s="188"/>
      <c r="GS189" s="188"/>
      <c r="GT189" s="188"/>
      <c r="GU189" s="188"/>
      <c r="GV189" s="188"/>
      <c r="GW189" s="188"/>
      <c r="GX189" s="188"/>
      <c r="GY189" s="188"/>
      <c r="GZ189" s="188"/>
      <c r="HA189" s="189"/>
      <c r="HB189" s="187"/>
      <c r="HC189" s="188"/>
      <c r="HD189" s="188"/>
      <c r="HE189" s="188"/>
      <c r="HF189" s="189"/>
      <c r="HP189" s="198"/>
      <c r="HQ189" s="199"/>
      <c r="HR189" s="199"/>
      <c r="HS189" s="199"/>
      <c r="HT189" s="199"/>
      <c r="HU189" s="199"/>
      <c r="HV189" s="199"/>
      <c r="HW189" s="199"/>
      <c r="HX189" s="199"/>
      <c r="HY189" s="199"/>
      <c r="HZ189" s="199"/>
      <c r="IA189" s="199"/>
      <c r="IB189" s="199"/>
      <c r="IC189" s="199"/>
      <c r="ID189" s="199"/>
      <c r="IE189" s="199"/>
      <c r="IF189" s="199"/>
      <c r="IG189" s="199"/>
      <c r="IH189" s="199"/>
      <c r="II189" s="199"/>
      <c r="IJ189" s="199"/>
      <c r="IK189" s="199"/>
      <c r="IL189" s="199"/>
      <c r="IM189" s="199"/>
      <c r="IN189" s="199"/>
      <c r="IO189" s="199"/>
      <c r="IP189" s="199"/>
      <c r="IQ189" s="199"/>
      <c r="IR189" s="199"/>
      <c r="IS189" s="199"/>
      <c r="IT189" s="199"/>
      <c r="IU189" s="199"/>
      <c r="IV189" s="199"/>
      <c r="IW189" s="199"/>
      <c r="IX189" s="199"/>
      <c r="IY189" s="199"/>
      <c r="IZ189" s="199"/>
      <c r="JA189" s="199"/>
      <c r="JB189" s="199"/>
      <c r="JC189" s="200"/>
      <c r="JD189" s="204"/>
      <c r="JE189" s="204"/>
      <c r="JF189" s="204"/>
      <c r="JG189" s="204"/>
      <c r="JH189" s="204"/>
      <c r="JI189" s="204"/>
      <c r="JJ189" s="19"/>
      <c r="JP189" s="155"/>
      <c r="JT189" s="16"/>
      <c r="JW189" s="190"/>
      <c r="JX189" s="191"/>
      <c r="JY189" s="191"/>
      <c r="JZ189" s="191"/>
      <c r="KA189" s="191"/>
      <c r="KB189" s="191"/>
      <c r="KC189" s="191"/>
      <c r="KD189" s="191"/>
      <c r="KE189" s="191"/>
      <c r="KF189" s="191"/>
      <c r="KG189" s="191"/>
      <c r="KH189" s="191"/>
      <c r="KI189" s="191"/>
      <c r="KJ189" s="191"/>
      <c r="KK189" s="191"/>
      <c r="KL189" s="191"/>
      <c r="KM189" s="191"/>
      <c r="KN189" s="191"/>
      <c r="KO189" s="191"/>
      <c r="KP189" s="191"/>
      <c r="KQ189" s="191"/>
      <c r="KR189" s="191"/>
      <c r="KS189" s="191"/>
      <c r="KT189" s="191"/>
      <c r="KU189" s="191"/>
      <c r="KV189" s="191"/>
      <c r="KW189" s="191"/>
      <c r="KX189" s="191"/>
      <c r="KY189" s="191"/>
      <c r="KZ189" s="191"/>
      <c r="LA189" s="191"/>
      <c r="LB189" s="191"/>
      <c r="LC189" s="191"/>
      <c r="LD189" s="191"/>
      <c r="LE189" s="191"/>
      <c r="LF189" s="191"/>
      <c r="LG189" s="191"/>
      <c r="LH189" s="191"/>
      <c r="LI189" s="191"/>
      <c r="LJ189" s="191"/>
      <c r="LK189" s="192"/>
      <c r="LL189" s="190"/>
      <c r="LM189" s="191"/>
      <c r="LN189" s="191"/>
      <c r="LO189" s="191"/>
      <c r="LP189" s="192"/>
      <c r="LY189" s="12"/>
      <c r="LZ189" s="7"/>
      <c r="MA189" s="3"/>
      <c r="MB189" s="3"/>
      <c r="MC189" s="3"/>
      <c r="MD189" s="3"/>
      <c r="ME189" s="2"/>
      <c r="MS189" s="3"/>
      <c r="MT189" s="3"/>
      <c r="MU189" s="3"/>
      <c r="MV189" s="3"/>
      <c r="MW189" s="3"/>
      <c r="MX189" s="2"/>
    </row>
    <row r="190" spans="3:362" ht="5.0999999999999996" customHeight="1" x14ac:dyDescent="0.3">
      <c r="C190" s="11"/>
      <c r="D190" s="13"/>
      <c r="Q190" s="190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2"/>
      <c r="BF190" s="190"/>
      <c r="BG190" s="191"/>
      <c r="BH190" s="191"/>
      <c r="BI190" s="191"/>
      <c r="BJ190" s="192"/>
      <c r="FN190" s="190"/>
      <c r="FO190" s="191"/>
      <c r="FP190" s="191"/>
      <c r="FQ190" s="191"/>
      <c r="FR190" s="191"/>
      <c r="FS190" s="191"/>
      <c r="FT190" s="191"/>
      <c r="FU190" s="191"/>
      <c r="FV190" s="191"/>
      <c r="FW190" s="191"/>
      <c r="FX190" s="191"/>
      <c r="FY190" s="191"/>
      <c r="FZ190" s="191"/>
      <c r="GA190" s="191"/>
      <c r="GB190" s="191"/>
      <c r="GC190" s="191"/>
      <c r="GD190" s="191"/>
      <c r="GE190" s="191"/>
      <c r="GF190" s="191"/>
      <c r="GG190" s="191"/>
      <c r="GH190" s="191"/>
      <c r="GI190" s="191"/>
      <c r="GJ190" s="191"/>
      <c r="GK190" s="191"/>
      <c r="GL190" s="191"/>
      <c r="GM190" s="191"/>
      <c r="GN190" s="191"/>
      <c r="GO190" s="191"/>
      <c r="GP190" s="191"/>
      <c r="GQ190" s="191"/>
      <c r="GR190" s="191"/>
      <c r="GS190" s="191"/>
      <c r="GT190" s="191"/>
      <c r="GU190" s="191"/>
      <c r="GV190" s="191"/>
      <c r="GW190" s="191"/>
      <c r="GX190" s="191"/>
      <c r="GY190" s="191"/>
      <c r="GZ190" s="191"/>
      <c r="HA190" s="192"/>
      <c r="HB190" s="190"/>
      <c r="HC190" s="191"/>
      <c r="HD190" s="191"/>
      <c r="HE190" s="191"/>
      <c r="HF190" s="192"/>
      <c r="HP190" s="198"/>
      <c r="HQ190" s="199"/>
      <c r="HR190" s="199"/>
      <c r="HS190" s="199"/>
      <c r="HT190" s="199"/>
      <c r="HU190" s="199"/>
      <c r="HV190" s="199"/>
      <c r="HW190" s="199"/>
      <c r="HX190" s="199"/>
      <c r="HY190" s="199"/>
      <c r="HZ190" s="199"/>
      <c r="IA190" s="199"/>
      <c r="IB190" s="199"/>
      <c r="IC190" s="199"/>
      <c r="ID190" s="199"/>
      <c r="IE190" s="199"/>
      <c r="IF190" s="199"/>
      <c r="IG190" s="199"/>
      <c r="IH190" s="199"/>
      <c r="II190" s="199"/>
      <c r="IJ190" s="199"/>
      <c r="IK190" s="199"/>
      <c r="IL190" s="199"/>
      <c r="IM190" s="199"/>
      <c r="IN190" s="199"/>
      <c r="IO190" s="199"/>
      <c r="IP190" s="199"/>
      <c r="IQ190" s="199"/>
      <c r="IR190" s="199"/>
      <c r="IS190" s="199"/>
      <c r="IT190" s="199"/>
      <c r="IU190" s="199"/>
      <c r="IV190" s="199"/>
      <c r="IW190" s="199"/>
      <c r="IX190" s="199"/>
      <c r="IY190" s="199"/>
      <c r="IZ190" s="199"/>
      <c r="JA190" s="199"/>
      <c r="JB190" s="199"/>
      <c r="JC190" s="200"/>
      <c r="JD190" s="204"/>
      <c r="JE190" s="204"/>
      <c r="JF190" s="204"/>
      <c r="JG190" s="204"/>
      <c r="JH190" s="204"/>
      <c r="JI190" s="204"/>
      <c r="JJ190" s="19"/>
      <c r="JP190" s="155"/>
      <c r="JT190" s="16"/>
      <c r="JW190" s="184" t="s">
        <v>42</v>
      </c>
      <c r="JX190" s="185"/>
      <c r="JY190" s="185"/>
      <c r="JZ190" s="185"/>
      <c r="KA190" s="185"/>
      <c r="KB190" s="185"/>
      <c r="KC190" s="185"/>
      <c r="KD190" s="185"/>
      <c r="KE190" s="185"/>
      <c r="KF190" s="185"/>
      <c r="KG190" s="185"/>
      <c r="KH190" s="185"/>
      <c r="KI190" s="185"/>
      <c r="KJ190" s="185"/>
      <c r="KK190" s="185"/>
      <c r="KL190" s="185"/>
      <c r="KM190" s="185"/>
      <c r="KN190" s="185"/>
      <c r="KO190" s="185"/>
      <c r="KP190" s="185"/>
      <c r="KQ190" s="185"/>
      <c r="KR190" s="185"/>
      <c r="KS190" s="185"/>
      <c r="KT190" s="185"/>
      <c r="KU190" s="185"/>
      <c r="KV190" s="185"/>
      <c r="KW190" s="185"/>
      <c r="KX190" s="185"/>
      <c r="KY190" s="185"/>
      <c r="KZ190" s="185"/>
      <c r="LA190" s="185"/>
      <c r="LB190" s="185"/>
      <c r="LC190" s="185"/>
      <c r="LD190" s="185"/>
      <c r="LE190" s="185"/>
      <c r="LF190" s="185"/>
      <c r="LG190" s="185"/>
      <c r="LH190" s="185"/>
      <c r="LI190" s="185"/>
      <c r="LJ190" s="185"/>
      <c r="LK190" s="186"/>
      <c r="LL190" s="184">
        <v>1</v>
      </c>
      <c r="LM190" s="185"/>
      <c r="LN190" s="185"/>
      <c r="LO190" s="185"/>
      <c r="LP190" s="186"/>
      <c r="LY190" s="12"/>
      <c r="LZ190" s="7"/>
    </row>
    <row r="191" spans="3:362" ht="5.0999999999999996" customHeight="1" x14ac:dyDescent="0.3">
      <c r="C191" s="11"/>
      <c r="D191" s="13"/>
      <c r="Q191" s="184" t="s">
        <v>42</v>
      </c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6"/>
      <c r="BF191" s="184">
        <v>1</v>
      </c>
      <c r="BG191" s="185"/>
      <c r="BH191" s="185"/>
      <c r="BI191" s="185"/>
      <c r="BJ191" s="186"/>
      <c r="FN191" s="184" t="s">
        <v>3</v>
      </c>
      <c r="FO191" s="185"/>
      <c r="FP191" s="185"/>
      <c r="FQ191" s="185"/>
      <c r="FR191" s="185"/>
      <c r="FS191" s="185"/>
      <c r="FT191" s="185"/>
      <c r="FU191" s="185"/>
      <c r="FV191" s="185"/>
      <c r="FW191" s="185"/>
      <c r="FX191" s="185"/>
      <c r="FY191" s="185"/>
      <c r="FZ191" s="185"/>
      <c r="GA191" s="185"/>
      <c r="GB191" s="185"/>
      <c r="GC191" s="185"/>
      <c r="GD191" s="185"/>
      <c r="GE191" s="185"/>
      <c r="GF191" s="185"/>
      <c r="GG191" s="185"/>
      <c r="GH191" s="185"/>
      <c r="GI191" s="185"/>
      <c r="GJ191" s="185"/>
      <c r="GK191" s="185"/>
      <c r="GL191" s="185"/>
      <c r="GM191" s="185"/>
      <c r="GN191" s="185"/>
      <c r="GO191" s="185"/>
      <c r="GP191" s="185"/>
      <c r="GQ191" s="185"/>
      <c r="GR191" s="185"/>
      <c r="GS191" s="185"/>
      <c r="GT191" s="185"/>
      <c r="GU191" s="185"/>
      <c r="GV191" s="185"/>
      <c r="GW191" s="185"/>
      <c r="GX191" s="185"/>
      <c r="GY191" s="185"/>
      <c r="GZ191" s="185"/>
      <c r="HA191" s="186"/>
      <c r="HB191" s="184">
        <v>2</v>
      </c>
      <c r="HC191" s="185"/>
      <c r="HD191" s="185"/>
      <c r="HE191" s="185"/>
      <c r="HF191" s="186"/>
      <c r="HP191" s="198"/>
      <c r="HQ191" s="199"/>
      <c r="HR191" s="199"/>
      <c r="HS191" s="199"/>
      <c r="HT191" s="199"/>
      <c r="HU191" s="199"/>
      <c r="HV191" s="199"/>
      <c r="HW191" s="199"/>
      <c r="HX191" s="199"/>
      <c r="HY191" s="199"/>
      <c r="HZ191" s="199"/>
      <c r="IA191" s="199"/>
      <c r="IB191" s="199"/>
      <c r="IC191" s="199"/>
      <c r="ID191" s="199"/>
      <c r="IE191" s="199"/>
      <c r="IF191" s="199"/>
      <c r="IG191" s="199"/>
      <c r="IH191" s="199"/>
      <c r="II191" s="199"/>
      <c r="IJ191" s="199"/>
      <c r="IK191" s="199"/>
      <c r="IL191" s="199"/>
      <c r="IM191" s="199"/>
      <c r="IN191" s="199"/>
      <c r="IO191" s="199"/>
      <c r="IP191" s="199"/>
      <c r="IQ191" s="199"/>
      <c r="IR191" s="199"/>
      <c r="IS191" s="199"/>
      <c r="IT191" s="199"/>
      <c r="IU191" s="199"/>
      <c r="IV191" s="199"/>
      <c r="IW191" s="199"/>
      <c r="IX191" s="199"/>
      <c r="IY191" s="199"/>
      <c r="IZ191" s="199"/>
      <c r="JA191" s="199"/>
      <c r="JB191" s="199"/>
      <c r="JC191" s="200"/>
      <c r="JD191" s="204"/>
      <c r="JE191" s="204"/>
      <c r="JF191" s="204"/>
      <c r="JG191" s="204"/>
      <c r="JH191" s="204"/>
      <c r="JI191" s="204"/>
      <c r="JJ191" s="19"/>
      <c r="JP191" s="155"/>
      <c r="JT191" s="16"/>
      <c r="JW191" s="187"/>
      <c r="JX191" s="188"/>
      <c r="JY191" s="188"/>
      <c r="JZ191" s="188"/>
      <c r="KA191" s="188"/>
      <c r="KB191" s="188"/>
      <c r="KC191" s="188"/>
      <c r="KD191" s="188"/>
      <c r="KE191" s="188"/>
      <c r="KF191" s="188"/>
      <c r="KG191" s="188"/>
      <c r="KH191" s="188"/>
      <c r="KI191" s="188"/>
      <c r="KJ191" s="188"/>
      <c r="KK191" s="188"/>
      <c r="KL191" s="188"/>
      <c r="KM191" s="188"/>
      <c r="KN191" s="188"/>
      <c r="KO191" s="188"/>
      <c r="KP191" s="188"/>
      <c r="KQ191" s="188"/>
      <c r="KR191" s="188"/>
      <c r="KS191" s="188"/>
      <c r="KT191" s="188"/>
      <c r="KU191" s="188"/>
      <c r="KV191" s="188"/>
      <c r="KW191" s="188"/>
      <c r="KX191" s="188"/>
      <c r="KY191" s="188"/>
      <c r="KZ191" s="188"/>
      <c r="LA191" s="188"/>
      <c r="LB191" s="188"/>
      <c r="LC191" s="188"/>
      <c r="LD191" s="188"/>
      <c r="LE191" s="188"/>
      <c r="LF191" s="188"/>
      <c r="LG191" s="188"/>
      <c r="LH191" s="188"/>
      <c r="LI191" s="188"/>
      <c r="LJ191" s="188"/>
      <c r="LK191" s="189"/>
      <c r="LL191" s="187"/>
      <c r="LM191" s="188"/>
      <c r="LN191" s="188"/>
      <c r="LO191" s="188"/>
      <c r="LP191" s="189"/>
      <c r="LY191" s="12"/>
      <c r="LZ191" s="7"/>
    </row>
    <row r="192" spans="3:362" ht="5.0999999999999996" customHeight="1" thickBot="1" x14ac:dyDescent="0.35">
      <c r="C192" s="11"/>
      <c r="D192" s="13"/>
      <c r="Q192" s="187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  <c r="BD192" s="188"/>
      <c r="BE192" s="189"/>
      <c r="BF192" s="187"/>
      <c r="BG192" s="188"/>
      <c r="BH192" s="188"/>
      <c r="BI192" s="188"/>
      <c r="BJ192" s="189"/>
      <c r="FN192" s="187"/>
      <c r="FO192" s="188"/>
      <c r="FP192" s="188"/>
      <c r="FQ192" s="188"/>
      <c r="FR192" s="188"/>
      <c r="FS192" s="188"/>
      <c r="FT192" s="188"/>
      <c r="FU192" s="188"/>
      <c r="FV192" s="188"/>
      <c r="FW192" s="188"/>
      <c r="FX192" s="188"/>
      <c r="FY192" s="188"/>
      <c r="FZ192" s="188"/>
      <c r="GA192" s="188"/>
      <c r="GB192" s="188"/>
      <c r="GC192" s="188"/>
      <c r="GD192" s="188"/>
      <c r="GE192" s="188"/>
      <c r="GF192" s="188"/>
      <c r="GG192" s="188"/>
      <c r="GH192" s="188"/>
      <c r="GI192" s="188"/>
      <c r="GJ192" s="188"/>
      <c r="GK192" s="188"/>
      <c r="GL192" s="188"/>
      <c r="GM192" s="188"/>
      <c r="GN192" s="188"/>
      <c r="GO192" s="188"/>
      <c r="GP192" s="188"/>
      <c r="GQ192" s="188"/>
      <c r="GR192" s="188"/>
      <c r="GS192" s="188"/>
      <c r="GT192" s="188"/>
      <c r="GU192" s="188"/>
      <c r="GV192" s="188"/>
      <c r="GW192" s="188"/>
      <c r="GX192" s="188"/>
      <c r="GY192" s="188"/>
      <c r="GZ192" s="188"/>
      <c r="HA192" s="189"/>
      <c r="HB192" s="187"/>
      <c r="HC192" s="188"/>
      <c r="HD192" s="188"/>
      <c r="HE192" s="188"/>
      <c r="HF192" s="189"/>
      <c r="HP192" s="201"/>
      <c r="HQ192" s="202"/>
      <c r="HR192" s="202"/>
      <c r="HS192" s="202"/>
      <c r="HT192" s="202"/>
      <c r="HU192" s="202"/>
      <c r="HV192" s="202"/>
      <c r="HW192" s="202"/>
      <c r="HX192" s="202"/>
      <c r="HY192" s="202"/>
      <c r="HZ192" s="202"/>
      <c r="IA192" s="202"/>
      <c r="IB192" s="202"/>
      <c r="IC192" s="202"/>
      <c r="ID192" s="202"/>
      <c r="IE192" s="202"/>
      <c r="IF192" s="202"/>
      <c r="IG192" s="202"/>
      <c r="IH192" s="202"/>
      <c r="II192" s="202"/>
      <c r="IJ192" s="202"/>
      <c r="IK192" s="202"/>
      <c r="IL192" s="202"/>
      <c r="IM192" s="202"/>
      <c r="IN192" s="202"/>
      <c r="IO192" s="202"/>
      <c r="IP192" s="202"/>
      <c r="IQ192" s="202"/>
      <c r="IR192" s="202"/>
      <c r="IS192" s="202"/>
      <c r="IT192" s="202"/>
      <c r="IU192" s="202"/>
      <c r="IV192" s="202"/>
      <c r="IW192" s="202"/>
      <c r="IX192" s="202"/>
      <c r="IY192" s="202"/>
      <c r="IZ192" s="202"/>
      <c r="JA192" s="202"/>
      <c r="JB192" s="202"/>
      <c r="JC192" s="203"/>
      <c r="JD192" s="204"/>
      <c r="JE192" s="204"/>
      <c r="JF192" s="204"/>
      <c r="JG192" s="204"/>
      <c r="JH192" s="204"/>
      <c r="JI192" s="204"/>
      <c r="JJ192" s="19"/>
      <c r="JP192" s="155"/>
      <c r="JT192" s="16"/>
      <c r="JW192" s="187"/>
      <c r="JX192" s="188"/>
      <c r="JY192" s="188"/>
      <c r="JZ192" s="188"/>
      <c r="KA192" s="188"/>
      <c r="KB192" s="188"/>
      <c r="KC192" s="188"/>
      <c r="KD192" s="188"/>
      <c r="KE192" s="188"/>
      <c r="KF192" s="188"/>
      <c r="KG192" s="188"/>
      <c r="KH192" s="188"/>
      <c r="KI192" s="188"/>
      <c r="KJ192" s="188"/>
      <c r="KK192" s="188"/>
      <c r="KL192" s="188"/>
      <c r="KM192" s="188"/>
      <c r="KN192" s="188"/>
      <c r="KO192" s="188"/>
      <c r="KP192" s="188"/>
      <c r="KQ192" s="188"/>
      <c r="KR192" s="188"/>
      <c r="KS192" s="188"/>
      <c r="KT192" s="188"/>
      <c r="KU192" s="188"/>
      <c r="KV192" s="188"/>
      <c r="KW192" s="188"/>
      <c r="KX192" s="188"/>
      <c r="KY192" s="188"/>
      <c r="KZ192" s="188"/>
      <c r="LA192" s="188"/>
      <c r="LB192" s="188"/>
      <c r="LC192" s="188"/>
      <c r="LD192" s="188"/>
      <c r="LE192" s="188"/>
      <c r="LF192" s="188"/>
      <c r="LG192" s="188"/>
      <c r="LH192" s="188"/>
      <c r="LI192" s="188"/>
      <c r="LJ192" s="188"/>
      <c r="LK192" s="189"/>
      <c r="LL192" s="187"/>
      <c r="LM192" s="188"/>
      <c r="LN192" s="188"/>
      <c r="LO192" s="188"/>
      <c r="LP192" s="189"/>
      <c r="LY192" s="12"/>
      <c r="LZ192" s="7"/>
      <c r="MA192" s="3"/>
      <c r="MB192" s="3"/>
      <c r="MC192" s="3"/>
      <c r="MD192" s="3"/>
      <c r="ME192" s="2"/>
      <c r="MS192" s="3"/>
      <c r="MT192" s="3"/>
      <c r="MU192" s="3"/>
      <c r="MV192" s="3"/>
      <c r="MW192" s="3"/>
      <c r="MX192" s="2"/>
    </row>
    <row r="193" spans="3:362" ht="5.0999999999999996" customHeight="1" x14ac:dyDescent="0.3">
      <c r="C193" s="11"/>
      <c r="D193" s="13"/>
      <c r="Q193" s="187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  <c r="BE193" s="189"/>
      <c r="BF193" s="187"/>
      <c r="BG193" s="188"/>
      <c r="BH193" s="188"/>
      <c r="BI193" s="188"/>
      <c r="BJ193" s="189"/>
      <c r="FN193" s="187"/>
      <c r="FO193" s="188"/>
      <c r="FP193" s="188"/>
      <c r="FQ193" s="188"/>
      <c r="FR193" s="188"/>
      <c r="FS193" s="188"/>
      <c r="FT193" s="188"/>
      <c r="FU193" s="188"/>
      <c r="FV193" s="188"/>
      <c r="FW193" s="188"/>
      <c r="FX193" s="188"/>
      <c r="FY193" s="188"/>
      <c r="FZ193" s="188"/>
      <c r="GA193" s="188"/>
      <c r="GB193" s="188"/>
      <c r="GC193" s="188"/>
      <c r="GD193" s="188"/>
      <c r="GE193" s="188"/>
      <c r="GF193" s="188"/>
      <c r="GG193" s="188"/>
      <c r="GH193" s="188"/>
      <c r="GI193" s="188"/>
      <c r="GJ193" s="188"/>
      <c r="GK193" s="188"/>
      <c r="GL193" s="188"/>
      <c r="GM193" s="188"/>
      <c r="GN193" s="188"/>
      <c r="GO193" s="188"/>
      <c r="GP193" s="188"/>
      <c r="GQ193" s="188"/>
      <c r="GR193" s="188"/>
      <c r="GS193" s="188"/>
      <c r="GT193" s="188"/>
      <c r="GU193" s="188"/>
      <c r="GV193" s="188"/>
      <c r="GW193" s="188"/>
      <c r="GX193" s="188"/>
      <c r="GY193" s="188"/>
      <c r="GZ193" s="188"/>
      <c r="HA193" s="189"/>
      <c r="HB193" s="187"/>
      <c r="HC193" s="188"/>
      <c r="HD193" s="188"/>
      <c r="HE193" s="188"/>
      <c r="HF193" s="189"/>
      <c r="HP193" s="216" t="s">
        <v>39</v>
      </c>
      <c r="HQ193" s="217"/>
      <c r="HR193" s="217"/>
      <c r="HS193" s="217"/>
      <c r="HT193" s="217"/>
      <c r="HU193" s="217"/>
      <c r="HV193" s="217"/>
      <c r="HW193" s="217"/>
      <c r="HX193" s="217"/>
      <c r="HY193" s="217"/>
      <c r="HZ193" s="217"/>
      <c r="IA193" s="217"/>
      <c r="IB193" s="217"/>
      <c r="IC193" s="217"/>
      <c r="ID193" s="217"/>
      <c r="IE193" s="217"/>
      <c r="IF193" s="217"/>
      <c r="IG193" s="217"/>
      <c r="IH193" s="217"/>
      <c r="II193" s="217"/>
      <c r="IJ193" s="217"/>
      <c r="IK193" s="217"/>
      <c r="IL193" s="217"/>
      <c r="IM193" s="217"/>
      <c r="IN193" s="217"/>
      <c r="IO193" s="217"/>
      <c r="IP193" s="217"/>
      <c r="IQ193" s="217"/>
      <c r="IR193" s="217"/>
      <c r="IS193" s="217"/>
      <c r="IT193" s="217"/>
      <c r="IU193" s="217"/>
      <c r="IV193" s="217"/>
      <c r="IW193" s="217"/>
      <c r="IX193" s="217"/>
      <c r="IY193" s="217"/>
      <c r="IZ193" s="217"/>
      <c r="JA193" s="217"/>
      <c r="JB193" s="217"/>
      <c r="JC193" s="218"/>
      <c r="JD193" s="184">
        <v>1</v>
      </c>
      <c r="JE193" s="185"/>
      <c r="JF193" s="185"/>
      <c r="JG193" s="185"/>
      <c r="JH193" s="185"/>
      <c r="JI193" s="186"/>
      <c r="JJ193" s="51"/>
      <c r="JP193" s="155"/>
      <c r="JT193" s="16"/>
      <c r="JW193" s="187"/>
      <c r="JX193" s="188"/>
      <c r="JY193" s="188"/>
      <c r="JZ193" s="188"/>
      <c r="KA193" s="188"/>
      <c r="KB193" s="188"/>
      <c r="KC193" s="188"/>
      <c r="KD193" s="188"/>
      <c r="KE193" s="188"/>
      <c r="KF193" s="188"/>
      <c r="KG193" s="188"/>
      <c r="KH193" s="188"/>
      <c r="KI193" s="188"/>
      <c r="KJ193" s="188"/>
      <c r="KK193" s="188"/>
      <c r="KL193" s="188"/>
      <c r="KM193" s="188"/>
      <c r="KN193" s="188"/>
      <c r="KO193" s="188"/>
      <c r="KP193" s="188"/>
      <c r="KQ193" s="188"/>
      <c r="KR193" s="188"/>
      <c r="KS193" s="188"/>
      <c r="KT193" s="188"/>
      <c r="KU193" s="188"/>
      <c r="KV193" s="188"/>
      <c r="KW193" s="188"/>
      <c r="KX193" s="188"/>
      <c r="KY193" s="188"/>
      <c r="KZ193" s="188"/>
      <c r="LA193" s="188"/>
      <c r="LB193" s="188"/>
      <c r="LC193" s="188"/>
      <c r="LD193" s="188"/>
      <c r="LE193" s="188"/>
      <c r="LF193" s="188"/>
      <c r="LG193" s="188"/>
      <c r="LH193" s="188"/>
      <c r="LI193" s="188"/>
      <c r="LJ193" s="188"/>
      <c r="LK193" s="189"/>
      <c r="LL193" s="187"/>
      <c r="LM193" s="188"/>
      <c r="LN193" s="188"/>
      <c r="LO193" s="188"/>
      <c r="LP193" s="189"/>
      <c r="LY193" s="12"/>
      <c r="LZ193" s="7"/>
      <c r="MA193" s="3"/>
      <c r="MB193" s="3"/>
      <c r="MC193" s="3"/>
      <c r="MD193" s="3"/>
      <c r="ME193" s="2"/>
      <c r="MS193" s="3"/>
      <c r="MT193" s="3"/>
      <c r="MU193" s="3"/>
      <c r="MV193" s="3"/>
      <c r="MW193" s="3"/>
      <c r="MX193" s="2"/>
    </row>
    <row r="194" spans="3:362" ht="5.0999999999999996" customHeight="1" x14ac:dyDescent="0.3">
      <c r="C194" s="11"/>
      <c r="D194" s="13"/>
      <c r="Q194" s="187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  <c r="BD194" s="188"/>
      <c r="BE194" s="189"/>
      <c r="BF194" s="187"/>
      <c r="BG194" s="188"/>
      <c r="BH194" s="188"/>
      <c r="BI194" s="188"/>
      <c r="BJ194" s="189"/>
      <c r="FN194" s="187"/>
      <c r="FO194" s="188"/>
      <c r="FP194" s="188"/>
      <c r="FQ194" s="188"/>
      <c r="FR194" s="188"/>
      <c r="FS194" s="188"/>
      <c r="FT194" s="188"/>
      <c r="FU194" s="188"/>
      <c r="FV194" s="188"/>
      <c r="FW194" s="188"/>
      <c r="FX194" s="188"/>
      <c r="FY194" s="188"/>
      <c r="FZ194" s="188"/>
      <c r="GA194" s="188"/>
      <c r="GB194" s="188"/>
      <c r="GC194" s="188"/>
      <c r="GD194" s="188"/>
      <c r="GE194" s="188"/>
      <c r="GF194" s="188"/>
      <c r="GG194" s="188"/>
      <c r="GH194" s="188"/>
      <c r="GI194" s="188"/>
      <c r="GJ194" s="188"/>
      <c r="GK194" s="188"/>
      <c r="GL194" s="188"/>
      <c r="GM194" s="188"/>
      <c r="GN194" s="188"/>
      <c r="GO194" s="188"/>
      <c r="GP194" s="188"/>
      <c r="GQ194" s="188"/>
      <c r="GR194" s="188"/>
      <c r="GS194" s="188"/>
      <c r="GT194" s="188"/>
      <c r="GU194" s="188"/>
      <c r="GV194" s="188"/>
      <c r="GW194" s="188"/>
      <c r="GX194" s="188"/>
      <c r="GY194" s="188"/>
      <c r="GZ194" s="188"/>
      <c r="HA194" s="189"/>
      <c r="HB194" s="187"/>
      <c r="HC194" s="188"/>
      <c r="HD194" s="188"/>
      <c r="HE194" s="188"/>
      <c r="HF194" s="189"/>
      <c r="HP194" s="219"/>
      <c r="HQ194" s="220"/>
      <c r="HR194" s="220"/>
      <c r="HS194" s="220"/>
      <c r="HT194" s="220"/>
      <c r="HU194" s="220"/>
      <c r="HV194" s="220"/>
      <c r="HW194" s="220"/>
      <c r="HX194" s="220"/>
      <c r="HY194" s="220"/>
      <c r="HZ194" s="220"/>
      <c r="IA194" s="220"/>
      <c r="IB194" s="220"/>
      <c r="IC194" s="220"/>
      <c r="ID194" s="220"/>
      <c r="IE194" s="220"/>
      <c r="IF194" s="220"/>
      <c r="IG194" s="220"/>
      <c r="IH194" s="220"/>
      <c r="II194" s="220"/>
      <c r="IJ194" s="220"/>
      <c r="IK194" s="220"/>
      <c r="IL194" s="220"/>
      <c r="IM194" s="220"/>
      <c r="IN194" s="220"/>
      <c r="IO194" s="220"/>
      <c r="IP194" s="220"/>
      <c r="IQ194" s="220"/>
      <c r="IR194" s="220"/>
      <c r="IS194" s="220"/>
      <c r="IT194" s="220"/>
      <c r="IU194" s="220"/>
      <c r="IV194" s="220"/>
      <c r="IW194" s="220"/>
      <c r="IX194" s="220"/>
      <c r="IY194" s="220"/>
      <c r="IZ194" s="220"/>
      <c r="JA194" s="220"/>
      <c r="JB194" s="220"/>
      <c r="JC194" s="221"/>
      <c r="JD194" s="187"/>
      <c r="JE194" s="188"/>
      <c r="JF194" s="188"/>
      <c r="JG194" s="188"/>
      <c r="JH194" s="188"/>
      <c r="JI194" s="189"/>
      <c r="JP194" s="155"/>
      <c r="JT194" s="16"/>
      <c r="JW194" s="187"/>
      <c r="JX194" s="188"/>
      <c r="JY194" s="188"/>
      <c r="JZ194" s="188"/>
      <c r="KA194" s="188"/>
      <c r="KB194" s="188"/>
      <c r="KC194" s="188"/>
      <c r="KD194" s="188"/>
      <c r="KE194" s="188"/>
      <c r="KF194" s="188"/>
      <c r="KG194" s="188"/>
      <c r="KH194" s="188"/>
      <c r="KI194" s="188"/>
      <c r="KJ194" s="188"/>
      <c r="KK194" s="188"/>
      <c r="KL194" s="188"/>
      <c r="KM194" s="188"/>
      <c r="KN194" s="188"/>
      <c r="KO194" s="188"/>
      <c r="KP194" s="188"/>
      <c r="KQ194" s="188"/>
      <c r="KR194" s="188"/>
      <c r="KS194" s="188"/>
      <c r="KT194" s="188"/>
      <c r="KU194" s="188"/>
      <c r="KV194" s="188"/>
      <c r="KW194" s="188"/>
      <c r="KX194" s="188"/>
      <c r="KY194" s="188"/>
      <c r="KZ194" s="188"/>
      <c r="LA194" s="188"/>
      <c r="LB194" s="188"/>
      <c r="LC194" s="188"/>
      <c r="LD194" s="188"/>
      <c r="LE194" s="188"/>
      <c r="LF194" s="188"/>
      <c r="LG194" s="188"/>
      <c r="LH194" s="188"/>
      <c r="LI194" s="188"/>
      <c r="LJ194" s="188"/>
      <c r="LK194" s="189"/>
      <c r="LL194" s="187"/>
      <c r="LM194" s="188"/>
      <c r="LN194" s="188"/>
      <c r="LO194" s="188"/>
      <c r="LP194" s="189"/>
      <c r="LY194" s="12"/>
      <c r="LZ194" s="7"/>
      <c r="MA194" s="3"/>
      <c r="MB194" s="3"/>
      <c r="MC194" s="3"/>
      <c r="MD194" s="3"/>
      <c r="ME194" s="2"/>
      <c r="MS194" s="3"/>
      <c r="MT194" s="3"/>
      <c r="MU194" s="3"/>
      <c r="MV194" s="3"/>
      <c r="MW194" s="3"/>
      <c r="MX194" s="2"/>
    </row>
    <row r="195" spans="3:362" ht="5.0999999999999996" customHeight="1" x14ac:dyDescent="0.3">
      <c r="C195" s="11"/>
      <c r="D195" s="13"/>
      <c r="Q195" s="187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9"/>
      <c r="BF195" s="187"/>
      <c r="BG195" s="188"/>
      <c r="BH195" s="188"/>
      <c r="BI195" s="188"/>
      <c r="BJ195" s="189"/>
      <c r="FN195" s="187"/>
      <c r="FO195" s="188"/>
      <c r="FP195" s="188"/>
      <c r="FQ195" s="188"/>
      <c r="FR195" s="188"/>
      <c r="FS195" s="188"/>
      <c r="FT195" s="188"/>
      <c r="FU195" s="188"/>
      <c r="FV195" s="188"/>
      <c r="FW195" s="188"/>
      <c r="FX195" s="188"/>
      <c r="FY195" s="188"/>
      <c r="FZ195" s="188"/>
      <c r="GA195" s="188"/>
      <c r="GB195" s="188"/>
      <c r="GC195" s="188"/>
      <c r="GD195" s="188"/>
      <c r="GE195" s="188"/>
      <c r="GF195" s="188"/>
      <c r="GG195" s="188"/>
      <c r="GH195" s="188"/>
      <c r="GI195" s="188"/>
      <c r="GJ195" s="188"/>
      <c r="GK195" s="188"/>
      <c r="GL195" s="188"/>
      <c r="GM195" s="188"/>
      <c r="GN195" s="188"/>
      <c r="GO195" s="188"/>
      <c r="GP195" s="188"/>
      <c r="GQ195" s="188"/>
      <c r="GR195" s="188"/>
      <c r="GS195" s="188"/>
      <c r="GT195" s="188"/>
      <c r="GU195" s="188"/>
      <c r="GV195" s="188"/>
      <c r="GW195" s="188"/>
      <c r="GX195" s="188"/>
      <c r="GY195" s="188"/>
      <c r="GZ195" s="188"/>
      <c r="HA195" s="189"/>
      <c r="HB195" s="187"/>
      <c r="HC195" s="188"/>
      <c r="HD195" s="188"/>
      <c r="HE195" s="188"/>
      <c r="HF195" s="189"/>
      <c r="HP195" s="219"/>
      <c r="HQ195" s="220"/>
      <c r="HR195" s="220"/>
      <c r="HS195" s="220"/>
      <c r="HT195" s="220"/>
      <c r="HU195" s="220"/>
      <c r="HV195" s="220"/>
      <c r="HW195" s="220"/>
      <c r="HX195" s="220"/>
      <c r="HY195" s="220"/>
      <c r="HZ195" s="220"/>
      <c r="IA195" s="220"/>
      <c r="IB195" s="220"/>
      <c r="IC195" s="220"/>
      <c r="ID195" s="220"/>
      <c r="IE195" s="220"/>
      <c r="IF195" s="220"/>
      <c r="IG195" s="220"/>
      <c r="IH195" s="220"/>
      <c r="II195" s="220"/>
      <c r="IJ195" s="220"/>
      <c r="IK195" s="220"/>
      <c r="IL195" s="220"/>
      <c r="IM195" s="220"/>
      <c r="IN195" s="220"/>
      <c r="IO195" s="220"/>
      <c r="IP195" s="220"/>
      <c r="IQ195" s="220"/>
      <c r="IR195" s="220"/>
      <c r="IS195" s="220"/>
      <c r="IT195" s="220"/>
      <c r="IU195" s="220"/>
      <c r="IV195" s="220"/>
      <c r="IW195" s="220"/>
      <c r="IX195" s="220"/>
      <c r="IY195" s="220"/>
      <c r="IZ195" s="220"/>
      <c r="JA195" s="220"/>
      <c r="JB195" s="220"/>
      <c r="JC195" s="221"/>
      <c r="JD195" s="187"/>
      <c r="JE195" s="188"/>
      <c r="JF195" s="188"/>
      <c r="JG195" s="188"/>
      <c r="JH195" s="188"/>
      <c r="JI195" s="189"/>
      <c r="JP195" s="155"/>
      <c r="JT195" s="16"/>
      <c r="JW195" s="187"/>
      <c r="JX195" s="188"/>
      <c r="JY195" s="188"/>
      <c r="JZ195" s="188"/>
      <c r="KA195" s="188"/>
      <c r="KB195" s="188"/>
      <c r="KC195" s="188"/>
      <c r="KD195" s="188"/>
      <c r="KE195" s="188"/>
      <c r="KF195" s="188"/>
      <c r="KG195" s="188"/>
      <c r="KH195" s="188"/>
      <c r="KI195" s="188"/>
      <c r="KJ195" s="188"/>
      <c r="KK195" s="188"/>
      <c r="KL195" s="188"/>
      <c r="KM195" s="188"/>
      <c r="KN195" s="188"/>
      <c r="KO195" s="188"/>
      <c r="KP195" s="188"/>
      <c r="KQ195" s="188"/>
      <c r="KR195" s="188"/>
      <c r="KS195" s="188"/>
      <c r="KT195" s="188"/>
      <c r="KU195" s="188"/>
      <c r="KV195" s="188"/>
      <c r="KW195" s="188"/>
      <c r="KX195" s="188"/>
      <c r="KY195" s="188"/>
      <c r="KZ195" s="188"/>
      <c r="LA195" s="188"/>
      <c r="LB195" s="188"/>
      <c r="LC195" s="188"/>
      <c r="LD195" s="188"/>
      <c r="LE195" s="188"/>
      <c r="LF195" s="188"/>
      <c r="LG195" s="188"/>
      <c r="LH195" s="188"/>
      <c r="LI195" s="188"/>
      <c r="LJ195" s="188"/>
      <c r="LK195" s="189"/>
      <c r="LL195" s="187"/>
      <c r="LM195" s="188"/>
      <c r="LN195" s="188"/>
      <c r="LO195" s="188"/>
      <c r="LP195" s="189"/>
      <c r="LY195" s="12"/>
      <c r="LZ195" s="7"/>
      <c r="MA195" s="3"/>
      <c r="MB195" s="3"/>
      <c r="MC195" s="3"/>
      <c r="MD195" s="3"/>
      <c r="ME195" s="2"/>
      <c r="MS195" s="3"/>
      <c r="MT195" s="3"/>
      <c r="MU195" s="3"/>
      <c r="MV195" s="3"/>
      <c r="MW195" s="3"/>
      <c r="MX195" s="2"/>
    </row>
    <row r="196" spans="3:362" ht="5.0999999999999996" customHeight="1" x14ac:dyDescent="0.3">
      <c r="C196" s="11"/>
      <c r="D196" s="13"/>
      <c r="Q196" s="187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  <c r="BD196" s="188"/>
      <c r="BE196" s="189"/>
      <c r="BF196" s="187"/>
      <c r="BG196" s="188"/>
      <c r="BH196" s="188"/>
      <c r="BI196" s="188"/>
      <c r="BJ196" s="189"/>
      <c r="FN196" s="187"/>
      <c r="FO196" s="188"/>
      <c r="FP196" s="188"/>
      <c r="FQ196" s="188"/>
      <c r="FR196" s="188"/>
      <c r="FS196" s="188"/>
      <c r="FT196" s="188"/>
      <c r="FU196" s="188"/>
      <c r="FV196" s="188"/>
      <c r="FW196" s="188"/>
      <c r="FX196" s="188"/>
      <c r="FY196" s="188"/>
      <c r="FZ196" s="188"/>
      <c r="GA196" s="188"/>
      <c r="GB196" s="188"/>
      <c r="GC196" s="188"/>
      <c r="GD196" s="188"/>
      <c r="GE196" s="188"/>
      <c r="GF196" s="188"/>
      <c r="GG196" s="188"/>
      <c r="GH196" s="188"/>
      <c r="GI196" s="188"/>
      <c r="GJ196" s="188"/>
      <c r="GK196" s="188"/>
      <c r="GL196" s="188"/>
      <c r="GM196" s="188"/>
      <c r="GN196" s="188"/>
      <c r="GO196" s="188"/>
      <c r="GP196" s="188"/>
      <c r="GQ196" s="188"/>
      <c r="GR196" s="188"/>
      <c r="GS196" s="188"/>
      <c r="GT196" s="188"/>
      <c r="GU196" s="188"/>
      <c r="GV196" s="188"/>
      <c r="GW196" s="188"/>
      <c r="GX196" s="188"/>
      <c r="GY196" s="188"/>
      <c r="GZ196" s="188"/>
      <c r="HA196" s="189"/>
      <c r="HB196" s="187"/>
      <c r="HC196" s="188"/>
      <c r="HD196" s="188"/>
      <c r="HE196" s="188"/>
      <c r="HF196" s="189"/>
      <c r="HP196" s="219"/>
      <c r="HQ196" s="220"/>
      <c r="HR196" s="220"/>
      <c r="HS196" s="220"/>
      <c r="HT196" s="220"/>
      <c r="HU196" s="220"/>
      <c r="HV196" s="220"/>
      <c r="HW196" s="220"/>
      <c r="HX196" s="220"/>
      <c r="HY196" s="220"/>
      <c r="HZ196" s="220"/>
      <c r="IA196" s="220"/>
      <c r="IB196" s="220"/>
      <c r="IC196" s="220"/>
      <c r="ID196" s="220"/>
      <c r="IE196" s="220"/>
      <c r="IF196" s="220"/>
      <c r="IG196" s="220"/>
      <c r="IH196" s="220"/>
      <c r="II196" s="220"/>
      <c r="IJ196" s="220"/>
      <c r="IK196" s="220"/>
      <c r="IL196" s="220"/>
      <c r="IM196" s="220"/>
      <c r="IN196" s="220"/>
      <c r="IO196" s="220"/>
      <c r="IP196" s="220"/>
      <c r="IQ196" s="220"/>
      <c r="IR196" s="220"/>
      <c r="IS196" s="220"/>
      <c r="IT196" s="220"/>
      <c r="IU196" s="220"/>
      <c r="IV196" s="220"/>
      <c r="IW196" s="220"/>
      <c r="IX196" s="220"/>
      <c r="IY196" s="220"/>
      <c r="IZ196" s="220"/>
      <c r="JA196" s="220"/>
      <c r="JB196" s="220"/>
      <c r="JC196" s="221"/>
      <c r="JD196" s="187"/>
      <c r="JE196" s="188"/>
      <c r="JF196" s="188"/>
      <c r="JG196" s="188"/>
      <c r="JH196" s="188"/>
      <c r="JI196" s="189"/>
      <c r="JP196" s="155"/>
      <c r="JT196" s="16"/>
      <c r="JW196" s="187"/>
      <c r="JX196" s="188"/>
      <c r="JY196" s="188"/>
      <c r="JZ196" s="188"/>
      <c r="KA196" s="188"/>
      <c r="KB196" s="188"/>
      <c r="KC196" s="188"/>
      <c r="KD196" s="188"/>
      <c r="KE196" s="188"/>
      <c r="KF196" s="188"/>
      <c r="KG196" s="188"/>
      <c r="KH196" s="188"/>
      <c r="KI196" s="188"/>
      <c r="KJ196" s="188"/>
      <c r="KK196" s="188"/>
      <c r="KL196" s="188"/>
      <c r="KM196" s="188"/>
      <c r="KN196" s="188"/>
      <c r="KO196" s="188"/>
      <c r="KP196" s="188"/>
      <c r="KQ196" s="188"/>
      <c r="KR196" s="188"/>
      <c r="KS196" s="188"/>
      <c r="KT196" s="188"/>
      <c r="KU196" s="188"/>
      <c r="KV196" s="188"/>
      <c r="KW196" s="188"/>
      <c r="KX196" s="188"/>
      <c r="KY196" s="188"/>
      <c r="KZ196" s="188"/>
      <c r="LA196" s="188"/>
      <c r="LB196" s="188"/>
      <c r="LC196" s="188"/>
      <c r="LD196" s="188"/>
      <c r="LE196" s="188"/>
      <c r="LF196" s="188"/>
      <c r="LG196" s="188"/>
      <c r="LH196" s="188"/>
      <c r="LI196" s="188"/>
      <c r="LJ196" s="188"/>
      <c r="LK196" s="189"/>
      <c r="LL196" s="187"/>
      <c r="LM196" s="188"/>
      <c r="LN196" s="188"/>
      <c r="LO196" s="188"/>
      <c r="LP196" s="189"/>
      <c r="LY196" s="12"/>
      <c r="LZ196" s="7"/>
      <c r="MA196" s="3"/>
      <c r="MB196" s="3"/>
      <c r="MC196" s="3"/>
      <c r="MD196" s="3"/>
      <c r="ME196" s="2"/>
      <c r="MS196" s="3"/>
      <c r="MT196" s="3"/>
      <c r="MU196" s="3"/>
      <c r="MV196" s="3"/>
      <c r="MW196" s="3"/>
      <c r="MX196" s="2"/>
    </row>
    <row r="197" spans="3:362" ht="5.0999999999999996" customHeight="1" x14ac:dyDescent="0.3">
      <c r="C197" s="11"/>
      <c r="D197" s="13"/>
      <c r="Q197" s="187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  <c r="BD197" s="188"/>
      <c r="BE197" s="189"/>
      <c r="BF197" s="187"/>
      <c r="BG197" s="188"/>
      <c r="BH197" s="188"/>
      <c r="BI197" s="188"/>
      <c r="BJ197" s="189"/>
      <c r="FN197" s="187"/>
      <c r="FO197" s="188"/>
      <c r="FP197" s="188"/>
      <c r="FQ197" s="188"/>
      <c r="FR197" s="188"/>
      <c r="FS197" s="188"/>
      <c r="FT197" s="188"/>
      <c r="FU197" s="188"/>
      <c r="FV197" s="188"/>
      <c r="FW197" s="188"/>
      <c r="FX197" s="188"/>
      <c r="FY197" s="188"/>
      <c r="FZ197" s="188"/>
      <c r="GA197" s="188"/>
      <c r="GB197" s="188"/>
      <c r="GC197" s="188"/>
      <c r="GD197" s="188"/>
      <c r="GE197" s="188"/>
      <c r="GF197" s="188"/>
      <c r="GG197" s="188"/>
      <c r="GH197" s="188"/>
      <c r="GI197" s="188"/>
      <c r="GJ197" s="188"/>
      <c r="GK197" s="188"/>
      <c r="GL197" s="188"/>
      <c r="GM197" s="188"/>
      <c r="GN197" s="188"/>
      <c r="GO197" s="188"/>
      <c r="GP197" s="188"/>
      <c r="GQ197" s="188"/>
      <c r="GR197" s="188"/>
      <c r="GS197" s="188"/>
      <c r="GT197" s="188"/>
      <c r="GU197" s="188"/>
      <c r="GV197" s="188"/>
      <c r="GW197" s="188"/>
      <c r="GX197" s="188"/>
      <c r="GY197" s="188"/>
      <c r="GZ197" s="188"/>
      <c r="HA197" s="189"/>
      <c r="HB197" s="187"/>
      <c r="HC197" s="188"/>
      <c r="HD197" s="188"/>
      <c r="HE197" s="188"/>
      <c r="HF197" s="189"/>
      <c r="HP197" s="219"/>
      <c r="HQ197" s="220"/>
      <c r="HR197" s="220"/>
      <c r="HS197" s="220"/>
      <c r="HT197" s="220"/>
      <c r="HU197" s="220"/>
      <c r="HV197" s="220"/>
      <c r="HW197" s="220"/>
      <c r="HX197" s="220"/>
      <c r="HY197" s="220"/>
      <c r="HZ197" s="220"/>
      <c r="IA197" s="220"/>
      <c r="IB197" s="220"/>
      <c r="IC197" s="220"/>
      <c r="ID197" s="220"/>
      <c r="IE197" s="220"/>
      <c r="IF197" s="220"/>
      <c r="IG197" s="220"/>
      <c r="IH197" s="220"/>
      <c r="II197" s="220"/>
      <c r="IJ197" s="220"/>
      <c r="IK197" s="220"/>
      <c r="IL197" s="220"/>
      <c r="IM197" s="220"/>
      <c r="IN197" s="220"/>
      <c r="IO197" s="220"/>
      <c r="IP197" s="220"/>
      <c r="IQ197" s="220"/>
      <c r="IR197" s="220"/>
      <c r="IS197" s="220"/>
      <c r="IT197" s="220"/>
      <c r="IU197" s="220"/>
      <c r="IV197" s="220"/>
      <c r="IW197" s="220"/>
      <c r="IX197" s="220"/>
      <c r="IY197" s="220"/>
      <c r="IZ197" s="220"/>
      <c r="JA197" s="220"/>
      <c r="JB197" s="220"/>
      <c r="JC197" s="221"/>
      <c r="JD197" s="187"/>
      <c r="JE197" s="188"/>
      <c r="JF197" s="188"/>
      <c r="JG197" s="188"/>
      <c r="JH197" s="188"/>
      <c r="JI197" s="189"/>
      <c r="JP197" s="155"/>
      <c r="JT197" s="16"/>
      <c r="JW197" s="187"/>
      <c r="JX197" s="188"/>
      <c r="JY197" s="188"/>
      <c r="JZ197" s="188"/>
      <c r="KA197" s="188"/>
      <c r="KB197" s="188"/>
      <c r="KC197" s="188"/>
      <c r="KD197" s="188"/>
      <c r="KE197" s="188"/>
      <c r="KF197" s="188"/>
      <c r="KG197" s="188"/>
      <c r="KH197" s="188"/>
      <c r="KI197" s="188"/>
      <c r="KJ197" s="188"/>
      <c r="KK197" s="188"/>
      <c r="KL197" s="188"/>
      <c r="KM197" s="188"/>
      <c r="KN197" s="188"/>
      <c r="KO197" s="188"/>
      <c r="KP197" s="188"/>
      <c r="KQ197" s="188"/>
      <c r="KR197" s="188"/>
      <c r="KS197" s="188"/>
      <c r="KT197" s="188"/>
      <c r="KU197" s="188"/>
      <c r="KV197" s="188"/>
      <c r="KW197" s="188"/>
      <c r="KX197" s="188"/>
      <c r="KY197" s="188"/>
      <c r="KZ197" s="188"/>
      <c r="LA197" s="188"/>
      <c r="LB197" s="188"/>
      <c r="LC197" s="188"/>
      <c r="LD197" s="188"/>
      <c r="LE197" s="188"/>
      <c r="LF197" s="188"/>
      <c r="LG197" s="188"/>
      <c r="LH197" s="188"/>
      <c r="LI197" s="188"/>
      <c r="LJ197" s="188"/>
      <c r="LK197" s="189"/>
      <c r="LL197" s="187"/>
      <c r="LM197" s="188"/>
      <c r="LN197" s="188"/>
      <c r="LO197" s="188"/>
      <c r="LP197" s="189"/>
      <c r="LY197" s="12"/>
      <c r="LZ197" s="7"/>
      <c r="MA197" s="3"/>
      <c r="MB197" s="3"/>
      <c r="MC197" s="3"/>
      <c r="MD197" s="3"/>
      <c r="ME197" s="2"/>
      <c r="MS197" s="3"/>
      <c r="MT197" s="3"/>
      <c r="MU197" s="3"/>
      <c r="MV197" s="3"/>
      <c r="MW197" s="3"/>
      <c r="MX197" s="2"/>
    </row>
    <row r="198" spans="3:362" ht="5.0999999999999996" customHeight="1" x14ac:dyDescent="0.3">
      <c r="C198" s="11"/>
      <c r="D198" s="13"/>
      <c r="Q198" s="187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9"/>
      <c r="BF198" s="187"/>
      <c r="BG198" s="188"/>
      <c r="BH198" s="188"/>
      <c r="BI198" s="188"/>
      <c r="BJ198" s="189"/>
      <c r="FN198" s="187"/>
      <c r="FO198" s="188"/>
      <c r="FP198" s="188"/>
      <c r="FQ198" s="188"/>
      <c r="FR198" s="188"/>
      <c r="FS198" s="188"/>
      <c r="FT198" s="188"/>
      <c r="FU198" s="188"/>
      <c r="FV198" s="188"/>
      <c r="FW198" s="188"/>
      <c r="FX198" s="188"/>
      <c r="FY198" s="188"/>
      <c r="FZ198" s="188"/>
      <c r="GA198" s="188"/>
      <c r="GB198" s="188"/>
      <c r="GC198" s="188"/>
      <c r="GD198" s="188"/>
      <c r="GE198" s="188"/>
      <c r="GF198" s="188"/>
      <c r="GG198" s="188"/>
      <c r="GH198" s="188"/>
      <c r="GI198" s="188"/>
      <c r="GJ198" s="188"/>
      <c r="GK198" s="188"/>
      <c r="GL198" s="188"/>
      <c r="GM198" s="188"/>
      <c r="GN198" s="188"/>
      <c r="GO198" s="188"/>
      <c r="GP198" s="188"/>
      <c r="GQ198" s="188"/>
      <c r="GR198" s="188"/>
      <c r="GS198" s="188"/>
      <c r="GT198" s="188"/>
      <c r="GU198" s="188"/>
      <c r="GV198" s="188"/>
      <c r="GW198" s="188"/>
      <c r="GX198" s="188"/>
      <c r="GY198" s="188"/>
      <c r="GZ198" s="188"/>
      <c r="HA198" s="189"/>
      <c r="HB198" s="187"/>
      <c r="HC198" s="188"/>
      <c r="HD198" s="188"/>
      <c r="HE198" s="188"/>
      <c r="HF198" s="189"/>
      <c r="HP198" s="219"/>
      <c r="HQ198" s="220"/>
      <c r="HR198" s="220"/>
      <c r="HS198" s="220"/>
      <c r="HT198" s="220"/>
      <c r="HU198" s="220"/>
      <c r="HV198" s="220"/>
      <c r="HW198" s="220"/>
      <c r="HX198" s="220"/>
      <c r="HY198" s="220"/>
      <c r="HZ198" s="220"/>
      <c r="IA198" s="220"/>
      <c r="IB198" s="220"/>
      <c r="IC198" s="220"/>
      <c r="ID198" s="220"/>
      <c r="IE198" s="220"/>
      <c r="IF198" s="220"/>
      <c r="IG198" s="220"/>
      <c r="IH198" s="220"/>
      <c r="II198" s="220"/>
      <c r="IJ198" s="220"/>
      <c r="IK198" s="220"/>
      <c r="IL198" s="220"/>
      <c r="IM198" s="220"/>
      <c r="IN198" s="220"/>
      <c r="IO198" s="220"/>
      <c r="IP198" s="220"/>
      <c r="IQ198" s="220"/>
      <c r="IR198" s="220"/>
      <c r="IS198" s="220"/>
      <c r="IT198" s="220"/>
      <c r="IU198" s="220"/>
      <c r="IV198" s="220"/>
      <c r="IW198" s="220"/>
      <c r="IX198" s="220"/>
      <c r="IY198" s="220"/>
      <c r="IZ198" s="220"/>
      <c r="JA198" s="220"/>
      <c r="JB198" s="220"/>
      <c r="JC198" s="221"/>
      <c r="JD198" s="187"/>
      <c r="JE198" s="188"/>
      <c r="JF198" s="188"/>
      <c r="JG198" s="188"/>
      <c r="JH198" s="188"/>
      <c r="JI198" s="189"/>
      <c r="JP198" s="155"/>
      <c r="JT198" s="16"/>
      <c r="JW198" s="187"/>
      <c r="JX198" s="188"/>
      <c r="JY198" s="188"/>
      <c r="JZ198" s="188"/>
      <c r="KA198" s="188"/>
      <c r="KB198" s="188"/>
      <c r="KC198" s="188"/>
      <c r="KD198" s="188"/>
      <c r="KE198" s="188"/>
      <c r="KF198" s="188"/>
      <c r="KG198" s="188"/>
      <c r="KH198" s="188"/>
      <c r="KI198" s="188"/>
      <c r="KJ198" s="188"/>
      <c r="KK198" s="188"/>
      <c r="KL198" s="188"/>
      <c r="KM198" s="188"/>
      <c r="KN198" s="188"/>
      <c r="KO198" s="188"/>
      <c r="KP198" s="188"/>
      <c r="KQ198" s="188"/>
      <c r="KR198" s="188"/>
      <c r="KS198" s="188"/>
      <c r="KT198" s="188"/>
      <c r="KU198" s="188"/>
      <c r="KV198" s="188"/>
      <c r="KW198" s="188"/>
      <c r="KX198" s="188"/>
      <c r="KY198" s="188"/>
      <c r="KZ198" s="188"/>
      <c r="LA198" s="188"/>
      <c r="LB198" s="188"/>
      <c r="LC198" s="188"/>
      <c r="LD198" s="188"/>
      <c r="LE198" s="188"/>
      <c r="LF198" s="188"/>
      <c r="LG198" s="188"/>
      <c r="LH198" s="188"/>
      <c r="LI198" s="188"/>
      <c r="LJ198" s="188"/>
      <c r="LK198" s="189"/>
      <c r="LL198" s="187"/>
      <c r="LM198" s="188"/>
      <c r="LN198" s="188"/>
      <c r="LO198" s="188"/>
      <c r="LP198" s="189"/>
      <c r="LY198" s="12"/>
      <c r="LZ198" s="7"/>
      <c r="MA198" s="3"/>
      <c r="MB198" s="3"/>
      <c r="MC198" s="3"/>
      <c r="MD198" s="3"/>
      <c r="ME198" s="2"/>
      <c r="MS198" s="3"/>
      <c r="MT198" s="3"/>
      <c r="MU198" s="3"/>
      <c r="MV198" s="3"/>
      <c r="MW198" s="3"/>
      <c r="MX198" s="2"/>
    </row>
    <row r="199" spans="3:362" ht="5.0999999999999996" customHeight="1" x14ac:dyDescent="0.3">
      <c r="C199" s="11"/>
      <c r="D199" s="13"/>
      <c r="Q199" s="187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9"/>
      <c r="BF199" s="187"/>
      <c r="BG199" s="188"/>
      <c r="BH199" s="188"/>
      <c r="BI199" s="188"/>
      <c r="BJ199" s="189"/>
      <c r="FN199" s="187"/>
      <c r="FO199" s="188"/>
      <c r="FP199" s="188"/>
      <c r="FQ199" s="188"/>
      <c r="FR199" s="188"/>
      <c r="FS199" s="188"/>
      <c r="FT199" s="188"/>
      <c r="FU199" s="188"/>
      <c r="FV199" s="188"/>
      <c r="FW199" s="188"/>
      <c r="FX199" s="188"/>
      <c r="FY199" s="188"/>
      <c r="FZ199" s="188"/>
      <c r="GA199" s="188"/>
      <c r="GB199" s="188"/>
      <c r="GC199" s="188"/>
      <c r="GD199" s="188"/>
      <c r="GE199" s="188"/>
      <c r="GF199" s="188"/>
      <c r="GG199" s="188"/>
      <c r="GH199" s="188"/>
      <c r="GI199" s="188"/>
      <c r="GJ199" s="188"/>
      <c r="GK199" s="188"/>
      <c r="GL199" s="188"/>
      <c r="GM199" s="188"/>
      <c r="GN199" s="188"/>
      <c r="GO199" s="188"/>
      <c r="GP199" s="188"/>
      <c r="GQ199" s="188"/>
      <c r="GR199" s="188"/>
      <c r="GS199" s="188"/>
      <c r="GT199" s="188"/>
      <c r="GU199" s="188"/>
      <c r="GV199" s="188"/>
      <c r="GW199" s="188"/>
      <c r="GX199" s="188"/>
      <c r="GY199" s="188"/>
      <c r="GZ199" s="188"/>
      <c r="HA199" s="189"/>
      <c r="HB199" s="187"/>
      <c r="HC199" s="188"/>
      <c r="HD199" s="188"/>
      <c r="HE199" s="188"/>
      <c r="HF199" s="189"/>
      <c r="HP199" s="219"/>
      <c r="HQ199" s="220"/>
      <c r="HR199" s="220"/>
      <c r="HS199" s="220"/>
      <c r="HT199" s="220"/>
      <c r="HU199" s="220"/>
      <c r="HV199" s="220"/>
      <c r="HW199" s="220"/>
      <c r="HX199" s="220"/>
      <c r="HY199" s="220"/>
      <c r="HZ199" s="220"/>
      <c r="IA199" s="220"/>
      <c r="IB199" s="220"/>
      <c r="IC199" s="220"/>
      <c r="ID199" s="220"/>
      <c r="IE199" s="220"/>
      <c r="IF199" s="220"/>
      <c r="IG199" s="220"/>
      <c r="IH199" s="220"/>
      <c r="II199" s="220"/>
      <c r="IJ199" s="220"/>
      <c r="IK199" s="220"/>
      <c r="IL199" s="220"/>
      <c r="IM199" s="220"/>
      <c r="IN199" s="220"/>
      <c r="IO199" s="220"/>
      <c r="IP199" s="220"/>
      <c r="IQ199" s="220"/>
      <c r="IR199" s="220"/>
      <c r="IS199" s="220"/>
      <c r="IT199" s="220"/>
      <c r="IU199" s="220"/>
      <c r="IV199" s="220"/>
      <c r="IW199" s="220"/>
      <c r="IX199" s="220"/>
      <c r="IY199" s="220"/>
      <c r="IZ199" s="220"/>
      <c r="JA199" s="220"/>
      <c r="JB199" s="220"/>
      <c r="JC199" s="221"/>
      <c r="JD199" s="187"/>
      <c r="JE199" s="188"/>
      <c r="JF199" s="188"/>
      <c r="JG199" s="188"/>
      <c r="JH199" s="188"/>
      <c r="JI199" s="189"/>
      <c r="JP199" s="155"/>
      <c r="JT199" s="16"/>
      <c r="JW199" s="190"/>
      <c r="JX199" s="191"/>
      <c r="JY199" s="191"/>
      <c r="JZ199" s="191"/>
      <c r="KA199" s="191"/>
      <c r="KB199" s="191"/>
      <c r="KC199" s="191"/>
      <c r="KD199" s="191"/>
      <c r="KE199" s="191"/>
      <c r="KF199" s="191"/>
      <c r="KG199" s="191"/>
      <c r="KH199" s="191"/>
      <c r="KI199" s="191"/>
      <c r="KJ199" s="191"/>
      <c r="KK199" s="191"/>
      <c r="KL199" s="191"/>
      <c r="KM199" s="191"/>
      <c r="KN199" s="191"/>
      <c r="KO199" s="191"/>
      <c r="KP199" s="191"/>
      <c r="KQ199" s="191"/>
      <c r="KR199" s="191"/>
      <c r="KS199" s="191"/>
      <c r="KT199" s="191"/>
      <c r="KU199" s="191"/>
      <c r="KV199" s="191"/>
      <c r="KW199" s="191"/>
      <c r="KX199" s="191"/>
      <c r="KY199" s="191"/>
      <c r="KZ199" s="191"/>
      <c r="LA199" s="191"/>
      <c r="LB199" s="191"/>
      <c r="LC199" s="191"/>
      <c r="LD199" s="191"/>
      <c r="LE199" s="191"/>
      <c r="LF199" s="191"/>
      <c r="LG199" s="191"/>
      <c r="LH199" s="191"/>
      <c r="LI199" s="191"/>
      <c r="LJ199" s="191"/>
      <c r="LK199" s="192"/>
      <c r="LL199" s="190"/>
      <c r="LM199" s="191"/>
      <c r="LN199" s="191"/>
      <c r="LO199" s="191"/>
      <c r="LP199" s="192"/>
      <c r="LY199" s="12"/>
      <c r="LZ199" s="7"/>
      <c r="MA199" s="3"/>
      <c r="MB199" s="3"/>
      <c r="MC199" s="3"/>
      <c r="MD199" s="3"/>
      <c r="ME199" s="2"/>
      <c r="MS199" s="3"/>
      <c r="MT199" s="3"/>
      <c r="MU199" s="3"/>
      <c r="MV199" s="3"/>
      <c r="MW199" s="3"/>
      <c r="MX199" s="2"/>
    </row>
    <row r="200" spans="3:362" ht="5.0999999999999996" customHeight="1" x14ac:dyDescent="0.3">
      <c r="C200" s="11"/>
      <c r="D200" s="13"/>
      <c r="Q200" s="190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2"/>
      <c r="BF200" s="190"/>
      <c r="BG200" s="191"/>
      <c r="BH200" s="191"/>
      <c r="BI200" s="191"/>
      <c r="BJ200" s="192"/>
      <c r="FN200" s="190"/>
      <c r="FO200" s="191"/>
      <c r="FP200" s="191"/>
      <c r="FQ200" s="191"/>
      <c r="FR200" s="191"/>
      <c r="FS200" s="191"/>
      <c r="FT200" s="191"/>
      <c r="FU200" s="191"/>
      <c r="FV200" s="191"/>
      <c r="FW200" s="191"/>
      <c r="FX200" s="191"/>
      <c r="FY200" s="191"/>
      <c r="FZ200" s="191"/>
      <c r="GA200" s="191"/>
      <c r="GB200" s="191"/>
      <c r="GC200" s="191"/>
      <c r="GD200" s="191"/>
      <c r="GE200" s="191"/>
      <c r="GF200" s="191"/>
      <c r="GG200" s="191"/>
      <c r="GH200" s="191"/>
      <c r="GI200" s="191"/>
      <c r="GJ200" s="191"/>
      <c r="GK200" s="191"/>
      <c r="GL200" s="191"/>
      <c r="GM200" s="191"/>
      <c r="GN200" s="191"/>
      <c r="GO200" s="191"/>
      <c r="GP200" s="191"/>
      <c r="GQ200" s="191"/>
      <c r="GR200" s="191"/>
      <c r="GS200" s="191"/>
      <c r="GT200" s="191"/>
      <c r="GU200" s="191"/>
      <c r="GV200" s="191"/>
      <c r="GW200" s="191"/>
      <c r="GX200" s="191"/>
      <c r="GY200" s="191"/>
      <c r="GZ200" s="191"/>
      <c r="HA200" s="192"/>
      <c r="HB200" s="190"/>
      <c r="HC200" s="191"/>
      <c r="HD200" s="191"/>
      <c r="HE200" s="191"/>
      <c r="HF200" s="192"/>
      <c r="HP200" s="219"/>
      <c r="HQ200" s="220"/>
      <c r="HR200" s="220"/>
      <c r="HS200" s="220"/>
      <c r="HT200" s="220"/>
      <c r="HU200" s="220"/>
      <c r="HV200" s="220"/>
      <c r="HW200" s="220"/>
      <c r="HX200" s="220"/>
      <c r="HY200" s="220"/>
      <c r="HZ200" s="220"/>
      <c r="IA200" s="220"/>
      <c r="IB200" s="220"/>
      <c r="IC200" s="220"/>
      <c r="ID200" s="220"/>
      <c r="IE200" s="220"/>
      <c r="IF200" s="220"/>
      <c r="IG200" s="220"/>
      <c r="IH200" s="220"/>
      <c r="II200" s="220"/>
      <c r="IJ200" s="220"/>
      <c r="IK200" s="220"/>
      <c r="IL200" s="220"/>
      <c r="IM200" s="220"/>
      <c r="IN200" s="220"/>
      <c r="IO200" s="220"/>
      <c r="IP200" s="220"/>
      <c r="IQ200" s="220"/>
      <c r="IR200" s="220"/>
      <c r="IS200" s="220"/>
      <c r="IT200" s="220"/>
      <c r="IU200" s="220"/>
      <c r="IV200" s="220"/>
      <c r="IW200" s="220"/>
      <c r="IX200" s="220"/>
      <c r="IY200" s="220"/>
      <c r="IZ200" s="220"/>
      <c r="JA200" s="220"/>
      <c r="JB200" s="220"/>
      <c r="JC200" s="221"/>
      <c r="JD200" s="187"/>
      <c r="JE200" s="188"/>
      <c r="JF200" s="188"/>
      <c r="JG200" s="188"/>
      <c r="JH200" s="188"/>
      <c r="JI200" s="189"/>
      <c r="JP200" s="155"/>
      <c r="JT200" s="16"/>
      <c r="JW200" s="184" t="s">
        <v>63</v>
      </c>
      <c r="JX200" s="185"/>
      <c r="JY200" s="185"/>
      <c r="JZ200" s="185"/>
      <c r="KA200" s="185"/>
      <c r="KB200" s="185"/>
      <c r="KC200" s="185"/>
      <c r="KD200" s="185"/>
      <c r="KE200" s="185"/>
      <c r="KF200" s="185"/>
      <c r="KG200" s="185"/>
      <c r="KH200" s="185"/>
      <c r="KI200" s="185"/>
      <c r="KJ200" s="185"/>
      <c r="KK200" s="185"/>
      <c r="KL200" s="185"/>
      <c r="KM200" s="185"/>
      <c r="KN200" s="185"/>
      <c r="KO200" s="185"/>
      <c r="KP200" s="185"/>
      <c r="KQ200" s="185"/>
      <c r="KR200" s="185"/>
      <c r="KS200" s="185"/>
      <c r="KT200" s="185"/>
      <c r="KU200" s="185"/>
      <c r="KV200" s="185"/>
      <c r="KW200" s="185"/>
      <c r="KX200" s="185"/>
      <c r="KY200" s="185"/>
      <c r="KZ200" s="185"/>
      <c r="LA200" s="185"/>
      <c r="LB200" s="185"/>
      <c r="LC200" s="185"/>
      <c r="LD200" s="185"/>
      <c r="LE200" s="185"/>
      <c r="LF200" s="185"/>
      <c r="LG200" s="185"/>
      <c r="LH200" s="185"/>
      <c r="LI200" s="185"/>
      <c r="LJ200" s="185"/>
      <c r="LK200" s="186"/>
      <c r="LL200" s="184">
        <v>1</v>
      </c>
      <c r="LM200" s="185"/>
      <c r="LN200" s="185"/>
      <c r="LO200" s="185"/>
      <c r="LP200" s="186"/>
      <c r="LY200" s="12"/>
      <c r="LZ200" s="7"/>
      <c r="MA200" s="3"/>
      <c r="MB200" s="3"/>
      <c r="MC200" s="3"/>
      <c r="MD200" s="3"/>
      <c r="ME200" s="2"/>
      <c r="MS200" s="3"/>
      <c r="MT200" s="3"/>
      <c r="MU200" s="3"/>
      <c r="MV200" s="3"/>
      <c r="MW200" s="3"/>
      <c r="MX200" s="2"/>
    </row>
    <row r="201" spans="3:362" ht="5.0999999999999996" customHeight="1" x14ac:dyDescent="0.3">
      <c r="C201" s="11"/>
      <c r="D201" s="13"/>
      <c r="Q201" s="184" t="s">
        <v>63</v>
      </c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6"/>
      <c r="BF201" s="184">
        <v>2</v>
      </c>
      <c r="BG201" s="185"/>
      <c r="BH201" s="185"/>
      <c r="BI201" s="185"/>
      <c r="BJ201" s="186"/>
      <c r="HP201" s="219"/>
      <c r="HQ201" s="220"/>
      <c r="HR201" s="220"/>
      <c r="HS201" s="220"/>
      <c r="HT201" s="220"/>
      <c r="HU201" s="220"/>
      <c r="HV201" s="220"/>
      <c r="HW201" s="220"/>
      <c r="HX201" s="220"/>
      <c r="HY201" s="220"/>
      <c r="HZ201" s="220"/>
      <c r="IA201" s="220"/>
      <c r="IB201" s="220"/>
      <c r="IC201" s="220"/>
      <c r="ID201" s="220"/>
      <c r="IE201" s="220"/>
      <c r="IF201" s="220"/>
      <c r="IG201" s="220"/>
      <c r="IH201" s="220"/>
      <c r="II201" s="220"/>
      <c r="IJ201" s="220"/>
      <c r="IK201" s="220"/>
      <c r="IL201" s="220"/>
      <c r="IM201" s="220"/>
      <c r="IN201" s="220"/>
      <c r="IO201" s="220"/>
      <c r="IP201" s="220"/>
      <c r="IQ201" s="220"/>
      <c r="IR201" s="220"/>
      <c r="IS201" s="220"/>
      <c r="IT201" s="220"/>
      <c r="IU201" s="220"/>
      <c r="IV201" s="220"/>
      <c r="IW201" s="220"/>
      <c r="IX201" s="220"/>
      <c r="IY201" s="220"/>
      <c r="IZ201" s="220"/>
      <c r="JA201" s="220"/>
      <c r="JB201" s="220"/>
      <c r="JC201" s="221"/>
      <c r="JD201" s="187"/>
      <c r="JE201" s="188"/>
      <c r="JF201" s="188"/>
      <c r="JG201" s="188"/>
      <c r="JH201" s="188"/>
      <c r="JI201" s="189"/>
      <c r="JP201" s="155"/>
      <c r="JT201" s="16"/>
      <c r="JW201" s="187"/>
      <c r="JX201" s="188"/>
      <c r="JY201" s="188"/>
      <c r="JZ201" s="188"/>
      <c r="KA201" s="188"/>
      <c r="KB201" s="188"/>
      <c r="KC201" s="188"/>
      <c r="KD201" s="188"/>
      <c r="KE201" s="188"/>
      <c r="KF201" s="188"/>
      <c r="KG201" s="188"/>
      <c r="KH201" s="188"/>
      <c r="KI201" s="188"/>
      <c r="KJ201" s="188"/>
      <c r="KK201" s="188"/>
      <c r="KL201" s="188"/>
      <c r="KM201" s="188"/>
      <c r="KN201" s="188"/>
      <c r="KO201" s="188"/>
      <c r="KP201" s="188"/>
      <c r="KQ201" s="188"/>
      <c r="KR201" s="188"/>
      <c r="KS201" s="188"/>
      <c r="KT201" s="188"/>
      <c r="KU201" s="188"/>
      <c r="KV201" s="188"/>
      <c r="KW201" s="188"/>
      <c r="KX201" s="188"/>
      <c r="KY201" s="188"/>
      <c r="KZ201" s="188"/>
      <c r="LA201" s="188"/>
      <c r="LB201" s="188"/>
      <c r="LC201" s="188"/>
      <c r="LD201" s="188"/>
      <c r="LE201" s="188"/>
      <c r="LF201" s="188"/>
      <c r="LG201" s="188"/>
      <c r="LH201" s="188"/>
      <c r="LI201" s="188"/>
      <c r="LJ201" s="188"/>
      <c r="LK201" s="189"/>
      <c r="LL201" s="187"/>
      <c r="LM201" s="188"/>
      <c r="LN201" s="188"/>
      <c r="LO201" s="188"/>
      <c r="LP201" s="189"/>
      <c r="LY201" s="12"/>
      <c r="LZ201" s="7"/>
      <c r="MA201" s="3"/>
      <c r="MB201" s="3"/>
      <c r="MC201" s="3"/>
      <c r="MD201" s="3"/>
      <c r="ME201" s="2"/>
      <c r="MS201" s="3"/>
      <c r="MT201" s="3"/>
      <c r="MU201" s="3"/>
      <c r="MV201" s="3"/>
      <c r="MW201" s="3"/>
      <c r="MX201" s="2"/>
    </row>
    <row r="202" spans="3:362" ht="5.0999999999999996" customHeight="1" x14ac:dyDescent="0.3">
      <c r="C202" s="11"/>
      <c r="D202" s="13"/>
      <c r="Q202" s="187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9"/>
      <c r="BF202" s="187"/>
      <c r="BG202" s="188"/>
      <c r="BH202" s="188"/>
      <c r="BI202" s="188"/>
      <c r="BJ202" s="189"/>
      <c r="HP202" s="222"/>
      <c r="HQ202" s="223"/>
      <c r="HR202" s="223"/>
      <c r="HS202" s="223"/>
      <c r="HT202" s="223"/>
      <c r="HU202" s="223"/>
      <c r="HV202" s="223"/>
      <c r="HW202" s="223"/>
      <c r="HX202" s="223"/>
      <c r="HY202" s="223"/>
      <c r="HZ202" s="223"/>
      <c r="IA202" s="223"/>
      <c r="IB202" s="223"/>
      <c r="IC202" s="223"/>
      <c r="ID202" s="223"/>
      <c r="IE202" s="223"/>
      <c r="IF202" s="223"/>
      <c r="IG202" s="223"/>
      <c r="IH202" s="223"/>
      <c r="II202" s="223"/>
      <c r="IJ202" s="223"/>
      <c r="IK202" s="223"/>
      <c r="IL202" s="223"/>
      <c r="IM202" s="223"/>
      <c r="IN202" s="223"/>
      <c r="IO202" s="223"/>
      <c r="IP202" s="223"/>
      <c r="IQ202" s="223"/>
      <c r="IR202" s="223"/>
      <c r="IS202" s="223"/>
      <c r="IT202" s="223"/>
      <c r="IU202" s="223"/>
      <c r="IV202" s="223"/>
      <c r="IW202" s="223"/>
      <c r="IX202" s="223"/>
      <c r="IY202" s="223"/>
      <c r="IZ202" s="223"/>
      <c r="JA202" s="223"/>
      <c r="JB202" s="223"/>
      <c r="JC202" s="224"/>
      <c r="JD202" s="190"/>
      <c r="JE202" s="191"/>
      <c r="JF202" s="191"/>
      <c r="JG202" s="191"/>
      <c r="JH202" s="191"/>
      <c r="JI202" s="192"/>
      <c r="JP202" s="155"/>
      <c r="JT202" s="16"/>
      <c r="JW202" s="187"/>
      <c r="JX202" s="188"/>
      <c r="JY202" s="188"/>
      <c r="JZ202" s="188"/>
      <c r="KA202" s="188"/>
      <c r="KB202" s="188"/>
      <c r="KC202" s="188"/>
      <c r="KD202" s="188"/>
      <c r="KE202" s="188"/>
      <c r="KF202" s="188"/>
      <c r="KG202" s="188"/>
      <c r="KH202" s="188"/>
      <c r="KI202" s="188"/>
      <c r="KJ202" s="188"/>
      <c r="KK202" s="188"/>
      <c r="KL202" s="188"/>
      <c r="KM202" s="188"/>
      <c r="KN202" s="188"/>
      <c r="KO202" s="188"/>
      <c r="KP202" s="188"/>
      <c r="KQ202" s="188"/>
      <c r="KR202" s="188"/>
      <c r="KS202" s="188"/>
      <c r="KT202" s="188"/>
      <c r="KU202" s="188"/>
      <c r="KV202" s="188"/>
      <c r="KW202" s="188"/>
      <c r="KX202" s="188"/>
      <c r="KY202" s="188"/>
      <c r="KZ202" s="188"/>
      <c r="LA202" s="188"/>
      <c r="LB202" s="188"/>
      <c r="LC202" s="188"/>
      <c r="LD202" s="188"/>
      <c r="LE202" s="188"/>
      <c r="LF202" s="188"/>
      <c r="LG202" s="188"/>
      <c r="LH202" s="188"/>
      <c r="LI202" s="188"/>
      <c r="LJ202" s="188"/>
      <c r="LK202" s="189"/>
      <c r="LL202" s="187"/>
      <c r="LM202" s="188"/>
      <c r="LN202" s="188"/>
      <c r="LO202" s="188"/>
      <c r="LP202" s="189"/>
      <c r="LY202" s="12"/>
      <c r="LZ202" s="7"/>
      <c r="MA202" s="3"/>
      <c r="MB202" s="3"/>
      <c r="MC202" s="3"/>
      <c r="MD202" s="3"/>
      <c r="ME202" s="2"/>
      <c r="MS202" s="3"/>
      <c r="MT202" s="3"/>
      <c r="MU202" s="3"/>
      <c r="MV202" s="3"/>
      <c r="MW202" s="3"/>
      <c r="MX202" s="2"/>
    </row>
    <row r="203" spans="3:362" ht="5.0999999999999996" customHeight="1" x14ac:dyDescent="0.3">
      <c r="C203" s="11"/>
      <c r="D203" s="13"/>
      <c r="Q203" s="187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  <c r="BD203" s="188"/>
      <c r="BE203" s="189"/>
      <c r="BF203" s="187"/>
      <c r="BG203" s="188"/>
      <c r="BH203" s="188"/>
      <c r="BI203" s="188"/>
      <c r="BJ203" s="189"/>
      <c r="JP203" s="155"/>
      <c r="JT203" s="16"/>
      <c r="JW203" s="187"/>
      <c r="JX203" s="188"/>
      <c r="JY203" s="188"/>
      <c r="JZ203" s="188"/>
      <c r="KA203" s="188"/>
      <c r="KB203" s="188"/>
      <c r="KC203" s="188"/>
      <c r="KD203" s="188"/>
      <c r="KE203" s="188"/>
      <c r="KF203" s="188"/>
      <c r="KG203" s="188"/>
      <c r="KH203" s="188"/>
      <c r="KI203" s="188"/>
      <c r="KJ203" s="188"/>
      <c r="KK203" s="188"/>
      <c r="KL203" s="188"/>
      <c r="KM203" s="188"/>
      <c r="KN203" s="188"/>
      <c r="KO203" s="188"/>
      <c r="KP203" s="188"/>
      <c r="KQ203" s="188"/>
      <c r="KR203" s="188"/>
      <c r="KS203" s="188"/>
      <c r="KT203" s="188"/>
      <c r="KU203" s="188"/>
      <c r="KV203" s="188"/>
      <c r="KW203" s="188"/>
      <c r="KX203" s="188"/>
      <c r="KY203" s="188"/>
      <c r="KZ203" s="188"/>
      <c r="LA203" s="188"/>
      <c r="LB203" s="188"/>
      <c r="LC203" s="188"/>
      <c r="LD203" s="188"/>
      <c r="LE203" s="188"/>
      <c r="LF203" s="188"/>
      <c r="LG203" s="188"/>
      <c r="LH203" s="188"/>
      <c r="LI203" s="188"/>
      <c r="LJ203" s="188"/>
      <c r="LK203" s="189"/>
      <c r="LL203" s="187"/>
      <c r="LM203" s="188"/>
      <c r="LN203" s="188"/>
      <c r="LO203" s="188"/>
      <c r="LP203" s="189"/>
      <c r="LY203" s="12"/>
      <c r="LZ203" s="7"/>
      <c r="MA203" s="3"/>
      <c r="MB203" s="3"/>
      <c r="MC203" s="3"/>
      <c r="MD203" s="3"/>
      <c r="ME203" s="2"/>
      <c r="MS203" s="3"/>
      <c r="MT203" s="3"/>
      <c r="MU203" s="3"/>
      <c r="MV203" s="3"/>
      <c r="MW203" s="3"/>
      <c r="MX203" s="2"/>
    </row>
    <row r="204" spans="3:362" ht="5.0999999999999996" customHeight="1" x14ac:dyDescent="0.3">
      <c r="C204" s="11"/>
      <c r="D204" s="13"/>
      <c r="Q204" s="187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  <c r="BD204" s="188"/>
      <c r="BE204" s="189"/>
      <c r="BF204" s="187"/>
      <c r="BG204" s="188"/>
      <c r="BH204" s="188"/>
      <c r="BI204" s="188"/>
      <c r="BJ204" s="189"/>
      <c r="JP204" s="155"/>
      <c r="JT204" s="16"/>
      <c r="JW204" s="187"/>
      <c r="JX204" s="188"/>
      <c r="JY204" s="188"/>
      <c r="JZ204" s="188"/>
      <c r="KA204" s="188"/>
      <c r="KB204" s="188"/>
      <c r="KC204" s="188"/>
      <c r="KD204" s="188"/>
      <c r="KE204" s="188"/>
      <c r="KF204" s="188"/>
      <c r="KG204" s="188"/>
      <c r="KH204" s="188"/>
      <c r="KI204" s="188"/>
      <c r="KJ204" s="188"/>
      <c r="KK204" s="188"/>
      <c r="KL204" s="188"/>
      <c r="KM204" s="188"/>
      <c r="KN204" s="188"/>
      <c r="KO204" s="188"/>
      <c r="KP204" s="188"/>
      <c r="KQ204" s="188"/>
      <c r="KR204" s="188"/>
      <c r="KS204" s="188"/>
      <c r="KT204" s="188"/>
      <c r="KU204" s="188"/>
      <c r="KV204" s="188"/>
      <c r="KW204" s="188"/>
      <c r="KX204" s="188"/>
      <c r="KY204" s="188"/>
      <c r="KZ204" s="188"/>
      <c r="LA204" s="188"/>
      <c r="LB204" s="188"/>
      <c r="LC204" s="188"/>
      <c r="LD204" s="188"/>
      <c r="LE204" s="188"/>
      <c r="LF204" s="188"/>
      <c r="LG204" s="188"/>
      <c r="LH204" s="188"/>
      <c r="LI204" s="188"/>
      <c r="LJ204" s="188"/>
      <c r="LK204" s="189"/>
      <c r="LL204" s="187"/>
      <c r="LM204" s="188"/>
      <c r="LN204" s="188"/>
      <c r="LO204" s="188"/>
      <c r="LP204" s="189"/>
      <c r="LY204" s="12"/>
      <c r="LZ204" s="7"/>
      <c r="MA204" s="3"/>
      <c r="MB204" s="3"/>
      <c r="MC204" s="3"/>
      <c r="MD204" s="3"/>
      <c r="ME204" s="2"/>
      <c r="MS204" s="3"/>
      <c r="MT204" s="3"/>
      <c r="MU204" s="3"/>
      <c r="MV204" s="3"/>
      <c r="MW204" s="3"/>
      <c r="MX204" s="2"/>
    </row>
    <row r="205" spans="3:362" ht="5.0999999999999996" customHeight="1" x14ac:dyDescent="0.3">
      <c r="C205" s="11"/>
      <c r="D205" s="13"/>
      <c r="Q205" s="187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  <c r="BE205" s="189"/>
      <c r="BF205" s="187"/>
      <c r="BG205" s="188"/>
      <c r="BH205" s="188"/>
      <c r="BI205" s="188"/>
      <c r="BJ205" s="189"/>
      <c r="JP205" s="155"/>
      <c r="JT205" s="16"/>
      <c r="JW205" s="187"/>
      <c r="JX205" s="188"/>
      <c r="JY205" s="188"/>
      <c r="JZ205" s="188"/>
      <c r="KA205" s="188"/>
      <c r="KB205" s="188"/>
      <c r="KC205" s="188"/>
      <c r="KD205" s="188"/>
      <c r="KE205" s="188"/>
      <c r="KF205" s="188"/>
      <c r="KG205" s="188"/>
      <c r="KH205" s="188"/>
      <c r="KI205" s="188"/>
      <c r="KJ205" s="188"/>
      <c r="KK205" s="188"/>
      <c r="KL205" s="188"/>
      <c r="KM205" s="188"/>
      <c r="KN205" s="188"/>
      <c r="KO205" s="188"/>
      <c r="KP205" s="188"/>
      <c r="KQ205" s="188"/>
      <c r="KR205" s="188"/>
      <c r="KS205" s="188"/>
      <c r="KT205" s="188"/>
      <c r="KU205" s="188"/>
      <c r="KV205" s="188"/>
      <c r="KW205" s="188"/>
      <c r="KX205" s="188"/>
      <c r="KY205" s="188"/>
      <c r="KZ205" s="188"/>
      <c r="LA205" s="188"/>
      <c r="LB205" s="188"/>
      <c r="LC205" s="188"/>
      <c r="LD205" s="188"/>
      <c r="LE205" s="188"/>
      <c r="LF205" s="188"/>
      <c r="LG205" s="188"/>
      <c r="LH205" s="188"/>
      <c r="LI205" s="188"/>
      <c r="LJ205" s="188"/>
      <c r="LK205" s="189"/>
      <c r="LL205" s="187"/>
      <c r="LM205" s="188"/>
      <c r="LN205" s="188"/>
      <c r="LO205" s="188"/>
      <c r="LP205" s="189"/>
      <c r="LY205" s="12"/>
      <c r="LZ205" s="7"/>
      <c r="MA205" s="3"/>
      <c r="MB205" s="3"/>
      <c r="MC205" s="3"/>
      <c r="MD205" s="3"/>
      <c r="ME205" s="2"/>
      <c r="MS205" s="3"/>
      <c r="MT205" s="3"/>
      <c r="MU205" s="3"/>
      <c r="MV205" s="3"/>
      <c r="MW205" s="3"/>
      <c r="MX205" s="2"/>
    </row>
    <row r="206" spans="3:362" ht="5.0999999999999996" customHeight="1" x14ac:dyDescent="0.3">
      <c r="C206" s="11"/>
      <c r="D206" s="13"/>
      <c r="Q206" s="187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  <c r="BD206" s="188"/>
      <c r="BE206" s="189"/>
      <c r="BF206" s="187"/>
      <c r="BG206" s="188"/>
      <c r="BH206" s="188"/>
      <c r="BI206" s="188"/>
      <c r="BJ206" s="189"/>
      <c r="JP206" s="155"/>
      <c r="JT206" s="16"/>
      <c r="JW206" s="187"/>
      <c r="JX206" s="188"/>
      <c r="JY206" s="188"/>
      <c r="JZ206" s="188"/>
      <c r="KA206" s="188"/>
      <c r="KB206" s="188"/>
      <c r="KC206" s="188"/>
      <c r="KD206" s="188"/>
      <c r="KE206" s="188"/>
      <c r="KF206" s="188"/>
      <c r="KG206" s="188"/>
      <c r="KH206" s="188"/>
      <c r="KI206" s="188"/>
      <c r="KJ206" s="188"/>
      <c r="KK206" s="188"/>
      <c r="KL206" s="188"/>
      <c r="KM206" s="188"/>
      <c r="KN206" s="188"/>
      <c r="KO206" s="188"/>
      <c r="KP206" s="188"/>
      <c r="KQ206" s="188"/>
      <c r="KR206" s="188"/>
      <c r="KS206" s="188"/>
      <c r="KT206" s="188"/>
      <c r="KU206" s="188"/>
      <c r="KV206" s="188"/>
      <c r="KW206" s="188"/>
      <c r="KX206" s="188"/>
      <c r="KY206" s="188"/>
      <c r="KZ206" s="188"/>
      <c r="LA206" s="188"/>
      <c r="LB206" s="188"/>
      <c r="LC206" s="188"/>
      <c r="LD206" s="188"/>
      <c r="LE206" s="188"/>
      <c r="LF206" s="188"/>
      <c r="LG206" s="188"/>
      <c r="LH206" s="188"/>
      <c r="LI206" s="188"/>
      <c r="LJ206" s="188"/>
      <c r="LK206" s="189"/>
      <c r="LL206" s="187"/>
      <c r="LM206" s="188"/>
      <c r="LN206" s="188"/>
      <c r="LO206" s="188"/>
      <c r="LP206" s="189"/>
      <c r="LY206" s="12"/>
      <c r="LZ206" s="7"/>
      <c r="MA206" s="3"/>
      <c r="MB206" s="3"/>
      <c r="MC206" s="3"/>
      <c r="MD206" s="3"/>
      <c r="ME206" s="2"/>
      <c r="MS206" s="3"/>
      <c r="MT206" s="3"/>
      <c r="MU206" s="3"/>
      <c r="MV206" s="3"/>
      <c r="MW206" s="3"/>
      <c r="MX206" s="2"/>
    </row>
    <row r="207" spans="3:362" ht="5.0999999999999996" customHeight="1" x14ac:dyDescent="0.3">
      <c r="C207" s="11"/>
      <c r="D207" s="13"/>
      <c r="Q207" s="187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E207" s="189"/>
      <c r="BF207" s="187"/>
      <c r="BG207" s="188"/>
      <c r="BH207" s="188"/>
      <c r="BI207" s="188"/>
      <c r="BJ207" s="189"/>
      <c r="JP207" s="155"/>
      <c r="JT207" s="16"/>
      <c r="JW207" s="187"/>
      <c r="JX207" s="188"/>
      <c r="JY207" s="188"/>
      <c r="JZ207" s="188"/>
      <c r="KA207" s="188"/>
      <c r="KB207" s="188"/>
      <c r="KC207" s="188"/>
      <c r="KD207" s="188"/>
      <c r="KE207" s="188"/>
      <c r="KF207" s="188"/>
      <c r="KG207" s="188"/>
      <c r="KH207" s="188"/>
      <c r="KI207" s="188"/>
      <c r="KJ207" s="188"/>
      <c r="KK207" s="188"/>
      <c r="KL207" s="188"/>
      <c r="KM207" s="188"/>
      <c r="KN207" s="188"/>
      <c r="KO207" s="188"/>
      <c r="KP207" s="188"/>
      <c r="KQ207" s="188"/>
      <c r="KR207" s="188"/>
      <c r="KS207" s="188"/>
      <c r="KT207" s="188"/>
      <c r="KU207" s="188"/>
      <c r="KV207" s="188"/>
      <c r="KW207" s="188"/>
      <c r="KX207" s="188"/>
      <c r="KY207" s="188"/>
      <c r="KZ207" s="188"/>
      <c r="LA207" s="188"/>
      <c r="LB207" s="188"/>
      <c r="LC207" s="188"/>
      <c r="LD207" s="188"/>
      <c r="LE207" s="188"/>
      <c r="LF207" s="188"/>
      <c r="LG207" s="188"/>
      <c r="LH207" s="188"/>
      <c r="LI207" s="188"/>
      <c r="LJ207" s="188"/>
      <c r="LK207" s="189"/>
      <c r="LL207" s="187"/>
      <c r="LM207" s="188"/>
      <c r="LN207" s="188"/>
      <c r="LO207" s="188"/>
      <c r="LP207" s="189"/>
      <c r="LY207" s="12"/>
      <c r="LZ207" s="7"/>
      <c r="MA207" s="3"/>
      <c r="MB207" s="3"/>
      <c r="MC207" s="3"/>
      <c r="MD207" s="3"/>
      <c r="ME207" s="2"/>
      <c r="MS207" s="3"/>
      <c r="MT207" s="3"/>
      <c r="MU207" s="3"/>
      <c r="MV207" s="3"/>
      <c r="MW207" s="3"/>
      <c r="MX207" s="2"/>
    </row>
    <row r="208" spans="3:362" ht="5.0999999999999996" customHeight="1" x14ac:dyDescent="0.3">
      <c r="C208" s="11"/>
      <c r="D208" s="13"/>
      <c r="Q208" s="187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E208" s="189"/>
      <c r="BF208" s="187"/>
      <c r="BG208" s="188"/>
      <c r="BH208" s="188"/>
      <c r="BI208" s="188"/>
      <c r="BJ208" s="189"/>
      <c r="JP208" s="155"/>
      <c r="JT208" s="16"/>
      <c r="JW208" s="187"/>
      <c r="JX208" s="188"/>
      <c r="JY208" s="188"/>
      <c r="JZ208" s="188"/>
      <c r="KA208" s="188"/>
      <c r="KB208" s="188"/>
      <c r="KC208" s="188"/>
      <c r="KD208" s="188"/>
      <c r="KE208" s="188"/>
      <c r="KF208" s="188"/>
      <c r="KG208" s="188"/>
      <c r="KH208" s="188"/>
      <c r="KI208" s="188"/>
      <c r="KJ208" s="188"/>
      <c r="KK208" s="188"/>
      <c r="KL208" s="188"/>
      <c r="KM208" s="188"/>
      <c r="KN208" s="188"/>
      <c r="KO208" s="188"/>
      <c r="KP208" s="188"/>
      <c r="KQ208" s="188"/>
      <c r="KR208" s="188"/>
      <c r="KS208" s="188"/>
      <c r="KT208" s="188"/>
      <c r="KU208" s="188"/>
      <c r="KV208" s="188"/>
      <c r="KW208" s="188"/>
      <c r="KX208" s="188"/>
      <c r="KY208" s="188"/>
      <c r="KZ208" s="188"/>
      <c r="LA208" s="188"/>
      <c r="LB208" s="188"/>
      <c r="LC208" s="188"/>
      <c r="LD208" s="188"/>
      <c r="LE208" s="188"/>
      <c r="LF208" s="188"/>
      <c r="LG208" s="188"/>
      <c r="LH208" s="188"/>
      <c r="LI208" s="188"/>
      <c r="LJ208" s="188"/>
      <c r="LK208" s="189"/>
      <c r="LL208" s="187"/>
      <c r="LM208" s="188"/>
      <c r="LN208" s="188"/>
      <c r="LO208" s="188"/>
      <c r="LP208" s="189"/>
      <c r="LY208" s="12"/>
      <c r="LZ208" s="7"/>
    </row>
    <row r="209" spans="3:338" ht="5.0999999999999996" customHeight="1" x14ac:dyDescent="0.3">
      <c r="C209" s="11"/>
      <c r="D209" s="13"/>
      <c r="Q209" s="187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9"/>
      <c r="BF209" s="187"/>
      <c r="BG209" s="188"/>
      <c r="BH209" s="188"/>
      <c r="BI209" s="188"/>
      <c r="BJ209" s="189"/>
      <c r="JP209" s="155"/>
      <c r="JT209" s="16"/>
      <c r="JW209" s="190"/>
      <c r="JX209" s="191"/>
      <c r="JY209" s="191"/>
      <c r="JZ209" s="191"/>
      <c r="KA209" s="191"/>
      <c r="KB209" s="191"/>
      <c r="KC209" s="191"/>
      <c r="KD209" s="191"/>
      <c r="KE209" s="191"/>
      <c r="KF209" s="191"/>
      <c r="KG209" s="191"/>
      <c r="KH209" s="191"/>
      <c r="KI209" s="191"/>
      <c r="KJ209" s="191"/>
      <c r="KK209" s="191"/>
      <c r="KL209" s="191"/>
      <c r="KM209" s="191"/>
      <c r="KN209" s="191"/>
      <c r="KO209" s="191"/>
      <c r="KP209" s="191"/>
      <c r="KQ209" s="191"/>
      <c r="KR209" s="191"/>
      <c r="KS209" s="191"/>
      <c r="KT209" s="191"/>
      <c r="KU209" s="191"/>
      <c r="KV209" s="191"/>
      <c r="KW209" s="191"/>
      <c r="KX209" s="191"/>
      <c r="KY209" s="191"/>
      <c r="KZ209" s="191"/>
      <c r="LA209" s="191"/>
      <c r="LB209" s="191"/>
      <c r="LC209" s="191"/>
      <c r="LD209" s="191"/>
      <c r="LE209" s="191"/>
      <c r="LF209" s="191"/>
      <c r="LG209" s="191"/>
      <c r="LH209" s="191"/>
      <c r="LI209" s="191"/>
      <c r="LJ209" s="191"/>
      <c r="LK209" s="192"/>
      <c r="LL209" s="190"/>
      <c r="LM209" s="191"/>
      <c r="LN209" s="191"/>
      <c r="LO209" s="191"/>
      <c r="LP209" s="192"/>
      <c r="LY209" s="12"/>
      <c r="LZ209" s="7"/>
    </row>
    <row r="210" spans="3:338" ht="5.0999999999999996" customHeight="1" x14ac:dyDescent="0.3">
      <c r="C210" s="11"/>
      <c r="D210" s="13"/>
      <c r="Q210" s="190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2"/>
      <c r="BF210" s="190"/>
      <c r="BG210" s="191"/>
      <c r="BH210" s="191"/>
      <c r="BI210" s="191"/>
      <c r="BJ210" s="192"/>
      <c r="JP210" s="155"/>
      <c r="JT210" s="16"/>
      <c r="JW210" s="184" t="s">
        <v>41</v>
      </c>
      <c r="JX210" s="185"/>
      <c r="JY210" s="185"/>
      <c r="JZ210" s="185"/>
      <c r="KA210" s="185"/>
      <c r="KB210" s="185"/>
      <c r="KC210" s="185"/>
      <c r="KD210" s="185"/>
      <c r="KE210" s="185"/>
      <c r="KF210" s="185"/>
      <c r="KG210" s="185"/>
      <c r="KH210" s="185"/>
      <c r="KI210" s="185"/>
      <c r="KJ210" s="185"/>
      <c r="KK210" s="185"/>
      <c r="KL210" s="185"/>
      <c r="KM210" s="185"/>
      <c r="KN210" s="185"/>
      <c r="KO210" s="185"/>
      <c r="KP210" s="185"/>
      <c r="KQ210" s="185"/>
      <c r="KR210" s="185"/>
      <c r="KS210" s="185"/>
      <c r="KT210" s="185"/>
      <c r="KU210" s="185"/>
      <c r="KV210" s="185"/>
      <c r="KW210" s="185"/>
      <c r="KX210" s="185"/>
      <c r="KY210" s="185"/>
      <c r="KZ210" s="185"/>
      <c r="LA210" s="185"/>
      <c r="LB210" s="185"/>
      <c r="LC210" s="185"/>
      <c r="LD210" s="185"/>
      <c r="LE210" s="185"/>
      <c r="LF210" s="185"/>
      <c r="LG210" s="185"/>
      <c r="LH210" s="185"/>
      <c r="LI210" s="185"/>
      <c r="LJ210" s="185"/>
      <c r="LK210" s="186"/>
      <c r="LL210" s="184">
        <v>2</v>
      </c>
      <c r="LM210" s="185"/>
      <c r="LN210" s="185"/>
      <c r="LO210" s="185"/>
      <c r="LP210" s="186"/>
      <c r="LY210" s="12"/>
      <c r="LZ210" s="7"/>
    </row>
    <row r="211" spans="3:338" ht="5.0999999999999996" customHeight="1" x14ac:dyDescent="0.3">
      <c r="C211" s="11"/>
      <c r="D211" s="13"/>
      <c r="Q211" s="184" t="s">
        <v>71</v>
      </c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6">
        <v>10</v>
      </c>
      <c r="BF211" s="184">
        <v>2</v>
      </c>
      <c r="BG211" s="185"/>
      <c r="BH211" s="185"/>
      <c r="BI211" s="185"/>
      <c r="BJ211" s="186"/>
      <c r="JP211" s="155"/>
      <c r="JT211" s="16"/>
      <c r="JW211" s="187"/>
      <c r="JX211" s="188"/>
      <c r="JY211" s="188"/>
      <c r="JZ211" s="188"/>
      <c r="KA211" s="188"/>
      <c r="KB211" s="188"/>
      <c r="KC211" s="188"/>
      <c r="KD211" s="188"/>
      <c r="KE211" s="188"/>
      <c r="KF211" s="188"/>
      <c r="KG211" s="188"/>
      <c r="KH211" s="188"/>
      <c r="KI211" s="188"/>
      <c r="KJ211" s="188"/>
      <c r="KK211" s="188"/>
      <c r="KL211" s="188"/>
      <c r="KM211" s="188"/>
      <c r="KN211" s="188"/>
      <c r="KO211" s="188"/>
      <c r="KP211" s="188"/>
      <c r="KQ211" s="188"/>
      <c r="KR211" s="188"/>
      <c r="KS211" s="188"/>
      <c r="KT211" s="188"/>
      <c r="KU211" s="188"/>
      <c r="KV211" s="188"/>
      <c r="KW211" s="188"/>
      <c r="KX211" s="188"/>
      <c r="KY211" s="188"/>
      <c r="KZ211" s="188"/>
      <c r="LA211" s="188"/>
      <c r="LB211" s="188"/>
      <c r="LC211" s="188"/>
      <c r="LD211" s="188"/>
      <c r="LE211" s="188"/>
      <c r="LF211" s="188"/>
      <c r="LG211" s="188"/>
      <c r="LH211" s="188"/>
      <c r="LI211" s="188"/>
      <c r="LJ211" s="188"/>
      <c r="LK211" s="189"/>
      <c r="LL211" s="187"/>
      <c r="LM211" s="188"/>
      <c r="LN211" s="188"/>
      <c r="LO211" s="188"/>
      <c r="LP211" s="189"/>
      <c r="LY211" s="12"/>
      <c r="LZ211" s="7"/>
    </row>
    <row r="212" spans="3:338" ht="5.0999999999999996" customHeight="1" x14ac:dyDescent="0.3">
      <c r="C212" s="11"/>
      <c r="D212" s="13"/>
      <c r="Q212" s="187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  <c r="BD212" s="188"/>
      <c r="BE212" s="189"/>
      <c r="BF212" s="187"/>
      <c r="BG212" s="188"/>
      <c r="BH212" s="188"/>
      <c r="BI212" s="188"/>
      <c r="BJ212" s="189"/>
      <c r="JP212" s="155"/>
      <c r="JT212" s="16"/>
      <c r="JW212" s="187"/>
      <c r="JX212" s="188"/>
      <c r="JY212" s="188"/>
      <c r="JZ212" s="188"/>
      <c r="KA212" s="188"/>
      <c r="KB212" s="188"/>
      <c r="KC212" s="188"/>
      <c r="KD212" s="188"/>
      <c r="KE212" s="188"/>
      <c r="KF212" s="188"/>
      <c r="KG212" s="188"/>
      <c r="KH212" s="188"/>
      <c r="KI212" s="188"/>
      <c r="KJ212" s="188"/>
      <c r="KK212" s="188"/>
      <c r="KL212" s="188"/>
      <c r="KM212" s="188"/>
      <c r="KN212" s="188"/>
      <c r="KO212" s="188"/>
      <c r="KP212" s="188"/>
      <c r="KQ212" s="188"/>
      <c r="KR212" s="188"/>
      <c r="KS212" s="188"/>
      <c r="KT212" s="188"/>
      <c r="KU212" s="188"/>
      <c r="KV212" s="188"/>
      <c r="KW212" s="188"/>
      <c r="KX212" s="188"/>
      <c r="KY212" s="188"/>
      <c r="KZ212" s="188"/>
      <c r="LA212" s="188"/>
      <c r="LB212" s="188"/>
      <c r="LC212" s="188"/>
      <c r="LD212" s="188"/>
      <c r="LE212" s="188"/>
      <c r="LF212" s="188"/>
      <c r="LG212" s="188"/>
      <c r="LH212" s="188"/>
      <c r="LI212" s="188"/>
      <c r="LJ212" s="188"/>
      <c r="LK212" s="189"/>
      <c r="LL212" s="187"/>
      <c r="LM212" s="188"/>
      <c r="LN212" s="188"/>
      <c r="LO212" s="188"/>
      <c r="LP212" s="189"/>
      <c r="LY212" s="12"/>
      <c r="LZ212" s="7"/>
    </row>
    <row r="213" spans="3:338" ht="5.0999999999999996" customHeight="1" x14ac:dyDescent="0.3">
      <c r="C213" s="11"/>
      <c r="D213" s="13"/>
      <c r="Q213" s="187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  <c r="BE213" s="189"/>
      <c r="BF213" s="187"/>
      <c r="BG213" s="188"/>
      <c r="BH213" s="188"/>
      <c r="BI213" s="188"/>
      <c r="BJ213" s="189"/>
      <c r="JP213" s="155"/>
      <c r="JT213" s="16"/>
      <c r="JW213" s="187"/>
      <c r="JX213" s="188"/>
      <c r="JY213" s="188"/>
      <c r="JZ213" s="188"/>
      <c r="KA213" s="188"/>
      <c r="KB213" s="188"/>
      <c r="KC213" s="188"/>
      <c r="KD213" s="188"/>
      <c r="KE213" s="188"/>
      <c r="KF213" s="188"/>
      <c r="KG213" s="188"/>
      <c r="KH213" s="188"/>
      <c r="KI213" s="188"/>
      <c r="KJ213" s="188"/>
      <c r="KK213" s="188"/>
      <c r="KL213" s="188"/>
      <c r="KM213" s="188"/>
      <c r="KN213" s="188"/>
      <c r="KO213" s="188"/>
      <c r="KP213" s="188"/>
      <c r="KQ213" s="188"/>
      <c r="KR213" s="188"/>
      <c r="KS213" s="188"/>
      <c r="KT213" s="188"/>
      <c r="KU213" s="188"/>
      <c r="KV213" s="188"/>
      <c r="KW213" s="188"/>
      <c r="KX213" s="188"/>
      <c r="KY213" s="188"/>
      <c r="KZ213" s="188"/>
      <c r="LA213" s="188"/>
      <c r="LB213" s="188"/>
      <c r="LC213" s="188"/>
      <c r="LD213" s="188"/>
      <c r="LE213" s="188"/>
      <c r="LF213" s="188"/>
      <c r="LG213" s="188"/>
      <c r="LH213" s="188"/>
      <c r="LI213" s="188"/>
      <c r="LJ213" s="188"/>
      <c r="LK213" s="189"/>
      <c r="LL213" s="187"/>
      <c r="LM213" s="188"/>
      <c r="LN213" s="188"/>
      <c r="LO213" s="188"/>
      <c r="LP213" s="189"/>
      <c r="LY213" s="12"/>
      <c r="LZ213" s="7"/>
    </row>
    <row r="214" spans="3:338" ht="5.0999999999999996" customHeight="1" x14ac:dyDescent="0.3">
      <c r="C214" s="11"/>
      <c r="D214" s="13"/>
      <c r="Q214" s="187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  <c r="BD214" s="188"/>
      <c r="BE214" s="189"/>
      <c r="BF214" s="187"/>
      <c r="BG214" s="188"/>
      <c r="BH214" s="188"/>
      <c r="BI214" s="188"/>
      <c r="BJ214" s="189"/>
      <c r="JP214" s="155"/>
      <c r="JT214" s="16"/>
      <c r="JW214" s="187"/>
      <c r="JX214" s="188"/>
      <c r="JY214" s="188"/>
      <c r="JZ214" s="188"/>
      <c r="KA214" s="188"/>
      <c r="KB214" s="188"/>
      <c r="KC214" s="188"/>
      <c r="KD214" s="188"/>
      <c r="KE214" s="188"/>
      <c r="KF214" s="188"/>
      <c r="KG214" s="188"/>
      <c r="KH214" s="188"/>
      <c r="KI214" s="188"/>
      <c r="KJ214" s="188"/>
      <c r="KK214" s="188"/>
      <c r="KL214" s="188"/>
      <c r="KM214" s="188"/>
      <c r="KN214" s="188"/>
      <c r="KO214" s="188"/>
      <c r="KP214" s="188"/>
      <c r="KQ214" s="188"/>
      <c r="KR214" s="188"/>
      <c r="KS214" s="188"/>
      <c r="KT214" s="188"/>
      <c r="KU214" s="188"/>
      <c r="KV214" s="188"/>
      <c r="KW214" s="188"/>
      <c r="KX214" s="188"/>
      <c r="KY214" s="188"/>
      <c r="KZ214" s="188"/>
      <c r="LA214" s="188"/>
      <c r="LB214" s="188"/>
      <c r="LC214" s="188"/>
      <c r="LD214" s="188"/>
      <c r="LE214" s="188"/>
      <c r="LF214" s="188"/>
      <c r="LG214" s="188"/>
      <c r="LH214" s="188"/>
      <c r="LI214" s="188"/>
      <c r="LJ214" s="188"/>
      <c r="LK214" s="189"/>
      <c r="LL214" s="187"/>
      <c r="LM214" s="188"/>
      <c r="LN214" s="188"/>
      <c r="LO214" s="188"/>
      <c r="LP214" s="189"/>
      <c r="LY214" s="12"/>
      <c r="LZ214" s="7"/>
    </row>
    <row r="215" spans="3:338" ht="5.0999999999999996" customHeight="1" x14ac:dyDescent="0.3">
      <c r="C215" s="11"/>
      <c r="D215" s="13"/>
      <c r="Q215" s="187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  <c r="BD215" s="188"/>
      <c r="BE215" s="189"/>
      <c r="BF215" s="187"/>
      <c r="BG215" s="188"/>
      <c r="BH215" s="188"/>
      <c r="BI215" s="188"/>
      <c r="BJ215" s="189"/>
      <c r="JP215" s="155"/>
      <c r="JT215" s="16"/>
      <c r="JW215" s="187"/>
      <c r="JX215" s="188"/>
      <c r="JY215" s="188"/>
      <c r="JZ215" s="188"/>
      <c r="KA215" s="188"/>
      <c r="KB215" s="188"/>
      <c r="KC215" s="188"/>
      <c r="KD215" s="188"/>
      <c r="KE215" s="188"/>
      <c r="KF215" s="188"/>
      <c r="KG215" s="188"/>
      <c r="KH215" s="188"/>
      <c r="KI215" s="188"/>
      <c r="KJ215" s="188"/>
      <c r="KK215" s="188"/>
      <c r="KL215" s="188"/>
      <c r="KM215" s="188"/>
      <c r="KN215" s="188"/>
      <c r="KO215" s="188"/>
      <c r="KP215" s="188"/>
      <c r="KQ215" s="188"/>
      <c r="KR215" s="188"/>
      <c r="KS215" s="188"/>
      <c r="KT215" s="188"/>
      <c r="KU215" s="188"/>
      <c r="KV215" s="188"/>
      <c r="KW215" s="188"/>
      <c r="KX215" s="188"/>
      <c r="KY215" s="188"/>
      <c r="KZ215" s="188"/>
      <c r="LA215" s="188"/>
      <c r="LB215" s="188"/>
      <c r="LC215" s="188"/>
      <c r="LD215" s="188"/>
      <c r="LE215" s="188"/>
      <c r="LF215" s="188"/>
      <c r="LG215" s="188"/>
      <c r="LH215" s="188"/>
      <c r="LI215" s="188"/>
      <c r="LJ215" s="188"/>
      <c r="LK215" s="189"/>
      <c r="LL215" s="187"/>
      <c r="LM215" s="188"/>
      <c r="LN215" s="188"/>
      <c r="LO215" s="188"/>
      <c r="LP215" s="189"/>
      <c r="LY215" s="12"/>
      <c r="LZ215" s="7"/>
    </row>
    <row r="216" spans="3:338" ht="5.0999999999999996" customHeight="1" x14ac:dyDescent="0.3">
      <c r="C216" s="11"/>
      <c r="D216" s="13"/>
      <c r="Q216" s="187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  <c r="BD216" s="188"/>
      <c r="BE216" s="189"/>
      <c r="BF216" s="187"/>
      <c r="BG216" s="188"/>
      <c r="BH216" s="188"/>
      <c r="BI216" s="188"/>
      <c r="BJ216" s="189"/>
      <c r="JP216" s="155"/>
      <c r="JT216" s="16"/>
      <c r="JW216" s="187"/>
      <c r="JX216" s="188"/>
      <c r="JY216" s="188"/>
      <c r="JZ216" s="188"/>
      <c r="KA216" s="188"/>
      <c r="KB216" s="188"/>
      <c r="KC216" s="188"/>
      <c r="KD216" s="188"/>
      <c r="KE216" s="188"/>
      <c r="KF216" s="188"/>
      <c r="KG216" s="188"/>
      <c r="KH216" s="188"/>
      <c r="KI216" s="188"/>
      <c r="KJ216" s="188"/>
      <c r="KK216" s="188"/>
      <c r="KL216" s="188"/>
      <c r="KM216" s="188"/>
      <c r="KN216" s="188"/>
      <c r="KO216" s="188"/>
      <c r="KP216" s="188"/>
      <c r="KQ216" s="188"/>
      <c r="KR216" s="188"/>
      <c r="KS216" s="188"/>
      <c r="KT216" s="188"/>
      <c r="KU216" s="188"/>
      <c r="KV216" s="188"/>
      <c r="KW216" s="188"/>
      <c r="KX216" s="188"/>
      <c r="KY216" s="188"/>
      <c r="KZ216" s="188"/>
      <c r="LA216" s="188"/>
      <c r="LB216" s="188"/>
      <c r="LC216" s="188"/>
      <c r="LD216" s="188"/>
      <c r="LE216" s="188"/>
      <c r="LF216" s="188"/>
      <c r="LG216" s="188"/>
      <c r="LH216" s="188"/>
      <c r="LI216" s="188"/>
      <c r="LJ216" s="188"/>
      <c r="LK216" s="189"/>
      <c r="LL216" s="187"/>
      <c r="LM216" s="188"/>
      <c r="LN216" s="188"/>
      <c r="LO216" s="188"/>
      <c r="LP216" s="189"/>
      <c r="LY216" s="12"/>
      <c r="LZ216" s="7"/>
    </row>
    <row r="217" spans="3:338" ht="5.0999999999999996" customHeight="1" x14ac:dyDescent="0.3">
      <c r="C217" s="11"/>
      <c r="D217" s="13"/>
      <c r="Q217" s="187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  <c r="BD217" s="188"/>
      <c r="BE217" s="189"/>
      <c r="BF217" s="187"/>
      <c r="BG217" s="188"/>
      <c r="BH217" s="188"/>
      <c r="BI217" s="188"/>
      <c r="BJ217" s="189"/>
      <c r="JP217" s="155"/>
      <c r="JT217" s="16"/>
      <c r="JW217" s="187"/>
      <c r="JX217" s="188"/>
      <c r="JY217" s="188"/>
      <c r="JZ217" s="188"/>
      <c r="KA217" s="188"/>
      <c r="KB217" s="188"/>
      <c r="KC217" s="188"/>
      <c r="KD217" s="188"/>
      <c r="KE217" s="188"/>
      <c r="KF217" s="188"/>
      <c r="KG217" s="188"/>
      <c r="KH217" s="188"/>
      <c r="KI217" s="188"/>
      <c r="KJ217" s="188"/>
      <c r="KK217" s="188"/>
      <c r="KL217" s="188"/>
      <c r="KM217" s="188"/>
      <c r="KN217" s="188"/>
      <c r="KO217" s="188"/>
      <c r="KP217" s="188"/>
      <c r="KQ217" s="188"/>
      <c r="KR217" s="188"/>
      <c r="KS217" s="188"/>
      <c r="KT217" s="188"/>
      <c r="KU217" s="188"/>
      <c r="KV217" s="188"/>
      <c r="KW217" s="188"/>
      <c r="KX217" s="188"/>
      <c r="KY217" s="188"/>
      <c r="KZ217" s="188"/>
      <c r="LA217" s="188"/>
      <c r="LB217" s="188"/>
      <c r="LC217" s="188"/>
      <c r="LD217" s="188"/>
      <c r="LE217" s="188"/>
      <c r="LF217" s="188"/>
      <c r="LG217" s="188"/>
      <c r="LH217" s="188"/>
      <c r="LI217" s="188"/>
      <c r="LJ217" s="188"/>
      <c r="LK217" s="189"/>
      <c r="LL217" s="187"/>
      <c r="LM217" s="188"/>
      <c r="LN217" s="188"/>
      <c r="LO217" s="188"/>
      <c r="LP217" s="189"/>
      <c r="LY217" s="12"/>
      <c r="LZ217" s="7"/>
    </row>
    <row r="218" spans="3:338" ht="5.0999999999999996" customHeight="1" x14ac:dyDescent="0.3">
      <c r="C218" s="11"/>
      <c r="D218" s="13"/>
      <c r="Q218" s="187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  <c r="BD218" s="188"/>
      <c r="BE218" s="189"/>
      <c r="BF218" s="187"/>
      <c r="BG218" s="188"/>
      <c r="BH218" s="188"/>
      <c r="BI218" s="188"/>
      <c r="BJ218" s="189"/>
      <c r="JP218" s="155"/>
      <c r="JT218" s="16"/>
      <c r="JW218" s="187"/>
      <c r="JX218" s="188"/>
      <c r="JY218" s="188"/>
      <c r="JZ218" s="188"/>
      <c r="KA218" s="188"/>
      <c r="KB218" s="188"/>
      <c r="KC218" s="188"/>
      <c r="KD218" s="188"/>
      <c r="KE218" s="188"/>
      <c r="KF218" s="188"/>
      <c r="KG218" s="188"/>
      <c r="KH218" s="188"/>
      <c r="KI218" s="188"/>
      <c r="KJ218" s="188"/>
      <c r="KK218" s="188"/>
      <c r="KL218" s="188"/>
      <c r="KM218" s="188"/>
      <c r="KN218" s="188"/>
      <c r="KO218" s="188"/>
      <c r="KP218" s="188"/>
      <c r="KQ218" s="188"/>
      <c r="KR218" s="188"/>
      <c r="KS218" s="188"/>
      <c r="KT218" s="188"/>
      <c r="KU218" s="188"/>
      <c r="KV218" s="188"/>
      <c r="KW218" s="188"/>
      <c r="KX218" s="188"/>
      <c r="KY218" s="188"/>
      <c r="KZ218" s="188"/>
      <c r="LA218" s="188"/>
      <c r="LB218" s="188"/>
      <c r="LC218" s="188"/>
      <c r="LD218" s="188"/>
      <c r="LE218" s="188"/>
      <c r="LF218" s="188"/>
      <c r="LG218" s="188"/>
      <c r="LH218" s="188"/>
      <c r="LI218" s="188"/>
      <c r="LJ218" s="188"/>
      <c r="LK218" s="189"/>
      <c r="LL218" s="187"/>
      <c r="LM218" s="188"/>
      <c r="LN218" s="188"/>
      <c r="LO218" s="188"/>
      <c r="LP218" s="189"/>
      <c r="LY218" s="12"/>
      <c r="LZ218" s="7"/>
    </row>
    <row r="219" spans="3:338" ht="5.0999999999999996" customHeight="1" x14ac:dyDescent="0.3">
      <c r="C219" s="11"/>
      <c r="D219" s="13"/>
      <c r="Q219" s="187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  <c r="BD219" s="188"/>
      <c r="BE219" s="189"/>
      <c r="BF219" s="187"/>
      <c r="BG219" s="188"/>
      <c r="BH219" s="188"/>
      <c r="BI219" s="188"/>
      <c r="BJ219" s="189"/>
      <c r="JP219" s="155"/>
      <c r="JT219" s="16"/>
      <c r="JW219" s="190"/>
      <c r="JX219" s="191"/>
      <c r="JY219" s="191"/>
      <c r="JZ219" s="191"/>
      <c r="KA219" s="191"/>
      <c r="KB219" s="191"/>
      <c r="KC219" s="191"/>
      <c r="KD219" s="191"/>
      <c r="KE219" s="191"/>
      <c r="KF219" s="191"/>
      <c r="KG219" s="191"/>
      <c r="KH219" s="191"/>
      <c r="KI219" s="191"/>
      <c r="KJ219" s="191"/>
      <c r="KK219" s="191"/>
      <c r="KL219" s="191"/>
      <c r="KM219" s="191"/>
      <c r="KN219" s="191"/>
      <c r="KO219" s="191"/>
      <c r="KP219" s="191"/>
      <c r="KQ219" s="191"/>
      <c r="KR219" s="191"/>
      <c r="KS219" s="191"/>
      <c r="KT219" s="191"/>
      <c r="KU219" s="191"/>
      <c r="KV219" s="191"/>
      <c r="KW219" s="191"/>
      <c r="KX219" s="191"/>
      <c r="KY219" s="191"/>
      <c r="KZ219" s="191"/>
      <c r="LA219" s="191"/>
      <c r="LB219" s="191"/>
      <c r="LC219" s="191"/>
      <c r="LD219" s="191"/>
      <c r="LE219" s="191"/>
      <c r="LF219" s="191"/>
      <c r="LG219" s="191"/>
      <c r="LH219" s="191"/>
      <c r="LI219" s="191"/>
      <c r="LJ219" s="191"/>
      <c r="LK219" s="192"/>
      <c r="LL219" s="190"/>
      <c r="LM219" s="191"/>
      <c r="LN219" s="191"/>
      <c r="LO219" s="191"/>
      <c r="LP219" s="192"/>
      <c r="LY219" s="12"/>
      <c r="LZ219" s="7"/>
    </row>
    <row r="220" spans="3:338" ht="5.0999999999999996" customHeight="1" x14ac:dyDescent="0.3">
      <c r="C220" s="11"/>
      <c r="D220" s="13"/>
      <c r="Q220" s="190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2"/>
      <c r="BF220" s="190"/>
      <c r="BG220" s="191"/>
      <c r="BH220" s="191"/>
      <c r="BI220" s="191"/>
      <c r="BJ220" s="192"/>
      <c r="JP220" s="155"/>
      <c r="JT220" s="16"/>
      <c r="JW220" s="184" t="s">
        <v>156</v>
      </c>
      <c r="JX220" s="185"/>
      <c r="JY220" s="185"/>
      <c r="JZ220" s="185"/>
      <c r="KA220" s="185"/>
      <c r="KB220" s="185"/>
      <c r="KC220" s="185"/>
      <c r="KD220" s="185"/>
      <c r="KE220" s="185"/>
      <c r="KF220" s="185"/>
      <c r="KG220" s="185"/>
      <c r="KH220" s="185"/>
      <c r="KI220" s="185"/>
      <c r="KJ220" s="185"/>
      <c r="KK220" s="185"/>
      <c r="KL220" s="185"/>
      <c r="KM220" s="185"/>
      <c r="KN220" s="185"/>
      <c r="KO220" s="185"/>
      <c r="KP220" s="185"/>
      <c r="KQ220" s="185"/>
      <c r="KR220" s="185"/>
      <c r="KS220" s="185"/>
      <c r="KT220" s="185"/>
      <c r="KU220" s="185"/>
      <c r="KV220" s="185"/>
      <c r="KW220" s="185"/>
      <c r="KX220" s="185"/>
      <c r="KY220" s="185"/>
      <c r="KZ220" s="185"/>
      <c r="LA220" s="185"/>
      <c r="LB220" s="185"/>
      <c r="LC220" s="185"/>
      <c r="LD220" s="185"/>
      <c r="LE220" s="185"/>
      <c r="LF220" s="185"/>
      <c r="LG220" s="185"/>
      <c r="LH220" s="185"/>
      <c r="LI220" s="185"/>
      <c r="LJ220" s="185"/>
      <c r="LK220" s="186"/>
      <c r="LL220" s="184">
        <v>3</v>
      </c>
      <c r="LM220" s="185"/>
      <c r="LN220" s="185"/>
      <c r="LO220" s="185"/>
      <c r="LP220" s="186"/>
      <c r="LY220" s="12"/>
      <c r="LZ220" s="7"/>
    </row>
    <row r="221" spans="3:338" ht="5.0999999999999996" customHeight="1" x14ac:dyDescent="0.3">
      <c r="C221" s="11"/>
      <c r="D221" s="13"/>
      <c r="Q221" s="195" t="s">
        <v>27</v>
      </c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7">
        <v>10</v>
      </c>
      <c r="BF221" s="184"/>
      <c r="BG221" s="185"/>
      <c r="BH221" s="185"/>
      <c r="BI221" s="185"/>
      <c r="BJ221" s="186"/>
      <c r="JP221" s="155"/>
      <c r="JT221" s="16"/>
      <c r="JW221" s="187"/>
      <c r="JX221" s="188"/>
      <c r="JY221" s="188"/>
      <c r="JZ221" s="188"/>
      <c r="KA221" s="188"/>
      <c r="KB221" s="188"/>
      <c r="KC221" s="188"/>
      <c r="KD221" s="188"/>
      <c r="KE221" s="188"/>
      <c r="KF221" s="188"/>
      <c r="KG221" s="188"/>
      <c r="KH221" s="188"/>
      <c r="KI221" s="188"/>
      <c r="KJ221" s="188"/>
      <c r="KK221" s="188"/>
      <c r="KL221" s="188"/>
      <c r="KM221" s="188"/>
      <c r="KN221" s="188"/>
      <c r="KO221" s="188"/>
      <c r="KP221" s="188"/>
      <c r="KQ221" s="188"/>
      <c r="KR221" s="188"/>
      <c r="KS221" s="188"/>
      <c r="KT221" s="188"/>
      <c r="KU221" s="188"/>
      <c r="KV221" s="188"/>
      <c r="KW221" s="188"/>
      <c r="KX221" s="188"/>
      <c r="KY221" s="188"/>
      <c r="KZ221" s="188"/>
      <c r="LA221" s="188"/>
      <c r="LB221" s="188"/>
      <c r="LC221" s="188"/>
      <c r="LD221" s="188"/>
      <c r="LE221" s="188"/>
      <c r="LF221" s="188"/>
      <c r="LG221" s="188"/>
      <c r="LH221" s="188"/>
      <c r="LI221" s="188"/>
      <c r="LJ221" s="188"/>
      <c r="LK221" s="189"/>
      <c r="LL221" s="187"/>
      <c r="LM221" s="188"/>
      <c r="LN221" s="188"/>
      <c r="LO221" s="188"/>
      <c r="LP221" s="189"/>
      <c r="LY221" s="12"/>
      <c r="LZ221" s="7"/>
    </row>
    <row r="222" spans="3:338" ht="5.0999999999999996" customHeight="1" x14ac:dyDescent="0.3">
      <c r="C222" s="11"/>
      <c r="D222" s="13"/>
      <c r="Q222" s="198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199"/>
      <c r="AM222" s="199"/>
      <c r="AN222" s="199"/>
      <c r="AO222" s="199"/>
      <c r="AP222" s="199"/>
      <c r="AQ222" s="199"/>
      <c r="AR222" s="199"/>
      <c r="AS222" s="199"/>
      <c r="AT222" s="199"/>
      <c r="AU222" s="199"/>
      <c r="AV222" s="199"/>
      <c r="AW222" s="199"/>
      <c r="AX222" s="199"/>
      <c r="AY222" s="199"/>
      <c r="AZ222" s="199"/>
      <c r="BA222" s="199"/>
      <c r="BB222" s="199"/>
      <c r="BC222" s="199"/>
      <c r="BD222" s="199"/>
      <c r="BE222" s="200"/>
      <c r="BF222" s="187"/>
      <c r="BG222" s="188"/>
      <c r="BH222" s="188"/>
      <c r="BI222" s="188"/>
      <c r="BJ222" s="189"/>
      <c r="JP222" s="155"/>
      <c r="JT222" s="16"/>
      <c r="JW222" s="187"/>
      <c r="JX222" s="188"/>
      <c r="JY222" s="188"/>
      <c r="JZ222" s="188"/>
      <c r="KA222" s="188"/>
      <c r="KB222" s="188"/>
      <c r="KC222" s="188"/>
      <c r="KD222" s="188"/>
      <c r="KE222" s="188"/>
      <c r="KF222" s="188"/>
      <c r="KG222" s="188"/>
      <c r="KH222" s="188"/>
      <c r="KI222" s="188"/>
      <c r="KJ222" s="188"/>
      <c r="KK222" s="188"/>
      <c r="KL222" s="188"/>
      <c r="KM222" s="188"/>
      <c r="KN222" s="188"/>
      <c r="KO222" s="188"/>
      <c r="KP222" s="188"/>
      <c r="KQ222" s="188"/>
      <c r="KR222" s="188"/>
      <c r="KS222" s="188"/>
      <c r="KT222" s="188"/>
      <c r="KU222" s="188"/>
      <c r="KV222" s="188"/>
      <c r="KW222" s="188"/>
      <c r="KX222" s="188"/>
      <c r="KY222" s="188"/>
      <c r="KZ222" s="188"/>
      <c r="LA222" s="188"/>
      <c r="LB222" s="188"/>
      <c r="LC222" s="188"/>
      <c r="LD222" s="188"/>
      <c r="LE222" s="188"/>
      <c r="LF222" s="188"/>
      <c r="LG222" s="188"/>
      <c r="LH222" s="188"/>
      <c r="LI222" s="188"/>
      <c r="LJ222" s="188"/>
      <c r="LK222" s="189"/>
      <c r="LL222" s="187"/>
      <c r="LM222" s="188"/>
      <c r="LN222" s="188"/>
      <c r="LO222" s="188"/>
      <c r="LP222" s="189"/>
      <c r="LY222" s="12"/>
      <c r="LZ222" s="7"/>
    </row>
    <row r="223" spans="3:338" ht="5.0999999999999996" customHeight="1" x14ac:dyDescent="0.3">
      <c r="C223" s="11"/>
      <c r="D223" s="13"/>
      <c r="Q223" s="198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199"/>
      <c r="AM223" s="199"/>
      <c r="AN223" s="199"/>
      <c r="AO223" s="199"/>
      <c r="AP223" s="199"/>
      <c r="AQ223" s="199"/>
      <c r="AR223" s="199"/>
      <c r="AS223" s="199"/>
      <c r="AT223" s="199"/>
      <c r="AU223" s="199"/>
      <c r="AV223" s="199"/>
      <c r="AW223" s="199"/>
      <c r="AX223" s="199"/>
      <c r="AY223" s="199"/>
      <c r="AZ223" s="199"/>
      <c r="BA223" s="199"/>
      <c r="BB223" s="199"/>
      <c r="BC223" s="199"/>
      <c r="BD223" s="199"/>
      <c r="BE223" s="200"/>
      <c r="BF223" s="187"/>
      <c r="BG223" s="188"/>
      <c r="BH223" s="188"/>
      <c r="BI223" s="188"/>
      <c r="BJ223" s="189"/>
      <c r="JP223" s="155"/>
      <c r="JT223" s="16"/>
      <c r="JW223" s="187"/>
      <c r="JX223" s="188"/>
      <c r="JY223" s="188"/>
      <c r="JZ223" s="188"/>
      <c r="KA223" s="188"/>
      <c r="KB223" s="188"/>
      <c r="KC223" s="188"/>
      <c r="KD223" s="188"/>
      <c r="KE223" s="188"/>
      <c r="KF223" s="188"/>
      <c r="KG223" s="188"/>
      <c r="KH223" s="188"/>
      <c r="KI223" s="188"/>
      <c r="KJ223" s="188"/>
      <c r="KK223" s="188"/>
      <c r="KL223" s="188"/>
      <c r="KM223" s="188"/>
      <c r="KN223" s="188"/>
      <c r="KO223" s="188"/>
      <c r="KP223" s="188"/>
      <c r="KQ223" s="188"/>
      <c r="KR223" s="188"/>
      <c r="KS223" s="188"/>
      <c r="KT223" s="188"/>
      <c r="KU223" s="188"/>
      <c r="KV223" s="188"/>
      <c r="KW223" s="188"/>
      <c r="KX223" s="188"/>
      <c r="KY223" s="188"/>
      <c r="KZ223" s="188"/>
      <c r="LA223" s="188"/>
      <c r="LB223" s="188"/>
      <c r="LC223" s="188"/>
      <c r="LD223" s="188"/>
      <c r="LE223" s="188"/>
      <c r="LF223" s="188"/>
      <c r="LG223" s="188"/>
      <c r="LH223" s="188"/>
      <c r="LI223" s="188"/>
      <c r="LJ223" s="188"/>
      <c r="LK223" s="189"/>
      <c r="LL223" s="187"/>
      <c r="LM223" s="188"/>
      <c r="LN223" s="188"/>
      <c r="LO223" s="188"/>
      <c r="LP223" s="189"/>
      <c r="LY223" s="12"/>
      <c r="LZ223" s="7"/>
    </row>
    <row r="224" spans="3:338" ht="5.0999999999999996" customHeight="1" x14ac:dyDescent="0.3">
      <c r="C224" s="11"/>
      <c r="D224" s="13"/>
      <c r="Q224" s="198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199"/>
      <c r="AM224" s="199"/>
      <c r="AN224" s="199"/>
      <c r="AO224" s="199"/>
      <c r="AP224" s="199"/>
      <c r="AQ224" s="199"/>
      <c r="AR224" s="199"/>
      <c r="AS224" s="199"/>
      <c r="AT224" s="199"/>
      <c r="AU224" s="199"/>
      <c r="AV224" s="199"/>
      <c r="AW224" s="199"/>
      <c r="AX224" s="199"/>
      <c r="AY224" s="199"/>
      <c r="AZ224" s="199"/>
      <c r="BA224" s="199"/>
      <c r="BB224" s="199"/>
      <c r="BC224" s="199"/>
      <c r="BD224" s="199"/>
      <c r="BE224" s="200"/>
      <c r="BF224" s="187"/>
      <c r="BG224" s="188"/>
      <c r="BH224" s="188"/>
      <c r="BI224" s="188"/>
      <c r="BJ224" s="189"/>
      <c r="JO224" s="154"/>
      <c r="JT224" s="16"/>
      <c r="JW224" s="187"/>
      <c r="JX224" s="188"/>
      <c r="JY224" s="188"/>
      <c r="JZ224" s="188"/>
      <c r="KA224" s="188"/>
      <c r="KB224" s="188"/>
      <c r="KC224" s="188"/>
      <c r="KD224" s="188"/>
      <c r="KE224" s="188"/>
      <c r="KF224" s="188"/>
      <c r="KG224" s="188"/>
      <c r="KH224" s="188"/>
      <c r="KI224" s="188"/>
      <c r="KJ224" s="188"/>
      <c r="KK224" s="188"/>
      <c r="KL224" s="188"/>
      <c r="KM224" s="188"/>
      <c r="KN224" s="188"/>
      <c r="KO224" s="188"/>
      <c r="KP224" s="188"/>
      <c r="KQ224" s="188"/>
      <c r="KR224" s="188"/>
      <c r="KS224" s="188"/>
      <c r="KT224" s="188"/>
      <c r="KU224" s="188"/>
      <c r="KV224" s="188"/>
      <c r="KW224" s="188"/>
      <c r="KX224" s="188"/>
      <c r="KY224" s="188"/>
      <c r="KZ224" s="188"/>
      <c r="LA224" s="188"/>
      <c r="LB224" s="188"/>
      <c r="LC224" s="188"/>
      <c r="LD224" s="188"/>
      <c r="LE224" s="188"/>
      <c r="LF224" s="188"/>
      <c r="LG224" s="188"/>
      <c r="LH224" s="188"/>
      <c r="LI224" s="188"/>
      <c r="LJ224" s="188"/>
      <c r="LK224" s="189"/>
      <c r="LL224" s="187"/>
      <c r="LM224" s="188"/>
      <c r="LN224" s="188"/>
      <c r="LO224" s="188"/>
      <c r="LP224" s="189"/>
      <c r="LY224" s="12"/>
      <c r="LZ224" s="7"/>
    </row>
    <row r="225" spans="3:338" ht="5.0999999999999996" customHeight="1" x14ac:dyDescent="0.3">
      <c r="C225" s="11"/>
      <c r="D225" s="13"/>
      <c r="Q225" s="198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199"/>
      <c r="AM225" s="199"/>
      <c r="AN225" s="199"/>
      <c r="AO225" s="199"/>
      <c r="AP225" s="199"/>
      <c r="AQ225" s="199"/>
      <c r="AR225" s="199"/>
      <c r="AS225" s="199"/>
      <c r="AT225" s="199"/>
      <c r="AU225" s="199"/>
      <c r="AV225" s="199"/>
      <c r="AW225" s="199"/>
      <c r="AX225" s="199"/>
      <c r="AY225" s="199"/>
      <c r="AZ225" s="199"/>
      <c r="BA225" s="199"/>
      <c r="BB225" s="199"/>
      <c r="BC225" s="199"/>
      <c r="BD225" s="199"/>
      <c r="BE225" s="200"/>
      <c r="BF225" s="187"/>
      <c r="BG225" s="188"/>
      <c r="BH225" s="188"/>
      <c r="BI225" s="188"/>
      <c r="BJ225" s="189"/>
      <c r="JO225" s="154"/>
      <c r="JT225" s="16"/>
      <c r="JW225" s="187"/>
      <c r="JX225" s="188"/>
      <c r="JY225" s="188"/>
      <c r="JZ225" s="188"/>
      <c r="KA225" s="188"/>
      <c r="KB225" s="188"/>
      <c r="KC225" s="188"/>
      <c r="KD225" s="188"/>
      <c r="KE225" s="188"/>
      <c r="KF225" s="188"/>
      <c r="KG225" s="188"/>
      <c r="KH225" s="188"/>
      <c r="KI225" s="188"/>
      <c r="KJ225" s="188"/>
      <c r="KK225" s="188"/>
      <c r="KL225" s="188"/>
      <c r="KM225" s="188"/>
      <c r="KN225" s="188"/>
      <c r="KO225" s="188"/>
      <c r="KP225" s="188"/>
      <c r="KQ225" s="188"/>
      <c r="KR225" s="188"/>
      <c r="KS225" s="188"/>
      <c r="KT225" s="188"/>
      <c r="KU225" s="188"/>
      <c r="KV225" s="188"/>
      <c r="KW225" s="188"/>
      <c r="KX225" s="188"/>
      <c r="KY225" s="188"/>
      <c r="KZ225" s="188"/>
      <c r="LA225" s="188"/>
      <c r="LB225" s="188"/>
      <c r="LC225" s="188"/>
      <c r="LD225" s="188"/>
      <c r="LE225" s="188"/>
      <c r="LF225" s="188"/>
      <c r="LG225" s="188"/>
      <c r="LH225" s="188"/>
      <c r="LI225" s="188"/>
      <c r="LJ225" s="188"/>
      <c r="LK225" s="189"/>
      <c r="LL225" s="187"/>
      <c r="LM225" s="188"/>
      <c r="LN225" s="188"/>
      <c r="LO225" s="188"/>
      <c r="LP225" s="189"/>
      <c r="LY225" s="12"/>
      <c r="LZ225" s="7"/>
    </row>
    <row r="226" spans="3:338" ht="5.0999999999999996" customHeight="1" x14ac:dyDescent="0.3">
      <c r="C226" s="11"/>
      <c r="D226" s="13"/>
      <c r="Q226" s="198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199"/>
      <c r="AU226" s="199"/>
      <c r="AV226" s="199"/>
      <c r="AW226" s="199"/>
      <c r="AX226" s="199"/>
      <c r="AY226" s="199"/>
      <c r="AZ226" s="199"/>
      <c r="BA226" s="199"/>
      <c r="BB226" s="199"/>
      <c r="BC226" s="199"/>
      <c r="BD226" s="199"/>
      <c r="BE226" s="200"/>
      <c r="BF226" s="187"/>
      <c r="BG226" s="188"/>
      <c r="BH226" s="188"/>
      <c r="BI226" s="188"/>
      <c r="BJ226" s="189"/>
      <c r="JO226" s="154"/>
      <c r="JT226" s="16"/>
      <c r="JW226" s="187"/>
      <c r="JX226" s="188"/>
      <c r="JY226" s="188"/>
      <c r="JZ226" s="188"/>
      <c r="KA226" s="188"/>
      <c r="KB226" s="188"/>
      <c r="KC226" s="188"/>
      <c r="KD226" s="188"/>
      <c r="KE226" s="188"/>
      <c r="KF226" s="188"/>
      <c r="KG226" s="188"/>
      <c r="KH226" s="188"/>
      <c r="KI226" s="188"/>
      <c r="KJ226" s="188"/>
      <c r="KK226" s="188"/>
      <c r="KL226" s="188"/>
      <c r="KM226" s="188"/>
      <c r="KN226" s="188"/>
      <c r="KO226" s="188"/>
      <c r="KP226" s="188"/>
      <c r="KQ226" s="188"/>
      <c r="KR226" s="188"/>
      <c r="KS226" s="188"/>
      <c r="KT226" s="188"/>
      <c r="KU226" s="188"/>
      <c r="KV226" s="188"/>
      <c r="KW226" s="188"/>
      <c r="KX226" s="188"/>
      <c r="KY226" s="188"/>
      <c r="KZ226" s="188"/>
      <c r="LA226" s="188"/>
      <c r="LB226" s="188"/>
      <c r="LC226" s="188"/>
      <c r="LD226" s="188"/>
      <c r="LE226" s="188"/>
      <c r="LF226" s="188"/>
      <c r="LG226" s="188"/>
      <c r="LH226" s="188"/>
      <c r="LI226" s="188"/>
      <c r="LJ226" s="188"/>
      <c r="LK226" s="189"/>
      <c r="LL226" s="187"/>
      <c r="LM226" s="188"/>
      <c r="LN226" s="188"/>
      <c r="LO226" s="188"/>
      <c r="LP226" s="189"/>
      <c r="LY226" s="12"/>
      <c r="LZ226" s="7"/>
    </row>
    <row r="227" spans="3:338" ht="5.0999999999999996" customHeight="1" x14ac:dyDescent="0.3">
      <c r="C227" s="11"/>
      <c r="D227" s="13"/>
      <c r="Q227" s="198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  <c r="AS227" s="199"/>
      <c r="AT227" s="199"/>
      <c r="AU227" s="199"/>
      <c r="AV227" s="199"/>
      <c r="AW227" s="199"/>
      <c r="AX227" s="199"/>
      <c r="AY227" s="199"/>
      <c r="AZ227" s="199"/>
      <c r="BA227" s="199"/>
      <c r="BB227" s="199"/>
      <c r="BC227" s="199"/>
      <c r="BD227" s="199"/>
      <c r="BE227" s="200"/>
      <c r="BF227" s="187"/>
      <c r="BG227" s="188"/>
      <c r="BH227" s="188"/>
      <c r="BI227" s="188"/>
      <c r="BJ227" s="189"/>
      <c r="JO227" s="154"/>
      <c r="JT227" s="16"/>
      <c r="JW227" s="187"/>
      <c r="JX227" s="188"/>
      <c r="JY227" s="188"/>
      <c r="JZ227" s="188"/>
      <c r="KA227" s="188"/>
      <c r="KB227" s="188"/>
      <c r="KC227" s="188"/>
      <c r="KD227" s="188"/>
      <c r="KE227" s="188"/>
      <c r="KF227" s="188"/>
      <c r="KG227" s="188"/>
      <c r="KH227" s="188"/>
      <c r="KI227" s="188"/>
      <c r="KJ227" s="188"/>
      <c r="KK227" s="188"/>
      <c r="KL227" s="188"/>
      <c r="KM227" s="188"/>
      <c r="KN227" s="188"/>
      <c r="KO227" s="188"/>
      <c r="KP227" s="188"/>
      <c r="KQ227" s="188"/>
      <c r="KR227" s="188"/>
      <c r="KS227" s="188"/>
      <c r="KT227" s="188"/>
      <c r="KU227" s="188"/>
      <c r="KV227" s="188"/>
      <c r="KW227" s="188"/>
      <c r="KX227" s="188"/>
      <c r="KY227" s="188"/>
      <c r="KZ227" s="188"/>
      <c r="LA227" s="188"/>
      <c r="LB227" s="188"/>
      <c r="LC227" s="188"/>
      <c r="LD227" s="188"/>
      <c r="LE227" s="188"/>
      <c r="LF227" s="188"/>
      <c r="LG227" s="188"/>
      <c r="LH227" s="188"/>
      <c r="LI227" s="188"/>
      <c r="LJ227" s="188"/>
      <c r="LK227" s="189"/>
      <c r="LL227" s="187"/>
      <c r="LM227" s="188"/>
      <c r="LN227" s="188"/>
      <c r="LO227" s="188"/>
      <c r="LP227" s="189"/>
      <c r="LY227" s="12"/>
      <c r="LZ227" s="7"/>
    </row>
    <row r="228" spans="3:338" ht="5.0999999999999996" customHeight="1" x14ac:dyDescent="0.3">
      <c r="C228" s="11"/>
      <c r="D228" s="13"/>
      <c r="Q228" s="198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199"/>
      <c r="AM228" s="199"/>
      <c r="AN228" s="199"/>
      <c r="AO228" s="199"/>
      <c r="AP228" s="199"/>
      <c r="AQ228" s="199"/>
      <c r="AR228" s="199"/>
      <c r="AS228" s="199"/>
      <c r="AT228" s="199"/>
      <c r="AU228" s="199"/>
      <c r="AV228" s="199"/>
      <c r="AW228" s="199"/>
      <c r="AX228" s="199"/>
      <c r="AY228" s="199"/>
      <c r="AZ228" s="199"/>
      <c r="BA228" s="199"/>
      <c r="BB228" s="199"/>
      <c r="BC228" s="199"/>
      <c r="BD228" s="199"/>
      <c r="BE228" s="200"/>
      <c r="BF228" s="187"/>
      <c r="BG228" s="188"/>
      <c r="BH228" s="188"/>
      <c r="BI228" s="188"/>
      <c r="BJ228" s="189"/>
      <c r="JO228" s="154"/>
      <c r="JT228" s="16"/>
      <c r="JW228" s="187"/>
      <c r="JX228" s="188"/>
      <c r="JY228" s="188"/>
      <c r="JZ228" s="188"/>
      <c r="KA228" s="188"/>
      <c r="KB228" s="188"/>
      <c r="KC228" s="188"/>
      <c r="KD228" s="188"/>
      <c r="KE228" s="188"/>
      <c r="KF228" s="188"/>
      <c r="KG228" s="188"/>
      <c r="KH228" s="188"/>
      <c r="KI228" s="188"/>
      <c r="KJ228" s="188"/>
      <c r="KK228" s="188"/>
      <c r="KL228" s="188"/>
      <c r="KM228" s="188"/>
      <c r="KN228" s="188"/>
      <c r="KO228" s="188"/>
      <c r="KP228" s="188"/>
      <c r="KQ228" s="188"/>
      <c r="KR228" s="188"/>
      <c r="KS228" s="188"/>
      <c r="KT228" s="188"/>
      <c r="KU228" s="188"/>
      <c r="KV228" s="188"/>
      <c r="KW228" s="188"/>
      <c r="KX228" s="188"/>
      <c r="KY228" s="188"/>
      <c r="KZ228" s="188"/>
      <c r="LA228" s="188"/>
      <c r="LB228" s="188"/>
      <c r="LC228" s="188"/>
      <c r="LD228" s="188"/>
      <c r="LE228" s="188"/>
      <c r="LF228" s="188"/>
      <c r="LG228" s="188"/>
      <c r="LH228" s="188"/>
      <c r="LI228" s="188"/>
      <c r="LJ228" s="188"/>
      <c r="LK228" s="189"/>
      <c r="LL228" s="187"/>
      <c r="LM228" s="188"/>
      <c r="LN228" s="188"/>
      <c r="LO228" s="188"/>
      <c r="LP228" s="189"/>
      <c r="LY228" s="12"/>
      <c r="LZ228" s="7"/>
    </row>
    <row r="229" spans="3:338" ht="5.0999999999999996" customHeight="1" x14ac:dyDescent="0.3">
      <c r="C229" s="11"/>
      <c r="D229" s="13"/>
      <c r="Q229" s="198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199"/>
      <c r="AM229" s="199"/>
      <c r="AN229" s="199"/>
      <c r="AO229" s="199"/>
      <c r="AP229" s="199"/>
      <c r="AQ229" s="199"/>
      <c r="AR229" s="199"/>
      <c r="AS229" s="199"/>
      <c r="AT229" s="199"/>
      <c r="AU229" s="199"/>
      <c r="AV229" s="199"/>
      <c r="AW229" s="199"/>
      <c r="AX229" s="199"/>
      <c r="AY229" s="199"/>
      <c r="AZ229" s="199"/>
      <c r="BA229" s="199"/>
      <c r="BB229" s="199"/>
      <c r="BC229" s="199"/>
      <c r="BD229" s="199"/>
      <c r="BE229" s="200"/>
      <c r="BF229" s="187"/>
      <c r="BG229" s="188"/>
      <c r="BH229" s="188"/>
      <c r="BI229" s="188"/>
      <c r="BJ229" s="189"/>
      <c r="JO229" s="154"/>
      <c r="JT229" s="16"/>
      <c r="JW229" s="190"/>
      <c r="JX229" s="191"/>
      <c r="JY229" s="191"/>
      <c r="JZ229" s="191"/>
      <c r="KA229" s="191"/>
      <c r="KB229" s="191"/>
      <c r="KC229" s="191"/>
      <c r="KD229" s="191"/>
      <c r="KE229" s="191"/>
      <c r="KF229" s="191"/>
      <c r="KG229" s="191"/>
      <c r="KH229" s="191"/>
      <c r="KI229" s="191"/>
      <c r="KJ229" s="191"/>
      <c r="KK229" s="191"/>
      <c r="KL229" s="191"/>
      <c r="KM229" s="191"/>
      <c r="KN229" s="191"/>
      <c r="KO229" s="191"/>
      <c r="KP229" s="191"/>
      <c r="KQ229" s="191"/>
      <c r="KR229" s="191"/>
      <c r="KS229" s="191"/>
      <c r="KT229" s="191"/>
      <c r="KU229" s="191"/>
      <c r="KV229" s="191"/>
      <c r="KW229" s="191"/>
      <c r="KX229" s="191"/>
      <c r="KY229" s="191"/>
      <c r="KZ229" s="191"/>
      <c r="LA229" s="191"/>
      <c r="LB229" s="191"/>
      <c r="LC229" s="191"/>
      <c r="LD229" s="191"/>
      <c r="LE229" s="191"/>
      <c r="LF229" s="191"/>
      <c r="LG229" s="191"/>
      <c r="LH229" s="191"/>
      <c r="LI229" s="191"/>
      <c r="LJ229" s="191"/>
      <c r="LK229" s="192"/>
      <c r="LL229" s="190"/>
      <c r="LM229" s="191"/>
      <c r="LN229" s="191"/>
      <c r="LO229" s="191"/>
      <c r="LP229" s="192"/>
      <c r="LY229" s="12"/>
      <c r="LZ229" s="7"/>
    </row>
    <row r="230" spans="3:338" ht="5.0999999999999996" customHeight="1" x14ac:dyDescent="0.3">
      <c r="C230" s="11"/>
      <c r="D230" s="13"/>
      <c r="Q230" s="201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3"/>
      <c r="BF230" s="190"/>
      <c r="BG230" s="191"/>
      <c r="BH230" s="191"/>
      <c r="BI230" s="191"/>
      <c r="BJ230" s="192"/>
      <c r="JO230" s="154"/>
      <c r="JT230" s="16"/>
      <c r="LY230" s="12"/>
      <c r="LZ230" s="7"/>
    </row>
    <row r="231" spans="3:338" ht="5.0999999999999996" customHeight="1" x14ac:dyDescent="0.3">
      <c r="C231" s="11"/>
      <c r="D231" s="13"/>
      <c r="Q231" s="195" t="s">
        <v>28</v>
      </c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  <c r="AY231" s="196"/>
      <c r="AZ231" s="196"/>
      <c r="BA231" s="196"/>
      <c r="BB231" s="196"/>
      <c r="BC231" s="196"/>
      <c r="BD231" s="196"/>
      <c r="BE231" s="197">
        <v>10</v>
      </c>
      <c r="BF231" s="216"/>
      <c r="BG231" s="217"/>
      <c r="BH231" s="217"/>
      <c r="BI231" s="217"/>
      <c r="BJ231" s="218"/>
      <c r="GD231" s="1">
        <v>2</v>
      </c>
      <c r="JO231" s="154"/>
      <c r="JT231" s="16"/>
      <c r="JW231" s="184" t="s">
        <v>157</v>
      </c>
      <c r="JX231" s="185"/>
      <c r="JY231" s="185"/>
      <c r="JZ231" s="185"/>
      <c r="KA231" s="185"/>
      <c r="KB231" s="185"/>
      <c r="KC231" s="185"/>
      <c r="KD231" s="185"/>
      <c r="KE231" s="185"/>
      <c r="KF231" s="185"/>
      <c r="KG231" s="185"/>
      <c r="KH231" s="185"/>
      <c r="KI231" s="185"/>
      <c r="KJ231" s="185"/>
      <c r="KK231" s="185"/>
      <c r="KL231" s="185"/>
      <c r="KM231" s="185"/>
      <c r="KN231" s="185"/>
      <c r="KO231" s="185"/>
      <c r="KP231" s="185"/>
      <c r="KQ231" s="185"/>
      <c r="KR231" s="185"/>
      <c r="KS231" s="185"/>
      <c r="KT231" s="185"/>
      <c r="KU231" s="185"/>
      <c r="KV231" s="185"/>
      <c r="KW231" s="185"/>
      <c r="KX231" s="185"/>
      <c r="KY231" s="185"/>
      <c r="KZ231" s="185"/>
      <c r="LA231" s="185"/>
      <c r="LB231" s="185"/>
      <c r="LC231" s="185"/>
      <c r="LD231" s="185"/>
      <c r="LE231" s="185"/>
      <c r="LF231" s="185"/>
      <c r="LG231" s="185"/>
      <c r="LH231" s="185"/>
      <c r="LI231" s="185"/>
      <c r="LJ231" s="185"/>
      <c r="LK231" s="186"/>
      <c r="LL231" s="184">
        <v>1</v>
      </c>
      <c r="LM231" s="185"/>
      <c r="LN231" s="185"/>
      <c r="LO231" s="185"/>
      <c r="LP231" s="186"/>
      <c r="LY231" s="12"/>
      <c r="LZ231" s="7"/>
    </row>
    <row r="232" spans="3:338" ht="5.0999999999999996" customHeight="1" x14ac:dyDescent="0.3">
      <c r="C232" s="11"/>
      <c r="D232" s="13"/>
      <c r="Q232" s="198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  <c r="AS232" s="199"/>
      <c r="AT232" s="199"/>
      <c r="AU232" s="199"/>
      <c r="AV232" s="199"/>
      <c r="AW232" s="199"/>
      <c r="AX232" s="199"/>
      <c r="AY232" s="199"/>
      <c r="AZ232" s="199"/>
      <c r="BA232" s="199"/>
      <c r="BB232" s="199"/>
      <c r="BC232" s="199"/>
      <c r="BD232" s="199"/>
      <c r="BE232" s="200"/>
      <c r="BF232" s="219"/>
      <c r="BG232" s="220"/>
      <c r="BH232" s="220"/>
      <c r="BI232" s="220"/>
      <c r="BJ232" s="221"/>
      <c r="JO232" s="154"/>
      <c r="JT232" s="16"/>
      <c r="JW232" s="187"/>
      <c r="JX232" s="188"/>
      <c r="JY232" s="188"/>
      <c r="JZ232" s="188"/>
      <c r="KA232" s="188"/>
      <c r="KB232" s="188"/>
      <c r="KC232" s="188"/>
      <c r="KD232" s="188"/>
      <c r="KE232" s="188"/>
      <c r="KF232" s="188"/>
      <c r="KG232" s="188"/>
      <c r="KH232" s="188"/>
      <c r="KI232" s="188"/>
      <c r="KJ232" s="188"/>
      <c r="KK232" s="188"/>
      <c r="KL232" s="188"/>
      <c r="KM232" s="188"/>
      <c r="KN232" s="188"/>
      <c r="KO232" s="188"/>
      <c r="KP232" s="188"/>
      <c r="KQ232" s="188"/>
      <c r="KR232" s="188"/>
      <c r="KS232" s="188"/>
      <c r="KT232" s="188"/>
      <c r="KU232" s="188"/>
      <c r="KV232" s="188"/>
      <c r="KW232" s="188"/>
      <c r="KX232" s="188"/>
      <c r="KY232" s="188"/>
      <c r="KZ232" s="188"/>
      <c r="LA232" s="188"/>
      <c r="LB232" s="188"/>
      <c r="LC232" s="188"/>
      <c r="LD232" s="188"/>
      <c r="LE232" s="188"/>
      <c r="LF232" s="188"/>
      <c r="LG232" s="188"/>
      <c r="LH232" s="188"/>
      <c r="LI232" s="188"/>
      <c r="LJ232" s="188"/>
      <c r="LK232" s="189"/>
      <c r="LL232" s="187"/>
      <c r="LM232" s="188"/>
      <c r="LN232" s="188"/>
      <c r="LO232" s="188"/>
      <c r="LP232" s="189"/>
      <c r="LY232" s="12"/>
      <c r="LZ232" s="7"/>
    </row>
    <row r="233" spans="3:338" ht="5.0999999999999996" customHeight="1" x14ac:dyDescent="0.3">
      <c r="C233" s="11"/>
      <c r="D233" s="13"/>
      <c r="Q233" s="198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  <c r="AD233" s="199"/>
      <c r="AE233" s="199"/>
      <c r="AF233" s="199"/>
      <c r="AG233" s="199"/>
      <c r="AH233" s="199"/>
      <c r="AI233" s="199"/>
      <c r="AJ233" s="199"/>
      <c r="AK233" s="199"/>
      <c r="AL233" s="199"/>
      <c r="AM233" s="199"/>
      <c r="AN233" s="199"/>
      <c r="AO233" s="199"/>
      <c r="AP233" s="199"/>
      <c r="AQ233" s="199"/>
      <c r="AR233" s="199"/>
      <c r="AS233" s="199"/>
      <c r="AT233" s="199"/>
      <c r="AU233" s="199"/>
      <c r="AV233" s="199"/>
      <c r="AW233" s="199"/>
      <c r="AX233" s="199"/>
      <c r="AY233" s="199"/>
      <c r="AZ233" s="199"/>
      <c r="BA233" s="199"/>
      <c r="BB233" s="199"/>
      <c r="BC233" s="199"/>
      <c r="BD233" s="199"/>
      <c r="BE233" s="200"/>
      <c r="BF233" s="219"/>
      <c r="BG233" s="220"/>
      <c r="BH233" s="220"/>
      <c r="BI233" s="220"/>
      <c r="BJ233" s="221"/>
      <c r="JO233" s="154"/>
      <c r="JT233" s="16"/>
      <c r="JW233" s="187"/>
      <c r="JX233" s="188"/>
      <c r="JY233" s="188"/>
      <c r="JZ233" s="188"/>
      <c r="KA233" s="188"/>
      <c r="KB233" s="188"/>
      <c r="KC233" s="188"/>
      <c r="KD233" s="188"/>
      <c r="KE233" s="188"/>
      <c r="KF233" s="188"/>
      <c r="KG233" s="188"/>
      <c r="KH233" s="188"/>
      <c r="KI233" s="188"/>
      <c r="KJ233" s="188"/>
      <c r="KK233" s="188"/>
      <c r="KL233" s="188"/>
      <c r="KM233" s="188"/>
      <c r="KN233" s="188"/>
      <c r="KO233" s="188"/>
      <c r="KP233" s="188"/>
      <c r="KQ233" s="188"/>
      <c r="KR233" s="188"/>
      <c r="KS233" s="188"/>
      <c r="KT233" s="188"/>
      <c r="KU233" s="188"/>
      <c r="KV233" s="188"/>
      <c r="KW233" s="188"/>
      <c r="KX233" s="188"/>
      <c r="KY233" s="188"/>
      <c r="KZ233" s="188"/>
      <c r="LA233" s="188"/>
      <c r="LB233" s="188"/>
      <c r="LC233" s="188"/>
      <c r="LD233" s="188"/>
      <c r="LE233" s="188"/>
      <c r="LF233" s="188"/>
      <c r="LG233" s="188"/>
      <c r="LH233" s="188"/>
      <c r="LI233" s="188"/>
      <c r="LJ233" s="188"/>
      <c r="LK233" s="189"/>
      <c r="LL233" s="187"/>
      <c r="LM233" s="188"/>
      <c r="LN233" s="188"/>
      <c r="LO233" s="188"/>
      <c r="LP233" s="189"/>
      <c r="LY233" s="12"/>
      <c r="LZ233" s="7"/>
    </row>
    <row r="234" spans="3:338" ht="5.0999999999999996" customHeight="1" thickBot="1" x14ac:dyDescent="0.35">
      <c r="C234" s="11"/>
      <c r="D234" s="13"/>
      <c r="Q234" s="198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  <c r="AD234" s="199"/>
      <c r="AE234" s="199"/>
      <c r="AF234" s="199"/>
      <c r="AG234" s="199"/>
      <c r="AH234" s="199"/>
      <c r="AI234" s="199"/>
      <c r="AJ234" s="199"/>
      <c r="AK234" s="199"/>
      <c r="AL234" s="199"/>
      <c r="AM234" s="199"/>
      <c r="AN234" s="199"/>
      <c r="AO234" s="199"/>
      <c r="AP234" s="199"/>
      <c r="AQ234" s="199"/>
      <c r="AR234" s="199"/>
      <c r="AS234" s="199"/>
      <c r="AT234" s="199"/>
      <c r="AU234" s="199"/>
      <c r="AV234" s="199"/>
      <c r="AW234" s="199"/>
      <c r="AX234" s="199"/>
      <c r="AY234" s="199"/>
      <c r="AZ234" s="199"/>
      <c r="BA234" s="199"/>
      <c r="BB234" s="199"/>
      <c r="BC234" s="199"/>
      <c r="BD234" s="199"/>
      <c r="BE234" s="200"/>
      <c r="BF234" s="219"/>
      <c r="BG234" s="220"/>
      <c r="BH234" s="220"/>
      <c r="BI234" s="220"/>
      <c r="BJ234" s="221"/>
      <c r="JO234" s="154"/>
      <c r="JT234" s="23"/>
      <c r="JU234" s="31"/>
      <c r="JV234" s="31"/>
      <c r="JW234" s="187"/>
      <c r="JX234" s="188"/>
      <c r="JY234" s="188"/>
      <c r="JZ234" s="188"/>
      <c r="KA234" s="188"/>
      <c r="KB234" s="188"/>
      <c r="KC234" s="188"/>
      <c r="KD234" s="188"/>
      <c r="KE234" s="188"/>
      <c r="KF234" s="188"/>
      <c r="KG234" s="188"/>
      <c r="KH234" s="188"/>
      <c r="KI234" s="188"/>
      <c r="KJ234" s="188"/>
      <c r="KK234" s="188"/>
      <c r="KL234" s="188"/>
      <c r="KM234" s="188"/>
      <c r="KN234" s="188"/>
      <c r="KO234" s="188"/>
      <c r="KP234" s="188"/>
      <c r="KQ234" s="188"/>
      <c r="KR234" s="188"/>
      <c r="KS234" s="188"/>
      <c r="KT234" s="188"/>
      <c r="KU234" s="188"/>
      <c r="KV234" s="188"/>
      <c r="KW234" s="188"/>
      <c r="KX234" s="188"/>
      <c r="KY234" s="188"/>
      <c r="KZ234" s="188"/>
      <c r="LA234" s="188"/>
      <c r="LB234" s="188"/>
      <c r="LC234" s="188"/>
      <c r="LD234" s="188"/>
      <c r="LE234" s="188"/>
      <c r="LF234" s="188"/>
      <c r="LG234" s="188"/>
      <c r="LH234" s="188"/>
      <c r="LI234" s="188"/>
      <c r="LJ234" s="188"/>
      <c r="LK234" s="189"/>
      <c r="LL234" s="187"/>
      <c r="LM234" s="188"/>
      <c r="LN234" s="188"/>
      <c r="LO234" s="188"/>
      <c r="LP234" s="189"/>
      <c r="LY234" s="12"/>
      <c r="LZ234" s="7"/>
    </row>
    <row r="235" spans="3:338" ht="5.0999999999999996" customHeight="1" x14ac:dyDescent="0.3">
      <c r="C235" s="11"/>
      <c r="D235" s="13"/>
      <c r="Q235" s="198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  <c r="AS235" s="199"/>
      <c r="AT235" s="199"/>
      <c r="AU235" s="199"/>
      <c r="AV235" s="199"/>
      <c r="AW235" s="199"/>
      <c r="AX235" s="199"/>
      <c r="AY235" s="199"/>
      <c r="AZ235" s="199"/>
      <c r="BA235" s="199"/>
      <c r="BB235" s="199"/>
      <c r="BC235" s="199"/>
      <c r="BD235" s="199"/>
      <c r="BE235" s="200"/>
      <c r="BF235" s="219"/>
      <c r="BG235" s="220"/>
      <c r="BH235" s="220"/>
      <c r="BI235" s="220"/>
      <c r="BJ235" s="221"/>
      <c r="JO235" s="154"/>
      <c r="JT235" s="22"/>
      <c r="JU235" s="21"/>
      <c r="JV235" s="21"/>
      <c r="JW235" s="187"/>
      <c r="JX235" s="188"/>
      <c r="JY235" s="188"/>
      <c r="JZ235" s="188"/>
      <c r="KA235" s="188"/>
      <c r="KB235" s="188"/>
      <c r="KC235" s="188"/>
      <c r="KD235" s="188"/>
      <c r="KE235" s="188"/>
      <c r="KF235" s="188"/>
      <c r="KG235" s="188"/>
      <c r="KH235" s="188"/>
      <c r="KI235" s="188"/>
      <c r="KJ235" s="188"/>
      <c r="KK235" s="188"/>
      <c r="KL235" s="188"/>
      <c r="KM235" s="188"/>
      <c r="KN235" s="188"/>
      <c r="KO235" s="188"/>
      <c r="KP235" s="188"/>
      <c r="KQ235" s="188"/>
      <c r="KR235" s="188"/>
      <c r="KS235" s="188"/>
      <c r="KT235" s="188"/>
      <c r="KU235" s="188"/>
      <c r="KV235" s="188"/>
      <c r="KW235" s="188"/>
      <c r="KX235" s="188"/>
      <c r="KY235" s="188"/>
      <c r="KZ235" s="188"/>
      <c r="LA235" s="188"/>
      <c r="LB235" s="188"/>
      <c r="LC235" s="188"/>
      <c r="LD235" s="188"/>
      <c r="LE235" s="188"/>
      <c r="LF235" s="188"/>
      <c r="LG235" s="188"/>
      <c r="LH235" s="188"/>
      <c r="LI235" s="188"/>
      <c r="LJ235" s="188"/>
      <c r="LK235" s="189"/>
      <c r="LL235" s="187"/>
      <c r="LM235" s="188"/>
      <c r="LN235" s="188"/>
      <c r="LO235" s="188"/>
      <c r="LP235" s="189"/>
      <c r="LY235" s="12"/>
      <c r="LZ235" s="7"/>
    </row>
    <row r="236" spans="3:338" ht="5.0999999999999996" customHeight="1" x14ac:dyDescent="0.3">
      <c r="C236" s="11"/>
      <c r="D236" s="13"/>
      <c r="Q236" s="198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199"/>
      <c r="AM236" s="199"/>
      <c r="AN236" s="199"/>
      <c r="AO236" s="199"/>
      <c r="AP236" s="199"/>
      <c r="AQ236" s="199"/>
      <c r="AR236" s="199"/>
      <c r="AS236" s="199"/>
      <c r="AT236" s="199"/>
      <c r="AU236" s="199"/>
      <c r="AV236" s="199"/>
      <c r="AW236" s="199"/>
      <c r="AX236" s="199"/>
      <c r="AY236" s="199"/>
      <c r="AZ236" s="199"/>
      <c r="BA236" s="199"/>
      <c r="BB236" s="199"/>
      <c r="BC236" s="199"/>
      <c r="BD236" s="199"/>
      <c r="BE236" s="200"/>
      <c r="BF236" s="219"/>
      <c r="BG236" s="220"/>
      <c r="BH236" s="220"/>
      <c r="BI236" s="220"/>
      <c r="BJ236" s="221"/>
      <c r="JO236" s="154"/>
      <c r="JT236" s="16"/>
      <c r="JW236" s="187"/>
      <c r="JX236" s="188"/>
      <c r="JY236" s="188"/>
      <c r="JZ236" s="188"/>
      <c r="KA236" s="188"/>
      <c r="KB236" s="188"/>
      <c r="KC236" s="188"/>
      <c r="KD236" s="188"/>
      <c r="KE236" s="188"/>
      <c r="KF236" s="188"/>
      <c r="KG236" s="188"/>
      <c r="KH236" s="188"/>
      <c r="KI236" s="188"/>
      <c r="KJ236" s="188"/>
      <c r="KK236" s="188"/>
      <c r="KL236" s="188"/>
      <c r="KM236" s="188"/>
      <c r="KN236" s="188"/>
      <c r="KO236" s="188"/>
      <c r="KP236" s="188"/>
      <c r="KQ236" s="188"/>
      <c r="KR236" s="188"/>
      <c r="KS236" s="188"/>
      <c r="KT236" s="188"/>
      <c r="KU236" s="188"/>
      <c r="KV236" s="188"/>
      <c r="KW236" s="188"/>
      <c r="KX236" s="188"/>
      <c r="KY236" s="188"/>
      <c r="KZ236" s="188"/>
      <c r="LA236" s="188"/>
      <c r="LB236" s="188"/>
      <c r="LC236" s="188"/>
      <c r="LD236" s="188"/>
      <c r="LE236" s="188"/>
      <c r="LF236" s="188"/>
      <c r="LG236" s="188"/>
      <c r="LH236" s="188"/>
      <c r="LI236" s="188"/>
      <c r="LJ236" s="188"/>
      <c r="LK236" s="189"/>
      <c r="LL236" s="187"/>
      <c r="LM236" s="188"/>
      <c r="LN236" s="188"/>
      <c r="LO236" s="188"/>
      <c r="LP236" s="189"/>
      <c r="LY236" s="12"/>
      <c r="LZ236" s="7"/>
    </row>
    <row r="237" spans="3:338" ht="5.0999999999999996" customHeight="1" x14ac:dyDescent="0.3">
      <c r="C237" s="11"/>
      <c r="D237" s="13"/>
      <c r="Q237" s="198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  <c r="AD237" s="199"/>
      <c r="AE237" s="199"/>
      <c r="AF237" s="199"/>
      <c r="AG237" s="199"/>
      <c r="AH237" s="199"/>
      <c r="AI237" s="199"/>
      <c r="AJ237" s="199"/>
      <c r="AK237" s="199"/>
      <c r="AL237" s="199"/>
      <c r="AM237" s="199"/>
      <c r="AN237" s="199"/>
      <c r="AO237" s="199"/>
      <c r="AP237" s="199"/>
      <c r="AQ237" s="199"/>
      <c r="AR237" s="199"/>
      <c r="AS237" s="199"/>
      <c r="AT237" s="199"/>
      <c r="AU237" s="199"/>
      <c r="AV237" s="199"/>
      <c r="AW237" s="199"/>
      <c r="AX237" s="199"/>
      <c r="AY237" s="199"/>
      <c r="AZ237" s="199"/>
      <c r="BA237" s="199"/>
      <c r="BB237" s="199"/>
      <c r="BC237" s="199"/>
      <c r="BD237" s="199"/>
      <c r="BE237" s="200"/>
      <c r="BF237" s="219"/>
      <c r="BG237" s="220"/>
      <c r="BH237" s="220"/>
      <c r="BI237" s="220"/>
      <c r="BJ237" s="221"/>
      <c r="JO237" s="154"/>
      <c r="JT237" s="16"/>
      <c r="JW237" s="187"/>
      <c r="JX237" s="188"/>
      <c r="JY237" s="188"/>
      <c r="JZ237" s="188"/>
      <c r="KA237" s="188"/>
      <c r="KB237" s="188"/>
      <c r="KC237" s="188"/>
      <c r="KD237" s="188"/>
      <c r="KE237" s="188"/>
      <c r="KF237" s="188"/>
      <c r="KG237" s="188"/>
      <c r="KH237" s="188"/>
      <c r="KI237" s="188"/>
      <c r="KJ237" s="188"/>
      <c r="KK237" s="188"/>
      <c r="KL237" s="188"/>
      <c r="KM237" s="188"/>
      <c r="KN237" s="188"/>
      <c r="KO237" s="188"/>
      <c r="KP237" s="188"/>
      <c r="KQ237" s="188"/>
      <c r="KR237" s="188"/>
      <c r="KS237" s="188"/>
      <c r="KT237" s="188"/>
      <c r="KU237" s="188"/>
      <c r="KV237" s="188"/>
      <c r="KW237" s="188"/>
      <c r="KX237" s="188"/>
      <c r="KY237" s="188"/>
      <c r="KZ237" s="188"/>
      <c r="LA237" s="188"/>
      <c r="LB237" s="188"/>
      <c r="LC237" s="188"/>
      <c r="LD237" s="188"/>
      <c r="LE237" s="188"/>
      <c r="LF237" s="188"/>
      <c r="LG237" s="188"/>
      <c r="LH237" s="188"/>
      <c r="LI237" s="188"/>
      <c r="LJ237" s="188"/>
      <c r="LK237" s="189"/>
      <c r="LL237" s="187"/>
      <c r="LM237" s="188"/>
      <c r="LN237" s="188"/>
      <c r="LO237" s="188"/>
      <c r="LP237" s="189"/>
      <c r="LY237" s="12"/>
      <c r="LZ237" s="7"/>
    </row>
    <row r="238" spans="3:338" ht="5.0999999999999996" customHeight="1" x14ac:dyDescent="0.3">
      <c r="C238" s="11"/>
      <c r="D238" s="13"/>
      <c r="Q238" s="198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  <c r="AD238" s="199"/>
      <c r="AE238" s="199"/>
      <c r="AF238" s="199"/>
      <c r="AG238" s="199"/>
      <c r="AH238" s="199"/>
      <c r="AI238" s="199"/>
      <c r="AJ238" s="199"/>
      <c r="AK238" s="199"/>
      <c r="AL238" s="199"/>
      <c r="AM238" s="199"/>
      <c r="AN238" s="199"/>
      <c r="AO238" s="199"/>
      <c r="AP238" s="199"/>
      <c r="AQ238" s="199"/>
      <c r="AR238" s="199"/>
      <c r="AS238" s="199"/>
      <c r="AT238" s="199"/>
      <c r="AU238" s="199"/>
      <c r="AV238" s="199"/>
      <c r="AW238" s="199"/>
      <c r="AX238" s="199"/>
      <c r="AY238" s="199"/>
      <c r="AZ238" s="199"/>
      <c r="BA238" s="199"/>
      <c r="BB238" s="199"/>
      <c r="BC238" s="199"/>
      <c r="BD238" s="199"/>
      <c r="BE238" s="200"/>
      <c r="BF238" s="219"/>
      <c r="BG238" s="220"/>
      <c r="BH238" s="220"/>
      <c r="BI238" s="220"/>
      <c r="BJ238" s="221"/>
      <c r="JO238" s="154"/>
      <c r="JT238" s="16"/>
      <c r="JW238" s="187"/>
      <c r="JX238" s="188"/>
      <c r="JY238" s="188"/>
      <c r="JZ238" s="188"/>
      <c r="KA238" s="188"/>
      <c r="KB238" s="188"/>
      <c r="KC238" s="188"/>
      <c r="KD238" s="188"/>
      <c r="KE238" s="188"/>
      <c r="KF238" s="188"/>
      <c r="KG238" s="188"/>
      <c r="KH238" s="188"/>
      <c r="KI238" s="188"/>
      <c r="KJ238" s="188"/>
      <c r="KK238" s="188"/>
      <c r="KL238" s="188"/>
      <c r="KM238" s="188"/>
      <c r="KN238" s="188"/>
      <c r="KO238" s="188"/>
      <c r="KP238" s="188"/>
      <c r="KQ238" s="188"/>
      <c r="KR238" s="188"/>
      <c r="KS238" s="188"/>
      <c r="KT238" s="188"/>
      <c r="KU238" s="188"/>
      <c r="KV238" s="188"/>
      <c r="KW238" s="188"/>
      <c r="KX238" s="188"/>
      <c r="KY238" s="188"/>
      <c r="KZ238" s="188"/>
      <c r="LA238" s="188"/>
      <c r="LB238" s="188"/>
      <c r="LC238" s="188"/>
      <c r="LD238" s="188"/>
      <c r="LE238" s="188"/>
      <c r="LF238" s="188"/>
      <c r="LG238" s="188"/>
      <c r="LH238" s="188"/>
      <c r="LI238" s="188"/>
      <c r="LJ238" s="188"/>
      <c r="LK238" s="189"/>
      <c r="LL238" s="187"/>
      <c r="LM238" s="188"/>
      <c r="LN238" s="188"/>
      <c r="LO238" s="188"/>
      <c r="LP238" s="189"/>
      <c r="LY238" s="12"/>
      <c r="LZ238" s="7"/>
    </row>
    <row r="239" spans="3:338" ht="5.0999999999999996" customHeight="1" x14ac:dyDescent="0.3">
      <c r="C239" s="11"/>
      <c r="D239" s="13"/>
      <c r="Q239" s="198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  <c r="AS239" s="199"/>
      <c r="AT239" s="199"/>
      <c r="AU239" s="199"/>
      <c r="AV239" s="199"/>
      <c r="AW239" s="199"/>
      <c r="AX239" s="199"/>
      <c r="AY239" s="199"/>
      <c r="AZ239" s="199"/>
      <c r="BA239" s="199"/>
      <c r="BB239" s="199"/>
      <c r="BC239" s="199"/>
      <c r="BD239" s="199"/>
      <c r="BE239" s="200"/>
      <c r="BF239" s="219"/>
      <c r="BG239" s="220"/>
      <c r="BH239" s="220"/>
      <c r="BI239" s="220"/>
      <c r="BJ239" s="221"/>
      <c r="JO239" s="154"/>
      <c r="JT239" s="16"/>
      <c r="JW239" s="187"/>
      <c r="JX239" s="188"/>
      <c r="JY239" s="188"/>
      <c r="JZ239" s="188"/>
      <c r="KA239" s="188"/>
      <c r="KB239" s="188"/>
      <c r="KC239" s="188"/>
      <c r="KD239" s="188"/>
      <c r="KE239" s="188"/>
      <c r="KF239" s="188"/>
      <c r="KG239" s="188"/>
      <c r="KH239" s="188"/>
      <c r="KI239" s="188"/>
      <c r="KJ239" s="188"/>
      <c r="KK239" s="188"/>
      <c r="KL239" s="188"/>
      <c r="KM239" s="188"/>
      <c r="KN239" s="188"/>
      <c r="KO239" s="188"/>
      <c r="KP239" s="188"/>
      <c r="KQ239" s="188"/>
      <c r="KR239" s="188"/>
      <c r="KS239" s="188"/>
      <c r="KT239" s="188"/>
      <c r="KU239" s="188"/>
      <c r="KV239" s="188"/>
      <c r="KW239" s="188"/>
      <c r="KX239" s="188"/>
      <c r="KY239" s="188"/>
      <c r="KZ239" s="188"/>
      <c r="LA239" s="188"/>
      <c r="LB239" s="188"/>
      <c r="LC239" s="188"/>
      <c r="LD239" s="188"/>
      <c r="LE239" s="188"/>
      <c r="LF239" s="188"/>
      <c r="LG239" s="188"/>
      <c r="LH239" s="188"/>
      <c r="LI239" s="188"/>
      <c r="LJ239" s="188"/>
      <c r="LK239" s="189"/>
      <c r="LL239" s="187"/>
      <c r="LM239" s="188"/>
      <c r="LN239" s="188"/>
      <c r="LO239" s="188"/>
      <c r="LP239" s="189"/>
      <c r="LY239" s="12"/>
      <c r="LZ239" s="7"/>
    </row>
    <row r="240" spans="3:338" ht="5.0999999999999996" customHeight="1" x14ac:dyDescent="0.3">
      <c r="C240" s="11"/>
      <c r="D240" s="13"/>
      <c r="Q240" s="201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  <c r="AV240" s="202"/>
      <c r="AW240" s="202"/>
      <c r="AX240" s="202"/>
      <c r="AY240" s="202"/>
      <c r="AZ240" s="202"/>
      <c r="BA240" s="202"/>
      <c r="BB240" s="202"/>
      <c r="BC240" s="202"/>
      <c r="BD240" s="202"/>
      <c r="BE240" s="203"/>
      <c r="BF240" s="222"/>
      <c r="BG240" s="223"/>
      <c r="BH240" s="223"/>
      <c r="BI240" s="223"/>
      <c r="BJ240" s="224"/>
      <c r="JO240" s="154"/>
      <c r="JT240" s="16"/>
      <c r="JW240" s="190"/>
      <c r="JX240" s="191"/>
      <c r="JY240" s="191"/>
      <c r="JZ240" s="191"/>
      <c r="KA240" s="191"/>
      <c r="KB240" s="191"/>
      <c r="KC240" s="191"/>
      <c r="KD240" s="191"/>
      <c r="KE240" s="191"/>
      <c r="KF240" s="191"/>
      <c r="KG240" s="191"/>
      <c r="KH240" s="191"/>
      <c r="KI240" s="191"/>
      <c r="KJ240" s="191"/>
      <c r="KK240" s="191"/>
      <c r="KL240" s="191"/>
      <c r="KM240" s="191"/>
      <c r="KN240" s="191"/>
      <c r="KO240" s="191"/>
      <c r="KP240" s="191"/>
      <c r="KQ240" s="191"/>
      <c r="KR240" s="191"/>
      <c r="KS240" s="191"/>
      <c r="KT240" s="191"/>
      <c r="KU240" s="191"/>
      <c r="KV240" s="191"/>
      <c r="KW240" s="191"/>
      <c r="KX240" s="191"/>
      <c r="KY240" s="191"/>
      <c r="KZ240" s="191"/>
      <c r="LA240" s="191"/>
      <c r="LB240" s="191"/>
      <c r="LC240" s="191"/>
      <c r="LD240" s="191"/>
      <c r="LE240" s="191"/>
      <c r="LF240" s="191"/>
      <c r="LG240" s="191"/>
      <c r="LH240" s="191"/>
      <c r="LI240" s="191"/>
      <c r="LJ240" s="191"/>
      <c r="LK240" s="192"/>
      <c r="LL240" s="190"/>
      <c r="LM240" s="191"/>
      <c r="LN240" s="191"/>
      <c r="LO240" s="191"/>
      <c r="LP240" s="192"/>
      <c r="LY240" s="12"/>
      <c r="LZ240" s="7"/>
    </row>
    <row r="241" spans="3:338" ht="5.0999999999999996" customHeight="1" x14ac:dyDescent="0.3">
      <c r="C241" s="11"/>
      <c r="D241" s="13"/>
      <c r="JO241" s="154"/>
      <c r="JT241" s="16"/>
      <c r="KR241" s="152"/>
      <c r="LY241" s="12"/>
      <c r="LZ241" s="7"/>
    </row>
    <row r="242" spans="3:338" ht="5.0999999999999996" customHeight="1" x14ac:dyDescent="0.3">
      <c r="C242" s="11"/>
      <c r="D242" s="13"/>
      <c r="JO242" s="154"/>
      <c r="JT242" s="16"/>
      <c r="JW242" s="184" t="s">
        <v>51</v>
      </c>
      <c r="JX242" s="185"/>
      <c r="JY242" s="185"/>
      <c r="JZ242" s="185"/>
      <c r="KA242" s="185"/>
      <c r="KB242" s="185"/>
      <c r="KC242" s="185"/>
      <c r="KD242" s="185"/>
      <c r="KE242" s="185"/>
      <c r="KF242" s="185"/>
      <c r="KG242" s="185"/>
      <c r="KH242" s="185"/>
      <c r="KI242" s="185"/>
      <c r="KJ242" s="185"/>
      <c r="KK242" s="185"/>
      <c r="KL242" s="185"/>
      <c r="KM242" s="185"/>
      <c r="KN242" s="185"/>
      <c r="KO242" s="185"/>
      <c r="KP242" s="185"/>
      <c r="KQ242" s="185"/>
      <c r="KR242" s="185"/>
      <c r="KS242" s="185"/>
      <c r="KT242" s="185"/>
      <c r="KU242" s="185"/>
      <c r="KV242" s="185"/>
      <c r="KW242" s="185"/>
      <c r="KX242" s="185"/>
      <c r="KY242" s="185"/>
      <c r="KZ242" s="185"/>
      <c r="LA242" s="185"/>
      <c r="LB242" s="185"/>
      <c r="LC242" s="185"/>
      <c r="LD242" s="185"/>
      <c r="LE242" s="185"/>
      <c r="LF242" s="185"/>
      <c r="LG242" s="185"/>
      <c r="LH242" s="185"/>
      <c r="LI242" s="185"/>
      <c r="LJ242" s="185"/>
      <c r="LK242" s="186"/>
      <c r="LL242" s="184">
        <v>3</v>
      </c>
      <c r="LM242" s="185"/>
      <c r="LN242" s="185"/>
      <c r="LO242" s="185"/>
      <c r="LP242" s="186"/>
      <c r="LY242" s="12"/>
      <c r="LZ242" s="7"/>
    </row>
    <row r="243" spans="3:338" ht="5.0999999999999996" customHeight="1" x14ac:dyDescent="0.3">
      <c r="C243" s="11"/>
      <c r="D243" s="13"/>
      <c r="JO243" s="154"/>
      <c r="JT243" s="16"/>
      <c r="JW243" s="187"/>
      <c r="JX243" s="188"/>
      <c r="JY243" s="188"/>
      <c r="JZ243" s="188"/>
      <c r="KA243" s="188"/>
      <c r="KB243" s="188"/>
      <c r="KC243" s="188"/>
      <c r="KD243" s="188"/>
      <c r="KE243" s="188"/>
      <c r="KF243" s="188"/>
      <c r="KG243" s="188"/>
      <c r="KH243" s="188"/>
      <c r="KI243" s="188"/>
      <c r="KJ243" s="188"/>
      <c r="KK243" s="188"/>
      <c r="KL243" s="188"/>
      <c r="KM243" s="188"/>
      <c r="KN243" s="188"/>
      <c r="KO243" s="188"/>
      <c r="KP243" s="188"/>
      <c r="KQ243" s="188"/>
      <c r="KR243" s="188"/>
      <c r="KS243" s="188"/>
      <c r="KT243" s="188"/>
      <c r="KU243" s="188"/>
      <c r="KV243" s="188"/>
      <c r="KW243" s="188"/>
      <c r="KX243" s="188"/>
      <c r="KY243" s="188"/>
      <c r="KZ243" s="188"/>
      <c r="LA243" s="188"/>
      <c r="LB243" s="188"/>
      <c r="LC243" s="188"/>
      <c r="LD243" s="188"/>
      <c r="LE243" s="188"/>
      <c r="LF243" s="188"/>
      <c r="LG243" s="188"/>
      <c r="LH243" s="188"/>
      <c r="LI243" s="188"/>
      <c r="LJ243" s="188"/>
      <c r="LK243" s="189"/>
      <c r="LL243" s="187"/>
      <c r="LM243" s="188"/>
      <c r="LN243" s="188"/>
      <c r="LO243" s="188"/>
      <c r="LP243" s="189"/>
      <c r="LY243" s="12"/>
      <c r="LZ243" s="7"/>
    </row>
    <row r="244" spans="3:338" ht="5.0999999999999996" customHeight="1" x14ac:dyDescent="0.3">
      <c r="C244" s="11"/>
      <c r="D244" s="13"/>
      <c r="JO244" s="154"/>
      <c r="JT244" s="16"/>
      <c r="JW244" s="187"/>
      <c r="JX244" s="188"/>
      <c r="JY244" s="188"/>
      <c r="JZ244" s="188"/>
      <c r="KA244" s="188"/>
      <c r="KB244" s="188"/>
      <c r="KC244" s="188"/>
      <c r="KD244" s="188"/>
      <c r="KE244" s="188"/>
      <c r="KF244" s="188"/>
      <c r="KG244" s="188"/>
      <c r="KH244" s="188"/>
      <c r="KI244" s="188"/>
      <c r="KJ244" s="188"/>
      <c r="KK244" s="188"/>
      <c r="KL244" s="188"/>
      <c r="KM244" s="188"/>
      <c r="KN244" s="188"/>
      <c r="KO244" s="188"/>
      <c r="KP244" s="188"/>
      <c r="KQ244" s="188"/>
      <c r="KR244" s="188"/>
      <c r="KS244" s="188"/>
      <c r="KT244" s="188"/>
      <c r="KU244" s="188"/>
      <c r="KV244" s="188"/>
      <c r="KW244" s="188"/>
      <c r="KX244" s="188"/>
      <c r="KY244" s="188"/>
      <c r="KZ244" s="188"/>
      <c r="LA244" s="188"/>
      <c r="LB244" s="188"/>
      <c r="LC244" s="188"/>
      <c r="LD244" s="188"/>
      <c r="LE244" s="188"/>
      <c r="LF244" s="188"/>
      <c r="LG244" s="188"/>
      <c r="LH244" s="188"/>
      <c r="LI244" s="188"/>
      <c r="LJ244" s="188"/>
      <c r="LK244" s="189"/>
      <c r="LL244" s="187"/>
      <c r="LM244" s="188"/>
      <c r="LN244" s="188"/>
      <c r="LO244" s="188"/>
      <c r="LP244" s="189"/>
      <c r="LY244" s="12"/>
      <c r="LZ244" s="7"/>
    </row>
    <row r="245" spans="3:338" ht="4.5" customHeight="1" x14ac:dyDescent="0.3">
      <c r="C245" s="11"/>
      <c r="D245" s="13"/>
      <c r="JO245" s="154"/>
      <c r="JT245" s="16"/>
      <c r="JW245" s="187"/>
      <c r="JX245" s="188"/>
      <c r="JY245" s="188"/>
      <c r="JZ245" s="188"/>
      <c r="KA245" s="188"/>
      <c r="KB245" s="188"/>
      <c r="KC245" s="188"/>
      <c r="KD245" s="188"/>
      <c r="KE245" s="188"/>
      <c r="KF245" s="188"/>
      <c r="KG245" s="188"/>
      <c r="KH245" s="188"/>
      <c r="KI245" s="188"/>
      <c r="KJ245" s="188"/>
      <c r="KK245" s="188"/>
      <c r="KL245" s="188"/>
      <c r="KM245" s="188"/>
      <c r="KN245" s="188"/>
      <c r="KO245" s="188"/>
      <c r="KP245" s="188"/>
      <c r="KQ245" s="188"/>
      <c r="KR245" s="188"/>
      <c r="KS245" s="188"/>
      <c r="KT245" s="188"/>
      <c r="KU245" s="188"/>
      <c r="KV245" s="188"/>
      <c r="KW245" s="188"/>
      <c r="KX245" s="188"/>
      <c r="KY245" s="188"/>
      <c r="KZ245" s="188"/>
      <c r="LA245" s="188"/>
      <c r="LB245" s="188"/>
      <c r="LC245" s="188"/>
      <c r="LD245" s="188"/>
      <c r="LE245" s="188"/>
      <c r="LF245" s="188"/>
      <c r="LG245" s="188"/>
      <c r="LH245" s="188"/>
      <c r="LI245" s="188"/>
      <c r="LJ245" s="188"/>
      <c r="LK245" s="189"/>
      <c r="LL245" s="187"/>
      <c r="LM245" s="188"/>
      <c r="LN245" s="188"/>
      <c r="LO245" s="188"/>
      <c r="LP245" s="189"/>
      <c r="LY245" s="12"/>
      <c r="LZ245" s="7"/>
    </row>
    <row r="246" spans="3:338" ht="5.0999999999999996" customHeight="1" x14ac:dyDescent="0.3">
      <c r="C246" s="11"/>
      <c r="D246" s="13"/>
      <c r="JO246" s="154"/>
      <c r="JT246" s="16"/>
      <c r="JW246" s="187"/>
      <c r="JX246" s="188"/>
      <c r="JY246" s="188"/>
      <c r="JZ246" s="188"/>
      <c r="KA246" s="188"/>
      <c r="KB246" s="188"/>
      <c r="KC246" s="188"/>
      <c r="KD246" s="188"/>
      <c r="KE246" s="188"/>
      <c r="KF246" s="188"/>
      <c r="KG246" s="188"/>
      <c r="KH246" s="188"/>
      <c r="KI246" s="188"/>
      <c r="KJ246" s="188"/>
      <c r="KK246" s="188"/>
      <c r="KL246" s="188"/>
      <c r="KM246" s="188"/>
      <c r="KN246" s="188"/>
      <c r="KO246" s="188"/>
      <c r="KP246" s="188"/>
      <c r="KQ246" s="188"/>
      <c r="KR246" s="188"/>
      <c r="KS246" s="188"/>
      <c r="KT246" s="188"/>
      <c r="KU246" s="188"/>
      <c r="KV246" s="188"/>
      <c r="KW246" s="188"/>
      <c r="KX246" s="188"/>
      <c r="KY246" s="188"/>
      <c r="KZ246" s="188"/>
      <c r="LA246" s="188"/>
      <c r="LB246" s="188"/>
      <c r="LC246" s="188"/>
      <c r="LD246" s="188"/>
      <c r="LE246" s="188"/>
      <c r="LF246" s="188"/>
      <c r="LG246" s="188"/>
      <c r="LH246" s="188"/>
      <c r="LI246" s="188"/>
      <c r="LJ246" s="188"/>
      <c r="LK246" s="189"/>
      <c r="LL246" s="187"/>
      <c r="LM246" s="188"/>
      <c r="LN246" s="188"/>
      <c r="LO246" s="188"/>
      <c r="LP246" s="189"/>
      <c r="LY246" s="12"/>
      <c r="LZ246" s="7"/>
    </row>
    <row r="247" spans="3:338" ht="5.0999999999999996" customHeight="1" x14ac:dyDescent="0.3">
      <c r="C247" s="11"/>
      <c r="D247" s="13"/>
      <c r="JO247" s="154"/>
      <c r="JT247" s="16"/>
      <c r="JW247" s="187"/>
      <c r="JX247" s="188"/>
      <c r="JY247" s="188"/>
      <c r="JZ247" s="188"/>
      <c r="KA247" s="188"/>
      <c r="KB247" s="188"/>
      <c r="KC247" s="188"/>
      <c r="KD247" s="188"/>
      <c r="KE247" s="188"/>
      <c r="KF247" s="188"/>
      <c r="KG247" s="188"/>
      <c r="KH247" s="188"/>
      <c r="KI247" s="188"/>
      <c r="KJ247" s="188"/>
      <c r="KK247" s="188"/>
      <c r="KL247" s="188"/>
      <c r="KM247" s="188"/>
      <c r="KN247" s="188"/>
      <c r="KO247" s="188"/>
      <c r="KP247" s="188"/>
      <c r="KQ247" s="188"/>
      <c r="KR247" s="188"/>
      <c r="KS247" s="188"/>
      <c r="KT247" s="188"/>
      <c r="KU247" s="188"/>
      <c r="KV247" s="188"/>
      <c r="KW247" s="188"/>
      <c r="KX247" s="188"/>
      <c r="KY247" s="188"/>
      <c r="KZ247" s="188"/>
      <c r="LA247" s="188"/>
      <c r="LB247" s="188"/>
      <c r="LC247" s="188"/>
      <c r="LD247" s="188"/>
      <c r="LE247" s="188"/>
      <c r="LF247" s="188"/>
      <c r="LG247" s="188"/>
      <c r="LH247" s="188"/>
      <c r="LI247" s="188"/>
      <c r="LJ247" s="188"/>
      <c r="LK247" s="189"/>
      <c r="LL247" s="187"/>
      <c r="LM247" s="188"/>
      <c r="LN247" s="188"/>
      <c r="LO247" s="188"/>
      <c r="LP247" s="189"/>
      <c r="LY247" s="12"/>
      <c r="LZ247" s="7"/>
    </row>
    <row r="248" spans="3:338" ht="5.0999999999999996" customHeight="1" x14ac:dyDescent="0.3">
      <c r="C248" s="11"/>
      <c r="D248" s="13"/>
      <c r="JO248" s="154"/>
      <c r="JT248" s="16"/>
      <c r="JW248" s="187"/>
      <c r="JX248" s="188"/>
      <c r="JY248" s="188"/>
      <c r="JZ248" s="188"/>
      <c r="KA248" s="188"/>
      <c r="KB248" s="188"/>
      <c r="KC248" s="188"/>
      <c r="KD248" s="188"/>
      <c r="KE248" s="188"/>
      <c r="KF248" s="188"/>
      <c r="KG248" s="188"/>
      <c r="KH248" s="188"/>
      <c r="KI248" s="188"/>
      <c r="KJ248" s="188"/>
      <c r="KK248" s="188"/>
      <c r="KL248" s="188"/>
      <c r="KM248" s="188"/>
      <c r="KN248" s="188"/>
      <c r="KO248" s="188"/>
      <c r="KP248" s="188"/>
      <c r="KQ248" s="188"/>
      <c r="KR248" s="188"/>
      <c r="KS248" s="188"/>
      <c r="KT248" s="188"/>
      <c r="KU248" s="188"/>
      <c r="KV248" s="188"/>
      <c r="KW248" s="188"/>
      <c r="KX248" s="188"/>
      <c r="KY248" s="188"/>
      <c r="KZ248" s="188"/>
      <c r="LA248" s="188"/>
      <c r="LB248" s="188"/>
      <c r="LC248" s="188"/>
      <c r="LD248" s="188"/>
      <c r="LE248" s="188"/>
      <c r="LF248" s="188"/>
      <c r="LG248" s="188"/>
      <c r="LH248" s="188"/>
      <c r="LI248" s="188"/>
      <c r="LJ248" s="188"/>
      <c r="LK248" s="189"/>
      <c r="LL248" s="187"/>
      <c r="LM248" s="188"/>
      <c r="LN248" s="188"/>
      <c r="LO248" s="188"/>
      <c r="LP248" s="189"/>
      <c r="LY248" s="12"/>
      <c r="LZ248" s="7"/>
    </row>
    <row r="249" spans="3:338" ht="5.0999999999999996" customHeight="1" x14ac:dyDescent="0.3">
      <c r="C249" s="11"/>
      <c r="D249" s="13"/>
      <c r="JO249" s="154"/>
      <c r="JT249" s="16"/>
      <c r="JW249" s="187"/>
      <c r="JX249" s="188"/>
      <c r="JY249" s="188"/>
      <c r="JZ249" s="188"/>
      <c r="KA249" s="188"/>
      <c r="KB249" s="188"/>
      <c r="KC249" s="188"/>
      <c r="KD249" s="188"/>
      <c r="KE249" s="188"/>
      <c r="KF249" s="188"/>
      <c r="KG249" s="188"/>
      <c r="KH249" s="188"/>
      <c r="KI249" s="188"/>
      <c r="KJ249" s="188"/>
      <c r="KK249" s="188"/>
      <c r="KL249" s="188"/>
      <c r="KM249" s="188"/>
      <c r="KN249" s="188"/>
      <c r="KO249" s="188"/>
      <c r="KP249" s="188"/>
      <c r="KQ249" s="188"/>
      <c r="KR249" s="188"/>
      <c r="KS249" s="188"/>
      <c r="KT249" s="188"/>
      <c r="KU249" s="188"/>
      <c r="KV249" s="188"/>
      <c r="KW249" s="188"/>
      <c r="KX249" s="188"/>
      <c r="KY249" s="188"/>
      <c r="KZ249" s="188"/>
      <c r="LA249" s="188"/>
      <c r="LB249" s="188"/>
      <c r="LC249" s="188"/>
      <c r="LD249" s="188"/>
      <c r="LE249" s="188"/>
      <c r="LF249" s="188"/>
      <c r="LG249" s="188"/>
      <c r="LH249" s="188"/>
      <c r="LI249" s="188"/>
      <c r="LJ249" s="188"/>
      <c r="LK249" s="189"/>
      <c r="LL249" s="187"/>
      <c r="LM249" s="188"/>
      <c r="LN249" s="188"/>
      <c r="LO249" s="188"/>
      <c r="LP249" s="189"/>
      <c r="LY249" s="12"/>
      <c r="LZ249" s="7"/>
    </row>
    <row r="250" spans="3:338" ht="5.0999999999999996" customHeight="1" x14ac:dyDescent="0.3">
      <c r="C250" s="11"/>
      <c r="D250" s="13"/>
      <c r="JO250" s="154"/>
      <c r="JT250" s="16"/>
      <c r="JW250" s="187"/>
      <c r="JX250" s="188"/>
      <c r="JY250" s="188"/>
      <c r="JZ250" s="188"/>
      <c r="KA250" s="188"/>
      <c r="KB250" s="188"/>
      <c r="KC250" s="188"/>
      <c r="KD250" s="188"/>
      <c r="KE250" s="188"/>
      <c r="KF250" s="188"/>
      <c r="KG250" s="188"/>
      <c r="KH250" s="188"/>
      <c r="KI250" s="188"/>
      <c r="KJ250" s="188"/>
      <c r="KK250" s="188"/>
      <c r="KL250" s="188"/>
      <c r="KM250" s="188"/>
      <c r="KN250" s="188"/>
      <c r="KO250" s="188"/>
      <c r="KP250" s="188"/>
      <c r="KQ250" s="188"/>
      <c r="KR250" s="188"/>
      <c r="KS250" s="188"/>
      <c r="KT250" s="188"/>
      <c r="KU250" s="188"/>
      <c r="KV250" s="188"/>
      <c r="KW250" s="188"/>
      <c r="KX250" s="188"/>
      <c r="KY250" s="188"/>
      <c r="KZ250" s="188"/>
      <c r="LA250" s="188"/>
      <c r="LB250" s="188"/>
      <c r="LC250" s="188"/>
      <c r="LD250" s="188"/>
      <c r="LE250" s="188"/>
      <c r="LF250" s="188"/>
      <c r="LG250" s="188"/>
      <c r="LH250" s="188"/>
      <c r="LI250" s="188"/>
      <c r="LJ250" s="188"/>
      <c r="LK250" s="189"/>
      <c r="LL250" s="187"/>
      <c r="LM250" s="188"/>
      <c r="LN250" s="188"/>
      <c r="LO250" s="188"/>
      <c r="LP250" s="189"/>
      <c r="LY250" s="12"/>
      <c r="LZ250" s="7"/>
    </row>
    <row r="251" spans="3:338" ht="5.0999999999999996" customHeight="1" x14ac:dyDescent="0.3">
      <c r="C251" s="11"/>
      <c r="D251" s="13"/>
      <c r="JO251" s="154"/>
      <c r="JT251" s="16"/>
      <c r="JW251" s="190"/>
      <c r="JX251" s="191"/>
      <c r="JY251" s="191"/>
      <c r="JZ251" s="191"/>
      <c r="KA251" s="191"/>
      <c r="KB251" s="191"/>
      <c r="KC251" s="191"/>
      <c r="KD251" s="191"/>
      <c r="KE251" s="191"/>
      <c r="KF251" s="191"/>
      <c r="KG251" s="191"/>
      <c r="KH251" s="191"/>
      <c r="KI251" s="191"/>
      <c r="KJ251" s="191"/>
      <c r="KK251" s="191"/>
      <c r="KL251" s="191"/>
      <c r="KM251" s="191"/>
      <c r="KN251" s="191"/>
      <c r="KO251" s="191"/>
      <c r="KP251" s="191"/>
      <c r="KQ251" s="191"/>
      <c r="KR251" s="191"/>
      <c r="KS251" s="191"/>
      <c r="KT251" s="191"/>
      <c r="KU251" s="191"/>
      <c r="KV251" s="191"/>
      <c r="KW251" s="191"/>
      <c r="KX251" s="191"/>
      <c r="KY251" s="191"/>
      <c r="KZ251" s="191"/>
      <c r="LA251" s="191"/>
      <c r="LB251" s="191"/>
      <c r="LC251" s="191"/>
      <c r="LD251" s="191"/>
      <c r="LE251" s="191"/>
      <c r="LF251" s="191"/>
      <c r="LG251" s="191"/>
      <c r="LH251" s="191"/>
      <c r="LI251" s="191"/>
      <c r="LJ251" s="191"/>
      <c r="LK251" s="192"/>
      <c r="LL251" s="190"/>
      <c r="LM251" s="191"/>
      <c r="LN251" s="191"/>
      <c r="LO251" s="191"/>
      <c r="LP251" s="192"/>
      <c r="LY251" s="12"/>
      <c r="LZ251" s="7"/>
    </row>
    <row r="252" spans="3:338" ht="5.0999999999999996" customHeight="1" x14ac:dyDescent="0.3">
      <c r="C252" s="11"/>
      <c r="D252" s="13"/>
      <c r="JO252" s="154"/>
      <c r="JT252" s="16"/>
      <c r="JW252" s="184" t="s">
        <v>152</v>
      </c>
      <c r="JX252" s="185"/>
      <c r="JY252" s="185"/>
      <c r="JZ252" s="185"/>
      <c r="KA252" s="185"/>
      <c r="KB252" s="185"/>
      <c r="KC252" s="185"/>
      <c r="KD252" s="185"/>
      <c r="KE252" s="185"/>
      <c r="KF252" s="185"/>
      <c r="KG252" s="185"/>
      <c r="KH252" s="185"/>
      <c r="KI252" s="185"/>
      <c r="KJ252" s="185"/>
      <c r="KK252" s="185"/>
      <c r="KL252" s="185"/>
      <c r="KM252" s="185"/>
      <c r="KN252" s="185"/>
      <c r="KO252" s="185"/>
      <c r="KP252" s="185"/>
      <c r="KQ252" s="185"/>
      <c r="KR252" s="185"/>
      <c r="KS252" s="185"/>
      <c r="KT252" s="185"/>
      <c r="KU252" s="185"/>
      <c r="KV252" s="185"/>
      <c r="KW252" s="185"/>
      <c r="KX252" s="185"/>
      <c r="KY252" s="185"/>
      <c r="KZ252" s="185"/>
      <c r="LA252" s="185"/>
      <c r="LB252" s="185"/>
      <c r="LC252" s="185"/>
      <c r="LD252" s="185"/>
      <c r="LE252" s="185"/>
      <c r="LF252" s="185"/>
      <c r="LG252" s="185"/>
      <c r="LH252" s="185"/>
      <c r="LI252" s="185"/>
      <c r="LJ252" s="185"/>
      <c r="LK252" s="186"/>
      <c r="LL252" s="184">
        <v>10</v>
      </c>
      <c r="LM252" s="185"/>
      <c r="LN252" s="185"/>
      <c r="LO252" s="185"/>
      <c r="LP252" s="186"/>
      <c r="LY252" s="12"/>
      <c r="LZ252" s="7"/>
    </row>
    <row r="253" spans="3:338" ht="5.0999999999999996" customHeight="1" x14ac:dyDescent="0.3">
      <c r="C253" s="11"/>
      <c r="D253" s="13"/>
      <c r="JO253" s="154"/>
      <c r="JT253" s="16"/>
      <c r="JW253" s="187"/>
      <c r="JX253" s="188"/>
      <c r="JY253" s="188"/>
      <c r="JZ253" s="188"/>
      <c r="KA253" s="188"/>
      <c r="KB253" s="188"/>
      <c r="KC253" s="188"/>
      <c r="KD253" s="188"/>
      <c r="KE253" s="188"/>
      <c r="KF253" s="188"/>
      <c r="KG253" s="188"/>
      <c r="KH253" s="188"/>
      <c r="KI253" s="188"/>
      <c r="KJ253" s="188"/>
      <c r="KK253" s="188"/>
      <c r="KL253" s="188"/>
      <c r="KM253" s="188"/>
      <c r="KN253" s="188"/>
      <c r="KO253" s="188"/>
      <c r="KP253" s="188"/>
      <c r="KQ253" s="188"/>
      <c r="KR253" s="188"/>
      <c r="KS253" s="188"/>
      <c r="KT253" s="188"/>
      <c r="KU253" s="188"/>
      <c r="KV253" s="188"/>
      <c r="KW253" s="188"/>
      <c r="KX253" s="188"/>
      <c r="KY253" s="188"/>
      <c r="KZ253" s="188"/>
      <c r="LA253" s="188"/>
      <c r="LB253" s="188"/>
      <c r="LC253" s="188"/>
      <c r="LD253" s="188"/>
      <c r="LE253" s="188"/>
      <c r="LF253" s="188"/>
      <c r="LG253" s="188"/>
      <c r="LH253" s="188"/>
      <c r="LI253" s="188"/>
      <c r="LJ253" s="188"/>
      <c r="LK253" s="189"/>
      <c r="LL253" s="187"/>
      <c r="LM253" s="188"/>
      <c r="LN253" s="188"/>
      <c r="LO253" s="188"/>
      <c r="LP253" s="189"/>
      <c r="LY253" s="12"/>
      <c r="LZ253" s="7"/>
    </row>
    <row r="254" spans="3:338" ht="5.0999999999999996" customHeight="1" x14ac:dyDescent="0.3">
      <c r="C254" s="11"/>
      <c r="D254" s="13"/>
      <c r="JO254" s="154"/>
      <c r="JT254" s="16"/>
      <c r="JW254" s="187"/>
      <c r="JX254" s="188"/>
      <c r="JY254" s="188"/>
      <c r="JZ254" s="188"/>
      <c r="KA254" s="188"/>
      <c r="KB254" s="188"/>
      <c r="KC254" s="188"/>
      <c r="KD254" s="188"/>
      <c r="KE254" s="188"/>
      <c r="KF254" s="188"/>
      <c r="KG254" s="188"/>
      <c r="KH254" s="188"/>
      <c r="KI254" s="188"/>
      <c r="KJ254" s="188"/>
      <c r="KK254" s="188"/>
      <c r="KL254" s="188"/>
      <c r="KM254" s="188"/>
      <c r="KN254" s="188"/>
      <c r="KO254" s="188"/>
      <c r="KP254" s="188"/>
      <c r="KQ254" s="188"/>
      <c r="KR254" s="188"/>
      <c r="KS254" s="188"/>
      <c r="KT254" s="188"/>
      <c r="KU254" s="188"/>
      <c r="KV254" s="188"/>
      <c r="KW254" s="188"/>
      <c r="KX254" s="188"/>
      <c r="KY254" s="188"/>
      <c r="KZ254" s="188"/>
      <c r="LA254" s="188"/>
      <c r="LB254" s="188"/>
      <c r="LC254" s="188"/>
      <c r="LD254" s="188"/>
      <c r="LE254" s="188"/>
      <c r="LF254" s="188"/>
      <c r="LG254" s="188"/>
      <c r="LH254" s="188"/>
      <c r="LI254" s="188"/>
      <c r="LJ254" s="188"/>
      <c r="LK254" s="189"/>
      <c r="LL254" s="187"/>
      <c r="LM254" s="188"/>
      <c r="LN254" s="188"/>
      <c r="LO254" s="188"/>
      <c r="LP254" s="189"/>
      <c r="LY254" s="12"/>
      <c r="LZ254" s="7"/>
    </row>
    <row r="255" spans="3:338" ht="5.0999999999999996" customHeight="1" x14ac:dyDescent="0.3">
      <c r="C255" s="11"/>
      <c r="D255" s="13"/>
      <c r="JO255" s="154"/>
      <c r="JT255" s="16"/>
      <c r="JW255" s="187"/>
      <c r="JX255" s="188"/>
      <c r="JY255" s="188"/>
      <c r="JZ255" s="188"/>
      <c r="KA255" s="188"/>
      <c r="KB255" s="188"/>
      <c r="KC255" s="188"/>
      <c r="KD255" s="188"/>
      <c r="KE255" s="188"/>
      <c r="KF255" s="188"/>
      <c r="KG255" s="188"/>
      <c r="KH255" s="188"/>
      <c r="KI255" s="188"/>
      <c r="KJ255" s="188"/>
      <c r="KK255" s="188"/>
      <c r="KL255" s="188"/>
      <c r="KM255" s="188"/>
      <c r="KN255" s="188"/>
      <c r="KO255" s="188"/>
      <c r="KP255" s="188"/>
      <c r="KQ255" s="188"/>
      <c r="KR255" s="188"/>
      <c r="KS255" s="188"/>
      <c r="KT255" s="188"/>
      <c r="KU255" s="188"/>
      <c r="KV255" s="188"/>
      <c r="KW255" s="188"/>
      <c r="KX255" s="188"/>
      <c r="KY255" s="188"/>
      <c r="KZ255" s="188"/>
      <c r="LA255" s="188"/>
      <c r="LB255" s="188"/>
      <c r="LC255" s="188"/>
      <c r="LD255" s="188"/>
      <c r="LE255" s="188"/>
      <c r="LF255" s="188"/>
      <c r="LG255" s="188"/>
      <c r="LH255" s="188"/>
      <c r="LI255" s="188"/>
      <c r="LJ255" s="188"/>
      <c r="LK255" s="189"/>
      <c r="LL255" s="187"/>
      <c r="LM255" s="188"/>
      <c r="LN255" s="188"/>
      <c r="LO255" s="188"/>
      <c r="LP255" s="189"/>
      <c r="LY255" s="12"/>
      <c r="LZ255" s="7"/>
    </row>
    <row r="256" spans="3:338" ht="5.0999999999999996" customHeight="1" x14ac:dyDescent="0.3">
      <c r="C256" s="11"/>
      <c r="D256" s="13"/>
      <c r="JO256" s="154"/>
      <c r="JT256" s="16"/>
      <c r="JW256" s="187"/>
      <c r="JX256" s="188"/>
      <c r="JY256" s="188"/>
      <c r="JZ256" s="188"/>
      <c r="KA256" s="188"/>
      <c r="KB256" s="188"/>
      <c r="KC256" s="188"/>
      <c r="KD256" s="188"/>
      <c r="KE256" s="188"/>
      <c r="KF256" s="188"/>
      <c r="KG256" s="188"/>
      <c r="KH256" s="188"/>
      <c r="KI256" s="188"/>
      <c r="KJ256" s="188"/>
      <c r="KK256" s="188"/>
      <c r="KL256" s="188"/>
      <c r="KM256" s="188"/>
      <c r="KN256" s="188"/>
      <c r="KO256" s="188"/>
      <c r="KP256" s="188"/>
      <c r="KQ256" s="188"/>
      <c r="KR256" s="188"/>
      <c r="KS256" s="188"/>
      <c r="KT256" s="188"/>
      <c r="KU256" s="188"/>
      <c r="KV256" s="188"/>
      <c r="KW256" s="188"/>
      <c r="KX256" s="188"/>
      <c r="KY256" s="188"/>
      <c r="KZ256" s="188"/>
      <c r="LA256" s="188"/>
      <c r="LB256" s="188"/>
      <c r="LC256" s="188"/>
      <c r="LD256" s="188"/>
      <c r="LE256" s="188"/>
      <c r="LF256" s="188"/>
      <c r="LG256" s="188"/>
      <c r="LH256" s="188"/>
      <c r="LI256" s="188"/>
      <c r="LJ256" s="188"/>
      <c r="LK256" s="189"/>
      <c r="LL256" s="187"/>
      <c r="LM256" s="188"/>
      <c r="LN256" s="188"/>
      <c r="LO256" s="188"/>
      <c r="LP256" s="189"/>
      <c r="LY256" s="12"/>
      <c r="LZ256" s="7"/>
    </row>
    <row r="257" spans="3:338" ht="5.0999999999999996" customHeight="1" x14ac:dyDescent="0.3">
      <c r="C257" s="11"/>
      <c r="D257" s="13"/>
      <c r="JO257" s="154"/>
      <c r="JT257" s="16"/>
      <c r="JW257" s="187"/>
      <c r="JX257" s="188"/>
      <c r="JY257" s="188"/>
      <c r="JZ257" s="188"/>
      <c r="KA257" s="188"/>
      <c r="KB257" s="188"/>
      <c r="KC257" s="188"/>
      <c r="KD257" s="188"/>
      <c r="KE257" s="188"/>
      <c r="KF257" s="188"/>
      <c r="KG257" s="188"/>
      <c r="KH257" s="188"/>
      <c r="KI257" s="188"/>
      <c r="KJ257" s="188"/>
      <c r="KK257" s="188"/>
      <c r="KL257" s="188"/>
      <c r="KM257" s="188"/>
      <c r="KN257" s="188"/>
      <c r="KO257" s="188"/>
      <c r="KP257" s="188"/>
      <c r="KQ257" s="188"/>
      <c r="KR257" s="188"/>
      <c r="KS257" s="188"/>
      <c r="KT257" s="188"/>
      <c r="KU257" s="188"/>
      <c r="KV257" s="188"/>
      <c r="KW257" s="188"/>
      <c r="KX257" s="188"/>
      <c r="KY257" s="188"/>
      <c r="KZ257" s="188"/>
      <c r="LA257" s="188"/>
      <c r="LB257" s="188"/>
      <c r="LC257" s="188"/>
      <c r="LD257" s="188"/>
      <c r="LE257" s="188"/>
      <c r="LF257" s="188"/>
      <c r="LG257" s="188"/>
      <c r="LH257" s="188"/>
      <c r="LI257" s="188"/>
      <c r="LJ257" s="188"/>
      <c r="LK257" s="189"/>
      <c r="LL257" s="187"/>
      <c r="LM257" s="188"/>
      <c r="LN257" s="188"/>
      <c r="LO257" s="188"/>
      <c r="LP257" s="189"/>
      <c r="LY257" s="12"/>
      <c r="LZ257" s="7"/>
    </row>
    <row r="258" spans="3:338" ht="5.0999999999999996" customHeight="1" thickBot="1" x14ac:dyDescent="0.35">
      <c r="C258" s="11"/>
      <c r="D258" s="13"/>
      <c r="JO258" s="154"/>
      <c r="JT258" s="16"/>
      <c r="JW258" s="187"/>
      <c r="JX258" s="188"/>
      <c r="JY258" s="188"/>
      <c r="JZ258" s="188"/>
      <c r="KA258" s="188"/>
      <c r="KB258" s="188"/>
      <c r="KC258" s="188"/>
      <c r="KD258" s="188"/>
      <c r="KE258" s="188"/>
      <c r="KF258" s="188"/>
      <c r="KG258" s="188"/>
      <c r="KH258" s="188"/>
      <c r="KI258" s="188"/>
      <c r="KJ258" s="188"/>
      <c r="KK258" s="188"/>
      <c r="KL258" s="188"/>
      <c r="KM258" s="188"/>
      <c r="KN258" s="188"/>
      <c r="KO258" s="188"/>
      <c r="KP258" s="188"/>
      <c r="KQ258" s="188"/>
      <c r="KR258" s="188"/>
      <c r="KS258" s="188"/>
      <c r="KT258" s="188"/>
      <c r="KU258" s="188"/>
      <c r="KV258" s="188"/>
      <c r="KW258" s="188"/>
      <c r="KX258" s="188"/>
      <c r="KY258" s="188"/>
      <c r="KZ258" s="188"/>
      <c r="LA258" s="188"/>
      <c r="LB258" s="188"/>
      <c r="LC258" s="188"/>
      <c r="LD258" s="188"/>
      <c r="LE258" s="188"/>
      <c r="LF258" s="188"/>
      <c r="LG258" s="188"/>
      <c r="LH258" s="188"/>
      <c r="LI258" s="188"/>
      <c r="LJ258" s="188"/>
      <c r="LK258" s="189"/>
      <c r="LL258" s="187"/>
      <c r="LM258" s="188"/>
      <c r="LN258" s="188"/>
      <c r="LO258" s="188"/>
      <c r="LP258" s="189"/>
      <c r="LY258" s="12"/>
      <c r="LZ258" s="7"/>
    </row>
    <row r="259" spans="3:338" ht="5.0999999999999996" customHeight="1" x14ac:dyDescent="0.3">
      <c r="C259" s="11"/>
      <c r="D259" s="13"/>
      <c r="FL259" s="329" t="s">
        <v>154</v>
      </c>
      <c r="FM259" s="330"/>
      <c r="FN259" s="330"/>
      <c r="FO259" s="330"/>
      <c r="FP259" s="330"/>
      <c r="FQ259" s="330"/>
      <c r="FR259" s="330"/>
      <c r="FS259" s="330"/>
      <c r="FT259" s="330"/>
      <c r="FU259" s="330"/>
      <c r="FV259" s="330"/>
      <c r="FW259" s="330"/>
      <c r="FX259" s="330"/>
      <c r="FY259" s="330"/>
      <c r="FZ259" s="330"/>
      <c r="GA259" s="330"/>
      <c r="GB259" s="330"/>
      <c r="GC259" s="330"/>
      <c r="GD259" s="330"/>
      <c r="GE259" s="330"/>
      <c r="GF259" s="330"/>
      <c r="GG259" s="330"/>
      <c r="GH259" s="330"/>
      <c r="GI259" s="330"/>
      <c r="GJ259" s="330"/>
      <c r="GK259" s="330"/>
      <c r="GL259" s="330"/>
      <c r="GM259" s="330"/>
      <c r="GN259" s="330"/>
      <c r="GO259" s="330"/>
      <c r="GP259" s="330"/>
      <c r="GQ259" s="330"/>
      <c r="GR259" s="330"/>
      <c r="GS259" s="330"/>
      <c r="GT259" s="330"/>
      <c r="GU259" s="330"/>
      <c r="GV259" s="330"/>
      <c r="GW259" s="330"/>
      <c r="GX259" s="330"/>
      <c r="GY259" s="330"/>
      <c r="GZ259" s="330"/>
      <c r="HA259" s="330"/>
      <c r="HB259" s="330"/>
      <c r="HC259" s="330"/>
      <c r="HD259" s="330"/>
      <c r="HE259" s="330"/>
      <c r="HF259" s="330"/>
      <c r="HG259" s="330"/>
      <c r="HH259" s="330"/>
      <c r="HI259" s="331"/>
      <c r="HJ259" s="285">
        <f>LL117</f>
        <v>32</v>
      </c>
      <c r="HK259" s="285"/>
      <c r="HL259" s="285"/>
      <c r="HM259" s="285"/>
      <c r="HN259" s="285"/>
      <c r="HO259" s="285"/>
      <c r="HP259" s="285"/>
      <c r="HQ259" s="285"/>
      <c r="HR259" s="285"/>
      <c r="HS259" s="285"/>
      <c r="HT259" s="285"/>
      <c r="HU259" s="286"/>
      <c r="JO259" s="154"/>
      <c r="JT259" s="16"/>
      <c r="JW259" s="187"/>
      <c r="JX259" s="188"/>
      <c r="JY259" s="188"/>
      <c r="JZ259" s="188"/>
      <c r="KA259" s="188"/>
      <c r="KB259" s="188"/>
      <c r="KC259" s="188"/>
      <c r="KD259" s="188"/>
      <c r="KE259" s="188"/>
      <c r="KF259" s="188"/>
      <c r="KG259" s="188"/>
      <c r="KH259" s="188"/>
      <c r="KI259" s="188"/>
      <c r="KJ259" s="188"/>
      <c r="KK259" s="188"/>
      <c r="KL259" s="188"/>
      <c r="KM259" s="188"/>
      <c r="KN259" s="188"/>
      <c r="KO259" s="188"/>
      <c r="KP259" s="188"/>
      <c r="KQ259" s="188"/>
      <c r="KR259" s="188"/>
      <c r="KS259" s="188"/>
      <c r="KT259" s="188"/>
      <c r="KU259" s="188"/>
      <c r="KV259" s="188"/>
      <c r="KW259" s="188"/>
      <c r="KX259" s="188"/>
      <c r="KY259" s="188"/>
      <c r="KZ259" s="188"/>
      <c r="LA259" s="188"/>
      <c r="LB259" s="188"/>
      <c r="LC259" s="188"/>
      <c r="LD259" s="188"/>
      <c r="LE259" s="188"/>
      <c r="LF259" s="188"/>
      <c r="LG259" s="188"/>
      <c r="LH259" s="188"/>
      <c r="LI259" s="188"/>
      <c r="LJ259" s="188"/>
      <c r="LK259" s="189"/>
      <c r="LL259" s="187"/>
      <c r="LM259" s="188"/>
      <c r="LN259" s="188"/>
      <c r="LO259" s="188"/>
      <c r="LP259" s="189"/>
      <c r="LY259" s="12"/>
      <c r="LZ259" s="7"/>
    </row>
    <row r="260" spans="3:338" ht="5.0999999999999996" customHeight="1" x14ac:dyDescent="0.3">
      <c r="C260" s="11"/>
      <c r="D260" s="13"/>
      <c r="FL260" s="332"/>
      <c r="FM260" s="333"/>
      <c r="FN260" s="333"/>
      <c r="FO260" s="333"/>
      <c r="FP260" s="333"/>
      <c r="FQ260" s="333"/>
      <c r="FR260" s="333"/>
      <c r="FS260" s="333"/>
      <c r="FT260" s="333"/>
      <c r="FU260" s="333"/>
      <c r="FV260" s="333"/>
      <c r="FW260" s="333"/>
      <c r="FX260" s="333"/>
      <c r="FY260" s="333"/>
      <c r="FZ260" s="333"/>
      <c r="GA260" s="333"/>
      <c r="GB260" s="333"/>
      <c r="GC260" s="333"/>
      <c r="GD260" s="333"/>
      <c r="GE260" s="333"/>
      <c r="GF260" s="333"/>
      <c r="GG260" s="333"/>
      <c r="GH260" s="333"/>
      <c r="GI260" s="333"/>
      <c r="GJ260" s="333"/>
      <c r="GK260" s="333"/>
      <c r="GL260" s="333"/>
      <c r="GM260" s="333"/>
      <c r="GN260" s="333"/>
      <c r="GO260" s="333"/>
      <c r="GP260" s="333"/>
      <c r="GQ260" s="333"/>
      <c r="GR260" s="333"/>
      <c r="GS260" s="333"/>
      <c r="GT260" s="333"/>
      <c r="GU260" s="333"/>
      <c r="GV260" s="333"/>
      <c r="GW260" s="333"/>
      <c r="GX260" s="333"/>
      <c r="GY260" s="333"/>
      <c r="GZ260" s="333"/>
      <c r="HA260" s="333"/>
      <c r="HB260" s="333"/>
      <c r="HC260" s="333"/>
      <c r="HD260" s="333"/>
      <c r="HE260" s="333"/>
      <c r="HF260" s="333"/>
      <c r="HG260" s="333"/>
      <c r="HH260" s="333"/>
      <c r="HI260" s="334"/>
      <c r="HJ260" s="288"/>
      <c r="HK260" s="288"/>
      <c r="HL260" s="288"/>
      <c r="HM260" s="288"/>
      <c r="HN260" s="288"/>
      <c r="HO260" s="288"/>
      <c r="HP260" s="288"/>
      <c r="HQ260" s="288"/>
      <c r="HR260" s="288"/>
      <c r="HS260" s="288"/>
      <c r="HT260" s="288"/>
      <c r="HU260" s="289"/>
      <c r="JO260" s="154"/>
      <c r="JT260" s="16"/>
      <c r="JW260" s="187"/>
      <c r="JX260" s="188"/>
      <c r="JY260" s="188"/>
      <c r="JZ260" s="188"/>
      <c r="KA260" s="188"/>
      <c r="KB260" s="188"/>
      <c r="KC260" s="188"/>
      <c r="KD260" s="188"/>
      <c r="KE260" s="188"/>
      <c r="KF260" s="188"/>
      <c r="KG260" s="188"/>
      <c r="KH260" s="188"/>
      <c r="KI260" s="188"/>
      <c r="KJ260" s="188"/>
      <c r="KK260" s="188"/>
      <c r="KL260" s="188"/>
      <c r="KM260" s="188"/>
      <c r="KN260" s="188"/>
      <c r="KO260" s="188"/>
      <c r="KP260" s="188"/>
      <c r="KQ260" s="188"/>
      <c r="KR260" s="188"/>
      <c r="KS260" s="188"/>
      <c r="KT260" s="188"/>
      <c r="KU260" s="188"/>
      <c r="KV260" s="188"/>
      <c r="KW260" s="188"/>
      <c r="KX260" s="188"/>
      <c r="KY260" s="188"/>
      <c r="KZ260" s="188"/>
      <c r="LA260" s="188"/>
      <c r="LB260" s="188"/>
      <c r="LC260" s="188"/>
      <c r="LD260" s="188"/>
      <c r="LE260" s="188"/>
      <c r="LF260" s="188"/>
      <c r="LG260" s="188"/>
      <c r="LH260" s="188"/>
      <c r="LI260" s="188"/>
      <c r="LJ260" s="188"/>
      <c r="LK260" s="189"/>
      <c r="LL260" s="187"/>
      <c r="LM260" s="188"/>
      <c r="LN260" s="188"/>
      <c r="LO260" s="188"/>
      <c r="LP260" s="189"/>
      <c r="LY260" s="12"/>
      <c r="LZ260" s="7"/>
    </row>
    <row r="261" spans="3:338" ht="5.0999999999999996" customHeight="1" x14ac:dyDescent="0.3">
      <c r="C261" s="11"/>
      <c r="D261" s="13"/>
      <c r="FL261" s="332"/>
      <c r="FM261" s="333"/>
      <c r="FN261" s="333"/>
      <c r="FO261" s="333"/>
      <c r="FP261" s="333"/>
      <c r="FQ261" s="333"/>
      <c r="FR261" s="333"/>
      <c r="FS261" s="333"/>
      <c r="FT261" s="333"/>
      <c r="FU261" s="333"/>
      <c r="FV261" s="333"/>
      <c r="FW261" s="333"/>
      <c r="FX261" s="333"/>
      <c r="FY261" s="333"/>
      <c r="FZ261" s="333"/>
      <c r="GA261" s="333"/>
      <c r="GB261" s="333"/>
      <c r="GC261" s="333"/>
      <c r="GD261" s="333"/>
      <c r="GE261" s="333"/>
      <c r="GF261" s="333"/>
      <c r="GG261" s="333"/>
      <c r="GH261" s="333"/>
      <c r="GI261" s="333"/>
      <c r="GJ261" s="333"/>
      <c r="GK261" s="333"/>
      <c r="GL261" s="333"/>
      <c r="GM261" s="333"/>
      <c r="GN261" s="333"/>
      <c r="GO261" s="333"/>
      <c r="GP261" s="333"/>
      <c r="GQ261" s="333"/>
      <c r="GR261" s="333"/>
      <c r="GS261" s="333"/>
      <c r="GT261" s="333"/>
      <c r="GU261" s="333"/>
      <c r="GV261" s="333"/>
      <c r="GW261" s="333"/>
      <c r="GX261" s="333"/>
      <c r="GY261" s="333"/>
      <c r="GZ261" s="333"/>
      <c r="HA261" s="333"/>
      <c r="HB261" s="333"/>
      <c r="HC261" s="333"/>
      <c r="HD261" s="333"/>
      <c r="HE261" s="333"/>
      <c r="HF261" s="333"/>
      <c r="HG261" s="333"/>
      <c r="HH261" s="333"/>
      <c r="HI261" s="334"/>
      <c r="HJ261" s="288"/>
      <c r="HK261" s="288"/>
      <c r="HL261" s="288"/>
      <c r="HM261" s="288"/>
      <c r="HN261" s="288"/>
      <c r="HO261" s="288"/>
      <c r="HP261" s="288"/>
      <c r="HQ261" s="288"/>
      <c r="HR261" s="288"/>
      <c r="HS261" s="288"/>
      <c r="HT261" s="288"/>
      <c r="HU261" s="289"/>
      <c r="JO261" s="154"/>
      <c r="JT261" s="16"/>
      <c r="JW261" s="190"/>
      <c r="JX261" s="191"/>
      <c r="JY261" s="191"/>
      <c r="JZ261" s="191"/>
      <c r="KA261" s="191"/>
      <c r="KB261" s="191"/>
      <c r="KC261" s="191"/>
      <c r="KD261" s="191"/>
      <c r="KE261" s="191"/>
      <c r="KF261" s="191"/>
      <c r="KG261" s="191"/>
      <c r="KH261" s="191"/>
      <c r="KI261" s="191"/>
      <c r="KJ261" s="191"/>
      <c r="KK261" s="191"/>
      <c r="KL261" s="191"/>
      <c r="KM261" s="191"/>
      <c r="KN261" s="191"/>
      <c r="KO261" s="191"/>
      <c r="KP261" s="191"/>
      <c r="KQ261" s="191"/>
      <c r="KR261" s="191"/>
      <c r="KS261" s="191"/>
      <c r="KT261" s="191"/>
      <c r="KU261" s="191"/>
      <c r="KV261" s="191"/>
      <c r="KW261" s="191"/>
      <c r="KX261" s="191"/>
      <c r="KY261" s="191"/>
      <c r="KZ261" s="191"/>
      <c r="LA261" s="191"/>
      <c r="LB261" s="191"/>
      <c r="LC261" s="191"/>
      <c r="LD261" s="191"/>
      <c r="LE261" s="191"/>
      <c r="LF261" s="191"/>
      <c r="LG261" s="191"/>
      <c r="LH261" s="191"/>
      <c r="LI261" s="191"/>
      <c r="LJ261" s="191"/>
      <c r="LK261" s="192"/>
      <c r="LL261" s="190"/>
      <c r="LM261" s="191"/>
      <c r="LN261" s="191"/>
      <c r="LO261" s="191"/>
      <c r="LP261" s="192"/>
      <c r="LY261" s="12"/>
      <c r="LZ261" s="7"/>
    </row>
    <row r="262" spans="3:338" ht="5.0999999999999996" customHeight="1" x14ac:dyDescent="0.3">
      <c r="C262" s="11"/>
      <c r="D262" s="13"/>
      <c r="FL262" s="332"/>
      <c r="FM262" s="333"/>
      <c r="FN262" s="333"/>
      <c r="FO262" s="333"/>
      <c r="FP262" s="333"/>
      <c r="FQ262" s="333"/>
      <c r="FR262" s="333"/>
      <c r="FS262" s="333"/>
      <c r="FT262" s="333"/>
      <c r="FU262" s="333"/>
      <c r="FV262" s="333"/>
      <c r="FW262" s="333"/>
      <c r="FX262" s="333"/>
      <c r="FY262" s="333"/>
      <c r="FZ262" s="333"/>
      <c r="GA262" s="333"/>
      <c r="GB262" s="333"/>
      <c r="GC262" s="333"/>
      <c r="GD262" s="333"/>
      <c r="GE262" s="333"/>
      <c r="GF262" s="333"/>
      <c r="GG262" s="333"/>
      <c r="GH262" s="333"/>
      <c r="GI262" s="333"/>
      <c r="GJ262" s="333"/>
      <c r="GK262" s="333"/>
      <c r="GL262" s="333"/>
      <c r="GM262" s="333"/>
      <c r="GN262" s="333"/>
      <c r="GO262" s="333"/>
      <c r="GP262" s="333"/>
      <c r="GQ262" s="333"/>
      <c r="GR262" s="333"/>
      <c r="GS262" s="333"/>
      <c r="GT262" s="333"/>
      <c r="GU262" s="333"/>
      <c r="GV262" s="333"/>
      <c r="GW262" s="333"/>
      <c r="GX262" s="333"/>
      <c r="GY262" s="333"/>
      <c r="GZ262" s="333"/>
      <c r="HA262" s="333"/>
      <c r="HB262" s="333"/>
      <c r="HC262" s="333"/>
      <c r="HD262" s="333"/>
      <c r="HE262" s="333"/>
      <c r="HF262" s="333"/>
      <c r="HG262" s="333"/>
      <c r="HH262" s="333"/>
      <c r="HI262" s="334"/>
      <c r="HJ262" s="288"/>
      <c r="HK262" s="288"/>
      <c r="HL262" s="288"/>
      <c r="HM262" s="288"/>
      <c r="HN262" s="288"/>
      <c r="HO262" s="288"/>
      <c r="HP262" s="288"/>
      <c r="HQ262" s="288"/>
      <c r="HR262" s="288"/>
      <c r="HS262" s="288"/>
      <c r="HT262" s="288"/>
      <c r="HU262" s="289"/>
      <c r="JO262" s="154"/>
      <c r="JT262" s="16"/>
      <c r="KU262" s="152"/>
      <c r="LY262" s="12"/>
      <c r="LZ262" s="7"/>
    </row>
    <row r="263" spans="3:338" ht="5.0999999999999996" customHeight="1" x14ac:dyDescent="0.3">
      <c r="C263" s="11"/>
      <c r="D263" s="13"/>
      <c r="FL263" s="332"/>
      <c r="FM263" s="333"/>
      <c r="FN263" s="333"/>
      <c r="FO263" s="333"/>
      <c r="FP263" s="333"/>
      <c r="FQ263" s="333"/>
      <c r="FR263" s="333"/>
      <c r="FS263" s="333"/>
      <c r="FT263" s="333"/>
      <c r="FU263" s="333"/>
      <c r="FV263" s="333"/>
      <c r="FW263" s="333"/>
      <c r="FX263" s="333"/>
      <c r="FY263" s="333"/>
      <c r="FZ263" s="333"/>
      <c r="GA263" s="333"/>
      <c r="GB263" s="333"/>
      <c r="GC263" s="333"/>
      <c r="GD263" s="333"/>
      <c r="GE263" s="333"/>
      <c r="GF263" s="333"/>
      <c r="GG263" s="333"/>
      <c r="GH263" s="333"/>
      <c r="GI263" s="333"/>
      <c r="GJ263" s="333"/>
      <c r="GK263" s="333"/>
      <c r="GL263" s="333"/>
      <c r="GM263" s="333"/>
      <c r="GN263" s="333"/>
      <c r="GO263" s="333"/>
      <c r="GP263" s="333"/>
      <c r="GQ263" s="333"/>
      <c r="GR263" s="333"/>
      <c r="GS263" s="333"/>
      <c r="GT263" s="333"/>
      <c r="GU263" s="333"/>
      <c r="GV263" s="333"/>
      <c r="GW263" s="333"/>
      <c r="GX263" s="333"/>
      <c r="GY263" s="333"/>
      <c r="GZ263" s="333"/>
      <c r="HA263" s="333"/>
      <c r="HB263" s="333"/>
      <c r="HC263" s="333"/>
      <c r="HD263" s="333"/>
      <c r="HE263" s="333"/>
      <c r="HF263" s="333"/>
      <c r="HG263" s="333"/>
      <c r="HH263" s="333"/>
      <c r="HI263" s="334"/>
      <c r="HJ263" s="288"/>
      <c r="HK263" s="288"/>
      <c r="HL263" s="288"/>
      <c r="HM263" s="288"/>
      <c r="HN263" s="288"/>
      <c r="HO263" s="288"/>
      <c r="HP263" s="288"/>
      <c r="HQ263" s="288"/>
      <c r="HR263" s="288"/>
      <c r="HS263" s="288"/>
      <c r="HT263" s="288"/>
      <c r="HU263" s="289"/>
      <c r="JO263" s="154"/>
      <c r="JT263" s="16"/>
      <c r="JW263" s="184" t="s">
        <v>60</v>
      </c>
      <c r="JX263" s="185"/>
      <c r="JY263" s="185"/>
      <c r="JZ263" s="185"/>
      <c r="KA263" s="185"/>
      <c r="KB263" s="185"/>
      <c r="KC263" s="185"/>
      <c r="KD263" s="185"/>
      <c r="KE263" s="185"/>
      <c r="KF263" s="185"/>
      <c r="KG263" s="185"/>
      <c r="KH263" s="185"/>
      <c r="KI263" s="185"/>
      <c r="KJ263" s="185"/>
      <c r="KK263" s="185"/>
      <c r="KL263" s="185"/>
      <c r="KM263" s="185"/>
      <c r="KN263" s="185"/>
      <c r="KO263" s="185"/>
      <c r="KP263" s="185"/>
      <c r="KQ263" s="185"/>
      <c r="KR263" s="185"/>
      <c r="KS263" s="185"/>
      <c r="KT263" s="185"/>
      <c r="KU263" s="185"/>
      <c r="KV263" s="185"/>
      <c r="KW263" s="185"/>
      <c r="KX263" s="185"/>
      <c r="KY263" s="185"/>
      <c r="KZ263" s="185"/>
      <c r="LA263" s="185"/>
      <c r="LB263" s="185"/>
      <c r="LC263" s="185"/>
      <c r="LD263" s="185"/>
      <c r="LE263" s="185"/>
      <c r="LF263" s="185"/>
      <c r="LG263" s="185"/>
      <c r="LH263" s="185"/>
      <c r="LI263" s="185"/>
      <c r="LJ263" s="185"/>
      <c r="LK263" s="186"/>
      <c r="LL263" s="184">
        <v>1</v>
      </c>
      <c r="LM263" s="185"/>
      <c r="LN263" s="185"/>
      <c r="LO263" s="185"/>
      <c r="LP263" s="186"/>
      <c r="LY263" s="12"/>
      <c r="LZ263" s="7"/>
    </row>
    <row r="264" spans="3:338" ht="5.0999999999999996" customHeight="1" x14ac:dyDescent="0.3">
      <c r="C264" s="11"/>
      <c r="D264" s="13"/>
      <c r="FL264" s="332"/>
      <c r="FM264" s="333"/>
      <c r="FN264" s="333"/>
      <c r="FO264" s="333"/>
      <c r="FP264" s="333"/>
      <c r="FQ264" s="333"/>
      <c r="FR264" s="333"/>
      <c r="FS264" s="333"/>
      <c r="FT264" s="333"/>
      <c r="FU264" s="333"/>
      <c r="FV264" s="333"/>
      <c r="FW264" s="333"/>
      <c r="FX264" s="333"/>
      <c r="FY264" s="333"/>
      <c r="FZ264" s="333"/>
      <c r="GA264" s="333"/>
      <c r="GB264" s="333"/>
      <c r="GC264" s="333"/>
      <c r="GD264" s="333"/>
      <c r="GE264" s="333"/>
      <c r="GF264" s="333"/>
      <c r="GG264" s="333"/>
      <c r="GH264" s="333"/>
      <c r="GI264" s="333"/>
      <c r="GJ264" s="333"/>
      <c r="GK264" s="333"/>
      <c r="GL264" s="333"/>
      <c r="GM264" s="333"/>
      <c r="GN264" s="333"/>
      <c r="GO264" s="333"/>
      <c r="GP264" s="333"/>
      <c r="GQ264" s="333"/>
      <c r="GR264" s="333"/>
      <c r="GS264" s="333"/>
      <c r="GT264" s="333"/>
      <c r="GU264" s="333"/>
      <c r="GV264" s="333"/>
      <c r="GW264" s="333"/>
      <c r="GX264" s="333"/>
      <c r="GY264" s="333"/>
      <c r="GZ264" s="333"/>
      <c r="HA264" s="333"/>
      <c r="HB264" s="333"/>
      <c r="HC264" s="333"/>
      <c r="HD264" s="333"/>
      <c r="HE264" s="333"/>
      <c r="HF264" s="333"/>
      <c r="HG264" s="333"/>
      <c r="HH264" s="333"/>
      <c r="HI264" s="334"/>
      <c r="HJ264" s="288"/>
      <c r="HK264" s="288"/>
      <c r="HL264" s="288"/>
      <c r="HM264" s="288"/>
      <c r="HN264" s="288"/>
      <c r="HO264" s="288"/>
      <c r="HP264" s="288"/>
      <c r="HQ264" s="288"/>
      <c r="HR264" s="288"/>
      <c r="HS264" s="288"/>
      <c r="HT264" s="288"/>
      <c r="HU264" s="289"/>
      <c r="JO264" s="154"/>
      <c r="JT264" s="16"/>
      <c r="JW264" s="187"/>
      <c r="JX264" s="188"/>
      <c r="JY264" s="188"/>
      <c r="JZ264" s="188"/>
      <c r="KA264" s="188"/>
      <c r="KB264" s="188"/>
      <c r="KC264" s="188"/>
      <c r="KD264" s="188"/>
      <c r="KE264" s="188"/>
      <c r="KF264" s="188"/>
      <c r="KG264" s="188"/>
      <c r="KH264" s="188"/>
      <c r="KI264" s="188"/>
      <c r="KJ264" s="188"/>
      <c r="KK264" s="188"/>
      <c r="KL264" s="188"/>
      <c r="KM264" s="188"/>
      <c r="KN264" s="188"/>
      <c r="KO264" s="188"/>
      <c r="KP264" s="188"/>
      <c r="KQ264" s="188"/>
      <c r="KR264" s="188"/>
      <c r="KS264" s="188"/>
      <c r="KT264" s="188"/>
      <c r="KU264" s="188"/>
      <c r="KV264" s="188"/>
      <c r="KW264" s="188"/>
      <c r="KX264" s="188"/>
      <c r="KY264" s="188"/>
      <c r="KZ264" s="188"/>
      <c r="LA264" s="188"/>
      <c r="LB264" s="188"/>
      <c r="LC264" s="188"/>
      <c r="LD264" s="188"/>
      <c r="LE264" s="188"/>
      <c r="LF264" s="188"/>
      <c r="LG264" s="188"/>
      <c r="LH264" s="188"/>
      <c r="LI264" s="188"/>
      <c r="LJ264" s="188"/>
      <c r="LK264" s="189"/>
      <c r="LL264" s="187"/>
      <c r="LM264" s="188"/>
      <c r="LN264" s="188"/>
      <c r="LO264" s="188"/>
      <c r="LP264" s="189"/>
      <c r="LY264" s="12"/>
      <c r="LZ264" s="7"/>
    </row>
    <row r="265" spans="3:338" ht="5.0999999999999996" customHeight="1" thickBot="1" x14ac:dyDescent="0.35">
      <c r="C265" s="11"/>
      <c r="D265" s="13"/>
      <c r="FL265" s="335"/>
      <c r="FM265" s="336"/>
      <c r="FN265" s="336"/>
      <c r="FO265" s="336"/>
      <c r="FP265" s="336"/>
      <c r="FQ265" s="336"/>
      <c r="FR265" s="336"/>
      <c r="FS265" s="336"/>
      <c r="FT265" s="336"/>
      <c r="FU265" s="336"/>
      <c r="FV265" s="336"/>
      <c r="FW265" s="336"/>
      <c r="FX265" s="336"/>
      <c r="FY265" s="336"/>
      <c r="FZ265" s="336"/>
      <c r="GA265" s="336"/>
      <c r="GB265" s="336"/>
      <c r="GC265" s="336"/>
      <c r="GD265" s="336"/>
      <c r="GE265" s="336"/>
      <c r="GF265" s="336"/>
      <c r="GG265" s="336"/>
      <c r="GH265" s="336"/>
      <c r="GI265" s="336"/>
      <c r="GJ265" s="336"/>
      <c r="GK265" s="336"/>
      <c r="GL265" s="336"/>
      <c r="GM265" s="336"/>
      <c r="GN265" s="336"/>
      <c r="GO265" s="336"/>
      <c r="GP265" s="336"/>
      <c r="GQ265" s="336"/>
      <c r="GR265" s="336"/>
      <c r="GS265" s="336"/>
      <c r="GT265" s="336"/>
      <c r="GU265" s="336"/>
      <c r="GV265" s="336"/>
      <c r="GW265" s="336"/>
      <c r="GX265" s="336"/>
      <c r="GY265" s="336"/>
      <c r="GZ265" s="336"/>
      <c r="HA265" s="336"/>
      <c r="HB265" s="336"/>
      <c r="HC265" s="336"/>
      <c r="HD265" s="336"/>
      <c r="HE265" s="336"/>
      <c r="HF265" s="336"/>
      <c r="HG265" s="336"/>
      <c r="HH265" s="336"/>
      <c r="HI265" s="337"/>
      <c r="HJ265" s="291"/>
      <c r="HK265" s="291"/>
      <c r="HL265" s="291"/>
      <c r="HM265" s="291"/>
      <c r="HN265" s="291"/>
      <c r="HO265" s="291"/>
      <c r="HP265" s="291"/>
      <c r="HQ265" s="291"/>
      <c r="HR265" s="291"/>
      <c r="HS265" s="291"/>
      <c r="HT265" s="291"/>
      <c r="HU265" s="292"/>
      <c r="JO265" s="154"/>
      <c r="JT265" s="16"/>
      <c r="JW265" s="187"/>
      <c r="JX265" s="188"/>
      <c r="JY265" s="188"/>
      <c r="JZ265" s="188"/>
      <c r="KA265" s="188"/>
      <c r="KB265" s="188"/>
      <c r="KC265" s="188"/>
      <c r="KD265" s="188"/>
      <c r="KE265" s="188"/>
      <c r="KF265" s="188"/>
      <c r="KG265" s="188"/>
      <c r="KH265" s="188"/>
      <c r="KI265" s="188"/>
      <c r="KJ265" s="188"/>
      <c r="KK265" s="188"/>
      <c r="KL265" s="188"/>
      <c r="KM265" s="188"/>
      <c r="KN265" s="188"/>
      <c r="KO265" s="188"/>
      <c r="KP265" s="188"/>
      <c r="KQ265" s="188"/>
      <c r="KR265" s="188"/>
      <c r="KS265" s="188"/>
      <c r="KT265" s="188"/>
      <c r="KU265" s="188"/>
      <c r="KV265" s="188"/>
      <c r="KW265" s="188"/>
      <c r="KX265" s="188"/>
      <c r="KY265" s="188"/>
      <c r="KZ265" s="188"/>
      <c r="LA265" s="188"/>
      <c r="LB265" s="188"/>
      <c r="LC265" s="188"/>
      <c r="LD265" s="188"/>
      <c r="LE265" s="188"/>
      <c r="LF265" s="188"/>
      <c r="LG265" s="188"/>
      <c r="LH265" s="188"/>
      <c r="LI265" s="188"/>
      <c r="LJ265" s="188"/>
      <c r="LK265" s="189"/>
      <c r="LL265" s="187"/>
      <c r="LM265" s="188"/>
      <c r="LN265" s="188"/>
      <c r="LO265" s="188"/>
      <c r="LP265" s="189"/>
      <c r="LY265" s="12"/>
      <c r="LZ265" s="7"/>
    </row>
    <row r="266" spans="3:338" ht="5.0999999999999996" customHeight="1" x14ac:dyDescent="0.3">
      <c r="C266" s="11"/>
      <c r="D266" s="13"/>
      <c r="FL266" s="329" t="s">
        <v>153</v>
      </c>
      <c r="FM266" s="330"/>
      <c r="FN266" s="330"/>
      <c r="FO266" s="330"/>
      <c r="FP266" s="330"/>
      <c r="FQ266" s="330"/>
      <c r="FR266" s="330"/>
      <c r="FS266" s="330"/>
      <c r="FT266" s="330"/>
      <c r="FU266" s="330"/>
      <c r="FV266" s="330"/>
      <c r="FW266" s="330"/>
      <c r="FX266" s="330"/>
      <c r="FY266" s="330"/>
      <c r="FZ266" s="330"/>
      <c r="GA266" s="330"/>
      <c r="GB266" s="330"/>
      <c r="GC266" s="330"/>
      <c r="GD266" s="330"/>
      <c r="GE266" s="330"/>
      <c r="GF266" s="330"/>
      <c r="GG266" s="330"/>
      <c r="GH266" s="330"/>
      <c r="GI266" s="330"/>
      <c r="GJ266" s="330"/>
      <c r="GK266" s="330"/>
      <c r="GL266" s="330"/>
      <c r="GM266" s="330"/>
      <c r="GN266" s="330"/>
      <c r="GO266" s="330"/>
      <c r="GP266" s="330"/>
      <c r="GQ266" s="330"/>
      <c r="GR266" s="330"/>
      <c r="GS266" s="330"/>
      <c r="GT266" s="330"/>
      <c r="GU266" s="330"/>
      <c r="GV266" s="330"/>
      <c r="GW266" s="330"/>
      <c r="GX266" s="330"/>
      <c r="GY266" s="330"/>
      <c r="GZ266" s="330"/>
      <c r="HA266" s="330"/>
      <c r="HB266" s="330"/>
      <c r="HC266" s="330"/>
      <c r="HD266" s="330"/>
      <c r="HE266" s="330"/>
      <c r="HF266" s="330"/>
      <c r="HG266" s="330"/>
      <c r="HH266" s="330"/>
      <c r="HI266" s="331"/>
      <c r="HJ266" s="285">
        <f>SUM(FI18,FI35,HY37,BF54,DI84,DI97,HB92,HB102,BF117,FD117,JD161,JD183)</f>
        <v>61</v>
      </c>
      <c r="HK266" s="285"/>
      <c r="HL266" s="285"/>
      <c r="HM266" s="285"/>
      <c r="HN266" s="285"/>
      <c r="HO266" s="285"/>
      <c r="HP266" s="285"/>
      <c r="HQ266" s="285"/>
      <c r="HR266" s="285"/>
      <c r="HS266" s="285"/>
      <c r="HT266" s="285"/>
      <c r="HU266" s="286"/>
      <c r="JO266" s="154"/>
      <c r="JT266" s="16"/>
      <c r="JW266" s="187"/>
      <c r="JX266" s="188"/>
      <c r="JY266" s="188"/>
      <c r="JZ266" s="188"/>
      <c r="KA266" s="188"/>
      <c r="KB266" s="188"/>
      <c r="KC266" s="188"/>
      <c r="KD266" s="188"/>
      <c r="KE266" s="188"/>
      <c r="KF266" s="188"/>
      <c r="KG266" s="188"/>
      <c r="KH266" s="188"/>
      <c r="KI266" s="188"/>
      <c r="KJ266" s="188"/>
      <c r="KK266" s="188"/>
      <c r="KL266" s="188"/>
      <c r="KM266" s="188"/>
      <c r="KN266" s="188"/>
      <c r="KO266" s="188"/>
      <c r="KP266" s="188"/>
      <c r="KQ266" s="188"/>
      <c r="KR266" s="188"/>
      <c r="KS266" s="188"/>
      <c r="KT266" s="188"/>
      <c r="KU266" s="188"/>
      <c r="KV266" s="188"/>
      <c r="KW266" s="188"/>
      <c r="KX266" s="188"/>
      <c r="KY266" s="188"/>
      <c r="KZ266" s="188"/>
      <c r="LA266" s="188"/>
      <c r="LB266" s="188"/>
      <c r="LC266" s="188"/>
      <c r="LD266" s="188"/>
      <c r="LE266" s="188"/>
      <c r="LF266" s="188"/>
      <c r="LG266" s="188"/>
      <c r="LH266" s="188"/>
      <c r="LI266" s="188"/>
      <c r="LJ266" s="188"/>
      <c r="LK266" s="189"/>
      <c r="LL266" s="187"/>
      <c r="LM266" s="188"/>
      <c r="LN266" s="188"/>
      <c r="LO266" s="188"/>
      <c r="LP266" s="189"/>
      <c r="LY266" s="12"/>
      <c r="LZ266" s="7"/>
    </row>
    <row r="267" spans="3:338" ht="5.0999999999999996" customHeight="1" thickBot="1" x14ac:dyDescent="0.35">
      <c r="C267" s="11"/>
      <c r="D267" s="13"/>
      <c r="FL267" s="332"/>
      <c r="FM267" s="333"/>
      <c r="FN267" s="333"/>
      <c r="FO267" s="333"/>
      <c r="FP267" s="333"/>
      <c r="FQ267" s="333"/>
      <c r="FR267" s="333"/>
      <c r="FS267" s="333"/>
      <c r="FT267" s="333"/>
      <c r="FU267" s="333"/>
      <c r="FV267" s="333"/>
      <c r="FW267" s="333"/>
      <c r="FX267" s="333"/>
      <c r="FY267" s="333"/>
      <c r="FZ267" s="333"/>
      <c r="GA267" s="333"/>
      <c r="GB267" s="333"/>
      <c r="GC267" s="333"/>
      <c r="GD267" s="333"/>
      <c r="GE267" s="333"/>
      <c r="GF267" s="333"/>
      <c r="GG267" s="333"/>
      <c r="GH267" s="333"/>
      <c r="GI267" s="333"/>
      <c r="GJ267" s="333"/>
      <c r="GK267" s="333"/>
      <c r="GL267" s="333"/>
      <c r="GM267" s="333"/>
      <c r="GN267" s="333"/>
      <c r="GO267" s="333"/>
      <c r="GP267" s="333"/>
      <c r="GQ267" s="333"/>
      <c r="GR267" s="333"/>
      <c r="GS267" s="333"/>
      <c r="GT267" s="333"/>
      <c r="GU267" s="333"/>
      <c r="GV267" s="333"/>
      <c r="GW267" s="333"/>
      <c r="GX267" s="333"/>
      <c r="GY267" s="333"/>
      <c r="GZ267" s="333"/>
      <c r="HA267" s="333"/>
      <c r="HB267" s="333"/>
      <c r="HC267" s="333"/>
      <c r="HD267" s="333"/>
      <c r="HE267" s="333"/>
      <c r="HF267" s="333"/>
      <c r="HG267" s="333"/>
      <c r="HH267" s="333"/>
      <c r="HI267" s="334"/>
      <c r="HJ267" s="288"/>
      <c r="HK267" s="288"/>
      <c r="HL267" s="288"/>
      <c r="HM267" s="288"/>
      <c r="HN267" s="288"/>
      <c r="HO267" s="288"/>
      <c r="HP267" s="288"/>
      <c r="HQ267" s="288"/>
      <c r="HR267" s="288"/>
      <c r="HS267" s="288"/>
      <c r="HT267" s="288"/>
      <c r="HU267" s="289"/>
      <c r="JO267" s="154"/>
      <c r="JT267" s="23"/>
      <c r="JU267" s="31"/>
      <c r="JV267" s="31"/>
      <c r="JW267" s="187"/>
      <c r="JX267" s="188"/>
      <c r="JY267" s="188"/>
      <c r="JZ267" s="188"/>
      <c r="KA267" s="188"/>
      <c r="KB267" s="188"/>
      <c r="KC267" s="188"/>
      <c r="KD267" s="188"/>
      <c r="KE267" s="188"/>
      <c r="KF267" s="188"/>
      <c r="KG267" s="188"/>
      <c r="KH267" s="188"/>
      <c r="KI267" s="188"/>
      <c r="KJ267" s="188"/>
      <c r="KK267" s="188"/>
      <c r="KL267" s="188"/>
      <c r="KM267" s="188"/>
      <c r="KN267" s="188"/>
      <c r="KO267" s="188"/>
      <c r="KP267" s="188"/>
      <c r="KQ267" s="188"/>
      <c r="KR267" s="188"/>
      <c r="KS267" s="188"/>
      <c r="KT267" s="188"/>
      <c r="KU267" s="188"/>
      <c r="KV267" s="188"/>
      <c r="KW267" s="188"/>
      <c r="KX267" s="188"/>
      <c r="KY267" s="188"/>
      <c r="KZ267" s="188"/>
      <c r="LA267" s="188"/>
      <c r="LB267" s="188"/>
      <c r="LC267" s="188"/>
      <c r="LD267" s="188"/>
      <c r="LE267" s="188"/>
      <c r="LF267" s="188"/>
      <c r="LG267" s="188"/>
      <c r="LH267" s="188"/>
      <c r="LI267" s="188"/>
      <c r="LJ267" s="188"/>
      <c r="LK267" s="189"/>
      <c r="LL267" s="187"/>
      <c r="LM267" s="188"/>
      <c r="LN267" s="188"/>
      <c r="LO267" s="188"/>
      <c r="LP267" s="189"/>
      <c r="LY267" s="12"/>
      <c r="LZ267" s="7"/>
    </row>
    <row r="268" spans="3:338" ht="5.0999999999999996" customHeight="1" x14ac:dyDescent="0.3">
      <c r="C268" s="11"/>
      <c r="D268" s="13"/>
      <c r="FL268" s="332"/>
      <c r="FM268" s="333"/>
      <c r="FN268" s="333"/>
      <c r="FO268" s="333"/>
      <c r="FP268" s="333"/>
      <c r="FQ268" s="333"/>
      <c r="FR268" s="333"/>
      <c r="FS268" s="333"/>
      <c r="FT268" s="333"/>
      <c r="FU268" s="333"/>
      <c r="FV268" s="333"/>
      <c r="FW268" s="333"/>
      <c r="FX268" s="333"/>
      <c r="FY268" s="333"/>
      <c r="FZ268" s="333"/>
      <c r="GA268" s="333"/>
      <c r="GB268" s="333"/>
      <c r="GC268" s="333"/>
      <c r="GD268" s="333"/>
      <c r="GE268" s="333"/>
      <c r="GF268" s="333"/>
      <c r="GG268" s="333"/>
      <c r="GH268" s="333"/>
      <c r="GI268" s="333"/>
      <c r="GJ268" s="333"/>
      <c r="GK268" s="333"/>
      <c r="GL268" s="333"/>
      <c r="GM268" s="333"/>
      <c r="GN268" s="333"/>
      <c r="GO268" s="333"/>
      <c r="GP268" s="333"/>
      <c r="GQ268" s="333"/>
      <c r="GR268" s="333"/>
      <c r="GS268" s="333"/>
      <c r="GT268" s="333"/>
      <c r="GU268" s="333"/>
      <c r="GV268" s="333"/>
      <c r="GW268" s="333"/>
      <c r="GX268" s="333"/>
      <c r="GY268" s="333"/>
      <c r="GZ268" s="333"/>
      <c r="HA268" s="333"/>
      <c r="HB268" s="333"/>
      <c r="HC268" s="333"/>
      <c r="HD268" s="333"/>
      <c r="HE268" s="333"/>
      <c r="HF268" s="333"/>
      <c r="HG268" s="333"/>
      <c r="HH268" s="333"/>
      <c r="HI268" s="334"/>
      <c r="HJ268" s="288"/>
      <c r="HK268" s="288"/>
      <c r="HL268" s="288"/>
      <c r="HM268" s="288"/>
      <c r="HN268" s="288"/>
      <c r="HO268" s="288"/>
      <c r="HP268" s="288"/>
      <c r="HQ268" s="288"/>
      <c r="HR268" s="288"/>
      <c r="HS268" s="288"/>
      <c r="HT268" s="288"/>
      <c r="HU268" s="289"/>
      <c r="JO268" s="154"/>
      <c r="JW268" s="187"/>
      <c r="JX268" s="188"/>
      <c r="JY268" s="188"/>
      <c r="JZ268" s="188"/>
      <c r="KA268" s="188"/>
      <c r="KB268" s="188"/>
      <c r="KC268" s="188"/>
      <c r="KD268" s="188"/>
      <c r="KE268" s="188"/>
      <c r="KF268" s="188"/>
      <c r="KG268" s="188"/>
      <c r="KH268" s="188"/>
      <c r="KI268" s="188"/>
      <c r="KJ268" s="188"/>
      <c r="KK268" s="188"/>
      <c r="KL268" s="188"/>
      <c r="KM268" s="188"/>
      <c r="KN268" s="188"/>
      <c r="KO268" s="188"/>
      <c r="KP268" s="188"/>
      <c r="KQ268" s="188"/>
      <c r="KR268" s="188"/>
      <c r="KS268" s="188"/>
      <c r="KT268" s="188"/>
      <c r="KU268" s="188"/>
      <c r="KV268" s="188"/>
      <c r="KW268" s="188"/>
      <c r="KX268" s="188"/>
      <c r="KY268" s="188"/>
      <c r="KZ268" s="188"/>
      <c r="LA268" s="188"/>
      <c r="LB268" s="188"/>
      <c r="LC268" s="188"/>
      <c r="LD268" s="188"/>
      <c r="LE268" s="188"/>
      <c r="LF268" s="188"/>
      <c r="LG268" s="188"/>
      <c r="LH268" s="188"/>
      <c r="LI268" s="188"/>
      <c r="LJ268" s="188"/>
      <c r="LK268" s="189"/>
      <c r="LL268" s="187"/>
      <c r="LM268" s="188"/>
      <c r="LN268" s="188"/>
      <c r="LO268" s="188"/>
      <c r="LP268" s="189"/>
      <c r="LY268" s="12"/>
      <c r="LZ268" s="7"/>
    </row>
    <row r="269" spans="3:338" ht="5.0999999999999996" customHeight="1" x14ac:dyDescent="0.3">
      <c r="C269" s="11"/>
      <c r="D269" s="13"/>
      <c r="FL269" s="332"/>
      <c r="FM269" s="333"/>
      <c r="FN269" s="333"/>
      <c r="FO269" s="333"/>
      <c r="FP269" s="333"/>
      <c r="FQ269" s="333"/>
      <c r="FR269" s="333"/>
      <c r="FS269" s="333"/>
      <c r="FT269" s="333"/>
      <c r="FU269" s="333"/>
      <c r="FV269" s="333"/>
      <c r="FW269" s="333"/>
      <c r="FX269" s="333"/>
      <c r="FY269" s="333"/>
      <c r="FZ269" s="333"/>
      <c r="GA269" s="333"/>
      <c r="GB269" s="333"/>
      <c r="GC269" s="333"/>
      <c r="GD269" s="333"/>
      <c r="GE269" s="333"/>
      <c r="GF269" s="333"/>
      <c r="GG269" s="333"/>
      <c r="GH269" s="333"/>
      <c r="GI269" s="333"/>
      <c r="GJ269" s="333"/>
      <c r="GK269" s="333"/>
      <c r="GL269" s="333"/>
      <c r="GM269" s="333"/>
      <c r="GN269" s="333"/>
      <c r="GO269" s="333"/>
      <c r="GP269" s="333"/>
      <c r="GQ269" s="333"/>
      <c r="GR269" s="333"/>
      <c r="GS269" s="333"/>
      <c r="GT269" s="333"/>
      <c r="GU269" s="333"/>
      <c r="GV269" s="333"/>
      <c r="GW269" s="333"/>
      <c r="GX269" s="333"/>
      <c r="GY269" s="333"/>
      <c r="GZ269" s="333"/>
      <c r="HA269" s="333"/>
      <c r="HB269" s="333"/>
      <c r="HC269" s="333"/>
      <c r="HD269" s="333"/>
      <c r="HE269" s="333"/>
      <c r="HF269" s="333"/>
      <c r="HG269" s="333"/>
      <c r="HH269" s="333"/>
      <c r="HI269" s="334"/>
      <c r="HJ269" s="288"/>
      <c r="HK269" s="288"/>
      <c r="HL269" s="288"/>
      <c r="HM269" s="288"/>
      <c r="HN269" s="288"/>
      <c r="HO269" s="288"/>
      <c r="HP269" s="288"/>
      <c r="HQ269" s="288"/>
      <c r="HR269" s="288"/>
      <c r="HS269" s="288"/>
      <c r="HT269" s="288"/>
      <c r="HU269" s="289"/>
      <c r="JO269" s="154"/>
      <c r="JW269" s="187"/>
      <c r="JX269" s="188"/>
      <c r="JY269" s="188"/>
      <c r="JZ269" s="188"/>
      <c r="KA269" s="188"/>
      <c r="KB269" s="188"/>
      <c r="KC269" s="188"/>
      <c r="KD269" s="188"/>
      <c r="KE269" s="188"/>
      <c r="KF269" s="188"/>
      <c r="KG269" s="188"/>
      <c r="KH269" s="188"/>
      <c r="KI269" s="188"/>
      <c r="KJ269" s="188"/>
      <c r="KK269" s="188"/>
      <c r="KL269" s="188"/>
      <c r="KM269" s="188"/>
      <c r="KN269" s="188"/>
      <c r="KO269" s="188"/>
      <c r="KP269" s="188"/>
      <c r="KQ269" s="188"/>
      <c r="KR269" s="188"/>
      <c r="KS269" s="188"/>
      <c r="KT269" s="188"/>
      <c r="KU269" s="188"/>
      <c r="KV269" s="188"/>
      <c r="KW269" s="188"/>
      <c r="KX269" s="188"/>
      <c r="KY269" s="188"/>
      <c r="KZ269" s="188"/>
      <c r="LA269" s="188"/>
      <c r="LB269" s="188"/>
      <c r="LC269" s="188"/>
      <c r="LD269" s="188"/>
      <c r="LE269" s="188"/>
      <c r="LF269" s="188"/>
      <c r="LG269" s="188"/>
      <c r="LH269" s="188"/>
      <c r="LI269" s="188"/>
      <c r="LJ269" s="188"/>
      <c r="LK269" s="189"/>
      <c r="LL269" s="187"/>
      <c r="LM269" s="188"/>
      <c r="LN269" s="188"/>
      <c r="LO269" s="188"/>
      <c r="LP269" s="189"/>
      <c r="LY269" s="12"/>
      <c r="LZ269" s="7"/>
    </row>
    <row r="270" spans="3:338" ht="5.0999999999999996" customHeight="1" x14ac:dyDescent="0.3">
      <c r="C270" s="11"/>
      <c r="D270" s="13"/>
      <c r="FL270" s="332"/>
      <c r="FM270" s="333"/>
      <c r="FN270" s="333"/>
      <c r="FO270" s="333"/>
      <c r="FP270" s="333"/>
      <c r="FQ270" s="333"/>
      <c r="FR270" s="333"/>
      <c r="FS270" s="333"/>
      <c r="FT270" s="333"/>
      <c r="FU270" s="333"/>
      <c r="FV270" s="333"/>
      <c r="FW270" s="333"/>
      <c r="FX270" s="333"/>
      <c r="FY270" s="333"/>
      <c r="FZ270" s="333"/>
      <c r="GA270" s="333"/>
      <c r="GB270" s="333"/>
      <c r="GC270" s="333"/>
      <c r="GD270" s="333"/>
      <c r="GE270" s="333"/>
      <c r="GF270" s="333"/>
      <c r="GG270" s="333"/>
      <c r="GH270" s="333"/>
      <c r="GI270" s="333"/>
      <c r="GJ270" s="333"/>
      <c r="GK270" s="333"/>
      <c r="GL270" s="333"/>
      <c r="GM270" s="333"/>
      <c r="GN270" s="333"/>
      <c r="GO270" s="333"/>
      <c r="GP270" s="333"/>
      <c r="GQ270" s="333"/>
      <c r="GR270" s="333"/>
      <c r="GS270" s="333"/>
      <c r="GT270" s="333"/>
      <c r="GU270" s="333"/>
      <c r="GV270" s="333"/>
      <c r="GW270" s="333"/>
      <c r="GX270" s="333"/>
      <c r="GY270" s="333"/>
      <c r="GZ270" s="333"/>
      <c r="HA270" s="333"/>
      <c r="HB270" s="333"/>
      <c r="HC270" s="333"/>
      <c r="HD270" s="333"/>
      <c r="HE270" s="333"/>
      <c r="HF270" s="333"/>
      <c r="HG270" s="333"/>
      <c r="HH270" s="333"/>
      <c r="HI270" s="334"/>
      <c r="HJ270" s="288"/>
      <c r="HK270" s="288"/>
      <c r="HL270" s="288"/>
      <c r="HM270" s="288"/>
      <c r="HN270" s="288"/>
      <c r="HO270" s="288"/>
      <c r="HP270" s="288"/>
      <c r="HQ270" s="288"/>
      <c r="HR270" s="288"/>
      <c r="HS270" s="288"/>
      <c r="HT270" s="288"/>
      <c r="HU270" s="289"/>
      <c r="JO270" s="154"/>
      <c r="JW270" s="187"/>
      <c r="JX270" s="188"/>
      <c r="JY270" s="188"/>
      <c r="JZ270" s="188"/>
      <c r="KA270" s="188"/>
      <c r="KB270" s="188"/>
      <c r="KC270" s="188"/>
      <c r="KD270" s="188"/>
      <c r="KE270" s="188"/>
      <c r="KF270" s="188"/>
      <c r="KG270" s="188"/>
      <c r="KH270" s="188"/>
      <c r="KI270" s="188"/>
      <c r="KJ270" s="188"/>
      <c r="KK270" s="188"/>
      <c r="KL270" s="188"/>
      <c r="KM270" s="188"/>
      <c r="KN270" s="188"/>
      <c r="KO270" s="188"/>
      <c r="KP270" s="188"/>
      <c r="KQ270" s="188"/>
      <c r="KR270" s="188"/>
      <c r="KS270" s="188"/>
      <c r="KT270" s="188"/>
      <c r="KU270" s="188"/>
      <c r="KV270" s="188"/>
      <c r="KW270" s="188"/>
      <c r="KX270" s="188"/>
      <c r="KY270" s="188"/>
      <c r="KZ270" s="188"/>
      <c r="LA270" s="188"/>
      <c r="LB270" s="188"/>
      <c r="LC270" s="188"/>
      <c r="LD270" s="188"/>
      <c r="LE270" s="188"/>
      <c r="LF270" s="188"/>
      <c r="LG270" s="188"/>
      <c r="LH270" s="188"/>
      <c r="LI270" s="188"/>
      <c r="LJ270" s="188"/>
      <c r="LK270" s="189"/>
      <c r="LL270" s="187"/>
      <c r="LM270" s="188"/>
      <c r="LN270" s="188"/>
      <c r="LO270" s="188"/>
      <c r="LP270" s="189"/>
      <c r="LY270" s="12"/>
      <c r="LZ270" s="7"/>
    </row>
    <row r="271" spans="3:338" ht="5.0999999999999996" customHeight="1" x14ac:dyDescent="0.3">
      <c r="C271" s="11"/>
      <c r="D271" s="13"/>
      <c r="FL271" s="332"/>
      <c r="FM271" s="333"/>
      <c r="FN271" s="333"/>
      <c r="FO271" s="333"/>
      <c r="FP271" s="333"/>
      <c r="FQ271" s="333"/>
      <c r="FR271" s="333"/>
      <c r="FS271" s="333"/>
      <c r="FT271" s="333"/>
      <c r="FU271" s="333"/>
      <c r="FV271" s="333"/>
      <c r="FW271" s="333"/>
      <c r="FX271" s="333"/>
      <c r="FY271" s="333"/>
      <c r="FZ271" s="333"/>
      <c r="GA271" s="333"/>
      <c r="GB271" s="333"/>
      <c r="GC271" s="333"/>
      <c r="GD271" s="333"/>
      <c r="GE271" s="333"/>
      <c r="GF271" s="333"/>
      <c r="GG271" s="333"/>
      <c r="GH271" s="333"/>
      <c r="GI271" s="333"/>
      <c r="GJ271" s="333"/>
      <c r="GK271" s="333"/>
      <c r="GL271" s="333"/>
      <c r="GM271" s="333"/>
      <c r="GN271" s="333"/>
      <c r="GO271" s="333"/>
      <c r="GP271" s="333"/>
      <c r="GQ271" s="333"/>
      <c r="GR271" s="333"/>
      <c r="GS271" s="333"/>
      <c r="GT271" s="333"/>
      <c r="GU271" s="333"/>
      <c r="GV271" s="333"/>
      <c r="GW271" s="333"/>
      <c r="GX271" s="333"/>
      <c r="GY271" s="333"/>
      <c r="GZ271" s="333"/>
      <c r="HA271" s="333"/>
      <c r="HB271" s="333"/>
      <c r="HC271" s="333"/>
      <c r="HD271" s="333"/>
      <c r="HE271" s="333"/>
      <c r="HF271" s="333"/>
      <c r="HG271" s="333"/>
      <c r="HH271" s="333"/>
      <c r="HI271" s="334"/>
      <c r="HJ271" s="288"/>
      <c r="HK271" s="288"/>
      <c r="HL271" s="288"/>
      <c r="HM271" s="288"/>
      <c r="HN271" s="288"/>
      <c r="HO271" s="288"/>
      <c r="HP271" s="288"/>
      <c r="HQ271" s="288"/>
      <c r="HR271" s="288"/>
      <c r="HS271" s="288"/>
      <c r="HT271" s="288"/>
      <c r="HU271" s="289"/>
      <c r="JO271" s="154"/>
      <c r="JW271" s="187"/>
      <c r="JX271" s="188"/>
      <c r="JY271" s="188"/>
      <c r="JZ271" s="188"/>
      <c r="KA271" s="188"/>
      <c r="KB271" s="188"/>
      <c r="KC271" s="188"/>
      <c r="KD271" s="188"/>
      <c r="KE271" s="188"/>
      <c r="KF271" s="188"/>
      <c r="KG271" s="188"/>
      <c r="KH271" s="188"/>
      <c r="KI271" s="188"/>
      <c r="KJ271" s="188"/>
      <c r="KK271" s="188"/>
      <c r="KL271" s="188"/>
      <c r="KM271" s="188"/>
      <c r="KN271" s="188"/>
      <c r="KO271" s="188"/>
      <c r="KP271" s="188"/>
      <c r="KQ271" s="188"/>
      <c r="KR271" s="188"/>
      <c r="KS271" s="188"/>
      <c r="KT271" s="188"/>
      <c r="KU271" s="188"/>
      <c r="KV271" s="188"/>
      <c r="KW271" s="188"/>
      <c r="KX271" s="188"/>
      <c r="KY271" s="188"/>
      <c r="KZ271" s="188"/>
      <c r="LA271" s="188"/>
      <c r="LB271" s="188"/>
      <c r="LC271" s="188"/>
      <c r="LD271" s="188"/>
      <c r="LE271" s="188"/>
      <c r="LF271" s="188"/>
      <c r="LG271" s="188"/>
      <c r="LH271" s="188"/>
      <c r="LI271" s="188"/>
      <c r="LJ271" s="188"/>
      <c r="LK271" s="189"/>
      <c r="LL271" s="187"/>
      <c r="LM271" s="188"/>
      <c r="LN271" s="188"/>
      <c r="LO271" s="188"/>
      <c r="LP271" s="189"/>
      <c r="LY271" s="12"/>
      <c r="LZ271" s="7"/>
    </row>
    <row r="272" spans="3:338" ht="5.0999999999999996" customHeight="1" thickBot="1" x14ac:dyDescent="0.35">
      <c r="C272" s="11"/>
      <c r="D272" s="13"/>
      <c r="FL272" s="335"/>
      <c r="FM272" s="336"/>
      <c r="FN272" s="336"/>
      <c r="FO272" s="336"/>
      <c r="FP272" s="336"/>
      <c r="FQ272" s="336"/>
      <c r="FR272" s="336"/>
      <c r="FS272" s="336"/>
      <c r="FT272" s="336"/>
      <c r="FU272" s="336"/>
      <c r="FV272" s="336"/>
      <c r="FW272" s="336"/>
      <c r="FX272" s="336"/>
      <c r="FY272" s="336"/>
      <c r="FZ272" s="336"/>
      <c r="GA272" s="336"/>
      <c r="GB272" s="336"/>
      <c r="GC272" s="336"/>
      <c r="GD272" s="336"/>
      <c r="GE272" s="336"/>
      <c r="GF272" s="336"/>
      <c r="GG272" s="336"/>
      <c r="GH272" s="336"/>
      <c r="GI272" s="336"/>
      <c r="GJ272" s="336"/>
      <c r="GK272" s="336"/>
      <c r="GL272" s="336"/>
      <c r="GM272" s="336"/>
      <c r="GN272" s="336"/>
      <c r="GO272" s="336"/>
      <c r="GP272" s="336"/>
      <c r="GQ272" s="336"/>
      <c r="GR272" s="336"/>
      <c r="GS272" s="336"/>
      <c r="GT272" s="336"/>
      <c r="GU272" s="336"/>
      <c r="GV272" s="336"/>
      <c r="GW272" s="336"/>
      <c r="GX272" s="336"/>
      <c r="GY272" s="336"/>
      <c r="GZ272" s="336"/>
      <c r="HA272" s="336"/>
      <c r="HB272" s="336"/>
      <c r="HC272" s="336"/>
      <c r="HD272" s="336"/>
      <c r="HE272" s="336"/>
      <c r="HF272" s="336"/>
      <c r="HG272" s="336"/>
      <c r="HH272" s="336"/>
      <c r="HI272" s="337"/>
      <c r="HJ272" s="291"/>
      <c r="HK272" s="291"/>
      <c r="HL272" s="291"/>
      <c r="HM272" s="291"/>
      <c r="HN272" s="291"/>
      <c r="HO272" s="291"/>
      <c r="HP272" s="291"/>
      <c r="HQ272" s="291"/>
      <c r="HR272" s="291"/>
      <c r="HS272" s="291"/>
      <c r="HT272" s="291"/>
      <c r="HU272" s="292"/>
      <c r="JO272" s="154"/>
      <c r="JW272" s="190"/>
      <c r="JX272" s="191"/>
      <c r="JY272" s="191"/>
      <c r="JZ272" s="191"/>
      <c r="KA272" s="191"/>
      <c r="KB272" s="191"/>
      <c r="KC272" s="191"/>
      <c r="KD272" s="191"/>
      <c r="KE272" s="191"/>
      <c r="KF272" s="191"/>
      <c r="KG272" s="191"/>
      <c r="KH272" s="191"/>
      <c r="KI272" s="191"/>
      <c r="KJ272" s="191"/>
      <c r="KK272" s="191"/>
      <c r="KL272" s="191"/>
      <c r="KM272" s="191"/>
      <c r="KN272" s="191"/>
      <c r="KO272" s="191"/>
      <c r="KP272" s="191"/>
      <c r="KQ272" s="191"/>
      <c r="KR272" s="191"/>
      <c r="KS272" s="191"/>
      <c r="KT272" s="191"/>
      <c r="KU272" s="191"/>
      <c r="KV272" s="191"/>
      <c r="KW272" s="191"/>
      <c r="KX272" s="191"/>
      <c r="KY272" s="191"/>
      <c r="KZ272" s="191"/>
      <c r="LA272" s="191"/>
      <c r="LB272" s="191"/>
      <c r="LC272" s="191"/>
      <c r="LD272" s="191"/>
      <c r="LE272" s="191"/>
      <c r="LF272" s="191"/>
      <c r="LG272" s="191"/>
      <c r="LH272" s="191"/>
      <c r="LI272" s="191"/>
      <c r="LJ272" s="191"/>
      <c r="LK272" s="192"/>
      <c r="LL272" s="190"/>
      <c r="LM272" s="191"/>
      <c r="LN272" s="191"/>
      <c r="LO272" s="191"/>
      <c r="LP272" s="192"/>
      <c r="LY272" s="12"/>
      <c r="LZ272" s="7"/>
    </row>
    <row r="273" spans="3:338" ht="5.0999999999999996" customHeight="1" x14ac:dyDescent="0.3">
      <c r="C273" s="11"/>
      <c r="D273" s="13"/>
      <c r="FL273" s="329" t="s">
        <v>2</v>
      </c>
      <c r="FM273" s="330"/>
      <c r="FN273" s="330"/>
      <c r="FO273" s="330"/>
      <c r="FP273" s="330"/>
      <c r="FQ273" s="330"/>
      <c r="FR273" s="330"/>
      <c r="FS273" s="330"/>
      <c r="FT273" s="330"/>
      <c r="FU273" s="330"/>
      <c r="FV273" s="330"/>
      <c r="FW273" s="330"/>
      <c r="FX273" s="330"/>
      <c r="FY273" s="330"/>
      <c r="FZ273" s="330"/>
      <c r="GA273" s="330"/>
      <c r="GB273" s="330"/>
      <c r="GC273" s="330"/>
      <c r="GD273" s="330"/>
      <c r="GE273" s="330"/>
      <c r="GF273" s="330"/>
      <c r="GG273" s="330"/>
      <c r="GH273" s="330"/>
      <c r="GI273" s="330"/>
      <c r="GJ273" s="330"/>
      <c r="GK273" s="330"/>
      <c r="GL273" s="330"/>
      <c r="GM273" s="330"/>
      <c r="GN273" s="330"/>
      <c r="GO273" s="330"/>
      <c r="GP273" s="330"/>
      <c r="GQ273" s="330"/>
      <c r="GR273" s="330"/>
      <c r="GS273" s="330"/>
      <c r="GT273" s="330"/>
      <c r="GU273" s="330"/>
      <c r="GV273" s="330"/>
      <c r="GW273" s="330"/>
      <c r="GX273" s="330"/>
      <c r="GY273" s="330"/>
      <c r="GZ273" s="330"/>
      <c r="HA273" s="330"/>
      <c r="HB273" s="330"/>
      <c r="HC273" s="330"/>
      <c r="HD273" s="330"/>
      <c r="HE273" s="330"/>
      <c r="HF273" s="330"/>
      <c r="HG273" s="330"/>
      <c r="HH273" s="330"/>
      <c r="HI273" s="331"/>
      <c r="HJ273" s="284">
        <f>JD117</f>
        <v>10</v>
      </c>
      <c r="HK273" s="285"/>
      <c r="HL273" s="285"/>
      <c r="HM273" s="285"/>
      <c r="HN273" s="285"/>
      <c r="HO273" s="285">
        <f>DA126</f>
        <v>0</v>
      </c>
      <c r="HP273" s="285"/>
      <c r="HQ273" s="285"/>
      <c r="HR273" s="285"/>
      <c r="HS273" s="285"/>
      <c r="HT273" s="285"/>
      <c r="HU273" s="286"/>
      <c r="JO273" s="154"/>
      <c r="KT273" s="151"/>
      <c r="LY273" s="12"/>
      <c r="LZ273" s="7"/>
    </row>
    <row r="274" spans="3:338" ht="5.0999999999999996" customHeight="1" x14ac:dyDescent="0.3">
      <c r="C274" s="11"/>
      <c r="D274" s="13"/>
      <c r="FL274" s="332"/>
      <c r="FM274" s="333"/>
      <c r="FN274" s="333"/>
      <c r="FO274" s="333"/>
      <c r="FP274" s="333"/>
      <c r="FQ274" s="333"/>
      <c r="FR274" s="333"/>
      <c r="FS274" s="333"/>
      <c r="FT274" s="333"/>
      <c r="FU274" s="333"/>
      <c r="FV274" s="333"/>
      <c r="FW274" s="333"/>
      <c r="FX274" s="333"/>
      <c r="FY274" s="333"/>
      <c r="FZ274" s="333"/>
      <c r="GA274" s="333"/>
      <c r="GB274" s="333"/>
      <c r="GC274" s="333"/>
      <c r="GD274" s="333"/>
      <c r="GE274" s="333"/>
      <c r="GF274" s="333"/>
      <c r="GG274" s="333"/>
      <c r="GH274" s="333"/>
      <c r="GI274" s="333"/>
      <c r="GJ274" s="333"/>
      <c r="GK274" s="333"/>
      <c r="GL274" s="333"/>
      <c r="GM274" s="333"/>
      <c r="GN274" s="333"/>
      <c r="GO274" s="333"/>
      <c r="GP274" s="333"/>
      <c r="GQ274" s="333"/>
      <c r="GR274" s="333"/>
      <c r="GS274" s="333"/>
      <c r="GT274" s="333"/>
      <c r="GU274" s="333"/>
      <c r="GV274" s="333"/>
      <c r="GW274" s="333"/>
      <c r="GX274" s="333"/>
      <c r="GY274" s="333"/>
      <c r="GZ274" s="333"/>
      <c r="HA274" s="333"/>
      <c r="HB274" s="333"/>
      <c r="HC274" s="333"/>
      <c r="HD274" s="333"/>
      <c r="HE274" s="333"/>
      <c r="HF274" s="333"/>
      <c r="HG274" s="333"/>
      <c r="HH274" s="333"/>
      <c r="HI274" s="334"/>
      <c r="HJ274" s="287"/>
      <c r="HK274" s="288"/>
      <c r="HL274" s="288"/>
      <c r="HM274" s="288"/>
      <c r="HN274" s="288"/>
      <c r="HO274" s="288"/>
      <c r="HP274" s="288"/>
      <c r="HQ274" s="288"/>
      <c r="HR274" s="288"/>
      <c r="HS274" s="288"/>
      <c r="HT274" s="288"/>
      <c r="HU274" s="289"/>
      <c r="JO274" s="154"/>
      <c r="JW274" s="184" t="s">
        <v>58</v>
      </c>
      <c r="JX274" s="185"/>
      <c r="JY274" s="185"/>
      <c r="JZ274" s="185"/>
      <c r="KA274" s="185"/>
      <c r="KB274" s="185"/>
      <c r="KC274" s="185"/>
      <c r="KD274" s="185"/>
      <c r="KE274" s="185"/>
      <c r="KF274" s="185"/>
      <c r="KG274" s="185"/>
      <c r="KH274" s="185"/>
      <c r="KI274" s="185"/>
      <c r="KJ274" s="185"/>
      <c r="KK274" s="185"/>
      <c r="KL274" s="185"/>
      <c r="KM274" s="185"/>
      <c r="KN274" s="185"/>
      <c r="KO274" s="185"/>
      <c r="KP274" s="185"/>
      <c r="KQ274" s="185"/>
      <c r="KR274" s="185"/>
      <c r="KS274" s="185"/>
      <c r="KT274" s="185"/>
      <c r="KU274" s="185"/>
      <c r="KV274" s="185"/>
      <c r="KW274" s="185"/>
      <c r="KX274" s="185"/>
      <c r="KY274" s="185"/>
      <c r="KZ274" s="185"/>
      <c r="LA274" s="185"/>
      <c r="LB274" s="185"/>
      <c r="LC274" s="185"/>
      <c r="LD274" s="185"/>
      <c r="LE274" s="185"/>
      <c r="LF274" s="185"/>
      <c r="LG274" s="185"/>
      <c r="LH274" s="185"/>
      <c r="LI274" s="185"/>
      <c r="LJ274" s="185"/>
      <c r="LK274" s="186"/>
      <c r="LL274" s="184">
        <v>1</v>
      </c>
      <c r="LM274" s="185"/>
      <c r="LN274" s="185"/>
      <c r="LO274" s="185"/>
      <c r="LP274" s="186"/>
      <c r="LY274" s="12"/>
      <c r="LZ274" s="7"/>
    </row>
    <row r="275" spans="3:338" ht="5.0999999999999996" customHeight="1" x14ac:dyDescent="0.3">
      <c r="C275" s="11"/>
      <c r="D275" s="13"/>
      <c r="FL275" s="332"/>
      <c r="FM275" s="333"/>
      <c r="FN275" s="333"/>
      <c r="FO275" s="333"/>
      <c r="FP275" s="333"/>
      <c r="FQ275" s="333"/>
      <c r="FR275" s="333"/>
      <c r="FS275" s="333"/>
      <c r="FT275" s="333"/>
      <c r="FU275" s="333"/>
      <c r="FV275" s="333"/>
      <c r="FW275" s="333"/>
      <c r="FX275" s="333"/>
      <c r="FY275" s="333"/>
      <c r="FZ275" s="333"/>
      <c r="GA275" s="333"/>
      <c r="GB275" s="333"/>
      <c r="GC275" s="333"/>
      <c r="GD275" s="333"/>
      <c r="GE275" s="333"/>
      <c r="GF275" s="333"/>
      <c r="GG275" s="333"/>
      <c r="GH275" s="333"/>
      <c r="GI275" s="333"/>
      <c r="GJ275" s="333"/>
      <c r="GK275" s="333"/>
      <c r="GL275" s="333"/>
      <c r="GM275" s="333"/>
      <c r="GN275" s="333"/>
      <c r="GO275" s="333"/>
      <c r="GP275" s="333"/>
      <c r="GQ275" s="333"/>
      <c r="GR275" s="333"/>
      <c r="GS275" s="333"/>
      <c r="GT275" s="333"/>
      <c r="GU275" s="333"/>
      <c r="GV275" s="333"/>
      <c r="GW275" s="333"/>
      <c r="GX275" s="333"/>
      <c r="GY275" s="333"/>
      <c r="GZ275" s="333"/>
      <c r="HA275" s="333"/>
      <c r="HB275" s="333"/>
      <c r="HC275" s="333"/>
      <c r="HD275" s="333"/>
      <c r="HE275" s="333"/>
      <c r="HF275" s="333"/>
      <c r="HG275" s="333"/>
      <c r="HH275" s="333"/>
      <c r="HI275" s="334"/>
      <c r="HJ275" s="287"/>
      <c r="HK275" s="288"/>
      <c r="HL275" s="288"/>
      <c r="HM275" s="288"/>
      <c r="HN275" s="288"/>
      <c r="HO275" s="288"/>
      <c r="HP275" s="288"/>
      <c r="HQ275" s="288"/>
      <c r="HR275" s="288"/>
      <c r="HS275" s="288"/>
      <c r="HT275" s="288"/>
      <c r="HU275" s="289"/>
      <c r="JO275" s="154"/>
      <c r="JW275" s="187"/>
      <c r="JX275" s="188"/>
      <c r="JY275" s="188"/>
      <c r="JZ275" s="188"/>
      <c r="KA275" s="188"/>
      <c r="KB275" s="188"/>
      <c r="KC275" s="188"/>
      <c r="KD275" s="188"/>
      <c r="KE275" s="188"/>
      <c r="KF275" s="188"/>
      <c r="KG275" s="188"/>
      <c r="KH275" s="188"/>
      <c r="KI275" s="188"/>
      <c r="KJ275" s="188"/>
      <c r="KK275" s="188"/>
      <c r="KL275" s="188"/>
      <c r="KM275" s="188"/>
      <c r="KN275" s="188"/>
      <c r="KO275" s="188"/>
      <c r="KP275" s="188"/>
      <c r="KQ275" s="188"/>
      <c r="KR275" s="188"/>
      <c r="KS275" s="188"/>
      <c r="KT275" s="188"/>
      <c r="KU275" s="188"/>
      <c r="KV275" s="188"/>
      <c r="KW275" s="188"/>
      <c r="KX275" s="188"/>
      <c r="KY275" s="188"/>
      <c r="KZ275" s="188"/>
      <c r="LA275" s="188"/>
      <c r="LB275" s="188"/>
      <c r="LC275" s="188"/>
      <c r="LD275" s="188"/>
      <c r="LE275" s="188"/>
      <c r="LF275" s="188"/>
      <c r="LG275" s="188"/>
      <c r="LH275" s="188"/>
      <c r="LI275" s="188"/>
      <c r="LJ275" s="188"/>
      <c r="LK275" s="189"/>
      <c r="LL275" s="187"/>
      <c r="LM275" s="188"/>
      <c r="LN275" s="188"/>
      <c r="LO275" s="188"/>
      <c r="LP275" s="189"/>
      <c r="LY275" s="12"/>
      <c r="LZ275" s="7"/>
    </row>
    <row r="276" spans="3:338" ht="5.0999999999999996" customHeight="1" x14ac:dyDescent="0.3">
      <c r="C276" s="11"/>
      <c r="D276" s="13"/>
      <c r="FL276" s="332"/>
      <c r="FM276" s="333"/>
      <c r="FN276" s="333"/>
      <c r="FO276" s="333"/>
      <c r="FP276" s="333"/>
      <c r="FQ276" s="333"/>
      <c r="FR276" s="333"/>
      <c r="FS276" s="333"/>
      <c r="FT276" s="333"/>
      <c r="FU276" s="333"/>
      <c r="FV276" s="333"/>
      <c r="FW276" s="333"/>
      <c r="FX276" s="333"/>
      <c r="FY276" s="333"/>
      <c r="FZ276" s="333"/>
      <c r="GA276" s="333"/>
      <c r="GB276" s="333"/>
      <c r="GC276" s="333"/>
      <c r="GD276" s="333"/>
      <c r="GE276" s="333"/>
      <c r="GF276" s="333"/>
      <c r="GG276" s="333"/>
      <c r="GH276" s="333"/>
      <c r="GI276" s="333"/>
      <c r="GJ276" s="333"/>
      <c r="GK276" s="333"/>
      <c r="GL276" s="333"/>
      <c r="GM276" s="333"/>
      <c r="GN276" s="333"/>
      <c r="GO276" s="333"/>
      <c r="GP276" s="333"/>
      <c r="GQ276" s="333"/>
      <c r="GR276" s="333"/>
      <c r="GS276" s="333"/>
      <c r="GT276" s="333"/>
      <c r="GU276" s="333"/>
      <c r="GV276" s="333"/>
      <c r="GW276" s="333"/>
      <c r="GX276" s="333"/>
      <c r="GY276" s="333"/>
      <c r="GZ276" s="333"/>
      <c r="HA276" s="333"/>
      <c r="HB276" s="333"/>
      <c r="HC276" s="333"/>
      <c r="HD276" s="333"/>
      <c r="HE276" s="333"/>
      <c r="HF276" s="333"/>
      <c r="HG276" s="333"/>
      <c r="HH276" s="333"/>
      <c r="HI276" s="334"/>
      <c r="HJ276" s="287"/>
      <c r="HK276" s="288"/>
      <c r="HL276" s="288"/>
      <c r="HM276" s="288"/>
      <c r="HN276" s="288"/>
      <c r="HO276" s="288"/>
      <c r="HP276" s="288"/>
      <c r="HQ276" s="288"/>
      <c r="HR276" s="288"/>
      <c r="HS276" s="288"/>
      <c r="HT276" s="288"/>
      <c r="HU276" s="289"/>
      <c r="JO276" s="154"/>
      <c r="JW276" s="187"/>
      <c r="JX276" s="188"/>
      <c r="JY276" s="188"/>
      <c r="JZ276" s="188"/>
      <c r="KA276" s="188"/>
      <c r="KB276" s="188"/>
      <c r="KC276" s="188"/>
      <c r="KD276" s="188"/>
      <c r="KE276" s="188"/>
      <c r="KF276" s="188"/>
      <c r="KG276" s="188"/>
      <c r="KH276" s="188"/>
      <c r="KI276" s="188"/>
      <c r="KJ276" s="188"/>
      <c r="KK276" s="188"/>
      <c r="KL276" s="188"/>
      <c r="KM276" s="188"/>
      <c r="KN276" s="188"/>
      <c r="KO276" s="188"/>
      <c r="KP276" s="188"/>
      <c r="KQ276" s="188"/>
      <c r="KR276" s="188"/>
      <c r="KS276" s="188"/>
      <c r="KT276" s="188"/>
      <c r="KU276" s="188"/>
      <c r="KV276" s="188"/>
      <c r="KW276" s="188"/>
      <c r="KX276" s="188"/>
      <c r="KY276" s="188"/>
      <c r="KZ276" s="188"/>
      <c r="LA276" s="188"/>
      <c r="LB276" s="188"/>
      <c r="LC276" s="188"/>
      <c r="LD276" s="188"/>
      <c r="LE276" s="188"/>
      <c r="LF276" s="188"/>
      <c r="LG276" s="188"/>
      <c r="LH276" s="188"/>
      <c r="LI276" s="188"/>
      <c r="LJ276" s="188"/>
      <c r="LK276" s="189"/>
      <c r="LL276" s="187"/>
      <c r="LM276" s="188"/>
      <c r="LN276" s="188"/>
      <c r="LO276" s="188"/>
      <c r="LP276" s="189"/>
      <c r="LY276" s="12"/>
      <c r="LZ276" s="7"/>
    </row>
    <row r="277" spans="3:338" ht="5.0999999999999996" customHeight="1" x14ac:dyDescent="0.3">
      <c r="C277" s="11"/>
      <c r="D277" s="13"/>
      <c r="FL277" s="332"/>
      <c r="FM277" s="333"/>
      <c r="FN277" s="333"/>
      <c r="FO277" s="333"/>
      <c r="FP277" s="333"/>
      <c r="FQ277" s="333"/>
      <c r="FR277" s="333"/>
      <c r="FS277" s="333"/>
      <c r="FT277" s="333"/>
      <c r="FU277" s="333"/>
      <c r="FV277" s="333"/>
      <c r="FW277" s="333"/>
      <c r="FX277" s="333"/>
      <c r="FY277" s="333"/>
      <c r="FZ277" s="333"/>
      <c r="GA277" s="333"/>
      <c r="GB277" s="333"/>
      <c r="GC277" s="333"/>
      <c r="GD277" s="333"/>
      <c r="GE277" s="333"/>
      <c r="GF277" s="333"/>
      <c r="GG277" s="333"/>
      <c r="GH277" s="333"/>
      <c r="GI277" s="333"/>
      <c r="GJ277" s="333"/>
      <c r="GK277" s="333"/>
      <c r="GL277" s="333"/>
      <c r="GM277" s="333"/>
      <c r="GN277" s="333"/>
      <c r="GO277" s="333"/>
      <c r="GP277" s="333"/>
      <c r="GQ277" s="333"/>
      <c r="GR277" s="333"/>
      <c r="GS277" s="333"/>
      <c r="GT277" s="333"/>
      <c r="GU277" s="333"/>
      <c r="GV277" s="333"/>
      <c r="GW277" s="333"/>
      <c r="GX277" s="333"/>
      <c r="GY277" s="333"/>
      <c r="GZ277" s="333"/>
      <c r="HA277" s="333"/>
      <c r="HB277" s="333"/>
      <c r="HC277" s="333"/>
      <c r="HD277" s="333"/>
      <c r="HE277" s="333"/>
      <c r="HF277" s="333"/>
      <c r="HG277" s="333"/>
      <c r="HH277" s="333"/>
      <c r="HI277" s="334"/>
      <c r="HJ277" s="287"/>
      <c r="HK277" s="288"/>
      <c r="HL277" s="288"/>
      <c r="HM277" s="288"/>
      <c r="HN277" s="288"/>
      <c r="HO277" s="288"/>
      <c r="HP277" s="288"/>
      <c r="HQ277" s="288"/>
      <c r="HR277" s="288"/>
      <c r="HS277" s="288"/>
      <c r="HT277" s="288"/>
      <c r="HU277" s="289"/>
      <c r="JO277" s="154"/>
      <c r="JW277" s="187"/>
      <c r="JX277" s="188"/>
      <c r="JY277" s="188"/>
      <c r="JZ277" s="188"/>
      <c r="KA277" s="188"/>
      <c r="KB277" s="188"/>
      <c r="KC277" s="188"/>
      <c r="KD277" s="188"/>
      <c r="KE277" s="188"/>
      <c r="KF277" s="188"/>
      <c r="KG277" s="188"/>
      <c r="KH277" s="188"/>
      <c r="KI277" s="188"/>
      <c r="KJ277" s="188"/>
      <c r="KK277" s="188"/>
      <c r="KL277" s="188"/>
      <c r="KM277" s="188"/>
      <c r="KN277" s="188"/>
      <c r="KO277" s="188"/>
      <c r="KP277" s="188"/>
      <c r="KQ277" s="188"/>
      <c r="KR277" s="188"/>
      <c r="KS277" s="188"/>
      <c r="KT277" s="188"/>
      <c r="KU277" s="188"/>
      <c r="KV277" s="188"/>
      <c r="KW277" s="188"/>
      <c r="KX277" s="188"/>
      <c r="KY277" s="188"/>
      <c r="KZ277" s="188"/>
      <c r="LA277" s="188"/>
      <c r="LB277" s="188"/>
      <c r="LC277" s="188"/>
      <c r="LD277" s="188"/>
      <c r="LE277" s="188"/>
      <c r="LF277" s="188"/>
      <c r="LG277" s="188"/>
      <c r="LH277" s="188"/>
      <c r="LI277" s="188"/>
      <c r="LJ277" s="188"/>
      <c r="LK277" s="189"/>
      <c r="LL277" s="187"/>
      <c r="LM277" s="188"/>
      <c r="LN277" s="188"/>
      <c r="LO277" s="188"/>
      <c r="LP277" s="189"/>
      <c r="LY277" s="12"/>
      <c r="LZ277" s="7"/>
    </row>
    <row r="278" spans="3:338" ht="5.0999999999999996" customHeight="1" x14ac:dyDescent="0.3">
      <c r="C278" s="11"/>
      <c r="D278" s="13"/>
      <c r="FL278" s="332"/>
      <c r="FM278" s="333"/>
      <c r="FN278" s="333"/>
      <c r="FO278" s="333"/>
      <c r="FP278" s="333"/>
      <c r="FQ278" s="333"/>
      <c r="FR278" s="333"/>
      <c r="FS278" s="333"/>
      <c r="FT278" s="333"/>
      <c r="FU278" s="333"/>
      <c r="FV278" s="333"/>
      <c r="FW278" s="333"/>
      <c r="FX278" s="333"/>
      <c r="FY278" s="333"/>
      <c r="FZ278" s="333"/>
      <c r="GA278" s="333"/>
      <c r="GB278" s="333"/>
      <c r="GC278" s="333"/>
      <c r="GD278" s="333"/>
      <c r="GE278" s="333"/>
      <c r="GF278" s="333"/>
      <c r="GG278" s="333"/>
      <c r="GH278" s="333"/>
      <c r="GI278" s="333"/>
      <c r="GJ278" s="333"/>
      <c r="GK278" s="333"/>
      <c r="GL278" s="333"/>
      <c r="GM278" s="333"/>
      <c r="GN278" s="333"/>
      <c r="GO278" s="333"/>
      <c r="GP278" s="333"/>
      <c r="GQ278" s="333"/>
      <c r="GR278" s="333"/>
      <c r="GS278" s="333"/>
      <c r="GT278" s="333"/>
      <c r="GU278" s="333"/>
      <c r="GV278" s="333"/>
      <c r="GW278" s="333"/>
      <c r="GX278" s="333"/>
      <c r="GY278" s="333"/>
      <c r="GZ278" s="333"/>
      <c r="HA278" s="333"/>
      <c r="HB278" s="333"/>
      <c r="HC278" s="333"/>
      <c r="HD278" s="333"/>
      <c r="HE278" s="333"/>
      <c r="HF278" s="333"/>
      <c r="HG278" s="333"/>
      <c r="HH278" s="333"/>
      <c r="HI278" s="334"/>
      <c r="HJ278" s="287"/>
      <c r="HK278" s="288"/>
      <c r="HL278" s="288"/>
      <c r="HM278" s="288"/>
      <c r="HN278" s="288"/>
      <c r="HO278" s="288"/>
      <c r="HP278" s="288"/>
      <c r="HQ278" s="288"/>
      <c r="HR278" s="288"/>
      <c r="HS278" s="288"/>
      <c r="HT278" s="288"/>
      <c r="HU278" s="289"/>
      <c r="JO278" s="154"/>
      <c r="JW278" s="187"/>
      <c r="JX278" s="188"/>
      <c r="JY278" s="188"/>
      <c r="JZ278" s="188"/>
      <c r="KA278" s="188"/>
      <c r="KB278" s="188"/>
      <c r="KC278" s="188"/>
      <c r="KD278" s="188"/>
      <c r="KE278" s="188"/>
      <c r="KF278" s="188"/>
      <c r="KG278" s="188"/>
      <c r="KH278" s="188"/>
      <c r="KI278" s="188"/>
      <c r="KJ278" s="188"/>
      <c r="KK278" s="188"/>
      <c r="KL278" s="188"/>
      <c r="KM278" s="188"/>
      <c r="KN278" s="188"/>
      <c r="KO278" s="188"/>
      <c r="KP278" s="188"/>
      <c r="KQ278" s="188"/>
      <c r="KR278" s="188"/>
      <c r="KS278" s="188"/>
      <c r="KT278" s="188"/>
      <c r="KU278" s="188"/>
      <c r="KV278" s="188"/>
      <c r="KW278" s="188"/>
      <c r="KX278" s="188"/>
      <c r="KY278" s="188"/>
      <c r="KZ278" s="188"/>
      <c r="LA278" s="188"/>
      <c r="LB278" s="188"/>
      <c r="LC278" s="188"/>
      <c r="LD278" s="188"/>
      <c r="LE278" s="188"/>
      <c r="LF278" s="188"/>
      <c r="LG278" s="188"/>
      <c r="LH278" s="188"/>
      <c r="LI278" s="188"/>
      <c r="LJ278" s="188"/>
      <c r="LK278" s="189"/>
      <c r="LL278" s="187"/>
      <c r="LM278" s="188"/>
      <c r="LN278" s="188"/>
      <c r="LO278" s="188"/>
      <c r="LP278" s="189"/>
      <c r="LY278" s="12"/>
      <c r="LZ278" s="7"/>
    </row>
    <row r="279" spans="3:338" ht="5.0999999999999996" customHeight="1" thickBot="1" x14ac:dyDescent="0.35">
      <c r="C279" s="11"/>
      <c r="D279" s="13"/>
      <c r="FL279" s="335"/>
      <c r="FM279" s="336"/>
      <c r="FN279" s="336"/>
      <c r="FO279" s="336"/>
      <c r="FP279" s="336"/>
      <c r="FQ279" s="336"/>
      <c r="FR279" s="336"/>
      <c r="FS279" s="336"/>
      <c r="FT279" s="336"/>
      <c r="FU279" s="336"/>
      <c r="FV279" s="336"/>
      <c r="FW279" s="336"/>
      <c r="FX279" s="336"/>
      <c r="FY279" s="336"/>
      <c r="FZ279" s="336"/>
      <c r="GA279" s="336"/>
      <c r="GB279" s="336"/>
      <c r="GC279" s="336"/>
      <c r="GD279" s="336"/>
      <c r="GE279" s="336"/>
      <c r="GF279" s="336"/>
      <c r="GG279" s="336"/>
      <c r="GH279" s="336"/>
      <c r="GI279" s="336"/>
      <c r="GJ279" s="336"/>
      <c r="GK279" s="336"/>
      <c r="GL279" s="336"/>
      <c r="GM279" s="336"/>
      <c r="GN279" s="336"/>
      <c r="GO279" s="336"/>
      <c r="GP279" s="336"/>
      <c r="GQ279" s="336"/>
      <c r="GR279" s="336"/>
      <c r="GS279" s="336"/>
      <c r="GT279" s="336"/>
      <c r="GU279" s="336"/>
      <c r="GV279" s="336"/>
      <c r="GW279" s="336"/>
      <c r="GX279" s="336"/>
      <c r="GY279" s="336"/>
      <c r="GZ279" s="336"/>
      <c r="HA279" s="336"/>
      <c r="HB279" s="336"/>
      <c r="HC279" s="336"/>
      <c r="HD279" s="336"/>
      <c r="HE279" s="336"/>
      <c r="HF279" s="336"/>
      <c r="HG279" s="336"/>
      <c r="HH279" s="336"/>
      <c r="HI279" s="337"/>
      <c r="HJ279" s="290"/>
      <c r="HK279" s="291"/>
      <c r="HL279" s="291"/>
      <c r="HM279" s="291"/>
      <c r="HN279" s="291"/>
      <c r="HO279" s="291"/>
      <c r="HP279" s="291"/>
      <c r="HQ279" s="291"/>
      <c r="HR279" s="291"/>
      <c r="HS279" s="291"/>
      <c r="HT279" s="291"/>
      <c r="HU279" s="292"/>
      <c r="JO279" s="154"/>
      <c r="JW279" s="187"/>
      <c r="JX279" s="188"/>
      <c r="JY279" s="188"/>
      <c r="JZ279" s="188"/>
      <c r="KA279" s="188"/>
      <c r="KB279" s="188"/>
      <c r="KC279" s="188"/>
      <c r="KD279" s="188"/>
      <c r="KE279" s="188"/>
      <c r="KF279" s="188"/>
      <c r="KG279" s="188"/>
      <c r="KH279" s="188"/>
      <c r="KI279" s="188"/>
      <c r="KJ279" s="188"/>
      <c r="KK279" s="188"/>
      <c r="KL279" s="188"/>
      <c r="KM279" s="188"/>
      <c r="KN279" s="188"/>
      <c r="KO279" s="188"/>
      <c r="KP279" s="188"/>
      <c r="KQ279" s="188"/>
      <c r="KR279" s="188"/>
      <c r="KS279" s="188"/>
      <c r="KT279" s="188"/>
      <c r="KU279" s="188"/>
      <c r="KV279" s="188"/>
      <c r="KW279" s="188"/>
      <c r="KX279" s="188"/>
      <c r="KY279" s="188"/>
      <c r="KZ279" s="188"/>
      <c r="LA279" s="188"/>
      <c r="LB279" s="188"/>
      <c r="LC279" s="188"/>
      <c r="LD279" s="188"/>
      <c r="LE279" s="188"/>
      <c r="LF279" s="188"/>
      <c r="LG279" s="188"/>
      <c r="LH279" s="188"/>
      <c r="LI279" s="188"/>
      <c r="LJ279" s="188"/>
      <c r="LK279" s="189"/>
      <c r="LL279" s="187"/>
      <c r="LM279" s="188"/>
      <c r="LN279" s="188"/>
      <c r="LO279" s="188"/>
      <c r="LP279" s="189"/>
      <c r="LY279" s="12"/>
      <c r="LZ279" s="7"/>
    </row>
    <row r="280" spans="3:338" ht="5.0999999999999996" customHeight="1" x14ac:dyDescent="0.3">
      <c r="C280" s="11"/>
      <c r="D280" s="13"/>
      <c r="FL280" s="329" t="s">
        <v>1</v>
      </c>
      <c r="FM280" s="330"/>
      <c r="FN280" s="330"/>
      <c r="FO280" s="330"/>
      <c r="FP280" s="330"/>
      <c r="FQ280" s="330"/>
      <c r="FR280" s="330"/>
      <c r="FS280" s="330"/>
      <c r="FT280" s="330"/>
      <c r="FU280" s="330"/>
      <c r="FV280" s="330"/>
      <c r="FW280" s="330"/>
      <c r="FX280" s="330"/>
      <c r="FY280" s="330"/>
      <c r="FZ280" s="330"/>
      <c r="GA280" s="330"/>
      <c r="GB280" s="330"/>
      <c r="GC280" s="330"/>
      <c r="GD280" s="330"/>
      <c r="GE280" s="330"/>
      <c r="GF280" s="330"/>
      <c r="GG280" s="330"/>
      <c r="GH280" s="330"/>
      <c r="GI280" s="330"/>
      <c r="GJ280" s="330"/>
      <c r="GK280" s="330"/>
      <c r="GL280" s="330"/>
      <c r="GM280" s="330"/>
      <c r="GN280" s="330"/>
      <c r="GO280" s="330"/>
      <c r="GP280" s="330"/>
      <c r="GQ280" s="330"/>
      <c r="GR280" s="330"/>
      <c r="GS280" s="330"/>
      <c r="GT280" s="330"/>
      <c r="GU280" s="330"/>
      <c r="GV280" s="330"/>
      <c r="GW280" s="330"/>
      <c r="GX280" s="330"/>
      <c r="GY280" s="330"/>
      <c r="GZ280" s="330"/>
      <c r="HA280" s="330"/>
      <c r="HB280" s="330"/>
      <c r="HC280" s="330"/>
      <c r="HD280" s="330"/>
      <c r="HE280" s="330"/>
      <c r="HF280" s="330"/>
      <c r="HG280" s="330"/>
      <c r="HH280" s="330"/>
      <c r="HI280" s="331"/>
      <c r="HJ280" s="284">
        <f>JD139</f>
        <v>50</v>
      </c>
      <c r="HK280" s="285"/>
      <c r="HL280" s="285"/>
      <c r="HM280" s="285"/>
      <c r="HN280" s="285"/>
      <c r="HO280" s="285">
        <f>DA148</f>
        <v>0</v>
      </c>
      <c r="HP280" s="285"/>
      <c r="HQ280" s="285"/>
      <c r="HR280" s="285"/>
      <c r="HS280" s="285"/>
      <c r="HT280" s="285"/>
      <c r="HU280" s="286"/>
      <c r="JO280" s="154"/>
      <c r="JW280" s="187"/>
      <c r="JX280" s="188"/>
      <c r="JY280" s="188"/>
      <c r="JZ280" s="188"/>
      <c r="KA280" s="188"/>
      <c r="KB280" s="188"/>
      <c r="KC280" s="188"/>
      <c r="KD280" s="188"/>
      <c r="KE280" s="188"/>
      <c r="KF280" s="188"/>
      <c r="KG280" s="188"/>
      <c r="KH280" s="188"/>
      <c r="KI280" s="188"/>
      <c r="KJ280" s="188"/>
      <c r="KK280" s="188"/>
      <c r="KL280" s="188"/>
      <c r="KM280" s="188"/>
      <c r="KN280" s="188"/>
      <c r="KO280" s="188"/>
      <c r="KP280" s="188"/>
      <c r="KQ280" s="188"/>
      <c r="KR280" s="188"/>
      <c r="KS280" s="188"/>
      <c r="KT280" s="188"/>
      <c r="KU280" s="188"/>
      <c r="KV280" s="188"/>
      <c r="KW280" s="188"/>
      <c r="KX280" s="188"/>
      <c r="KY280" s="188"/>
      <c r="KZ280" s="188"/>
      <c r="LA280" s="188"/>
      <c r="LB280" s="188"/>
      <c r="LC280" s="188"/>
      <c r="LD280" s="188"/>
      <c r="LE280" s="188"/>
      <c r="LF280" s="188"/>
      <c r="LG280" s="188"/>
      <c r="LH280" s="188"/>
      <c r="LI280" s="188"/>
      <c r="LJ280" s="188"/>
      <c r="LK280" s="189"/>
      <c r="LL280" s="187"/>
      <c r="LM280" s="188"/>
      <c r="LN280" s="188"/>
      <c r="LO280" s="188"/>
      <c r="LP280" s="189"/>
      <c r="LY280" s="12"/>
      <c r="LZ280" s="7"/>
    </row>
    <row r="281" spans="3:338" ht="5.0999999999999996" customHeight="1" x14ac:dyDescent="0.3">
      <c r="C281" s="11"/>
      <c r="D281" s="13"/>
      <c r="FL281" s="332"/>
      <c r="FM281" s="333"/>
      <c r="FN281" s="333"/>
      <c r="FO281" s="333"/>
      <c r="FP281" s="333"/>
      <c r="FQ281" s="333"/>
      <c r="FR281" s="333"/>
      <c r="FS281" s="333"/>
      <c r="FT281" s="333"/>
      <c r="FU281" s="333"/>
      <c r="FV281" s="333"/>
      <c r="FW281" s="333"/>
      <c r="FX281" s="333"/>
      <c r="FY281" s="333"/>
      <c r="FZ281" s="333"/>
      <c r="GA281" s="333"/>
      <c r="GB281" s="333"/>
      <c r="GC281" s="333"/>
      <c r="GD281" s="333"/>
      <c r="GE281" s="333"/>
      <c r="GF281" s="333"/>
      <c r="GG281" s="333"/>
      <c r="GH281" s="333"/>
      <c r="GI281" s="333"/>
      <c r="GJ281" s="333"/>
      <c r="GK281" s="333"/>
      <c r="GL281" s="333"/>
      <c r="GM281" s="333"/>
      <c r="GN281" s="333"/>
      <c r="GO281" s="333"/>
      <c r="GP281" s="333"/>
      <c r="GQ281" s="333"/>
      <c r="GR281" s="333"/>
      <c r="GS281" s="333"/>
      <c r="GT281" s="333"/>
      <c r="GU281" s="333"/>
      <c r="GV281" s="333"/>
      <c r="GW281" s="333"/>
      <c r="GX281" s="333"/>
      <c r="GY281" s="333"/>
      <c r="GZ281" s="333"/>
      <c r="HA281" s="333"/>
      <c r="HB281" s="333"/>
      <c r="HC281" s="333"/>
      <c r="HD281" s="333"/>
      <c r="HE281" s="333"/>
      <c r="HF281" s="333"/>
      <c r="HG281" s="333"/>
      <c r="HH281" s="333"/>
      <c r="HI281" s="334"/>
      <c r="HJ281" s="287"/>
      <c r="HK281" s="288"/>
      <c r="HL281" s="288"/>
      <c r="HM281" s="288"/>
      <c r="HN281" s="288"/>
      <c r="HO281" s="288"/>
      <c r="HP281" s="288"/>
      <c r="HQ281" s="288"/>
      <c r="HR281" s="288"/>
      <c r="HS281" s="288"/>
      <c r="HT281" s="288"/>
      <c r="HU281" s="289"/>
      <c r="JO281" s="154"/>
      <c r="JW281" s="187"/>
      <c r="JX281" s="188"/>
      <c r="JY281" s="188"/>
      <c r="JZ281" s="188"/>
      <c r="KA281" s="188"/>
      <c r="KB281" s="188"/>
      <c r="KC281" s="188"/>
      <c r="KD281" s="188"/>
      <c r="KE281" s="188"/>
      <c r="KF281" s="188"/>
      <c r="KG281" s="188"/>
      <c r="KH281" s="188"/>
      <c r="KI281" s="188"/>
      <c r="KJ281" s="188"/>
      <c r="KK281" s="188"/>
      <c r="KL281" s="188"/>
      <c r="KM281" s="188"/>
      <c r="KN281" s="188"/>
      <c r="KO281" s="188"/>
      <c r="KP281" s="188"/>
      <c r="KQ281" s="188"/>
      <c r="KR281" s="188"/>
      <c r="KS281" s="188"/>
      <c r="KT281" s="188"/>
      <c r="KU281" s="188"/>
      <c r="KV281" s="188"/>
      <c r="KW281" s="188"/>
      <c r="KX281" s="188"/>
      <c r="KY281" s="188"/>
      <c r="KZ281" s="188"/>
      <c r="LA281" s="188"/>
      <c r="LB281" s="188"/>
      <c r="LC281" s="188"/>
      <c r="LD281" s="188"/>
      <c r="LE281" s="188"/>
      <c r="LF281" s="188"/>
      <c r="LG281" s="188"/>
      <c r="LH281" s="188"/>
      <c r="LI281" s="188"/>
      <c r="LJ281" s="188"/>
      <c r="LK281" s="189"/>
      <c r="LL281" s="187"/>
      <c r="LM281" s="188"/>
      <c r="LN281" s="188"/>
      <c r="LO281" s="188"/>
      <c r="LP281" s="189"/>
      <c r="LY281" s="12"/>
      <c r="LZ281" s="7"/>
    </row>
    <row r="282" spans="3:338" ht="5.0999999999999996" customHeight="1" x14ac:dyDescent="0.3">
      <c r="C282" s="11"/>
      <c r="D282" s="13"/>
      <c r="FL282" s="332"/>
      <c r="FM282" s="333"/>
      <c r="FN282" s="333"/>
      <c r="FO282" s="333"/>
      <c r="FP282" s="333"/>
      <c r="FQ282" s="333"/>
      <c r="FR282" s="333"/>
      <c r="FS282" s="333"/>
      <c r="FT282" s="333"/>
      <c r="FU282" s="333"/>
      <c r="FV282" s="333"/>
      <c r="FW282" s="333"/>
      <c r="FX282" s="333"/>
      <c r="FY282" s="333"/>
      <c r="FZ282" s="333"/>
      <c r="GA282" s="333"/>
      <c r="GB282" s="333"/>
      <c r="GC282" s="333"/>
      <c r="GD282" s="333"/>
      <c r="GE282" s="333"/>
      <c r="GF282" s="333"/>
      <c r="GG282" s="333"/>
      <c r="GH282" s="333"/>
      <c r="GI282" s="333"/>
      <c r="GJ282" s="333"/>
      <c r="GK282" s="333"/>
      <c r="GL282" s="333"/>
      <c r="GM282" s="333"/>
      <c r="GN282" s="333"/>
      <c r="GO282" s="333"/>
      <c r="GP282" s="333"/>
      <c r="GQ282" s="333"/>
      <c r="GR282" s="333"/>
      <c r="GS282" s="333"/>
      <c r="GT282" s="333"/>
      <c r="GU282" s="333"/>
      <c r="GV282" s="333"/>
      <c r="GW282" s="333"/>
      <c r="GX282" s="333"/>
      <c r="GY282" s="333"/>
      <c r="GZ282" s="333"/>
      <c r="HA282" s="333"/>
      <c r="HB282" s="333"/>
      <c r="HC282" s="333"/>
      <c r="HD282" s="333"/>
      <c r="HE282" s="333"/>
      <c r="HF282" s="333"/>
      <c r="HG282" s="333"/>
      <c r="HH282" s="333"/>
      <c r="HI282" s="334"/>
      <c r="HJ282" s="287"/>
      <c r="HK282" s="288"/>
      <c r="HL282" s="288"/>
      <c r="HM282" s="288"/>
      <c r="HN282" s="288"/>
      <c r="HO282" s="288"/>
      <c r="HP282" s="288"/>
      <c r="HQ282" s="288"/>
      <c r="HR282" s="288"/>
      <c r="HS282" s="288"/>
      <c r="HT282" s="288"/>
      <c r="HU282" s="289"/>
      <c r="JO282" s="154"/>
      <c r="JW282" s="187"/>
      <c r="JX282" s="188"/>
      <c r="JY282" s="188"/>
      <c r="JZ282" s="188"/>
      <c r="KA282" s="188"/>
      <c r="KB282" s="188"/>
      <c r="KC282" s="188"/>
      <c r="KD282" s="188"/>
      <c r="KE282" s="188"/>
      <c r="KF282" s="188"/>
      <c r="KG282" s="188"/>
      <c r="KH282" s="188"/>
      <c r="KI282" s="188"/>
      <c r="KJ282" s="188"/>
      <c r="KK282" s="188"/>
      <c r="KL282" s="188"/>
      <c r="KM282" s="188"/>
      <c r="KN282" s="188"/>
      <c r="KO282" s="188"/>
      <c r="KP282" s="188"/>
      <c r="KQ282" s="188"/>
      <c r="KR282" s="188"/>
      <c r="KS282" s="188"/>
      <c r="KT282" s="188"/>
      <c r="KU282" s="188"/>
      <c r="KV282" s="188"/>
      <c r="KW282" s="188"/>
      <c r="KX282" s="188"/>
      <c r="KY282" s="188"/>
      <c r="KZ282" s="188"/>
      <c r="LA282" s="188"/>
      <c r="LB282" s="188"/>
      <c r="LC282" s="188"/>
      <c r="LD282" s="188"/>
      <c r="LE282" s="188"/>
      <c r="LF282" s="188"/>
      <c r="LG282" s="188"/>
      <c r="LH282" s="188"/>
      <c r="LI282" s="188"/>
      <c r="LJ282" s="188"/>
      <c r="LK282" s="189"/>
      <c r="LL282" s="187"/>
      <c r="LM282" s="188"/>
      <c r="LN282" s="188"/>
      <c r="LO282" s="188"/>
      <c r="LP282" s="189"/>
      <c r="LY282" s="12"/>
      <c r="LZ282" s="7"/>
    </row>
    <row r="283" spans="3:338" ht="5.0999999999999996" customHeight="1" x14ac:dyDescent="0.3">
      <c r="C283" s="11"/>
      <c r="D283" s="13"/>
      <c r="FL283" s="332"/>
      <c r="FM283" s="333"/>
      <c r="FN283" s="333"/>
      <c r="FO283" s="333"/>
      <c r="FP283" s="333"/>
      <c r="FQ283" s="333"/>
      <c r="FR283" s="333"/>
      <c r="FS283" s="333"/>
      <c r="FT283" s="333"/>
      <c r="FU283" s="333"/>
      <c r="FV283" s="333"/>
      <c r="FW283" s="333"/>
      <c r="FX283" s="333"/>
      <c r="FY283" s="333"/>
      <c r="FZ283" s="333"/>
      <c r="GA283" s="333"/>
      <c r="GB283" s="333"/>
      <c r="GC283" s="333"/>
      <c r="GD283" s="333"/>
      <c r="GE283" s="333"/>
      <c r="GF283" s="333"/>
      <c r="GG283" s="333"/>
      <c r="GH283" s="333"/>
      <c r="GI283" s="333"/>
      <c r="GJ283" s="333"/>
      <c r="GK283" s="333"/>
      <c r="GL283" s="333"/>
      <c r="GM283" s="333"/>
      <c r="GN283" s="333"/>
      <c r="GO283" s="333"/>
      <c r="GP283" s="333"/>
      <c r="GQ283" s="333"/>
      <c r="GR283" s="333"/>
      <c r="GS283" s="333"/>
      <c r="GT283" s="333"/>
      <c r="GU283" s="333"/>
      <c r="GV283" s="333"/>
      <c r="GW283" s="333"/>
      <c r="GX283" s="333"/>
      <c r="GY283" s="333"/>
      <c r="GZ283" s="333"/>
      <c r="HA283" s="333"/>
      <c r="HB283" s="333"/>
      <c r="HC283" s="333"/>
      <c r="HD283" s="333"/>
      <c r="HE283" s="333"/>
      <c r="HF283" s="333"/>
      <c r="HG283" s="333"/>
      <c r="HH283" s="333"/>
      <c r="HI283" s="334"/>
      <c r="HJ283" s="287"/>
      <c r="HK283" s="288"/>
      <c r="HL283" s="288"/>
      <c r="HM283" s="288"/>
      <c r="HN283" s="288"/>
      <c r="HO283" s="288"/>
      <c r="HP283" s="288"/>
      <c r="HQ283" s="288"/>
      <c r="HR283" s="288"/>
      <c r="HS283" s="288"/>
      <c r="HT283" s="288"/>
      <c r="HU283" s="289"/>
      <c r="JO283" s="154"/>
      <c r="JW283" s="190"/>
      <c r="JX283" s="191"/>
      <c r="JY283" s="191"/>
      <c r="JZ283" s="191"/>
      <c r="KA283" s="191"/>
      <c r="KB283" s="191"/>
      <c r="KC283" s="191"/>
      <c r="KD283" s="191"/>
      <c r="KE283" s="191"/>
      <c r="KF283" s="191"/>
      <c r="KG283" s="191"/>
      <c r="KH283" s="191"/>
      <c r="KI283" s="191"/>
      <c r="KJ283" s="191"/>
      <c r="KK283" s="191"/>
      <c r="KL283" s="191"/>
      <c r="KM283" s="191"/>
      <c r="KN283" s="191"/>
      <c r="KO283" s="191"/>
      <c r="KP283" s="191"/>
      <c r="KQ283" s="191"/>
      <c r="KR283" s="191"/>
      <c r="KS283" s="191"/>
      <c r="KT283" s="191"/>
      <c r="KU283" s="191"/>
      <c r="KV283" s="191"/>
      <c r="KW283" s="191"/>
      <c r="KX283" s="191"/>
      <c r="KY283" s="191"/>
      <c r="KZ283" s="191"/>
      <c r="LA283" s="191"/>
      <c r="LB283" s="191"/>
      <c r="LC283" s="191"/>
      <c r="LD283" s="191"/>
      <c r="LE283" s="191"/>
      <c r="LF283" s="191"/>
      <c r="LG283" s="191"/>
      <c r="LH283" s="191"/>
      <c r="LI283" s="191"/>
      <c r="LJ283" s="191"/>
      <c r="LK283" s="192"/>
      <c r="LL283" s="190"/>
      <c r="LM283" s="191"/>
      <c r="LN283" s="191"/>
      <c r="LO283" s="191"/>
      <c r="LP283" s="192"/>
      <c r="LY283" s="12"/>
      <c r="LZ283" s="7"/>
    </row>
    <row r="284" spans="3:338" ht="5.0999999999999996" customHeight="1" x14ac:dyDescent="0.3">
      <c r="C284" s="11"/>
      <c r="D284" s="13"/>
      <c r="FL284" s="332"/>
      <c r="FM284" s="333"/>
      <c r="FN284" s="333"/>
      <c r="FO284" s="333"/>
      <c r="FP284" s="333"/>
      <c r="FQ284" s="333"/>
      <c r="FR284" s="333"/>
      <c r="FS284" s="333"/>
      <c r="FT284" s="333"/>
      <c r="FU284" s="333"/>
      <c r="FV284" s="333"/>
      <c r="FW284" s="333"/>
      <c r="FX284" s="333"/>
      <c r="FY284" s="333"/>
      <c r="FZ284" s="333"/>
      <c r="GA284" s="333"/>
      <c r="GB284" s="333"/>
      <c r="GC284" s="333"/>
      <c r="GD284" s="333"/>
      <c r="GE284" s="333"/>
      <c r="GF284" s="333"/>
      <c r="GG284" s="333"/>
      <c r="GH284" s="333"/>
      <c r="GI284" s="333"/>
      <c r="GJ284" s="333"/>
      <c r="GK284" s="333"/>
      <c r="GL284" s="333"/>
      <c r="GM284" s="333"/>
      <c r="GN284" s="333"/>
      <c r="GO284" s="333"/>
      <c r="GP284" s="333"/>
      <c r="GQ284" s="333"/>
      <c r="GR284" s="333"/>
      <c r="GS284" s="333"/>
      <c r="GT284" s="333"/>
      <c r="GU284" s="333"/>
      <c r="GV284" s="333"/>
      <c r="GW284" s="333"/>
      <c r="GX284" s="333"/>
      <c r="GY284" s="333"/>
      <c r="GZ284" s="333"/>
      <c r="HA284" s="333"/>
      <c r="HB284" s="333"/>
      <c r="HC284" s="333"/>
      <c r="HD284" s="333"/>
      <c r="HE284" s="333"/>
      <c r="HF284" s="333"/>
      <c r="HG284" s="333"/>
      <c r="HH284" s="333"/>
      <c r="HI284" s="334"/>
      <c r="HJ284" s="287"/>
      <c r="HK284" s="288"/>
      <c r="HL284" s="288"/>
      <c r="HM284" s="288"/>
      <c r="HN284" s="288"/>
      <c r="HO284" s="288"/>
      <c r="HP284" s="288"/>
      <c r="HQ284" s="288"/>
      <c r="HR284" s="288"/>
      <c r="HS284" s="288"/>
      <c r="HT284" s="288"/>
      <c r="HU284" s="289"/>
      <c r="JO284" s="154"/>
      <c r="LY284" s="12"/>
      <c r="LZ284" s="7"/>
    </row>
    <row r="285" spans="3:338" ht="5.0999999999999996" customHeight="1" x14ac:dyDescent="0.3">
      <c r="C285" s="11"/>
      <c r="D285" s="13"/>
      <c r="FL285" s="332"/>
      <c r="FM285" s="333"/>
      <c r="FN285" s="333"/>
      <c r="FO285" s="333"/>
      <c r="FP285" s="333"/>
      <c r="FQ285" s="333"/>
      <c r="FR285" s="333"/>
      <c r="FS285" s="333"/>
      <c r="FT285" s="333"/>
      <c r="FU285" s="333"/>
      <c r="FV285" s="333"/>
      <c r="FW285" s="333"/>
      <c r="FX285" s="333"/>
      <c r="FY285" s="333"/>
      <c r="FZ285" s="333"/>
      <c r="GA285" s="333"/>
      <c r="GB285" s="333"/>
      <c r="GC285" s="333"/>
      <c r="GD285" s="333"/>
      <c r="GE285" s="333"/>
      <c r="GF285" s="333"/>
      <c r="GG285" s="333"/>
      <c r="GH285" s="333"/>
      <c r="GI285" s="333"/>
      <c r="GJ285" s="333"/>
      <c r="GK285" s="333"/>
      <c r="GL285" s="333"/>
      <c r="GM285" s="333"/>
      <c r="GN285" s="333"/>
      <c r="GO285" s="333"/>
      <c r="GP285" s="333"/>
      <c r="GQ285" s="333"/>
      <c r="GR285" s="333"/>
      <c r="GS285" s="333"/>
      <c r="GT285" s="333"/>
      <c r="GU285" s="333"/>
      <c r="GV285" s="333"/>
      <c r="GW285" s="333"/>
      <c r="GX285" s="333"/>
      <c r="GY285" s="333"/>
      <c r="GZ285" s="333"/>
      <c r="HA285" s="333"/>
      <c r="HB285" s="333"/>
      <c r="HC285" s="333"/>
      <c r="HD285" s="333"/>
      <c r="HE285" s="333"/>
      <c r="HF285" s="333"/>
      <c r="HG285" s="333"/>
      <c r="HH285" s="333"/>
      <c r="HI285" s="334"/>
      <c r="HJ285" s="287"/>
      <c r="HK285" s="288"/>
      <c r="HL285" s="288"/>
      <c r="HM285" s="288"/>
      <c r="HN285" s="288"/>
      <c r="HO285" s="288"/>
      <c r="HP285" s="288"/>
      <c r="HQ285" s="288"/>
      <c r="HR285" s="288"/>
      <c r="HS285" s="288"/>
      <c r="HT285" s="288"/>
      <c r="HU285" s="289"/>
      <c r="JO285" s="154"/>
      <c r="LY285" s="12"/>
      <c r="LZ285" s="7"/>
    </row>
    <row r="286" spans="3:338" ht="5.0999999999999996" customHeight="1" thickBot="1" x14ac:dyDescent="0.35">
      <c r="C286" s="11"/>
      <c r="D286" s="13"/>
      <c r="FL286" s="335"/>
      <c r="FM286" s="336"/>
      <c r="FN286" s="336"/>
      <c r="FO286" s="336"/>
      <c r="FP286" s="336"/>
      <c r="FQ286" s="336"/>
      <c r="FR286" s="336"/>
      <c r="FS286" s="336"/>
      <c r="FT286" s="336"/>
      <c r="FU286" s="336"/>
      <c r="FV286" s="336"/>
      <c r="FW286" s="336"/>
      <c r="FX286" s="336"/>
      <c r="FY286" s="336"/>
      <c r="FZ286" s="336"/>
      <c r="GA286" s="336"/>
      <c r="GB286" s="336"/>
      <c r="GC286" s="336"/>
      <c r="GD286" s="336"/>
      <c r="GE286" s="336"/>
      <c r="GF286" s="336"/>
      <c r="GG286" s="336"/>
      <c r="GH286" s="336"/>
      <c r="GI286" s="336"/>
      <c r="GJ286" s="336"/>
      <c r="GK286" s="336"/>
      <c r="GL286" s="336"/>
      <c r="GM286" s="336"/>
      <c r="GN286" s="336"/>
      <c r="GO286" s="336"/>
      <c r="GP286" s="336"/>
      <c r="GQ286" s="336"/>
      <c r="GR286" s="336"/>
      <c r="GS286" s="336"/>
      <c r="GT286" s="336"/>
      <c r="GU286" s="336"/>
      <c r="GV286" s="336"/>
      <c r="GW286" s="336"/>
      <c r="GX286" s="336"/>
      <c r="GY286" s="336"/>
      <c r="GZ286" s="336"/>
      <c r="HA286" s="336"/>
      <c r="HB286" s="336"/>
      <c r="HC286" s="336"/>
      <c r="HD286" s="336"/>
      <c r="HE286" s="336"/>
      <c r="HF286" s="336"/>
      <c r="HG286" s="336"/>
      <c r="HH286" s="336"/>
      <c r="HI286" s="337"/>
      <c r="HJ286" s="290"/>
      <c r="HK286" s="291"/>
      <c r="HL286" s="291"/>
      <c r="HM286" s="291"/>
      <c r="HN286" s="291"/>
      <c r="HO286" s="291"/>
      <c r="HP286" s="291"/>
      <c r="HQ286" s="291"/>
      <c r="HR286" s="291"/>
      <c r="HS286" s="291"/>
      <c r="HT286" s="291"/>
      <c r="HU286" s="292"/>
      <c r="JO286" s="154"/>
      <c r="LY286" s="12"/>
      <c r="LZ286" s="7"/>
    </row>
    <row r="287" spans="3:338" ht="5.0999999999999996" customHeight="1" thickBot="1" x14ac:dyDescent="0.35">
      <c r="C287" s="11"/>
      <c r="D287" s="13"/>
      <c r="FL287" s="329" t="s">
        <v>0</v>
      </c>
      <c r="FM287" s="330"/>
      <c r="FN287" s="330"/>
      <c r="FO287" s="330"/>
      <c r="FP287" s="330"/>
      <c r="FQ287" s="330"/>
      <c r="FR287" s="330"/>
      <c r="FS287" s="330"/>
      <c r="FT287" s="330"/>
      <c r="FU287" s="330"/>
      <c r="FV287" s="330"/>
      <c r="FW287" s="330"/>
      <c r="FX287" s="330"/>
      <c r="FY287" s="330"/>
      <c r="FZ287" s="330"/>
      <c r="GA287" s="330"/>
      <c r="GB287" s="330"/>
      <c r="GC287" s="330"/>
      <c r="GD287" s="330"/>
      <c r="GE287" s="330"/>
      <c r="GF287" s="330"/>
      <c r="GG287" s="330"/>
      <c r="GH287" s="330"/>
      <c r="GI287" s="330"/>
      <c r="GJ287" s="330"/>
      <c r="GK287" s="330"/>
      <c r="GL287" s="330"/>
      <c r="GM287" s="330"/>
      <c r="GN287" s="330"/>
      <c r="GO287" s="330"/>
      <c r="GP287" s="330"/>
      <c r="GQ287" s="330"/>
      <c r="GR287" s="330"/>
      <c r="GS287" s="330"/>
      <c r="GT287" s="330"/>
      <c r="GU287" s="330"/>
      <c r="GV287" s="330"/>
      <c r="GW287" s="330"/>
      <c r="GX287" s="330"/>
      <c r="GY287" s="330"/>
      <c r="GZ287" s="330"/>
      <c r="HA287" s="330"/>
      <c r="HB287" s="330"/>
      <c r="HC287" s="330"/>
      <c r="HD287" s="330"/>
      <c r="HE287" s="330"/>
      <c r="HF287" s="330"/>
      <c r="HG287" s="330"/>
      <c r="HH287" s="330"/>
      <c r="HI287" s="331"/>
      <c r="HJ287" s="284">
        <f>SUM(HJ266,HJ273,HJ280)</f>
        <v>121</v>
      </c>
      <c r="HK287" s="285"/>
      <c r="HL287" s="285"/>
      <c r="HM287" s="285"/>
      <c r="HN287" s="285"/>
      <c r="HO287" s="285">
        <f>SUM(HJ266,HO273,HO280)</f>
        <v>61</v>
      </c>
      <c r="HP287" s="285"/>
      <c r="HQ287" s="285"/>
      <c r="HR287" s="285"/>
      <c r="HS287" s="285"/>
      <c r="HT287" s="285"/>
      <c r="HU287" s="286"/>
      <c r="JO287" s="154"/>
      <c r="LY287" s="12"/>
      <c r="LZ287" s="7"/>
    </row>
    <row r="288" spans="3:338" ht="5.0999999999999996" customHeight="1" x14ac:dyDescent="0.3">
      <c r="C288" s="11"/>
      <c r="D288" s="13"/>
      <c r="E288" s="267" t="s">
        <v>22</v>
      </c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  <c r="AA288" s="268"/>
      <c r="AB288" s="268"/>
      <c r="AC288" s="268"/>
      <c r="AD288" s="268"/>
      <c r="AE288" s="268"/>
      <c r="AF288" s="269"/>
      <c r="AG288" s="267" t="s">
        <v>23</v>
      </c>
      <c r="AH288" s="268"/>
      <c r="AI288" s="268"/>
      <c r="AJ288" s="268"/>
      <c r="AK288" s="268"/>
      <c r="AL288" s="268"/>
      <c r="AM288" s="268"/>
      <c r="AN288" s="268"/>
      <c r="AO288" s="268"/>
      <c r="AP288" s="268"/>
      <c r="AQ288" s="268"/>
      <c r="AR288" s="268"/>
      <c r="AS288" s="268"/>
      <c r="AT288" s="268"/>
      <c r="AU288" s="268"/>
      <c r="AV288" s="268"/>
      <c r="AW288" s="268"/>
      <c r="AX288" s="268"/>
      <c r="AY288" s="268"/>
      <c r="AZ288" s="268"/>
      <c r="BA288" s="268"/>
      <c r="BB288" s="268"/>
      <c r="BC288" s="268"/>
      <c r="BD288" s="268"/>
      <c r="BE288" s="268"/>
      <c r="BF288" s="268"/>
      <c r="BG288" s="268"/>
      <c r="BH288" s="269"/>
      <c r="BI288" s="267" t="s">
        <v>24</v>
      </c>
      <c r="BJ288" s="268"/>
      <c r="BK288" s="268"/>
      <c r="BL288" s="268"/>
      <c r="BM288" s="268"/>
      <c r="BN288" s="268"/>
      <c r="BO288" s="268"/>
      <c r="BP288" s="268"/>
      <c r="BQ288" s="268"/>
      <c r="BR288" s="268"/>
      <c r="BS288" s="268"/>
      <c r="BT288" s="268"/>
      <c r="BU288" s="268"/>
      <c r="BV288" s="268"/>
      <c r="BW288" s="268"/>
      <c r="BX288" s="268"/>
      <c r="BY288" s="268"/>
      <c r="BZ288" s="268"/>
      <c r="CA288" s="268"/>
      <c r="CB288" s="268"/>
      <c r="CC288" s="268"/>
      <c r="CD288" s="268"/>
      <c r="CE288" s="268"/>
      <c r="CF288" s="268"/>
      <c r="CG288" s="268"/>
      <c r="CH288" s="268"/>
      <c r="CI288" s="268"/>
      <c r="CJ288" s="269"/>
      <c r="FL288" s="332"/>
      <c r="FM288" s="333"/>
      <c r="FN288" s="333"/>
      <c r="FO288" s="333"/>
      <c r="FP288" s="333"/>
      <c r="FQ288" s="333"/>
      <c r="FR288" s="333"/>
      <c r="FS288" s="333"/>
      <c r="FT288" s="333"/>
      <c r="FU288" s="333"/>
      <c r="FV288" s="333"/>
      <c r="FW288" s="333"/>
      <c r="FX288" s="333"/>
      <c r="FY288" s="333"/>
      <c r="FZ288" s="333"/>
      <c r="GA288" s="333"/>
      <c r="GB288" s="333"/>
      <c r="GC288" s="333"/>
      <c r="GD288" s="333"/>
      <c r="GE288" s="333"/>
      <c r="GF288" s="333"/>
      <c r="GG288" s="333"/>
      <c r="GH288" s="333"/>
      <c r="GI288" s="333"/>
      <c r="GJ288" s="333"/>
      <c r="GK288" s="333"/>
      <c r="GL288" s="333"/>
      <c r="GM288" s="333"/>
      <c r="GN288" s="333"/>
      <c r="GO288" s="333"/>
      <c r="GP288" s="333"/>
      <c r="GQ288" s="333"/>
      <c r="GR288" s="333"/>
      <c r="GS288" s="333"/>
      <c r="GT288" s="333"/>
      <c r="GU288" s="333"/>
      <c r="GV288" s="333"/>
      <c r="GW288" s="333"/>
      <c r="GX288" s="333"/>
      <c r="GY288" s="333"/>
      <c r="GZ288" s="333"/>
      <c r="HA288" s="333"/>
      <c r="HB288" s="333"/>
      <c r="HC288" s="333"/>
      <c r="HD288" s="333"/>
      <c r="HE288" s="333"/>
      <c r="HF288" s="333"/>
      <c r="HG288" s="333"/>
      <c r="HH288" s="333"/>
      <c r="HI288" s="334"/>
      <c r="HJ288" s="287"/>
      <c r="HK288" s="288"/>
      <c r="HL288" s="288"/>
      <c r="HM288" s="288"/>
      <c r="HN288" s="288"/>
      <c r="HO288" s="288"/>
      <c r="HP288" s="288"/>
      <c r="HQ288" s="288"/>
      <c r="HR288" s="288"/>
      <c r="HS288" s="288"/>
      <c r="HT288" s="288"/>
      <c r="HU288" s="289"/>
      <c r="JO288" s="154"/>
      <c r="LY288" s="12"/>
      <c r="LZ288" s="7"/>
    </row>
    <row r="289" spans="3:338" ht="5.0999999999999996" customHeight="1" x14ac:dyDescent="0.3">
      <c r="C289" s="11"/>
      <c r="D289" s="13"/>
      <c r="E289" s="2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  <c r="AF289" s="271"/>
      <c r="AG289" s="270"/>
      <c r="AH289" s="170"/>
      <c r="AI289" s="170"/>
      <c r="AJ289" s="170"/>
      <c r="AK289" s="170"/>
      <c r="AL289" s="170"/>
      <c r="AM289" s="170"/>
      <c r="AN289" s="170"/>
      <c r="AO289" s="170"/>
      <c r="AP289" s="170"/>
      <c r="AQ289" s="170"/>
      <c r="AR289" s="170"/>
      <c r="AS289" s="170"/>
      <c r="AT289" s="170"/>
      <c r="AU289" s="170"/>
      <c r="AV289" s="170"/>
      <c r="AW289" s="170"/>
      <c r="AX289" s="170"/>
      <c r="AY289" s="170"/>
      <c r="AZ289" s="170"/>
      <c r="BA289" s="170"/>
      <c r="BB289" s="170"/>
      <c r="BC289" s="170"/>
      <c r="BD289" s="170"/>
      <c r="BE289" s="170"/>
      <c r="BF289" s="170"/>
      <c r="BG289" s="170"/>
      <c r="BH289" s="271"/>
      <c r="BI289" s="270"/>
      <c r="BJ289" s="170"/>
      <c r="BK289" s="170"/>
      <c r="BL289" s="170"/>
      <c r="BM289" s="170"/>
      <c r="BN289" s="170"/>
      <c r="BO289" s="170"/>
      <c r="BP289" s="170"/>
      <c r="BQ289" s="170"/>
      <c r="BR289" s="170"/>
      <c r="BS289" s="170"/>
      <c r="BT289" s="170"/>
      <c r="BU289" s="170"/>
      <c r="BV289" s="170"/>
      <c r="BW289" s="170"/>
      <c r="BX289" s="170"/>
      <c r="BY289" s="170"/>
      <c r="BZ289" s="170"/>
      <c r="CA289" s="170"/>
      <c r="CB289" s="170"/>
      <c r="CC289" s="170"/>
      <c r="CD289" s="170"/>
      <c r="CE289" s="170"/>
      <c r="CF289" s="170"/>
      <c r="CG289" s="170"/>
      <c r="CH289" s="170"/>
      <c r="CI289" s="170"/>
      <c r="CJ289" s="271"/>
      <c r="FL289" s="332"/>
      <c r="FM289" s="333"/>
      <c r="FN289" s="333"/>
      <c r="FO289" s="333"/>
      <c r="FP289" s="333"/>
      <c r="FQ289" s="333"/>
      <c r="FR289" s="333"/>
      <c r="FS289" s="333"/>
      <c r="FT289" s="333"/>
      <c r="FU289" s="333"/>
      <c r="FV289" s="333"/>
      <c r="FW289" s="333"/>
      <c r="FX289" s="333"/>
      <c r="FY289" s="333"/>
      <c r="FZ289" s="333"/>
      <c r="GA289" s="333"/>
      <c r="GB289" s="333"/>
      <c r="GC289" s="333"/>
      <c r="GD289" s="333"/>
      <c r="GE289" s="333"/>
      <c r="GF289" s="333"/>
      <c r="GG289" s="333"/>
      <c r="GH289" s="333"/>
      <c r="GI289" s="333"/>
      <c r="GJ289" s="333"/>
      <c r="GK289" s="333"/>
      <c r="GL289" s="333"/>
      <c r="GM289" s="333"/>
      <c r="GN289" s="333"/>
      <c r="GO289" s="333"/>
      <c r="GP289" s="333"/>
      <c r="GQ289" s="333"/>
      <c r="GR289" s="333"/>
      <c r="GS289" s="333"/>
      <c r="GT289" s="333"/>
      <c r="GU289" s="333"/>
      <c r="GV289" s="333"/>
      <c r="GW289" s="333"/>
      <c r="GX289" s="333"/>
      <c r="GY289" s="333"/>
      <c r="GZ289" s="333"/>
      <c r="HA289" s="333"/>
      <c r="HB289" s="333"/>
      <c r="HC289" s="333"/>
      <c r="HD289" s="333"/>
      <c r="HE289" s="333"/>
      <c r="HF289" s="333"/>
      <c r="HG289" s="333"/>
      <c r="HH289" s="333"/>
      <c r="HI289" s="334"/>
      <c r="HJ289" s="287"/>
      <c r="HK289" s="288"/>
      <c r="HL289" s="288"/>
      <c r="HM289" s="288"/>
      <c r="HN289" s="288"/>
      <c r="HO289" s="288"/>
      <c r="HP289" s="288"/>
      <c r="HQ289" s="288"/>
      <c r="HR289" s="288"/>
      <c r="HS289" s="288"/>
      <c r="HT289" s="288"/>
      <c r="HU289" s="289"/>
      <c r="LY289" s="12"/>
      <c r="LZ289" s="7"/>
    </row>
    <row r="290" spans="3:338" ht="5.0999999999999996" customHeight="1" x14ac:dyDescent="0.3">
      <c r="C290" s="11"/>
      <c r="D290" s="13"/>
      <c r="E290" s="2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271"/>
      <c r="AG290" s="270"/>
      <c r="AH290" s="170"/>
      <c r="AI290" s="170"/>
      <c r="AJ290" s="170"/>
      <c r="AK290" s="170"/>
      <c r="AL290" s="170"/>
      <c r="AM290" s="170"/>
      <c r="AN290" s="170"/>
      <c r="AO290" s="170"/>
      <c r="AP290" s="170"/>
      <c r="AQ290" s="170"/>
      <c r="AR290" s="170"/>
      <c r="AS290" s="170"/>
      <c r="AT290" s="170"/>
      <c r="AU290" s="170"/>
      <c r="AV290" s="170"/>
      <c r="AW290" s="170"/>
      <c r="AX290" s="170"/>
      <c r="AY290" s="170"/>
      <c r="AZ290" s="170"/>
      <c r="BA290" s="170"/>
      <c r="BB290" s="170"/>
      <c r="BC290" s="170"/>
      <c r="BD290" s="170"/>
      <c r="BE290" s="170"/>
      <c r="BF290" s="170"/>
      <c r="BG290" s="170"/>
      <c r="BH290" s="271"/>
      <c r="BI290" s="270"/>
      <c r="BJ290" s="170"/>
      <c r="BK290" s="170"/>
      <c r="BL290" s="170"/>
      <c r="BM290" s="170"/>
      <c r="BN290" s="170"/>
      <c r="BO290" s="170"/>
      <c r="BP290" s="170"/>
      <c r="BQ290" s="170"/>
      <c r="BR290" s="170"/>
      <c r="BS290" s="170"/>
      <c r="BT290" s="170"/>
      <c r="BU290" s="170"/>
      <c r="BV290" s="170"/>
      <c r="BW290" s="170"/>
      <c r="BX290" s="170"/>
      <c r="BY290" s="170"/>
      <c r="BZ290" s="170"/>
      <c r="CA290" s="170"/>
      <c r="CB290" s="170"/>
      <c r="CC290" s="170"/>
      <c r="CD290" s="170"/>
      <c r="CE290" s="170"/>
      <c r="CF290" s="170"/>
      <c r="CG290" s="170"/>
      <c r="CH290" s="170"/>
      <c r="CI290" s="170"/>
      <c r="CJ290" s="271"/>
      <c r="FL290" s="332"/>
      <c r="FM290" s="333"/>
      <c r="FN290" s="333"/>
      <c r="FO290" s="333"/>
      <c r="FP290" s="333"/>
      <c r="FQ290" s="333"/>
      <c r="FR290" s="333"/>
      <c r="FS290" s="333"/>
      <c r="FT290" s="333"/>
      <c r="FU290" s="333"/>
      <c r="FV290" s="333"/>
      <c r="FW290" s="333"/>
      <c r="FX290" s="333"/>
      <c r="FY290" s="333"/>
      <c r="FZ290" s="333"/>
      <c r="GA290" s="333"/>
      <c r="GB290" s="333"/>
      <c r="GC290" s="333"/>
      <c r="GD290" s="333"/>
      <c r="GE290" s="333"/>
      <c r="GF290" s="333"/>
      <c r="GG290" s="333"/>
      <c r="GH290" s="333"/>
      <c r="GI290" s="333"/>
      <c r="GJ290" s="333"/>
      <c r="GK290" s="333"/>
      <c r="GL290" s="333"/>
      <c r="GM290" s="333"/>
      <c r="GN290" s="333"/>
      <c r="GO290" s="333"/>
      <c r="GP290" s="333"/>
      <c r="GQ290" s="333"/>
      <c r="GR290" s="333"/>
      <c r="GS290" s="333"/>
      <c r="GT290" s="333"/>
      <c r="GU290" s="333"/>
      <c r="GV290" s="333"/>
      <c r="GW290" s="333"/>
      <c r="GX290" s="333"/>
      <c r="GY290" s="333"/>
      <c r="GZ290" s="333"/>
      <c r="HA290" s="333"/>
      <c r="HB290" s="333"/>
      <c r="HC290" s="333"/>
      <c r="HD290" s="333"/>
      <c r="HE290" s="333"/>
      <c r="HF290" s="333"/>
      <c r="HG290" s="333"/>
      <c r="HH290" s="333"/>
      <c r="HI290" s="334"/>
      <c r="HJ290" s="287"/>
      <c r="HK290" s="288"/>
      <c r="HL290" s="288"/>
      <c r="HM290" s="288"/>
      <c r="HN290" s="288"/>
      <c r="HO290" s="288"/>
      <c r="HP290" s="288"/>
      <c r="HQ290" s="288"/>
      <c r="HR290" s="288"/>
      <c r="HS290" s="288"/>
      <c r="HT290" s="288"/>
      <c r="HU290" s="289"/>
      <c r="LY290" s="12"/>
      <c r="LZ290" s="7"/>
    </row>
    <row r="291" spans="3:338" ht="5.0999999999999996" customHeight="1" x14ac:dyDescent="0.3">
      <c r="C291" s="11"/>
      <c r="D291" s="13"/>
      <c r="E291" s="2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  <c r="AF291" s="271"/>
      <c r="AG291" s="270"/>
      <c r="AH291" s="170"/>
      <c r="AI291" s="170"/>
      <c r="AJ291" s="170"/>
      <c r="AK291" s="170"/>
      <c r="AL291" s="170"/>
      <c r="AM291" s="170"/>
      <c r="AN291" s="170"/>
      <c r="AO291" s="170"/>
      <c r="AP291" s="170"/>
      <c r="AQ291" s="170"/>
      <c r="AR291" s="170"/>
      <c r="AS291" s="170"/>
      <c r="AT291" s="170"/>
      <c r="AU291" s="170"/>
      <c r="AV291" s="170"/>
      <c r="AW291" s="170"/>
      <c r="AX291" s="170"/>
      <c r="AY291" s="170"/>
      <c r="AZ291" s="170"/>
      <c r="BA291" s="170"/>
      <c r="BB291" s="170"/>
      <c r="BC291" s="170"/>
      <c r="BD291" s="170"/>
      <c r="BE291" s="170"/>
      <c r="BF291" s="170"/>
      <c r="BG291" s="170"/>
      <c r="BH291" s="271"/>
      <c r="BI291" s="270"/>
      <c r="BJ291" s="170"/>
      <c r="BK291" s="170"/>
      <c r="BL291" s="170"/>
      <c r="BM291" s="170"/>
      <c r="BN291" s="170"/>
      <c r="BO291" s="170"/>
      <c r="BP291" s="170"/>
      <c r="BQ291" s="170"/>
      <c r="BR291" s="170"/>
      <c r="BS291" s="170"/>
      <c r="BT291" s="170"/>
      <c r="BU291" s="170"/>
      <c r="BV291" s="170"/>
      <c r="BW291" s="170"/>
      <c r="BX291" s="170"/>
      <c r="BY291" s="170"/>
      <c r="BZ291" s="170"/>
      <c r="CA291" s="170"/>
      <c r="CB291" s="170"/>
      <c r="CC291" s="170"/>
      <c r="CD291" s="170"/>
      <c r="CE291" s="170"/>
      <c r="CF291" s="170"/>
      <c r="CG291" s="170"/>
      <c r="CH291" s="170"/>
      <c r="CI291" s="170"/>
      <c r="CJ291" s="271"/>
      <c r="FL291" s="332"/>
      <c r="FM291" s="333"/>
      <c r="FN291" s="333"/>
      <c r="FO291" s="333"/>
      <c r="FP291" s="333"/>
      <c r="FQ291" s="333"/>
      <c r="FR291" s="333"/>
      <c r="FS291" s="333"/>
      <c r="FT291" s="333"/>
      <c r="FU291" s="333"/>
      <c r="FV291" s="333"/>
      <c r="FW291" s="333"/>
      <c r="FX291" s="333"/>
      <c r="FY291" s="333"/>
      <c r="FZ291" s="333"/>
      <c r="GA291" s="333"/>
      <c r="GB291" s="333"/>
      <c r="GC291" s="333"/>
      <c r="GD291" s="333"/>
      <c r="GE291" s="333"/>
      <c r="GF291" s="333"/>
      <c r="GG291" s="333"/>
      <c r="GH291" s="333"/>
      <c r="GI291" s="333"/>
      <c r="GJ291" s="333"/>
      <c r="GK291" s="333"/>
      <c r="GL291" s="333"/>
      <c r="GM291" s="333"/>
      <c r="GN291" s="333"/>
      <c r="GO291" s="333"/>
      <c r="GP291" s="333"/>
      <c r="GQ291" s="333"/>
      <c r="GR291" s="333"/>
      <c r="GS291" s="333"/>
      <c r="GT291" s="333"/>
      <c r="GU291" s="333"/>
      <c r="GV291" s="333"/>
      <c r="GW291" s="333"/>
      <c r="GX291" s="333"/>
      <c r="GY291" s="333"/>
      <c r="GZ291" s="333"/>
      <c r="HA291" s="333"/>
      <c r="HB291" s="333"/>
      <c r="HC291" s="333"/>
      <c r="HD291" s="333"/>
      <c r="HE291" s="333"/>
      <c r="HF291" s="333"/>
      <c r="HG291" s="333"/>
      <c r="HH291" s="333"/>
      <c r="HI291" s="334"/>
      <c r="HJ291" s="287"/>
      <c r="HK291" s="288"/>
      <c r="HL291" s="288"/>
      <c r="HM291" s="288"/>
      <c r="HN291" s="288"/>
      <c r="HO291" s="288"/>
      <c r="HP291" s="288"/>
      <c r="HQ291" s="288"/>
      <c r="HR291" s="288"/>
      <c r="HS291" s="288"/>
      <c r="HT291" s="288"/>
      <c r="HU291" s="289"/>
      <c r="LY291" s="12"/>
      <c r="LZ291" s="7"/>
    </row>
    <row r="292" spans="3:338" ht="5.0999999999999996" customHeight="1" thickBot="1" x14ac:dyDescent="0.35">
      <c r="C292" s="11"/>
      <c r="D292" s="13"/>
      <c r="E292" s="272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  <c r="AD292" s="273"/>
      <c r="AE292" s="273"/>
      <c r="AF292" s="274"/>
      <c r="AG292" s="272"/>
      <c r="AH292" s="273"/>
      <c r="AI292" s="273"/>
      <c r="AJ292" s="273"/>
      <c r="AK292" s="273"/>
      <c r="AL292" s="273"/>
      <c r="AM292" s="273"/>
      <c r="AN292" s="273"/>
      <c r="AO292" s="273"/>
      <c r="AP292" s="273"/>
      <c r="AQ292" s="273"/>
      <c r="AR292" s="273"/>
      <c r="AS292" s="273"/>
      <c r="AT292" s="273"/>
      <c r="AU292" s="273"/>
      <c r="AV292" s="273"/>
      <c r="AW292" s="273"/>
      <c r="AX292" s="273"/>
      <c r="AY292" s="273"/>
      <c r="AZ292" s="273"/>
      <c r="BA292" s="273"/>
      <c r="BB292" s="273"/>
      <c r="BC292" s="273"/>
      <c r="BD292" s="273"/>
      <c r="BE292" s="273"/>
      <c r="BF292" s="273"/>
      <c r="BG292" s="273"/>
      <c r="BH292" s="274"/>
      <c r="BI292" s="272"/>
      <c r="BJ292" s="273"/>
      <c r="BK292" s="273"/>
      <c r="BL292" s="273"/>
      <c r="BM292" s="273"/>
      <c r="BN292" s="273"/>
      <c r="BO292" s="273"/>
      <c r="BP292" s="273"/>
      <c r="BQ292" s="273"/>
      <c r="BR292" s="273"/>
      <c r="BS292" s="273"/>
      <c r="BT292" s="273"/>
      <c r="BU292" s="273"/>
      <c r="BV292" s="273"/>
      <c r="BW292" s="273"/>
      <c r="BX292" s="273"/>
      <c r="BY292" s="273"/>
      <c r="BZ292" s="273"/>
      <c r="CA292" s="273"/>
      <c r="CB292" s="273"/>
      <c r="CC292" s="273"/>
      <c r="CD292" s="273"/>
      <c r="CE292" s="273"/>
      <c r="CF292" s="273"/>
      <c r="CG292" s="273"/>
      <c r="CH292" s="273"/>
      <c r="CI292" s="273"/>
      <c r="CJ292" s="274"/>
      <c r="FL292" s="332"/>
      <c r="FM292" s="333"/>
      <c r="FN292" s="333"/>
      <c r="FO292" s="333"/>
      <c r="FP292" s="333"/>
      <c r="FQ292" s="333"/>
      <c r="FR292" s="333"/>
      <c r="FS292" s="333"/>
      <c r="FT292" s="333"/>
      <c r="FU292" s="333"/>
      <c r="FV292" s="333"/>
      <c r="FW292" s="333"/>
      <c r="FX292" s="333"/>
      <c r="FY292" s="333"/>
      <c r="FZ292" s="333"/>
      <c r="GA292" s="333"/>
      <c r="GB292" s="333"/>
      <c r="GC292" s="333"/>
      <c r="GD292" s="333"/>
      <c r="GE292" s="333"/>
      <c r="GF292" s="333"/>
      <c r="GG292" s="333"/>
      <c r="GH292" s="333"/>
      <c r="GI292" s="333"/>
      <c r="GJ292" s="333"/>
      <c r="GK292" s="333"/>
      <c r="GL292" s="333"/>
      <c r="GM292" s="333"/>
      <c r="GN292" s="333"/>
      <c r="GO292" s="333"/>
      <c r="GP292" s="333"/>
      <c r="GQ292" s="333"/>
      <c r="GR292" s="333"/>
      <c r="GS292" s="333"/>
      <c r="GT292" s="333"/>
      <c r="GU292" s="333"/>
      <c r="GV292" s="333"/>
      <c r="GW292" s="333"/>
      <c r="GX292" s="333"/>
      <c r="GY292" s="333"/>
      <c r="GZ292" s="333"/>
      <c r="HA292" s="333"/>
      <c r="HB292" s="333"/>
      <c r="HC292" s="333"/>
      <c r="HD292" s="333"/>
      <c r="HE292" s="333"/>
      <c r="HF292" s="333"/>
      <c r="HG292" s="333"/>
      <c r="HH292" s="333"/>
      <c r="HI292" s="334"/>
      <c r="HJ292" s="287"/>
      <c r="HK292" s="288"/>
      <c r="HL292" s="288"/>
      <c r="HM292" s="288"/>
      <c r="HN292" s="288"/>
      <c r="HO292" s="288"/>
      <c r="HP292" s="288"/>
      <c r="HQ292" s="288"/>
      <c r="HR292" s="288"/>
      <c r="HS292" s="288"/>
      <c r="HT292" s="288"/>
      <c r="HU292" s="289"/>
      <c r="LY292" s="12"/>
      <c r="LZ292" s="7"/>
    </row>
    <row r="293" spans="3:338" ht="5.0999999999999996" customHeight="1" thickBot="1" x14ac:dyDescent="0.35">
      <c r="C293" s="11"/>
      <c r="D293" s="13"/>
      <c r="E293" s="267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  <c r="AA293" s="268"/>
      <c r="AB293" s="268"/>
      <c r="AC293" s="268"/>
      <c r="AD293" s="268"/>
      <c r="AE293" s="268"/>
      <c r="AF293" s="269"/>
      <c r="AG293" s="267"/>
      <c r="AH293" s="268"/>
      <c r="AI293" s="268"/>
      <c r="AJ293" s="268"/>
      <c r="AK293" s="268"/>
      <c r="AL293" s="268"/>
      <c r="AM293" s="268"/>
      <c r="AN293" s="268"/>
      <c r="AO293" s="268"/>
      <c r="AP293" s="268"/>
      <c r="AQ293" s="268"/>
      <c r="AR293" s="268"/>
      <c r="AS293" s="268"/>
      <c r="AT293" s="268"/>
      <c r="AU293" s="268"/>
      <c r="AV293" s="268"/>
      <c r="AW293" s="268"/>
      <c r="AX293" s="268"/>
      <c r="AY293" s="268"/>
      <c r="AZ293" s="268"/>
      <c r="BA293" s="268"/>
      <c r="BB293" s="268"/>
      <c r="BC293" s="268"/>
      <c r="BD293" s="268"/>
      <c r="BE293" s="268"/>
      <c r="BF293" s="268"/>
      <c r="BG293" s="268"/>
      <c r="BH293" s="269"/>
      <c r="BI293" s="267"/>
      <c r="BJ293" s="268"/>
      <c r="BK293" s="268"/>
      <c r="BL293" s="268"/>
      <c r="BM293" s="268"/>
      <c r="BN293" s="268"/>
      <c r="BO293" s="268"/>
      <c r="BP293" s="268"/>
      <c r="BQ293" s="268"/>
      <c r="BR293" s="268"/>
      <c r="BS293" s="268"/>
      <c r="BT293" s="268"/>
      <c r="BU293" s="268"/>
      <c r="BV293" s="268"/>
      <c r="BW293" s="268"/>
      <c r="BX293" s="268"/>
      <c r="BY293" s="268"/>
      <c r="BZ293" s="268"/>
      <c r="CA293" s="268"/>
      <c r="CB293" s="268"/>
      <c r="CC293" s="268"/>
      <c r="CD293" s="268"/>
      <c r="CE293" s="268"/>
      <c r="CF293" s="268"/>
      <c r="CG293" s="268"/>
      <c r="CH293" s="268"/>
      <c r="CI293" s="268"/>
      <c r="CJ293" s="269"/>
      <c r="FL293" s="335"/>
      <c r="FM293" s="336"/>
      <c r="FN293" s="336"/>
      <c r="FO293" s="336"/>
      <c r="FP293" s="336"/>
      <c r="FQ293" s="336"/>
      <c r="FR293" s="336"/>
      <c r="FS293" s="336"/>
      <c r="FT293" s="336"/>
      <c r="FU293" s="336"/>
      <c r="FV293" s="336"/>
      <c r="FW293" s="336"/>
      <c r="FX293" s="336"/>
      <c r="FY293" s="336"/>
      <c r="FZ293" s="336"/>
      <c r="GA293" s="336"/>
      <c r="GB293" s="336"/>
      <c r="GC293" s="336"/>
      <c r="GD293" s="336"/>
      <c r="GE293" s="336"/>
      <c r="GF293" s="336"/>
      <c r="GG293" s="336"/>
      <c r="GH293" s="336"/>
      <c r="GI293" s="336"/>
      <c r="GJ293" s="336"/>
      <c r="GK293" s="336"/>
      <c r="GL293" s="336"/>
      <c r="GM293" s="336"/>
      <c r="GN293" s="336"/>
      <c r="GO293" s="336"/>
      <c r="GP293" s="336"/>
      <c r="GQ293" s="336"/>
      <c r="GR293" s="336"/>
      <c r="GS293" s="336"/>
      <c r="GT293" s="336"/>
      <c r="GU293" s="336"/>
      <c r="GV293" s="336"/>
      <c r="GW293" s="336"/>
      <c r="GX293" s="336"/>
      <c r="GY293" s="336"/>
      <c r="GZ293" s="336"/>
      <c r="HA293" s="336"/>
      <c r="HB293" s="336"/>
      <c r="HC293" s="336"/>
      <c r="HD293" s="336"/>
      <c r="HE293" s="336"/>
      <c r="HF293" s="336"/>
      <c r="HG293" s="336"/>
      <c r="HH293" s="336"/>
      <c r="HI293" s="337"/>
      <c r="HJ293" s="290"/>
      <c r="HK293" s="291"/>
      <c r="HL293" s="291"/>
      <c r="HM293" s="291"/>
      <c r="HN293" s="291"/>
      <c r="HO293" s="291"/>
      <c r="HP293" s="291"/>
      <c r="HQ293" s="291"/>
      <c r="HR293" s="291"/>
      <c r="HS293" s="291"/>
      <c r="HT293" s="291"/>
      <c r="HU293" s="292"/>
      <c r="LY293" s="12"/>
      <c r="LZ293" s="7"/>
    </row>
    <row r="294" spans="3:338" ht="5.0999999999999996" customHeight="1" x14ac:dyDescent="0.3">
      <c r="C294" s="11"/>
      <c r="D294" s="13"/>
      <c r="E294" s="2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  <c r="AF294" s="271"/>
      <c r="AG294" s="270"/>
      <c r="AH294" s="170"/>
      <c r="AI294" s="170"/>
      <c r="AJ294" s="170"/>
      <c r="AK294" s="170"/>
      <c r="AL294" s="170"/>
      <c r="AM294" s="170"/>
      <c r="AN294" s="170"/>
      <c r="AO294" s="170"/>
      <c r="AP294" s="170"/>
      <c r="AQ294" s="170"/>
      <c r="AR294" s="170"/>
      <c r="AS294" s="170"/>
      <c r="AT294" s="170"/>
      <c r="AU294" s="170"/>
      <c r="AV294" s="170"/>
      <c r="AW294" s="170"/>
      <c r="AX294" s="170"/>
      <c r="AY294" s="170"/>
      <c r="AZ294" s="170"/>
      <c r="BA294" s="170"/>
      <c r="BB294" s="170"/>
      <c r="BC294" s="170"/>
      <c r="BD294" s="170"/>
      <c r="BE294" s="170"/>
      <c r="BF294" s="170"/>
      <c r="BG294" s="170"/>
      <c r="BH294" s="271"/>
      <c r="BI294" s="270"/>
      <c r="BJ294" s="170"/>
      <c r="BK294" s="170"/>
      <c r="BL294" s="170"/>
      <c r="BM294" s="170"/>
      <c r="BN294" s="170"/>
      <c r="BO294" s="170"/>
      <c r="BP294" s="170"/>
      <c r="BQ294" s="170"/>
      <c r="BR294" s="170"/>
      <c r="BS294" s="170"/>
      <c r="BT294" s="170"/>
      <c r="BU294" s="170"/>
      <c r="BV294" s="170"/>
      <c r="BW294" s="170"/>
      <c r="BX294" s="170"/>
      <c r="BY294" s="170"/>
      <c r="BZ294" s="170"/>
      <c r="CA294" s="170"/>
      <c r="CB294" s="170"/>
      <c r="CC294" s="170"/>
      <c r="CD294" s="170"/>
      <c r="CE294" s="170"/>
      <c r="CF294" s="170"/>
      <c r="CG294" s="170"/>
      <c r="CH294" s="170"/>
      <c r="CI294" s="170"/>
      <c r="CJ294" s="271"/>
      <c r="LY294" s="12"/>
      <c r="LZ294" s="7"/>
    </row>
    <row r="295" spans="3:338" ht="5.0999999999999996" customHeight="1" thickBot="1" x14ac:dyDescent="0.35">
      <c r="C295" s="11"/>
      <c r="D295" s="13"/>
      <c r="E295" s="2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  <c r="AF295" s="271"/>
      <c r="AG295" s="270"/>
      <c r="AH295" s="170"/>
      <c r="AI295" s="170"/>
      <c r="AJ295" s="170"/>
      <c r="AK295" s="170"/>
      <c r="AL295" s="170"/>
      <c r="AM295" s="170"/>
      <c r="AN295" s="170"/>
      <c r="AO295" s="170"/>
      <c r="AP295" s="170"/>
      <c r="AQ295" s="170"/>
      <c r="AR295" s="170"/>
      <c r="AS295" s="170"/>
      <c r="AT295" s="170"/>
      <c r="AU295" s="170"/>
      <c r="AV295" s="170"/>
      <c r="AW295" s="170"/>
      <c r="AX295" s="170"/>
      <c r="AY295" s="170"/>
      <c r="AZ295" s="170"/>
      <c r="BA295" s="170"/>
      <c r="BB295" s="170"/>
      <c r="BC295" s="170"/>
      <c r="BD295" s="170"/>
      <c r="BE295" s="170"/>
      <c r="BF295" s="170"/>
      <c r="BG295" s="170"/>
      <c r="BH295" s="271"/>
      <c r="BI295" s="270"/>
      <c r="BJ295" s="170"/>
      <c r="BK295" s="170"/>
      <c r="BL295" s="170"/>
      <c r="BM295" s="170"/>
      <c r="BN295" s="170"/>
      <c r="BO295" s="170"/>
      <c r="BP295" s="170"/>
      <c r="BQ295" s="170"/>
      <c r="BR295" s="170"/>
      <c r="BS295" s="170"/>
      <c r="BT295" s="170"/>
      <c r="BU295" s="170"/>
      <c r="BV295" s="170"/>
      <c r="BW295" s="170"/>
      <c r="BX295" s="170"/>
      <c r="BY295" s="170"/>
      <c r="BZ295" s="170"/>
      <c r="CA295" s="170"/>
      <c r="CB295" s="170"/>
      <c r="CC295" s="170"/>
      <c r="CD295" s="170"/>
      <c r="CE295" s="170"/>
      <c r="CF295" s="170"/>
      <c r="CG295" s="170"/>
      <c r="CH295" s="170"/>
      <c r="CI295" s="170"/>
      <c r="CJ295" s="271"/>
      <c r="LY295" s="12"/>
      <c r="LZ295" s="7"/>
    </row>
    <row r="296" spans="3:338" ht="5.0999999999999996" customHeight="1" x14ac:dyDescent="0.3">
      <c r="C296" s="11"/>
      <c r="D296" s="13"/>
      <c r="E296" s="2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  <c r="AF296" s="271"/>
      <c r="AG296" s="270"/>
      <c r="AH296" s="170"/>
      <c r="AI296" s="170"/>
      <c r="AJ296" s="170"/>
      <c r="AK296" s="170"/>
      <c r="AL296" s="170"/>
      <c r="AM296" s="170"/>
      <c r="AN296" s="170"/>
      <c r="AO296" s="170"/>
      <c r="AP296" s="170"/>
      <c r="AQ296" s="170"/>
      <c r="AR296" s="170"/>
      <c r="AS296" s="170"/>
      <c r="AT296" s="170"/>
      <c r="AU296" s="170"/>
      <c r="AV296" s="170"/>
      <c r="AW296" s="170"/>
      <c r="AX296" s="170"/>
      <c r="AY296" s="170"/>
      <c r="AZ296" s="170"/>
      <c r="BA296" s="170"/>
      <c r="BB296" s="170"/>
      <c r="BC296" s="170"/>
      <c r="BD296" s="170"/>
      <c r="BE296" s="170"/>
      <c r="BF296" s="170"/>
      <c r="BG296" s="170"/>
      <c r="BH296" s="271"/>
      <c r="BI296" s="270"/>
      <c r="BJ296" s="170"/>
      <c r="BK296" s="170"/>
      <c r="BL296" s="170"/>
      <c r="BM296" s="170"/>
      <c r="BN296" s="170"/>
      <c r="BO296" s="170"/>
      <c r="BP296" s="170"/>
      <c r="BQ296" s="170"/>
      <c r="BR296" s="170"/>
      <c r="BS296" s="170"/>
      <c r="BT296" s="170"/>
      <c r="BU296" s="170"/>
      <c r="BV296" s="170"/>
      <c r="BW296" s="170"/>
      <c r="BX296" s="170"/>
      <c r="BY296" s="170"/>
      <c r="BZ296" s="170"/>
      <c r="CA296" s="170"/>
      <c r="CB296" s="170"/>
      <c r="CC296" s="170"/>
      <c r="CD296" s="170"/>
      <c r="CE296" s="170"/>
      <c r="CF296" s="170"/>
      <c r="CG296" s="170"/>
      <c r="CH296" s="170"/>
      <c r="CI296" s="170"/>
      <c r="CJ296" s="271"/>
      <c r="FL296" s="267" t="s">
        <v>25</v>
      </c>
      <c r="FM296" s="268"/>
      <c r="FN296" s="268"/>
      <c r="FO296" s="268"/>
      <c r="FP296" s="268"/>
      <c r="FQ296" s="268"/>
      <c r="FR296" s="268"/>
      <c r="FS296" s="268"/>
      <c r="FT296" s="268"/>
      <c r="FU296" s="268"/>
      <c r="FV296" s="268"/>
      <c r="FW296" s="268"/>
      <c r="FX296" s="268"/>
      <c r="FY296" s="268"/>
      <c r="FZ296" s="268"/>
      <c r="GA296" s="268"/>
      <c r="GB296" s="268"/>
      <c r="GC296" s="268"/>
      <c r="GD296" s="268"/>
      <c r="GE296" s="268"/>
      <c r="GF296" s="268"/>
      <c r="GG296" s="268"/>
      <c r="GH296" s="268"/>
      <c r="GI296" s="268"/>
      <c r="GJ296" s="268"/>
      <c r="GK296" s="268"/>
      <c r="GL296" s="268"/>
      <c r="GM296" s="269"/>
      <c r="GN296" s="267" t="s">
        <v>151</v>
      </c>
      <c r="GO296" s="268"/>
      <c r="GP296" s="268"/>
      <c r="GQ296" s="268"/>
      <c r="GR296" s="268"/>
      <c r="GS296" s="268"/>
      <c r="GT296" s="268"/>
      <c r="GU296" s="268"/>
      <c r="GV296" s="268"/>
      <c r="GW296" s="268"/>
      <c r="GX296" s="268"/>
      <c r="GY296" s="268"/>
      <c r="GZ296" s="268"/>
      <c r="HA296" s="268"/>
      <c r="HB296" s="268"/>
      <c r="HC296" s="268"/>
      <c r="HD296" s="268"/>
      <c r="HE296" s="268"/>
      <c r="HF296" s="268"/>
      <c r="HG296" s="268"/>
      <c r="HH296" s="268"/>
      <c r="HI296" s="268"/>
      <c r="HJ296" s="268"/>
      <c r="HK296" s="268"/>
      <c r="HL296" s="268"/>
      <c r="HM296" s="268"/>
      <c r="HN296" s="268"/>
      <c r="HO296" s="269"/>
      <c r="HP296" s="267" t="s">
        <v>150</v>
      </c>
      <c r="HQ296" s="268"/>
      <c r="HR296" s="268"/>
      <c r="HS296" s="268"/>
      <c r="HT296" s="268"/>
      <c r="HU296" s="268"/>
      <c r="HV296" s="268"/>
      <c r="HW296" s="268"/>
      <c r="HX296" s="268"/>
      <c r="HY296" s="268"/>
      <c r="HZ296" s="268"/>
      <c r="IA296" s="268"/>
      <c r="IB296" s="268"/>
      <c r="IC296" s="268"/>
      <c r="ID296" s="268"/>
      <c r="IE296" s="268"/>
      <c r="IF296" s="268"/>
      <c r="IG296" s="268"/>
      <c r="IH296" s="268"/>
      <c r="II296" s="268"/>
      <c r="IJ296" s="268"/>
      <c r="IK296" s="268"/>
      <c r="IL296" s="268"/>
      <c r="IM296" s="268"/>
      <c r="IN296" s="268"/>
      <c r="IO296" s="268"/>
      <c r="IP296" s="268"/>
      <c r="IQ296" s="269"/>
      <c r="LY296" s="12"/>
      <c r="LZ296" s="7"/>
    </row>
    <row r="297" spans="3:338" ht="5.0999999999999996" customHeight="1" thickBot="1" x14ac:dyDescent="0.35">
      <c r="C297" s="11"/>
      <c r="D297" s="13"/>
      <c r="E297" s="272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  <c r="AD297" s="273"/>
      <c r="AE297" s="273"/>
      <c r="AF297" s="274"/>
      <c r="AG297" s="272"/>
      <c r="AH297" s="273"/>
      <c r="AI297" s="273"/>
      <c r="AJ297" s="273"/>
      <c r="AK297" s="273"/>
      <c r="AL297" s="273"/>
      <c r="AM297" s="273"/>
      <c r="AN297" s="273"/>
      <c r="AO297" s="273"/>
      <c r="AP297" s="273"/>
      <c r="AQ297" s="273"/>
      <c r="AR297" s="273"/>
      <c r="AS297" s="273"/>
      <c r="AT297" s="273"/>
      <c r="AU297" s="273"/>
      <c r="AV297" s="273"/>
      <c r="AW297" s="273"/>
      <c r="AX297" s="273"/>
      <c r="AY297" s="273"/>
      <c r="AZ297" s="273"/>
      <c r="BA297" s="273"/>
      <c r="BB297" s="273"/>
      <c r="BC297" s="273"/>
      <c r="BD297" s="273"/>
      <c r="BE297" s="273"/>
      <c r="BF297" s="273"/>
      <c r="BG297" s="273"/>
      <c r="BH297" s="274"/>
      <c r="BI297" s="272"/>
      <c r="BJ297" s="273"/>
      <c r="BK297" s="273"/>
      <c r="BL297" s="273"/>
      <c r="BM297" s="273"/>
      <c r="BN297" s="273"/>
      <c r="BO297" s="273"/>
      <c r="BP297" s="273"/>
      <c r="BQ297" s="273"/>
      <c r="BR297" s="273"/>
      <c r="BS297" s="273"/>
      <c r="BT297" s="273"/>
      <c r="BU297" s="273"/>
      <c r="BV297" s="273"/>
      <c r="BW297" s="273"/>
      <c r="BX297" s="273"/>
      <c r="BY297" s="273"/>
      <c r="BZ297" s="273"/>
      <c r="CA297" s="273"/>
      <c r="CB297" s="273"/>
      <c r="CC297" s="273"/>
      <c r="CD297" s="273"/>
      <c r="CE297" s="273"/>
      <c r="CF297" s="273"/>
      <c r="CG297" s="273"/>
      <c r="CH297" s="273"/>
      <c r="CI297" s="273"/>
      <c r="CJ297" s="274"/>
      <c r="FL297" s="270"/>
      <c r="FM297" s="170"/>
      <c r="FN297" s="170"/>
      <c r="FO297" s="170"/>
      <c r="FP297" s="170"/>
      <c r="FQ297" s="170"/>
      <c r="FR297" s="170"/>
      <c r="FS297" s="170"/>
      <c r="FT297" s="170"/>
      <c r="FU297" s="170"/>
      <c r="FV297" s="170"/>
      <c r="FW297" s="170"/>
      <c r="FX297" s="170"/>
      <c r="FY297" s="170"/>
      <c r="FZ297" s="170"/>
      <c r="GA297" s="170"/>
      <c r="GB297" s="170"/>
      <c r="GC297" s="170"/>
      <c r="GD297" s="170"/>
      <c r="GE297" s="170"/>
      <c r="GF297" s="170"/>
      <c r="GG297" s="170"/>
      <c r="GH297" s="170"/>
      <c r="GI297" s="170"/>
      <c r="GJ297" s="170"/>
      <c r="GK297" s="170"/>
      <c r="GL297" s="170"/>
      <c r="GM297" s="271"/>
      <c r="GN297" s="270"/>
      <c r="GO297" s="170"/>
      <c r="GP297" s="170"/>
      <c r="GQ297" s="170"/>
      <c r="GR297" s="170"/>
      <c r="GS297" s="170"/>
      <c r="GT297" s="170"/>
      <c r="GU297" s="170"/>
      <c r="GV297" s="170"/>
      <c r="GW297" s="170"/>
      <c r="GX297" s="170"/>
      <c r="GY297" s="170"/>
      <c r="GZ297" s="170"/>
      <c r="HA297" s="170"/>
      <c r="HB297" s="170"/>
      <c r="HC297" s="170"/>
      <c r="HD297" s="170"/>
      <c r="HE297" s="170"/>
      <c r="HF297" s="170"/>
      <c r="HG297" s="170"/>
      <c r="HH297" s="170"/>
      <c r="HI297" s="170"/>
      <c r="HJ297" s="170"/>
      <c r="HK297" s="170"/>
      <c r="HL297" s="170"/>
      <c r="HM297" s="170"/>
      <c r="HN297" s="170"/>
      <c r="HO297" s="271"/>
      <c r="HP297" s="270"/>
      <c r="HQ297" s="170"/>
      <c r="HR297" s="170"/>
      <c r="HS297" s="170"/>
      <c r="HT297" s="170"/>
      <c r="HU297" s="170"/>
      <c r="HV297" s="170"/>
      <c r="HW297" s="170"/>
      <c r="HX297" s="170"/>
      <c r="HY297" s="170"/>
      <c r="HZ297" s="170"/>
      <c r="IA297" s="170"/>
      <c r="IB297" s="170"/>
      <c r="IC297" s="170"/>
      <c r="ID297" s="170"/>
      <c r="IE297" s="170"/>
      <c r="IF297" s="170"/>
      <c r="IG297" s="170"/>
      <c r="IH297" s="170"/>
      <c r="II297" s="170"/>
      <c r="IJ297" s="170"/>
      <c r="IK297" s="170"/>
      <c r="IL297" s="170"/>
      <c r="IM297" s="170"/>
      <c r="IN297" s="170"/>
      <c r="IO297" s="170"/>
      <c r="IP297" s="170"/>
      <c r="IQ297" s="271"/>
      <c r="LY297" s="12"/>
      <c r="LZ297" s="7"/>
    </row>
    <row r="298" spans="3:338" ht="5.0999999999999996" customHeight="1" x14ac:dyDescent="0.3">
      <c r="C298" s="11"/>
      <c r="D298" s="13"/>
      <c r="E298" s="267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  <c r="AA298" s="268"/>
      <c r="AB298" s="268"/>
      <c r="AC298" s="268"/>
      <c r="AD298" s="268"/>
      <c r="AE298" s="268"/>
      <c r="AF298" s="269"/>
      <c r="AG298" s="267"/>
      <c r="AH298" s="268"/>
      <c r="AI298" s="268"/>
      <c r="AJ298" s="268"/>
      <c r="AK298" s="268"/>
      <c r="AL298" s="268"/>
      <c r="AM298" s="268"/>
      <c r="AN298" s="268"/>
      <c r="AO298" s="268"/>
      <c r="AP298" s="268"/>
      <c r="AQ298" s="268"/>
      <c r="AR298" s="268"/>
      <c r="AS298" s="268"/>
      <c r="AT298" s="268"/>
      <c r="AU298" s="268"/>
      <c r="AV298" s="268"/>
      <c r="AW298" s="268"/>
      <c r="AX298" s="268"/>
      <c r="AY298" s="268"/>
      <c r="AZ298" s="268"/>
      <c r="BA298" s="268"/>
      <c r="BB298" s="268"/>
      <c r="BC298" s="268"/>
      <c r="BD298" s="268"/>
      <c r="BE298" s="268"/>
      <c r="BF298" s="268"/>
      <c r="BG298" s="268"/>
      <c r="BH298" s="269"/>
      <c r="BI298" s="267"/>
      <c r="BJ298" s="268"/>
      <c r="BK298" s="268"/>
      <c r="BL298" s="268"/>
      <c r="BM298" s="268"/>
      <c r="BN298" s="268"/>
      <c r="BO298" s="268"/>
      <c r="BP298" s="268"/>
      <c r="BQ298" s="268"/>
      <c r="BR298" s="268"/>
      <c r="BS298" s="268"/>
      <c r="BT298" s="268"/>
      <c r="BU298" s="268"/>
      <c r="BV298" s="268"/>
      <c r="BW298" s="268"/>
      <c r="BX298" s="268"/>
      <c r="BY298" s="268"/>
      <c r="BZ298" s="268"/>
      <c r="CA298" s="268"/>
      <c r="CB298" s="268"/>
      <c r="CC298" s="268"/>
      <c r="CD298" s="268"/>
      <c r="CE298" s="268"/>
      <c r="CF298" s="268"/>
      <c r="CG298" s="268"/>
      <c r="CH298" s="268"/>
      <c r="CI298" s="268"/>
      <c r="CJ298" s="269"/>
      <c r="FL298" s="270"/>
      <c r="FM298" s="170"/>
      <c r="FN298" s="170"/>
      <c r="FO298" s="170"/>
      <c r="FP298" s="170"/>
      <c r="FQ298" s="170"/>
      <c r="FR298" s="170"/>
      <c r="FS298" s="170"/>
      <c r="FT298" s="170"/>
      <c r="FU298" s="170"/>
      <c r="FV298" s="170"/>
      <c r="FW298" s="170"/>
      <c r="FX298" s="170"/>
      <c r="FY298" s="170"/>
      <c r="FZ298" s="170"/>
      <c r="GA298" s="170"/>
      <c r="GB298" s="170"/>
      <c r="GC298" s="170"/>
      <c r="GD298" s="170"/>
      <c r="GE298" s="170"/>
      <c r="GF298" s="170"/>
      <c r="GG298" s="170"/>
      <c r="GH298" s="170"/>
      <c r="GI298" s="170"/>
      <c r="GJ298" s="170"/>
      <c r="GK298" s="170"/>
      <c r="GL298" s="170"/>
      <c r="GM298" s="271"/>
      <c r="GN298" s="270"/>
      <c r="GO298" s="170"/>
      <c r="GP298" s="170"/>
      <c r="GQ298" s="170"/>
      <c r="GR298" s="170"/>
      <c r="GS298" s="170"/>
      <c r="GT298" s="170"/>
      <c r="GU298" s="170"/>
      <c r="GV298" s="170"/>
      <c r="GW298" s="170"/>
      <c r="GX298" s="170"/>
      <c r="GY298" s="170"/>
      <c r="GZ298" s="170"/>
      <c r="HA298" s="170"/>
      <c r="HB298" s="170"/>
      <c r="HC298" s="170"/>
      <c r="HD298" s="170"/>
      <c r="HE298" s="170"/>
      <c r="HF298" s="170"/>
      <c r="HG298" s="170"/>
      <c r="HH298" s="170"/>
      <c r="HI298" s="170"/>
      <c r="HJ298" s="170"/>
      <c r="HK298" s="170"/>
      <c r="HL298" s="170"/>
      <c r="HM298" s="170"/>
      <c r="HN298" s="170"/>
      <c r="HO298" s="271"/>
      <c r="HP298" s="270"/>
      <c r="HQ298" s="170"/>
      <c r="HR298" s="170"/>
      <c r="HS298" s="170"/>
      <c r="HT298" s="170"/>
      <c r="HU298" s="170"/>
      <c r="HV298" s="170"/>
      <c r="HW298" s="170"/>
      <c r="HX298" s="170"/>
      <c r="HY298" s="170"/>
      <c r="HZ298" s="170"/>
      <c r="IA298" s="170"/>
      <c r="IB298" s="170"/>
      <c r="IC298" s="170"/>
      <c r="ID298" s="170"/>
      <c r="IE298" s="170"/>
      <c r="IF298" s="170"/>
      <c r="IG298" s="170"/>
      <c r="IH298" s="170"/>
      <c r="II298" s="170"/>
      <c r="IJ298" s="170"/>
      <c r="IK298" s="170"/>
      <c r="IL298" s="170"/>
      <c r="IM298" s="170"/>
      <c r="IN298" s="170"/>
      <c r="IO298" s="170"/>
      <c r="IP298" s="170"/>
      <c r="IQ298" s="271"/>
      <c r="LY298" s="12"/>
      <c r="LZ298" s="7"/>
    </row>
    <row r="299" spans="3:338" ht="5.0999999999999996" customHeight="1" x14ac:dyDescent="0.3">
      <c r="C299" s="11"/>
      <c r="D299" s="13"/>
      <c r="E299" s="2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  <c r="AF299" s="271"/>
      <c r="AG299" s="270"/>
      <c r="AH299" s="170"/>
      <c r="AI299" s="170"/>
      <c r="AJ299" s="170"/>
      <c r="AK299" s="170"/>
      <c r="AL299" s="170"/>
      <c r="AM299" s="170"/>
      <c r="AN299" s="170"/>
      <c r="AO299" s="170"/>
      <c r="AP299" s="170"/>
      <c r="AQ299" s="170"/>
      <c r="AR299" s="170"/>
      <c r="AS299" s="170"/>
      <c r="AT299" s="170"/>
      <c r="AU299" s="170"/>
      <c r="AV299" s="170"/>
      <c r="AW299" s="170"/>
      <c r="AX299" s="170"/>
      <c r="AY299" s="170"/>
      <c r="AZ299" s="170"/>
      <c r="BA299" s="170"/>
      <c r="BB299" s="170"/>
      <c r="BC299" s="170"/>
      <c r="BD299" s="170"/>
      <c r="BE299" s="170"/>
      <c r="BF299" s="170"/>
      <c r="BG299" s="170"/>
      <c r="BH299" s="271"/>
      <c r="BI299" s="270"/>
      <c r="BJ299" s="170"/>
      <c r="BK299" s="170"/>
      <c r="BL299" s="170"/>
      <c r="BM299" s="170"/>
      <c r="BN299" s="170"/>
      <c r="BO299" s="170"/>
      <c r="BP299" s="170"/>
      <c r="BQ299" s="170"/>
      <c r="BR299" s="170"/>
      <c r="BS299" s="170"/>
      <c r="BT299" s="170"/>
      <c r="BU299" s="170"/>
      <c r="BV299" s="170"/>
      <c r="BW299" s="170"/>
      <c r="BX299" s="170"/>
      <c r="BY299" s="170"/>
      <c r="BZ299" s="170"/>
      <c r="CA299" s="170"/>
      <c r="CB299" s="170"/>
      <c r="CC299" s="170"/>
      <c r="CD299" s="170"/>
      <c r="CE299" s="170"/>
      <c r="CF299" s="170"/>
      <c r="CG299" s="170"/>
      <c r="CH299" s="170"/>
      <c r="CI299" s="170"/>
      <c r="CJ299" s="271"/>
      <c r="FL299" s="270"/>
      <c r="FM299" s="170"/>
      <c r="FN299" s="170"/>
      <c r="FO299" s="170"/>
      <c r="FP299" s="170"/>
      <c r="FQ299" s="170"/>
      <c r="FR299" s="170"/>
      <c r="FS299" s="170"/>
      <c r="FT299" s="170"/>
      <c r="FU299" s="170"/>
      <c r="FV299" s="170"/>
      <c r="FW299" s="170"/>
      <c r="FX299" s="170"/>
      <c r="FY299" s="170"/>
      <c r="FZ299" s="170"/>
      <c r="GA299" s="170"/>
      <c r="GB299" s="170"/>
      <c r="GC299" s="170"/>
      <c r="GD299" s="170"/>
      <c r="GE299" s="170"/>
      <c r="GF299" s="170"/>
      <c r="GG299" s="170"/>
      <c r="GH299" s="170"/>
      <c r="GI299" s="170"/>
      <c r="GJ299" s="170"/>
      <c r="GK299" s="170"/>
      <c r="GL299" s="170"/>
      <c r="GM299" s="271"/>
      <c r="GN299" s="270"/>
      <c r="GO299" s="170"/>
      <c r="GP299" s="170"/>
      <c r="GQ299" s="170"/>
      <c r="GR299" s="170"/>
      <c r="GS299" s="170"/>
      <c r="GT299" s="170"/>
      <c r="GU299" s="170"/>
      <c r="GV299" s="170"/>
      <c r="GW299" s="170"/>
      <c r="GX299" s="170"/>
      <c r="GY299" s="170"/>
      <c r="GZ299" s="170"/>
      <c r="HA299" s="170"/>
      <c r="HB299" s="170"/>
      <c r="HC299" s="170"/>
      <c r="HD299" s="170"/>
      <c r="HE299" s="170"/>
      <c r="HF299" s="170"/>
      <c r="HG299" s="170"/>
      <c r="HH299" s="170"/>
      <c r="HI299" s="170"/>
      <c r="HJ299" s="170"/>
      <c r="HK299" s="170"/>
      <c r="HL299" s="170"/>
      <c r="HM299" s="170"/>
      <c r="HN299" s="170"/>
      <c r="HO299" s="271"/>
      <c r="HP299" s="270"/>
      <c r="HQ299" s="170"/>
      <c r="HR299" s="170"/>
      <c r="HS299" s="170"/>
      <c r="HT299" s="170"/>
      <c r="HU299" s="170"/>
      <c r="HV299" s="170"/>
      <c r="HW299" s="170"/>
      <c r="HX299" s="170"/>
      <c r="HY299" s="170"/>
      <c r="HZ299" s="170"/>
      <c r="IA299" s="170"/>
      <c r="IB299" s="170"/>
      <c r="IC299" s="170"/>
      <c r="ID299" s="170"/>
      <c r="IE299" s="170"/>
      <c r="IF299" s="170"/>
      <c r="IG299" s="170"/>
      <c r="IH299" s="170"/>
      <c r="II299" s="170"/>
      <c r="IJ299" s="170"/>
      <c r="IK299" s="170"/>
      <c r="IL299" s="170"/>
      <c r="IM299" s="170"/>
      <c r="IN299" s="170"/>
      <c r="IO299" s="170"/>
      <c r="IP299" s="170"/>
      <c r="IQ299" s="271"/>
      <c r="LY299" s="12"/>
      <c r="LZ299" s="7"/>
    </row>
    <row r="300" spans="3:338" ht="5.0999999999999996" customHeight="1" thickBot="1" x14ac:dyDescent="0.35">
      <c r="C300" s="11"/>
      <c r="D300" s="13"/>
      <c r="E300" s="2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  <c r="AF300" s="271"/>
      <c r="AG300" s="270"/>
      <c r="AH300" s="170"/>
      <c r="AI300" s="170"/>
      <c r="AJ300" s="170"/>
      <c r="AK300" s="170"/>
      <c r="AL300" s="170"/>
      <c r="AM300" s="170"/>
      <c r="AN300" s="170"/>
      <c r="AO300" s="170"/>
      <c r="AP300" s="170"/>
      <c r="AQ300" s="170"/>
      <c r="AR300" s="170"/>
      <c r="AS300" s="170"/>
      <c r="AT300" s="170"/>
      <c r="AU300" s="170"/>
      <c r="AV300" s="170"/>
      <c r="AW300" s="170"/>
      <c r="AX300" s="170"/>
      <c r="AY300" s="170"/>
      <c r="AZ300" s="170"/>
      <c r="BA300" s="170"/>
      <c r="BB300" s="170"/>
      <c r="BC300" s="170"/>
      <c r="BD300" s="170"/>
      <c r="BE300" s="170"/>
      <c r="BF300" s="170"/>
      <c r="BG300" s="170"/>
      <c r="BH300" s="271"/>
      <c r="BI300" s="270"/>
      <c r="BJ300" s="170"/>
      <c r="BK300" s="170"/>
      <c r="BL300" s="170"/>
      <c r="BM300" s="170"/>
      <c r="BN300" s="170"/>
      <c r="BO300" s="170"/>
      <c r="BP300" s="170"/>
      <c r="BQ300" s="170"/>
      <c r="BR300" s="170"/>
      <c r="BS300" s="170"/>
      <c r="BT300" s="170"/>
      <c r="BU300" s="170"/>
      <c r="BV300" s="170"/>
      <c r="BW300" s="170"/>
      <c r="BX300" s="170"/>
      <c r="BY300" s="170"/>
      <c r="BZ300" s="170"/>
      <c r="CA300" s="170"/>
      <c r="CB300" s="170"/>
      <c r="CC300" s="170"/>
      <c r="CD300" s="170"/>
      <c r="CE300" s="170"/>
      <c r="CF300" s="170"/>
      <c r="CG300" s="170"/>
      <c r="CH300" s="170"/>
      <c r="CI300" s="170"/>
      <c r="CJ300" s="271"/>
      <c r="FL300" s="272"/>
      <c r="FM300" s="273"/>
      <c r="FN300" s="273"/>
      <c r="FO300" s="273"/>
      <c r="FP300" s="273"/>
      <c r="FQ300" s="273"/>
      <c r="FR300" s="273"/>
      <c r="FS300" s="273"/>
      <c r="FT300" s="273"/>
      <c r="FU300" s="273"/>
      <c r="FV300" s="273"/>
      <c r="FW300" s="273"/>
      <c r="FX300" s="273"/>
      <c r="FY300" s="273"/>
      <c r="FZ300" s="273"/>
      <c r="GA300" s="273"/>
      <c r="GB300" s="273"/>
      <c r="GC300" s="273"/>
      <c r="GD300" s="273"/>
      <c r="GE300" s="273"/>
      <c r="GF300" s="273"/>
      <c r="GG300" s="273"/>
      <c r="GH300" s="273"/>
      <c r="GI300" s="273"/>
      <c r="GJ300" s="273"/>
      <c r="GK300" s="273"/>
      <c r="GL300" s="273"/>
      <c r="GM300" s="274"/>
      <c r="GN300" s="272"/>
      <c r="GO300" s="273"/>
      <c r="GP300" s="273"/>
      <c r="GQ300" s="273"/>
      <c r="GR300" s="273"/>
      <c r="GS300" s="273"/>
      <c r="GT300" s="273"/>
      <c r="GU300" s="273"/>
      <c r="GV300" s="273"/>
      <c r="GW300" s="273"/>
      <c r="GX300" s="273"/>
      <c r="GY300" s="273"/>
      <c r="GZ300" s="273"/>
      <c r="HA300" s="273"/>
      <c r="HB300" s="273"/>
      <c r="HC300" s="273"/>
      <c r="HD300" s="273"/>
      <c r="HE300" s="273"/>
      <c r="HF300" s="273"/>
      <c r="HG300" s="273"/>
      <c r="HH300" s="273"/>
      <c r="HI300" s="273"/>
      <c r="HJ300" s="273"/>
      <c r="HK300" s="273"/>
      <c r="HL300" s="273"/>
      <c r="HM300" s="273"/>
      <c r="HN300" s="273"/>
      <c r="HO300" s="274"/>
      <c r="HP300" s="272"/>
      <c r="HQ300" s="273"/>
      <c r="HR300" s="273"/>
      <c r="HS300" s="273"/>
      <c r="HT300" s="273"/>
      <c r="HU300" s="273"/>
      <c r="HV300" s="273"/>
      <c r="HW300" s="273"/>
      <c r="HX300" s="273"/>
      <c r="HY300" s="273"/>
      <c r="HZ300" s="273"/>
      <c r="IA300" s="273"/>
      <c r="IB300" s="273"/>
      <c r="IC300" s="273"/>
      <c r="ID300" s="273"/>
      <c r="IE300" s="273"/>
      <c r="IF300" s="273"/>
      <c r="IG300" s="273"/>
      <c r="IH300" s="273"/>
      <c r="II300" s="273"/>
      <c r="IJ300" s="273"/>
      <c r="IK300" s="273"/>
      <c r="IL300" s="273"/>
      <c r="IM300" s="273"/>
      <c r="IN300" s="273"/>
      <c r="IO300" s="273"/>
      <c r="IP300" s="273"/>
      <c r="IQ300" s="274"/>
      <c r="LY300" s="12"/>
      <c r="LZ300" s="7"/>
    </row>
    <row r="301" spans="3:338" ht="5.0999999999999996" customHeight="1" x14ac:dyDescent="0.3">
      <c r="C301" s="11"/>
      <c r="D301" s="13"/>
      <c r="E301" s="2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  <c r="AF301" s="271"/>
      <c r="AG301" s="270"/>
      <c r="AH301" s="170"/>
      <c r="AI301" s="170"/>
      <c r="AJ301" s="170"/>
      <c r="AK301" s="170"/>
      <c r="AL301" s="170"/>
      <c r="AM301" s="170"/>
      <c r="AN301" s="170"/>
      <c r="AO301" s="170"/>
      <c r="AP301" s="170"/>
      <c r="AQ301" s="170"/>
      <c r="AR301" s="170"/>
      <c r="AS301" s="170"/>
      <c r="AT301" s="170"/>
      <c r="AU301" s="170"/>
      <c r="AV301" s="170"/>
      <c r="AW301" s="170"/>
      <c r="AX301" s="170"/>
      <c r="AY301" s="170"/>
      <c r="AZ301" s="170"/>
      <c r="BA301" s="170"/>
      <c r="BB301" s="170"/>
      <c r="BC301" s="170"/>
      <c r="BD301" s="170"/>
      <c r="BE301" s="170"/>
      <c r="BF301" s="170"/>
      <c r="BG301" s="170"/>
      <c r="BH301" s="271"/>
      <c r="BI301" s="270"/>
      <c r="BJ301" s="170"/>
      <c r="BK301" s="170"/>
      <c r="BL301" s="170"/>
      <c r="BM301" s="170"/>
      <c r="BN301" s="170"/>
      <c r="BO301" s="170"/>
      <c r="BP301" s="170"/>
      <c r="BQ301" s="170"/>
      <c r="BR301" s="170"/>
      <c r="BS301" s="170"/>
      <c r="BT301" s="170"/>
      <c r="BU301" s="170"/>
      <c r="BV301" s="170"/>
      <c r="BW301" s="170"/>
      <c r="BX301" s="170"/>
      <c r="BY301" s="170"/>
      <c r="BZ301" s="170"/>
      <c r="CA301" s="170"/>
      <c r="CB301" s="170"/>
      <c r="CC301" s="170"/>
      <c r="CD301" s="170"/>
      <c r="CE301" s="170"/>
      <c r="CF301" s="170"/>
      <c r="CG301" s="170"/>
      <c r="CH301" s="170"/>
      <c r="CI301" s="170"/>
      <c r="CJ301" s="271"/>
      <c r="LY301" s="12"/>
      <c r="LZ301" s="7"/>
    </row>
    <row r="302" spans="3:338" ht="5.0999999999999996" customHeight="1" thickBot="1" x14ac:dyDescent="0.35">
      <c r="C302" s="11"/>
      <c r="D302" s="13"/>
      <c r="E302" s="272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  <c r="AD302" s="273"/>
      <c r="AE302" s="273"/>
      <c r="AF302" s="274"/>
      <c r="AG302" s="272"/>
      <c r="AH302" s="273"/>
      <c r="AI302" s="273"/>
      <c r="AJ302" s="273"/>
      <c r="AK302" s="273"/>
      <c r="AL302" s="273"/>
      <c r="AM302" s="273"/>
      <c r="AN302" s="273"/>
      <c r="AO302" s="273"/>
      <c r="AP302" s="273"/>
      <c r="AQ302" s="273"/>
      <c r="AR302" s="273"/>
      <c r="AS302" s="273"/>
      <c r="AT302" s="273"/>
      <c r="AU302" s="273"/>
      <c r="AV302" s="273"/>
      <c r="AW302" s="273"/>
      <c r="AX302" s="273"/>
      <c r="AY302" s="273"/>
      <c r="AZ302" s="273"/>
      <c r="BA302" s="273"/>
      <c r="BB302" s="273"/>
      <c r="BC302" s="273"/>
      <c r="BD302" s="273"/>
      <c r="BE302" s="273"/>
      <c r="BF302" s="273"/>
      <c r="BG302" s="273"/>
      <c r="BH302" s="274"/>
      <c r="BI302" s="272"/>
      <c r="BJ302" s="273"/>
      <c r="BK302" s="273"/>
      <c r="BL302" s="273"/>
      <c r="BM302" s="273"/>
      <c r="BN302" s="273"/>
      <c r="BO302" s="273"/>
      <c r="BP302" s="273"/>
      <c r="BQ302" s="273"/>
      <c r="BR302" s="273"/>
      <c r="BS302" s="273"/>
      <c r="BT302" s="273"/>
      <c r="BU302" s="273"/>
      <c r="BV302" s="273"/>
      <c r="BW302" s="273"/>
      <c r="BX302" s="273"/>
      <c r="BY302" s="273"/>
      <c r="BZ302" s="273"/>
      <c r="CA302" s="273"/>
      <c r="CB302" s="273"/>
      <c r="CC302" s="273"/>
      <c r="CD302" s="273"/>
      <c r="CE302" s="273"/>
      <c r="CF302" s="273"/>
      <c r="CG302" s="273"/>
      <c r="CH302" s="273"/>
      <c r="CI302" s="273"/>
      <c r="CJ302" s="274"/>
      <c r="LY302" s="12"/>
      <c r="LZ302" s="7"/>
    </row>
    <row r="303" spans="3:338" ht="5.0999999999999996" customHeight="1" x14ac:dyDescent="0.3">
      <c r="C303" s="11"/>
      <c r="D303" s="13"/>
      <c r="LY303" s="12"/>
      <c r="LZ303" s="7"/>
    </row>
    <row r="304" spans="3:338" ht="5.0999999999999996" customHeight="1" x14ac:dyDescent="0.3">
      <c r="C304" s="11"/>
      <c r="D304" s="13"/>
      <c r="LY304" s="12"/>
      <c r="LZ304" s="7"/>
    </row>
    <row r="305" spans="3:362" ht="5.0999999999999996" customHeight="1" x14ac:dyDescent="0.3">
      <c r="C305" s="11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  <c r="II305" s="9"/>
      <c r="IJ305" s="9"/>
      <c r="IK305" s="9"/>
      <c r="IL305" s="9"/>
      <c r="IM305" s="9"/>
      <c r="IN305" s="9"/>
      <c r="IO305" s="9"/>
      <c r="IP305" s="9"/>
      <c r="IQ305" s="9"/>
      <c r="IR305" s="9"/>
      <c r="IS305" s="9"/>
      <c r="IT305" s="9"/>
      <c r="IU305" s="9"/>
      <c r="IV305" s="9"/>
      <c r="IW305" s="9"/>
      <c r="IX305" s="9"/>
      <c r="IY305" s="9"/>
      <c r="IZ305" s="9"/>
      <c r="JA305" s="9"/>
      <c r="JB305" s="9"/>
      <c r="JC305" s="9"/>
      <c r="JD305" s="9"/>
      <c r="JE305" s="9"/>
      <c r="JF305" s="9"/>
      <c r="JG305" s="9"/>
      <c r="JH305" s="9"/>
      <c r="JI305" s="9"/>
      <c r="JJ305" s="9"/>
      <c r="JK305" s="9"/>
      <c r="JL305" s="9"/>
      <c r="JM305" s="9"/>
      <c r="JN305" s="9"/>
      <c r="JO305" s="9"/>
      <c r="JP305" s="9"/>
      <c r="JQ305" s="9"/>
      <c r="JR305" s="9"/>
      <c r="JS305" s="9"/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  <c r="LW305" s="9"/>
      <c r="LX305" s="9"/>
      <c r="LY305" s="8"/>
      <c r="LZ305" s="7"/>
    </row>
    <row r="306" spans="3:362" ht="3" customHeight="1" thickBot="1" x14ac:dyDescent="0.35"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5"/>
      <c r="LK306" s="5"/>
      <c r="LL306" s="5"/>
      <c r="LM306" s="5"/>
      <c r="LN306" s="5"/>
      <c r="LO306" s="5"/>
      <c r="LP306" s="5"/>
      <c r="LQ306" s="5"/>
      <c r="LR306" s="5"/>
      <c r="LS306" s="5"/>
      <c r="LT306" s="5"/>
      <c r="LU306" s="5"/>
      <c r="LV306" s="5"/>
      <c r="LW306" s="5"/>
      <c r="LX306" s="5"/>
      <c r="LY306" s="5"/>
      <c r="LZ306" s="4"/>
    </row>
    <row r="307" spans="3:362" ht="5.0999999999999996" customHeight="1" thickTop="1" x14ac:dyDescent="0.3"/>
    <row r="308" spans="3:362" ht="5.0999999999999996" customHeight="1" x14ac:dyDescent="0.3"/>
    <row r="309" spans="3:362" ht="5.0999999999999996" customHeight="1" x14ac:dyDescent="0.3"/>
    <row r="310" spans="3:362" ht="5.0999999999999996" customHeight="1" x14ac:dyDescent="0.3"/>
    <row r="311" spans="3:362" ht="5.0999999999999996" customHeight="1" x14ac:dyDescent="0.3">
      <c r="N311" s="3"/>
      <c r="O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EK311" s="3"/>
      <c r="EL311" s="3"/>
      <c r="EM311" s="3"/>
      <c r="EN311" s="3"/>
      <c r="EO311" s="3"/>
      <c r="EP311" s="3"/>
      <c r="EQ311" s="3"/>
      <c r="ER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MA311" s="3"/>
      <c r="MB311" s="3"/>
      <c r="MC311" s="3"/>
      <c r="MD311" s="3"/>
      <c r="MS311" s="3"/>
      <c r="MT311" s="3"/>
      <c r="MU311" s="3"/>
      <c r="MV311" s="3"/>
      <c r="MW311" s="3"/>
    </row>
    <row r="312" spans="3:362" ht="5.0999999999999996" customHeight="1" x14ac:dyDescent="0.3">
      <c r="N312" s="3"/>
      <c r="O312" s="3"/>
      <c r="P312" s="2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MA312" s="3"/>
      <c r="MB312" s="3"/>
      <c r="MC312" s="3"/>
      <c r="MD312" s="3"/>
      <c r="ME312" s="2"/>
      <c r="MS312" s="3"/>
      <c r="MT312" s="3"/>
      <c r="MU312" s="3"/>
      <c r="MV312" s="3"/>
      <c r="MW312" s="3"/>
      <c r="MX312" s="2"/>
    </row>
    <row r="313" spans="3:362" ht="5.0999999999999996" customHeight="1" x14ac:dyDescent="0.3"/>
    <row r="314" spans="3:362" ht="5.0999999999999996" customHeight="1" x14ac:dyDescent="0.3"/>
    <row r="315" spans="3:362" ht="5.0999999999999996" customHeight="1" x14ac:dyDescent="0.3"/>
    <row r="316" spans="3:362" ht="5.0999999999999996" customHeight="1" x14ac:dyDescent="0.3"/>
    <row r="317" spans="3:362" ht="5.0999999999999996" customHeight="1" x14ac:dyDescent="0.3"/>
    <row r="318" spans="3:362" ht="5.0999999999999996" customHeight="1" x14ac:dyDescent="0.3">
      <c r="N318" s="3"/>
      <c r="O318" s="3"/>
      <c r="P318" s="2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MA318" s="3"/>
      <c r="MB318" s="3"/>
      <c r="MC318" s="3"/>
      <c r="MD318" s="3"/>
      <c r="ME318" s="2"/>
      <c r="MS318" s="3"/>
      <c r="MT318" s="3"/>
      <c r="MU318" s="3"/>
      <c r="MV318" s="3"/>
      <c r="MW318" s="3"/>
      <c r="MX318" s="2"/>
    </row>
    <row r="319" spans="3:362" ht="5.0999999999999996" customHeight="1" x14ac:dyDescent="0.3">
      <c r="N319" s="3"/>
      <c r="O319" s="3"/>
      <c r="P319" s="2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MA319" s="3"/>
      <c r="MB319" s="3"/>
      <c r="MC319" s="3"/>
      <c r="MD319" s="3"/>
      <c r="ME319" s="2"/>
      <c r="MS319" s="3"/>
      <c r="MT319" s="3"/>
      <c r="MU319" s="3"/>
      <c r="MV319" s="3"/>
      <c r="MW319" s="3"/>
      <c r="MX319" s="2"/>
    </row>
    <row r="320" spans="3:362" ht="5.0999999999999996" customHeight="1" x14ac:dyDescent="0.3"/>
    <row r="321" ht="5.0999999999999996" customHeight="1" x14ac:dyDescent="0.3"/>
    <row r="322" ht="5.0999999999999996" customHeight="1" x14ac:dyDescent="0.3"/>
    <row r="323" ht="5.0999999999999996" customHeight="1" x14ac:dyDescent="0.3"/>
    <row r="324" ht="5.0999999999999996" customHeight="1" x14ac:dyDescent="0.3"/>
    <row r="325" ht="5.0999999999999996" customHeight="1" x14ac:dyDescent="0.3"/>
    <row r="326" ht="5.0999999999999996" customHeight="1" x14ac:dyDescent="0.3"/>
  </sheetData>
  <mergeCells count="145">
    <mergeCell ref="FL259:HI265"/>
    <mergeCell ref="HJ259:HU265"/>
    <mergeCell ref="FL266:HI272"/>
    <mergeCell ref="HJ266:HU272"/>
    <mergeCell ref="FL273:HI279"/>
    <mergeCell ref="HJ273:HU279"/>
    <mergeCell ref="FL280:HI286"/>
    <mergeCell ref="HJ280:HU286"/>
    <mergeCell ref="FL287:HI293"/>
    <mergeCell ref="E293:AF297"/>
    <mergeCell ref="AG293:BH297"/>
    <mergeCell ref="BI293:CJ297"/>
    <mergeCell ref="FL296:GM300"/>
    <mergeCell ref="GN296:HO300"/>
    <mergeCell ref="HP296:IQ300"/>
    <mergeCell ref="E298:AF302"/>
    <mergeCell ref="AG298:BH302"/>
    <mergeCell ref="BI298:CJ302"/>
    <mergeCell ref="HJ287:HU293"/>
    <mergeCell ref="E288:AF292"/>
    <mergeCell ref="AG288:BH292"/>
    <mergeCell ref="BI288:CJ292"/>
    <mergeCell ref="JW242:LK251"/>
    <mergeCell ref="LL242:LP251"/>
    <mergeCell ref="JW252:LK261"/>
    <mergeCell ref="LL252:LP261"/>
    <mergeCell ref="JW200:LK209"/>
    <mergeCell ref="LL200:LP209"/>
    <mergeCell ref="JW210:LK219"/>
    <mergeCell ref="LL210:LP219"/>
    <mergeCell ref="JW220:LK229"/>
    <mergeCell ref="LL220:LP229"/>
    <mergeCell ref="Q211:BE220"/>
    <mergeCell ref="BF211:BJ220"/>
    <mergeCell ref="JW190:LK199"/>
    <mergeCell ref="LL190:LP199"/>
    <mergeCell ref="Q221:BE230"/>
    <mergeCell ref="BF221:BJ230"/>
    <mergeCell ref="FN191:HA200"/>
    <mergeCell ref="HB191:HF200"/>
    <mergeCell ref="JW231:LK240"/>
    <mergeCell ref="LL231:LP240"/>
    <mergeCell ref="Q231:BE240"/>
    <mergeCell ref="BF231:BJ240"/>
    <mergeCell ref="HP193:JC202"/>
    <mergeCell ref="JD193:JI202"/>
    <mergeCell ref="Q181:BE190"/>
    <mergeCell ref="BF181:BJ190"/>
    <mergeCell ref="FN181:HA190"/>
    <mergeCell ref="HB181:HF190"/>
    <mergeCell ref="HP183:JC192"/>
    <mergeCell ref="JD183:JI192"/>
    <mergeCell ref="Q191:BE200"/>
    <mergeCell ref="BF191:BJ200"/>
    <mergeCell ref="HP171:JC180"/>
    <mergeCell ref="JD171:JI180"/>
    <mergeCell ref="Q201:BE210"/>
    <mergeCell ref="BF201:BJ210"/>
    <mergeCell ref="JW180:LK189"/>
    <mergeCell ref="JW150:LK159"/>
    <mergeCell ref="LL150:LP159"/>
    <mergeCell ref="BS173:DF182"/>
    <mergeCell ref="DG173:DK182"/>
    <mergeCell ref="Q171:BE180"/>
    <mergeCell ref="BF171:BJ180"/>
    <mergeCell ref="FN171:HA180"/>
    <mergeCell ref="HB171:HF180"/>
    <mergeCell ref="FN161:HA170"/>
    <mergeCell ref="HB161:HF170"/>
    <mergeCell ref="HP161:JC170"/>
    <mergeCell ref="JD161:JI170"/>
    <mergeCell ref="JW170:LK179"/>
    <mergeCell ref="LL170:LP179"/>
    <mergeCell ref="JW160:LK169"/>
    <mergeCell ref="LL160:LP169"/>
    <mergeCell ref="LL180:LP189"/>
    <mergeCell ref="JW274:LK283"/>
    <mergeCell ref="LL274:LP283"/>
    <mergeCell ref="Q151:BE160"/>
    <mergeCell ref="BF151:BJ160"/>
    <mergeCell ref="JW263:LK272"/>
    <mergeCell ref="LL263:LP272"/>
    <mergeCell ref="Q141:BE150"/>
    <mergeCell ref="BF141:BJ150"/>
    <mergeCell ref="BS147:DF156"/>
    <mergeCell ref="DG147:DK156"/>
    <mergeCell ref="DQ147:FD156"/>
    <mergeCell ref="FE147:FI156"/>
    <mergeCell ref="FN147:HA156"/>
    <mergeCell ref="HB147:HF156"/>
    <mergeCell ref="JW139:LK148"/>
    <mergeCell ref="LL139:LP148"/>
    <mergeCell ref="Q161:BE170"/>
    <mergeCell ref="BF161:BJ170"/>
    <mergeCell ref="BS161:DF170"/>
    <mergeCell ref="DG161:DK170"/>
    <mergeCell ref="DQ161:FD170"/>
    <mergeCell ref="FE161:FI170"/>
    <mergeCell ref="HP149:JC158"/>
    <mergeCell ref="JD149:JI158"/>
    <mergeCell ref="Q129:BE138"/>
    <mergeCell ref="BF129:BJ138"/>
    <mergeCell ref="DQ129:FC138"/>
    <mergeCell ref="FD129:FH138"/>
    <mergeCell ref="HP139:JC148"/>
    <mergeCell ref="JD139:JI148"/>
    <mergeCell ref="JW117:LK126"/>
    <mergeCell ref="LL117:LP126"/>
    <mergeCell ref="HP127:JC136"/>
    <mergeCell ref="JD127:JI136"/>
    <mergeCell ref="JW128:LK137"/>
    <mergeCell ref="LL128:LP137"/>
    <mergeCell ref="Q117:BE126"/>
    <mergeCell ref="BF117:BJ126"/>
    <mergeCell ref="DQ117:FC126"/>
    <mergeCell ref="FD117:FH126"/>
    <mergeCell ref="HP117:JC126"/>
    <mergeCell ref="JD117:JI126"/>
    <mergeCell ref="FN92:HA101"/>
    <mergeCell ref="HB92:HF101"/>
    <mergeCell ref="BU97:DH106"/>
    <mergeCell ref="DI97:DM106"/>
    <mergeCell ref="FN102:HA111"/>
    <mergeCell ref="HB102:HF111"/>
    <mergeCell ref="Q76:BE85"/>
    <mergeCell ref="BF76:BJ85"/>
    <mergeCell ref="BU84:DH93"/>
    <mergeCell ref="DI84:DM93"/>
    <mergeCell ref="Q87:BE95"/>
    <mergeCell ref="BF87:BJ95"/>
    <mergeCell ref="GJ48:HX56"/>
    <mergeCell ref="HY48:ID56"/>
    <mergeCell ref="Q54:BE63"/>
    <mergeCell ref="BF54:BJ63"/>
    <mergeCell ref="Q65:BE74"/>
    <mergeCell ref="BF65:BJ74"/>
    <mergeCell ref="E5:LX8"/>
    <mergeCell ref="E9:LX11"/>
    <mergeCell ref="E12:LX15"/>
    <mergeCell ref="DT18:FH26"/>
    <mergeCell ref="FI18:FL26"/>
    <mergeCell ref="DT35:FH43"/>
    <mergeCell ref="FI35:FL43"/>
    <mergeCell ref="GJ37:HX46"/>
    <mergeCell ref="HY37:ID46"/>
  </mergeCells>
  <printOptions horizontalCentered="1" verticalCentered="1"/>
  <pageMargins left="0" right="0" top="0" bottom="0" header="0.31496062992125984" footer="0.31496062992125984"/>
  <pageSetup paperSize="8" scale="5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CD54-1678-47E3-B6A0-4ABF1F17EF74}">
  <sheetPr codeName="Sheet7">
    <pageSetUpPr fitToPage="1"/>
  </sheetPr>
  <dimension ref="C1:NK311"/>
  <sheetViews>
    <sheetView showGridLines="0" view="pageBreakPreview" topLeftCell="A142" zoomScale="70" zoomScaleNormal="70" zoomScaleSheetLayoutView="70" workbookViewId="0">
      <selection activeCell="G273" sqref="E273:CL288"/>
    </sheetView>
  </sheetViews>
  <sheetFormatPr defaultColWidth="9.109375" defaultRowHeight="17.399999999999999" x14ac:dyDescent="0.3"/>
  <cols>
    <col min="1" max="1" width="1.88671875" style="1" customWidth="1"/>
    <col min="2" max="2" width="1.33203125" style="1" customWidth="1"/>
    <col min="3" max="4" width="0.5546875" style="1" customWidth="1"/>
    <col min="5" max="83" width="0.88671875" style="1" customWidth="1"/>
    <col min="84" max="84" width="1" style="1" customWidth="1"/>
    <col min="85" max="86" width="0.88671875" style="1" hidden="1" customWidth="1"/>
    <col min="87" max="230" width="0.88671875" style="1" customWidth="1"/>
    <col min="231" max="231" width="0.6640625" style="1" customWidth="1"/>
    <col min="232" max="271" width="0.88671875" style="1" customWidth="1"/>
    <col min="272" max="272" width="0.6640625" style="1" customWidth="1"/>
    <col min="273" max="349" width="0.88671875" style="1" customWidth="1"/>
    <col min="350" max="351" width="0.5546875" style="1" customWidth="1"/>
    <col min="352" max="352" width="0.88671875" style="1" customWidth="1"/>
    <col min="353" max="353" width="0.6640625" style="1" customWidth="1"/>
    <col min="354" max="356" width="0.88671875" style="1" hidden="1" customWidth="1"/>
    <col min="357" max="357" width="8.33203125" style="1" hidden="1" customWidth="1"/>
    <col min="358" max="373" width="0.88671875" style="1" customWidth="1"/>
    <col min="374" max="374" width="1" style="1" customWidth="1"/>
    <col min="375" max="385" width="0.88671875" style="1" customWidth="1"/>
    <col min="386" max="16384" width="9.109375" style="1"/>
  </cols>
  <sheetData>
    <row r="1" spans="3:375" ht="18.75" customHeight="1" x14ac:dyDescent="0.3"/>
    <row r="2" spans="3:375" ht="9" customHeight="1" thickBot="1" x14ac:dyDescent="0.35"/>
    <row r="3" spans="3:375" s="35" customFormat="1" ht="3" customHeight="1" thickTop="1" x14ac:dyDescent="0.3">
      <c r="C3" s="47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6"/>
      <c r="MM3" s="45"/>
    </row>
    <row r="4" spans="3:375" s="35" customFormat="1" ht="3" customHeight="1" thickBot="1" x14ac:dyDescent="0.35">
      <c r="C4" s="39"/>
      <c r="D4" s="4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2"/>
      <c r="MM4" s="36"/>
    </row>
    <row r="5" spans="3:375" s="35" customFormat="1" ht="6.75" customHeight="1" x14ac:dyDescent="0.3">
      <c r="C5" s="39"/>
      <c r="D5" s="38"/>
      <c r="E5" s="243" t="s">
        <v>29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4"/>
      <c r="DM5" s="244"/>
      <c r="DN5" s="244"/>
      <c r="DO5" s="244"/>
      <c r="DP5" s="244"/>
      <c r="DQ5" s="244"/>
      <c r="DR5" s="244"/>
      <c r="DS5" s="244"/>
      <c r="DT5" s="244"/>
      <c r="DU5" s="244"/>
      <c r="DV5" s="244"/>
      <c r="DW5" s="244"/>
      <c r="DX5" s="244"/>
      <c r="DY5" s="244"/>
      <c r="DZ5" s="244"/>
      <c r="EA5" s="244"/>
      <c r="EB5" s="244"/>
      <c r="EC5" s="244"/>
      <c r="ED5" s="244"/>
      <c r="EE5" s="244"/>
      <c r="EF5" s="244"/>
      <c r="EG5" s="244"/>
      <c r="EH5" s="244"/>
      <c r="EI5" s="244"/>
      <c r="EJ5" s="244"/>
      <c r="EK5" s="244"/>
      <c r="EL5" s="244"/>
      <c r="EM5" s="244"/>
      <c r="EN5" s="244"/>
      <c r="EO5" s="244"/>
      <c r="EP5" s="244"/>
      <c r="EQ5" s="244"/>
      <c r="ER5" s="244"/>
      <c r="ES5" s="244"/>
      <c r="ET5" s="244"/>
      <c r="EU5" s="244"/>
      <c r="EV5" s="244"/>
      <c r="EW5" s="244"/>
      <c r="EX5" s="244"/>
      <c r="EY5" s="244"/>
      <c r="EZ5" s="244"/>
      <c r="FA5" s="244"/>
      <c r="FB5" s="244"/>
      <c r="FC5" s="244"/>
      <c r="FD5" s="244"/>
      <c r="FE5" s="244"/>
      <c r="FF5" s="244"/>
      <c r="FG5" s="244"/>
      <c r="FH5" s="244"/>
      <c r="FI5" s="244"/>
      <c r="FJ5" s="244"/>
      <c r="FK5" s="244"/>
      <c r="FL5" s="244"/>
      <c r="FM5" s="244"/>
      <c r="FN5" s="244"/>
      <c r="FO5" s="244"/>
      <c r="FP5" s="244"/>
      <c r="FQ5" s="244"/>
      <c r="FR5" s="244"/>
      <c r="FS5" s="244"/>
      <c r="FT5" s="244"/>
      <c r="FU5" s="244"/>
      <c r="FV5" s="244"/>
      <c r="FW5" s="244"/>
      <c r="FX5" s="244"/>
      <c r="FY5" s="244"/>
      <c r="FZ5" s="244"/>
      <c r="GA5" s="244"/>
      <c r="GB5" s="244"/>
      <c r="GC5" s="244"/>
      <c r="GD5" s="244"/>
      <c r="GE5" s="244"/>
      <c r="GF5" s="244"/>
      <c r="GG5" s="244"/>
      <c r="GH5" s="244"/>
      <c r="GI5" s="244"/>
      <c r="GJ5" s="244"/>
      <c r="GK5" s="244"/>
      <c r="GL5" s="244"/>
      <c r="GM5" s="244"/>
      <c r="GN5" s="244"/>
      <c r="GO5" s="244"/>
      <c r="GP5" s="244"/>
      <c r="GQ5" s="244"/>
      <c r="GR5" s="244"/>
      <c r="GS5" s="244"/>
      <c r="GT5" s="244"/>
      <c r="GU5" s="244"/>
      <c r="GV5" s="244"/>
      <c r="GW5" s="244"/>
      <c r="GX5" s="244"/>
      <c r="GY5" s="244"/>
      <c r="GZ5" s="244"/>
      <c r="HA5" s="244"/>
      <c r="HB5" s="244"/>
      <c r="HC5" s="244"/>
      <c r="HD5" s="244"/>
      <c r="HE5" s="244"/>
      <c r="HF5" s="244"/>
      <c r="HG5" s="244"/>
      <c r="HH5" s="244"/>
      <c r="HI5" s="244"/>
      <c r="HJ5" s="244"/>
      <c r="HK5" s="244"/>
      <c r="HL5" s="244"/>
      <c r="HM5" s="244"/>
      <c r="HN5" s="244"/>
      <c r="HO5" s="244"/>
      <c r="HP5" s="244"/>
      <c r="HQ5" s="244"/>
      <c r="HR5" s="244"/>
      <c r="HS5" s="244"/>
      <c r="HT5" s="244"/>
      <c r="HU5" s="244"/>
      <c r="HV5" s="244"/>
      <c r="HW5" s="244"/>
      <c r="HX5" s="244"/>
      <c r="HY5" s="244"/>
      <c r="HZ5" s="244"/>
      <c r="IA5" s="244"/>
      <c r="IB5" s="244"/>
      <c r="IC5" s="244"/>
      <c r="ID5" s="244"/>
      <c r="IE5" s="244"/>
      <c r="IF5" s="244"/>
      <c r="IG5" s="244"/>
      <c r="IH5" s="244"/>
      <c r="II5" s="244"/>
      <c r="IJ5" s="244"/>
      <c r="IK5" s="244"/>
      <c r="IL5" s="244"/>
      <c r="IM5" s="244"/>
      <c r="IN5" s="244"/>
      <c r="IO5" s="244"/>
      <c r="IP5" s="244"/>
      <c r="IQ5" s="244"/>
      <c r="IR5" s="244"/>
      <c r="IS5" s="244"/>
      <c r="IT5" s="244"/>
      <c r="IU5" s="244"/>
      <c r="IV5" s="244"/>
      <c r="IW5" s="244"/>
      <c r="IX5" s="244"/>
      <c r="IY5" s="244"/>
      <c r="IZ5" s="244"/>
      <c r="JA5" s="244"/>
      <c r="JB5" s="244"/>
      <c r="JC5" s="244"/>
      <c r="JD5" s="244"/>
      <c r="JE5" s="244"/>
      <c r="JF5" s="244"/>
      <c r="JG5" s="244"/>
      <c r="JH5" s="244"/>
      <c r="JI5" s="244"/>
      <c r="JJ5" s="244"/>
      <c r="JK5" s="244"/>
      <c r="JL5" s="244"/>
      <c r="JM5" s="244"/>
      <c r="JN5" s="244"/>
      <c r="JO5" s="244"/>
      <c r="JP5" s="244"/>
      <c r="JQ5" s="244"/>
      <c r="JR5" s="244"/>
      <c r="JS5" s="244"/>
      <c r="JT5" s="244"/>
      <c r="JU5" s="244"/>
      <c r="JV5" s="244"/>
      <c r="JW5" s="244"/>
      <c r="JX5" s="244"/>
      <c r="JY5" s="244"/>
      <c r="JZ5" s="244"/>
      <c r="KA5" s="244"/>
      <c r="KB5" s="244"/>
      <c r="KC5" s="244"/>
      <c r="KD5" s="244"/>
      <c r="KE5" s="244"/>
      <c r="KF5" s="244"/>
      <c r="KG5" s="244"/>
      <c r="KH5" s="244"/>
      <c r="KI5" s="244"/>
      <c r="KJ5" s="244"/>
      <c r="KK5" s="244"/>
      <c r="KL5" s="244"/>
      <c r="KM5" s="244"/>
      <c r="KN5" s="244"/>
      <c r="KO5" s="244"/>
      <c r="KP5" s="244"/>
      <c r="KQ5" s="244"/>
      <c r="KR5" s="244"/>
      <c r="KS5" s="244"/>
      <c r="KT5" s="244"/>
      <c r="KU5" s="244"/>
      <c r="KV5" s="244"/>
      <c r="KW5" s="244"/>
      <c r="KX5" s="244"/>
      <c r="KY5" s="244"/>
      <c r="KZ5" s="244"/>
      <c r="LA5" s="244"/>
      <c r="LB5" s="244"/>
      <c r="LC5" s="244"/>
      <c r="LD5" s="244"/>
      <c r="LE5" s="244"/>
      <c r="LF5" s="244"/>
      <c r="LG5" s="244"/>
      <c r="LH5" s="244"/>
      <c r="LI5" s="244"/>
      <c r="LJ5" s="244"/>
      <c r="LK5" s="244"/>
      <c r="LL5" s="244"/>
      <c r="LM5" s="244"/>
      <c r="LN5" s="244"/>
      <c r="LO5" s="244"/>
      <c r="LP5" s="244"/>
      <c r="LQ5" s="244"/>
      <c r="LR5" s="244"/>
      <c r="LS5" s="244"/>
      <c r="LT5" s="244"/>
      <c r="LU5" s="244"/>
      <c r="LV5" s="244"/>
      <c r="LW5" s="244"/>
      <c r="LX5" s="244"/>
      <c r="LY5" s="244"/>
      <c r="LZ5" s="244"/>
      <c r="MA5" s="244"/>
      <c r="MB5" s="244"/>
      <c r="MC5" s="244"/>
      <c r="MD5" s="244"/>
      <c r="ME5" s="244"/>
      <c r="MF5" s="244"/>
      <c r="MG5" s="244"/>
      <c r="MH5" s="244"/>
      <c r="MI5" s="244"/>
      <c r="MJ5" s="244"/>
      <c r="MK5" s="245"/>
      <c r="ML5" s="37"/>
      <c r="MM5" s="36"/>
    </row>
    <row r="6" spans="3:375" s="35" customFormat="1" ht="6.75" customHeight="1" x14ac:dyDescent="0.3">
      <c r="C6" s="39"/>
      <c r="D6" s="38"/>
      <c r="E6" s="246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7"/>
      <c r="LQ6" s="247"/>
      <c r="LR6" s="247"/>
      <c r="LS6" s="247"/>
      <c r="LT6" s="247"/>
      <c r="LU6" s="247"/>
      <c r="LV6" s="247"/>
      <c r="LW6" s="247"/>
      <c r="LX6" s="247"/>
      <c r="LY6" s="247"/>
      <c r="LZ6" s="247"/>
      <c r="MA6" s="247"/>
      <c r="MB6" s="247"/>
      <c r="MC6" s="247"/>
      <c r="MD6" s="247"/>
      <c r="ME6" s="247"/>
      <c r="MF6" s="247"/>
      <c r="MG6" s="247"/>
      <c r="MH6" s="247"/>
      <c r="MI6" s="247"/>
      <c r="MJ6" s="247"/>
      <c r="MK6" s="248"/>
      <c r="ML6" s="37"/>
      <c r="MM6" s="36"/>
    </row>
    <row r="7" spans="3:375" s="35" customFormat="1" ht="6.75" customHeight="1" x14ac:dyDescent="0.3">
      <c r="C7" s="39"/>
      <c r="D7" s="38"/>
      <c r="E7" s="246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7"/>
      <c r="LQ7" s="247"/>
      <c r="LR7" s="247"/>
      <c r="LS7" s="247"/>
      <c r="LT7" s="247"/>
      <c r="LU7" s="247"/>
      <c r="LV7" s="247"/>
      <c r="LW7" s="247"/>
      <c r="LX7" s="247"/>
      <c r="LY7" s="247"/>
      <c r="LZ7" s="247"/>
      <c r="MA7" s="247"/>
      <c r="MB7" s="247"/>
      <c r="MC7" s="247"/>
      <c r="MD7" s="247"/>
      <c r="ME7" s="247"/>
      <c r="MF7" s="247"/>
      <c r="MG7" s="247"/>
      <c r="MH7" s="247"/>
      <c r="MI7" s="247"/>
      <c r="MJ7" s="247"/>
      <c r="MK7" s="248"/>
      <c r="ML7" s="37"/>
      <c r="MM7" s="36"/>
    </row>
    <row r="8" spans="3:375" s="35" customFormat="1" ht="6.75" customHeight="1" x14ac:dyDescent="0.3">
      <c r="C8" s="39"/>
      <c r="D8" s="38"/>
      <c r="E8" s="24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7"/>
      <c r="LW8" s="247"/>
      <c r="LX8" s="247"/>
      <c r="LY8" s="247"/>
      <c r="LZ8" s="247"/>
      <c r="MA8" s="247"/>
      <c r="MB8" s="247"/>
      <c r="MC8" s="247"/>
      <c r="MD8" s="247"/>
      <c r="ME8" s="247"/>
      <c r="MF8" s="247"/>
      <c r="MG8" s="247"/>
      <c r="MH8" s="247"/>
      <c r="MI8" s="247"/>
      <c r="MJ8" s="247"/>
      <c r="MK8" s="248"/>
      <c r="ML8" s="37"/>
      <c r="MM8" s="36"/>
      <c r="MN8" s="41"/>
      <c r="MO8" s="41"/>
      <c r="MP8" s="41"/>
      <c r="MQ8" s="41"/>
      <c r="NF8" s="41"/>
      <c r="NG8" s="41"/>
      <c r="NH8" s="41"/>
      <c r="NI8" s="41"/>
      <c r="NJ8" s="41"/>
    </row>
    <row r="9" spans="3:375" s="35" customFormat="1" ht="6.75" customHeight="1" x14ac:dyDescent="0.3">
      <c r="C9" s="39"/>
      <c r="D9" s="38"/>
      <c r="E9" s="246" t="s">
        <v>18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7"/>
      <c r="LW9" s="247"/>
      <c r="LX9" s="247"/>
      <c r="LY9" s="247"/>
      <c r="LZ9" s="247"/>
      <c r="MA9" s="247"/>
      <c r="MB9" s="247"/>
      <c r="MC9" s="247"/>
      <c r="MD9" s="247"/>
      <c r="ME9" s="247"/>
      <c r="MF9" s="247"/>
      <c r="MG9" s="247"/>
      <c r="MH9" s="247"/>
      <c r="MI9" s="247"/>
      <c r="MJ9" s="247"/>
      <c r="MK9" s="248"/>
      <c r="ML9" s="37"/>
      <c r="MM9" s="36"/>
      <c r="MN9" s="41"/>
      <c r="MO9" s="41"/>
      <c r="MP9" s="41"/>
      <c r="MQ9" s="41"/>
      <c r="MR9" s="40"/>
      <c r="NF9" s="41"/>
      <c r="NG9" s="41"/>
      <c r="NH9" s="41"/>
      <c r="NI9" s="41"/>
      <c r="NJ9" s="41"/>
      <c r="NK9" s="40"/>
    </row>
    <row r="10" spans="3:375" s="35" customFormat="1" ht="6.75" customHeight="1" x14ac:dyDescent="0.3">
      <c r="C10" s="39"/>
      <c r="D10" s="38"/>
      <c r="E10" s="24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7"/>
      <c r="LQ10" s="247"/>
      <c r="LR10" s="247"/>
      <c r="LS10" s="247"/>
      <c r="LT10" s="247"/>
      <c r="LU10" s="247"/>
      <c r="LV10" s="247"/>
      <c r="LW10" s="247"/>
      <c r="LX10" s="247"/>
      <c r="LY10" s="247"/>
      <c r="LZ10" s="247"/>
      <c r="MA10" s="247"/>
      <c r="MB10" s="247"/>
      <c r="MC10" s="247"/>
      <c r="MD10" s="247"/>
      <c r="ME10" s="247"/>
      <c r="MF10" s="247"/>
      <c r="MG10" s="247"/>
      <c r="MH10" s="247"/>
      <c r="MI10" s="247"/>
      <c r="MJ10" s="247"/>
      <c r="MK10" s="248"/>
      <c r="ML10" s="37"/>
      <c r="MM10" s="36"/>
      <c r="MN10" s="41"/>
      <c r="MO10" s="41"/>
      <c r="MP10" s="41"/>
      <c r="MQ10" s="41"/>
      <c r="MR10" s="40"/>
      <c r="NF10" s="41"/>
      <c r="NG10" s="41"/>
      <c r="NH10" s="41"/>
      <c r="NI10" s="41"/>
      <c r="NJ10" s="41"/>
      <c r="NK10" s="40"/>
    </row>
    <row r="11" spans="3:375" s="35" customFormat="1" ht="6.75" customHeight="1" x14ac:dyDescent="0.3">
      <c r="C11" s="39"/>
      <c r="D11" s="38"/>
      <c r="E11" s="246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7"/>
      <c r="LQ11" s="247"/>
      <c r="LR11" s="247"/>
      <c r="LS11" s="247"/>
      <c r="LT11" s="247"/>
      <c r="LU11" s="247"/>
      <c r="LV11" s="247"/>
      <c r="LW11" s="247"/>
      <c r="LX11" s="247"/>
      <c r="LY11" s="247"/>
      <c r="LZ11" s="247"/>
      <c r="MA11" s="247"/>
      <c r="MB11" s="247"/>
      <c r="MC11" s="247"/>
      <c r="MD11" s="247"/>
      <c r="ME11" s="247"/>
      <c r="MF11" s="247"/>
      <c r="MG11" s="247"/>
      <c r="MH11" s="247"/>
      <c r="MI11" s="247"/>
      <c r="MJ11" s="247"/>
      <c r="MK11" s="248"/>
      <c r="ML11" s="37"/>
      <c r="MM11" s="36"/>
    </row>
    <row r="12" spans="3:375" s="35" customFormat="1" ht="6.75" customHeight="1" x14ac:dyDescent="0.3">
      <c r="C12" s="39"/>
      <c r="D12" s="38"/>
      <c r="E12" s="246" t="s">
        <v>17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7"/>
      <c r="LQ12" s="247"/>
      <c r="LR12" s="247"/>
      <c r="LS12" s="247"/>
      <c r="LT12" s="247"/>
      <c r="LU12" s="247"/>
      <c r="LV12" s="247"/>
      <c r="LW12" s="247"/>
      <c r="LX12" s="247"/>
      <c r="LY12" s="247"/>
      <c r="LZ12" s="247"/>
      <c r="MA12" s="247"/>
      <c r="MB12" s="247"/>
      <c r="MC12" s="247"/>
      <c r="MD12" s="247"/>
      <c r="ME12" s="247"/>
      <c r="MF12" s="247"/>
      <c r="MG12" s="247"/>
      <c r="MH12" s="247"/>
      <c r="MI12" s="247"/>
      <c r="MJ12" s="247"/>
      <c r="MK12" s="248"/>
      <c r="ML12" s="37"/>
      <c r="MM12" s="36"/>
    </row>
    <row r="13" spans="3:375" s="35" customFormat="1" ht="6.75" customHeight="1" x14ac:dyDescent="0.3">
      <c r="C13" s="39"/>
      <c r="D13" s="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7"/>
      <c r="LQ13" s="247"/>
      <c r="LR13" s="247"/>
      <c r="LS13" s="247"/>
      <c r="LT13" s="247"/>
      <c r="LU13" s="247"/>
      <c r="LV13" s="247"/>
      <c r="LW13" s="247"/>
      <c r="LX13" s="247"/>
      <c r="LY13" s="247"/>
      <c r="LZ13" s="247"/>
      <c r="MA13" s="247"/>
      <c r="MB13" s="247"/>
      <c r="MC13" s="247"/>
      <c r="MD13" s="247"/>
      <c r="ME13" s="247"/>
      <c r="MF13" s="247"/>
      <c r="MG13" s="247"/>
      <c r="MH13" s="247"/>
      <c r="MI13" s="247"/>
      <c r="MJ13" s="247"/>
      <c r="MK13" s="248"/>
      <c r="ML13" s="37"/>
      <c r="MM13" s="36"/>
    </row>
    <row r="14" spans="3:375" s="35" customFormat="1" ht="6.75" customHeight="1" x14ac:dyDescent="0.3">
      <c r="C14" s="39"/>
      <c r="D14" s="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7"/>
      <c r="LQ14" s="247"/>
      <c r="LR14" s="247"/>
      <c r="LS14" s="247"/>
      <c r="LT14" s="247"/>
      <c r="LU14" s="247"/>
      <c r="LV14" s="247"/>
      <c r="LW14" s="247"/>
      <c r="LX14" s="247"/>
      <c r="LY14" s="247"/>
      <c r="LZ14" s="247"/>
      <c r="MA14" s="247"/>
      <c r="MB14" s="247"/>
      <c r="MC14" s="247"/>
      <c r="MD14" s="247"/>
      <c r="ME14" s="247"/>
      <c r="MF14" s="247"/>
      <c r="MG14" s="247"/>
      <c r="MH14" s="247"/>
      <c r="MI14" s="247"/>
      <c r="MJ14" s="247"/>
      <c r="MK14" s="248"/>
      <c r="ML14" s="37"/>
      <c r="MM14" s="36"/>
    </row>
    <row r="15" spans="3:375" s="35" customFormat="1" ht="6.75" customHeight="1" thickBot="1" x14ac:dyDescent="0.35">
      <c r="C15" s="39"/>
      <c r="D15" s="38"/>
      <c r="E15" s="249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  <c r="HK15" s="250"/>
      <c r="HL15" s="250"/>
      <c r="HM15" s="250"/>
      <c r="HN15" s="250"/>
      <c r="HO15" s="250"/>
      <c r="HP15" s="250"/>
      <c r="HQ15" s="250"/>
      <c r="HR15" s="250"/>
      <c r="HS15" s="250"/>
      <c r="HT15" s="250"/>
      <c r="HU15" s="250"/>
      <c r="HV15" s="250"/>
      <c r="HW15" s="250"/>
      <c r="HX15" s="250"/>
      <c r="HY15" s="250"/>
      <c r="HZ15" s="250"/>
      <c r="IA15" s="250"/>
      <c r="IB15" s="250"/>
      <c r="IC15" s="250"/>
      <c r="ID15" s="250"/>
      <c r="IE15" s="250"/>
      <c r="IF15" s="250"/>
      <c r="IG15" s="250"/>
      <c r="IH15" s="250"/>
      <c r="II15" s="250"/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F15" s="250"/>
      <c r="KG15" s="250"/>
      <c r="KH15" s="250"/>
      <c r="KI15" s="250"/>
      <c r="KJ15" s="250"/>
      <c r="KK15" s="250"/>
      <c r="KL15" s="250"/>
      <c r="KM15" s="250"/>
      <c r="KN15" s="250"/>
      <c r="KO15" s="250"/>
      <c r="KP15" s="250"/>
      <c r="KQ15" s="250"/>
      <c r="KR15" s="250"/>
      <c r="KS15" s="250"/>
      <c r="KT15" s="250"/>
      <c r="KU15" s="250"/>
      <c r="KV15" s="250"/>
      <c r="KW15" s="250"/>
      <c r="KX15" s="250"/>
      <c r="KY15" s="250"/>
      <c r="KZ15" s="250"/>
      <c r="LA15" s="250"/>
      <c r="LB15" s="250"/>
      <c r="LC15" s="250"/>
      <c r="LD15" s="250"/>
      <c r="LE15" s="250"/>
      <c r="LF15" s="250"/>
      <c r="LG15" s="250"/>
      <c r="LH15" s="250"/>
      <c r="LI15" s="250"/>
      <c r="LJ15" s="250"/>
      <c r="LK15" s="250"/>
      <c r="LL15" s="250"/>
      <c r="LM15" s="250"/>
      <c r="LN15" s="250"/>
      <c r="LO15" s="250"/>
      <c r="LP15" s="250"/>
      <c r="LQ15" s="250"/>
      <c r="LR15" s="250"/>
      <c r="LS15" s="250"/>
      <c r="LT15" s="250"/>
      <c r="LU15" s="250"/>
      <c r="LV15" s="250"/>
      <c r="LW15" s="250"/>
      <c r="LX15" s="250"/>
      <c r="LY15" s="250"/>
      <c r="LZ15" s="250"/>
      <c r="MA15" s="250"/>
      <c r="MB15" s="250"/>
      <c r="MC15" s="250"/>
      <c r="MD15" s="250"/>
      <c r="ME15" s="250"/>
      <c r="MF15" s="250"/>
      <c r="MG15" s="250"/>
      <c r="MH15" s="250"/>
      <c r="MI15" s="250"/>
      <c r="MJ15" s="250"/>
      <c r="MK15" s="251"/>
      <c r="ML15" s="37"/>
      <c r="MM15" s="36"/>
    </row>
    <row r="16" spans="3:375" ht="5.0999999999999996" customHeight="1" x14ac:dyDescent="0.3">
      <c r="C16" s="11"/>
      <c r="D16" s="1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12"/>
      <c r="MM16" s="7"/>
    </row>
    <row r="17" spans="3:351" ht="5.0999999999999996" customHeight="1" x14ac:dyDescent="0.3">
      <c r="C17" s="11"/>
      <c r="D17" s="1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12"/>
      <c r="MM17" s="7"/>
    </row>
    <row r="18" spans="3:351" ht="5.0999999999999996" customHeight="1" x14ac:dyDescent="0.3">
      <c r="C18" s="11"/>
      <c r="D18" s="1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E18" s="216" t="s">
        <v>61</v>
      </c>
      <c r="EF18" s="217"/>
      <c r="EG18" s="217"/>
      <c r="EH18" s="217"/>
      <c r="EI18" s="217"/>
      <c r="EJ18" s="217"/>
      <c r="EK18" s="217"/>
      <c r="EL18" s="217"/>
      <c r="EM18" s="217"/>
      <c r="EN18" s="217"/>
      <c r="EO18" s="217"/>
      <c r="EP18" s="217"/>
      <c r="EQ18" s="217"/>
      <c r="ER18" s="217"/>
      <c r="ES18" s="217"/>
      <c r="ET18" s="217"/>
      <c r="EU18" s="217"/>
      <c r="EV18" s="217"/>
      <c r="EW18" s="217"/>
      <c r="EX18" s="217"/>
      <c r="EY18" s="217"/>
      <c r="EZ18" s="217"/>
      <c r="FA18" s="217"/>
      <c r="FB18" s="217"/>
      <c r="FC18" s="217"/>
      <c r="FD18" s="217"/>
      <c r="FE18" s="217"/>
      <c r="FF18" s="217"/>
      <c r="FG18" s="217"/>
      <c r="FH18" s="217"/>
      <c r="FI18" s="217"/>
      <c r="FJ18" s="217"/>
      <c r="FK18" s="217"/>
      <c r="FL18" s="217"/>
      <c r="FM18" s="217"/>
      <c r="FN18" s="217"/>
      <c r="FO18" s="217"/>
      <c r="FP18" s="217"/>
      <c r="FQ18" s="217"/>
      <c r="FR18" s="217"/>
      <c r="FS18" s="252"/>
      <c r="FT18" s="255">
        <v>1</v>
      </c>
      <c r="FU18" s="255"/>
      <c r="FV18" s="255"/>
      <c r="FW18" s="255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12"/>
      <c r="MM18" s="7"/>
    </row>
    <row r="19" spans="3:351" ht="5.0999999999999996" customHeight="1" x14ac:dyDescent="0.3">
      <c r="C19" s="11"/>
      <c r="D19" s="1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E19" s="219"/>
      <c r="EF19" s="220"/>
      <c r="EG19" s="220"/>
      <c r="EH19" s="220"/>
      <c r="EI19" s="220"/>
      <c r="EJ19" s="220"/>
      <c r="EK19" s="220"/>
      <c r="EL19" s="220"/>
      <c r="EM19" s="220"/>
      <c r="EN19" s="220"/>
      <c r="EO19" s="220"/>
      <c r="EP19" s="220"/>
      <c r="EQ19" s="220"/>
      <c r="ER19" s="220"/>
      <c r="ES19" s="220"/>
      <c r="ET19" s="220"/>
      <c r="EU19" s="220"/>
      <c r="EV19" s="220"/>
      <c r="EW19" s="220"/>
      <c r="EX19" s="220"/>
      <c r="EY19" s="220"/>
      <c r="EZ19" s="220"/>
      <c r="FA19" s="220"/>
      <c r="FB19" s="220"/>
      <c r="FC19" s="220"/>
      <c r="FD19" s="220"/>
      <c r="FE19" s="220"/>
      <c r="FF19" s="220"/>
      <c r="FG19" s="220"/>
      <c r="FH19" s="220"/>
      <c r="FI19" s="220"/>
      <c r="FJ19" s="220"/>
      <c r="FK19" s="220"/>
      <c r="FL19" s="220"/>
      <c r="FM19" s="220"/>
      <c r="FN19" s="220"/>
      <c r="FO19" s="220"/>
      <c r="FP19" s="220"/>
      <c r="FQ19" s="220"/>
      <c r="FR19" s="220"/>
      <c r="FS19" s="253"/>
      <c r="FT19" s="255"/>
      <c r="FU19" s="255"/>
      <c r="FV19" s="255"/>
      <c r="FW19" s="255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156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12"/>
      <c r="MM19" s="7"/>
    </row>
    <row r="20" spans="3:351" ht="5.0999999999999996" customHeight="1" x14ac:dyDescent="0.3">
      <c r="C20" s="11"/>
      <c r="D20" s="1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E20" s="219"/>
      <c r="EF20" s="220"/>
      <c r="EG20" s="220"/>
      <c r="EH20" s="220"/>
      <c r="EI20" s="220"/>
      <c r="EJ20" s="220"/>
      <c r="EK20" s="220"/>
      <c r="EL20" s="220"/>
      <c r="EM20" s="220"/>
      <c r="EN20" s="220"/>
      <c r="EO20" s="220"/>
      <c r="EP20" s="220"/>
      <c r="EQ20" s="220"/>
      <c r="ER20" s="220"/>
      <c r="ES20" s="220"/>
      <c r="ET20" s="220"/>
      <c r="EU20" s="220"/>
      <c r="EV20" s="220"/>
      <c r="EW20" s="220"/>
      <c r="EX20" s="220"/>
      <c r="EY20" s="220"/>
      <c r="EZ20" s="220"/>
      <c r="FA20" s="220"/>
      <c r="FB20" s="220"/>
      <c r="FC20" s="220"/>
      <c r="FD20" s="220"/>
      <c r="FE20" s="220"/>
      <c r="FF20" s="220"/>
      <c r="FG20" s="220"/>
      <c r="FH20" s="220"/>
      <c r="FI20" s="220"/>
      <c r="FJ20" s="220"/>
      <c r="FK20" s="220"/>
      <c r="FL20" s="220"/>
      <c r="FM20" s="220"/>
      <c r="FN20" s="220"/>
      <c r="FO20" s="220"/>
      <c r="FP20" s="220"/>
      <c r="FQ20" s="220"/>
      <c r="FR20" s="220"/>
      <c r="FS20" s="253"/>
      <c r="FT20" s="255"/>
      <c r="FU20" s="255"/>
      <c r="FV20" s="255"/>
      <c r="FW20" s="255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156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12"/>
      <c r="MM20" s="7"/>
    </row>
    <row r="21" spans="3:351" ht="5.0999999999999996" customHeight="1" x14ac:dyDescent="0.3">
      <c r="C21" s="11"/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E21" s="219"/>
      <c r="EF21" s="220"/>
      <c r="EG21" s="220"/>
      <c r="EH21" s="220"/>
      <c r="EI21" s="220"/>
      <c r="EJ21" s="220"/>
      <c r="EK21" s="220"/>
      <c r="EL21" s="220"/>
      <c r="EM21" s="220"/>
      <c r="EN21" s="220"/>
      <c r="EO21" s="220"/>
      <c r="EP21" s="220"/>
      <c r="EQ21" s="220"/>
      <c r="ER21" s="220"/>
      <c r="ES21" s="220"/>
      <c r="ET21" s="220"/>
      <c r="EU21" s="220"/>
      <c r="EV21" s="220"/>
      <c r="EW21" s="220"/>
      <c r="EX21" s="220"/>
      <c r="EY21" s="220"/>
      <c r="EZ21" s="220"/>
      <c r="FA21" s="220"/>
      <c r="FB21" s="220"/>
      <c r="FC21" s="220"/>
      <c r="FD21" s="220"/>
      <c r="FE21" s="220"/>
      <c r="FF21" s="220"/>
      <c r="FG21" s="220"/>
      <c r="FH21" s="220"/>
      <c r="FI21" s="220"/>
      <c r="FJ21" s="220"/>
      <c r="FK21" s="220"/>
      <c r="FL21" s="220"/>
      <c r="FM21" s="220"/>
      <c r="FN21" s="220"/>
      <c r="FO21" s="220"/>
      <c r="FP21" s="220"/>
      <c r="FQ21" s="220"/>
      <c r="FR21" s="220"/>
      <c r="FS21" s="253"/>
      <c r="FT21" s="255"/>
      <c r="FU21" s="255"/>
      <c r="FV21" s="255"/>
      <c r="FW21" s="255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156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12"/>
      <c r="MM21" s="7"/>
    </row>
    <row r="22" spans="3:351" ht="5.0999999999999996" customHeight="1" x14ac:dyDescent="0.3">
      <c r="C22" s="11"/>
      <c r="D22" s="1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E22" s="219"/>
      <c r="EF22" s="220"/>
      <c r="EG22" s="220"/>
      <c r="EH22" s="220"/>
      <c r="EI22" s="220"/>
      <c r="EJ22" s="220"/>
      <c r="EK22" s="220"/>
      <c r="EL22" s="220"/>
      <c r="EM22" s="220"/>
      <c r="EN22" s="220"/>
      <c r="EO22" s="220"/>
      <c r="EP22" s="220"/>
      <c r="EQ22" s="220"/>
      <c r="ER22" s="220"/>
      <c r="ES22" s="220"/>
      <c r="ET22" s="220"/>
      <c r="EU22" s="220"/>
      <c r="EV22" s="220"/>
      <c r="EW22" s="220"/>
      <c r="EX22" s="220"/>
      <c r="EY22" s="220"/>
      <c r="EZ22" s="220"/>
      <c r="FA22" s="220"/>
      <c r="FB22" s="220"/>
      <c r="FC22" s="220"/>
      <c r="FD22" s="220"/>
      <c r="FE22" s="220"/>
      <c r="FF22" s="220"/>
      <c r="FG22" s="220"/>
      <c r="FH22" s="220"/>
      <c r="FI22" s="220"/>
      <c r="FJ22" s="220"/>
      <c r="FK22" s="220"/>
      <c r="FL22" s="220"/>
      <c r="FM22" s="220"/>
      <c r="FN22" s="220"/>
      <c r="FO22" s="220"/>
      <c r="FP22" s="220"/>
      <c r="FQ22" s="220"/>
      <c r="FR22" s="220"/>
      <c r="FS22" s="253"/>
      <c r="FT22" s="255"/>
      <c r="FU22" s="255"/>
      <c r="FV22" s="255"/>
      <c r="FW22" s="255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156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12"/>
      <c r="MM22" s="7"/>
    </row>
    <row r="23" spans="3:351" ht="5.0999999999999996" customHeight="1" x14ac:dyDescent="0.3">
      <c r="C23" s="11"/>
      <c r="D23" s="1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E23" s="219"/>
      <c r="EF23" s="220"/>
      <c r="EG23" s="220"/>
      <c r="EH23" s="220"/>
      <c r="EI23" s="220"/>
      <c r="EJ23" s="220"/>
      <c r="EK23" s="220"/>
      <c r="EL23" s="220"/>
      <c r="EM23" s="220"/>
      <c r="EN23" s="220"/>
      <c r="EO23" s="220"/>
      <c r="EP23" s="220"/>
      <c r="EQ23" s="220"/>
      <c r="ER23" s="220"/>
      <c r="ES23" s="220"/>
      <c r="ET23" s="220"/>
      <c r="EU23" s="220"/>
      <c r="EV23" s="220"/>
      <c r="EW23" s="220"/>
      <c r="EX23" s="220"/>
      <c r="EY23" s="220"/>
      <c r="EZ23" s="220"/>
      <c r="FA23" s="220"/>
      <c r="FB23" s="220"/>
      <c r="FC23" s="220"/>
      <c r="FD23" s="220"/>
      <c r="FE23" s="220"/>
      <c r="FF23" s="220"/>
      <c r="FG23" s="220"/>
      <c r="FH23" s="220"/>
      <c r="FI23" s="220"/>
      <c r="FJ23" s="220"/>
      <c r="FK23" s="220"/>
      <c r="FL23" s="220"/>
      <c r="FM23" s="220"/>
      <c r="FN23" s="220"/>
      <c r="FO23" s="220"/>
      <c r="FP23" s="220"/>
      <c r="FQ23" s="220"/>
      <c r="FR23" s="220"/>
      <c r="FS23" s="253"/>
      <c r="FT23" s="255"/>
      <c r="FU23" s="255"/>
      <c r="FV23" s="255"/>
      <c r="FW23" s="255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156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12"/>
      <c r="MM23" s="7"/>
    </row>
    <row r="24" spans="3:351" ht="5.0999999999999996" customHeight="1" x14ac:dyDescent="0.3">
      <c r="C24" s="11"/>
      <c r="D24" s="1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E24" s="219"/>
      <c r="EF24" s="220"/>
      <c r="EG24" s="220"/>
      <c r="EH24" s="220"/>
      <c r="EI24" s="220"/>
      <c r="EJ24" s="220"/>
      <c r="EK24" s="220"/>
      <c r="EL24" s="220"/>
      <c r="EM24" s="220"/>
      <c r="EN24" s="220"/>
      <c r="EO24" s="220"/>
      <c r="EP24" s="220"/>
      <c r="EQ24" s="220"/>
      <c r="ER24" s="220"/>
      <c r="ES24" s="220"/>
      <c r="ET24" s="220"/>
      <c r="EU24" s="220"/>
      <c r="EV24" s="220"/>
      <c r="EW24" s="220"/>
      <c r="EX24" s="220"/>
      <c r="EY24" s="220"/>
      <c r="EZ24" s="220"/>
      <c r="FA24" s="220"/>
      <c r="FB24" s="220"/>
      <c r="FC24" s="220"/>
      <c r="FD24" s="220"/>
      <c r="FE24" s="220"/>
      <c r="FF24" s="220"/>
      <c r="FG24" s="220"/>
      <c r="FH24" s="220"/>
      <c r="FI24" s="220"/>
      <c r="FJ24" s="220"/>
      <c r="FK24" s="220"/>
      <c r="FL24" s="220"/>
      <c r="FM24" s="220"/>
      <c r="FN24" s="220"/>
      <c r="FO24" s="220"/>
      <c r="FP24" s="220"/>
      <c r="FQ24" s="220"/>
      <c r="FR24" s="220"/>
      <c r="FS24" s="253"/>
      <c r="FT24" s="255"/>
      <c r="FU24" s="255"/>
      <c r="FV24" s="255"/>
      <c r="FW24" s="255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156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12"/>
      <c r="MM24" s="7"/>
    </row>
    <row r="25" spans="3:351" ht="5.0999999999999996" customHeight="1" x14ac:dyDescent="0.3">
      <c r="C25" s="11"/>
      <c r="D25" s="1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EE25" s="219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D25" s="220"/>
      <c r="FE25" s="220"/>
      <c r="FF25" s="220"/>
      <c r="FG25" s="220"/>
      <c r="FH25" s="220"/>
      <c r="FI25" s="220"/>
      <c r="FJ25" s="220"/>
      <c r="FK25" s="220"/>
      <c r="FL25" s="220"/>
      <c r="FM25" s="220"/>
      <c r="FN25" s="220"/>
      <c r="FO25" s="220"/>
      <c r="FP25" s="220"/>
      <c r="FQ25" s="220"/>
      <c r="FR25" s="220"/>
      <c r="FS25" s="253"/>
      <c r="FT25" s="255"/>
      <c r="FU25" s="255"/>
      <c r="FV25" s="255"/>
      <c r="FW25" s="255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156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12"/>
      <c r="MM25" s="7"/>
    </row>
    <row r="26" spans="3:351" ht="5.0999999999999996" customHeight="1" x14ac:dyDescent="0.3">
      <c r="C26" s="11"/>
      <c r="D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EE26" s="222"/>
      <c r="EF26" s="223"/>
      <c r="EG26" s="223"/>
      <c r="EH26" s="223"/>
      <c r="EI26" s="223"/>
      <c r="EJ26" s="223"/>
      <c r="EK26" s="223"/>
      <c r="EL26" s="223"/>
      <c r="EM26" s="223"/>
      <c r="EN26" s="223"/>
      <c r="EO26" s="223"/>
      <c r="EP26" s="223"/>
      <c r="EQ26" s="223"/>
      <c r="ER26" s="223"/>
      <c r="ES26" s="223"/>
      <c r="ET26" s="223"/>
      <c r="EU26" s="223"/>
      <c r="EV26" s="223"/>
      <c r="EW26" s="223"/>
      <c r="EX26" s="223"/>
      <c r="EY26" s="223"/>
      <c r="EZ26" s="223"/>
      <c r="FA26" s="223"/>
      <c r="FB26" s="223"/>
      <c r="FC26" s="223"/>
      <c r="FD26" s="223"/>
      <c r="FE26" s="223"/>
      <c r="FF26" s="223"/>
      <c r="FG26" s="223"/>
      <c r="FH26" s="223"/>
      <c r="FI26" s="223"/>
      <c r="FJ26" s="223"/>
      <c r="FK26" s="223"/>
      <c r="FL26" s="223"/>
      <c r="FM26" s="223"/>
      <c r="FN26" s="223"/>
      <c r="FO26" s="223"/>
      <c r="FP26" s="223"/>
      <c r="FQ26" s="223"/>
      <c r="FR26" s="223"/>
      <c r="FS26" s="254"/>
      <c r="FT26" s="255"/>
      <c r="FU26" s="255"/>
      <c r="FV26" s="255"/>
      <c r="FW26" s="255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156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12"/>
      <c r="MM26" s="7"/>
    </row>
    <row r="27" spans="3:351" ht="5.0999999999999996" customHeight="1" x14ac:dyDescent="0.3">
      <c r="C27" s="11"/>
      <c r="D27" s="1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4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156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12"/>
      <c r="MM27" s="7"/>
    </row>
    <row r="28" spans="3:351" ht="5.0999999999999996" customHeight="1" x14ac:dyDescent="0.3">
      <c r="C28" s="11"/>
      <c r="D28" s="13"/>
      <c r="E28" s="33"/>
      <c r="F28" s="33"/>
      <c r="G28" s="33"/>
      <c r="H28" s="33"/>
      <c r="I28" s="33"/>
      <c r="J28" s="33"/>
      <c r="K28" s="33"/>
      <c r="L28" s="33"/>
      <c r="M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4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156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12"/>
      <c r="MM28" s="7"/>
    </row>
    <row r="29" spans="3:351" ht="5.0999999999999996" customHeight="1" x14ac:dyDescent="0.3">
      <c r="C29" s="11"/>
      <c r="D29" s="13"/>
      <c r="EY29" s="16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L29" s="32"/>
      <c r="GM29" s="32"/>
      <c r="JW29" s="155"/>
      <c r="ML29" s="12"/>
      <c r="MM29" s="7"/>
    </row>
    <row r="30" spans="3:351" ht="5.0999999999999996" customHeight="1" x14ac:dyDescent="0.3">
      <c r="C30" s="11"/>
      <c r="D30" s="13"/>
      <c r="EY30" s="16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L30" s="32"/>
      <c r="GM30" s="32"/>
      <c r="JW30" s="155"/>
      <c r="ML30" s="12"/>
      <c r="MM30" s="7"/>
    </row>
    <row r="31" spans="3:351" ht="5.0999999999999996" customHeight="1" x14ac:dyDescent="0.3">
      <c r="C31" s="11"/>
      <c r="D31" s="13"/>
      <c r="EY31" s="16"/>
      <c r="JW31" s="155"/>
      <c r="ML31" s="12"/>
      <c r="MM31" s="7"/>
    </row>
    <row r="32" spans="3:351" ht="5.0999999999999996" customHeight="1" thickBot="1" x14ac:dyDescent="0.35">
      <c r="C32" s="11"/>
      <c r="D32" s="13"/>
      <c r="EY32" s="23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JW32" s="155"/>
      <c r="ML32" s="12"/>
      <c r="MM32" s="7"/>
    </row>
    <row r="33" spans="3:351" ht="5.0999999999999996" customHeight="1" x14ac:dyDescent="0.3">
      <c r="C33" s="11"/>
      <c r="D33" s="13"/>
      <c r="EY33" s="22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0"/>
      <c r="JW33" s="155"/>
      <c r="ML33" s="12"/>
      <c r="MM33" s="7"/>
    </row>
    <row r="34" spans="3:351" ht="5.0999999999999996" customHeight="1" x14ac:dyDescent="0.3">
      <c r="C34" s="11"/>
      <c r="D34" s="13"/>
      <c r="EY34" s="16"/>
      <c r="HS34" s="19"/>
      <c r="JW34" s="155"/>
      <c r="ML34" s="12"/>
      <c r="MM34" s="7"/>
    </row>
    <row r="35" spans="3:351" ht="5.0999999999999996" customHeight="1" x14ac:dyDescent="0.3">
      <c r="C35" s="11"/>
      <c r="D35" s="13"/>
      <c r="EY35" s="16"/>
      <c r="HS35" s="19"/>
      <c r="JW35" s="155"/>
      <c r="ML35" s="12"/>
      <c r="MM35" s="7"/>
    </row>
    <row r="36" spans="3:351" ht="3.75" customHeight="1" x14ac:dyDescent="0.3">
      <c r="C36" s="11"/>
      <c r="D36" s="13"/>
      <c r="EE36" s="184" t="s">
        <v>57</v>
      </c>
      <c r="EF36" s="185"/>
      <c r="EG36" s="185"/>
      <c r="EH36" s="185"/>
      <c r="EI36" s="185"/>
      <c r="EJ36" s="185"/>
      <c r="EK36" s="185"/>
      <c r="EL36" s="185"/>
      <c r="EM36" s="185"/>
      <c r="EN36" s="185"/>
      <c r="EO36" s="185"/>
      <c r="EP36" s="185"/>
      <c r="EQ36" s="185"/>
      <c r="ER36" s="185"/>
      <c r="ES36" s="185"/>
      <c r="ET36" s="185"/>
      <c r="EU36" s="185"/>
      <c r="EV36" s="185"/>
      <c r="EW36" s="185"/>
      <c r="EX36" s="185"/>
      <c r="EY36" s="185"/>
      <c r="EZ36" s="185"/>
      <c r="FA36" s="185"/>
      <c r="FB36" s="185"/>
      <c r="FC36" s="185"/>
      <c r="FD36" s="185"/>
      <c r="FE36" s="185"/>
      <c r="FF36" s="185"/>
      <c r="FG36" s="185"/>
      <c r="FH36" s="185"/>
      <c r="FI36" s="185"/>
      <c r="FJ36" s="185"/>
      <c r="FK36" s="185"/>
      <c r="FL36" s="185"/>
      <c r="FM36" s="185"/>
      <c r="FN36" s="185"/>
      <c r="FO36" s="185"/>
      <c r="FP36" s="185"/>
      <c r="FQ36" s="185"/>
      <c r="FR36" s="185"/>
      <c r="FS36" s="263"/>
      <c r="FT36" s="256">
        <v>1</v>
      </c>
      <c r="FU36" s="257"/>
      <c r="FV36" s="257"/>
      <c r="FW36" s="258"/>
      <c r="HS36" s="19"/>
      <c r="JW36" s="155"/>
      <c r="ML36" s="12"/>
      <c r="MM36" s="7"/>
    </row>
    <row r="37" spans="3:351" ht="5.0999999999999996" customHeight="1" x14ac:dyDescent="0.3">
      <c r="C37" s="11"/>
      <c r="D37" s="13"/>
      <c r="EE37" s="187"/>
      <c r="EF37" s="188"/>
      <c r="EG37" s="188"/>
      <c r="EH37" s="188"/>
      <c r="EI37" s="188"/>
      <c r="EJ37" s="188"/>
      <c r="EK37" s="188"/>
      <c r="EL37" s="188"/>
      <c r="EM37" s="188"/>
      <c r="EN37" s="188"/>
      <c r="EO37" s="188"/>
      <c r="EP37" s="188"/>
      <c r="EQ37" s="188"/>
      <c r="ER37" s="188"/>
      <c r="ES37" s="188"/>
      <c r="ET37" s="188"/>
      <c r="EU37" s="188"/>
      <c r="EV37" s="188"/>
      <c r="EW37" s="188"/>
      <c r="EX37" s="188"/>
      <c r="EY37" s="188"/>
      <c r="EZ37" s="188"/>
      <c r="FA37" s="188"/>
      <c r="FB37" s="188"/>
      <c r="FC37" s="188"/>
      <c r="FD37" s="188"/>
      <c r="FE37" s="188"/>
      <c r="FF37" s="188"/>
      <c r="FG37" s="188"/>
      <c r="FH37" s="188"/>
      <c r="FI37" s="188"/>
      <c r="FJ37" s="188"/>
      <c r="FK37" s="188"/>
      <c r="FL37" s="188"/>
      <c r="FM37" s="188"/>
      <c r="FN37" s="188"/>
      <c r="FO37" s="188"/>
      <c r="FP37" s="188"/>
      <c r="FQ37" s="188"/>
      <c r="FR37" s="188"/>
      <c r="FS37" s="238"/>
      <c r="FT37" s="259"/>
      <c r="FU37" s="220"/>
      <c r="FV37" s="220"/>
      <c r="FW37" s="253"/>
      <c r="GV37" s="256" t="s">
        <v>15</v>
      </c>
      <c r="GW37" s="257"/>
      <c r="GX37" s="257"/>
      <c r="GY37" s="257"/>
      <c r="GZ37" s="257"/>
      <c r="HA37" s="257"/>
      <c r="HB37" s="257"/>
      <c r="HC37" s="257"/>
      <c r="HD37" s="257"/>
      <c r="HE37" s="257"/>
      <c r="HF37" s="257"/>
      <c r="HG37" s="257"/>
      <c r="HH37" s="257"/>
      <c r="HI37" s="257"/>
      <c r="HJ37" s="257"/>
      <c r="HK37" s="257"/>
      <c r="HL37" s="257"/>
      <c r="HM37" s="257"/>
      <c r="HN37" s="257"/>
      <c r="HO37" s="257"/>
      <c r="HP37" s="257"/>
      <c r="HQ37" s="257"/>
      <c r="HR37" s="257"/>
      <c r="HS37" s="257"/>
      <c r="HT37" s="257"/>
      <c r="HU37" s="257"/>
      <c r="HV37" s="257"/>
      <c r="HW37" s="257"/>
      <c r="HX37" s="257"/>
      <c r="HY37" s="257"/>
      <c r="HZ37" s="257"/>
      <c r="IA37" s="257"/>
      <c r="IB37" s="257"/>
      <c r="IC37" s="257"/>
      <c r="ID37" s="257"/>
      <c r="IE37" s="257"/>
      <c r="IF37" s="257"/>
      <c r="IG37" s="257"/>
      <c r="IH37" s="257"/>
      <c r="II37" s="257"/>
      <c r="IJ37" s="258"/>
      <c r="IK37" s="255">
        <f>SUM(IK48)</f>
        <v>1</v>
      </c>
      <c r="IL37" s="255"/>
      <c r="IM37" s="255"/>
      <c r="IN37" s="255"/>
      <c r="IO37" s="255"/>
      <c r="IP37" s="255"/>
      <c r="JW37" s="155"/>
      <c r="ML37" s="12"/>
      <c r="MM37" s="7"/>
    </row>
    <row r="38" spans="3:351" ht="5.0999999999999996" customHeight="1" x14ac:dyDescent="0.3">
      <c r="C38" s="11"/>
      <c r="D38" s="13"/>
      <c r="EE38" s="187"/>
      <c r="EF38" s="188"/>
      <c r="EG38" s="188"/>
      <c r="EH38" s="188"/>
      <c r="EI38" s="188"/>
      <c r="EJ38" s="188"/>
      <c r="EK38" s="188"/>
      <c r="EL38" s="188"/>
      <c r="EM38" s="188"/>
      <c r="EN38" s="188"/>
      <c r="EO38" s="188"/>
      <c r="EP38" s="188"/>
      <c r="EQ38" s="188"/>
      <c r="ER38" s="188"/>
      <c r="ES38" s="188"/>
      <c r="ET38" s="188"/>
      <c r="EU38" s="188"/>
      <c r="EV38" s="188"/>
      <c r="EW38" s="188"/>
      <c r="EX38" s="188"/>
      <c r="EY38" s="188"/>
      <c r="EZ38" s="188"/>
      <c r="FA38" s="188"/>
      <c r="FB38" s="188"/>
      <c r="FC38" s="188"/>
      <c r="FD38" s="188"/>
      <c r="FE38" s="188"/>
      <c r="FF38" s="188"/>
      <c r="FG38" s="188"/>
      <c r="FH38" s="188"/>
      <c r="FI38" s="188"/>
      <c r="FJ38" s="188"/>
      <c r="FK38" s="188"/>
      <c r="FL38" s="188"/>
      <c r="FM38" s="188"/>
      <c r="FN38" s="188"/>
      <c r="FO38" s="188"/>
      <c r="FP38" s="188"/>
      <c r="FQ38" s="188"/>
      <c r="FR38" s="188"/>
      <c r="FS38" s="238"/>
      <c r="FT38" s="259"/>
      <c r="FU38" s="220"/>
      <c r="FV38" s="220"/>
      <c r="FW38" s="253"/>
      <c r="GV38" s="259"/>
      <c r="GW38" s="220"/>
      <c r="GX38" s="220"/>
      <c r="GY38" s="220"/>
      <c r="GZ38" s="220"/>
      <c r="HA38" s="220"/>
      <c r="HB38" s="220"/>
      <c r="HC38" s="220"/>
      <c r="HD38" s="220"/>
      <c r="HE38" s="220"/>
      <c r="HF38" s="220"/>
      <c r="HG38" s="220"/>
      <c r="HH38" s="220"/>
      <c r="HI38" s="220"/>
      <c r="HJ38" s="220"/>
      <c r="HK38" s="220"/>
      <c r="HL38" s="220"/>
      <c r="HM38" s="220"/>
      <c r="HN38" s="220"/>
      <c r="HO38" s="220"/>
      <c r="HP38" s="220"/>
      <c r="HQ38" s="220"/>
      <c r="HR38" s="220"/>
      <c r="HS38" s="220"/>
      <c r="HT38" s="220"/>
      <c r="HU38" s="220"/>
      <c r="HV38" s="220"/>
      <c r="HW38" s="220"/>
      <c r="HX38" s="220"/>
      <c r="HY38" s="220"/>
      <c r="HZ38" s="220"/>
      <c r="IA38" s="220"/>
      <c r="IB38" s="220"/>
      <c r="IC38" s="220"/>
      <c r="ID38" s="220"/>
      <c r="IE38" s="220"/>
      <c r="IF38" s="220"/>
      <c r="IG38" s="220"/>
      <c r="IH38" s="220"/>
      <c r="II38" s="220"/>
      <c r="IJ38" s="253"/>
      <c r="IK38" s="255"/>
      <c r="IL38" s="255"/>
      <c r="IM38" s="255"/>
      <c r="IN38" s="255"/>
      <c r="IO38" s="255"/>
      <c r="IP38" s="255"/>
      <c r="JW38" s="155"/>
      <c r="ML38" s="12"/>
      <c r="MM38" s="7"/>
    </row>
    <row r="39" spans="3:351" ht="5.0999999999999996" customHeight="1" x14ac:dyDescent="0.3">
      <c r="C39" s="11"/>
      <c r="D39" s="13"/>
      <c r="EE39" s="187"/>
      <c r="EF39" s="188"/>
      <c r="EG39" s="188"/>
      <c r="EH39" s="188"/>
      <c r="EI39" s="188"/>
      <c r="EJ39" s="188"/>
      <c r="EK39" s="188"/>
      <c r="EL39" s="188"/>
      <c r="EM39" s="188"/>
      <c r="EN39" s="188"/>
      <c r="EO39" s="188"/>
      <c r="EP39" s="188"/>
      <c r="EQ39" s="188"/>
      <c r="ER39" s="188"/>
      <c r="ES39" s="188"/>
      <c r="ET39" s="188"/>
      <c r="EU39" s="188"/>
      <c r="EV39" s="188"/>
      <c r="EW39" s="188"/>
      <c r="EX39" s="188"/>
      <c r="EY39" s="188"/>
      <c r="EZ39" s="188"/>
      <c r="FA39" s="188"/>
      <c r="FB39" s="188"/>
      <c r="FC39" s="188"/>
      <c r="FD39" s="188"/>
      <c r="FE39" s="188"/>
      <c r="FF39" s="188"/>
      <c r="FG39" s="188"/>
      <c r="FH39" s="188"/>
      <c r="FI39" s="188"/>
      <c r="FJ39" s="188"/>
      <c r="FK39" s="188"/>
      <c r="FL39" s="188"/>
      <c r="FM39" s="188"/>
      <c r="FN39" s="188"/>
      <c r="FO39" s="188"/>
      <c r="FP39" s="188"/>
      <c r="FQ39" s="188"/>
      <c r="FR39" s="188"/>
      <c r="FS39" s="238"/>
      <c r="FT39" s="259"/>
      <c r="FU39" s="220"/>
      <c r="FV39" s="220"/>
      <c r="FW39" s="253"/>
      <c r="GV39" s="259"/>
      <c r="GW39" s="220"/>
      <c r="GX39" s="220"/>
      <c r="GY39" s="220"/>
      <c r="GZ39" s="220"/>
      <c r="HA39" s="220"/>
      <c r="HB39" s="220"/>
      <c r="HC39" s="220"/>
      <c r="HD39" s="220"/>
      <c r="HE39" s="220"/>
      <c r="HF39" s="220"/>
      <c r="HG39" s="220"/>
      <c r="HH39" s="220"/>
      <c r="HI39" s="220"/>
      <c r="HJ39" s="220"/>
      <c r="HK39" s="220"/>
      <c r="HL39" s="220"/>
      <c r="HM39" s="220"/>
      <c r="HN39" s="220"/>
      <c r="HO39" s="220"/>
      <c r="HP39" s="220"/>
      <c r="HQ39" s="220"/>
      <c r="HR39" s="220"/>
      <c r="HS39" s="220"/>
      <c r="HT39" s="220"/>
      <c r="HU39" s="220"/>
      <c r="HV39" s="220"/>
      <c r="HW39" s="220"/>
      <c r="HX39" s="220"/>
      <c r="HY39" s="220"/>
      <c r="HZ39" s="220"/>
      <c r="IA39" s="220"/>
      <c r="IB39" s="220"/>
      <c r="IC39" s="220"/>
      <c r="ID39" s="220"/>
      <c r="IE39" s="220"/>
      <c r="IF39" s="220"/>
      <c r="IG39" s="220"/>
      <c r="IH39" s="220"/>
      <c r="II39" s="220"/>
      <c r="IJ39" s="253"/>
      <c r="IK39" s="255"/>
      <c r="IL39" s="255"/>
      <c r="IM39" s="255"/>
      <c r="IN39" s="255"/>
      <c r="IO39" s="255"/>
      <c r="IP39" s="255"/>
      <c r="JW39" s="155"/>
      <c r="ML39" s="12"/>
      <c r="MM39" s="7"/>
    </row>
    <row r="40" spans="3:351" ht="5.0999999999999996" customHeight="1" x14ac:dyDescent="0.3">
      <c r="C40" s="11"/>
      <c r="D40" s="13"/>
      <c r="EE40" s="187"/>
      <c r="EF40" s="188"/>
      <c r="EG40" s="188"/>
      <c r="EH40" s="188"/>
      <c r="EI40" s="188"/>
      <c r="EJ40" s="188"/>
      <c r="EK40" s="188"/>
      <c r="EL40" s="188"/>
      <c r="EM40" s="188"/>
      <c r="EN40" s="188"/>
      <c r="EO40" s="188"/>
      <c r="EP40" s="188"/>
      <c r="EQ40" s="188"/>
      <c r="ER40" s="188"/>
      <c r="ES40" s="188"/>
      <c r="ET40" s="188"/>
      <c r="EU40" s="188"/>
      <c r="EV40" s="188"/>
      <c r="EW40" s="188"/>
      <c r="EX40" s="188"/>
      <c r="EY40" s="188"/>
      <c r="EZ40" s="188"/>
      <c r="FA40" s="188"/>
      <c r="FB40" s="188"/>
      <c r="FC40" s="188"/>
      <c r="FD40" s="188"/>
      <c r="FE40" s="188"/>
      <c r="FF40" s="188"/>
      <c r="FG40" s="188"/>
      <c r="FH40" s="188"/>
      <c r="FI40" s="188"/>
      <c r="FJ40" s="188"/>
      <c r="FK40" s="188"/>
      <c r="FL40" s="188"/>
      <c r="FM40" s="188"/>
      <c r="FN40" s="188"/>
      <c r="FO40" s="188"/>
      <c r="FP40" s="188"/>
      <c r="FQ40" s="188"/>
      <c r="FR40" s="188"/>
      <c r="FS40" s="238"/>
      <c r="FT40" s="259"/>
      <c r="FU40" s="220"/>
      <c r="FV40" s="220"/>
      <c r="FW40" s="253"/>
      <c r="GV40" s="259"/>
      <c r="GW40" s="220"/>
      <c r="GX40" s="220"/>
      <c r="GY40" s="220"/>
      <c r="GZ40" s="220"/>
      <c r="HA40" s="220"/>
      <c r="HB40" s="220"/>
      <c r="HC40" s="220"/>
      <c r="HD40" s="220"/>
      <c r="HE40" s="220"/>
      <c r="HF40" s="220"/>
      <c r="HG40" s="220"/>
      <c r="HH40" s="220"/>
      <c r="HI40" s="220"/>
      <c r="HJ40" s="220"/>
      <c r="HK40" s="220"/>
      <c r="HL40" s="220"/>
      <c r="HM40" s="220"/>
      <c r="HN40" s="220"/>
      <c r="HO40" s="220"/>
      <c r="HP40" s="220"/>
      <c r="HQ40" s="220"/>
      <c r="HR40" s="220"/>
      <c r="HS40" s="220"/>
      <c r="HT40" s="220"/>
      <c r="HU40" s="220"/>
      <c r="HV40" s="220"/>
      <c r="HW40" s="220"/>
      <c r="HX40" s="220"/>
      <c r="HY40" s="220"/>
      <c r="HZ40" s="220"/>
      <c r="IA40" s="220"/>
      <c r="IB40" s="220"/>
      <c r="IC40" s="220"/>
      <c r="ID40" s="220"/>
      <c r="IE40" s="220"/>
      <c r="IF40" s="220"/>
      <c r="IG40" s="220"/>
      <c r="IH40" s="220"/>
      <c r="II40" s="220"/>
      <c r="IJ40" s="253"/>
      <c r="IK40" s="255"/>
      <c r="IL40" s="255"/>
      <c r="IM40" s="255"/>
      <c r="IN40" s="255"/>
      <c r="IO40" s="255"/>
      <c r="IP40" s="255"/>
      <c r="JW40" s="155"/>
      <c r="ML40" s="12"/>
      <c r="MM40" s="7"/>
    </row>
    <row r="41" spans="3:351" ht="5.0999999999999996" customHeight="1" x14ac:dyDescent="0.3">
      <c r="C41" s="11"/>
      <c r="D41" s="13"/>
      <c r="EE41" s="187"/>
      <c r="EF41" s="188"/>
      <c r="EG41" s="188"/>
      <c r="EH41" s="188"/>
      <c r="EI41" s="188"/>
      <c r="EJ41" s="188"/>
      <c r="EK41" s="188"/>
      <c r="EL41" s="188"/>
      <c r="EM41" s="188"/>
      <c r="EN41" s="188"/>
      <c r="EO41" s="188"/>
      <c r="EP41" s="188"/>
      <c r="EQ41" s="188"/>
      <c r="ER41" s="188"/>
      <c r="ES41" s="188"/>
      <c r="ET41" s="188"/>
      <c r="EU41" s="188"/>
      <c r="EV41" s="188"/>
      <c r="EW41" s="188"/>
      <c r="EX41" s="188"/>
      <c r="EY41" s="188"/>
      <c r="EZ41" s="188"/>
      <c r="FA41" s="188"/>
      <c r="FB41" s="188"/>
      <c r="FC41" s="188"/>
      <c r="FD41" s="188"/>
      <c r="FE41" s="188"/>
      <c r="FF41" s="188"/>
      <c r="FG41" s="188"/>
      <c r="FH41" s="188"/>
      <c r="FI41" s="188"/>
      <c r="FJ41" s="188"/>
      <c r="FK41" s="188"/>
      <c r="FL41" s="188"/>
      <c r="FM41" s="188"/>
      <c r="FN41" s="188"/>
      <c r="FO41" s="188"/>
      <c r="FP41" s="188"/>
      <c r="FQ41" s="188"/>
      <c r="FR41" s="188"/>
      <c r="FS41" s="238"/>
      <c r="FT41" s="259"/>
      <c r="FU41" s="220"/>
      <c r="FV41" s="220"/>
      <c r="FW41" s="253"/>
      <c r="GV41" s="259"/>
      <c r="GW41" s="220"/>
      <c r="GX41" s="220"/>
      <c r="GY41" s="220"/>
      <c r="GZ41" s="220"/>
      <c r="HA41" s="220"/>
      <c r="HB41" s="220"/>
      <c r="HC41" s="220"/>
      <c r="HD41" s="220"/>
      <c r="HE41" s="220"/>
      <c r="HF41" s="220"/>
      <c r="HG41" s="220"/>
      <c r="HH41" s="220"/>
      <c r="HI41" s="220"/>
      <c r="HJ41" s="220"/>
      <c r="HK41" s="220"/>
      <c r="HL41" s="220"/>
      <c r="HM41" s="220"/>
      <c r="HN41" s="220"/>
      <c r="HO41" s="220"/>
      <c r="HP41" s="220"/>
      <c r="HQ41" s="220"/>
      <c r="HR41" s="220"/>
      <c r="HS41" s="220"/>
      <c r="HT41" s="220"/>
      <c r="HU41" s="220"/>
      <c r="HV41" s="220"/>
      <c r="HW41" s="220"/>
      <c r="HX41" s="220"/>
      <c r="HY41" s="220"/>
      <c r="HZ41" s="220"/>
      <c r="IA41" s="220"/>
      <c r="IB41" s="220"/>
      <c r="IC41" s="220"/>
      <c r="ID41" s="220"/>
      <c r="IE41" s="220"/>
      <c r="IF41" s="220"/>
      <c r="IG41" s="220"/>
      <c r="IH41" s="220"/>
      <c r="II41" s="220"/>
      <c r="IJ41" s="253"/>
      <c r="IK41" s="255"/>
      <c r="IL41" s="255"/>
      <c r="IM41" s="255"/>
      <c r="IN41" s="255"/>
      <c r="IO41" s="255"/>
      <c r="IP41" s="255"/>
      <c r="JW41" s="155"/>
      <c r="ML41" s="12"/>
      <c r="MM41" s="7"/>
    </row>
    <row r="42" spans="3:351" ht="5.0999999999999996" customHeight="1" x14ac:dyDescent="0.3">
      <c r="C42" s="11"/>
      <c r="D42" s="13"/>
      <c r="EE42" s="187"/>
      <c r="EF42" s="188"/>
      <c r="EG42" s="188"/>
      <c r="EH42" s="188"/>
      <c r="EI42" s="188"/>
      <c r="EJ42" s="188"/>
      <c r="EK42" s="188"/>
      <c r="EL42" s="188"/>
      <c r="EM42" s="188"/>
      <c r="EN42" s="188"/>
      <c r="EO42" s="188"/>
      <c r="EP42" s="188"/>
      <c r="EQ42" s="188"/>
      <c r="ER42" s="188"/>
      <c r="ES42" s="188"/>
      <c r="ET42" s="188"/>
      <c r="EU42" s="188"/>
      <c r="EV42" s="188"/>
      <c r="EW42" s="188"/>
      <c r="EX42" s="188"/>
      <c r="EY42" s="188"/>
      <c r="EZ42" s="188"/>
      <c r="FA42" s="188"/>
      <c r="FB42" s="188"/>
      <c r="FC42" s="188"/>
      <c r="FD42" s="188"/>
      <c r="FE42" s="188"/>
      <c r="FF42" s="188"/>
      <c r="FG42" s="188"/>
      <c r="FH42" s="188"/>
      <c r="FI42" s="188"/>
      <c r="FJ42" s="188"/>
      <c r="FK42" s="188"/>
      <c r="FL42" s="188"/>
      <c r="FM42" s="188"/>
      <c r="FN42" s="188"/>
      <c r="FO42" s="188"/>
      <c r="FP42" s="188"/>
      <c r="FQ42" s="188"/>
      <c r="FR42" s="188"/>
      <c r="FS42" s="238"/>
      <c r="FT42" s="259"/>
      <c r="FU42" s="220"/>
      <c r="FV42" s="220"/>
      <c r="FW42" s="253"/>
      <c r="GV42" s="259"/>
      <c r="GW42" s="220"/>
      <c r="GX42" s="220"/>
      <c r="GY42" s="220"/>
      <c r="GZ42" s="220"/>
      <c r="HA42" s="220"/>
      <c r="HB42" s="220"/>
      <c r="HC42" s="220"/>
      <c r="HD42" s="220"/>
      <c r="HE42" s="220"/>
      <c r="HF42" s="220"/>
      <c r="HG42" s="220"/>
      <c r="HH42" s="220"/>
      <c r="HI42" s="220"/>
      <c r="HJ42" s="220"/>
      <c r="HK42" s="220"/>
      <c r="HL42" s="220"/>
      <c r="HM42" s="220"/>
      <c r="HN42" s="220"/>
      <c r="HO42" s="220"/>
      <c r="HP42" s="220"/>
      <c r="HQ42" s="220"/>
      <c r="HR42" s="220"/>
      <c r="HS42" s="220"/>
      <c r="HT42" s="220"/>
      <c r="HU42" s="220"/>
      <c r="HV42" s="220"/>
      <c r="HW42" s="220"/>
      <c r="HX42" s="220"/>
      <c r="HY42" s="220"/>
      <c r="HZ42" s="220"/>
      <c r="IA42" s="220"/>
      <c r="IB42" s="220"/>
      <c r="IC42" s="220"/>
      <c r="ID42" s="220"/>
      <c r="IE42" s="220"/>
      <c r="IF42" s="220"/>
      <c r="IG42" s="220"/>
      <c r="IH42" s="220"/>
      <c r="II42" s="220"/>
      <c r="IJ42" s="253"/>
      <c r="IK42" s="255"/>
      <c r="IL42" s="255"/>
      <c r="IM42" s="255"/>
      <c r="IN42" s="255"/>
      <c r="IO42" s="255"/>
      <c r="IP42" s="255"/>
      <c r="JW42" s="155"/>
      <c r="ML42" s="12"/>
      <c r="MM42" s="7"/>
    </row>
    <row r="43" spans="3:351" ht="5.0999999999999996" customHeight="1" x14ac:dyDescent="0.3">
      <c r="C43" s="11"/>
      <c r="D43" s="13"/>
      <c r="EE43" s="187"/>
      <c r="EF43" s="188"/>
      <c r="EG43" s="188"/>
      <c r="EH43" s="188"/>
      <c r="EI43" s="188"/>
      <c r="EJ43" s="188"/>
      <c r="EK43" s="188"/>
      <c r="EL43" s="188"/>
      <c r="EM43" s="188"/>
      <c r="EN43" s="188"/>
      <c r="EO43" s="188"/>
      <c r="EP43" s="188"/>
      <c r="EQ43" s="188"/>
      <c r="ER43" s="188"/>
      <c r="ES43" s="188"/>
      <c r="ET43" s="188"/>
      <c r="EU43" s="188"/>
      <c r="EV43" s="188"/>
      <c r="EW43" s="188"/>
      <c r="EX43" s="188"/>
      <c r="EY43" s="188"/>
      <c r="EZ43" s="188"/>
      <c r="FA43" s="188"/>
      <c r="FB43" s="188"/>
      <c r="FC43" s="188"/>
      <c r="FD43" s="188"/>
      <c r="FE43" s="188"/>
      <c r="FF43" s="188"/>
      <c r="FG43" s="188"/>
      <c r="FH43" s="188"/>
      <c r="FI43" s="188"/>
      <c r="FJ43" s="188"/>
      <c r="FK43" s="188"/>
      <c r="FL43" s="188"/>
      <c r="FM43" s="188"/>
      <c r="FN43" s="188"/>
      <c r="FO43" s="188"/>
      <c r="FP43" s="188"/>
      <c r="FQ43" s="188"/>
      <c r="FR43" s="188"/>
      <c r="FS43" s="238"/>
      <c r="FT43" s="259"/>
      <c r="FU43" s="220"/>
      <c r="FV43" s="220"/>
      <c r="FW43" s="253"/>
      <c r="GV43" s="259"/>
      <c r="GW43" s="220"/>
      <c r="GX43" s="220"/>
      <c r="GY43" s="220"/>
      <c r="GZ43" s="220"/>
      <c r="HA43" s="220"/>
      <c r="HB43" s="220"/>
      <c r="HC43" s="220"/>
      <c r="HD43" s="220"/>
      <c r="HE43" s="220"/>
      <c r="HF43" s="220"/>
      <c r="HG43" s="220"/>
      <c r="HH43" s="220"/>
      <c r="HI43" s="220"/>
      <c r="HJ43" s="220"/>
      <c r="HK43" s="220"/>
      <c r="HL43" s="220"/>
      <c r="HM43" s="220"/>
      <c r="HN43" s="220"/>
      <c r="HO43" s="220"/>
      <c r="HP43" s="220"/>
      <c r="HQ43" s="220"/>
      <c r="HR43" s="220"/>
      <c r="HS43" s="220"/>
      <c r="HT43" s="220"/>
      <c r="HU43" s="220"/>
      <c r="HV43" s="220"/>
      <c r="HW43" s="220"/>
      <c r="HX43" s="220"/>
      <c r="HY43" s="220"/>
      <c r="HZ43" s="220"/>
      <c r="IA43" s="220"/>
      <c r="IB43" s="220"/>
      <c r="IC43" s="220"/>
      <c r="ID43" s="220"/>
      <c r="IE43" s="220"/>
      <c r="IF43" s="220"/>
      <c r="IG43" s="220"/>
      <c r="IH43" s="220"/>
      <c r="II43" s="220"/>
      <c r="IJ43" s="253"/>
      <c r="IK43" s="255"/>
      <c r="IL43" s="255"/>
      <c r="IM43" s="255"/>
      <c r="IN43" s="255"/>
      <c r="IO43" s="255"/>
      <c r="IP43" s="255"/>
      <c r="JW43" s="155"/>
      <c r="ML43" s="12"/>
      <c r="MM43" s="7"/>
    </row>
    <row r="44" spans="3:351" ht="5.0999999999999996" customHeight="1" x14ac:dyDescent="0.3">
      <c r="C44" s="11"/>
      <c r="D44" s="13"/>
      <c r="EE44" s="190"/>
      <c r="EF44" s="191"/>
      <c r="EG44" s="191"/>
      <c r="EH44" s="191"/>
      <c r="EI44" s="191"/>
      <c r="EJ44" s="191"/>
      <c r="EK44" s="191"/>
      <c r="EL44" s="191"/>
      <c r="EM44" s="191"/>
      <c r="EN44" s="191"/>
      <c r="EO44" s="191"/>
      <c r="EP44" s="191"/>
      <c r="EQ44" s="191"/>
      <c r="ER44" s="191"/>
      <c r="ES44" s="191"/>
      <c r="ET44" s="191"/>
      <c r="EU44" s="191"/>
      <c r="EV44" s="191"/>
      <c r="EW44" s="191"/>
      <c r="EX44" s="191"/>
      <c r="EY44" s="191"/>
      <c r="EZ44" s="191"/>
      <c r="FA44" s="191"/>
      <c r="FB44" s="191"/>
      <c r="FC44" s="191"/>
      <c r="FD44" s="191"/>
      <c r="FE44" s="191"/>
      <c r="FF44" s="191"/>
      <c r="FG44" s="191"/>
      <c r="FH44" s="191"/>
      <c r="FI44" s="191"/>
      <c r="FJ44" s="191"/>
      <c r="FK44" s="191"/>
      <c r="FL44" s="191"/>
      <c r="FM44" s="191"/>
      <c r="FN44" s="191"/>
      <c r="FO44" s="191"/>
      <c r="FP44" s="191"/>
      <c r="FQ44" s="191"/>
      <c r="FR44" s="191"/>
      <c r="FS44" s="264"/>
      <c r="FT44" s="260"/>
      <c r="FU44" s="261"/>
      <c r="FV44" s="261"/>
      <c r="FW44" s="262"/>
      <c r="GV44" s="259"/>
      <c r="GW44" s="220"/>
      <c r="GX44" s="220"/>
      <c r="GY44" s="220"/>
      <c r="GZ44" s="220"/>
      <c r="HA44" s="220"/>
      <c r="HB44" s="220"/>
      <c r="HC44" s="220"/>
      <c r="HD44" s="220"/>
      <c r="HE44" s="220"/>
      <c r="HF44" s="220"/>
      <c r="HG44" s="220"/>
      <c r="HH44" s="220"/>
      <c r="HI44" s="220"/>
      <c r="HJ44" s="220"/>
      <c r="HK44" s="220"/>
      <c r="HL44" s="220"/>
      <c r="HM44" s="220"/>
      <c r="HN44" s="220"/>
      <c r="HO44" s="220"/>
      <c r="HP44" s="220"/>
      <c r="HQ44" s="220"/>
      <c r="HR44" s="220"/>
      <c r="HS44" s="220"/>
      <c r="HT44" s="220"/>
      <c r="HU44" s="220"/>
      <c r="HV44" s="220"/>
      <c r="HW44" s="220"/>
      <c r="HX44" s="220"/>
      <c r="HY44" s="220"/>
      <c r="HZ44" s="220"/>
      <c r="IA44" s="220"/>
      <c r="IB44" s="220"/>
      <c r="IC44" s="220"/>
      <c r="ID44" s="220"/>
      <c r="IE44" s="220"/>
      <c r="IF44" s="220"/>
      <c r="IG44" s="220"/>
      <c r="IH44" s="220"/>
      <c r="II44" s="220"/>
      <c r="IJ44" s="253"/>
      <c r="IK44" s="255"/>
      <c r="IL44" s="255"/>
      <c r="IM44" s="255"/>
      <c r="IN44" s="255"/>
      <c r="IO44" s="255"/>
      <c r="IP44" s="255"/>
      <c r="JW44" s="155"/>
      <c r="ML44" s="12"/>
      <c r="MM44" s="7"/>
    </row>
    <row r="45" spans="3:351" ht="5.0999999999999996" customHeight="1" x14ac:dyDescent="0.3">
      <c r="C45" s="11"/>
      <c r="D45" s="13"/>
      <c r="EY45" s="17"/>
      <c r="EZ45" s="18"/>
      <c r="GV45" s="259"/>
      <c r="GW45" s="220"/>
      <c r="GX45" s="220"/>
      <c r="GY45" s="220"/>
      <c r="GZ45" s="220"/>
      <c r="HA45" s="220"/>
      <c r="HB45" s="220"/>
      <c r="HC45" s="220"/>
      <c r="HD45" s="220"/>
      <c r="HE45" s="220"/>
      <c r="HF45" s="220"/>
      <c r="HG45" s="220"/>
      <c r="HH45" s="220"/>
      <c r="HI45" s="220"/>
      <c r="HJ45" s="220"/>
      <c r="HK45" s="220"/>
      <c r="HL45" s="220"/>
      <c r="HM45" s="220"/>
      <c r="HN45" s="220"/>
      <c r="HO45" s="220"/>
      <c r="HP45" s="220"/>
      <c r="HQ45" s="220"/>
      <c r="HR45" s="220"/>
      <c r="HS45" s="220"/>
      <c r="HT45" s="220"/>
      <c r="HU45" s="220"/>
      <c r="HV45" s="220"/>
      <c r="HW45" s="220"/>
      <c r="HX45" s="220"/>
      <c r="HY45" s="220"/>
      <c r="HZ45" s="220"/>
      <c r="IA45" s="220"/>
      <c r="IB45" s="220"/>
      <c r="IC45" s="220"/>
      <c r="ID45" s="220"/>
      <c r="IE45" s="220"/>
      <c r="IF45" s="220"/>
      <c r="IG45" s="220"/>
      <c r="IH45" s="220"/>
      <c r="II45" s="220"/>
      <c r="IJ45" s="253"/>
      <c r="IK45" s="255"/>
      <c r="IL45" s="255"/>
      <c r="IM45" s="255"/>
      <c r="IN45" s="255"/>
      <c r="IO45" s="255"/>
      <c r="IP45" s="255"/>
      <c r="JW45" s="155"/>
      <c r="ML45" s="12"/>
      <c r="MM45" s="7"/>
    </row>
    <row r="46" spans="3:351" ht="5.0999999999999996" customHeight="1" x14ac:dyDescent="0.3">
      <c r="C46" s="11"/>
      <c r="D46" s="13"/>
      <c r="EY46" s="16"/>
      <c r="GV46" s="260"/>
      <c r="GW46" s="261"/>
      <c r="GX46" s="261"/>
      <c r="GY46" s="261"/>
      <c r="GZ46" s="261"/>
      <c r="HA46" s="261"/>
      <c r="HB46" s="261"/>
      <c r="HC46" s="261"/>
      <c r="HD46" s="261"/>
      <c r="HE46" s="261"/>
      <c r="HF46" s="261"/>
      <c r="HG46" s="261"/>
      <c r="HH46" s="261"/>
      <c r="HI46" s="261"/>
      <c r="HJ46" s="261"/>
      <c r="HK46" s="261"/>
      <c r="HL46" s="261"/>
      <c r="HM46" s="261"/>
      <c r="HN46" s="261"/>
      <c r="HO46" s="261"/>
      <c r="HP46" s="261"/>
      <c r="HQ46" s="261"/>
      <c r="HR46" s="261"/>
      <c r="HS46" s="261"/>
      <c r="HT46" s="261"/>
      <c r="HU46" s="261"/>
      <c r="HV46" s="261"/>
      <c r="HW46" s="261"/>
      <c r="HX46" s="261"/>
      <c r="HY46" s="261"/>
      <c r="HZ46" s="261"/>
      <c r="IA46" s="261"/>
      <c r="IB46" s="261"/>
      <c r="IC46" s="261"/>
      <c r="ID46" s="261"/>
      <c r="IE46" s="261"/>
      <c r="IF46" s="261"/>
      <c r="IG46" s="261"/>
      <c r="IH46" s="261"/>
      <c r="II46" s="261"/>
      <c r="IJ46" s="262"/>
      <c r="IK46" s="255"/>
      <c r="IL46" s="255"/>
      <c r="IM46" s="255"/>
      <c r="IN46" s="255"/>
      <c r="IO46" s="255"/>
      <c r="IP46" s="255"/>
      <c r="JW46" s="155"/>
      <c r="ML46" s="12"/>
      <c r="MM46" s="7"/>
    </row>
    <row r="47" spans="3:351" ht="5.0999999999999996" customHeight="1" thickBot="1" x14ac:dyDescent="0.35">
      <c r="C47" s="11"/>
      <c r="D47" s="13"/>
      <c r="EY47" s="16"/>
      <c r="HT47" s="28"/>
      <c r="JW47" s="155"/>
      <c r="ML47" s="12"/>
      <c r="MM47" s="7"/>
    </row>
    <row r="48" spans="3:351" ht="5.0999999999999996" customHeight="1" x14ac:dyDescent="0.3">
      <c r="C48" s="11"/>
      <c r="D48" s="13"/>
      <c r="AH48" s="22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0"/>
      <c r="EY48" s="16"/>
      <c r="GV48" s="234" t="s">
        <v>62</v>
      </c>
      <c r="GW48" s="235"/>
      <c r="GX48" s="235"/>
      <c r="GY48" s="235"/>
      <c r="GZ48" s="235"/>
      <c r="HA48" s="235"/>
      <c r="HB48" s="235"/>
      <c r="HC48" s="235"/>
      <c r="HD48" s="235"/>
      <c r="HE48" s="235"/>
      <c r="HF48" s="235"/>
      <c r="HG48" s="235"/>
      <c r="HH48" s="235"/>
      <c r="HI48" s="235"/>
      <c r="HJ48" s="235"/>
      <c r="HK48" s="235"/>
      <c r="HL48" s="235"/>
      <c r="HM48" s="235"/>
      <c r="HN48" s="235"/>
      <c r="HO48" s="235"/>
      <c r="HP48" s="235"/>
      <c r="HQ48" s="235"/>
      <c r="HR48" s="235"/>
      <c r="HS48" s="235"/>
      <c r="HT48" s="235"/>
      <c r="HU48" s="235"/>
      <c r="HV48" s="235"/>
      <c r="HW48" s="235"/>
      <c r="HX48" s="235"/>
      <c r="HY48" s="235"/>
      <c r="HZ48" s="235"/>
      <c r="IA48" s="235"/>
      <c r="IB48" s="235"/>
      <c r="IC48" s="235"/>
      <c r="ID48" s="235"/>
      <c r="IE48" s="235"/>
      <c r="IF48" s="235"/>
      <c r="IG48" s="235"/>
      <c r="IH48" s="235"/>
      <c r="II48" s="235"/>
      <c r="IJ48" s="236"/>
      <c r="IK48" s="242">
        <v>1</v>
      </c>
      <c r="IL48" s="242"/>
      <c r="IM48" s="242"/>
      <c r="IN48" s="242"/>
      <c r="IO48" s="242"/>
      <c r="IP48" s="242"/>
      <c r="JW48" s="155"/>
      <c r="ML48" s="12"/>
      <c r="MM48" s="7"/>
    </row>
    <row r="49" spans="3:356" ht="5.0999999999999996" customHeight="1" x14ac:dyDescent="0.3">
      <c r="C49" s="11"/>
      <c r="D49" s="13"/>
      <c r="AH49" s="16"/>
      <c r="EX49" s="19"/>
      <c r="EY49" s="16"/>
      <c r="GV49" s="237"/>
      <c r="GW49" s="188"/>
      <c r="GX49" s="188"/>
      <c r="GY49" s="188"/>
      <c r="GZ49" s="188"/>
      <c r="HA49" s="188"/>
      <c r="HB49" s="188"/>
      <c r="HC49" s="188"/>
      <c r="HD49" s="188"/>
      <c r="HE49" s="188"/>
      <c r="HF49" s="188"/>
      <c r="HG49" s="188"/>
      <c r="HH49" s="188"/>
      <c r="HI49" s="188"/>
      <c r="HJ49" s="188"/>
      <c r="HK49" s="188"/>
      <c r="HL49" s="188"/>
      <c r="HM49" s="188"/>
      <c r="HN49" s="188"/>
      <c r="HO49" s="188"/>
      <c r="HP49" s="188"/>
      <c r="HQ49" s="188"/>
      <c r="HR49" s="188"/>
      <c r="HS49" s="188"/>
      <c r="HT49" s="188"/>
      <c r="HU49" s="188"/>
      <c r="HV49" s="188"/>
      <c r="HW49" s="188"/>
      <c r="HX49" s="188"/>
      <c r="HY49" s="188"/>
      <c r="HZ49" s="188"/>
      <c r="IA49" s="188"/>
      <c r="IB49" s="188"/>
      <c r="IC49" s="188"/>
      <c r="ID49" s="188"/>
      <c r="IE49" s="188"/>
      <c r="IF49" s="188"/>
      <c r="IG49" s="188"/>
      <c r="IH49" s="188"/>
      <c r="II49" s="188"/>
      <c r="IJ49" s="238"/>
      <c r="IK49" s="242"/>
      <c r="IL49" s="242"/>
      <c r="IM49" s="242"/>
      <c r="IN49" s="242"/>
      <c r="IO49" s="242"/>
      <c r="IP49" s="242"/>
      <c r="JW49" s="155"/>
      <c r="ML49" s="12"/>
      <c r="MM49" s="7"/>
    </row>
    <row r="50" spans="3:356" ht="5.0999999999999996" customHeight="1" x14ac:dyDescent="0.3">
      <c r="C50" s="11"/>
      <c r="D50" s="13"/>
      <c r="Q50" s="255" t="s">
        <v>16</v>
      </c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255"/>
      <c r="AN50" s="255"/>
      <c r="AO50" s="255"/>
      <c r="AP50" s="255"/>
      <c r="AQ50" s="255"/>
      <c r="AR50" s="255"/>
      <c r="AS50" s="255"/>
      <c r="AT50" s="255"/>
      <c r="AU50" s="255"/>
      <c r="AV50" s="255"/>
      <c r="AW50" s="255"/>
      <c r="AX50" s="255"/>
      <c r="AY50" s="255"/>
      <c r="AZ50" s="255"/>
      <c r="BA50" s="255"/>
      <c r="BB50" s="255"/>
      <c r="BC50" s="255"/>
      <c r="BD50" s="255"/>
      <c r="BE50" s="255"/>
      <c r="BF50" s="255">
        <f>SUM(BF61:BJ81)</f>
        <v>4</v>
      </c>
      <c r="BG50" s="255"/>
      <c r="BH50" s="255"/>
      <c r="BI50" s="255"/>
      <c r="BJ50" s="255"/>
      <c r="EY50" s="16"/>
      <c r="GV50" s="237"/>
      <c r="GW50" s="188"/>
      <c r="GX50" s="188"/>
      <c r="GY50" s="188"/>
      <c r="GZ50" s="188"/>
      <c r="HA50" s="188"/>
      <c r="HB50" s="188"/>
      <c r="HC50" s="188"/>
      <c r="HD50" s="188"/>
      <c r="HE50" s="188"/>
      <c r="HF50" s="188"/>
      <c r="HG50" s="188"/>
      <c r="HH50" s="188"/>
      <c r="HI50" s="188"/>
      <c r="HJ50" s="188"/>
      <c r="HK50" s="188"/>
      <c r="HL50" s="188"/>
      <c r="HM50" s="188"/>
      <c r="HN50" s="188"/>
      <c r="HO50" s="188"/>
      <c r="HP50" s="188"/>
      <c r="HQ50" s="188"/>
      <c r="HR50" s="188"/>
      <c r="HS50" s="188"/>
      <c r="HT50" s="188"/>
      <c r="HU50" s="188"/>
      <c r="HV50" s="188"/>
      <c r="HW50" s="188"/>
      <c r="HX50" s="188"/>
      <c r="HY50" s="188"/>
      <c r="HZ50" s="188"/>
      <c r="IA50" s="188"/>
      <c r="IB50" s="188"/>
      <c r="IC50" s="188"/>
      <c r="ID50" s="188"/>
      <c r="IE50" s="188"/>
      <c r="IF50" s="188"/>
      <c r="IG50" s="188"/>
      <c r="IH50" s="188"/>
      <c r="II50" s="188"/>
      <c r="IJ50" s="238"/>
      <c r="IK50" s="242"/>
      <c r="IL50" s="242"/>
      <c r="IM50" s="242"/>
      <c r="IN50" s="242"/>
      <c r="IO50" s="242"/>
      <c r="IP50" s="242"/>
      <c r="JW50" s="155"/>
      <c r="ML50" s="12"/>
      <c r="MM50" s="7"/>
    </row>
    <row r="51" spans="3:356" ht="5.0999999999999996" customHeight="1" x14ac:dyDescent="0.3">
      <c r="C51" s="11"/>
      <c r="D51" s="13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55"/>
      <c r="AV51" s="255"/>
      <c r="AW51" s="255"/>
      <c r="AX51" s="255"/>
      <c r="AY51" s="255"/>
      <c r="AZ51" s="255"/>
      <c r="BA51" s="255"/>
      <c r="BB51" s="255"/>
      <c r="BC51" s="255"/>
      <c r="BD51" s="255"/>
      <c r="BE51" s="255"/>
      <c r="BF51" s="255"/>
      <c r="BG51" s="255"/>
      <c r="BH51" s="255"/>
      <c r="BI51" s="255"/>
      <c r="BJ51" s="255"/>
      <c r="EY51" s="16"/>
      <c r="GV51" s="237"/>
      <c r="GW51" s="188"/>
      <c r="GX51" s="188"/>
      <c r="GY51" s="188"/>
      <c r="GZ51" s="188"/>
      <c r="HA51" s="188"/>
      <c r="HB51" s="188"/>
      <c r="HC51" s="188"/>
      <c r="HD51" s="188"/>
      <c r="HE51" s="188"/>
      <c r="HF51" s="188"/>
      <c r="HG51" s="188"/>
      <c r="HH51" s="188"/>
      <c r="HI51" s="188"/>
      <c r="HJ51" s="188"/>
      <c r="HK51" s="188"/>
      <c r="HL51" s="188"/>
      <c r="HM51" s="188"/>
      <c r="HN51" s="188"/>
      <c r="HO51" s="188"/>
      <c r="HP51" s="188"/>
      <c r="HQ51" s="188"/>
      <c r="HR51" s="188"/>
      <c r="HS51" s="188"/>
      <c r="HT51" s="188"/>
      <c r="HU51" s="188"/>
      <c r="HV51" s="188"/>
      <c r="HW51" s="188"/>
      <c r="HX51" s="188"/>
      <c r="HY51" s="188"/>
      <c r="HZ51" s="188"/>
      <c r="IA51" s="188"/>
      <c r="IB51" s="188"/>
      <c r="IC51" s="188"/>
      <c r="ID51" s="188"/>
      <c r="IE51" s="188"/>
      <c r="IF51" s="188"/>
      <c r="IG51" s="188"/>
      <c r="IH51" s="188"/>
      <c r="II51" s="188"/>
      <c r="IJ51" s="238"/>
      <c r="IK51" s="242"/>
      <c r="IL51" s="242"/>
      <c r="IM51" s="242"/>
      <c r="IN51" s="242"/>
      <c r="IO51" s="242"/>
      <c r="IP51" s="242"/>
      <c r="JW51" s="155"/>
      <c r="ML51" s="12"/>
      <c r="MM51" s="7"/>
    </row>
    <row r="52" spans="3:356" ht="5.0999999999999996" customHeight="1" x14ac:dyDescent="0.3">
      <c r="C52" s="11"/>
      <c r="D52" s="13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  <c r="AS52" s="255"/>
      <c r="AT52" s="255"/>
      <c r="AU52" s="255"/>
      <c r="AV52" s="255"/>
      <c r="AW52" s="255"/>
      <c r="AX52" s="255"/>
      <c r="AY52" s="255"/>
      <c r="AZ52" s="255"/>
      <c r="BA52" s="255"/>
      <c r="BB52" s="255"/>
      <c r="BC52" s="255"/>
      <c r="BD52" s="255"/>
      <c r="BE52" s="255"/>
      <c r="BF52" s="255"/>
      <c r="BG52" s="255"/>
      <c r="BH52" s="255"/>
      <c r="BI52" s="255"/>
      <c r="BJ52" s="255"/>
      <c r="EY52" s="16"/>
      <c r="GV52" s="237"/>
      <c r="GW52" s="188"/>
      <c r="GX52" s="188"/>
      <c r="GY52" s="188"/>
      <c r="GZ52" s="188"/>
      <c r="HA52" s="188"/>
      <c r="HB52" s="188"/>
      <c r="HC52" s="188"/>
      <c r="HD52" s="188"/>
      <c r="HE52" s="188"/>
      <c r="HF52" s="188"/>
      <c r="HG52" s="188"/>
      <c r="HH52" s="188"/>
      <c r="HI52" s="188"/>
      <c r="HJ52" s="188"/>
      <c r="HK52" s="188"/>
      <c r="HL52" s="188"/>
      <c r="HM52" s="188"/>
      <c r="HN52" s="188"/>
      <c r="HO52" s="188"/>
      <c r="HP52" s="188"/>
      <c r="HQ52" s="188"/>
      <c r="HR52" s="188"/>
      <c r="HS52" s="188"/>
      <c r="HT52" s="188"/>
      <c r="HU52" s="188"/>
      <c r="HV52" s="188"/>
      <c r="HW52" s="188"/>
      <c r="HX52" s="188"/>
      <c r="HY52" s="188"/>
      <c r="HZ52" s="188"/>
      <c r="IA52" s="188"/>
      <c r="IB52" s="188"/>
      <c r="IC52" s="188"/>
      <c r="ID52" s="188"/>
      <c r="IE52" s="188"/>
      <c r="IF52" s="188"/>
      <c r="IG52" s="188"/>
      <c r="IH52" s="188"/>
      <c r="II52" s="188"/>
      <c r="IJ52" s="238"/>
      <c r="IK52" s="242"/>
      <c r="IL52" s="242"/>
      <c r="IM52" s="242"/>
      <c r="IN52" s="242"/>
      <c r="IO52" s="242"/>
      <c r="IP52" s="242"/>
      <c r="JW52" s="155"/>
      <c r="ML52" s="12"/>
      <c r="MM52" s="7"/>
    </row>
    <row r="53" spans="3:356" ht="5.0999999999999996" customHeight="1" x14ac:dyDescent="0.3">
      <c r="C53" s="11"/>
      <c r="D53" s="13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255"/>
      <c r="AN53" s="255"/>
      <c r="AO53" s="255"/>
      <c r="AP53" s="255"/>
      <c r="AQ53" s="255"/>
      <c r="AR53" s="255"/>
      <c r="AS53" s="255"/>
      <c r="AT53" s="255"/>
      <c r="AU53" s="255"/>
      <c r="AV53" s="255"/>
      <c r="AW53" s="255"/>
      <c r="AX53" s="255"/>
      <c r="AY53" s="255"/>
      <c r="AZ53" s="255"/>
      <c r="BA53" s="255"/>
      <c r="BB53" s="255"/>
      <c r="BC53" s="255"/>
      <c r="BD53" s="255"/>
      <c r="BE53" s="255"/>
      <c r="BF53" s="255"/>
      <c r="BG53" s="255"/>
      <c r="BH53" s="255"/>
      <c r="BI53" s="255"/>
      <c r="BJ53" s="255"/>
      <c r="EY53" s="16"/>
      <c r="GV53" s="237"/>
      <c r="GW53" s="188"/>
      <c r="GX53" s="188"/>
      <c r="GY53" s="188"/>
      <c r="GZ53" s="188"/>
      <c r="HA53" s="188"/>
      <c r="HB53" s="188"/>
      <c r="HC53" s="188"/>
      <c r="HD53" s="188"/>
      <c r="HE53" s="188"/>
      <c r="HF53" s="188"/>
      <c r="HG53" s="188"/>
      <c r="HH53" s="188"/>
      <c r="HI53" s="188"/>
      <c r="HJ53" s="188"/>
      <c r="HK53" s="188"/>
      <c r="HL53" s="188"/>
      <c r="HM53" s="188"/>
      <c r="HN53" s="188"/>
      <c r="HO53" s="188"/>
      <c r="HP53" s="188"/>
      <c r="HQ53" s="188"/>
      <c r="HR53" s="188"/>
      <c r="HS53" s="188"/>
      <c r="HT53" s="188"/>
      <c r="HU53" s="188"/>
      <c r="HV53" s="188"/>
      <c r="HW53" s="188"/>
      <c r="HX53" s="188"/>
      <c r="HY53" s="188"/>
      <c r="HZ53" s="188"/>
      <c r="IA53" s="188"/>
      <c r="IB53" s="188"/>
      <c r="IC53" s="188"/>
      <c r="ID53" s="188"/>
      <c r="IE53" s="188"/>
      <c r="IF53" s="188"/>
      <c r="IG53" s="188"/>
      <c r="IH53" s="188"/>
      <c r="II53" s="188"/>
      <c r="IJ53" s="238"/>
      <c r="IK53" s="242"/>
      <c r="IL53" s="242"/>
      <c r="IM53" s="242"/>
      <c r="IN53" s="242"/>
      <c r="IO53" s="242"/>
      <c r="IP53" s="242"/>
      <c r="JW53" s="155"/>
      <c r="ML53" s="12"/>
      <c r="MM53" s="7"/>
    </row>
    <row r="54" spans="3:356" ht="5.0999999999999996" customHeight="1" x14ac:dyDescent="0.3">
      <c r="C54" s="11"/>
      <c r="D54" s="13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255"/>
      <c r="AN54" s="255"/>
      <c r="AO54" s="255"/>
      <c r="AP54" s="255"/>
      <c r="AQ54" s="255"/>
      <c r="AR54" s="255"/>
      <c r="AS54" s="255"/>
      <c r="AT54" s="255"/>
      <c r="AU54" s="255"/>
      <c r="AV54" s="255"/>
      <c r="AW54" s="255"/>
      <c r="AX54" s="255"/>
      <c r="AY54" s="255"/>
      <c r="AZ54" s="255"/>
      <c r="BA54" s="255"/>
      <c r="BB54" s="255"/>
      <c r="BC54" s="255"/>
      <c r="BD54" s="255"/>
      <c r="BE54" s="255"/>
      <c r="BF54" s="255"/>
      <c r="BG54" s="255"/>
      <c r="BH54" s="255"/>
      <c r="BI54" s="255"/>
      <c r="BJ54" s="255"/>
      <c r="EY54" s="16"/>
      <c r="GV54" s="237"/>
      <c r="GW54" s="188"/>
      <c r="GX54" s="188"/>
      <c r="GY54" s="188"/>
      <c r="GZ54" s="188"/>
      <c r="HA54" s="188"/>
      <c r="HB54" s="188"/>
      <c r="HC54" s="188"/>
      <c r="HD54" s="188"/>
      <c r="HE54" s="188"/>
      <c r="HF54" s="188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88"/>
      <c r="HW54" s="188"/>
      <c r="HX54" s="188"/>
      <c r="HY54" s="188"/>
      <c r="HZ54" s="188"/>
      <c r="IA54" s="188"/>
      <c r="IB54" s="188"/>
      <c r="IC54" s="188"/>
      <c r="ID54" s="188"/>
      <c r="IE54" s="188"/>
      <c r="IF54" s="188"/>
      <c r="IG54" s="188"/>
      <c r="IH54" s="188"/>
      <c r="II54" s="188"/>
      <c r="IJ54" s="238"/>
      <c r="IK54" s="242"/>
      <c r="IL54" s="242"/>
      <c r="IM54" s="242"/>
      <c r="IN54" s="242"/>
      <c r="IO54" s="242"/>
      <c r="IP54" s="242"/>
      <c r="JW54" s="155"/>
      <c r="ML54" s="12"/>
      <c r="MM54" s="7"/>
    </row>
    <row r="55" spans="3:356" ht="5.0999999999999996" customHeight="1" x14ac:dyDescent="0.3">
      <c r="C55" s="11"/>
      <c r="D55" s="13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  <c r="EY55" s="16"/>
      <c r="GV55" s="237"/>
      <c r="GW55" s="188"/>
      <c r="GX55" s="188"/>
      <c r="GY55" s="188"/>
      <c r="GZ55" s="188"/>
      <c r="HA55" s="188"/>
      <c r="HB55" s="188"/>
      <c r="HC55" s="188"/>
      <c r="HD55" s="188"/>
      <c r="HE55" s="188"/>
      <c r="HF55" s="188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188"/>
      <c r="HW55" s="188"/>
      <c r="HX55" s="188"/>
      <c r="HY55" s="188"/>
      <c r="HZ55" s="188"/>
      <c r="IA55" s="188"/>
      <c r="IB55" s="188"/>
      <c r="IC55" s="188"/>
      <c r="ID55" s="188"/>
      <c r="IE55" s="188"/>
      <c r="IF55" s="188"/>
      <c r="IG55" s="188"/>
      <c r="IH55" s="188"/>
      <c r="II55" s="188"/>
      <c r="IJ55" s="238"/>
      <c r="IK55" s="242"/>
      <c r="IL55" s="242"/>
      <c r="IM55" s="242"/>
      <c r="IN55" s="242"/>
      <c r="IO55" s="242"/>
      <c r="IP55" s="242"/>
      <c r="JW55" s="155"/>
      <c r="ML55" s="12"/>
      <c r="MM55" s="7"/>
    </row>
    <row r="56" spans="3:356" ht="5.0999999999999996" customHeight="1" x14ac:dyDescent="0.3">
      <c r="C56" s="11"/>
      <c r="D56" s="13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  <c r="EY56" s="16"/>
      <c r="GV56" s="239"/>
      <c r="GW56" s="240"/>
      <c r="GX56" s="240"/>
      <c r="GY56" s="240"/>
      <c r="GZ56" s="240"/>
      <c r="HA56" s="240"/>
      <c r="HB56" s="240"/>
      <c r="HC56" s="240"/>
      <c r="HD56" s="240"/>
      <c r="HE56" s="240"/>
      <c r="HF56" s="240"/>
      <c r="HG56" s="240"/>
      <c r="HH56" s="240"/>
      <c r="HI56" s="240"/>
      <c r="HJ56" s="240"/>
      <c r="HK56" s="240"/>
      <c r="HL56" s="240"/>
      <c r="HM56" s="240"/>
      <c r="HN56" s="240"/>
      <c r="HO56" s="240"/>
      <c r="HP56" s="240"/>
      <c r="HQ56" s="240"/>
      <c r="HR56" s="240"/>
      <c r="HS56" s="240"/>
      <c r="HT56" s="240"/>
      <c r="HU56" s="240"/>
      <c r="HV56" s="240"/>
      <c r="HW56" s="240"/>
      <c r="HX56" s="240"/>
      <c r="HY56" s="240"/>
      <c r="HZ56" s="240"/>
      <c r="IA56" s="240"/>
      <c r="IB56" s="240"/>
      <c r="IC56" s="240"/>
      <c r="ID56" s="240"/>
      <c r="IE56" s="240"/>
      <c r="IF56" s="240"/>
      <c r="IG56" s="240"/>
      <c r="IH56" s="240"/>
      <c r="II56" s="240"/>
      <c r="IJ56" s="241"/>
      <c r="IK56" s="242"/>
      <c r="IL56" s="242"/>
      <c r="IM56" s="242"/>
      <c r="IN56" s="242"/>
      <c r="IO56" s="242"/>
      <c r="IP56" s="242"/>
      <c r="JW56" s="155"/>
      <c r="ML56" s="12"/>
      <c r="MM56" s="7"/>
    </row>
    <row r="57" spans="3:356" ht="5.0999999999999996" customHeight="1" x14ac:dyDescent="0.3">
      <c r="C57" s="11"/>
      <c r="D57" s="13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255"/>
      <c r="BH57" s="255"/>
      <c r="BI57" s="255"/>
      <c r="BJ57" s="255"/>
      <c r="EY57" s="16"/>
      <c r="JW57" s="155"/>
      <c r="ML57" s="12"/>
      <c r="MM57" s="7"/>
    </row>
    <row r="58" spans="3:356" ht="5.0999999999999996" customHeight="1" x14ac:dyDescent="0.3">
      <c r="C58" s="11"/>
      <c r="D58" s="13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5"/>
      <c r="EY58" s="16"/>
      <c r="JW58" s="155"/>
      <c r="ML58" s="12"/>
      <c r="MM58" s="7"/>
    </row>
    <row r="59" spans="3:356" ht="5.0999999999999996" customHeight="1" x14ac:dyDescent="0.3">
      <c r="C59" s="11"/>
      <c r="D59" s="13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  <c r="EY59" s="16"/>
      <c r="JW59" s="155"/>
      <c r="ML59" s="12"/>
      <c r="MM59" s="7"/>
      <c r="MO59" s="3"/>
      <c r="MP59" s="3"/>
      <c r="MQ59" s="3"/>
      <c r="MR59" s="2"/>
    </row>
    <row r="60" spans="3:356" ht="5.0999999999999996" customHeight="1" x14ac:dyDescent="0.3">
      <c r="C60" s="11"/>
      <c r="D60" s="13"/>
      <c r="AH60" s="15"/>
      <c r="EY60" s="16"/>
      <c r="JW60" s="155"/>
      <c r="ML60" s="12"/>
      <c r="MM60" s="7"/>
    </row>
    <row r="61" spans="3:356" ht="5.0999999999999996" customHeight="1" x14ac:dyDescent="0.3">
      <c r="C61" s="11"/>
      <c r="D61" s="13"/>
      <c r="Q61" s="184" t="s">
        <v>60</v>
      </c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/>
      <c r="BD61" s="185"/>
      <c r="BE61" s="186"/>
      <c r="BF61" s="225">
        <v>1</v>
      </c>
      <c r="BG61" s="226"/>
      <c r="BH61" s="226"/>
      <c r="BI61" s="226"/>
      <c r="BJ61" s="227"/>
      <c r="EY61" s="16"/>
      <c r="JW61" s="155"/>
      <c r="ML61" s="12"/>
      <c r="MM61" s="7"/>
    </row>
    <row r="62" spans="3:356" ht="5.0999999999999996" customHeight="1" x14ac:dyDescent="0.3">
      <c r="C62" s="11"/>
      <c r="D62" s="13"/>
      <c r="Q62" s="187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9"/>
      <c r="BF62" s="228"/>
      <c r="BG62" s="229"/>
      <c r="BH62" s="229"/>
      <c r="BI62" s="229"/>
      <c r="BJ62" s="230"/>
      <c r="EY62" s="16"/>
      <c r="JW62" s="155"/>
      <c r="ML62" s="12"/>
      <c r="MM62" s="7"/>
    </row>
    <row r="63" spans="3:356" ht="5.0999999999999996" customHeight="1" thickBot="1" x14ac:dyDescent="0.35">
      <c r="C63" s="11"/>
      <c r="D63" s="13"/>
      <c r="Q63" s="187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9"/>
      <c r="BF63" s="228"/>
      <c r="BG63" s="229"/>
      <c r="BH63" s="229"/>
      <c r="BI63" s="229"/>
      <c r="BJ63" s="230"/>
      <c r="EY63" s="16"/>
      <c r="JW63" s="155"/>
      <c r="ML63" s="12"/>
      <c r="MM63" s="7"/>
    </row>
    <row r="64" spans="3:356" ht="5.0999999999999996" customHeight="1" x14ac:dyDescent="0.3">
      <c r="C64" s="11"/>
      <c r="D64" s="13"/>
      <c r="Q64" s="187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9"/>
      <c r="BF64" s="228"/>
      <c r="BG64" s="229"/>
      <c r="BH64" s="229"/>
      <c r="BI64" s="229"/>
      <c r="BJ64" s="230"/>
      <c r="EY64" s="22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160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0"/>
      <c r="ML64" s="12"/>
      <c r="MM64" s="7"/>
    </row>
    <row r="65" spans="3:356" ht="5.0999999999999996" customHeight="1" x14ac:dyDescent="0.3">
      <c r="C65" s="11"/>
      <c r="D65" s="13"/>
      <c r="Q65" s="187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9"/>
      <c r="BF65" s="228"/>
      <c r="BG65" s="229"/>
      <c r="BH65" s="229"/>
      <c r="BI65" s="229"/>
      <c r="BJ65" s="230"/>
      <c r="EY65" s="16"/>
      <c r="JW65" s="155"/>
      <c r="LA65" s="19"/>
      <c r="ML65" s="12"/>
      <c r="MM65" s="7"/>
    </row>
    <row r="66" spans="3:356" ht="5.0999999999999996" customHeight="1" x14ac:dyDescent="0.3">
      <c r="C66" s="11"/>
      <c r="D66" s="13"/>
      <c r="Q66" s="187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9"/>
      <c r="BF66" s="228"/>
      <c r="BG66" s="229"/>
      <c r="BH66" s="229"/>
      <c r="BI66" s="229"/>
      <c r="BJ66" s="230"/>
      <c r="EY66" s="16"/>
      <c r="JW66" s="155"/>
      <c r="LA66" s="19"/>
      <c r="ML66" s="12"/>
      <c r="MM66" s="7"/>
    </row>
    <row r="67" spans="3:356" ht="5.0999999999999996" customHeight="1" x14ac:dyDescent="0.3">
      <c r="C67" s="11"/>
      <c r="D67" s="13"/>
      <c r="Q67" s="187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9"/>
      <c r="BF67" s="228"/>
      <c r="BG67" s="229"/>
      <c r="BH67" s="229"/>
      <c r="BI67" s="229"/>
      <c r="BJ67" s="230"/>
      <c r="EY67" s="16"/>
      <c r="JW67" s="155"/>
      <c r="LA67" s="19"/>
      <c r="ML67" s="12"/>
      <c r="MM67" s="7"/>
    </row>
    <row r="68" spans="3:356" ht="5.0999999999999996" customHeight="1" x14ac:dyDescent="0.3">
      <c r="C68" s="11"/>
      <c r="D68" s="13"/>
      <c r="Q68" s="187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9"/>
      <c r="BF68" s="228"/>
      <c r="BG68" s="229"/>
      <c r="BH68" s="229"/>
      <c r="BI68" s="229"/>
      <c r="BJ68" s="230"/>
      <c r="EY68" s="16"/>
      <c r="JW68" s="155"/>
      <c r="LA68" s="19"/>
      <c r="ML68" s="12"/>
      <c r="MM68" s="7"/>
    </row>
    <row r="69" spans="3:356" ht="5.0999999999999996" customHeight="1" x14ac:dyDescent="0.3">
      <c r="C69" s="11"/>
      <c r="D69" s="13"/>
      <c r="Q69" s="187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9"/>
      <c r="BF69" s="228"/>
      <c r="BG69" s="229"/>
      <c r="BH69" s="229"/>
      <c r="BI69" s="229"/>
      <c r="BJ69" s="230"/>
      <c r="EY69" s="16"/>
      <c r="JW69" s="155"/>
      <c r="LA69" s="19"/>
      <c r="ML69" s="12"/>
      <c r="MM69" s="7"/>
      <c r="MO69" s="3"/>
      <c r="MP69" s="3"/>
      <c r="MQ69" s="3"/>
      <c r="MR69" s="2"/>
    </row>
    <row r="70" spans="3:356" ht="5.0999999999999996" customHeight="1" x14ac:dyDescent="0.3">
      <c r="C70" s="11"/>
      <c r="D70" s="13"/>
      <c r="Q70" s="190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2"/>
      <c r="BF70" s="231"/>
      <c r="BG70" s="232"/>
      <c r="BH70" s="232"/>
      <c r="BI70" s="232"/>
      <c r="BJ70" s="233"/>
      <c r="EY70" s="16"/>
      <c r="JW70" s="155"/>
      <c r="LA70" s="19"/>
      <c r="ML70" s="12"/>
      <c r="MM70" s="7"/>
    </row>
    <row r="71" spans="3:356" ht="5.0999999999999996" customHeight="1" x14ac:dyDescent="0.3">
      <c r="C71" s="11"/>
      <c r="D71" s="13"/>
      <c r="AF71" s="27"/>
      <c r="AG71" s="26"/>
      <c r="EY71" s="16"/>
      <c r="JW71" s="155"/>
      <c r="LA71" s="19"/>
      <c r="ML71" s="12"/>
      <c r="MM71" s="7"/>
    </row>
    <row r="72" spans="3:356" ht="5.0999999999999996" customHeight="1" x14ac:dyDescent="0.3">
      <c r="C72" s="11"/>
      <c r="D72" s="13"/>
      <c r="Q72" s="184" t="s">
        <v>58</v>
      </c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6"/>
      <c r="BF72" s="225">
        <v>3</v>
      </c>
      <c r="BG72" s="226"/>
      <c r="BH72" s="226"/>
      <c r="BI72" s="226"/>
      <c r="BJ72" s="227"/>
      <c r="EY72" s="16"/>
      <c r="JW72" s="155"/>
      <c r="LA72" s="19"/>
      <c r="ML72" s="12"/>
      <c r="MM72" s="7"/>
    </row>
    <row r="73" spans="3:356" ht="5.0999999999999996" customHeight="1" x14ac:dyDescent="0.3">
      <c r="C73" s="11"/>
      <c r="D73" s="13"/>
      <c r="Q73" s="187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9"/>
      <c r="BF73" s="228"/>
      <c r="BG73" s="229"/>
      <c r="BH73" s="229"/>
      <c r="BI73" s="229"/>
      <c r="BJ73" s="230"/>
      <c r="EY73" s="16"/>
      <c r="JW73" s="155"/>
      <c r="LA73" s="19"/>
      <c r="ML73" s="12"/>
      <c r="MM73" s="7"/>
    </row>
    <row r="74" spans="3:356" ht="5.0999999999999996" customHeight="1" x14ac:dyDescent="0.3">
      <c r="C74" s="11"/>
      <c r="D74" s="13"/>
      <c r="Q74" s="187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E74" s="189"/>
      <c r="BF74" s="228"/>
      <c r="BG74" s="229"/>
      <c r="BH74" s="229"/>
      <c r="BI74" s="229"/>
      <c r="BJ74" s="230"/>
      <c r="EY74" s="16"/>
      <c r="JW74" s="155"/>
      <c r="LA74" s="19"/>
      <c r="ML74" s="12"/>
      <c r="MM74" s="7"/>
    </row>
    <row r="75" spans="3:356" ht="5.0999999999999996" customHeight="1" x14ac:dyDescent="0.3">
      <c r="C75" s="11"/>
      <c r="D75" s="13"/>
      <c r="Q75" s="187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E75" s="189"/>
      <c r="BF75" s="228"/>
      <c r="BG75" s="229"/>
      <c r="BH75" s="229"/>
      <c r="BI75" s="229"/>
      <c r="BJ75" s="230"/>
      <c r="EY75" s="16"/>
      <c r="JW75" s="155"/>
      <c r="LA75" s="19"/>
      <c r="ML75" s="12"/>
      <c r="MM75" s="7"/>
    </row>
    <row r="76" spans="3:356" ht="5.0999999999999996" customHeight="1" x14ac:dyDescent="0.3">
      <c r="C76" s="11"/>
      <c r="D76" s="13"/>
      <c r="Q76" s="187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E76" s="189"/>
      <c r="BF76" s="228"/>
      <c r="BG76" s="229"/>
      <c r="BH76" s="229"/>
      <c r="BI76" s="229"/>
      <c r="BJ76" s="230"/>
      <c r="EY76" s="16"/>
      <c r="JW76" s="155"/>
      <c r="LA76" s="19"/>
      <c r="ML76" s="12"/>
      <c r="MM76" s="7"/>
    </row>
    <row r="77" spans="3:356" ht="5.0999999999999996" customHeight="1" x14ac:dyDescent="0.3">
      <c r="C77" s="11"/>
      <c r="D77" s="13"/>
      <c r="Q77" s="187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9"/>
      <c r="BF77" s="228"/>
      <c r="BG77" s="229"/>
      <c r="BH77" s="229"/>
      <c r="BI77" s="229"/>
      <c r="BJ77" s="230"/>
      <c r="EY77" s="16"/>
      <c r="JW77" s="155"/>
      <c r="LA77" s="19"/>
      <c r="ML77" s="12"/>
      <c r="MM77" s="7"/>
    </row>
    <row r="78" spans="3:356" ht="5.0999999999999996" customHeight="1" x14ac:dyDescent="0.3">
      <c r="C78" s="11"/>
      <c r="D78" s="13"/>
      <c r="Q78" s="187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9"/>
      <c r="BF78" s="228"/>
      <c r="BG78" s="229"/>
      <c r="BH78" s="229"/>
      <c r="BI78" s="229"/>
      <c r="BJ78" s="230"/>
      <c r="EY78" s="16"/>
      <c r="JW78" s="155"/>
      <c r="LA78" s="19"/>
      <c r="ML78" s="12"/>
      <c r="MM78" s="7"/>
    </row>
    <row r="79" spans="3:356" ht="5.0999999999999996" customHeight="1" x14ac:dyDescent="0.3">
      <c r="C79" s="11"/>
      <c r="D79" s="13"/>
      <c r="Q79" s="187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9"/>
      <c r="BF79" s="228"/>
      <c r="BG79" s="229"/>
      <c r="BH79" s="229"/>
      <c r="BI79" s="229"/>
      <c r="BJ79" s="230"/>
      <c r="EY79" s="16"/>
      <c r="JW79" s="155"/>
      <c r="LA79" s="19"/>
      <c r="ML79" s="12"/>
      <c r="MM79" s="7"/>
    </row>
    <row r="80" spans="3:356" ht="5.0999999999999996" customHeight="1" x14ac:dyDescent="0.3">
      <c r="C80" s="11"/>
      <c r="D80" s="13"/>
      <c r="Q80" s="187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9"/>
      <c r="BF80" s="228"/>
      <c r="BG80" s="229"/>
      <c r="BH80" s="229"/>
      <c r="BI80" s="229"/>
      <c r="BJ80" s="230"/>
      <c r="EY80" s="16"/>
      <c r="JW80" s="155"/>
      <c r="LA80" s="19"/>
      <c r="ML80" s="12"/>
      <c r="MM80" s="7"/>
    </row>
    <row r="81" spans="3:351" ht="5.0999999999999996" customHeight="1" x14ac:dyDescent="0.3">
      <c r="C81" s="11"/>
      <c r="D81" s="13"/>
      <c r="Q81" s="190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  <c r="BE81" s="192"/>
      <c r="BF81" s="231"/>
      <c r="BG81" s="232"/>
      <c r="BH81" s="232"/>
      <c r="BI81" s="232"/>
      <c r="BJ81" s="233"/>
      <c r="EY81" s="16"/>
      <c r="JW81" s="155"/>
      <c r="LA81" s="19"/>
      <c r="ML81" s="12"/>
      <c r="MM81" s="7"/>
    </row>
    <row r="82" spans="3:351" ht="5.0999999999999996" customHeight="1" x14ac:dyDescent="0.3">
      <c r="C82" s="11"/>
      <c r="D82" s="13"/>
      <c r="EY82" s="16"/>
      <c r="JW82" s="155"/>
      <c r="LA82" s="19"/>
      <c r="ML82" s="12"/>
      <c r="MM82" s="7"/>
    </row>
    <row r="83" spans="3:351" ht="5.0999999999999996" customHeight="1" x14ac:dyDescent="0.3">
      <c r="C83" s="11"/>
      <c r="D83" s="13"/>
      <c r="EY83" s="16"/>
      <c r="JW83" s="155"/>
      <c r="LA83" s="19"/>
      <c r="ML83" s="12"/>
      <c r="MM83" s="7"/>
    </row>
    <row r="84" spans="3:351" ht="5.0999999999999996" customHeight="1" x14ac:dyDescent="0.3">
      <c r="C84" s="11"/>
      <c r="D84" s="13"/>
      <c r="EY84" s="16"/>
      <c r="JW84" s="155"/>
      <c r="LA84" s="19"/>
      <c r="ML84" s="12"/>
      <c r="MM84" s="7"/>
    </row>
    <row r="85" spans="3:351" ht="5.0999999999999996" customHeight="1" x14ac:dyDescent="0.3">
      <c r="C85" s="11"/>
      <c r="D85" s="13"/>
      <c r="EY85" s="16"/>
      <c r="JW85" s="155"/>
      <c r="LA85" s="19"/>
      <c r="ML85" s="12"/>
      <c r="MM85" s="7"/>
    </row>
    <row r="86" spans="3:351" ht="5.0999999999999996" customHeight="1" x14ac:dyDescent="0.3">
      <c r="C86" s="11"/>
      <c r="D86" s="13"/>
      <c r="EY86" s="16"/>
      <c r="JW86" s="155"/>
      <c r="LA86" s="19"/>
      <c r="ML86" s="12"/>
      <c r="MM86" s="7"/>
    </row>
    <row r="87" spans="3:351" ht="5.0999999999999996" customHeight="1" x14ac:dyDescent="0.3">
      <c r="C87" s="11"/>
      <c r="D87" s="13"/>
      <c r="EY87" s="16"/>
      <c r="JW87" s="155"/>
      <c r="LA87" s="19"/>
      <c r="ML87" s="12"/>
      <c r="MM87" s="7"/>
    </row>
    <row r="88" spans="3:351" ht="5.0999999999999996" customHeight="1" x14ac:dyDescent="0.3">
      <c r="C88" s="11"/>
      <c r="D88" s="13"/>
      <c r="EY88" s="16"/>
      <c r="JW88" s="155"/>
      <c r="LA88" s="19"/>
      <c r="ML88" s="12"/>
      <c r="MM88" s="7"/>
    </row>
    <row r="89" spans="3:351" ht="5.0999999999999996" customHeight="1" x14ac:dyDescent="0.3">
      <c r="C89" s="11"/>
      <c r="D89" s="13"/>
      <c r="EY89" s="16"/>
      <c r="JW89" s="155"/>
      <c r="LA89" s="19"/>
      <c r="ML89" s="12"/>
      <c r="MM89" s="7"/>
    </row>
    <row r="90" spans="3:351" ht="5.0999999999999996" customHeight="1" x14ac:dyDescent="0.3">
      <c r="C90" s="11"/>
      <c r="D90" s="13"/>
      <c r="EY90" s="16"/>
      <c r="JW90" s="155"/>
      <c r="LA90" s="19"/>
      <c r="ML90" s="12"/>
      <c r="MM90" s="7"/>
    </row>
    <row r="91" spans="3:351" ht="5.0999999999999996" customHeight="1" x14ac:dyDescent="0.3">
      <c r="C91" s="11"/>
      <c r="D91" s="13"/>
      <c r="EY91" s="16"/>
      <c r="JW91" s="155"/>
      <c r="LA91" s="19"/>
      <c r="ML91" s="12"/>
      <c r="MM91" s="7"/>
    </row>
    <row r="92" spans="3:351" ht="5.0999999999999996" customHeight="1" x14ac:dyDescent="0.3">
      <c r="C92" s="11"/>
      <c r="D92" s="13"/>
      <c r="EY92" s="16"/>
      <c r="FY92" s="184" t="s">
        <v>56</v>
      </c>
      <c r="FZ92" s="185"/>
      <c r="GA92" s="185"/>
      <c r="GB92" s="185"/>
      <c r="GC92" s="185"/>
      <c r="GD92" s="185"/>
      <c r="GE92" s="185"/>
      <c r="GF92" s="185"/>
      <c r="GG92" s="185"/>
      <c r="GH92" s="185"/>
      <c r="GI92" s="185"/>
      <c r="GJ92" s="185"/>
      <c r="GK92" s="185"/>
      <c r="GL92" s="185"/>
      <c r="GM92" s="185"/>
      <c r="GN92" s="185"/>
      <c r="GO92" s="185"/>
      <c r="GP92" s="185"/>
      <c r="GQ92" s="185"/>
      <c r="GR92" s="185"/>
      <c r="GS92" s="185"/>
      <c r="GT92" s="185"/>
      <c r="GU92" s="185"/>
      <c r="GV92" s="185"/>
      <c r="GW92" s="185"/>
      <c r="GX92" s="185"/>
      <c r="GY92" s="185"/>
      <c r="GZ92" s="185"/>
      <c r="HA92" s="185"/>
      <c r="HB92" s="185"/>
      <c r="HC92" s="185"/>
      <c r="HD92" s="185"/>
      <c r="HE92" s="185"/>
      <c r="HF92" s="185"/>
      <c r="HG92" s="185"/>
      <c r="HH92" s="185"/>
      <c r="HI92" s="185"/>
      <c r="HJ92" s="185"/>
      <c r="HK92" s="185"/>
      <c r="HL92" s="186"/>
      <c r="HM92" s="184">
        <v>1</v>
      </c>
      <c r="HN92" s="185"/>
      <c r="HO92" s="185"/>
      <c r="HP92" s="185"/>
      <c r="HQ92" s="186"/>
      <c r="JW92" s="155"/>
      <c r="LA92" s="19"/>
      <c r="ML92" s="12"/>
      <c r="MM92" s="7"/>
    </row>
    <row r="93" spans="3:351" ht="5.0999999999999996" customHeight="1" x14ac:dyDescent="0.3">
      <c r="C93" s="11"/>
      <c r="D93" s="13"/>
      <c r="EY93" s="16"/>
      <c r="FY93" s="187"/>
      <c r="FZ93" s="188"/>
      <c r="GA93" s="188"/>
      <c r="GB93" s="188"/>
      <c r="GC93" s="188"/>
      <c r="GD93" s="188"/>
      <c r="GE93" s="188"/>
      <c r="GF93" s="188"/>
      <c r="GG93" s="188"/>
      <c r="GH93" s="188"/>
      <c r="GI93" s="188"/>
      <c r="GJ93" s="188"/>
      <c r="GK93" s="188"/>
      <c r="GL93" s="188"/>
      <c r="GM93" s="188"/>
      <c r="GN93" s="188"/>
      <c r="GO93" s="188"/>
      <c r="GP93" s="188"/>
      <c r="GQ93" s="188"/>
      <c r="GR93" s="188"/>
      <c r="GS93" s="188"/>
      <c r="GT93" s="188"/>
      <c r="GU93" s="188"/>
      <c r="GV93" s="188"/>
      <c r="GW93" s="188"/>
      <c r="GX93" s="188"/>
      <c r="GY93" s="188"/>
      <c r="GZ93" s="188"/>
      <c r="HA93" s="188"/>
      <c r="HB93" s="188"/>
      <c r="HC93" s="188"/>
      <c r="HD93" s="188"/>
      <c r="HE93" s="188"/>
      <c r="HF93" s="188"/>
      <c r="HG93" s="188"/>
      <c r="HH93" s="188"/>
      <c r="HI93" s="188"/>
      <c r="HJ93" s="188"/>
      <c r="HK93" s="188"/>
      <c r="HL93" s="189"/>
      <c r="HM93" s="187"/>
      <c r="HN93" s="188"/>
      <c r="HO93" s="188"/>
      <c r="HP93" s="188"/>
      <c r="HQ93" s="189"/>
      <c r="JW93" s="155"/>
      <c r="LA93" s="19"/>
      <c r="ML93" s="12"/>
      <c r="MM93" s="7"/>
    </row>
    <row r="94" spans="3:351" ht="5.0999999999999996" customHeight="1" x14ac:dyDescent="0.3">
      <c r="C94" s="11"/>
      <c r="D94" s="13"/>
      <c r="EY94" s="16"/>
      <c r="FY94" s="187"/>
      <c r="FZ94" s="188"/>
      <c r="GA94" s="188"/>
      <c r="GB94" s="188"/>
      <c r="GC94" s="188"/>
      <c r="GD94" s="188"/>
      <c r="GE94" s="188"/>
      <c r="GF94" s="188"/>
      <c r="GG94" s="188"/>
      <c r="GH94" s="188"/>
      <c r="GI94" s="188"/>
      <c r="GJ94" s="188"/>
      <c r="GK94" s="188"/>
      <c r="GL94" s="188"/>
      <c r="GM94" s="188"/>
      <c r="GN94" s="188"/>
      <c r="GO94" s="188"/>
      <c r="GP94" s="188"/>
      <c r="GQ94" s="188"/>
      <c r="GR94" s="188"/>
      <c r="GS94" s="188"/>
      <c r="GT94" s="188"/>
      <c r="GU94" s="188"/>
      <c r="GV94" s="188"/>
      <c r="GW94" s="188"/>
      <c r="GX94" s="188"/>
      <c r="GY94" s="188"/>
      <c r="GZ94" s="188"/>
      <c r="HA94" s="188"/>
      <c r="HB94" s="188"/>
      <c r="HC94" s="188"/>
      <c r="HD94" s="188"/>
      <c r="HE94" s="188"/>
      <c r="HF94" s="188"/>
      <c r="HG94" s="188"/>
      <c r="HH94" s="188"/>
      <c r="HI94" s="188"/>
      <c r="HJ94" s="188"/>
      <c r="HK94" s="188"/>
      <c r="HL94" s="189"/>
      <c r="HM94" s="187"/>
      <c r="HN94" s="188"/>
      <c r="HO94" s="188"/>
      <c r="HP94" s="188"/>
      <c r="HQ94" s="189"/>
      <c r="JW94" s="155"/>
      <c r="LA94" s="19"/>
      <c r="ML94" s="12"/>
      <c r="MM94" s="7"/>
    </row>
    <row r="95" spans="3:351" ht="5.0999999999999996" customHeight="1" x14ac:dyDescent="0.3">
      <c r="C95" s="11"/>
      <c r="D95" s="13"/>
      <c r="EY95" s="16"/>
      <c r="FY95" s="187"/>
      <c r="FZ95" s="188"/>
      <c r="GA95" s="188"/>
      <c r="GB95" s="188"/>
      <c r="GC95" s="188"/>
      <c r="GD95" s="188"/>
      <c r="GE95" s="188"/>
      <c r="GF95" s="188"/>
      <c r="GG95" s="188"/>
      <c r="GH95" s="188"/>
      <c r="GI95" s="188"/>
      <c r="GJ95" s="188"/>
      <c r="GK95" s="188"/>
      <c r="GL95" s="188"/>
      <c r="GM95" s="188"/>
      <c r="GN95" s="188"/>
      <c r="GO95" s="188"/>
      <c r="GP95" s="188"/>
      <c r="GQ95" s="188"/>
      <c r="GR95" s="188"/>
      <c r="GS95" s="188"/>
      <c r="GT95" s="188"/>
      <c r="GU95" s="188"/>
      <c r="GV95" s="188"/>
      <c r="GW95" s="188"/>
      <c r="GX95" s="188"/>
      <c r="GY95" s="188"/>
      <c r="GZ95" s="188"/>
      <c r="HA95" s="188"/>
      <c r="HB95" s="188"/>
      <c r="HC95" s="188"/>
      <c r="HD95" s="188"/>
      <c r="HE95" s="188"/>
      <c r="HF95" s="188"/>
      <c r="HG95" s="188"/>
      <c r="HH95" s="188"/>
      <c r="HI95" s="188"/>
      <c r="HJ95" s="188"/>
      <c r="HK95" s="188"/>
      <c r="HL95" s="189"/>
      <c r="HM95" s="187"/>
      <c r="HN95" s="188"/>
      <c r="HO95" s="188"/>
      <c r="HP95" s="188"/>
      <c r="HQ95" s="189"/>
      <c r="JW95" s="155"/>
      <c r="LA95" s="19"/>
      <c r="ML95" s="12"/>
      <c r="MM95" s="7"/>
    </row>
    <row r="96" spans="3:351" ht="5.0999999999999996" customHeight="1" x14ac:dyDescent="0.3">
      <c r="C96" s="11"/>
      <c r="D96" s="13"/>
      <c r="EY96" s="16"/>
      <c r="FY96" s="187"/>
      <c r="FZ96" s="188"/>
      <c r="GA96" s="188"/>
      <c r="GB96" s="188"/>
      <c r="GC96" s="188"/>
      <c r="GD96" s="188"/>
      <c r="GE96" s="188"/>
      <c r="GF96" s="188"/>
      <c r="GG96" s="188"/>
      <c r="GH96" s="188"/>
      <c r="GI96" s="188"/>
      <c r="GJ96" s="188"/>
      <c r="GK96" s="188"/>
      <c r="GL96" s="188"/>
      <c r="GM96" s="188"/>
      <c r="GN96" s="188"/>
      <c r="GO96" s="188"/>
      <c r="GP96" s="188"/>
      <c r="GQ96" s="188"/>
      <c r="GR96" s="188"/>
      <c r="GS96" s="188"/>
      <c r="GT96" s="188"/>
      <c r="GU96" s="188"/>
      <c r="GV96" s="188"/>
      <c r="GW96" s="188"/>
      <c r="GX96" s="188"/>
      <c r="GY96" s="188"/>
      <c r="GZ96" s="188"/>
      <c r="HA96" s="188"/>
      <c r="HB96" s="188"/>
      <c r="HC96" s="188"/>
      <c r="HD96" s="188"/>
      <c r="HE96" s="188"/>
      <c r="HF96" s="188"/>
      <c r="HG96" s="188"/>
      <c r="HH96" s="188"/>
      <c r="HI96" s="188"/>
      <c r="HJ96" s="188"/>
      <c r="HK96" s="188"/>
      <c r="HL96" s="189"/>
      <c r="HM96" s="187"/>
      <c r="HN96" s="188"/>
      <c r="HO96" s="188"/>
      <c r="HP96" s="188"/>
      <c r="HQ96" s="189"/>
      <c r="JW96" s="155"/>
      <c r="LA96" s="19"/>
      <c r="ML96" s="12"/>
      <c r="MM96" s="7"/>
    </row>
    <row r="97" spans="3:356" ht="5.0999999999999996" customHeight="1" x14ac:dyDescent="0.3">
      <c r="C97" s="11"/>
      <c r="D97" s="13"/>
      <c r="BS97" s="184" t="s">
        <v>59</v>
      </c>
      <c r="BT97" s="185"/>
      <c r="BU97" s="185"/>
      <c r="BV97" s="185"/>
      <c r="BW97" s="185"/>
      <c r="BX97" s="185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5"/>
      <c r="DG97" s="186"/>
      <c r="DH97" s="225">
        <v>1</v>
      </c>
      <c r="DI97" s="226"/>
      <c r="DJ97" s="226"/>
      <c r="DK97" s="226"/>
      <c r="DL97" s="227"/>
      <c r="EY97" s="16"/>
      <c r="FY97" s="187"/>
      <c r="FZ97" s="188"/>
      <c r="GA97" s="188"/>
      <c r="GB97" s="188"/>
      <c r="GC97" s="188"/>
      <c r="GD97" s="188"/>
      <c r="GE97" s="188"/>
      <c r="GF97" s="188"/>
      <c r="GG97" s="188"/>
      <c r="GH97" s="188"/>
      <c r="GI97" s="188"/>
      <c r="GJ97" s="188"/>
      <c r="GK97" s="188"/>
      <c r="GL97" s="188"/>
      <c r="GM97" s="188"/>
      <c r="GN97" s="188"/>
      <c r="GO97" s="188"/>
      <c r="GP97" s="188"/>
      <c r="GQ97" s="188"/>
      <c r="GR97" s="188"/>
      <c r="GS97" s="188"/>
      <c r="GT97" s="188"/>
      <c r="GU97" s="188"/>
      <c r="GV97" s="188"/>
      <c r="GW97" s="188"/>
      <c r="GX97" s="188"/>
      <c r="GY97" s="188"/>
      <c r="GZ97" s="188"/>
      <c r="HA97" s="188"/>
      <c r="HB97" s="188"/>
      <c r="HC97" s="188"/>
      <c r="HD97" s="188"/>
      <c r="HE97" s="188"/>
      <c r="HF97" s="188"/>
      <c r="HG97" s="188"/>
      <c r="HH97" s="188"/>
      <c r="HI97" s="188"/>
      <c r="HJ97" s="188"/>
      <c r="HK97" s="188"/>
      <c r="HL97" s="189"/>
      <c r="HM97" s="187"/>
      <c r="HN97" s="188"/>
      <c r="HO97" s="188"/>
      <c r="HP97" s="188"/>
      <c r="HQ97" s="189"/>
      <c r="JW97" s="155"/>
      <c r="LA97" s="19"/>
      <c r="ML97" s="12"/>
      <c r="MM97" s="7"/>
    </row>
    <row r="98" spans="3:356" ht="5.0999999999999996" customHeight="1" x14ac:dyDescent="0.3">
      <c r="C98" s="11"/>
      <c r="D98" s="13"/>
      <c r="BS98" s="187"/>
      <c r="BT98" s="188"/>
      <c r="BU98" s="188"/>
      <c r="BV98" s="188"/>
      <c r="BW98" s="188"/>
      <c r="BX98" s="188"/>
      <c r="BY98" s="188"/>
      <c r="BZ98" s="188"/>
      <c r="CA98" s="188"/>
      <c r="CB98" s="188"/>
      <c r="CC98" s="188"/>
      <c r="CD98" s="188"/>
      <c r="CE98" s="188"/>
      <c r="CF98" s="188"/>
      <c r="CG98" s="188"/>
      <c r="CH98" s="188"/>
      <c r="CI98" s="188"/>
      <c r="CJ98" s="188"/>
      <c r="CK98" s="188"/>
      <c r="CL98" s="188"/>
      <c r="CM98" s="188"/>
      <c r="CN98" s="188"/>
      <c r="CO98" s="188"/>
      <c r="CP98" s="188"/>
      <c r="CQ98" s="188"/>
      <c r="CR98" s="188"/>
      <c r="CS98" s="188"/>
      <c r="CT98" s="188"/>
      <c r="CU98" s="188"/>
      <c r="CV98" s="188"/>
      <c r="CW98" s="188"/>
      <c r="CX98" s="188"/>
      <c r="CY98" s="188"/>
      <c r="CZ98" s="188"/>
      <c r="DA98" s="188"/>
      <c r="DB98" s="188"/>
      <c r="DC98" s="188"/>
      <c r="DD98" s="188"/>
      <c r="DE98" s="188"/>
      <c r="DF98" s="188"/>
      <c r="DG98" s="189"/>
      <c r="DH98" s="228"/>
      <c r="DI98" s="229"/>
      <c r="DJ98" s="229"/>
      <c r="DK98" s="229"/>
      <c r="DL98" s="230"/>
      <c r="EY98" s="16"/>
      <c r="FY98" s="187"/>
      <c r="FZ98" s="188"/>
      <c r="GA98" s="188"/>
      <c r="GB98" s="188"/>
      <c r="GC98" s="188"/>
      <c r="GD98" s="188"/>
      <c r="GE98" s="188"/>
      <c r="GF98" s="188"/>
      <c r="GG98" s="188"/>
      <c r="GH98" s="188"/>
      <c r="GI98" s="188"/>
      <c r="GJ98" s="188"/>
      <c r="GK98" s="188"/>
      <c r="GL98" s="188"/>
      <c r="GM98" s="188"/>
      <c r="GN98" s="188"/>
      <c r="GO98" s="188"/>
      <c r="GP98" s="188"/>
      <c r="GQ98" s="188"/>
      <c r="GR98" s="188"/>
      <c r="GS98" s="188"/>
      <c r="GT98" s="188"/>
      <c r="GU98" s="188"/>
      <c r="GV98" s="188"/>
      <c r="GW98" s="188"/>
      <c r="GX98" s="188"/>
      <c r="GY98" s="188"/>
      <c r="GZ98" s="188"/>
      <c r="HA98" s="188"/>
      <c r="HB98" s="188"/>
      <c r="HC98" s="188"/>
      <c r="HD98" s="188"/>
      <c r="HE98" s="188"/>
      <c r="HF98" s="188"/>
      <c r="HG98" s="188"/>
      <c r="HH98" s="188"/>
      <c r="HI98" s="188"/>
      <c r="HJ98" s="188"/>
      <c r="HK98" s="188"/>
      <c r="HL98" s="189"/>
      <c r="HM98" s="187"/>
      <c r="HN98" s="188"/>
      <c r="HO98" s="188"/>
      <c r="HP98" s="188"/>
      <c r="HQ98" s="189"/>
      <c r="JW98" s="155"/>
      <c r="LA98" s="19"/>
      <c r="ML98" s="12"/>
      <c r="MM98" s="7"/>
    </row>
    <row r="99" spans="3:356" ht="5.0999999999999996" customHeight="1" x14ac:dyDescent="0.3">
      <c r="C99" s="11"/>
      <c r="D99" s="13"/>
      <c r="BS99" s="187"/>
      <c r="BT99" s="188"/>
      <c r="BU99" s="188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8"/>
      <c r="CG99" s="188"/>
      <c r="CH99" s="188"/>
      <c r="CI99" s="188"/>
      <c r="CJ99" s="188"/>
      <c r="CK99" s="188"/>
      <c r="CL99" s="188"/>
      <c r="CM99" s="188"/>
      <c r="CN99" s="188"/>
      <c r="CO99" s="188"/>
      <c r="CP99" s="188"/>
      <c r="CQ99" s="188"/>
      <c r="CR99" s="188"/>
      <c r="CS99" s="188"/>
      <c r="CT99" s="188"/>
      <c r="CU99" s="188"/>
      <c r="CV99" s="188"/>
      <c r="CW99" s="188"/>
      <c r="CX99" s="188"/>
      <c r="CY99" s="188"/>
      <c r="CZ99" s="188"/>
      <c r="DA99" s="188"/>
      <c r="DB99" s="188"/>
      <c r="DC99" s="188"/>
      <c r="DD99" s="188"/>
      <c r="DE99" s="188"/>
      <c r="DF99" s="188"/>
      <c r="DG99" s="189"/>
      <c r="DH99" s="228"/>
      <c r="DI99" s="229"/>
      <c r="DJ99" s="229"/>
      <c r="DK99" s="229"/>
      <c r="DL99" s="230"/>
      <c r="EY99" s="16"/>
      <c r="FY99" s="187"/>
      <c r="FZ99" s="188"/>
      <c r="GA99" s="188"/>
      <c r="GB99" s="188"/>
      <c r="GC99" s="188"/>
      <c r="GD99" s="188"/>
      <c r="GE99" s="188"/>
      <c r="GF99" s="188"/>
      <c r="GG99" s="188"/>
      <c r="GH99" s="188"/>
      <c r="GI99" s="188"/>
      <c r="GJ99" s="188"/>
      <c r="GK99" s="188"/>
      <c r="GL99" s="188"/>
      <c r="GM99" s="188"/>
      <c r="GN99" s="188"/>
      <c r="GO99" s="188"/>
      <c r="GP99" s="188"/>
      <c r="GQ99" s="188"/>
      <c r="GR99" s="188"/>
      <c r="GS99" s="188"/>
      <c r="GT99" s="188"/>
      <c r="GU99" s="188"/>
      <c r="GV99" s="188"/>
      <c r="GW99" s="188"/>
      <c r="GX99" s="188"/>
      <c r="GY99" s="188"/>
      <c r="GZ99" s="188"/>
      <c r="HA99" s="188"/>
      <c r="HB99" s="188"/>
      <c r="HC99" s="188"/>
      <c r="HD99" s="188"/>
      <c r="HE99" s="188"/>
      <c r="HF99" s="188"/>
      <c r="HG99" s="188"/>
      <c r="HH99" s="188"/>
      <c r="HI99" s="188"/>
      <c r="HJ99" s="188"/>
      <c r="HK99" s="188"/>
      <c r="HL99" s="189"/>
      <c r="HM99" s="187"/>
      <c r="HN99" s="188"/>
      <c r="HO99" s="188"/>
      <c r="HP99" s="188"/>
      <c r="HQ99" s="189"/>
      <c r="JW99" s="155"/>
      <c r="LA99" s="19"/>
      <c r="ML99" s="12"/>
      <c r="MM99" s="7"/>
    </row>
    <row r="100" spans="3:356" ht="5.0999999999999996" customHeight="1" x14ac:dyDescent="0.3">
      <c r="C100" s="11"/>
      <c r="D100" s="13"/>
      <c r="BS100" s="187"/>
      <c r="BT100" s="188"/>
      <c r="BU100" s="188"/>
      <c r="BV100" s="188"/>
      <c r="BW100" s="188"/>
      <c r="BX100" s="188"/>
      <c r="BY100" s="188"/>
      <c r="BZ100" s="188"/>
      <c r="CA100" s="188"/>
      <c r="CB100" s="188"/>
      <c r="CC100" s="188"/>
      <c r="CD100" s="188"/>
      <c r="CE100" s="188"/>
      <c r="CF100" s="188"/>
      <c r="CG100" s="188"/>
      <c r="CH100" s="188"/>
      <c r="CI100" s="188"/>
      <c r="CJ100" s="188"/>
      <c r="CK100" s="188"/>
      <c r="CL100" s="188"/>
      <c r="CM100" s="188"/>
      <c r="CN100" s="188"/>
      <c r="CO100" s="188"/>
      <c r="CP100" s="188"/>
      <c r="CQ100" s="188"/>
      <c r="CR100" s="188"/>
      <c r="CS100" s="188"/>
      <c r="CT100" s="188"/>
      <c r="CU100" s="188"/>
      <c r="CV100" s="188"/>
      <c r="CW100" s="188"/>
      <c r="CX100" s="188"/>
      <c r="CY100" s="188"/>
      <c r="CZ100" s="188"/>
      <c r="DA100" s="188"/>
      <c r="DB100" s="188"/>
      <c r="DC100" s="188"/>
      <c r="DD100" s="188"/>
      <c r="DE100" s="188"/>
      <c r="DF100" s="188"/>
      <c r="DG100" s="189"/>
      <c r="DH100" s="228"/>
      <c r="DI100" s="229"/>
      <c r="DJ100" s="229"/>
      <c r="DK100" s="229"/>
      <c r="DL100" s="230"/>
      <c r="EY100" s="16"/>
      <c r="FY100" s="187"/>
      <c r="FZ100" s="188"/>
      <c r="GA100" s="188"/>
      <c r="GB100" s="188"/>
      <c r="GC100" s="188"/>
      <c r="GD100" s="188"/>
      <c r="GE100" s="188"/>
      <c r="GF100" s="188"/>
      <c r="GG100" s="188"/>
      <c r="GH100" s="188"/>
      <c r="GI100" s="188"/>
      <c r="GJ100" s="188"/>
      <c r="GK100" s="188"/>
      <c r="GL100" s="188"/>
      <c r="GM100" s="188"/>
      <c r="GN100" s="188"/>
      <c r="GO100" s="188"/>
      <c r="GP100" s="188"/>
      <c r="GQ100" s="188"/>
      <c r="GR100" s="188"/>
      <c r="GS100" s="188"/>
      <c r="GT100" s="188"/>
      <c r="GU100" s="188"/>
      <c r="GV100" s="188"/>
      <c r="GW100" s="188"/>
      <c r="GX100" s="188"/>
      <c r="GY100" s="188"/>
      <c r="GZ100" s="188"/>
      <c r="HA100" s="188"/>
      <c r="HB100" s="188"/>
      <c r="HC100" s="188"/>
      <c r="HD100" s="188"/>
      <c r="HE100" s="188"/>
      <c r="HF100" s="188"/>
      <c r="HG100" s="188"/>
      <c r="HH100" s="188"/>
      <c r="HI100" s="188"/>
      <c r="HJ100" s="188"/>
      <c r="HK100" s="188"/>
      <c r="HL100" s="189"/>
      <c r="HM100" s="187"/>
      <c r="HN100" s="188"/>
      <c r="HO100" s="188"/>
      <c r="HP100" s="188"/>
      <c r="HQ100" s="189"/>
      <c r="JW100" s="155"/>
      <c r="LA100" s="19"/>
      <c r="ML100" s="12"/>
      <c r="MM100" s="7"/>
    </row>
    <row r="101" spans="3:356" ht="5.0999999999999996" customHeight="1" thickBot="1" x14ac:dyDescent="0.35">
      <c r="C101" s="11"/>
      <c r="D101" s="13"/>
      <c r="BS101" s="187"/>
      <c r="BT101" s="188"/>
      <c r="BU101" s="188"/>
      <c r="BV101" s="188"/>
      <c r="BW101" s="188"/>
      <c r="BX101" s="188"/>
      <c r="BY101" s="188"/>
      <c r="BZ101" s="188"/>
      <c r="CA101" s="188"/>
      <c r="CB101" s="188"/>
      <c r="CC101" s="188"/>
      <c r="CD101" s="188"/>
      <c r="CE101" s="188"/>
      <c r="CF101" s="188"/>
      <c r="CG101" s="188"/>
      <c r="CH101" s="188"/>
      <c r="CI101" s="188"/>
      <c r="CJ101" s="188"/>
      <c r="CK101" s="188"/>
      <c r="CL101" s="188"/>
      <c r="CM101" s="188"/>
      <c r="CN101" s="188"/>
      <c r="CO101" s="188"/>
      <c r="CP101" s="188"/>
      <c r="CQ101" s="188"/>
      <c r="CR101" s="188"/>
      <c r="CS101" s="188"/>
      <c r="CT101" s="188"/>
      <c r="CU101" s="188"/>
      <c r="CV101" s="188"/>
      <c r="CW101" s="188"/>
      <c r="CX101" s="188"/>
      <c r="CY101" s="188"/>
      <c r="CZ101" s="188"/>
      <c r="DA101" s="188"/>
      <c r="DB101" s="188"/>
      <c r="DC101" s="188"/>
      <c r="DD101" s="188"/>
      <c r="DE101" s="188"/>
      <c r="DF101" s="188"/>
      <c r="DG101" s="189"/>
      <c r="DH101" s="228"/>
      <c r="DI101" s="229"/>
      <c r="DJ101" s="229"/>
      <c r="DK101" s="229"/>
      <c r="DL101" s="230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148"/>
      <c r="EY101" s="16"/>
      <c r="FY101" s="190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/>
      <c r="GL101" s="191"/>
      <c r="GM101" s="191"/>
      <c r="GN101" s="191"/>
      <c r="GO101" s="191"/>
      <c r="GP101" s="191"/>
      <c r="GQ101" s="191"/>
      <c r="GR101" s="191"/>
      <c r="GS101" s="191"/>
      <c r="GT101" s="191"/>
      <c r="GU101" s="191"/>
      <c r="GV101" s="191"/>
      <c r="GW101" s="191"/>
      <c r="GX101" s="191"/>
      <c r="GY101" s="191"/>
      <c r="GZ101" s="191"/>
      <c r="HA101" s="191"/>
      <c r="HB101" s="191"/>
      <c r="HC101" s="191"/>
      <c r="HD101" s="191"/>
      <c r="HE101" s="191"/>
      <c r="HF101" s="191"/>
      <c r="HG101" s="191"/>
      <c r="HH101" s="191"/>
      <c r="HI101" s="191"/>
      <c r="HJ101" s="191"/>
      <c r="HK101" s="191"/>
      <c r="HL101" s="192"/>
      <c r="HM101" s="190"/>
      <c r="HN101" s="191"/>
      <c r="HO101" s="191"/>
      <c r="HP101" s="191"/>
      <c r="HQ101" s="192"/>
      <c r="JW101" s="155"/>
      <c r="LA101" s="19"/>
      <c r="ML101" s="12"/>
      <c r="MM101" s="7"/>
    </row>
    <row r="102" spans="3:356" ht="5.0999999999999996" customHeight="1" x14ac:dyDescent="0.3">
      <c r="C102" s="11"/>
      <c r="D102" s="13"/>
      <c r="BS102" s="187"/>
      <c r="BT102" s="188"/>
      <c r="BU102" s="188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8"/>
      <c r="CH102" s="188"/>
      <c r="CI102" s="188"/>
      <c r="CJ102" s="188"/>
      <c r="CK102" s="188"/>
      <c r="CL102" s="188"/>
      <c r="CM102" s="188"/>
      <c r="CN102" s="188"/>
      <c r="CO102" s="188"/>
      <c r="CP102" s="188"/>
      <c r="CQ102" s="188"/>
      <c r="CR102" s="188"/>
      <c r="CS102" s="188"/>
      <c r="CT102" s="188"/>
      <c r="CU102" s="188"/>
      <c r="CV102" s="188"/>
      <c r="CW102" s="188"/>
      <c r="CX102" s="188"/>
      <c r="CY102" s="188"/>
      <c r="CZ102" s="188"/>
      <c r="DA102" s="188"/>
      <c r="DB102" s="188"/>
      <c r="DC102" s="188"/>
      <c r="DD102" s="188"/>
      <c r="DE102" s="188"/>
      <c r="DF102" s="188"/>
      <c r="DG102" s="189"/>
      <c r="DH102" s="228"/>
      <c r="DI102" s="229"/>
      <c r="DJ102" s="229"/>
      <c r="DK102" s="229"/>
      <c r="DL102" s="230"/>
      <c r="EX102" s="19"/>
      <c r="EY102" s="22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48"/>
      <c r="FY102" s="184" t="s">
        <v>55</v>
      </c>
      <c r="FZ102" s="185"/>
      <c r="GA102" s="185"/>
      <c r="GB102" s="185"/>
      <c r="GC102" s="185"/>
      <c r="GD102" s="185"/>
      <c r="GE102" s="185"/>
      <c r="GF102" s="185"/>
      <c r="GG102" s="185"/>
      <c r="GH102" s="185"/>
      <c r="GI102" s="185"/>
      <c r="GJ102" s="185"/>
      <c r="GK102" s="185"/>
      <c r="GL102" s="185"/>
      <c r="GM102" s="185"/>
      <c r="GN102" s="185"/>
      <c r="GO102" s="185"/>
      <c r="GP102" s="185"/>
      <c r="GQ102" s="185"/>
      <c r="GR102" s="185"/>
      <c r="GS102" s="185"/>
      <c r="GT102" s="185"/>
      <c r="GU102" s="185"/>
      <c r="GV102" s="185"/>
      <c r="GW102" s="185"/>
      <c r="GX102" s="185"/>
      <c r="GY102" s="185"/>
      <c r="GZ102" s="185"/>
      <c r="HA102" s="185"/>
      <c r="HB102" s="185"/>
      <c r="HC102" s="185"/>
      <c r="HD102" s="185"/>
      <c r="HE102" s="185"/>
      <c r="HF102" s="185"/>
      <c r="HG102" s="185"/>
      <c r="HH102" s="185"/>
      <c r="HI102" s="185"/>
      <c r="HJ102" s="185"/>
      <c r="HK102" s="185"/>
      <c r="HL102" s="186"/>
      <c r="HM102" s="184">
        <v>2</v>
      </c>
      <c r="HN102" s="185"/>
      <c r="HO102" s="185"/>
      <c r="HP102" s="185"/>
      <c r="HQ102" s="186"/>
      <c r="JW102" s="155"/>
      <c r="LA102" s="19"/>
      <c r="ML102" s="12"/>
      <c r="MM102" s="7"/>
    </row>
    <row r="103" spans="3:356" ht="5.0999999999999996" customHeight="1" x14ac:dyDescent="0.3">
      <c r="C103" s="11"/>
      <c r="D103" s="13"/>
      <c r="BS103" s="187"/>
      <c r="BT103" s="188"/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8"/>
      <c r="CH103" s="188"/>
      <c r="CI103" s="188"/>
      <c r="CJ103" s="188"/>
      <c r="CK103" s="188"/>
      <c r="CL103" s="188"/>
      <c r="CM103" s="188"/>
      <c r="CN103" s="188"/>
      <c r="CO103" s="188"/>
      <c r="CP103" s="188"/>
      <c r="CQ103" s="188"/>
      <c r="CR103" s="188"/>
      <c r="CS103" s="188"/>
      <c r="CT103" s="188"/>
      <c r="CU103" s="188"/>
      <c r="CV103" s="188"/>
      <c r="CW103" s="188"/>
      <c r="CX103" s="188"/>
      <c r="CY103" s="188"/>
      <c r="CZ103" s="188"/>
      <c r="DA103" s="188"/>
      <c r="DB103" s="188"/>
      <c r="DC103" s="188"/>
      <c r="DD103" s="188"/>
      <c r="DE103" s="188"/>
      <c r="DF103" s="188"/>
      <c r="DG103" s="189"/>
      <c r="DH103" s="228"/>
      <c r="DI103" s="229"/>
      <c r="DJ103" s="229"/>
      <c r="DK103" s="229"/>
      <c r="DL103" s="230"/>
      <c r="EX103" s="19"/>
      <c r="EY103" s="16"/>
      <c r="FY103" s="187"/>
      <c r="FZ103" s="188"/>
      <c r="GA103" s="188"/>
      <c r="GB103" s="188"/>
      <c r="GC103" s="188"/>
      <c r="GD103" s="188"/>
      <c r="GE103" s="188"/>
      <c r="GF103" s="188"/>
      <c r="GG103" s="188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8"/>
      <c r="GW103" s="188"/>
      <c r="GX103" s="188"/>
      <c r="GY103" s="188"/>
      <c r="GZ103" s="188"/>
      <c r="HA103" s="188"/>
      <c r="HB103" s="188"/>
      <c r="HC103" s="188"/>
      <c r="HD103" s="188"/>
      <c r="HE103" s="188"/>
      <c r="HF103" s="188"/>
      <c r="HG103" s="188"/>
      <c r="HH103" s="188"/>
      <c r="HI103" s="188"/>
      <c r="HJ103" s="188"/>
      <c r="HK103" s="188"/>
      <c r="HL103" s="189"/>
      <c r="HM103" s="187"/>
      <c r="HN103" s="188"/>
      <c r="HO103" s="188"/>
      <c r="HP103" s="188"/>
      <c r="HQ103" s="189"/>
      <c r="HX103" s="1" t="s">
        <v>14</v>
      </c>
      <c r="JW103" s="155"/>
      <c r="LA103" s="19"/>
      <c r="ML103" s="12"/>
      <c r="MM103" s="7"/>
    </row>
    <row r="104" spans="3:356" ht="5.0999999999999996" customHeight="1" x14ac:dyDescent="0.3">
      <c r="C104" s="11"/>
      <c r="D104" s="13"/>
      <c r="BS104" s="187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8"/>
      <c r="CH104" s="188"/>
      <c r="CI104" s="188"/>
      <c r="CJ104" s="188"/>
      <c r="CK104" s="188"/>
      <c r="CL104" s="188"/>
      <c r="CM104" s="188"/>
      <c r="CN104" s="188"/>
      <c r="CO104" s="188"/>
      <c r="CP104" s="188"/>
      <c r="CQ104" s="188"/>
      <c r="CR104" s="188"/>
      <c r="CS104" s="188"/>
      <c r="CT104" s="188"/>
      <c r="CU104" s="188"/>
      <c r="CV104" s="188"/>
      <c r="CW104" s="188"/>
      <c r="CX104" s="188"/>
      <c r="CY104" s="188"/>
      <c r="CZ104" s="188"/>
      <c r="DA104" s="188"/>
      <c r="DB104" s="188"/>
      <c r="DC104" s="188"/>
      <c r="DD104" s="188"/>
      <c r="DE104" s="188"/>
      <c r="DF104" s="188"/>
      <c r="DG104" s="189"/>
      <c r="DH104" s="228"/>
      <c r="DI104" s="229"/>
      <c r="DJ104" s="229"/>
      <c r="DK104" s="229"/>
      <c r="DL104" s="230"/>
      <c r="EY104" s="16"/>
      <c r="FY104" s="187"/>
      <c r="FZ104" s="188"/>
      <c r="GA104" s="188"/>
      <c r="GB104" s="188"/>
      <c r="GC104" s="188"/>
      <c r="GD104" s="188"/>
      <c r="GE104" s="188"/>
      <c r="GF104" s="188"/>
      <c r="GG104" s="188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8"/>
      <c r="GW104" s="188"/>
      <c r="GX104" s="188"/>
      <c r="GY104" s="188"/>
      <c r="GZ104" s="188"/>
      <c r="HA104" s="188"/>
      <c r="HB104" s="188"/>
      <c r="HC104" s="188"/>
      <c r="HD104" s="188"/>
      <c r="HE104" s="188"/>
      <c r="HF104" s="188"/>
      <c r="HG104" s="188"/>
      <c r="HH104" s="188"/>
      <c r="HI104" s="188"/>
      <c r="HJ104" s="188"/>
      <c r="HK104" s="188"/>
      <c r="HL104" s="189"/>
      <c r="HM104" s="187"/>
      <c r="HN104" s="188"/>
      <c r="HO104" s="188"/>
      <c r="HP104" s="188"/>
      <c r="HQ104" s="189"/>
      <c r="JW104" s="155"/>
      <c r="LA104" s="19"/>
      <c r="ML104" s="12"/>
      <c r="MM104" s="7"/>
    </row>
    <row r="105" spans="3:356" ht="5.0999999999999996" customHeight="1" x14ac:dyDescent="0.3">
      <c r="C105" s="11"/>
      <c r="D105" s="13"/>
      <c r="BS105" s="187"/>
      <c r="BT105" s="188"/>
      <c r="BU105" s="188"/>
      <c r="BV105" s="188"/>
      <c r="BW105" s="188"/>
      <c r="BX105" s="188"/>
      <c r="BY105" s="188"/>
      <c r="BZ105" s="188"/>
      <c r="CA105" s="188"/>
      <c r="CB105" s="188"/>
      <c r="CC105" s="188"/>
      <c r="CD105" s="188"/>
      <c r="CE105" s="188"/>
      <c r="CF105" s="188"/>
      <c r="CG105" s="188"/>
      <c r="CH105" s="188"/>
      <c r="CI105" s="188"/>
      <c r="CJ105" s="188"/>
      <c r="CK105" s="188"/>
      <c r="CL105" s="188"/>
      <c r="CM105" s="188"/>
      <c r="CN105" s="188"/>
      <c r="CO105" s="188"/>
      <c r="CP105" s="188"/>
      <c r="CQ105" s="188"/>
      <c r="CR105" s="188"/>
      <c r="CS105" s="188"/>
      <c r="CT105" s="188"/>
      <c r="CU105" s="188"/>
      <c r="CV105" s="188"/>
      <c r="CW105" s="188"/>
      <c r="CX105" s="188"/>
      <c r="CY105" s="188"/>
      <c r="CZ105" s="188"/>
      <c r="DA105" s="188"/>
      <c r="DB105" s="188"/>
      <c r="DC105" s="188"/>
      <c r="DD105" s="188"/>
      <c r="DE105" s="188"/>
      <c r="DF105" s="188"/>
      <c r="DG105" s="189"/>
      <c r="DH105" s="228"/>
      <c r="DI105" s="229"/>
      <c r="DJ105" s="229"/>
      <c r="DK105" s="229"/>
      <c r="DL105" s="230"/>
      <c r="EY105" s="16"/>
      <c r="FY105" s="187"/>
      <c r="FZ105" s="188"/>
      <c r="GA105" s="188"/>
      <c r="GB105" s="188"/>
      <c r="GC105" s="188"/>
      <c r="GD105" s="188"/>
      <c r="GE105" s="188"/>
      <c r="GF105" s="188"/>
      <c r="GG105" s="188"/>
      <c r="GH105" s="188"/>
      <c r="GI105" s="188"/>
      <c r="GJ105" s="188"/>
      <c r="GK105" s="188"/>
      <c r="GL105" s="188"/>
      <c r="GM105" s="188"/>
      <c r="GN105" s="188"/>
      <c r="GO105" s="188"/>
      <c r="GP105" s="188"/>
      <c r="GQ105" s="188"/>
      <c r="GR105" s="188"/>
      <c r="GS105" s="188"/>
      <c r="GT105" s="188"/>
      <c r="GU105" s="188"/>
      <c r="GV105" s="188"/>
      <c r="GW105" s="188"/>
      <c r="GX105" s="188"/>
      <c r="GY105" s="188"/>
      <c r="GZ105" s="188"/>
      <c r="HA105" s="188"/>
      <c r="HB105" s="188"/>
      <c r="HC105" s="188"/>
      <c r="HD105" s="188"/>
      <c r="HE105" s="188"/>
      <c r="HF105" s="188"/>
      <c r="HG105" s="188"/>
      <c r="HH105" s="188"/>
      <c r="HI105" s="188"/>
      <c r="HJ105" s="188"/>
      <c r="HK105" s="188"/>
      <c r="HL105" s="189"/>
      <c r="HM105" s="187"/>
      <c r="HN105" s="188"/>
      <c r="HO105" s="188"/>
      <c r="HP105" s="188"/>
      <c r="HQ105" s="189"/>
      <c r="JW105" s="155"/>
      <c r="LA105" s="19"/>
      <c r="ML105" s="12"/>
      <c r="MM105" s="7"/>
    </row>
    <row r="106" spans="3:356" ht="5.0999999999999996" customHeight="1" x14ac:dyDescent="0.3">
      <c r="C106" s="11"/>
      <c r="D106" s="13"/>
      <c r="BS106" s="190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2"/>
      <c r="DH106" s="231"/>
      <c r="DI106" s="232"/>
      <c r="DJ106" s="232"/>
      <c r="DK106" s="232"/>
      <c r="DL106" s="233"/>
      <c r="EY106" s="16"/>
      <c r="FY106" s="187"/>
      <c r="FZ106" s="188"/>
      <c r="GA106" s="188"/>
      <c r="GB106" s="188"/>
      <c r="GC106" s="188"/>
      <c r="GD106" s="188"/>
      <c r="GE106" s="188"/>
      <c r="GF106" s="188"/>
      <c r="GG106" s="188"/>
      <c r="GH106" s="188"/>
      <c r="GI106" s="188"/>
      <c r="GJ106" s="188"/>
      <c r="GK106" s="188"/>
      <c r="GL106" s="188"/>
      <c r="GM106" s="188"/>
      <c r="GN106" s="188"/>
      <c r="GO106" s="188"/>
      <c r="GP106" s="188"/>
      <c r="GQ106" s="188"/>
      <c r="GR106" s="188"/>
      <c r="GS106" s="188"/>
      <c r="GT106" s="188"/>
      <c r="GU106" s="188"/>
      <c r="GV106" s="188"/>
      <c r="GW106" s="188"/>
      <c r="GX106" s="188"/>
      <c r="GY106" s="188"/>
      <c r="GZ106" s="188"/>
      <c r="HA106" s="188"/>
      <c r="HB106" s="188"/>
      <c r="HC106" s="188"/>
      <c r="HD106" s="188"/>
      <c r="HE106" s="188"/>
      <c r="HF106" s="188"/>
      <c r="HG106" s="188"/>
      <c r="HH106" s="188"/>
      <c r="HI106" s="188"/>
      <c r="HJ106" s="188"/>
      <c r="HK106" s="188"/>
      <c r="HL106" s="189"/>
      <c r="HM106" s="187"/>
      <c r="HN106" s="188"/>
      <c r="HO106" s="188"/>
      <c r="HP106" s="188"/>
      <c r="HQ106" s="189"/>
      <c r="JW106" s="155"/>
      <c r="LA106" s="19"/>
      <c r="ML106" s="12"/>
      <c r="MM106" s="7"/>
    </row>
    <row r="107" spans="3:356" ht="5.0999999999999996" customHeight="1" x14ac:dyDescent="0.3">
      <c r="C107" s="11"/>
      <c r="D107" s="13"/>
      <c r="EY107" s="16"/>
      <c r="FY107" s="187"/>
      <c r="FZ107" s="188"/>
      <c r="GA107" s="188"/>
      <c r="GB107" s="188"/>
      <c r="GC107" s="188"/>
      <c r="GD107" s="188"/>
      <c r="GE107" s="188"/>
      <c r="GF107" s="188"/>
      <c r="GG107" s="188"/>
      <c r="GH107" s="188"/>
      <c r="GI107" s="188"/>
      <c r="GJ107" s="188"/>
      <c r="GK107" s="188"/>
      <c r="GL107" s="188"/>
      <c r="GM107" s="188"/>
      <c r="GN107" s="188"/>
      <c r="GO107" s="188"/>
      <c r="GP107" s="188"/>
      <c r="GQ107" s="188"/>
      <c r="GR107" s="188"/>
      <c r="GS107" s="188"/>
      <c r="GT107" s="188"/>
      <c r="GU107" s="188"/>
      <c r="GV107" s="188"/>
      <c r="GW107" s="188"/>
      <c r="GX107" s="188"/>
      <c r="GY107" s="188"/>
      <c r="GZ107" s="188"/>
      <c r="HA107" s="188"/>
      <c r="HB107" s="188"/>
      <c r="HC107" s="188"/>
      <c r="HD107" s="188"/>
      <c r="HE107" s="188"/>
      <c r="HF107" s="188"/>
      <c r="HG107" s="188"/>
      <c r="HH107" s="188"/>
      <c r="HI107" s="188"/>
      <c r="HJ107" s="188"/>
      <c r="HK107" s="188"/>
      <c r="HL107" s="189"/>
      <c r="HM107" s="187"/>
      <c r="HN107" s="188"/>
      <c r="HO107" s="188"/>
      <c r="HP107" s="188"/>
      <c r="HQ107" s="189"/>
      <c r="JW107" s="155"/>
      <c r="LA107" s="19"/>
      <c r="ML107" s="12"/>
      <c r="MM107" s="7"/>
    </row>
    <row r="108" spans="3:356" ht="5.0999999999999996" customHeight="1" x14ac:dyDescent="0.3">
      <c r="C108" s="11"/>
      <c r="D108" s="13"/>
      <c r="EY108" s="16"/>
      <c r="FY108" s="187"/>
      <c r="FZ108" s="188"/>
      <c r="GA108" s="188"/>
      <c r="GB108" s="188"/>
      <c r="GC108" s="188"/>
      <c r="GD108" s="188"/>
      <c r="GE108" s="188"/>
      <c r="GF108" s="188"/>
      <c r="GG108" s="188"/>
      <c r="GH108" s="188"/>
      <c r="GI108" s="188"/>
      <c r="GJ108" s="188"/>
      <c r="GK108" s="188"/>
      <c r="GL108" s="188"/>
      <c r="GM108" s="188"/>
      <c r="GN108" s="188"/>
      <c r="GO108" s="188"/>
      <c r="GP108" s="188"/>
      <c r="GQ108" s="188"/>
      <c r="GR108" s="188"/>
      <c r="GS108" s="188"/>
      <c r="GT108" s="188"/>
      <c r="GU108" s="188"/>
      <c r="GV108" s="188"/>
      <c r="GW108" s="188"/>
      <c r="GX108" s="188"/>
      <c r="GY108" s="188"/>
      <c r="GZ108" s="188"/>
      <c r="HA108" s="188"/>
      <c r="HB108" s="188"/>
      <c r="HC108" s="188"/>
      <c r="HD108" s="188"/>
      <c r="HE108" s="188"/>
      <c r="HF108" s="188"/>
      <c r="HG108" s="188"/>
      <c r="HH108" s="188"/>
      <c r="HI108" s="188"/>
      <c r="HJ108" s="188"/>
      <c r="HK108" s="188"/>
      <c r="HL108" s="189"/>
      <c r="HM108" s="187"/>
      <c r="HN108" s="188"/>
      <c r="HO108" s="188"/>
      <c r="HP108" s="188"/>
      <c r="HQ108" s="189"/>
      <c r="JW108" s="155"/>
      <c r="LA108" s="19"/>
      <c r="ML108" s="12"/>
      <c r="MM108" s="7"/>
    </row>
    <row r="109" spans="3:356" ht="5.0999999999999996" customHeight="1" x14ac:dyDescent="0.3">
      <c r="C109" s="11"/>
      <c r="D109" s="13"/>
      <c r="EY109" s="16"/>
      <c r="FY109" s="187"/>
      <c r="FZ109" s="188"/>
      <c r="GA109" s="188"/>
      <c r="GB109" s="188"/>
      <c r="GC109" s="188"/>
      <c r="GD109" s="188"/>
      <c r="GE109" s="188"/>
      <c r="GF109" s="188"/>
      <c r="GG109" s="188"/>
      <c r="GH109" s="188"/>
      <c r="GI109" s="188"/>
      <c r="GJ109" s="188"/>
      <c r="GK109" s="188"/>
      <c r="GL109" s="188"/>
      <c r="GM109" s="188"/>
      <c r="GN109" s="188"/>
      <c r="GO109" s="188"/>
      <c r="GP109" s="188"/>
      <c r="GQ109" s="188"/>
      <c r="GR109" s="188"/>
      <c r="GS109" s="188"/>
      <c r="GT109" s="188"/>
      <c r="GU109" s="188"/>
      <c r="GV109" s="188"/>
      <c r="GW109" s="188"/>
      <c r="GX109" s="188"/>
      <c r="GY109" s="188"/>
      <c r="GZ109" s="188"/>
      <c r="HA109" s="188"/>
      <c r="HB109" s="188"/>
      <c r="HC109" s="188"/>
      <c r="HD109" s="188"/>
      <c r="HE109" s="188"/>
      <c r="HF109" s="188"/>
      <c r="HG109" s="188"/>
      <c r="HH109" s="188"/>
      <c r="HI109" s="188"/>
      <c r="HJ109" s="188"/>
      <c r="HK109" s="188"/>
      <c r="HL109" s="189"/>
      <c r="HM109" s="187"/>
      <c r="HN109" s="188"/>
      <c r="HO109" s="188"/>
      <c r="HP109" s="188"/>
      <c r="HQ109" s="189"/>
      <c r="JW109" s="155"/>
      <c r="LA109" s="19"/>
      <c r="ML109" s="12"/>
      <c r="MM109" s="7"/>
    </row>
    <row r="110" spans="3:356" ht="5.0999999999999996" customHeight="1" x14ac:dyDescent="0.3">
      <c r="C110" s="11"/>
      <c r="D110" s="13"/>
      <c r="EY110" s="16"/>
      <c r="FY110" s="187"/>
      <c r="FZ110" s="188"/>
      <c r="GA110" s="188"/>
      <c r="GB110" s="188"/>
      <c r="GC110" s="188"/>
      <c r="GD110" s="188"/>
      <c r="GE110" s="188"/>
      <c r="GF110" s="188"/>
      <c r="GG110" s="188"/>
      <c r="GH110" s="188"/>
      <c r="GI110" s="188"/>
      <c r="GJ110" s="188"/>
      <c r="GK110" s="188"/>
      <c r="GL110" s="188"/>
      <c r="GM110" s="188"/>
      <c r="GN110" s="188"/>
      <c r="GO110" s="188"/>
      <c r="GP110" s="188"/>
      <c r="GQ110" s="188"/>
      <c r="GR110" s="188"/>
      <c r="GS110" s="188"/>
      <c r="GT110" s="188"/>
      <c r="GU110" s="188"/>
      <c r="GV110" s="188"/>
      <c r="GW110" s="188"/>
      <c r="GX110" s="188"/>
      <c r="GY110" s="188"/>
      <c r="GZ110" s="188"/>
      <c r="HA110" s="188"/>
      <c r="HB110" s="188"/>
      <c r="HC110" s="188"/>
      <c r="HD110" s="188"/>
      <c r="HE110" s="188"/>
      <c r="HF110" s="188"/>
      <c r="HG110" s="188"/>
      <c r="HH110" s="188"/>
      <c r="HI110" s="188"/>
      <c r="HJ110" s="188"/>
      <c r="HK110" s="188"/>
      <c r="HL110" s="189"/>
      <c r="HM110" s="187"/>
      <c r="HN110" s="188"/>
      <c r="HO110" s="188"/>
      <c r="HP110" s="188"/>
      <c r="HQ110" s="189"/>
      <c r="JW110" s="155"/>
      <c r="LA110" s="19"/>
      <c r="ML110" s="12"/>
      <c r="MM110" s="7"/>
    </row>
    <row r="111" spans="3:356" ht="5.0999999999999996" customHeight="1" x14ac:dyDescent="0.3">
      <c r="C111" s="11"/>
      <c r="D111" s="13"/>
      <c r="EY111" s="16"/>
      <c r="FY111" s="190"/>
      <c r="FZ111" s="191"/>
      <c r="GA111" s="191"/>
      <c r="GB111" s="191"/>
      <c r="GC111" s="191"/>
      <c r="GD111" s="191"/>
      <c r="GE111" s="191"/>
      <c r="GF111" s="191"/>
      <c r="GG111" s="191"/>
      <c r="GH111" s="191"/>
      <c r="GI111" s="191"/>
      <c r="GJ111" s="191"/>
      <c r="GK111" s="191"/>
      <c r="GL111" s="191"/>
      <c r="GM111" s="191"/>
      <c r="GN111" s="191"/>
      <c r="GO111" s="191"/>
      <c r="GP111" s="191"/>
      <c r="GQ111" s="191"/>
      <c r="GR111" s="191"/>
      <c r="GS111" s="191"/>
      <c r="GT111" s="191"/>
      <c r="GU111" s="191"/>
      <c r="GV111" s="191"/>
      <c r="GW111" s="191"/>
      <c r="GX111" s="191"/>
      <c r="GY111" s="191"/>
      <c r="GZ111" s="191"/>
      <c r="HA111" s="191"/>
      <c r="HB111" s="191"/>
      <c r="HC111" s="191"/>
      <c r="HD111" s="191"/>
      <c r="HE111" s="191"/>
      <c r="HF111" s="191"/>
      <c r="HG111" s="191"/>
      <c r="HH111" s="191"/>
      <c r="HI111" s="191"/>
      <c r="HJ111" s="191"/>
      <c r="HK111" s="191"/>
      <c r="HL111" s="192"/>
      <c r="HM111" s="190"/>
      <c r="HN111" s="191"/>
      <c r="HO111" s="191"/>
      <c r="HP111" s="191"/>
      <c r="HQ111" s="192"/>
      <c r="JW111" s="155"/>
      <c r="LA111" s="19"/>
      <c r="ML111" s="12"/>
      <c r="MM111" s="7"/>
    </row>
    <row r="112" spans="3:356" ht="5.0999999999999996" customHeight="1" x14ac:dyDescent="0.3">
      <c r="C112" s="11"/>
      <c r="D112" s="13"/>
      <c r="EY112" s="16"/>
      <c r="JW112" s="155"/>
      <c r="LA112" s="19"/>
      <c r="ML112" s="12"/>
      <c r="MM112" s="7"/>
      <c r="MN112" s="3"/>
      <c r="MO112" s="3"/>
      <c r="MP112" s="3"/>
      <c r="MQ112" s="3"/>
      <c r="MR112" s="2"/>
    </row>
    <row r="113" spans="3:375" ht="5.0999999999999996" customHeight="1" x14ac:dyDescent="0.3">
      <c r="C113" s="11"/>
      <c r="D113" s="13"/>
      <c r="EY113" s="16"/>
      <c r="JW113" s="155"/>
      <c r="LA113" s="19"/>
      <c r="ML113" s="12"/>
      <c r="MM113" s="7"/>
      <c r="MN113" s="3"/>
      <c r="MO113" s="3"/>
      <c r="MP113" s="3"/>
      <c r="MQ113" s="3"/>
      <c r="MR113" s="2"/>
    </row>
    <row r="114" spans="3:375" ht="5.0999999999999996" customHeight="1" thickBot="1" x14ac:dyDescent="0.35">
      <c r="C114" s="11"/>
      <c r="D114" s="13"/>
      <c r="EY114" s="16"/>
      <c r="JW114" s="155"/>
      <c r="LA114" s="19"/>
      <c r="ML114" s="12"/>
      <c r="MM114" s="7"/>
      <c r="MN114" s="3"/>
      <c r="MO114" s="3"/>
      <c r="MP114" s="3"/>
      <c r="MQ114" s="3"/>
      <c r="MR114" s="2"/>
    </row>
    <row r="115" spans="3:375" ht="5.0999999999999996" customHeight="1" x14ac:dyDescent="0.3">
      <c r="C115" s="11"/>
      <c r="D115" s="13"/>
      <c r="AN115" s="22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2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0"/>
      <c r="JW115" s="155"/>
      <c r="LA115" s="19"/>
      <c r="ML115" s="12"/>
      <c r="MM115" s="7"/>
      <c r="MN115" s="3"/>
      <c r="MO115" s="3"/>
      <c r="MP115" s="3"/>
      <c r="MQ115" s="3"/>
      <c r="MR115" s="2"/>
    </row>
    <row r="116" spans="3:375" ht="5.0999999999999996" customHeight="1" x14ac:dyDescent="0.3">
      <c r="C116" s="11"/>
      <c r="D116" s="13"/>
      <c r="AH116" s="9"/>
      <c r="AI116" s="9"/>
      <c r="AJ116" s="9"/>
      <c r="AK116" s="9"/>
      <c r="AL116" s="9"/>
      <c r="AM116" s="9"/>
      <c r="AN116" s="15"/>
      <c r="AO116" s="9"/>
      <c r="AP116" s="9"/>
      <c r="EY116" s="15"/>
      <c r="IT116" s="19"/>
      <c r="JW116" s="155"/>
      <c r="KV116" s="9"/>
      <c r="KW116" s="9"/>
      <c r="KX116" s="9"/>
      <c r="KY116" s="9"/>
      <c r="KZ116" s="9"/>
      <c r="LA116" s="50"/>
      <c r="LB116" s="9"/>
      <c r="LC116" s="9"/>
      <c r="LD116" s="9"/>
      <c r="ML116" s="12"/>
      <c r="MM116" s="7"/>
      <c r="MN116" s="3"/>
      <c r="MO116" s="3"/>
      <c r="MP116" s="3"/>
      <c r="MQ116" s="3"/>
      <c r="MR116" s="2"/>
      <c r="NF116" s="3"/>
      <c r="NG116" s="3"/>
      <c r="NH116" s="3"/>
      <c r="NI116" s="3"/>
      <c r="NJ116" s="3"/>
      <c r="NK116" s="2"/>
    </row>
    <row r="117" spans="3:375" ht="5.0999999999999996" customHeight="1" x14ac:dyDescent="0.3">
      <c r="C117" s="11"/>
      <c r="D117" s="13"/>
      <c r="Q117" s="206" t="s">
        <v>13</v>
      </c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8"/>
      <c r="BF117" s="206">
        <f>SUM(BF129,BF141:BJ240)</f>
        <v>14</v>
      </c>
      <c r="BG117" s="207"/>
      <c r="BH117" s="207"/>
      <c r="BI117" s="207"/>
      <c r="BJ117" s="208"/>
      <c r="EB117" s="265" t="s">
        <v>12</v>
      </c>
      <c r="EC117" s="265"/>
      <c r="ED117" s="265"/>
      <c r="EE117" s="265"/>
      <c r="EF117" s="265"/>
      <c r="EG117" s="265"/>
      <c r="EH117" s="265"/>
      <c r="EI117" s="265"/>
      <c r="EJ117" s="265"/>
      <c r="EK117" s="265"/>
      <c r="EL117" s="265"/>
      <c r="EM117" s="265"/>
      <c r="EN117" s="265"/>
      <c r="EO117" s="265"/>
      <c r="EP117" s="265"/>
      <c r="EQ117" s="265"/>
      <c r="ER117" s="265"/>
      <c r="ES117" s="265"/>
      <c r="ET117" s="265"/>
      <c r="EU117" s="265"/>
      <c r="EV117" s="265"/>
      <c r="EW117" s="265"/>
      <c r="EX117" s="265"/>
      <c r="EY117" s="265"/>
      <c r="EZ117" s="265"/>
      <c r="FA117" s="265"/>
      <c r="FB117" s="265"/>
      <c r="FC117" s="265"/>
      <c r="FD117" s="265"/>
      <c r="FE117" s="265"/>
      <c r="FF117" s="265"/>
      <c r="FG117" s="265"/>
      <c r="FH117" s="265"/>
      <c r="FI117" s="265"/>
      <c r="FJ117" s="265"/>
      <c r="FK117" s="265"/>
      <c r="FL117" s="265"/>
      <c r="FM117" s="265"/>
      <c r="FN117" s="265"/>
      <c r="FO117" s="302">
        <f>SUM(DR147,FP147,HM147,FO129)</f>
        <v>17</v>
      </c>
      <c r="FP117" s="303"/>
      <c r="FQ117" s="303"/>
      <c r="FR117" s="303"/>
      <c r="FS117" s="304"/>
      <c r="HV117" s="14"/>
      <c r="HX117" s="195" t="s">
        <v>11</v>
      </c>
      <c r="HY117" s="196"/>
      <c r="HZ117" s="196"/>
      <c r="IA117" s="196"/>
      <c r="IB117" s="196"/>
      <c r="IC117" s="196"/>
      <c r="ID117" s="196"/>
      <c r="IE117" s="196"/>
      <c r="IF117" s="196"/>
      <c r="IG117" s="196"/>
      <c r="IH117" s="196"/>
      <c r="II117" s="196"/>
      <c r="IJ117" s="196"/>
      <c r="IK117" s="196"/>
      <c r="IL117" s="196"/>
      <c r="IM117" s="196"/>
      <c r="IN117" s="196"/>
      <c r="IO117" s="196"/>
      <c r="IP117" s="196"/>
      <c r="IQ117" s="196"/>
      <c r="IR117" s="196"/>
      <c r="IS117" s="196"/>
      <c r="IT117" s="196"/>
      <c r="IU117" s="196"/>
      <c r="IV117" s="196"/>
      <c r="IW117" s="196"/>
      <c r="IX117" s="196"/>
      <c r="IY117" s="196"/>
      <c r="IZ117" s="196"/>
      <c r="JA117" s="196"/>
      <c r="JB117" s="196"/>
      <c r="JC117" s="196"/>
      <c r="JD117" s="196"/>
      <c r="JE117" s="196"/>
      <c r="JF117" s="196"/>
      <c r="JG117" s="196"/>
      <c r="JH117" s="196"/>
      <c r="JI117" s="196"/>
      <c r="JJ117" s="196"/>
      <c r="JK117" s="196"/>
      <c r="JL117" s="204">
        <f>JL127</f>
        <v>10</v>
      </c>
      <c r="JM117" s="204"/>
      <c r="JN117" s="204"/>
      <c r="JO117" s="204"/>
      <c r="JP117" s="204"/>
      <c r="JQ117" s="204"/>
      <c r="JW117" s="155"/>
      <c r="KE117" s="311" t="s">
        <v>33</v>
      </c>
      <c r="KF117" s="312"/>
      <c r="KG117" s="312"/>
      <c r="KH117" s="312"/>
      <c r="KI117" s="312"/>
      <c r="KJ117" s="312"/>
      <c r="KK117" s="312"/>
      <c r="KL117" s="312"/>
      <c r="KM117" s="312"/>
      <c r="KN117" s="312"/>
      <c r="KO117" s="312"/>
      <c r="KP117" s="312"/>
      <c r="KQ117" s="312"/>
      <c r="KR117" s="312"/>
      <c r="KS117" s="312"/>
      <c r="KT117" s="312"/>
      <c r="KU117" s="312"/>
      <c r="KV117" s="312"/>
      <c r="KW117" s="312"/>
      <c r="KX117" s="312"/>
      <c r="KY117" s="312"/>
      <c r="KZ117" s="312"/>
      <c r="LA117" s="312"/>
      <c r="LB117" s="312"/>
      <c r="LC117" s="312"/>
      <c r="LD117" s="312"/>
      <c r="LE117" s="312"/>
      <c r="LF117" s="312"/>
      <c r="LG117" s="312"/>
      <c r="LH117" s="312"/>
      <c r="LI117" s="312"/>
      <c r="LJ117" s="312"/>
      <c r="LK117" s="312"/>
      <c r="LL117" s="312"/>
      <c r="LM117" s="312"/>
      <c r="LN117" s="312"/>
      <c r="LO117" s="312"/>
      <c r="LP117" s="312"/>
      <c r="LQ117" s="312"/>
      <c r="LR117" s="312"/>
      <c r="LS117" s="313"/>
      <c r="LT117" s="320">
        <f>SUM(LT129:LX232)</f>
        <v>15</v>
      </c>
      <c r="LU117" s="321"/>
      <c r="LV117" s="321"/>
      <c r="LW117" s="321"/>
      <c r="LX117" s="322"/>
      <c r="ML117" s="12"/>
      <c r="MM117" s="7"/>
      <c r="MN117" s="3"/>
      <c r="MO117" s="3"/>
      <c r="MP117" s="3"/>
      <c r="MQ117" s="3"/>
      <c r="MR117" s="2"/>
      <c r="NF117" s="3"/>
      <c r="NG117" s="3"/>
      <c r="NH117" s="3"/>
      <c r="NI117" s="3"/>
      <c r="NJ117" s="3"/>
      <c r="NK117" s="2"/>
    </row>
    <row r="118" spans="3:375" ht="5.0999999999999996" customHeight="1" x14ac:dyDescent="0.3">
      <c r="C118" s="11"/>
      <c r="D118" s="13"/>
      <c r="Q118" s="209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1"/>
      <c r="BF118" s="209"/>
      <c r="BG118" s="210"/>
      <c r="BH118" s="210"/>
      <c r="BI118" s="210"/>
      <c r="BJ118" s="211"/>
      <c r="EB118" s="265"/>
      <c r="EC118" s="265"/>
      <c r="ED118" s="265"/>
      <c r="EE118" s="265"/>
      <c r="EF118" s="265"/>
      <c r="EG118" s="265"/>
      <c r="EH118" s="265"/>
      <c r="EI118" s="265"/>
      <c r="EJ118" s="265"/>
      <c r="EK118" s="265"/>
      <c r="EL118" s="265"/>
      <c r="EM118" s="265"/>
      <c r="EN118" s="265"/>
      <c r="EO118" s="265"/>
      <c r="EP118" s="265"/>
      <c r="EQ118" s="265"/>
      <c r="ER118" s="265"/>
      <c r="ES118" s="265"/>
      <c r="ET118" s="265"/>
      <c r="EU118" s="265"/>
      <c r="EV118" s="265"/>
      <c r="EW118" s="265"/>
      <c r="EX118" s="265"/>
      <c r="EY118" s="265"/>
      <c r="EZ118" s="265"/>
      <c r="FA118" s="265"/>
      <c r="FB118" s="265"/>
      <c r="FC118" s="265"/>
      <c r="FD118" s="265"/>
      <c r="FE118" s="265"/>
      <c r="FF118" s="265"/>
      <c r="FG118" s="265"/>
      <c r="FH118" s="265"/>
      <c r="FI118" s="265"/>
      <c r="FJ118" s="265"/>
      <c r="FK118" s="265"/>
      <c r="FL118" s="265"/>
      <c r="FM118" s="265"/>
      <c r="FN118" s="265"/>
      <c r="FO118" s="305"/>
      <c r="FP118" s="306"/>
      <c r="FQ118" s="306"/>
      <c r="FR118" s="306"/>
      <c r="FS118" s="307"/>
      <c r="HV118" s="14"/>
      <c r="HX118" s="198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  <c r="IW118" s="199"/>
      <c r="IX118" s="199"/>
      <c r="IY118" s="199"/>
      <c r="IZ118" s="199"/>
      <c r="JA118" s="199"/>
      <c r="JB118" s="199"/>
      <c r="JC118" s="199"/>
      <c r="JD118" s="199"/>
      <c r="JE118" s="199"/>
      <c r="JF118" s="199"/>
      <c r="JG118" s="199"/>
      <c r="JH118" s="199"/>
      <c r="JI118" s="199"/>
      <c r="JJ118" s="199"/>
      <c r="JK118" s="199"/>
      <c r="JL118" s="204"/>
      <c r="JM118" s="204"/>
      <c r="JN118" s="204"/>
      <c r="JO118" s="204"/>
      <c r="JP118" s="204"/>
      <c r="JQ118" s="204"/>
      <c r="JW118" s="155"/>
      <c r="KE118" s="314"/>
      <c r="KF118" s="315"/>
      <c r="KG118" s="315"/>
      <c r="KH118" s="315"/>
      <c r="KI118" s="315"/>
      <c r="KJ118" s="315"/>
      <c r="KK118" s="315"/>
      <c r="KL118" s="315"/>
      <c r="KM118" s="315"/>
      <c r="KN118" s="315"/>
      <c r="KO118" s="315"/>
      <c r="KP118" s="315"/>
      <c r="KQ118" s="315"/>
      <c r="KR118" s="315"/>
      <c r="KS118" s="315"/>
      <c r="KT118" s="315"/>
      <c r="KU118" s="315"/>
      <c r="KV118" s="315"/>
      <c r="KW118" s="315"/>
      <c r="KX118" s="315"/>
      <c r="KY118" s="315"/>
      <c r="KZ118" s="315"/>
      <c r="LA118" s="315"/>
      <c r="LB118" s="315"/>
      <c r="LC118" s="315"/>
      <c r="LD118" s="315"/>
      <c r="LE118" s="315"/>
      <c r="LF118" s="315"/>
      <c r="LG118" s="315"/>
      <c r="LH118" s="315"/>
      <c r="LI118" s="315"/>
      <c r="LJ118" s="315"/>
      <c r="LK118" s="315"/>
      <c r="LL118" s="315"/>
      <c r="LM118" s="315"/>
      <c r="LN118" s="315"/>
      <c r="LO118" s="315"/>
      <c r="LP118" s="315"/>
      <c r="LQ118" s="315"/>
      <c r="LR118" s="315"/>
      <c r="LS118" s="316"/>
      <c r="LT118" s="323"/>
      <c r="LU118" s="324"/>
      <c r="LV118" s="324"/>
      <c r="LW118" s="324"/>
      <c r="LX118" s="325"/>
      <c r="ML118" s="12"/>
      <c r="MM118" s="7"/>
      <c r="MN118" s="3"/>
      <c r="MO118" s="3"/>
      <c r="MP118" s="3"/>
      <c r="MQ118" s="3"/>
      <c r="MR118" s="2"/>
      <c r="NF118" s="3"/>
      <c r="NG118" s="3"/>
      <c r="NH118" s="3"/>
      <c r="NI118" s="3"/>
      <c r="NJ118" s="3"/>
      <c r="NK118" s="2"/>
    </row>
    <row r="119" spans="3:375" ht="5.0999999999999996" customHeight="1" x14ac:dyDescent="0.3">
      <c r="C119" s="11"/>
      <c r="D119" s="13"/>
      <c r="Q119" s="209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1"/>
      <c r="BF119" s="209"/>
      <c r="BG119" s="210"/>
      <c r="BH119" s="210"/>
      <c r="BI119" s="210"/>
      <c r="BJ119" s="211"/>
      <c r="EB119" s="265"/>
      <c r="EC119" s="265"/>
      <c r="ED119" s="265"/>
      <c r="EE119" s="265"/>
      <c r="EF119" s="265"/>
      <c r="EG119" s="265"/>
      <c r="EH119" s="265"/>
      <c r="EI119" s="265"/>
      <c r="EJ119" s="265"/>
      <c r="EK119" s="265"/>
      <c r="EL119" s="265"/>
      <c r="EM119" s="265"/>
      <c r="EN119" s="265"/>
      <c r="EO119" s="265"/>
      <c r="EP119" s="265"/>
      <c r="EQ119" s="265"/>
      <c r="ER119" s="265"/>
      <c r="ES119" s="265"/>
      <c r="ET119" s="265"/>
      <c r="EU119" s="265"/>
      <c r="EV119" s="265"/>
      <c r="EW119" s="265"/>
      <c r="EX119" s="265"/>
      <c r="EY119" s="265"/>
      <c r="EZ119" s="265"/>
      <c r="FA119" s="265"/>
      <c r="FB119" s="265"/>
      <c r="FC119" s="265"/>
      <c r="FD119" s="265"/>
      <c r="FE119" s="265"/>
      <c r="FF119" s="265"/>
      <c r="FG119" s="265"/>
      <c r="FH119" s="265"/>
      <c r="FI119" s="265"/>
      <c r="FJ119" s="265"/>
      <c r="FK119" s="265"/>
      <c r="FL119" s="265"/>
      <c r="FM119" s="265"/>
      <c r="FN119" s="265"/>
      <c r="FO119" s="305"/>
      <c r="FP119" s="306"/>
      <c r="FQ119" s="306"/>
      <c r="FR119" s="306"/>
      <c r="FS119" s="307"/>
      <c r="HV119" s="14"/>
      <c r="HX119" s="198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  <c r="IW119" s="199"/>
      <c r="IX119" s="199"/>
      <c r="IY119" s="199"/>
      <c r="IZ119" s="199"/>
      <c r="JA119" s="199"/>
      <c r="JB119" s="199"/>
      <c r="JC119" s="199"/>
      <c r="JD119" s="199"/>
      <c r="JE119" s="199"/>
      <c r="JF119" s="199"/>
      <c r="JG119" s="199"/>
      <c r="JH119" s="199"/>
      <c r="JI119" s="199"/>
      <c r="JJ119" s="199"/>
      <c r="JK119" s="199"/>
      <c r="JL119" s="204"/>
      <c r="JM119" s="204"/>
      <c r="JN119" s="204"/>
      <c r="JO119" s="204"/>
      <c r="JP119" s="204"/>
      <c r="JQ119" s="204"/>
      <c r="JW119" s="155"/>
      <c r="KE119" s="314"/>
      <c r="KF119" s="315"/>
      <c r="KG119" s="315"/>
      <c r="KH119" s="315"/>
      <c r="KI119" s="315"/>
      <c r="KJ119" s="315"/>
      <c r="KK119" s="315"/>
      <c r="KL119" s="315"/>
      <c r="KM119" s="315"/>
      <c r="KN119" s="315"/>
      <c r="KO119" s="315"/>
      <c r="KP119" s="315"/>
      <c r="KQ119" s="315"/>
      <c r="KR119" s="315"/>
      <c r="KS119" s="315"/>
      <c r="KT119" s="315"/>
      <c r="KU119" s="315"/>
      <c r="KV119" s="315"/>
      <c r="KW119" s="315"/>
      <c r="KX119" s="315"/>
      <c r="KY119" s="315"/>
      <c r="KZ119" s="315"/>
      <c r="LA119" s="315"/>
      <c r="LB119" s="315"/>
      <c r="LC119" s="315"/>
      <c r="LD119" s="315"/>
      <c r="LE119" s="315"/>
      <c r="LF119" s="315"/>
      <c r="LG119" s="315"/>
      <c r="LH119" s="315"/>
      <c r="LI119" s="315"/>
      <c r="LJ119" s="315"/>
      <c r="LK119" s="315"/>
      <c r="LL119" s="315"/>
      <c r="LM119" s="315"/>
      <c r="LN119" s="315"/>
      <c r="LO119" s="315"/>
      <c r="LP119" s="315"/>
      <c r="LQ119" s="315"/>
      <c r="LR119" s="315"/>
      <c r="LS119" s="316"/>
      <c r="LT119" s="323"/>
      <c r="LU119" s="324"/>
      <c r="LV119" s="324"/>
      <c r="LW119" s="324"/>
      <c r="LX119" s="325"/>
      <c r="ML119" s="12"/>
      <c r="MM119" s="7"/>
      <c r="MN119" s="3"/>
      <c r="MO119" s="3"/>
      <c r="MP119" s="3"/>
      <c r="MQ119" s="3"/>
      <c r="MR119" s="2"/>
      <c r="NF119" s="3"/>
      <c r="NG119" s="3"/>
      <c r="NH119" s="3"/>
      <c r="NI119" s="3"/>
      <c r="NJ119" s="3"/>
      <c r="NK119" s="2"/>
    </row>
    <row r="120" spans="3:375" ht="5.0999999999999996" customHeight="1" x14ac:dyDescent="0.3">
      <c r="C120" s="11"/>
      <c r="D120" s="13"/>
      <c r="Q120" s="209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1"/>
      <c r="BF120" s="209"/>
      <c r="BG120" s="210"/>
      <c r="BH120" s="210"/>
      <c r="BI120" s="210"/>
      <c r="BJ120" s="211"/>
      <c r="EB120" s="265"/>
      <c r="EC120" s="265"/>
      <c r="ED120" s="265"/>
      <c r="EE120" s="265"/>
      <c r="EF120" s="265"/>
      <c r="EG120" s="265"/>
      <c r="EH120" s="265"/>
      <c r="EI120" s="265"/>
      <c r="EJ120" s="265"/>
      <c r="EK120" s="265"/>
      <c r="EL120" s="265"/>
      <c r="EM120" s="265"/>
      <c r="EN120" s="265"/>
      <c r="EO120" s="265"/>
      <c r="EP120" s="265"/>
      <c r="EQ120" s="265"/>
      <c r="ER120" s="265"/>
      <c r="ES120" s="265"/>
      <c r="ET120" s="265"/>
      <c r="EU120" s="265"/>
      <c r="EV120" s="265"/>
      <c r="EW120" s="265"/>
      <c r="EX120" s="265"/>
      <c r="EY120" s="265"/>
      <c r="EZ120" s="265"/>
      <c r="FA120" s="265"/>
      <c r="FB120" s="265"/>
      <c r="FC120" s="265"/>
      <c r="FD120" s="265"/>
      <c r="FE120" s="265"/>
      <c r="FF120" s="265"/>
      <c r="FG120" s="265"/>
      <c r="FH120" s="265"/>
      <c r="FI120" s="265"/>
      <c r="FJ120" s="265"/>
      <c r="FK120" s="265"/>
      <c r="FL120" s="265"/>
      <c r="FM120" s="265"/>
      <c r="FN120" s="265"/>
      <c r="FO120" s="305"/>
      <c r="FP120" s="306"/>
      <c r="FQ120" s="306"/>
      <c r="FR120" s="306"/>
      <c r="FS120" s="307"/>
      <c r="HV120" s="14"/>
      <c r="HX120" s="198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  <c r="IW120" s="199"/>
      <c r="IX120" s="199"/>
      <c r="IY120" s="199"/>
      <c r="IZ120" s="199"/>
      <c r="JA120" s="199"/>
      <c r="JB120" s="199"/>
      <c r="JC120" s="199"/>
      <c r="JD120" s="199"/>
      <c r="JE120" s="199"/>
      <c r="JF120" s="199"/>
      <c r="JG120" s="199"/>
      <c r="JH120" s="199"/>
      <c r="JI120" s="199"/>
      <c r="JJ120" s="199"/>
      <c r="JK120" s="199"/>
      <c r="JL120" s="204"/>
      <c r="JM120" s="204"/>
      <c r="JN120" s="204"/>
      <c r="JO120" s="204"/>
      <c r="JP120" s="204"/>
      <c r="JQ120" s="204"/>
      <c r="JW120" s="155"/>
      <c r="KE120" s="314"/>
      <c r="KF120" s="315"/>
      <c r="KG120" s="315"/>
      <c r="KH120" s="315"/>
      <c r="KI120" s="315"/>
      <c r="KJ120" s="315"/>
      <c r="KK120" s="315"/>
      <c r="KL120" s="315"/>
      <c r="KM120" s="315"/>
      <c r="KN120" s="315"/>
      <c r="KO120" s="315"/>
      <c r="KP120" s="315"/>
      <c r="KQ120" s="315"/>
      <c r="KR120" s="315"/>
      <c r="KS120" s="315"/>
      <c r="KT120" s="315"/>
      <c r="KU120" s="315"/>
      <c r="KV120" s="315"/>
      <c r="KW120" s="315"/>
      <c r="KX120" s="315"/>
      <c r="KY120" s="315"/>
      <c r="KZ120" s="315"/>
      <c r="LA120" s="315"/>
      <c r="LB120" s="315"/>
      <c r="LC120" s="315"/>
      <c r="LD120" s="315"/>
      <c r="LE120" s="315"/>
      <c r="LF120" s="315"/>
      <c r="LG120" s="315"/>
      <c r="LH120" s="315"/>
      <c r="LI120" s="315"/>
      <c r="LJ120" s="315"/>
      <c r="LK120" s="315"/>
      <c r="LL120" s="315"/>
      <c r="LM120" s="315"/>
      <c r="LN120" s="315"/>
      <c r="LO120" s="315"/>
      <c r="LP120" s="315"/>
      <c r="LQ120" s="315"/>
      <c r="LR120" s="315"/>
      <c r="LS120" s="316"/>
      <c r="LT120" s="323"/>
      <c r="LU120" s="324"/>
      <c r="LV120" s="324"/>
      <c r="LW120" s="324"/>
      <c r="LX120" s="325"/>
      <c r="ML120" s="12"/>
      <c r="MM120" s="7"/>
      <c r="MN120" s="3"/>
      <c r="MO120" s="3"/>
      <c r="MP120" s="3"/>
      <c r="MQ120" s="3"/>
      <c r="MR120" s="2"/>
      <c r="NF120" s="3"/>
      <c r="NG120" s="3"/>
      <c r="NH120" s="3"/>
      <c r="NI120" s="3"/>
      <c r="NJ120" s="3"/>
      <c r="NK120" s="2"/>
    </row>
    <row r="121" spans="3:375" ht="5.0999999999999996" customHeight="1" x14ac:dyDescent="0.3">
      <c r="C121" s="11"/>
      <c r="D121" s="13"/>
      <c r="Q121" s="209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1"/>
      <c r="BF121" s="209"/>
      <c r="BG121" s="210"/>
      <c r="BH121" s="210"/>
      <c r="BI121" s="210"/>
      <c r="BJ121" s="211"/>
      <c r="EB121" s="265"/>
      <c r="EC121" s="265"/>
      <c r="ED121" s="265"/>
      <c r="EE121" s="265"/>
      <c r="EF121" s="265"/>
      <c r="EG121" s="265"/>
      <c r="EH121" s="265"/>
      <c r="EI121" s="265"/>
      <c r="EJ121" s="265"/>
      <c r="EK121" s="265"/>
      <c r="EL121" s="265"/>
      <c r="EM121" s="265"/>
      <c r="EN121" s="265"/>
      <c r="EO121" s="265"/>
      <c r="EP121" s="265"/>
      <c r="EQ121" s="265"/>
      <c r="ER121" s="265"/>
      <c r="ES121" s="265"/>
      <c r="ET121" s="265"/>
      <c r="EU121" s="265"/>
      <c r="EV121" s="265"/>
      <c r="EW121" s="265"/>
      <c r="EX121" s="265"/>
      <c r="EY121" s="265"/>
      <c r="EZ121" s="265"/>
      <c r="FA121" s="265"/>
      <c r="FB121" s="265"/>
      <c r="FC121" s="265"/>
      <c r="FD121" s="265"/>
      <c r="FE121" s="265"/>
      <c r="FF121" s="265"/>
      <c r="FG121" s="265"/>
      <c r="FH121" s="265"/>
      <c r="FI121" s="265"/>
      <c r="FJ121" s="265"/>
      <c r="FK121" s="265"/>
      <c r="FL121" s="265"/>
      <c r="FM121" s="265"/>
      <c r="FN121" s="265"/>
      <c r="FO121" s="305"/>
      <c r="FP121" s="306"/>
      <c r="FQ121" s="306"/>
      <c r="FR121" s="306"/>
      <c r="FS121" s="307"/>
      <c r="HV121" s="14"/>
      <c r="HX121" s="198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  <c r="IW121" s="199"/>
      <c r="IX121" s="199"/>
      <c r="IY121" s="199"/>
      <c r="IZ121" s="199"/>
      <c r="JA121" s="199"/>
      <c r="JB121" s="199"/>
      <c r="JC121" s="199"/>
      <c r="JD121" s="199"/>
      <c r="JE121" s="199"/>
      <c r="JF121" s="199"/>
      <c r="JG121" s="199"/>
      <c r="JH121" s="199"/>
      <c r="JI121" s="199"/>
      <c r="JJ121" s="199"/>
      <c r="JK121" s="199"/>
      <c r="JL121" s="204"/>
      <c r="JM121" s="204"/>
      <c r="JN121" s="204"/>
      <c r="JO121" s="204"/>
      <c r="JP121" s="204"/>
      <c r="JQ121" s="204"/>
      <c r="JW121" s="155"/>
      <c r="KE121" s="314"/>
      <c r="KF121" s="315"/>
      <c r="KG121" s="315"/>
      <c r="KH121" s="315"/>
      <c r="KI121" s="315"/>
      <c r="KJ121" s="315"/>
      <c r="KK121" s="315"/>
      <c r="KL121" s="315"/>
      <c r="KM121" s="315"/>
      <c r="KN121" s="315"/>
      <c r="KO121" s="315"/>
      <c r="KP121" s="315"/>
      <c r="KQ121" s="315"/>
      <c r="KR121" s="315"/>
      <c r="KS121" s="315"/>
      <c r="KT121" s="315"/>
      <c r="KU121" s="315"/>
      <c r="KV121" s="315"/>
      <c r="KW121" s="315"/>
      <c r="KX121" s="315"/>
      <c r="KY121" s="315"/>
      <c r="KZ121" s="315"/>
      <c r="LA121" s="315"/>
      <c r="LB121" s="315"/>
      <c r="LC121" s="315"/>
      <c r="LD121" s="315"/>
      <c r="LE121" s="315"/>
      <c r="LF121" s="315"/>
      <c r="LG121" s="315"/>
      <c r="LH121" s="315"/>
      <c r="LI121" s="315"/>
      <c r="LJ121" s="315"/>
      <c r="LK121" s="315"/>
      <c r="LL121" s="315"/>
      <c r="LM121" s="315"/>
      <c r="LN121" s="315"/>
      <c r="LO121" s="315"/>
      <c r="LP121" s="315"/>
      <c r="LQ121" s="315"/>
      <c r="LR121" s="315"/>
      <c r="LS121" s="316"/>
      <c r="LT121" s="323"/>
      <c r="LU121" s="324"/>
      <c r="LV121" s="324"/>
      <c r="LW121" s="324"/>
      <c r="LX121" s="325"/>
      <c r="ML121" s="12"/>
      <c r="MM121" s="7"/>
      <c r="MN121" s="3"/>
      <c r="MO121" s="3"/>
      <c r="MP121" s="3"/>
      <c r="MQ121" s="3"/>
      <c r="MR121" s="2"/>
      <c r="NF121" s="3"/>
      <c r="NG121" s="3"/>
      <c r="NH121" s="3"/>
      <c r="NI121" s="3"/>
      <c r="NJ121" s="3"/>
      <c r="NK121" s="2"/>
    </row>
    <row r="122" spans="3:375" ht="5.0999999999999996" customHeight="1" thickBot="1" x14ac:dyDescent="0.35">
      <c r="C122" s="11"/>
      <c r="D122" s="13"/>
      <c r="Q122" s="209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1"/>
      <c r="BF122" s="209"/>
      <c r="BG122" s="210"/>
      <c r="BH122" s="210"/>
      <c r="BI122" s="210"/>
      <c r="BJ122" s="211"/>
      <c r="EB122" s="265"/>
      <c r="EC122" s="265"/>
      <c r="ED122" s="265"/>
      <c r="EE122" s="265"/>
      <c r="EF122" s="265"/>
      <c r="EG122" s="265"/>
      <c r="EH122" s="265"/>
      <c r="EI122" s="265"/>
      <c r="EJ122" s="265"/>
      <c r="EK122" s="265"/>
      <c r="EL122" s="265"/>
      <c r="EM122" s="265"/>
      <c r="EN122" s="265"/>
      <c r="EO122" s="265"/>
      <c r="EP122" s="265"/>
      <c r="EQ122" s="265"/>
      <c r="ER122" s="265"/>
      <c r="ES122" s="265"/>
      <c r="ET122" s="265"/>
      <c r="EU122" s="265"/>
      <c r="EV122" s="265"/>
      <c r="EW122" s="265"/>
      <c r="EX122" s="265"/>
      <c r="EY122" s="265"/>
      <c r="EZ122" s="265"/>
      <c r="FA122" s="265"/>
      <c r="FB122" s="265"/>
      <c r="FC122" s="265"/>
      <c r="FD122" s="265"/>
      <c r="FE122" s="265"/>
      <c r="FF122" s="265"/>
      <c r="FG122" s="265"/>
      <c r="FH122" s="265"/>
      <c r="FI122" s="265"/>
      <c r="FJ122" s="265"/>
      <c r="FK122" s="265"/>
      <c r="FL122" s="265"/>
      <c r="FM122" s="265"/>
      <c r="FN122" s="265"/>
      <c r="FO122" s="305"/>
      <c r="FP122" s="306"/>
      <c r="FQ122" s="306"/>
      <c r="FR122" s="306"/>
      <c r="FS122" s="307"/>
      <c r="HV122" s="14"/>
      <c r="HX122" s="198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  <c r="IW122" s="199"/>
      <c r="IX122" s="199"/>
      <c r="IY122" s="199"/>
      <c r="IZ122" s="199"/>
      <c r="JA122" s="199"/>
      <c r="JB122" s="199"/>
      <c r="JC122" s="199"/>
      <c r="JD122" s="199"/>
      <c r="JE122" s="199"/>
      <c r="JF122" s="199"/>
      <c r="JG122" s="199"/>
      <c r="JH122" s="199"/>
      <c r="JI122" s="199"/>
      <c r="JJ122" s="199"/>
      <c r="JK122" s="199"/>
      <c r="JL122" s="204"/>
      <c r="JM122" s="204"/>
      <c r="JN122" s="204"/>
      <c r="JO122" s="204"/>
      <c r="JP122" s="204"/>
      <c r="JQ122" s="204"/>
      <c r="JW122" s="155"/>
      <c r="KE122" s="314"/>
      <c r="KF122" s="315"/>
      <c r="KG122" s="315"/>
      <c r="KH122" s="315"/>
      <c r="KI122" s="315"/>
      <c r="KJ122" s="315"/>
      <c r="KK122" s="315"/>
      <c r="KL122" s="315"/>
      <c r="KM122" s="315"/>
      <c r="KN122" s="315"/>
      <c r="KO122" s="315"/>
      <c r="KP122" s="315"/>
      <c r="KQ122" s="315"/>
      <c r="KR122" s="315"/>
      <c r="KS122" s="315"/>
      <c r="KT122" s="315"/>
      <c r="KU122" s="315"/>
      <c r="KV122" s="315"/>
      <c r="KW122" s="315"/>
      <c r="KX122" s="315"/>
      <c r="KY122" s="315"/>
      <c r="KZ122" s="315"/>
      <c r="LA122" s="315"/>
      <c r="LB122" s="315"/>
      <c r="LC122" s="315"/>
      <c r="LD122" s="315"/>
      <c r="LE122" s="315"/>
      <c r="LF122" s="315"/>
      <c r="LG122" s="315"/>
      <c r="LH122" s="315"/>
      <c r="LI122" s="315"/>
      <c r="LJ122" s="315"/>
      <c r="LK122" s="315"/>
      <c r="LL122" s="315"/>
      <c r="LM122" s="315"/>
      <c r="LN122" s="315"/>
      <c r="LO122" s="315"/>
      <c r="LP122" s="315"/>
      <c r="LQ122" s="315"/>
      <c r="LR122" s="315"/>
      <c r="LS122" s="316"/>
      <c r="LT122" s="323"/>
      <c r="LU122" s="324"/>
      <c r="LV122" s="324"/>
      <c r="LW122" s="324"/>
      <c r="LX122" s="325"/>
      <c r="ML122" s="12"/>
      <c r="MM122" s="7"/>
      <c r="MN122" s="3"/>
      <c r="MO122" s="3"/>
      <c r="MP122" s="3"/>
      <c r="MQ122" s="3"/>
      <c r="MR122" s="2"/>
      <c r="NF122" s="3"/>
      <c r="NG122" s="3"/>
      <c r="NH122" s="3"/>
      <c r="NI122" s="3"/>
      <c r="NJ122" s="3"/>
      <c r="NK122" s="2"/>
    </row>
    <row r="123" spans="3:375" ht="5.0999999999999996" customHeight="1" x14ac:dyDescent="0.3">
      <c r="C123" s="11"/>
      <c r="D123" s="13"/>
      <c r="Q123" s="209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  <c r="AW123" s="210"/>
      <c r="AX123" s="210"/>
      <c r="AY123" s="210"/>
      <c r="AZ123" s="210"/>
      <c r="BA123" s="210"/>
      <c r="BB123" s="210"/>
      <c r="BC123" s="210"/>
      <c r="BD123" s="210"/>
      <c r="BE123" s="211"/>
      <c r="BF123" s="209"/>
      <c r="BG123" s="210"/>
      <c r="BH123" s="210"/>
      <c r="BI123" s="210"/>
      <c r="BJ123" s="211"/>
      <c r="EB123" s="265"/>
      <c r="EC123" s="265"/>
      <c r="ED123" s="265"/>
      <c r="EE123" s="265"/>
      <c r="EF123" s="265"/>
      <c r="EG123" s="265"/>
      <c r="EH123" s="265"/>
      <c r="EI123" s="265"/>
      <c r="EJ123" s="265"/>
      <c r="EK123" s="265"/>
      <c r="EL123" s="265"/>
      <c r="EM123" s="265"/>
      <c r="EN123" s="265"/>
      <c r="EO123" s="265"/>
      <c r="EP123" s="265"/>
      <c r="EQ123" s="265"/>
      <c r="ER123" s="265"/>
      <c r="ES123" s="265"/>
      <c r="ET123" s="265"/>
      <c r="EU123" s="265"/>
      <c r="EV123" s="265"/>
      <c r="EW123" s="265"/>
      <c r="EX123" s="265"/>
      <c r="EY123" s="265"/>
      <c r="EZ123" s="265"/>
      <c r="FA123" s="265"/>
      <c r="FB123" s="265"/>
      <c r="FC123" s="265"/>
      <c r="FD123" s="265"/>
      <c r="FE123" s="265"/>
      <c r="FF123" s="265"/>
      <c r="FG123" s="265"/>
      <c r="FH123" s="265"/>
      <c r="FI123" s="265"/>
      <c r="FJ123" s="265"/>
      <c r="FK123" s="265"/>
      <c r="FL123" s="265"/>
      <c r="FM123" s="265"/>
      <c r="FN123" s="265"/>
      <c r="FO123" s="305"/>
      <c r="FP123" s="306"/>
      <c r="FQ123" s="306"/>
      <c r="FR123" s="306"/>
      <c r="FS123" s="307"/>
      <c r="HV123" s="14"/>
      <c r="HX123" s="198"/>
      <c r="HY123" s="199"/>
      <c r="HZ123" s="199"/>
      <c r="IA123" s="199"/>
      <c r="IB123" s="199"/>
      <c r="IC123" s="199"/>
      <c r="ID123" s="199"/>
      <c r="IE123" s="199"/>
      <c r="IF123" s="199"/>
      <c r="IG123" s="199"/>
      <c r="IH123" s="199"/>
      <c r="II123" s="199"/>
      <c r="IJ123" s="199"/>
      <c r="IK123" s="199"/>
      <c r="IL123" s="199"/>
      <c r="IM123" s="199"/>
      <c r="IN123" s="199"/>
      <c r="IO123" s="199"/>
      <c r="IP123" s="199"/>
      <c r="IQ123" s="199"/>
      <c r="IR123" s="199"/>
      <c r="IS123" s="199"/>
      <c r="IT123" s="199"/>
      <c r="IU123" s="199"/>
      <c r="IV123" s="199"/>
      <c r="IW123" s="199"/>
      <c r="IX123" s="199"/>
      <c r="IY123" s="199"/>
      <c r="IZ123" s="199"/>
      <c r="JA123" s="199"/>
      <c r="JB123" s="199"/>
      <c r="JC123" s="199"/>
      <c r="JD123" s="199"/>
      <c r="JE123" s="199"/>
      <c r="JF123" s="199"/>
      <c r="JG123" s="199"/>
      <c r="JH123" s="199"/>
      <c r="JI123" s="199"/>
      <c r="JJ123" s="199"/>
      <c r="JK123" s="199"/>
      <c r="JL123" s="204"/>
      <c r="JM123" s="204"/>
      <c r="JN123" s="204"/>
      <c r="JO123" s="204"/>
      <c r="JP123" s="204"/>
      <c r="JQ123" s="204"/>
      <c r="JW123" s="155"/>
      <c r="KC123" s="22"/>
      <c r="KD123" s="21"/>
      <c r="KE123" s="314"/>
      <c r="KF123" s="315"/>
      <c r="KG123" s="315"/>
      <c r="KH123" s="315"/>
      <c r="KI123" s="315"/>
      <c r="KJ123" s="315"/>
      <c r="KK123" s="315"/>
      <c r="KL123" s="315"/>
      <c r="KM123" s="315"/>
      <c r="KN123" s="315"/>
      <c r="KO123" s="315"/>
      <c r="KP123" s="315"/>
      <c r="KQ123" s="315"/>
      <c r="KR123" s="315"/>
      <c r="KS123" s="315"/>
      <c r="KT123" s="315"/>
      <c r="KU123" s="315"/>
      <c r="KV123" s="315"/>
      <c r="KW123" s="315"/>
      <c r="KX123" s="315"/>
      <c r="KY123" s="315"/>
      <c r="KZ123" s="315"/>
      <c r="LA123" s="315"/>
      <c r="LB123" s="315"/>
      <c r="LC123" s="315"/>
      <c r="LD123" s="315"/>
      <c r="LE123" s="315"/>
      <c r="LF123" s="315"/>
      <c r="LG123" s="315"/>
      <c r="LH123" s="315"/>
      <c r="LI123" s="315"/>
      <c r="LJ123" s="315"/>
      <c r="LK123" s="315"/>
      <c r="LL123" s="315"/>
      <c r="LM123" s="315"/>
      <c r="LN123" s="315"/>
      <c r="LO123" s="315"/>
      <c r="LP123" s="315"/>
      <c r="LQ123" s="315"/>
      <c r="LR123" s="315"/>
      <c r="LS123" s="316"/>
      <c r="LT123" s="323"/>
      <c r="LU123" s="324"/>
      <c r="LV123" s="324"/>
      <c r="LW123" s="324"/>
      <c r="LX123" s="325"/>
      <c r="ML123" s="12"/>
      <c r="MM123" s="7"/>
      <c r="MN123" s="3"/>
      <c r="MO123" s="3"/>
      <c r="MP123" s="3"/>
      <c r="MQ123" s="3"/>
      <c r="MR123" s="2"/>
      <c r="NF123" s="3"/>
      <c r="NG123" s="3"/>
      <c r="NH123" s="3"/>
      <c r="NI123" s="3"/>
      <c r="NJ123" s="3"/>
      <c r="NK123" s="2"/>
    </row>
    <row r="124" spans="3:375" ht="5.0999999999999996" customHeight="1" x14ac:dyDescent="0.3">
      <c r="C124" s="11"/>
      <c r="D124" s="13"/>
      <c r="Q124" s="209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  <c r="BD124" s="210"/>
      <c r="BE124" s="211"/>
      <c r="BF124" s="209"/>
      <c r="BG124" s="210"/>
      <c r="BH124" s="210"/>
      <c r="BI124" s="210"/>
      <c r="BJ124" s="211"/>
      <c r="EB124" s="265"/>
      <c r="EC124" s="265"/>
      <c r="ED124" s="265"/>
      <c r="EE124" s="265"/>
      <c r="EF124" s="265"/>
      <c r="EG124" s="265"/>
      <c r="EH124" s="265"/>
      <c r="EI124" s="265"/>
      <c r="EJ124" s="265"/>
      <c r="EK124" s="265"/>
      <c r="EL124" s="265"/>
      <c r="EM124" s="265"/>
      <c r="EN124" s="265"/>
      <c r="EO124" s="265"/>
      <c r="EP124" s="265"/>
      <c r="EQ124" s="265"/>
      <c r="ER124" s="265"/>
      <c r="ES124" s="265"/>
      <c r="ET124" s="265"/>
      <c r="EU124" s="265"/>
      <c r="EV124" s="265"/>
      <c r="EW124" s="265"/>
      <c r="EX124" s="265"/>
      <c r="EY124" s="265"/>
      <c r="EZ124" s="265"/>
      <c r="FA124" s="265"/>
      <c r="FB124" s="265"/>
      <c r="FC124" s="265"/>
      <c r="FD124" s="265"/>
      <c r="FE124" s="265"/>
      <c r="FF124" s="265"/>
      <c r="FG124" s="265"/>
      <c r="FH124" s="265"/>
      <c r="FI124" s="265"/>
      <c r="FJ124" s="265"/>
      <c r="FK124" s="265"/>
      <c r="FL124" s="265"/>
      <c r="FM124" s="265"/>
      <c r="FN124" s="265"/>
      <c r="FO124" s="305"/>
      <c r="FP124" s="306"/>
      <c r="FQ124" s="306"/>
      <c r="FR124" s="306"/>
      <c r="FS124" s="307"/>
      <c r="HX124" s="198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  <c r="IW124" s="199"/>
      <c r="IX124" s="199"/>
      <c r="IY124" s="199"/>
      <c r="IZ124" s="199"/>
      <c r="JA124" s="199"/>
      <c r="JB124" s="199"/>
      <c r="JC124" s="199"/>
      <c r="JD124" s="199"/>
      <c r="JE124" s="199"/>
      <c r="JF124" s="199"/>
      <c r="JG124" s="199"/>
      <c r="JH124" s="199"/>
      <c r="JI124" s="199"/>
      <c r="JJ124" s="199"/>
      <c r="JK124" s="199"/>
      <c r="JL124" s="204"/>
      <c r="JM124" s="204"/>
      <c r="JN124" s="204"/>
      <c r="JO124" s="204"/>
      <c r="JP124" s="204"/>
      <c r="JQ124" s="204"/>
      <c r="JW124" s="155"/>
      <c r="KC124" s="16"/>
      <c r="KE124" s="314"/>
      <c r="KF124" s="315"/>
      <c r="KG124" s="315"/>
      <c r="KH124" s="315"/>
      <c r="KI124" s="315"/>
      <c r="KJ124" s="315"/>
      <c r="KK124" s="315"/>
      <c r="KL124" s="315"/>
      <c r="KM124" s="315"/>
      <c r="KN124" s="315"/>
      <c r="KO124" s="315"/>
      <c r="KP124" s="315"/>
      <c r="KQ124" s="315"/>
      <c r="KR124" s="315"/>
      <c r="KS124" s="315"/>
      <c r="KT124" s="315"/>
      <c r="KU124" s="315"/>
      <c r="KV124" s="315"/>
      <c r="KW124" s="315"/>
      <c r="KX124" s="315"/>
      <c r="KY124" s="315"/>
      <c r="KZ124" s="315"/>
      <c r="LA124" s="315"/>
      <c r="LB124" s="315"/>
      <c r="LC124" s="315"/>
      <c r="LD124" s="315"/>
      <c r="LE124" s="315"/>
      <c r="LF124" s="315"/>
      <c r="LG124" s="315"/>
      <c r="LH124" s="315"/>
      <c r="LI124" s="315"/>
      <c r="LJ124" s="315"/>
      <c r="LK124" s="315"/>
      <c r="LL124" s="315"/>
      <c r="LM124" s="315"/>
      <c r="LN124" s="315"/>
      <c r="LO124" s="315"/>
      <c r="LP124" s="315"/>
      <c r="LQ124" s="315"/>
      <c r="LR124" s="315"/>
      <c r="LS124" s="316"/>
      <c r="LT124" s="323"/>
      <c r="LU124" s="324"/>
      <c r="LV124" s="324"/>
      <c r="LW124" s="324"/>
      <c r="LX124" s="325"/>
      <c r="ML124" s="12"/>
      <c r="MM124" s="7"/>
      <c r="MN124" s="3"/>
      <c r="MO124" s="3"/>
      <c r="MP124" s="3"/>
      <c r="MQ124" s="3"/>
      <c r="MR124" s="2"/>
      <c r="NF124" s="3"/>
      <c r="NG124" s="3"/>
      <c r="NH124" s="3"/>
      <c r="NI124" s="3"/>
      <c r="NJ124" s="3"/>
      <c r="NK124" s="2"/>
    </row>
    <row r="125" spans="3:375" ht="5.0999999999999996" customHeight="1" x14ac:dyDescent="0.3">
      <c r="C125" s="11"/>
      <c r="D125" s="13"/>
      <c r="Q125" s="209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  <c r="BD125" s="210"/>
      <c r="BE125" s="211"/>
      <c r="BF125" s="209"/>
      <c r="BG125" s="210"/>
      <c r="BH125" s="210"/>
      <c r="BI125" s="210"/>
      <c r="BJ125" s="211"/>
      <c r="EB125" s="265"/>
      <c r="EC125" s="265"/>
      <c r="ED125" s="265"/>
      <c r="EE125" s="265"/>
      <c r="EF125" s="265"/>
      <c r="EG125" s="265"/>
      <c r="EH125" s="265"/>
      <c r="EI125" s="265"/>
      <c r="EJ125" s="265"/>
      <c r="EK125" s="265"/>
      <c r="EL125" s="265"/>
      <c r="EM125" s="265"/>
      <c r="EN125" s="265"/>
      <c r="EO125" s="265"/>
      <c r="EP125" s="265"/>
      <c r="EQ125" s="265"/>
      <c r="ER125" s="265"/>
      <c r="ES125" s="265"/>
      <c r="ET125" s="265"/>
      <c r="EU125" s="265"/>
      <c r="EV125" s="265"/>
      <c r="EW125" s="265"/>
      <c r="EX125" s="265"/>
      <c r="EY125" s="265"/>
      <c r="EZ125" s="265"/>
      <c r="FA125" s="265"/>
      <c r="FB125" s="265"/>
      <c r="FC125" s="265"/>
      <c r="FD125" s="265"/>
      <c r="FE125" s="265"/>
      <c r="FF125" s="265"/>
      <c r="FG125" s="265"/>
      <c r="FH125" s="265"/>
      <c r="FI125" s="265"/>
      <c r="FJ125" s="265"/>
      <c r="FK125" s="265"/>
      <c r="FL125" s="265"/>
      <c r="FM125" s="265"/>
      <c r="FN125" s="265"/>
      <c r="FO125" s="305"/>
      <c r="FP125" s="306"/>
      <c r="FQ125" s="306"/>
      <c r="FR125" s="306"/>
      <c r="FS125" s="307"/>
      <c r="HX125" s="198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  <c r="IW125" s="199"/>
      <c r="IX125" s="199"/>
      <c r="IY125" s="199"/>
      <c r="IZ125" s="199"/>
      <c r="JA125" s="199"/>
      <c r="JB125" s="199"/>
      <c r="JC125" s="199"/>
      <c r="JD125" s="199"/>
      <c r="JE125" s="199"/>
      <c r="JF125" s="199"/>
      <c r="JG125" s="199"/>
      <c r="JH125" s="199"/>
      <c r="JI125" s="199"/>
      <c r="JJ125" s="199"/>
      <c r="JK125" s="199"/>
      <c r="JL125" s="204"/>
      <c r="JM125" s="204"/>
      <c r="JN125" s="204"/>
      <c r="JO125" s="204"/>
      <c r="JP125" s="204"/>
      <c r="JQ125" s="204"/>
      <c r="JW125" s="155"/>
      <c r="KC125" s="16"/>
      <c r="KE125" s="314"/>
      <c r="KF125" s="315"/>
      <c r="KG125" s="315"/>
      <c r="KH125" s="315"/>
      <c r="KI125" s="315"/>
      <c r="KJ125" s="315"/>
      <c r="KK125" s="315"/>
      <c r="KL125" s="315"/>
      <c r="KM125" s="315"/>
      <c r="KN125" s="315"/>
      <c r="KO125" s="315"/>
      <c r="KP125" s="315"/>
      <c r="KQ125" s="315"/>
      <c r="KR125" s="315"/>
      <c r="KS125" s="315"/>
      <c r="KT125" s="315"/>
      <c r="KU125" s="315"/>
      <c r="KV125" s="315"/>
      <c r="KW125" s="315"/>
      <c r="KX125" s="315"/>
      <c r="KY125" s="315"/>
      <c r="KZ125" s="315"/>
      <c r="LA125" s="315"/>
      <c r="LB125" s="315"/>
      <c r="LC125" s="315"/>
      <c r="LD125" s="315"/>
      <c r="LE125" s="315"/>
      <c r="LF125" s="315"/>
      <c r="LG125" s="315"/>
      <c r="LH125" s="315"/>
      <c r="LI125" s="315"/>
      <c r="LJ125" s="315"/>
      <c r="LK125" s="315"/>
      <c r="LL125" s="315"/>
      <c r="LM125" s="315"/>
      <c r="LN125" s="315"/>
      <c r="LO125" s="315"/>
      <c r="LP125" s="315"/>
      <c r="LQ125" s="315"/>
      <c r="LR125" s="315"/>
      <c r="LS125" s="316"/>
      <c r="LT125" s="323"/>
      <c r="LU125" s="324"/>
      <c r="LV125" s="324"/>
      <c r="LW125" s="324"/>
      <c r="LX125" s="325"/>
      <c r="ML125" s="12"/>
      <c r="MM125" s="7"/>
      <c r="MN125" s="3"/>
      <c r="MO125" s="3"/>
      <c r="MP125" s="3"/>
      <c r="MQ125" s="3"/>
      <c r="MR125" s="2"/>
      <c r="NF125" s="3"/>
      <c r="NG125" s="3"/>
      <c r="NH125" s="3"/>
      <c r="NI125" s="3"/>
      <c r="NJ125" s="3"/>
      <c r="NK125" s="2"/>
    </row>
    <row r="126" spans="3:375" ht="5.0999999999999996" customHeight="1" thickBot="1" x14ac:dyDescent="0.35">
      <c r="C126" s="11"/>
      <c r="D126" s="13"/>
      <c r="Q126" s="212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4"/>
      <c r="BF126" s="212"/>
      <c r="BG126" s="213"/>
      <c r="BH126" s="213"/>
      <c r="BI126" s="213"/>
      <c r="BJ126" s="214"/>
      <c r="EB126" s="265"/>
      <c r="EC126" s="265"/>
      <c r="ED126" s="265"/>
      <c r="EE126" s="265"/>
      <c r="EF126" s="265"/>
      <c r="EG126" s="265"/>
      <c r="EH126" s="265"/>
      <c r="EI126" s="265"/>
      <c r="EJ126" s="265"/>
      <c r="EK126" s="265"/>
      <c r="EL126" s="265"/>
      <c r="EM126" s="265"/>
      <c r="EN126" s="265"/>
      <c r="EO126" s="265"/>
      <c r="EP126" s="265"/>
      <c r="EQ126" s="265"/>
      <c r="ER126" s="265"/>
      <c r="ES126" s="265"/>
      <c r="ET126" s="265"/>
      <c r="EU126" s="265"/>
      <c r="EV126" s="265"/>
      <c r="EW126" s="265"/>
      <c r="EX126" s="265"/>
      <c r="EY126" s="265"/>
      <c r="EZ126" s="265"/>
      <c r="FA126" s="265"/>
      <c r="FB126" s="265"/>
      <c r="FC126" s="265"/>
      <c r="FD126" s="265"/>
      <c r="FE126" s="265"/>
      <c r="FF126" s="265"/>
      <c r="FG126" s="265"/>
      <c r="FH126" s="265"/>
      <c r="FI126" s="265"/>
      <c r="FJ126" s="265"/>
      <c r="FK126" s="265"/>
      <c r="FL126" s="265"/>
      <c r="FM126" s="265"/>
      <c r="FN126" s="265"/>
      <c r="FO126" s="308"/>
      <c r="FP126" s="309"/>
      <c r="FQ126" s="309"/>
      <c r="FR126" s="309"/>
      <c r="FS126" s="310"/>
      <c r="HX126" s="201"/>
      <c r="HY126" s="202"/>
      <c r="HZ126" s="202"/>
      <c r="IA126" s="202"/>
      <c r="IB126" s="202"/>
      <c r="IC126" s="202"/>
      <c r="ID126" s="202"/>
      <c r="IE126" s="202"/>
      <c r="IF126" s="202"/>
      <c r="IG126" s="202"/>
      <c r="IH126" s="202"/>
      <c r="II126" s="202"/>
      <c r="IJ126" s="202"/>
      <c r="IK126" s="202"/>
      <c r="IL126" s="202"/>
      <c r="IM126" s="202"/>
      <c r="IN126" s="202"/>
      <c r="IO126" s="202"/>
      <c r="IP126" s="202"/>
      <c r="IQ126" s="202"/>
      <c r="IR126" s="202"/>
      <c r="IS126" s="202"/>
      <c r="IT126" s="202"/>
      <c r="IU126" s="202"/>
      <c r="IV126" s="202"/>
      <c r="IW126" s="202"/>
      <c r="IX126" s="202"/>
      <c r="IY126" s="202"/>
      <c r="IZ126" s="202"/>
      <c r="JA126" s="202"/>
      <c r="JB126" s="202"/>
      <c r="JC126" s="202"/>
      <c r="JD126" s="202"/>
      <c r="JE126" s="202"/>
      <c r="JF126" s="202"/>
      <c r="JG126" s="202"/>
      <c r="JH126" s="202"/>
      <c r="JI126" s="202"/>
      <c r="JJ126" s="202"/>
      <c r="JK126" s="202"/>
      <c r="JL126" s="204"/>
      <c r="JM126" s="204"/>
      <c r="JN126" s="204"/>
      <c r="JO126" s="204"/>
      <c r="JP126" s="204"/>
      <c r="JQ126" s="204"/>
      <c r="JW126" s="155"/>
      <c r="KC126" s="16"/>
      <c r="KE126" s="317"/>
      <c r="KF126" s="318"/>
      <c r="KG126" s="318"/>
      <c r="KH126" s="318"/>
      <c r="KI126" s="318"/>
      <c r="KJ126" s="318"/>
      <c r="KK126" s="318"/>
      <c r="KL126" s="318"/>
      <c r="KM126" s="318"/>
      <c r="KN126" s="318"/>
      <c r="KO126" s="318"/>
      <c r="KP126" s="318"/>
      <c r="KQ126" s="318"/>
      <c r="KR126" s="318"/>
      <c r="KS126" s="318"/>
      <c r="KT126" s="318"/>
      <c r="KU126" s="318"/>
      <c r="KV126" s="318"/>
      <c r="KW126" s="318"/>
      <c r="KX126" s="318"/>
      <c r="KY126" s="318"/>
      <c r="KZ126" s="318"/>
      <c r="LA126" s="318"/>
      <c r="LB126" s="318"/>
      <c r="LC126" s="318"/>
      <c r="LD126" s="318"/>
      <c r="LE126" s="318"/>
      <c r="LF126" s="318"/>
      <c r="LG126" s="318"/>
      <c r="LH126" s="318"/>
      <c r="LI126" s="318"/>
      <c r="LJ126" s="318"/>
      <c r="LK126" s="318"/>
      <c r="LL126" s="318"/>
      <c r="LM126" s="318"/>
      <c r="LN126" s="318"/>
      <c r="LO126" s="318"/>
      <c r="LP126" s="318"/>
      <c r="LQ126" s="318"/>
      <c r="LR126" s="318"/>
      <c r="LS126" s="319"/>
      <c r="LT126" s="326"/>
      <c r="LU126" s="327"/>
      <c r="LV126" s="327"/>
      <c r="LW126" s="327"/>
      <c r="LX126" s="328"/>
      <c r="ML126" s="12"/>
      <c r="MM126" s="7"/>
      <c r="MN126" s="3"/>
      <c r="MO126" s="3"/>
      <c r="MP126" s="3"/>
      <c r="MQ126" s="3"/>
      <c r="MR126" s="2"/>
      <c r="NF126" s="3"/>
      <c r="NG126" s="3"/>
      <c r="NH126" s="3"/>
      <c r="NI126" s="3"/>
      <c r="NJ126" s="3"/>
      <c r="NK126" s="2"/>
    </row>
    <row r="127" spans="3:375" ht="5.0999999999999996" customHeight="1" x14ac:dyDescent="0.3">
      <c r="C127" s="11"/>
      <c r="D127" s="13"/>
      <c r="AN127" s="25"/>
      <c r="EY127" s="16"/>
      <c r="HX127" s="216" t="s">
        <v>10</v>
      </c>
      <c r="HY127" s="217"/>
      <c r="HZ127" s="217"/>
      <c r="IA127" s="217"/>
      <c r="IB127" s="217"/>
      <c r="IC127" s="217"/>
      <c r="ID127" s="217"/>
      <c r="IE127" s="217"/>
      <c r="IF127" s="217"/>
      <c r="IG127" s="217"/>
      <c r="IH127" s="217"/>
      <c r="II127" s="217"/>
      <c r="IJ127" s="217"/>
      <c r="IK127" s="217"/>
      <c r="IL127" s="217"/>
      <c r="IM127" s="217"/>
      <c r="IN127" s="217"/>
      <c r="IO127" s="217"/>
      <c r="IP127" s="217"/>
      <c r="IQ127" s="217"/>
      <c r="IR127" s="217"/>
      <c r="IS127" s="217"/>
      <c r="IT127" s="217"/>
      <c r="IU127" s="217"/>
      <c r="IV127" s="217"/>
      <c r="IW127" s="217"/>
      <c r="IX127" s="217"/>
      <c r="IY127" s="217"/>
      <c r="IZ127" s="217"/>
      <c r="JA127" s="217"/>
      <c r="JB127" s="217"/>
      <c r="JC127" s="217"/>
      <c r="JD127" s="217"/>
      <c r="JE127" s="217"/>
      <c r="JF127" s="217"/>
      <c r="JG127" s="217"/>
      <c r="JH127" s="217"/>
      <c r="JI127" s="217"/>
      <c r="JJ127" s="217"/>
      <c r="JK127" s="217"/>
      <c r="JL127" s="187">
        <v>10</v>
      </c>
      <c r="JM127" s="188"/>
      <c r="JN127" s="188"/>
      <c r="JO127" s="188"/>
      <c r="JP127" s="188"/>
      <c r="JQ127" s="189"/>
      <c r="JR127" s="52"/>
      <c r="JW127" s="155"/>
      <c r="KC127" s="16"/>
      <c r="ML127" s="12"/>
      <c r="MM127" s="7"/>
      <c r="MN127" s="3"/>
      <c r="MO127" s="3"/>
      <c r="MP127" s="3"/>
      <c r="MQ127" s="3"/>
      <c r="MR127" s="2"/>
      <c r="NF127" s="3"/>
      <c r="NG127" s="3"/>
      <c r="NH127" s="3"/>
      <c r="NI127" s="3"/>
      <c r="NJ127" s="3"/>
      <c r="NK127" s="2"/>
    </row>
    <row r="128" spans="3:375" ht="5.0999999999999996" customHeight="1" x14ac:dyDescent="0.3">
      <c r="C128" s="11"/>
      <c r="D128" s="13"/>
      <c r="AN128" s="24"/>
      <c r="EY128" s="16"/>
      <c r="HX128" s="219"/>
      <c r="HY128" s="220"/>
      <c r="HZ128" s="220"/>
      <c r="IA128" s="220"/>
      <c r="IB128" s="220"/>
      <c r="IC128" s="220"/>
      <c r="ID128" s="220"/>
      <c r="IE128" s="220"/>
      <c r="IF128" s="220"/>
      <c r="IG128" s="220"/>
      <c r="IH128" s="220"/>
      <c r="II128" s="220"/>
      <c r="IJ128" s="220"/>
      <c r="IK128" s="220"/>
      <c r="IL128" s="220"/>
      <c r="IM128" s="220"/>
      <c r="IN128" s="220"/>
      <c r="IO128" s="220"/>
      <c r="IP128" s="220"/>
      <c r="IQ128" s="220"/>
      <c r="IR128" s="220"/>
      <c r="IS128" s="220"/>
      <c r="IT128" s="220"/>
      <c r="IU128" s="220"/>
      <c r="IV128" s="220"/>
      <c r="IW128" s="220"/>
      <c r="IX128" s="220"/>
      <c r="IY128" s="220"/>
      <c r="IZ128" s="220"/>
      <c r="JA128" s="220"/>
      <c r="JB128" s="220"/>
      <c r="JC128" s="220"/>
      <c r="JD128" s="220"/>
      <c r="JE128" s="220"/>
      <c r="JF128" s="220"/>
      <c r="JG128" s="220"/>
      <c r="JH128" s="220"/>
      <c r="JI128" s="220"/>
      <c r="JJ128" s="220"/>
      <c r="JK128" s="220"/>
      <c r="JL128" s="187"/>
      <c r="JM128" s="188"/>
      <c r="JN128" s="188"/>
      <c r="JO128" s="188"/>
      <c r="JP128" s="188"/>
      <c r="JQ128" s="189"/>
      <c r="JR128" s="53"/>
      <c r="JW128" s="155"/>
      <c r="KC128" s="16"/>
      <c r="ML128" s="12"/>
      <c r="MM128" s="7"/>
      <c r="MN128" s="3"/>
      <c r="MO128" s="3"/>
      <c r="MP128" s="3"/>
      <c r="MQ128" s="3"/>
      <c r="MR128" s="2"/>
      <c r="NF128" s="3"/>
      <c r="NG128" s="3"/>
      <c r="NH128" s="3"/>
      <c r="NI128" s="3"/>
      <c r="NJ128" s="3"/>
      <c r="NK128" s="2"/>
    </row>
    <row r="129" spans="3:375" ht="5.0999999999999996" customHeight="1" x14ac:dyDescent="0.3">
      <c r="C129" s="11"/>
      <c r="D129" s="13"/>
      <c r="Q129" s="184" t="s">
        <v>47</v>
      </c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6"/>
      <c r="BF129" s="184">
        <v>1</v>
      </c>
      <c r="BG129" s="185"/>
      <c r="BH129" s="185"/>
      <c r="BI129" s="185"/>
      <c r="BJ129" s="186"/>
      <c r="EB129" s="215" t="s">
        <v>9</v>
      </c>
      <c r="EC129" s="215"/>
      <c r="ED129" s="215"/>
      <c r="EE129" s="215"/>
      <c r="EF129" s="215"/>
      <c r="EG129" s="215"/>
      <c r="EH129" s="215"/>
      <c r="EI129" s="215"/>
      <c r="EJ129" s="215"/>
      <c r="EK129" s="215"/>
      <c r="EL129" s="215"/>
      <c r="EM129" s="215"/>
      <c r="EN129" s="215"/>
      <c r="EO129" s="215"/>
      <c r="EP129" s="215"/>
      <c r="EQ129" s="215"/>
      <c r="ER129" s="215"/>
      <c r="ES129" s="215"/>
      <c r="ET129" s="215"/>
      <c r="EU129" s="215"/>
      <c r="EV129" s="215"/>
      <c r="EW129" s="215"/>
      <c r="EX129" s="215"/>
      <c r="EY129" s="215"/>
      <c r="EZ129" s="215"/>
      <c r="FA129" s="215"/>
      <c r="FB129" s="215"/>
      <c r="FC129" s="215"/>
      <c r="FD129" s="215"/>
      <c r="FE129" s="215"/>
      <c r="FF129" s="215"/>
      <c r="FG129" s="215"/>
      <c r="FH129" s="215"/>
      <c r="FI129" s="215"/>
      <c r="FJ129" s="215"/>
      <c r="FK129" s="215"/>
      <c r="FL129" s="215"/>
      <c r="FM129" s="215"/>
      <c r="FN129" s="215"/>
      <c r="FO129" s="215">
        <v>1</v>
      </c>
      <c r="FP129" s="215"/>
      <c r="FQ129" s="215"/>
      <c r="FR129" s="215"/>
      <c r="FS129" s="215"/>
      <c r="HX129" s="219"/>
      <c r="HY129" s="220"/>
      <c r="HZ129" s="220"/>
      <c r="IA129" s="220"/>
      <c r="IB129" s="220"/>
      <c r="IC129" s="220"/>
      <c r="ID129" s="220"/>
      <c r="IE129" s="220"/>
      <c r="IF129" s="220"/>
      <c r="IG129" s="220"/>
      <c r="IH129" s="220"/>
      <c r="II129" s="220"/>
      <c r="IJ129" s="220"/>
      <c r="IK129" s="220"/>
      <c r="IL129" s="220"/>
      <c r="IM129" s="220"/>
      <c r="IN129" s="220"/>
      <c r="IO129" s="220"/>
      <c r="IP129" s="220"/>
      <c r="IQ129" s="220"/>
      <c r="IR129" s="220"/>
      <c r="IS129" s="220"/>
      <c r="IT129" s="220"/>
      <c r="IU129" s="220"/>
      <c r="IV129" s="220"/>
      <c r="IW129" s="220"/>
      <c r="IX129" s="220"/>
      <c r="IY129" s="220"/>
      <c r="IZ129" s="220"/>
      <c r="JA129" s="220"/>
      <c r="JB129" s="220"/>
      <c r="JC129" s="220"/>
      <c r="JD129" s="220"/>
      <c r="JE129" s="220"/>
      <c r="JF129" s="220"/>
      <c r="JG129" s="220"/>
      <c r="JH129" s="220"/>
      <c r="JI129" s="220"/>
      <c r="JJ129" s="220"/>
      <c r="JK129" s="220"/>
      <c r="JL129" s="187"/>
      <c r="JM129" s="188"/>
      <c r="JN129" s="188"/>
      <c r="JO129" s="188"/>
      <c r="JP129" s="188"/>
      <c r="JQ129" s="189"/>
      <c r="JR129" s="53"/>
      <c r="JW129" s="155"/>
      <c r="KC129" s="16"/>
      <c r="KE129" s="184" t="s">
        <v>47</v>
      </c>
      <c r="KF129" s="185"/>
      <c r="KG129" s="185"/>
      <c r="KH129" s="185"/>
      <c r="KI129" s="185"/>
      <c r="KJ129" s="185"/>
      <c r="KK129" s="185"/>
      <c r="KL129" s="185"/>
      <c r="KM129" s="185"/>
      <c r="KN129" s="185"/>
      <c r="KO129" s="185"/>
      <c r="KP129" s="185"/>
      <c r="KQ129" s="185"/>
      <c r="KR129" s="185"/>
      <c r="KS129" s="185"/>
      <c r="KT129" s="185"/>
      <c r="KU129" s="185"/>
      <c r="KV129" s="185"/>
      <c r="KW129" s="185"/>
      <c r="KX129" s="185"/>
      <c r="KY129" s="185"/>
      <c r="KZ129" s="185"/>
      <c r="LA129" s="185"/>
      <c r="LB129" s="185"/>
      <c r="LC129" s="185"/>
      <c r="LD129" s="185"/>
      <c r="LE129" s="185"/>
      <c r="LF129" s="185"/>
      <c r="LG129" s="185"/>
      <c r="LH129" s="185"/>
      <c r="LI129" s="185"/>
      <c r="LJ129" s="185"/>
      <c r="LK129" s="185"/>
      <c r="LL129" s="185"/>
      <c r="LM129" s="185"/>
      <c r="LN129" s="185"/>
      <c r="LO129" s="185"/>
      <c r="LP129" s="185"/>
      <c r="LQ129" s="185"/>
      <c r="LR129" s="185"/>
      <c r="LS129" s="186"/>
      <c r="LT129" s="184">
        <v>1</v>
      </c>
      <c r="LU129" s="185"/>
      <c r="LV129" s="185"/>
      <c r="LW129" s="185"/>
      <c r="LX129" s="186"/>
      <c r="ML129" s="12"/>
      <c r="MM129" s="7"/>
      <c r="MN129" s="3"/>
      <c r="MO129" s="3"/>
      <c r="MP129" s="3"/>
      <c r="MQ129" s="3"/>
      <c r="MR129" s="2"/>
      <c r="NF129" s="3"/>
      <c r="NG129" s="3"/>
      <c r="NH129" s="3"/>
      <c r="NI129" s="3"/>
      <c r="NJ129" s="3"/>
      <c r="NK129" s="2"/>
    </row>
    <row r="130" spans="3:375" ht="5.0999999999999996" customHeight="1" x14ac:dyDescent="0.3">
      <c r="C130" s="11"/>
      <c r="D130" s="13"/>
      <c r="Q130" s="187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9"/>
      <c r="BF130" s="187"/>
      <c r="BG130" s="188"/>
      <c r="BH130" s="188"/>
      <c r="BI130" s="188"/>
      <c r="BJ130" s="189"/>
      <c r="EB130" s="215"/>
      <c r="EC130" s="215"/>
      <c r="ED130" s="215"/>
      <c r="EE130" s="215"/>
      <c r="EF130" s="215"/>
      <c r="EG130" s="215"/>
      <c r="EH130" s="215"/>
      <c r="EI130" s="215"/>
      <c r="EJ130" s="215"/>
      <c r="EK130" s="215"/>
      <c r="EL130" s="215"/>
      <c r="EM130" s="215"/>
      <c r="EN130" s="215"/>
      <c r="EO130" s="215"/>
      <c r="EP130" s="215"/>
      <c r="EQ130" s="215"/>
      <c r="ER130" s="215"/>
      <c r="ES130" s="215"/>
      <c r="ET130" s="215"/>
      <c r="EU130" s="215"/>
      <c r="EV130" s="215"/>
      <c r="EW130" s="215"/>
      <c r="EX130" s="215"/>
      <c r="EY130" s="215"/>
      <c r="EZ130" s="215"/>
      <c r="FA130" s="215"/>
      <c r="FB130" s="215"/>
      <c r="FC130" s="215"/>
      <c r="FD130" s="215"/>
      <c r="FE130" s="215"/>
      <c r="FF130" s="215"/>
      <c r="FG130" s="215"/>
      <c r="FH130" s="215"/>
      <c r="FI130" s="215"/>
      <c r="FJ130" s="215"/>
      <c r="FK130" s="215"/>
      <c r="FL130" s="215"/>
      <c r="FM130" s="215"/>
      <c r="FN130" s="215"/>
      <c r="FO130" s="215"/>
      <c r="FP130" s="215"/>
      <c r="FQ130" s="215"/>
      <c r="FR130" s="215"/>
      <c r="FS130" s="215"/>
      <c r="HX130" s="219"/>
      <c r="HY130" s="220"/>
      <c r="HZ130" s="220"/>
      <c r="IA130" s="220"/>
      <c r="IB130" s="220"/>
      <c r="IC130" s="220"/>
      <c r="ID130" s="220"/>
      <c r="IE130" s="220"/>
      <c r="IF130" s="220"/>
      <c r="IG130" s="220"/>
      <c r="IH130" s="220"/>
      <c r="II130" s="220"/>
      <c r="IJ130" s="220"/>
      <c r="IK130" s="220"/>
      <c r="IL130" s="220"/>
      <c r="IM130" s="220"/>
      <c r="IN130" s="220"/>
      <c r="IO130" s="220"/>
      <c r="IP130" s="220"/>
      <c r="IQ130" s="220"/>
      <c r="IR130" s="220"/>
      <c r="IS130" s="220"/>
      <c r="IT130" s="220"/>
      <c r="IU130" s="220"/>
      <c r="IV130" s="220"/>
      <c r="IW130" s="220"/>
      <c r="IX130" s="220"/>
      <c r="IY130" s="220"/>
      <c r="IZ130" s="220"/>
      <c r="JA130" s="220"/>
      <c r="JB130" s="220"/>
      <c r="JC130" s="220"/>
      <c r="JD130" s="220"/>
      <c r="JE130" s="220"/>
      <c r="JF130" s="220"/>
      <c r="JG130" s="220"/>
      <c r="JH130" s="220"/>
      <c r="JI130" s="220"/>
      <c r="JJ130" s="220"/>
      <c r="JK130" s="220"/>
      <c r="JL130" s="187"/>
      <c r="JM130" s="188"/>
      <c r="JN130" s="188"/>
      <c r="JO130" s="188"/>
      <c r="JP130" s="188"/>
      <c r="JQ130" s="189"/>
      <c r="JR130" s="19"/>
      <c r="JW130" s="155"/>
      <c r="KC130" s="16"/>
      <c r="KE130" s="187"/>
      <c r="KF130" s="188"/>
      <c r="KG130" s="188"/>
      <c r="KH130" s="188"/>
      <c r="KI130" s="188"/>
      <c r="KJ130" s="188"/>
      <c r="KK130" s="188"/>
      <c r="KL130" s="188"/>
      <c r="KM130" s="188"/>
      <c r="KN130" s="188"/>
      <c r="KO130" s="188"/>
      <c r="KP130" s="188"/>
      <c r="KQ130" s="188"/>
      <c r="KR130" s="188"/>
      <c r="KS130" s="188"/>
      <c r="KT130" s="188"/>
      <c r="KU130" s="188"/>
      <c r="KV130" s="188"/>
      <c r="KW130" s="188"/>
      <c r="KX130" s="188"/>
      <c r="KY130" s="188"/>
      <c r="KZ130" s="188"/>
      <c r="LA130" s="188"/>
      <c r="LB130" s="188"/>
      <c r="LC130" s="188"/>
      <c r="LD130" s="188"/>
      <c r="LE130" s="188"/>
      <c r="LF130" s="188"/>
      <c r="LG130" s="188"/>
      <c r="LH130" s="188"/>
      <c r="LI130" s="188"/>
      <c r="LJ130" s="188"/>
      <c r="LK130" s="188"/>
      <c r="LL130" s="188"/>
      <c r="LM130" s="188"/>
      <c r="LN130" s="188"/>
      <c r="LO130" s="188"/>
      <c r="LP130" s="188"/>
      <c r="LQ130" s="188"/>
      <c r="LR130" s="188"/>
      <c r="LS130" s="189"/>
      <c r="LT130" s="187"/>
      <c r="LU130" s="188"/>
      <c r="LV130" s="188"/>
      <c r="LW130" s="188"/>
      <c r="LX130" s="189"/>
      <c r="ML130" s="12"/>
      <c r="MM130" s="7"/>
      <c r="MN130" s="3"/>
      <c r="MO130" s="3"/>
      <c r="MP130" s="3"/>
      <c r="MQ130" s="3"/>
      <c r="MR130" s="2"/>
      <c r="NF130" s="3"/>
      <c r="NG130" s="3"/>
      <c r="NH130" s="3"/>
      <c r="NI130" s="3"/>
      <c r="NJ130" s="3"/>
      <c r="NK130" s="2"/>
    </row>
    <row r="131" spans="3:375" ht="5.0999999999999996" customHeight="1" x14ac:dyDescent="0.3">
      <c r="C131" s="11"/>
      <c r="D131" s="13"/>
      <c r="Q131" s="187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9"/>
      <c r="BF131" s="187"/>
      <c r="BG131" s="188"/>
      <c r="BH131" s="188"/>
      <c r="BI131" s="188"/>
      <c r="BJ131" s="189"/>
      <c r="EB131" s="215"/>
      <c r="EC131" s="215"/>
      <c r="ED131" s="215"/>
      <c r="EE131" s="215"/>
      <c r="EF131" s="215"/>
      <c r="EG131" s="215"/>
      <c r="EH131" s="215"/>
      <c r="EI131" s="215"/>
      <c r="EJ131" s="215"/>
      <c r="EK131" s="215"/>
      <c r="EL131" s="215"/>
      <c r="EM131" s="215"/>
      <c r="EN131" s="215"/>
      <c r="EO131" s="215"/>
      <c r="EP131" s="215"/>
      <c r="EQ131" s="215"/>
      <c r="ER131" s="215"/>
      <c r="ES131" s="215"/>
      <c r="ET131" s="215"/>
      <c r="EU131" s="215"/>
      <c r="EV131" s="215"/>
      <c r="EW131" s="215"/>
      <c r="EX131" s="215"/>
      <c r="EY131" s="215"/>
      <c r="EZ131" s="215"/>
      <c r="FA131" s="215"/>
      <c r="FB131" s="215"/>
      <c r="FC131" s="215"/>
      <c r="FD131" s="215"/>
      <c r="FE131" s="215"/>
      <c r="FF131" s="215"/>
      <c r="FG131" s="215"/>
      <c r="FH131" s="215"/>
      <c r="FI131" s="215"/>
      <c r="FJ131" s="215"/>
      <c r="FK131" s="215"/>
      <c r="FL131" s="215"/>
      <c r="FM131" s="215"/>
      <c r="FN131" s="215"/>
      <c r="FO131" s="215"/>
      <c r="FP131" s="215"/>
      <c r="FQ131" s="215"/>
      <c r="FR131" s="215"/>
      <c r="FS131" s="215"/>
      <c r="HX131" s="219"/>
      <c r="HY131" s="220"/>
      <c r="HZ131" s="220"/>
      <c r="IA131" s="220"/>
      <c r="IB131" s="220"/>
      <c r="IC131" s="220"/>
      <c r="ID131" s="220"/>
      <c r="IE131" s="220"/>
      <c r="IF131" s="220"/>
      <c r="IG131" s="220"/>
      <c r="IH131" s="220"/>
      <c r="II131" s="220"/>
      <c r="IJ131" s="220"/>
      <c r="IK131" s="220"/>
      <c r="IL131" s="220"/>
      <c r="IM131" s="220"/>
      <c r="IN131" s="220"/>
      <c r="IO131" s="220"/>
      <c r="IP131" s="220"/>
      <c r="IQ131" s="220"/>
      <c r="IR131" s="220"/>
      <c r="IS131" s="220"/>
      <c r="IT131" s="220"/>
      <c r="IU131" s="220"/>
      <c r="IV131" s="220"/>
      <c r="IW131" s="220"/>
      <c r="IX131" s="220"/>
      <c r="IY131" s="220"/>
      <c r="IZ131" s="220"/>
      <c r="JA131" s="220"/>
      <c r="JB131" s="220"/>
      <c r="JC131" s="220"/>
      <c r="JD131" s="220"/>
      <c r="JE131" s="220"/>
      <c r="JF131" s="220"/>
      <c r="JG131" s="220"/>
      <c r="JH131" s="220"/>
      <c r="JI131" s="220"/>
      <c r="JJ131" s="220"/>
      <c r="JK131" s="220"/>
      <c r="JL131" s="187"/>
      <c r="JM131" s="188"/>
      <c r="JN131" s="188"/>
      <c r="JO131" s="188"/>
      <c r="JP131" s="188"/>
      <c r="JQ131" s="189"/>
      <c r="JR131" s="19"/>
      <c r="JW131" s="155"/>
      <c r="KC131" s="16"/>
      <c r="KE131" s="187"/>
      <c r="KF131" s="188"/>
      <c r="KG131" s="188"/>
      <c r="KH131" s="188"/>
      <c r="KI131" s="188"/>
      <c r="KJ131" s="188"/>
      <c r="KK131" s="188"/>
      <c r="KL131" s="188"/>
      <c r="KM131" s="188"/>
      <c r="KN131" s="188"/>
      <c r="KO131" s="188"/>
      <c r="KP131" s="188"/>
      <c r="KQ131" s="188"/>
      <c r="KR131" s="188"/>
      <c r="KS131" s="188"/>
      <c r="KT131" s="188"/>
      <c r="KU131" s="188"/>
      <c r="KV131" s="188"/>
      <c r="KW131" s="188"/>
      <c r="KX131" s="188"/>
      <c r="KY131" s="188"/>
      <c r="KZ131" s="188"/>
      <c r="LA131" s="188"/>
      <c r="LB131" s="188"/>
      <c r="LC131" s="188"/>
      <c r="LD131" s="188"/>
      <c r="LE131" s="188"/>
      <c r="LF131" s="188"/>
      <c r="LG131" s="188"/>
      <c r="LH131" s="188"/>
      <c r="LI131" s="188"/>
      <c r="LJ131" s="188"/>
      <c r="LK131" s="188"/>
      <c r="LL131" s="188"/>
      <c r="LM131" s="188"/>
      <c r="LN131" s="188"/>
      <c r="LO131" s="188"/>
      <c r="LP131" s="188"/>
      <c r="LQ131" s="188"/>
      <c r="LR131" s="188"/>
      <c r="LS131" s="189"/>
      <c r="LT131" s="187"/>
      <c r="LU131" s="188"/>
      <c r="LV131" s="188"/>
      <c r="LW131" s="188"/>
      <c r="LX131" s="189"/>
      <c r="ML131" s="12"/>
      <c r="MM131" s="7"/>
      <c r="MN131" s="3"/>
      <c r="MO131" s="3"/>
      <c r="MP131" s="3"/>
      <c r="MQ131" s="3"/>
      <c r="MR131" s="2"/>
      <c r="NF131" s="3"/>
      <c r="NG131" s="3"/>
      <c r="NH131" s="3"/>
      <c r="NI131" s="3"/>
      <c r="NJ131" s="3"/>
      <c r="NK131" s="2"/>
    </row>
    <row r="132" spans="3:375" ht="5.0999999999999996" customHeight="1" x14ac:dyDescent="0.3">
      <c r="C132" s="11"/>
      <c r="D132" s="13"/>
      <c r="Q132" s="187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9"/>
      <c r="BF132" s="187"/>
      <c r="BG132" s="188"/>
      <c r="BH132" s="188"/>
      <c r="BI132" s="188"/>
      <c r="BJ132" s="189"/>
      <c r="EB132" s="215"/>
      <c r="EC132" s="215"/>
      <c r="ED132" s="215"/>
      <c r="EE132" s="215"/>
      <c r="EF132" s="215"/>
      <c r="EG132" s="215"/>
      <c r="EH132" s="215"/>
      <c r="EI132" s="215"/>
      <c r="EJ132" s="215"/>
      <c r="EK132" s="215"/>
      <c r="EL132" s="215"/>
      <c r="EM132" s="215"/>
      <c r="EN132" s="215"/>
      <c r="EO132" s="215"/>
      <c r="EP132" s="215"/>
      <c r="EQ132" s="215"/>
      <c r="ER132" s="215"/>
      <c r="ES132" s="215"/>
      <c r="ET132" s="215"/>
      <c r="EU132" s="215"/>
      <c r="EV132" s="215"/>
      <c r="EW132" s="215"/>
      <c r="EX132" s="215"/>
      <c r="EY132" s="215"/>
      <c r="EZ132" s="215"/>
      <c r="FA132" s="215"/>
      <c r="FB132" s="215"/>
      <c r="FC132" s="215"/>
      <c r="FD132" s="215"/>
      <c r="FE132" s="215"/>
      <c r="FF132" s="215"/>
      <c r="FG132" s="215"/>
      <c r="FH132" s="215"/>
      <c r="FI132" s="215"/>
      <c r="FJ132" s="215"/>
      <c r="FK132" s="215"/>
      <c r="FL132" s="215"/>
      <c r="FM132" s="215"/>
      <c r="FN132" s="215"/>
      <c r="FO132" s="215"/>
      <c r="FP132" s="215"/>
      <c r="FQ132" s="215"/>
      <c r="FR132" s="215"/>
      <c r="FS132" s="215"/>
      <c r="HX132" s="219"/>
      <c r="HY132" s="220"/>
      <c r="HZ132" s="220"/>
      <c r="IA132" s="220"/>
      <c r="IB132" s="220"/>
      <c r="IC132" s="220"/>
      <c r="ID132" s="220"/>
      <c r="IE132" s="220"/>
      <c r="IF132" s="220"/>
      <c r="IG132" s="220"/>
      <c r="IH132" s="220"/>
      <c r="II132" s="220"/>
      <c r="IJ132" s="220"/>
      <c r="IK132" s="220"/>
      <c r="IL132" s="220"/>
      <c r="IM132" s="220"/>
      <c r="IN132" s="220"/>
      <c r="IO132" s="220"/>
      <c r="IP132" s="220"/>
      <c r="IQ132" s="220"/>
      <c r="IR132" s="220"/>
      <c r="IS132" s="220"/>
      <c r="IT132" s="220"/>
      <c r="IU132" s="220"/>
      <c r="IV132" s="220"/>
      <c r="IW132" s="220"/>
      <c r="IX132" s="220"/>
      <c r="IY132" s="220"/>
      <c r="IZ132" s="220"/>
      <c r="JA132" s="220"/>
      <c r="JB132" s="220"/>
      <c r="JC132" s="220"/>
      <c r="JD132" s="220"/>
      <c r="JE132" s="220"/>
      <c r="JF132" s="220"/>
      <c r="JG132" s="220"/>
      <c r="JH132" s="220"/>
      <c r="JI132" s="220"/>
      <c r="JJ132" s="220"/>
      <c r="JK132" s="220"/>
      <c r="JL132" s="187"/>
      <c r="JM132" s="188"/>
      <c r="JN132" s="188"/>
      <c r="JO132" s="188"/>
      <c r="JP132" s="188"/>
      <c r="JQ132" s="189"/>
      <c r="JR132" s="19"/>
      <c r="JW132" s="155"/>
      <c r="KC132" s="16"/>
      <c r="KE132" s="187"/>
      <c r="KF132" s="188"/>
      <c r="KG132" s="188"/>
      <c r="KH132" s="188"/>
      <c r="KI132" s="188"/>
      <c r="KJ132" s="188"/>
      <c r="KK132" s="188"/>
      <c r="KL132" s="188"/>
      <c r="KM132" s="188"/>
      <c r="KN132" s="188"/>
      <c r="KO132" s="188"/>
      <c r="KP132" s="188"/>
      <c r="KQ132" s="188"/>
      <c r="KR132" s="188"/>
      <c r="KS132" s="188"/>
      <c r="KT132" s="188"/>
      <c r="KU132" s="188"/>
      <c r="KV132" s="188"/>
      <c r="KW132" s="188"/>
      <c r="KX132" s="188"/>
      <c r="KY132" s="188"/>
      <c r="KZ132" s="188"/>
      <c r="LA132" s="188"/>
      <c r="LB132" s="188"/>
      <c r="LC132" s="188"/>
      <c r="LD132" s="188"/>
      <c r="LE132" s="188"/>
      <c r="LF132" s="188"/>
      <c r="LG132" s="188"/>
      <c r="LH132" s="188"/>
      <c r="LI132" s="188"/>
      <c r="LJ132" s="188"/>
      <c r="LK132" s="188"/>
      <c r="LL132" s="188"/>
      <c r="LM132" s="188"/>
      <c r="LN132" s="188"/>
      <c r="LO132" s="188"/>
      <c r="LP132" s="188"/>
      <c r="LQ132" s="188"/>
      <c r="LR132" s="188"/>
      <c r="LS132" s="189"/>
      <c r="LT132" s="187"/>
      <c r="LU132" s="188"/>
      <c r="LV132" s="188"/>
      <c r="LW132" s="188"/>
      <c r="LX132" s="189"/>
      <c r="ML132" s="12"/>
      <c r="MM132" s="7"/>
      <c r="MN132" s="3"/>
      <c r="MO132" s="3"/>
      <c r="MP132" s="3"/>
      <c r="MQ132" s="3"/>
      <c r="MR132" s="2"/>
      <c r="NF132" s="3"/>
      <c r="NG132" s="3"/>
      <c r="NH132" s="3"/>
      <c r="NI132" s="3"/>
      <c r="NJ132" s="3"/>
      <c r="NK132" s="2"/>
    </row>
    <row r="133" spans="3:375" ht="5.0999999999999996" customHeight="1" x14ac:dyDescent="0.3">
      <c r="C133" s="11"/>
      <c r="D133" s="13"/>
      <c r="Q133" s="187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9"/>
      <c r="BF133" s="187"/>
      <c r="BG133" s="188"/>
      <c r="BH133" s="188"/>
      <c r="BI133" s="188"/>
      <c r="BJ133" s="189"/>
      <c r="EB133" s="215"/>
      <c r="EC133" s="215"/>
      <c r="ED133" s="215"/>
      <c r="EE133" s="215"/>
      <c r="EF133" s="215"/>
      <c r="EG133" s="215"/>
      <c r="EH133" s="215"/>
      <c r="EI133" s="215"/>
      <c r="EJ133" s="215"/>
      <c r="EK133" s="215"/>
      <c r="EL133" s="215"/>
      <c r="EM133" s="215"/>
      <c r="EN133" s="215"/>
      <c r="EO133" s="215"/>
      <c r="EP133" s="215"/>
      <c r="EQ133" s="215"/>
      <c r="ER133" s="215"/>
      <c r="ES133" s="215"/>
      <c r="ET133" s="215"/>
      <c r="EU133" s="215"/>
      <c r="EV133" s="215"/>
      <c r="EW133" s="215"/>
      <c r="EX133" s="215"/>
      <c r="EY133" s="215"/>
      <c r="EZ133" s="215"/>
      <c r="FA133" s="215"/>
      <c r="FB133" s="215"/>
      <c r="FC133" s="215"/>
      <c r="FD133" s="215"/>
      <c r="FE133" s="215"/>
      <c r="FF133" s="215"/>
      <c r="FG133" s="215"/>
      <c r="FH133" s="215"/>
      <c r="FI133" s="215"/>
      <c r="FJ133" s="215"/>
      <c r="FK133" s="215"/>
      <c r="FL133" s="215"/>
      <c r="FM133" s="215"/>
      <c r="FN133" s="215"/>
      <c r="FO133" s="215"/>
      <c r="FP133" s="215"/>
      <c r="FQ133" s="215"/>
      <c r="FR133" s="215"/>
      <c r="FS133" s="215"/>
      <c r="HX133" s="219"/>
      <c r="HY133" s="220"/>
      <c r="HZ133" s="220"/>
      <c r="IA133" s="220"/>
      <c r="IB133" s="220"/>
      <c r="IC133" s="220"/>
      <c r="ID133" s="220"/>
      <c r="IE133" s="220"/>
      <c r="IF133" s="220"/>
      <c r="IG133" s="220"/>
      <c r="IH133" s="220"/>
      <c r="II133" s="220"/>
      <c r="IJ133" s="220"/>
      <c r="IK133" s="220"/>
      <c r="IL133" s="220"/>
      <c r="IM133" s="220"/>
      <c r="IN133" s="220"/>
      <c r="IO133" s="220"/>
      <c r="IP133" s="220"/>
      <c r="IQ133" s="220"/>
      <c r="IR133" s="220"/>
      <c r="IS133" s="220"/>
      <c r="IT133" s="220"/>
      <c r="IU133" s="220"/>
      <c r="IV133" s="220"/>
      <c r="IW133" s="220"/>
      <c r="IX133" s="220"/>
      <c r="IY133" s="220"/>
      <c r="IZ133" s="220"/>
      <c r="JA133" s="220"/>
      <c r="JB133" s="220"/>
      <c r="JC133" s="220"/>
      <c r="JD133" s="220"/>
      <c r="JE133" s="220"/>
      <c r="JF133" s="220"/>
      <c r="JG133" s="220"/>
      <c r="JH133" s="220"/>
      <c r="JI133" s="220"/>
      <c r="JJ133" s="220"/>
      <c r="JK133" s="220"/>
      <c r="JL133" s="187"/>
      <c r="JM133" s="188"/>
      <c r="JN133" s="188"/>
      <c r="JO133" s="188"/>
      <c r="JP133" s="188"/>
      <c r="JQ133" s="189"/>
      <c r="JR133" s="19"/>
      <c r="JW133" s="155"/>
      <c r="KC133" s="16"/>
      <c r="KE133" s="187"/>
      <c r="KF133" s="188"/>
      <c r="KG133" s="188"/>
      <c r="KH133" s="188"/>
      <c r="KI133" s="188"/>
      <c r="KJ133" s="188"/>
      <c r="KK133" s="188"/>
      <c r="KL133" s="188"/>
      <c r="KM133" s="188"/>
      <c r="KN133" s="188"/>
      <c r="KO133" s="188"/>
      <c r="KP133" s="188"/>
      <c r="KQ133" s="188"/>
      <c r="KR133" s="188"/>
      <c r="KS133" s="188"/>
      <c r="KT133" s="188"/>
      <c r="KU133" s="188"/>
      <c r="KV133" s="188"/>
      <c r="KW133" s="188"/>
      <c r="KX133" s="188"/>
      <c r="KY133" s="188"/>
      <c r="KZ133" s="188"/>
      <c r="LA133" s="188"/>
      <c r="LB133" s="188"/>
      <c r="LC133" s="188"/>
      <c r="LD133" s="188"/>
      <c r="LE133" s="188"/>
      <c r="LF133" s="188"/>
      <c r="LG133" s="188"/>
      <c r="LH133" s="188"/>
      <c r="LI133" s="188"/>
      <c r="LJ133" s="188"/>
      <c r="LK133" s="188"/>
      <c r="LL133" s="188"/>
      <c r="LM133" s="188"/>
      <c r="LN133" s="188"/>
      <c r="LO133" s="188"/>
      <c r="LP133" s="188"/>
      <c r="LQ133" s="188"/>
      <c r="LR133" s="188"/>
      <c r="LS133" s="189"/>
      <c r="LT133" s="187"/>
      <c r="LU133" s="188"/>
      <c r="LV133" s="188"/>
      <c r="LW133" s="188"/>
      <c r="LX133" s="189"/>
      <c r="ML133" s="12"/>
      <c r="MM133" s="7"/>
      <c r="MN133" s="3"/>
      <c r="MO133" s="3"/>
      <c r="MP133" s="3"/>
      <c r="MQ133" s="3"/>
      <c r="MR133" s="2"/>
      <c r="NF133" s="3"/>
      <c r="NG133" s="3"/>
      <c r="NH133" s="3"/>
      <c r="NI133" s="3"/>
      <c r="NJ133" s="3"/>
      <c r="NK133" s="2"/>
    </row>
    <row r="134" spans="3:375" ht="5.0999999999999996" customHeight="1" thickBot="1" x14ac:dyDescent="0.35">
      <c r="C134" s="11"/>
      <c r="D134" s="13"/>
      <c r="Q134" s="187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9"/>
      <c r="BF134" s="187"/>
      <c r="BG134" s="188"/>
      <c r="BH134" s="188"/>
      <c r="BI134" s="188"/>
      <c r="BJ134" s="189"/>
      <c r="EB134" s="215"/>
      <c r="EC134" s="215"/>
      <c r="ED134" s="215"/>
      <c r="EE134" s="215"/>
      <c r="EF134" s="215"/>
      <c r="EG134" s="215"/>
      <c r="EH134" s="215"/>
      <c r="EI134" s="215"/>
      <c r="EJ134" s="215"/>
      <c r="EK134" s="215"/>
      <c r="EL134" s="215"/>
      <c r="EM134" s="215"/>
      <c r="EN134" s="215"/>
      <c r="EO134" s="215"/>
      <c r="EP134" s="215"/>
      <c r="EQ134" s="215"/>
      <c r="ER134" s="215"/>
      <c r="ES134" s="215"/>
      <c r="ET134" s="215"/>
      <c r="EU134" s="215"/>
      <c r="EV134" s="215"/>
      <c r="EW134" s="215"/>
      <c r="EX134" s="215"/>
      <c r="EY134" s="215"/>
      <c r="EZ134" s="215"/>
      <c r="FA134" s="215"/>
      <c r="FB134" s="215"/>
      <c r="FC134" s="215"/>
      <c r="FD134" s="215"/>
      <c r="FE134" s="215"/>
      <c r="FF134" s="215"/>
      <c r="FG134" s="215"/>
      <c r="FH134" s="215"/>
      <c r="FI134" s="215"/>
      <c r="FJ134" s="215"/>
      <c r="FK134" s="215"/>
      <c r="FL134" s="215"/>
      <c r="FM134" s="215"/>
      <c r="FN134" s="215"/>
      <c r="FO134" s="215"/>
      <c r="FP134" s="215"/>
      <c r="FQ134" s="215"/>
      <c r="FR134" s="215"/>
      <c r="FS134" s="215"/>
      <c r="HX134" s="219"/>
      <c r="HY134" s="220"/>
      <c r="HZ134" s="220"/>
      <c r="IA134" s="220"/>
      <c r="IB134" s="220"/>
      <c r="IC134" s="220"/>
      <c r="ID134" s="220"/>
      <c r="IE134" s="220"/>
      <c r="IF134" s="220"/>
      <c r="IG134" s="220"/>
      <c r="IH134" s="220"/>
      <c r="II134" s="220"/>
      <c r="IJ134" s="220"/>
      <c r="IK134" s="220"/>
      <c r="IL134" s="220"/>
      <c r="IM134" s="220"/>
      <c r="IN134" s="220"/>
      <c r="IO134" s="220"/>
      <c r="IP134" s="220"/>
      <c r="IQ134" s="220"/>
      <c r="IR134" s="220"/>
      <c r="IS134" s="220"/>
      <c r="IT134" s="220"/>
      <c r="IU134" s="220"/>
      <c r="IV134" s="220"/>
      <c r="IW134" s="220"/>
      <c r="IX134" s="220"/>
      <c r="IY134" s="220"/>
      <c r="IZ134" s="220"/>
      <c r="JA134" s="220"/>
      <c r="JB134" s="220"/>
      <c r="JC134" s="220"/>
      <c r="JD134" s="220"/>
      <c r="JE134" s="220"/>
      <c r="JF134" s="220"/>
      <c r="JG134" s="220"/>
      <c r="JH134" s="220"/>
      <c r="JI134" s="220"/>
      <c r="JJ134" s="220"/>
      <c r="JK134" s="220"/>
      <c r="JL134" s="187"/>
      <c r="JM134" s="188"/>
      <c r="JN134" s="188"/>
      <c r="JO134" s="188"/>
      <c r="JP134" s="188"/>
      <c r="JQ134" s="189"/>
      <c r="JR134" s="19"/>
      <c r="JW134" s="155"/>
      <c r="KC134" s="16"/>
      <c r="KE134" s="187"/>
      <c r="KF134" s="188"/>
      <c r="KG134" s="188"/>
      <c r="KH134" s="188"/>
      <c r="KI134" s="188"/>
      <c r="KJ134" s="188"/>
      <c r="KK134" s="188"/>
      <c r="KL134" s="188"/>
      <c r="KM134" s="188"/>
      <c r="KN134" s="188"/>
      <c r="KO134" s="188"/>
      <c r="KP134" s="188"/>
      <c r="KQ134" s="188"/>
      <c r="KR134" s="188"/>
      <c r="KS134" s="188"/>
      <c r="KT134" s="188"/>
      <c r="KU134" s="188"/>
      <c r="KV134" s="188"/>
      <c r="KW134" s="188"/>
      <c r="KX134" s="188"/>
      <c r="KY134" s="188"/>
      <c r="KZ134" s="188"/>
      <c r="LA134" s="188"/>
      <c r="LB134" s="188"/>
      <c r="LC134" s="188"/>
      <c r="LD134" s="188"/>
      <c r="LE134" s="188"/>
      <c r="LF134" s="188"/>
      <c r="LG134" s="188"/>
      <c r="LH134" s="188"/>
      <c r="LI134" s="188"/>
      <c r="LJ134" s="188"/>
      <c r="LK134" s="188"/>
      <c r="LL134" s="188"/>
      <c r="LM134" s="188"/>
      <c r="LN134" s="188"/>
      <c r="LO134" s="188"/>
      <c r="LP134" s="188"/>
      <c r="LQ134" s="188"/>
      <c r="LR134" s="188"/>
      <c r="LS134" s="189"/>
      <c r="LT134" s="187"/>
      <c r="LU134" s="188"/>
      <c r="LV134" s="188"/>
      <c r="LW134" s="188"/>
      <c r="LX134" s="189"/>
      <c r="ML134" s="12"/>
      <c r="MM134" s="7"/>
      <c r="MN134" s="3"/>
      <c r="MO134" s="3"/>
      <c r="MP134" s="3"/>
      <c r="MQ134" s="3"/>
      <c r="MR134" s="2"/>
      <c r="NF134" s="3"/>
      <c r="NG134" s="3"/>
      <c r="NH134" s="3"/>
      <c r="NI134" s="3"/>
      <c r="NJ134" s="3"/>
      <c r="NK134" s="2"/>
    </row>
    <row r="135" spans="3:375" ht="5.0999999999999996" customHeight="1" x14ac:dyDescent="0.3">
      <c r="C135" s="11"/>
      <c r="D135" s="13"/>
      <c r="Q135" s="187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9"/>
      <c r="BF135" s="187"/>
      <c r="BG135" s="188"/>
      <c r="BH135" s="188"/>
      <c r="BI135" s="188"/>
      <c r="BJ135" s="189"/>
      <c r="EB135" s="215"/>
      <c r="EC135" s="215"/>
      <c r="ED135" s="215"/>
      <c r="EE135" s="215"/>
      <c r="EF135" s="215"/>
      <c r="EG135" s="215"/>
      <c r="EH135" s="215"/>
      <c r="EI135" s="215"/>
      <c r="EJ135" s="215"/>
      <c r="EK135" s="215"/>
      <c r="EL135" s="215"/>
      <c r="EM135" s="215"/>
      <c r="EN135" s="215"/>
      <c r="EO135" s="215"/>
      <c r="EP135" s="215"/>
      <c r="EQ135" s="215"/>
      <c r="ER135" s="215"/>
      <c r="ES135" s="215"/>
      <c r="ET135" s="215"/>
      <c r="EU135" s="215"/>
      <c r="EV135" s="215"/>
      <c r="EW135" s="215"/>
      <c r="EX135" s="215"/>
      <c r="EY135" s="215"/>
      <c r="EZ135" s="215"/>
      <c r="FA135" s="215"/>
      <c r="FB135" s="215"/>
      <c r="FC135" s="215"/>
      <c r="FD135" s="215"/>
      <c r="FE135" s="215"/>
      <c r="FF135" s="215"/>
      <c r="FG135" s="215"/>
      <c r="FH135" s="215"/>
      <c r="FI135" s="215"/>
      <c r="FJ135" s="215"/>
      <c r="FK135" s="215"/>
      <c r="FL135" s="215"/>
      <c r="FM135" s="215"/>
      <c r="FN135" s="215"/>
      <c r="FO135" s="215"/>
      <c r="FP135" s="215"/>
      <c r="FQ135" s="215"/>
      <c r="FR135" s="215"/>
      <c r="FS135" s="215"/>
      <c r="HX135" s="219"/>
      <c r="HY135" s="220"/>
      <c r="HZ135" s="220"/>
      <c r="IA135" s="220"/>
      <c r="IB135" s="220"/>
      <c r="IC135" s="220"/>
      <c r="ID135" s="220"/>
      <c r="IE135" s="220"/>
      <c r="IF135" s="220"/>
      <c r="IG135" s="220"/>
      <c r="IH135" s="220"/>
      <c r="II135" s="220"/>
      <c r="IJ135" s="220"/>
      <c r="IK135" s="220"/>
      <c r="IL135" s="220"/>
      <c r="IM135" s="220"/>
      <c r="IN135" s="220"/>
      <c r="IO135" s="220"/>
      <c r="IP135" s="220"/>
      <c r="IQ135" s="220"/>
      <c r="IR135" s="220"/>
      <c r="IS135" s="220"/>
      <c r="IT135" s="220"/>
      <c r="IU135" s="220"/>
      <c r="IV135" s="220"/>
      <c r="IW135" s="220"/>
      <c r="IX135" s="220"/>
      <c r="IY135" s="220"/>
      <c r="IZ135" s="220"/>
      <c r="JA135" s="220"/>
      <c r="JB135" s="220"/>
      <c r="JC135" s="220"/>
      <c r="JD135" s="220"/>
      <c r="JE135" s="220"/>
      <c r="JF135" s="220"/>
      <c r="JG135" s="220"/>
      <c r="JH135" s="220"/>
      <c r="JI135" s="220"/>
      <c r="JJ135" s="220"/>
      <c r="JK135" s="220"/>
      <c r="JL135" s="187"/>
      <c r="JM135" s="188"/>
      <c r="JN135" s="188"/>
      <c r="JO135" s="188"/>
      <c r="JP135" s="188"/>
      <c r="JQ135" s="189"/>
      <c r="JR135" s="19"/>
      <c r="JW135" s="155"/>
      <c r="KC135" s="22"/>
      <c r="KD135" s="48"/>
      <c r="KE135" s="187"/>
      <c r="KF135" s="188"/>
      <c r="KG135" s="188"/>
      <c r="KH135" s="188"/>
      <c r="KI135" s="188"/>
      <c r="KJ135" s="188"/>
      <c r="KK135" s="188"/>
      <c r="KL135" s="188"/>
      <c r="KM135" s="188"/>
      <c r="KN135" s="188"/>
      <c r="KO135" s="188"/>
      <c r="KP135" s="188"/>
      <c r="KQ135" s="188"/>
      <c r="KR135" s="188"/>
      <c r="KS135" s="188"/>
      <c r="KT135" s="188"/>
      <c r="KU135" s="188"/>
      <c r="KV135" s="188"/>
      <c r="KW135" s="188"/>
      <c r="KX135" s="188"/>
      <c r="KY135" s="188"/>
      <c r="KZ135" s="188"/>
      <c r="LA135" s="188"/>
      <c r="LB135" s="188"/>
      <c r="LC135" s="188"/>
      <c r="LD135" s="188"/>
      <c r="LE135" s="188"/>
      <c r="LF135" s="188"/>
      <c r="LG135" s="188"/>
      <c r="LH135" s="188"/>
      <c r="LI135" s="188"/>
      <c r="LJ135" s="188"/>
      <c r="LK135" s="188"/>
      <c r="LL135" s="188"/>
      <c r="LM135" s="188"/>
      <c r="LN135" s="188"/>
      <c r="LO135" s="188"/>
      <c r="LP135" s="188"/>
      <c r="LQ135" s="188"/>
      <c r="LR135" s="188"/>
      <c r="LS135" s="189"/>
      <c r="LT135" s="187"/>
      <c r="LU135" s="188"/>
      <c r="LV135" s="188"/>
      <c r="LW135" s="188"/>
      <c r="LX135" s="189"/>
      <c r="ML135" s="12"/>
      <c r="MM135" s="7"/>
      <c r="MN135" s="3"/>
      <c r="MO135" s="3"/>
      <c r="MP135" s="3"/>
      <c r="MQ135" s="3"/>
      <c r="MR135" s="2"/>
      <c r="NF135" s="3"/>
      <c r="NG135" s="3"/>
      <c r="NH135" s="3"/>
      <c r="NI135" s="3"/>
      <c r="NJ135" s="3"/>
      <c r="NK135" s="2"/>
    </row>
    <row r="136" spans="3:375" ht="5.0999999999999996" customHeight="1" x14ac:dyDescent="0.3">
      <c r="C136" s="11"/>
      <c r="D136" s="13"/>
      <c r="Q136" s="187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9"/>
      <c r="BF136" s="187"/>
      <c r="BG136" s="188"/>
      <c r="BH136" s="188"/>
      <c r="BI136" s="188"/>
      <c r="BJ136" s="189"/>
      <c r="EB136" s="215"/>
      <c r="EC136" s="215"/>
      <c r="ED136" s="215"/>
      <c r="EE136" s="215"/>
      <c r="EF136" s="215"/>
      <c r="EG136" s="215"/>
      <c r="EH136" s="215"/>
      <c r="EI136" s="215"/>
      <c r="EJ136" s="215"/>
      <c r="EK136" s="215"/>
      <c r="EL136" s="215"/>
      <c r="EM136" s="215"/>
      <c r="EN136" s="215"/>
      <c r="EO136" s="215"/>
      <c r="EP136" s="215"/>
      <c r="EQ136" s="215"/>
      <c r="ER136" s="215"/>
      <c r="ES136" s="215"/>
      <c r="ET136" s="215"/>
      <c r="EU136" s="215"/>
      <c r="EV136" s="215"/>
      <c r="EW136" s="215"/>
      <c r="EX136" s="215"/>
      <c r="EY136" s="215"/>
      <c r="EZ136" s="215"/>
      <c r="FA136" s="215"/>
      <c r="FB136" s="215"/>
      <c r="FC136" s="215"/>
      <c r="FD136" s="215"/>
      <c r="FE136" s="215"/>
      <c r="FF136" s="215"/>
      <c r="FG136" s="215"/>
      <c r="FH136" s="215"/>
      <c r="FI136" s="215"/>
      <c r="FJ136" s="215"/>
      <c r="FK136" s="215"/>
      <c r="FL136" s="215"/>
      <c r="FM136" s="215"/>
      <c r="FN136" s="215"/>
      <c r="FO136" s="215"/>
      <c r="FP136" s="215"/>
      <c r="FQ136" s="215"/>
      <c r="FR136" s="215"/>
      <c r="FS136" s="215"/>
      <c r="HX136" s="222"/>
      <c r="HY136" s="223"/>
      <c r="HZ136" s="223"/>
      <c r="IA136" s="223"/>
      <c r="IB136" s="223"/>
      <c r="IC136" s="223"/>
      <c r="ID136" s="223"/>
      <c r="IE136" s="223"/>
      <c r="IF136" s="223"/>
      <c r="IG136" s="223"/>
      <c r="IH136" s="223"/>
      <c r="II136" s="223"/>
      <c r="IJ136" s="223"/>
      <c r="IK136" s="223"/>
      <c r="IL136" s="223"/>
      <c r="IM136" s="223"/>
      <c r="IN136" s="223"/>
      <c r="IO136" s="223"/>
      <c r="IP136" s="223"/>
      <c r="IQ136" s="223"/>
      <c r="IR136" s="223"/>
      <c r="IS136" s="223"/>
      <c r="IT136" s="223"/>
      <c r="IU136" s="223"/>
      <c r="IV136" s="223"/>
      <c r="IW136" s="223"/>
      <c r="IX136" s="223"/>
      <c r="IY136" s="223"/>
      <c r="IZ136" s="223"/>
      <c r="JA136" s="223"/>
      <c r="JB136" s="223"/>
      <c r="JC136" s="223"/>
      <c r="JD136" s="223"/>
      <c r="JE136" s="223"/>
      <c r="JF136" s="223"/>
      <c r="JG136" s="223"/>
      <c r="JH136" s="223"/>
      <c r="JI136" s="223"/>
      <c r="JJ136" s="223"/>
      <c r="JK136" s="223"/>
      <c r="JL136" s="190"/>
      <c r="JM136" s="191"/>
      <c r="JN136" s="191"/>
      <c r="JO136" s="191"/>
      <c r="JP136" s="191"/>
      <c r="JQ136" s="192"/>
      <c r="JR136" s="19"/>
      <c r="JW136" s="155"/>
      <c r="KC136" s="16"/>
      <c r="KE136" s="187"/>
      <c r="KF136" s="188"/>
      <c r="KG136" s="188"/>
      <c r="KH136" s="188"/>
      <c r="KI136" s="188"/>
      <c r="KJ136" s="188"/>
      <c r="KK136" s="188"/>
      <c r="KL136" s="188"/>
      <c r="KM136" s="188"/>
      <c r="KN136" s="188"/>
      <c r="KO136" s="188"/>
      <c r="KP136" s="188"/>
      <c r="KQ136" s="188"/>
      <c r="KR136" s="188"/>
      <c r="KS136" s="188"/>
      <c r="KT136" s="188"/>
      <c r="KU136" s="188"/>
      <c r="KV136" s="188"/>
      <c r="KW136" s="188"/>
      <c r="KX136" s="188"/>
      <c r="KY136" s="188"/>
      <c r="KZ136" s="188"/>
      <c r="LA136" s="188"/>
      <c r="LB136" s="188"/>
      <c r="LC136" s="188"/>
      <c r="LD136" s="188"/>
      <c r="LE136" s="188"/>
      <c r="LF136" s="188"/>
      <c r="LG136" s="188"/>
      <c r="LH136" s="188"/>
      <c r="LI136" s="188"/>
      <c r="LJ136" s="188"/>
      <c r="LK136" s="188"/>
      <c r="LL136" s="188"/>
      <c r="LM136" s="188"/>
      <c r="LN136" s="188"/>
      <c r="LO136" s="188"/>
      <c r="LP136" s="188"/>
      <c r="LQ136" s="188"/>
      <c r="LR136" s="188"/>
      <c r="LS136" s="189"/>
      <c r="LT136" s="187"/>
      <c r="LU136" s="188"/>
      <c r="LV136" s="188"/>
      <c r="LW136" s="188"/>
      <c r="LX136" s="189"/>
      <c r="ML136" s="12"/>
      <c r="MM136" s="7"/>
      <c r="MN136" s="3"/>
      <c r="MO136" s="3"/>
      <c r="MP136" s="3"/>
      <c r="MQ136" s="3"/>
      <c r="MR136" s="2"/>
      <c r="NF136" s="3"/>
      <c r="NG136" s="3"/>
      <c r="NH136" s="3"/>
      <c r="NI136" s="3"/>
      <c r="NJ136" s="3"/>
      <c r="NK136" s="2"/>
    </row>
    <row r="137" spans="3:375" ht="5.0999999999999996" customHeight="1" x14ac:dyDescent="0.3">
      <c r="C137" s="11"/>
      <c r="D137" s="13"/>
      <c r="Q137" s="187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9"/>
      <c r="BF137" s="187"/>
      <c r="BG137" s="188"/>
      <c r="BH137" s="188"/>
      <c r="BI137" s="188"/>
      <c r="BJ137" s="189"/>
      <c r="EB137" s="215"/>
      <c r="EC137" s="215"/>
      <c r="ED137" s="215"/>
      <c r="EE137" s="215"/>
      <c r="EF137" s="215"/>
      <c r="EG137" s="215"/>
      <c r="EH137" s="215"/>
      <c r="EI137" s="215"/>
      <c r="EJ137" s="215"/>
      <c r="EK137" s="215"/>
      <c r="EL137" s="215"/>
      <c r="EM137" s="215"/>
      <c r="EN137" s="215"/>
      <c r="EO137" s="215"/>
      <c r="EP137" s="215"/>
      <c r="EQ137" s="215"/>
      <c r="ER137" s="215"/>
      <c r="ES137" s="215"/>
      <c r="ET137" s="215"/>
      <c r="EU137" s="215"/>
      <c r="EV137" s="215"/>
      <c r="EW137" s="215"/>
      <c r="EX137" s="215"/>
      <c r="EY137" s="215"/>
      <c r="EZ137" s="215"/>
      <c r="FA137" s="215"/>
      <c r="FB137" s="215"/>
      <c r="FC137" s="215"/>
      <c r="FD137" s="215"/>
      <c r="FE137" s="215"/>
      <c r="FF137" s="215"/>
      <c r="FG137" s="215"/>
      <c r="FH137" s="215"/>
      <c r="FI137" s="215"/>
      <c r="FJ137" s="215"/>
      <c r="FK137" s="215"/>
      <c r="FL137" s="215"/>
      <c r="FM137" s="215"/>
      <c r="FN137" s="215"/>
      <c r="FO137" s="215"/>
      <c r="FP137" s="215"/>
      <c r="FQ137" s="215"/>
      <c r="FR137" s="215"/>
      <c r="FS137" s="215"/>
      <c r="JR137" s="19"/>
      <c r="JW137" s="155"/>
      <c r="KC137" s="16"/>
      <c r="KE137" s="187"/>
      <c r="KF137" s="188"/>
      <c r="KG137" s="188"/>
      <c r="KH137" s="188"/>
      <c r="KI137" s="188"/>
      <c r="KJ137" s="188"/>
      <c r="KK137" s="188"/>
      <c r="KL137" s="188"/>
      <c r="KM137" s="188"/>
      <c r="KN137" s="188"/>
      <c r="KO137" s="188"/>
      <c r="KP137" s="188"/>
      <c r="KQ137" s="188"/>
      <c r="KR137" s="188"/>
      <c r="KS137" s="188"/>
      <c r="KT137" s="188"/>
      <c r="KU137" s="188"/>
      <c r="KV137" s="188"/>
      <c r="KW137" s="188"/>
      <c r="KX137" s="188"/>
      <c r="KY137" s="188"/>
      <c r="KZ137" s="188"/>
      <c r="LA137" s="188"/>
      <c r="LB137" s="188"/>
      <c r="LC137" s="188"/>
      <c r="LD137" s="188"/>
      <c r="LE137" s="188"/>
      <c r="LF137" s="188"/>
      <c r="LG137" s="188"/>
      <c r="LH137" s="188"/>
      <c r="LI137" s="188"/>
      <c r="LJ137" s="188"/>
      <c r="LK137" s="188"/>
      <c r="LL137" s="188"/>
      <c r="LM137" s="188"/>
      <c r="LN137" s="188"/>
      <c r="LO137" s="188"/>
      <c r="LP137" s="188"/>
      <c r="LQ137" s="188"/>
      <c r="LR137" s="188"/>
      <c r="LS137" s="189"/>
      <c r="LT137" s="187"/>
      <c r="LU137" s="188"/>
      <c r="LV137" s="188"/>
      <c r="LW137" s="188"/>
      <c r="LX137" s="189"/>
      <c r="ML137" s="12"/>
      <c r="MM137" s="7"/>
      <c r="MN137" s="3"/>
      <c r="MO137" s="3"/>
      <c r="MP137" s="3"/>
      <c r="MQ137" s="3"/>
      <c r="MR137" s="2"/>
      <c r="NF137" s="3"/>
      <c r="NG137" s="3"/>
      <c r="NH137" s="3"/>
      <c r="NI137" s="3"/>
      <c r="NJ137" s="3"/>
      <c r="NK137" s="2"/>
    </row>
    <row r="138" spans="3:375" ht="5.0999999999999996" customHeight="1" x14ac:dyDescent="0.3">
      <c r="C138" s="11"/>
      <c r="D138" s="13"/>
      <c r="Q138" s="190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2"/>
      <c r="BF138" s="190"/>
      <c r="BG138" s="191"/>
      <c r="BH138" s="191"/>
      <c r="BI138" s="191"/>
      <c r="BJ138" s="192"/>
      <c r="EB138" s="215"/>
      <c r="EC138" s="215"/>
      <c r="ED138" s="215"/>
      <c r="EE138" s="215"/>
      <c r="EF138" s="215"/>
      <c r="EG138" s="215"/>
      <c r="EH138" s="215"/>
      <c r="EI138" s="215"/>
      <c r="EJ138" s="215"/>
      <c r="EK138" s="215"/>
      <c r="EL138" s="215"/>
      <c r="EM138" s="215"/>
      <c r="EN138" s="215"/>
      <c r="EO138" s="215"/>
      <c r="EP138" s="215"/>
      <c r="EQ138" s="215"/>
      <c r="ER138" s="215"/>
      <c r="ES138" s="215"/>
      <c r="ET138" s="215"/>
      <c r="EU138" s="215"/>
      <c r="EV138" s="215"/>
      <c r="EW138" s="215"/>
      <c r="EX138" s="215"/>
      <c r="EY138" s="215"/>
      <c r="EZ138" s="215"/>
      <c r="FA138" s="215"/>
      <c r="FB138" s="215"/>
      <c r="FC138" s="215"/>
      <c r="FD138" s="215"/>
      <c r="FE138" s="215"/>
      <c r="FF138" s="215"/>
      <c r="FG138" s="215"/>
      <c r="FH138" s="215"/>
      <c r="FI138" s="215"/>
      <c r="FJ138" s="215"/>
      <c r="FK138" s="215"/>
      <c r="FL138" s="215"/>
      <c r="FM138" s="215"/>
      <c r="FN138" s="215"/>
      <c r="FO138" s="215"/>
      <c r="FP138" s="215"/>
      <c r="FQ138" s="215"/>
      <c r="FR138" s="215"/>
      <c r="FS138" s="215"/>
      <c r="JR138" s="19"/>
      <c r="JW138" s="155"/>
      <c r="KC138" s="16"/>
      <c r="KE138" s="190"/>
      <c r="KF138" s="191"/>
      <c r="KG138" s="191"/>
      <c r="KH138" s="191"/>
      <c r="KI138" s="191"/>
      <c r="KJ138" s="191"/>
      <c r="KK138" s="191"/>
      <c r="KL138" s="191"/>
      <c r="KM138" s="191"/>
      <c r="KN138" s="191"/>
      <c r="KO138" s="191"/>
      <c r="KP138" s="191"/>
      <c r="KQ138" s="191"/>
      <c r="KR138" s="191"/>
      <c r="KS138" s="191"/>
      <c r="KT138" s="191"/>
      <c r="KU138" s="191"/>
      <c r="KV138" s="191"/>
      <c r="KW138" s="191"/>
      <c r="KX138" s="191"/>
      <c r="KY138" s="191"/>
      <c r="KZ138" s="191"/>
      <c r="LA138" s="191"/>
      <c r="LB138" s="191"/>
      <c r="LC138" s="191"/>
      <c r="LD138" s="191"/>
      <c r="LE138" s="191"/>
      <c r="LF138" s="191"/>
      <c r="LG138" s="191"/>
      <c r="LH138" s="191"/>
      <c r="LI138" s="191"/>
      <c r="LJ138" s="191"/>
      <c r="LK138" s="191"/>
      <c r="LL138" s="191"/>
      <c r="LM138" s="191"/>
      <c r="LN138" s="191"/>
      <c r="LO138" s="191"/>
      <c r="LP138" s="191"/>
      <c r="LQ138" s="191"/>
      <c r="LR138" s="191"/>
      <c r="LS138" s="192"/>
      <c r="LT138" s="190"/>
      <c r="LU138" s="191"/>
      <c r="LV138" s="191"/>
      <c r="LW138" s="191"/>
      <c r="LX138" s="192"/>
      <c r="ML138" s="12"/>
      <c r="MM138" s="7"/>
      <c r="MN138" s="3"/>
      <c r="MO138" s="3"/>
      <c r="MP138" s="3"/>
      <c r="MQ138" s="3"/>
      <c r="MR138" s="2"/>
      <c r="NF138" s="3"/>
      <c r="NG138" s="3"/>
      <c r="NH138" s="3"/>
      <c r="NI138" s="3"/>
      <c r="NJ138" s="3"/>
      <c r="NK138" s="2"/>
    </row>
    <row r="139" spans="3:375" ht="5.0999999999999996" customHeight="1" x14ac:dyDescent="0.3">
      <c r="C139" s="11"/>
      <c r="D139" s="13"/>
      <c r="AN139" s="16"/>
      <c r="EY139" s="17"/>
      <c r="HX139" s="195" t="s">
        <v>8</v>
      </c>
      <c r="HY139" s="196"/>
      <c r="HZ139" s="196"/>
      <c r="IA139" s="196"/>
      <c r="IB139" s="196"/>
      <c r="IC139" s="196"/>
      <c r="ID139" s="196"/>
      <c r="IE139" s="196"/>
      <c r="IF139" s="196"/>
      <c r="IG139" s="196"/>
      <c r="IH139" s="196"/>
      <c r="II139" s="196"/>
      <c r="IJ139" s="196"/>
      <c r="IK139" s="196"/>
      <c r="IL139" s="196"/>
      <c r="IM139" s="196"/>
      <c r="IN139" s="196"/>
      <c r="IO139" s="196"/>
      <c r="IP139" s="196"/>
      <c r="IQ139" s="196"/>
      <c r="IR139" s="196"/>
      <c r="IS139" s="196"/>
      <c r="IT139" s="196"/>
      <c r="IU139" s="196"/>
      <c r="IV139" s="196"/>
      <c r="IW139" s="196"/>
      <c r="IX139" s="196"/>
      <c r="IY139" s="196"/>
      <c r="IZ139" s="196"/>
      <c r="JA139" s="196"/>
      <c r="JB139" s="196"/>
      <c r="JC139" s="196"/>
      <c r="JD139" s="196"/>
      <c r="JE139" s="196"/>
      <c r="JF139" s="196"/>
      <c r="JG139" s="196"/>
      <c r="JH139" s="196"/>
      <c r="JI139" s="196"/>
      <c r="JJ139" s="196"/>
      <c r="JK139" s="197"/>
      <c r="JL139" s="204">
        <f>JL149</f>
        <v>32</v>
      </c>
      <c r="JM139" s="204"/>
      <c r="JN139" s="204"/>
      <c r="JO139" s="204"/>
      <c r="JP139" s="204"/>
      <c r="JQ139" s="204"/>
      <c r="JR139" s="19"/>
      <c r="JW139" s="155"/>
      <c r="KC139" s="16"/>
      <c r="KZ139" s="152"/>
      <c r="ML139" s="12"/>
      <c r="MM139" s="7"/>
      <c r="MN139" s="3"/>
      <c r="MO139" s="3"/>
      <c r="MP139" s="3"/>
      <c r="MQ139" s="3"/>
      <c r="MR139" s="2"/>
      <c r="NF139" s="3"/>
      <c r="NG139" s="3"/>
      <c r="NH139" s="3"/>
      <c r="NI139" s="3"/>
      <c r="NJ139" s="3"/>
      <c r="NK139" s="2"/>
    </row>
    <row r="140" spans="3:375" ht="5.0999999999999996" customHeight="1" x14ac:dyDescent="0.3">
      <c r="C140" s="11"/>
      <c r="D140" s="13"/>
      <c r="AN140" s="15"/>
      <c r="AO140" s="9"/>
      <c r="EY140" s="16"/>
      <c r="HX140" s="198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199"/>
      <c r="IW140" s="199"/>
      <c r="IX140" s="199"/>
      <c r="IY140" s="199"/>
      <c r="IZ140" s="199"/>
      <c r="JA140" s="199"/>
      <c r="JB140" s="199"/>
      <c r="JC140" s="199"/>
      <c r="JD140" s="199"/>
      <c r="JE140" s="199"/>
      <c r="JF140" s="199"/>
      <c r="JG140" s="199"/>
      <c r="JH140" s="199"/>
      <c r="JI140" s="199"/>
      <c r="JJ140" s="199"/>
      <c r="JK140" s="200"/>
      <c r="JL140" s="204"/>
      <c r="JM140" s="204"/>
      <c r="JN140" s="204"/>
      <c r="JO140" s="204"/>
      <c r="JP140" s="204"/>
      <c r="JQ140" s="204"/>
      <c r="JR140" s="19"/>
      <c r="JW140" s="155"/>
      <c r="KC140" s="16"/>
      <c r="KE140" s="184" t="s">
        <v>46</v>
      </c>
      <c r="KF140" s="185"/>
      <c r="KG140" s="185"/>
      <c r="KH140" s="185"/>
      <c r="KI140" s="185"/>
      <c r="KJ140" s="185"/>
      <c r="KK140" s="185"/>
      <c r="KL140" s="185"/>
      <c r="KM140" s="185"/>
      <c r="KN140" s="185"/>
      <c r="KO140" s="185"/>
      <c r="KP140" s="185"/>
      <c r="KQ140" s="185"/>
      <c r="KR140" s="185"/>
      <c r="KS140" s="185"/>
      <c r="KT140" s="185"/>
      <c r="KU140" s="185"/>
      <c r="KV140" s="185"/>
      <c r="KW140" s="185"/>
      <c r="KX140" s="185"/>
      <c r="KY140" s="185"/>
      <c r="KZ140" s="185"/>
      <c r="LA140" s="185"/>
      <c r="LB140" s="185"/>
      <c r="LC140" s="185"/>
      <c r="LD140" s="185"/>
      <c r="LE140" s="185"/>
      <c r="LF140" s="185"/>
      <c r="LG140" s="185"/>
      <c r="LH140" s="185"/>
      <c r="LI140" s="185"/>
      <c r="LJ140" s="185"/>
      <c r="LK140" s="185"/>
      <c r="LL140" s="185"/>
      <c r="LM140" s="185"/>
      <c r="LN140" s="185"/>
      <c r="LO140" s="185"/>
      <c r="LP140" s="185"/>
      <c r="LQ140" s="185"/>
      <c r="LR140" s="185"/>
      <c r="LS140" s="186"/>
      <c r="LT140" s="184">
        <v>1</v>
      </c>
      <c r="LU140" s="185"/>
      <c r="LV140" s="185"/>
      <c r="LW140" s="185"/>
      <c r="LX140" s="186"/>
      <c r="ML140" s="12"/>
      <c r="MM140" s="7"/>
      <c r="MN140" s="3"/>
      <c r="MO140" s="3"/>
      <c r="MP140" s="3"/>
      <c r="MQ140" s="3"/>
      <c r="MR140" s="2"/>
      <c r="NF140" s="3"/>
      <c r="NG140" s="3"/>
      <c r="NH140" s="3"/>
      <c r="NI140" s="3"/>
      <c r="NJ140" s="3"/>
      <c r="NK140" s="2"/>
    </row>
    <row r="141" spans="3:375" ht="5.0999999999999996" customHeight="1" x14ac:dyDescent="0.3">
      <c r="C141" s="11"/>
      <c r="D141" s="13"/>
      <c r="Q141" s="184" t="s">
        <v>46</v>
      </c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6"/>
      <c r="BF141" s="184">
        <v>1</v>
      </c>
      <c r="BG141" s="185"/>
      <c r="BH141" s="185"/>
      <c r="BI141" s="185"/>
      <c r="BJ141" s="186"/>
      <c r="EY141" s="16"/>
      <c r="HX141" s="198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  <c r="IW141" s="199"/>
      <c r="IX141" s="199"/>
      <c r="IY141" s="199"/>
      <c r="IZ141" s="199"/>
      <c r="JA141" s="199"/>
      <c r="JB141" s="199"/>
      <c r="JC141" s="199"/>
      <c r="JD141" s="199"/>
      <c r="JE141" s="199"/>
      <c r="JF141" s="199"/>
      <c r="JG141" s="199"/>
      <c r="JH141" s="199"/>
      <c r="JI141" s="199"/>
      <c r="JJ141" s="199"/>
      <c r="JK141" s="200"/>
      <c r="JL141" s="204"/>
      <c r="JM141" s="204"/>
      <c r="JN141" s="204"/>
      <c r="JO141" s="204"/>
      <c r="JP141" s="204"/>
      <c r="JQ141" s="204"/>
      <c r="JR141" s="19"/>
      <c r="JW141" s="155"/>
      <c r="KC141" s="16"/>
      <c r="KE141" s="187"/>
      <c r="KF141" s="188"/>
      <c r="KG141" s="188"/>
      <c r="KH141" s="188"/>
      <c r="KI141" s="188"/>
      <c r="KJ141" s="188"/>
      <c r="KK141" s="188"/>
      <c r="KL141" s="188"/>
      <c r="KM141" s="188"/>
      <c r="KN141" s="188"/>
      <c r="KO141" s="188"/>
      <c r="KP141" s="188"/>
      <c r="KQ141" s="188"/>
      <c r="KR141" s="188"/>
      <c r="KS141" s="188"/>
      <c r="KT141" s="188"/>
      <c r="KU141" s="188"/>
      <c r="KV141" s="188"/>
      <c r="KW141" s="188"/>
      <c r="KX141" s="188"/>
      <c r="KY141" s="188"/>
      <c r="KZ141" s="188"/>
      <c r="LA141" s="188"/>
      <c r="LB141" s="188"/>
      <c r="LC141" s="188"/>
      <c r="LD141" s="188"/>
      <c r="LE141" s="188"/>
      <c r="LF141" s="188"/>
      <c r="LG141" s="188"/>
      <c r="LH141" s="188"/>
      <c r="LI141" s="188"/>
      <c r="LJ141" s="188"/>
      <c r="LK141" s="188"/>
      <c r="LL141" s="188"/>
      <c r="LM141" s="188"/>
      <c r="LN141" s="188"/>
      <c r="LO141" s="188"/>
      <c r="LP141" s="188"/>
      <c r="LQ141" s="188"/>
      <c r="LR141" s="188"/>
      <c r="LS141" s="189"/>
      <c r="LT141" s="187"/>
      <c r="LU141" s="188"/>
      <c r="LV141" s="188"/>
      <c r="LW141" s="188"/>
      <c r="LX141" s="189"/>
      <c r="ML141" s="12"/>
      <c r="MM141" s="7"/>
      <c r="MN141" s="3"/>
      <c r="MO141" s="3"/>
      <c r="MP141" s="3"/>
      <c r="MQ141" s="3"/>
      <c r="MR141" s="2"/>
      <c r="NF141" s="3"/>
      <c r="NG141" s="3"/>
      <c r="NH141" s="3"/>
      <c r="NI141" s="3"/>
      <c r="NJ141" s="3"/>
      <c r="NK141" s="2"/>
    </row>
    <row r="142" spans="3:375" ht="5.0999999999999996" customHeight="1" x14ac:dyDescent="0.3">
      <c r="C142" s="11"/>
      <c r="D142" s="13"/>
      <c r="Q142" s="187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9"/>
      <c r="BF142" s="187"/>
      <c r="BG142" s="188"/>
      <c r="BH142" s="188"/>
      <c r="BI142" s="188"/>
      <c r="BJ142" s="189"/>
      <c r="EY142" s="16"/>
      <c r="FW142" s="49"/>
      <c r="FX142" s="49"/>
      <c r="FY142" s="49"/>
      <c r="HX142" s="198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199"/>
      <c r="IW142" s="199"/>
      <c r="IX142" s="199"/>
      <c r="IY142" s="199"/>
      <c r="IZ142" s="199"/>
      <c r="JA142" s="199"/>
      <c r="JB142" s="199"/>
      <c r="JC142" s="199"/>
      <c r="JD142" s="199"/>
      <c r="JE142" s="199"/>
      <c r="JF142" s="199"/>
      <c r="JG142" s="199"/>
      <c r="JH142" s="199"/>
      <c r="JI142" s="199"/>
      <c r="JJ142" s="199"/>
      <c r="JK142" s="200"/>
      <c r="JL142" s="204"/>
      <c r="JM142" s="204"/>
      <c r="JN142" s="204"/>
      <c r="JO142" s="204"/>
      <c r="JP142" s="204"/>
      <c r="JQ142" s="204"/>
      <c r="JR142" s="19"/>
      <c r="JW142" s="155"/>
      <c r="KC142" s="16"/>
      <c r="KE142" s="187"/>
      <c r="KF142" s="188"/>
      <c r="KG142" s="188"/>
      <c r="KH142" s="188"/>
      <c r="KI142" s="188"/>
      <c r="KJ142" s="188"/>
      <c r="KK142" s="188"/>
      <c r="KL142" s="188"/>
      <c r="KM142" s="188"/>
      <c r="KN142" s="188"/>
      <c r="KO142" s="188"/>
      <c r="KP142" s="188"/>
      <c r="KQ142" s="188"/>
      <c r="KR142" s="188"/>
      <c r="KS142" s="188"/>
      <c r="KT142" s="188"/>
      <c r="KU142" s="188"/>
      <c r="KV142" s="188"/>
      <c r="KW142" s="188"/>
      <c r="KX142" s="188"/>
      <c r="KY142" s="188"/>
      <c r="KZ142" s="188"/>
      <c r="LA142" s="188"/>
      <c r="LB142" s="188"/>
      <c r="LC142" s="188"/>
      <c r="LD142" s="188"/>
      <c r="LE142" s="188"/>
      <c r="LF142" s="188"/>
      <c r="LG142" s="188"/>
      <c r="LH142" s="188"/>
      <c r="LI142" s="188"/>
      <c r="LJ142" s="188"/>
      <c r="LK142" s="188"/>
      <c r="LL142" s="188"/>
      <c r="LM142" s="188"/>
      <c r="LN142" s="188"/>
      <c r="LO142" s="188"/>
      <c r="LP142" s="188"/>
      <c r="LQ142" s="188"/>
      <c r="LR142" s="188"/>
      <c r="LS142" s="189"/>
      <c r="LT142" s="187"/>
      <c r="LU142" s="188"/>
      <c r="LV142" s="188"/>
      <c r="LW142" s="188"/>
      <c r="LX142" s="189"/>
      <c r="ML142" s="12"/>
      <c r="MM142" s="7"/>
      <c r="MN142" s="3"/>
      <c r="MO142" s="3"/>
      <c r="MP142" s="3"/>
      <c r="MQ142" s="3"/>
      <c r="MR142" s="2"/>
      <c r="NF142" s="3"/>
      <c r="NG142" s="3"/>
      <c r="NH142" s="3"/>
      <c r="NI142" s="3"/>
      <c r="NJ142" s="3"/>
      <c r="NK142" s="2"/>
    </row>
    <row r="143" spans="3:375" ht="5.0999999999999996" customHeight="1" x14ac:dyDescent="0.3">
      <c r="C143" s="11"/>
      <c r="D143" s="13"/>
      <c r="Q143" s="187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9"/>
      <c r="BF143" s="187"/>
      <c r="BG143" s="188"/>
      <c r="BH143" s="188"/>
      <c r="BI143" s="188"/>
      <c r="BJ143" s="189"/>
      <c r="EY143" s="16"/>
      <c r="FX143" s="49"/>
      <c r="FY143" s="49"/>
      <c r="FZ143" s="49"/>
      <c r="HL143" s="49"/>
      <c r="HX143" s="198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199"/>
      <c r="IW143" s="199"/>
      <c r="IX143" s="199"/>
      <c r="IY143" s="199"/>
      <c r="IZ143" s="199"/>
      <c r="JA143" s="199"/>
      <c r="JB143" s="199"/>
      <c r="JC143" s="199"/>
      <c r="JD143" s="199"/>
      <c r="JE143" s="199"/>
      <c r="JF143" s="199"/>
      <c r="JG143" s="199"/>
      <c r="JH143" s="199"/>
      <c r="JI143" s="199"/>
      <c r="JJ143" s="199"/>
      <c r="JK143" s="200"/>
      <c r="JL143" s="204"/>
      <c r="JM143" s="204"/>
      <c r="JN143" s="204"/>
      <c r="JO143" s="204"/>
      <c r="JP143" s="204"/>
      <c r="JQ143" s="204"/>
      <c r="JR143" s="19"/>
      <c r="JW143" s="155"/>
      <c r="KC143" s="16"/>
      <c r="KE143" s="187"/>
      <c r="KF143" s="188"/>
      <c r="KG143" s="188"/>
      <c r="KH143" s="188"/>
      <c r="KI143" s="188"/>
      <c r="KJ143" s="188"/>
      <c r="KK143" s="188"/>
      <c r="KL143" s="188"/>
      <c r="KM143" s="188"/>
      <c r="KN143" s="188"/>
      <c r="KO143" s="188"/>
      <c r="KP143" s="188"/>
      <c r="KQ143" s="188"/>
      <c r="KR143" s="188"/>
      <c r="KS143" s="188"/>
      <c r="KT143" s="188"/>
      <c r="KU143" s="188"/>
      <c r="KV143" s="188"/>
      <c r="KW143" s="188"/>
      <c r="KX143" s="188"/>
      <c r="KY143" s="188"/>
      <c r="KZ143" s="188"/>
      <c r="LA143" s="188"/>
      <c r="LB143" s="188"/>
      <c r="LC143" s="188"/>
      <c r="LD143" s="188"/>
      <c r="LE143" s="188"/>
      <c r="LF143" s="188"/>
      <c r="LG143" s="188"/>
      <c r="LH143" s="188"/>
      <c r="LI143" s="188"/>
      <c r="LJ143" s="188"/>
      <c r="LK143" s="188"/>
      <c r="LL143" s="188"/>
      <c r="LM143" s="188"/>
      <c r="LN143" s="188"/>
      <c r="LO143" s="188"/>
      <c r="LP143" s="188"/>
      <c r="LQ143" s="188"/>
      <c r="LR143" s="188"/>
      <c r="LS143" s="189"/>
      <c r="LT143" s="187"/>
      <c r="LU143" s="188"/>
      <c r="LV143" s="188"/>
      <c r="LW143" s="188"/>
      <c r="LX143" s="189"/>
      <c r="ML143" s="12"/>
      <c r="MM143" s="7"/>
      <c r="MN143" s="3"/>
      <c r="MO143" s="3"/>
      <c r="MP143" s="3"/>
      <c r="MQ143" s="3"/>
      <c r="MR143" s="2"/>
      <c r="NF143" s="3"/>
      <c r="NG143" s="3"/>
      <c r="NH143" s="3"/>
      <c r="NI143" s="3"/>
      <c r="NJ143" s="3"/>
      <c r="NK143" s="2"/>
    </row>
    <row r="144" spans="3:375" ht="5.0999999999999996" customHeight="1" thickBot="1" x14ac:dyDescent="0.35">
      <c r="C144" s="11"/>
      <c r="D144" s="13"/>
      <c r="Q144" s="187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9"/>
      <c r="BF144" s="187"/>
      <c r="BG144" s="188"/>
      <c r="BH144" s="188"/>
      <c r="BI144" s="188"/>
      <c r="BJ144" s="189"/>
      <c r="EY144" s="23"/>
      <c r="FX144" s="49"/>
      <c r="FY144" s="49"/>
      <c r="FZ144" s="49"/>
      <c r="HX144" s="198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199"/>
      <c r="IW144" s="199"/>
      <c r="IX144" s="199"/>
      <c r="IY144" s="199"/>
      <c r="IZ144" s="199"/>
      <c r="JA144" s="199"/>
      <c r="JB144" s="199"/>
      <c r="JC144" s="199"/>
      <c r="JD144" s="199"/>
      <c r="JE144" s="199"/>
      <c r="JF144" s="199"/>
      <c r="JG144" s="199"/>
      <c r="JH144" s="199"/>
      <c r="JI144" s="199"/>
      <c r="JJ144" s="199"/>
      <c r="JK144" s="200"/>
      <c r="JL144" s="204"/>
      <c r="JM144" s="204"/>
      <c r="JN144" s="204"/>
      <c r="JO144" s="204"/>
      <c r="JP144" s="204"/>
      <c r="JQ144" s="204"/>
      <c r="JR144" s="19"/>
      <c r="JW144" s="155"/>
      <c r="KC144" s="16"/>
      <c r="KE144" s="187"/>
      <c r="KF144" s="188"/>
      <c r="KG144" s="188"/>
      <c r="KH144" s="188"/>
      <c r="KI144" s="188"/>
      <c r="KJ144" s="188"/>
      <c r="KK144" s="188"/>
      <c r="KL144" s="188"/>
      <c r="KM144" s="188"/>
      <c r="KN144" s="188"/>
      <c r="KO144" s="188"/>
      <c r="KP144" s="188"/>
      <c r="KQ144" s="188"/>
      <c r="KR144" s="188"/>
      <c r="KS144" s="188"/>
      <c r="KT144" s="188"/>
      <c r="KU144" s="188"/>
      <c r="KV144" s="188"/>
      <c r="KW144" s="188"/>
      <c r="KX144" s="188"/>
      <c r="KY144" s="188"/>
      <c r="KZ144" s="188"/>
      <c r="LA144" s="188"/>
      <c r="LB144" s="188"/>
      <c r="LC144" s="188"/>
      <c r="LD144" s="188"/>
      <c r="LE144" s="188"/>
      <c r="LF144" s="188"/>
      <c r="LG144" s="188"/>
      <c r="LH144" s="188"/>
      <c r="LI144" s="188"/>
      <c r="LJ144" s="188"/>
      <c r="LK144" s="188"/>
      <c r="LL144" s="188"/>
      <c r="LM144" s="188"/>
      <c r="LN144" s="188"/>
      <c r="LO144" s="188"/>
      <c r="LP144" s="188"/>
      <c r="LQ144" s="188"/>
      <c r="LR144" s="188"/>
      <c r="LS144" s="189"/>
      <c r="LT144" s="187"/>
      <c r="LU144" s="188"/>
      <c r="LV144" s="188"/>
      <c r="LW144" s="188"/>
      <c r="LX144" s="189"/>
      <c r="ML144" s="12"/>
      <c r="MM144" s="7"/>
      <c r="MN144" s="3"/>
      <c r="MO144" s="3"/>
      <c r="MP144" s="3"/>
      <c r="MQ144" s="3"/>
      <c r="MR144" s="2"/>
      <c r="NF144" s="3"/>
      <c r="NG144" s="3"/>
      <c r="NH144" s="3"/>
      <c r="NI144" s="3"/>
      <c r="NJ144" s="3"/>
      <c r="NK144" s="2"/>
    </row>
    <row r="145" spans="3:375" ht="5.0999999999999996" customHeight="1" x14ac:dyDescent="0.3">
      <c r="C145" s="11"/>
      <c r="D145" s="13"/>
      <c r="Q145" s="187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9"/>
      <c r="BF145" s="187"/>
      <c r="BG145" s="188"/>
      <c r="BH145" s="188"/>
      <c r="BI145" s="188"/>
      <c r="BJ145" s="189"/>
      <c r="CY145" s="22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0"/>
      <c r="EY145" s="22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0"/>
      <c r="GV145" s="49"/>
      <c r="GW145" s="49"/>
      <c r="GX145" s="49"/>
      <c r="HX145" s="198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199"/>
      <c r="IW145" s="199"/>
      <c r="IX145" s="199"/>
      <c r="IY145" s="199"/>
      <c r="IZ145" s="199"/>
      <c r="JA145" s="199"/>
      <c r="JB145" s="199"/>
      <c r="JC145" s="199"/>
      <c r="JD145" s="199"/>
      <c r="JE145" s="199"/>
      <c r="JF145" s="199"/>
      <c r="JG145" s="199"/>
      <c r="JH145" s="199"/>
      <c r="JI145" s="199"/>
      <c r="JJ145" s="199"/>
      <c r="JK145" s="200"/>
      <c r="JL145" s="204"/>
      <c r="JM145" s="204"/>
      <c r="JN145" s="204"/>
      <c r="JO145" s="204"/>
      <c r="JP145" s="204"/>
      <c r="JQ145" s="204"/>
      <c r="JR145" s="19"/>
      <c r="JW145" s="155"/>
      <c r="KC145" s="16"/>
      <c r="KE145" s="187"/>
      <c r="KF145" s="188"/>
      <c r="KG145" s="188"/>
      <c r="KH145" s="188"/>
      <c r="KI145" s="188"/>
      <c r="KJ145" s="188"/>
      <c r="KK145" s="188"/>
      <c r="KL145" s="188"/>
      <c r="KM145" s="188"/>
      <c r="KN145" s="188"/>
      <c r="KO145" s="188"/>
      <c r="KP145" s="188"/>
      <c r="KQ145" s="188"/>
      <c r="KR145" s="188"/>
      <c r="KS145" s="188"/>
      <c r="KT145" s="188"/>
      <c r="KU145" s="188"/>
      <c r="KV145" s="188"/>
      <c r="KW145" s="188"/>
      <c r="KX145" s="188"/>
      <c r="KY145" s="188"/>
      <c r="KZ145" s="188"/>
      <c r="LA145" s="188"/>
      <c r="LB145" s="188"/>
      <c r="LC145" s="188"/>
      <c r="LD145" s="188"/>
      <c r="LE145" s="188"/>
      <c r="LF145" s="188"/>
      <c r="LG145" s="188"/>
      <c r="LH145" s="188"/>
      <c r="LI145" s="188"/>
      <c r="LJ145" s="188"/>
      <c r="LK145" s="188"/>
      <c r="LL145" s="188"/>
      <c r="LM145" s="188"/>
      <c r="LN145" s="188"/>
      <c r="LO145" s="188"/>
      <c r="LP145" s="188"/>
      <c r="LQ145" s="188"/>
      <c r="LR145" s="188"/>
      <c r="LS145" s="189"/>
      <c r="LT145" s="187"/>
      <c r="LU145" s="188"/>
      <c r="LV145" s="188"/>
      <c r="LW145" s="188"/>
      <c r="LX145" s="189"/>
      <c r="ML145" s="12"/>
      <c r="MM145" s="7"/>
      <c r="MN145" s="3"/>
      <c r="MO145" s="3"/>
      <c r="MP145" s="3"/>
      <c r="MQ145" s="3"/>
      <c r="MR145" s="2"/>
      <c r="NF145" s="3"/>
      <c r="NG145" s="3"/>
      <c r="NH145" s="3"/>
      <c r="NI145" s="3"/>
      <c r="NJ145" s="3"/>
      <c r="NK145" s="2"/>
    </row>
    <row r="146" spans="3:375" ht="5.0999999999999996" customHeight="1" x14ac:dyDescent="0.3">
      <c r="C146" s="11"/>
      <c r="D146" s="13"/>
      <c r="Q146" s="187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E146" s="189"/>
      <c r="BF146" s="187"/>
      <c r="BG146" s="188"/>
      <c r="BH146" s="188"/>
      <c r="BI146" s="188"/>
      <c r="BJ146" s="189"/>
      <c r="CY146" s="16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19"/>
      <c r="EY146" s="15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50"/>
      <c r="GV146" s="9"/>
      <c r="HX146" s="198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199"/>
      <c r="IW146" s="199"/>
      <c r="IX146" s="199"/>
      <c r="IY146" s="199"/>
      <c r="IZ146" s="199"/>
      <c r="JA146" s="199"/>
      <c r="JB146" s="199"/>
      <c r="JC146" s="199"/>
      <c r="JD146" s="199"/>
      <c r="JE146" s="199"/>
      <c r="JF146" s="199"/>
      <c r="JG146" s="199"/>
      <c r="JH146" s="199"/>
      <c r="JI146" s="199"/>
      <c r="JJ146" s="199"/>
      <c r="JK146" s="200"/>
      <c r="JL146" s="204"/>
      <c r="JM146" s="204"/>
      <c r="JN146" s="204"/>
      <c r="JO146" s="204"/>
      <c r="JP146" s="204"/>
      <c r="JQ146" s="204"/>
      <c r="JR146" s="19"/>
      <c r="JW146" s="155"/>
      <c r="KC146" s="16"/>
      <c r="KE146" s="187"/>
      <c r="KF146" s="188"/>
      <c r="KG146" s="188"/>
      <c r="KH146" s="188"/>
      <c r="KI146" s="188"/>
      <c r="KJ146" s="188"/>
      <c r="KK146" s="188"/>
      <c r="KL146" s="188"/>
      <c r="KM146" s="188"/>
      <c r="KN146" s="188"/>
      <c r="KO146" s="188"/>
      <c r="KP146" s="188"/>
      <c r="KQ146" s="188"/>
      <c r="KR146" s="188"/>
      <c r="KS146" s="188"/>
      <c r="KT146" s="188"/>
      <c r="KU146" s="188"/>
      <c r="KV146" s="188"/>
      <c r="KW146" s="188"/>
      <c r="KX146" s="188"/>
      <c r="KY146" s="188"/>
      <c r="KZ146" s="188"/>
      <c r="LA146" s="188"/>
      <c r="LB146" s="188"/>
      <c r="LC146" s="188"/>
      <c r="LD146" s="188"/>
      <c r="LE146" s="188"/>
      <c r="LF146" s="188"/>
      <c r="LG146" s="188"/>
      <c r="LH146" s="188"/>
      <c r="LI146" s="188"/>
      <c r="LJ146" s="188"/>
      <c r="LK146" s="188"/>
      <c r="LL146" s="188"/>
      <c r="LM146" s="188"/>
      <c r="LN146" s="188"/>
      <c r="LO146" s="188"/>
      <c r="LP146" s="188"/>
      <c r="LQ146" s="188"/>
      <c r="LR146" s="188"/>
      <c r="LS146" s="189"/>
      <c r="LT146" s="187"/>
      <c r="LU146" s="188"/>
      <c r="LV146" s="188"/>
      <c r="LW146" s="188"/>
      <c r="LX146" s="189"/>
      <c r="ML146" s="12"/>
      <c r="MM146" s="7"/>
      <c r="MN146" s="3"/>
      <c r="MO146" s="3"/>
      <c r="MP146" s="3"/>
      <c r="MQ146" s="3"/>
      <c r="MR146" s="2"/>
      <c r="NF146" s="3"/>
      <c r="NG146" s="3"/>
      <c r="NH146" s="3"/>
      <c r="NI146" s="3"/>
      <c r="NJ146" s="3"/>
      <c r="NK146" s="2"/>
    </row>
    <row r="147" spans="3:375" ht="5.0999999999999996" customHeight="1" x14ac:dyDescent="0.3">
      <c r="C147" s="11"/>
      <c r="D147" s="13"/>
      <c r="Q147" s="187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E147" s="189"/>
      <c r="BF147" s="187"/>
      <c r="BG147" s="188"/>
      <c r="BH147" s="188"/>
      <c r="BI147" s="188"/>
      <c r="BJ147" s="189"/>
      <c r="CD147" s="216" t="s">
        <v>7</v>
      </c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7"/>
      <c r="DE147" s="217"/>
      <c r="DF147" s="217"/>
      <c r="DG147" s="217"/>
      <c r="DH147" s="217"/>
      <c r="DI147" s="217"/>
      <c r="DJ147" s="217"/>
      <c r="DK147" s="217"/>
      <c r="DL147" s="217"/>
      <c r="DM147" s="217"/>
      <c r="DN147" s="217"/>
      <c r="DO147" s="217"/>
      <c r="DP147" s="217"/>
      <c r="DQ147" s="218"/>
      <c r="DR147" s="216">
        <f>SUM(DR161,DR173)</f>
        <v>7</v>
      </c>
      <c r="DS147" s="217"/>
      <c r="DT147" s="217"/>
      <c r="DU147" s="217"/>
      <c r="DV147" s="218"/>
      <c r="EB147" s="216" t="s">
        <v>6</v>
      </c>
      <c r="EC147" s="217"/>
      <c r="ED147" s="217"/>
      <c r="EE147" s="217"/>
      <c r="EF147" s="217"/>
      <c r="EG147" s="217"/>
      <c r="EH147" s="217"/>
      <c r="EI147" s="217"/>
      <c r="EJ147" s="217"/>
      <c r="EK147" s="217"/>
      <c r="EL147" s="217"/>
      <c r="EM147" s="217"/>
      <c r="EN147" s="217"/>
      <c r="EO147" s="217"/>
      <c r="EP147" s="217"/>
      <c r="EQ147" s="217"/>
      <c r="ER147" s="217"/>
      <c r="ES147" s="217"/>
      <c r="ET147" s="217"/>
      <c r="EU147" s="217"/>
      <c r="EV147" s="217"/>
      <c r="EW147" s="217"/>
      <c r="EX147" s="217"/>
      <c r="EY147" s="217"/>
      <c r="EZ147" s="217"/>
      <c r="FA147" s="217"/>
      <c r="FB147" s="217"/>
      <c r="FC147" s="217"/>
      <c r="FD147" s="217"/>
      <c r="FE147" s="217"/>
      <c r="FF147" s="217"/>
      <c r="FG147" s="217"/>
      <c r="FH147" s="217"/>
      <c r="FI147" s="217"/>
      <c r="FJ147" s="217"/>
      <c r="FK147" s="217"/>
      <c r="FL147" s="217"/>
      <c r="FM147" s="217"/>
      <c r="FN147" s="217"/>
      <c r="FO147" s="218"/>
      <c r="FP147" s="216">
        <f>SUM(FP161,FP171)</f>
        <v>5</v>
      </c>
      <c r="FQ147" s="217"/>
      <c r="FR147" s="217"/>
      <c r="FS147" s="217"/>
      <c r="FT147" s="218"/>
      <c r="FY147" s="216" t="s">
        <v>5</v>
      </c>
      <c r="FZ147" s="217"/>
      <c r="GA147" s="217"/>
      <c r="GB147" s="217"/>
      <c r="GC147" s="217"/>
      <c r="GD147" s="217"/>
      <c r="GE147" s="217"/>
      <c r="GF147" s="217"/>
      <c r="GG147" s="217"/>
      <c r="GH147" s="217"/>
      <c r="GI147" s="217"/>
      <c r="GJ147" s="217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7"/>
      <c r="GZ147" s="217"/>
      <c r="HA147" s="217"/>
      <c r="HB147" s="217"/>
      <c r="HC147" s="217"/>
      <c r="HD147" s="217"/>
      <c r="HE147" s="217"/>
      <c r="HF147" s="217"/>
      <c r="HG147" s="217"/>
      <c r="HH147" s="217"/>
      <c r="HI147" s="217"/>
      <c r="HJ147" s="217"/>
      <c r="HK147" s="217"/>
      <c r="HL147" s="218"/>
      <c r="HM147" s="216">
        <f>SUM(HM161:HQ190)</f>
        <v>4</v>
      </c>
      <c r="HN147" s="217"/>
      <c r="HO147" s="217"/>
      <c r="HP147" s="217"/>
      <c r="HQ147" s="218"/>
      <c r="HX147" s="198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199"/>
      <c r="IW147" s="199"/>
      <c r="IX147" s="199"/>
      <c r="IY147" s="199"/>
      <c r="IZ147" s="199"/>
      <c r="JA147" s="199"/>
      <c r="JB147" s="199"/>
      <c r="JC147" s="199"/>
      <c r="JD147" s="199"/>
      <c r="JE147" s="199"/>
      <c r="JF147" s="199"/>
      <c r="JG147" s="199"/>
      <c r="JH147" s="199"/>
      <c r="JI147" s="199"/>
      <c r="JJ147" s="199"/>
      <c r="JK147" s="200"/>
      <c r="JL147" s="204"/>
      <c r="JM147" s="204"/>
      <c r="JN147" s="204"/>
      <c r="JO147" s="204"/>
      <c r="JP147" s="204"/>
      <c r="JQ147" s="204"/>
      <c r="JR147" s="19"/>
      <c r="JW147" s="155"/>
      <c r="KC147" s="16"/>
      <c r="KE147" s="187"/>
      <c r="KF147" s="188"/>
      <c r="KG147" s="188"/>
      <c r="KH147" s="188"/>
      <c r="KI147" s="188"/>
      <c r="KJ147" s="188"/>
      <c r="KK147" s="188"/>
      <c r="KL147" s="188"/>
      <c r="KM147" s="188"/>
      <c r="KN147" s="188"/>
      <c r="KO147" s="188"/>
      <c r="KP147" s="188"/>
      <c r="KQ147" s="188"/>
      <c r="KR147" s="188"/>
      <c r="KS147" s="188"/>
      <c r="KT147" s="188"/>
      <c r="KU147" s="188"/>
      <c r="KV147" s="188"/>
      <c r="KW147" s="188"/>
      <c r="KX147" s="188"/>
      <c r="KY147" s="188"/>
      <c r="KZ147" s="188"/>
      <c r="LA147" s="188"/>
      <c r="LB147" s="188"/>
      <c r="LC147" s="188"/>
      <c r="LD147" s="188"/>
      <c r="LE147" s="188"/>
      <c r="LF147" s="188"/>
      <c r="LG147" s="188"/>
      <c r="LH147" s="188"/>
      <c r="LI147" s="188"/>
      <c r="LJ147" s="188"/>
      <c r="LK147" s="188"/>
      <c r="LL147" s="188"/>
      <c r="LM147" s="188"/>
      <c r="LN147" s="188"/>
      <c r="LO147" s="188"/>
      <c r="LP147" s="188"/>
      <c r="LQ147" s="188"/>
      <c r="LR147" s="188"/>
      <c r="LS147" s="189"/>
      <c r="LT147" s="187"/>
      <c r="LU147" s="188"/>
      <c r="LV147" s="188"/>
      <c r="LW147" s="188"/>
      <c r="LX147" s="189"/>
      <c r="ML147" s="12"/>
      <c r="MM147" s="7"/>
      <c r="MN147" s="3"/>
      <c r="MO147" s="3"/>
      <c r="MP147" s="3"/>
      <c r="MQ147" s="3"/>
      <c r="MR147" s="2"/>
      <c r="NF147" s="3"/>
      <c r="NG147" s="3"/>
      <c r="NH147" s="3"/>
      <c r="NI147" s="3"/>
      <c r="NJ147" s="3"/>
      <c r="NK147" s="2"/>
    </row>
    <row r="148" spans="3:375" ht="5.0999999999999996" customHeight="1" thickBot="1" x14ac:dyDescent="0.35">
      <c r="C148" s="11"/>
      <c r="D148" s="13"/>
      <c r="Q148" s="187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E148" s="189"/>
      <c r="BF148" s="187"/>
      <c r="BG148" s="188"/>
      <c r="BH148" s="188"/>
      <c r="BI148" s="188"/>
      <c r="BJ148" s="189"/>
      <c r="CD148" s="219"/>
      <c r="CE148" s="220"/>
      <c r="CF148" s="220"/>
      <c r="CG148" s="220"/>
      <c r="CH148" s="220"/>
      <c r="CI148" s="220"/>
      <c r="CJ148" s="220"/>
      <c r="CK148" s="220"/>
      <c r="CL148" s="220"/>
      <c r="CM148" s="220"/>
      <c r="CN148" s="220"/>
      <c r="CO148" s="220"/>
      <c r="CP148" s="220"/>
      <c r="CQ148" s="220"/>
      <c r="CR148" s="220"/>
      <c r="CS148" s="220"/>
      <c r="CT148" s="220"/>
      <c r="CU148" s="220"/>
      <c r="CV148" s="220"/>
      <c r="CW148" s="220"/>
      <c r="CX148" s="220"/>
      <c r="CY148" s="220"/>
      <c r="CZ148" s="220"/>
      <c r="DA148" s="220"/>
      <c r="DB148" s="220"/>
      <c r="DC148" s="220"/>
      <c r="DD148" s="220"/>
      <c r="DE148" s="220"/>
      <c r="DF148" s="220"/>
      <c r="DG148" s="220"/>
      <c r="DH148" s="220"/>
      <c r="DI148" s="220"/>
      <c r="DJ148" s="220"/>
      <c r="DK148" s="220"/>
      <c r="DL148" s="220"/>
      <c r="DM148" s="220"/>
      <c r="DN148" s="220"/>
      <c r="DO148" s="220"/>
      <c r="DP148" s="220"/>
      <c r="DQ148" s="221"/>
      <c r="DR148" s="219"/>
      <c r="DS148" s="220"/>
      <c r="DT148" s="220"/>
      <c r="DU148" s="220"/>
      <c r="DV148" s="221"/>
      <c r="EB148" s="219"/>
      <c r="EC148" s="220"/>
      <c r="ED148" s="220"/>
      <c r="EE148" s="220"/>
      <c r="EF148" s="220"/>
      <c r="EG148" s="220"/>
      <c r="EH148" s="220"/>
      <c r="EI148" s="220"/>
      <c r="EJ148" s="220"/>
      <c r="EK148" s="220"/>
      <c r="EL148" s="220"/>
      <c r="EM148" s="220"/>
      <c r="EN148" s="220"/>
      <c r="EO148" s="220"/>
      <c r="EP148" s="220"/>
      <c r="EQ148" s="220"/>
      <c r="ER148" s="220"/>
      <c r="ES148" s="220"/>
      <c r="ET148" s="220"/>
      <c r="EU148" s="220"/>
      <c r="EV148" s="220"/>
      <c r="EW148" s="220"/>
      <c r="EX148" s="220"/>
      <c r="EY148" s="220"/>
      <c r="EZ148" s="220"/>
      <c r="FA148" s="220"/>
      <c r="FB148" s="220"/>
      <c r="FC148" s="220"/>
      <c r="FD148" s="220"/>
      <c r="FE148" s="220"/>
      <c r="FF148" s="220"/>
      <c r="FG148" s="220"/>
      <c r="FH148" s="220"/>
      <c r="FI148" s="220"/>
      <c r="FJ148" s="220"/>
      <c r="FK148" s="220"/>
      <c r="FL148" s="220"/>
      <c r="FM148" s="220"/>
      <c r="FN148" s="220"/>
      <c r="FO148" s="221"/>
      <c r="FP148" s="219"/>
      <c r="FQ148" s="220"/>
      <c r="FR148" s="220"/>
      <c r="FS148" s="220"/>
      <c r="FT148" s="221"/>
      <c r="FY148" s="219"/>
      <c r="FZ148" s="220"/>
      <c r="GA148" s="220"/>
      <c r="GB148" s="220"/>
      <c r="GC148" s="220"/>
      <c r="GD148" s="220"/>
      <c r="GE148" s="220"/>
      <c r="GF148" s="220"/>
      <c r="GG148" s="220"/>
      <c r="GH148" s="220"/>
      <c r="GI148" s="220"/>
      <c r="GJ148" s="220"/>
      <c r="GK148" s="220"/>
      <c r="GL148" s="220"/>
      <c r="GM148" s="220"/>
      <c r="GN148" s="220"/>
      <c r="GO148" s="220"/>
      <c r="GP148" s="220"/>
      <c r="GQ148" s="220"/>
      <c r="GR148" s="220"/>
      <c r="GS148" s="220"/>
      <c r="GT148" s="220"/>
      <c r="GU148" s="220"/>
      <c r="GV148" s="220"/>
      <c r="GW148" s="220"/>
      <c r="GX148" s="220"/>
      <c r="GY148" s="220"/>
      <c r="GZ148" s="220"/>
      <c r="HA148" s="220"/>
      <c r="HB148" s="220"/>
      <c r="HC148" s="220"/>
      <c r="HD148" s="220"/>
      <c r="HE148" s="220"/>
      <c r="HF148" s="220"/>
      <c r="HG148" s="220"/>
      <c r="HH148" s="220"/>
      <c r="HI148" s="220"/>
      <c r="HJ148" s="220"/>
      <c r="HK148" s="220"/>
      <c r="HL148" s="221"/>
      <c r="HM148" s="219"/>
      <c r="HN148" s="220"/>
      <c r="HO148" s="220"/>
      <c r="HP148" s="220"/>
      <c r="HQ148" s="221"/>
      <c r="HX148" s="201"/>
      <c r="HY148" s="202"/>
      <c r="HZ148" s="202"/>
      <c r="IA148" s="202"/>
      <c r="IB148" s="202"/>
      <c r="IC148" s="202"/>
      <c r="ID148" s="202"/>
      <c r="IE148" s="202"/>
      <c r="IF148" s="202"/>
      <c r="IG148" s="202"/>
      <c r="IH148" s="202"/>
      <c r="II148" s="202"/>
      <c r="IJ148" s="202"/>
      <c r="IK148" s="202"/>
      <c r="IL148" s="202"/>
      <c r="IM148" s="202"/>
      <c r="IN148" s="202"/>
      <c r="IO148" s="202"/>
      <c r="IP148" s="202"/>
      <c r="IQ148" s="202"/>
      <c r="IR148" s="202"/>
      <c r="IS148" s="202"/>
      <c r="IT148" s="202"/>
      <c r="IU148" s="202"/>
      <c r="IV148" s="202"/>
      <c r="IW148" s="202"/>
      <c r="IX148" s="202"/>
      <c r="IY148" s="202"/>
      <c r="IZ148" s="202"/>
      <c r="JA148" s="202"/>
      <c r="JB148" s="202"/>
      <c r="JC148" s="202"/>
      <c r="JD148" s="202"/>
      <c r="JE148" s="202"/>
      <c r="JF148" s="202"/>
      <c r="JG148" s="202"/>
      <c r="JH148" s="202"/>
      <c r="JI148" s="202"/>
      <c r="JJ148" s="202"/>
      <c r="JK148" s="203"/>
      <c r="JL148" s="204"/>
      <c r="JM148" s="204"/>
      <c r="JN148" s="204"/>
      <c r="JO148" s="204"/>
      <c r="JP148" s="204"/>
      <c r="JQ148" s="204"/>
      <c r="JR148" s="19"/>
      <c r="JW148" s="155"/>
      <c r="KC148" s="16"/>
      <c r="KE148" s="187"/>
      <c r="KF148" s="188"/>
      <c r="KG148" s="188"/>
      <c r="KH148" s="188"/>
      <c r="KI148" s="188"/>
      <c r="KJ148" s="188"/>
      <c r="KK148" s="188"/>
      <c r="KL148" s="188"/>
      <c r="KM148" s="188"/>
      <c r="KN148" s="188"/>
      <c r="KO148" s="188"/>
      <c r="KP148" s="188"/>
      <c r="KQ148" s="188"/>
      <c r="KR148" s="188"/>
      <c r="KS148" s="188"/>
      <c r="KT148" s="188"/>
      <c r="KU148" s="188"/>
      <c r="KV148" s="188"/>
      <c r="KW148" s="188"/>
      <c r="KX148" s="188"/>
      <c r="KY148" s="188"/>
      <c r="KZ148" s="188"/>
      <c r="LA148" s="188"/>
      <c r="LB148" s="188"/>
      <c r="LC148" s="188"/>
      <c r="LD148" s="188"/>
      <c r="LE148" s="188"/>
      <c r="LF148" s="188"/>
      <c r="LG148" s="188"/>
      <c r="LH148" s="188"/>
      <c r="LI148" s="188"/>
      <c r="LJ148" s="188"/>
      <c r="LK148" s="188"/>
      <c r="LL148" s="188"/>
      <c r="LM148" s="188"/>
      <c r="LN148" s="188"/>
      <c r="LO148" s="188"/>
      <c r="LP148" s="188"/>
      <c r="LQ148" s="188"/>
      <c r="LR148" s="188"/>
      <c r="LS148" s="189"/>
      <c r="LT148" s="187"/>
      <c r="LU148" s="188"/>
      <c r="LV148" s="188"/>
      <c r="LW148" s="188"/>
      <c r="LX148" s="189"/>
      <c r="ML148" s="12"/>
      <c r="MM148" s="7"/>
      <c r="MN148" s="3"/>
      <c r="MO148" s="3"/>
      <c r="MP148" s="3"/>
      <c r="MQ148" s="3"/>
      <c r="MR148" s="2"/>
      <c r="NF148" s="3"/>
      <c r="NG148" s="3"/>
      <c r="NH148" s="3"/>
      <c r="NI148" s="3"/>
      <c r="NJ148" s="3"/>
      <c r="NK148" s="2"/>
    </row>
    <row r="149" spans="3:375" ht="5.0999999999999996" customHeight="1" x14ac:dyDescent="0.3">
      <c r="C149" s="11"/>
      <c r="D149" s="13"/>
      <c r="Q149" s="187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E149" s="189"/>
      <c r="BF149" s="187"/>
      <c r="BG149" s="188"/>
      <c r="BH149" s="188"/>
      <c r="BI149" s="188"/>
      <c r="BJ149" s="189"/>
      <c r="CD149" s="219"/>
      <c r="CE149" s="220"/>
      <c r="CF149" s="220"/>
      <c r="CG149" s="220"/>
      <c r="CH149" s="220"/>
      <c r="CI149" s="220"/>
      <c r="CJ149" s="220"/>
      <c r="CK149" s="220"/>
      <c r="CL149" s="220"/>
      <c r="CM149" s="220"/>
      <c r="CN149" s="220"/>
      <c r="CO149" s="220"/>
      <c r="CP149" s="220"/>
      <c r="CQ149" s="220"/>
      <c r="CR149" s="220"/>
      <c r="CS149" s="220"/>
      <c r="CT149" s="220"/>
      <c r="CU149" s="220"/>
      <c r="CV149" s="220"/>
      <c r="CW149" s="220"/>
      <c r="CX149" s="220"/>
      <c r="CY149" s="220"/>
      <c r="CZ149" s="220"/>
      <c r="DA149" s="220"/>
      <c r="DB149" s="220"/>
      <c r="DC149" s="220"/>
      <c r="DD149" s="220"/>
      <c r="DE149" s="220"/>
      <c r="DF149" s="220"/>
      <c r="DG149" s="220"/>
      <c r="DH149" s="220"/>
      <c r="DI149" s="220"/>
      <c r="DJ149" s="220"/>
      <c r="DK149" s="220"/>
      <c r="DL149" s="220"/>
      <c r="DM149" s="220"/>
      <c r="DN149" s="220"/>
      <c r="DO149" s="220"/>
      <c r="DP149" s="220"/>
      <c r="DQ149" s="221"/>
      <c r="DR149" s="219"/>
      <c r="DS149" s="220"/>
      <c r="DT149" s="220"/>
      <c r="DU149" s="220"/>
      <c r="DV149" s="221"/>
      <c r="EB149" s="219"/>
      <c r="EC149" s="220"/>
      <c r="ED149" s="220"/>
      <c r="EE149" s="220"/>
      <c r="EF149" s="220"/>
      <c r="EG149" s="220"/>
      <c r="EH149" s="220"/>
      <c r="EI149" s="220"/>
      <c r="EJ149" s="220"/>
      <c r="EK149" s="220"/>
      <c r="EL149" s="220"/>
      <c r="EM149" s="220"/>
      <c r="EN149" s="220"/>
      <c r="EO149" s="220"/>
      <c r="EP149" s="220"/>
      <c r="EQ149" s="220"/>
      <c r="ER149" s="220"/>
      <c r="ES149" s="220"/>
      <c r="ET149" s="220"/>
      <c r="EU149" s="220"/>
      <c r="EV149" s="220"/>
      <c r="EW149" s="220"/>
      <c r="EX149" s="220"/>
      <c r="EY149" s="220"/>
      <c r="EZ149" s="220"/>
      <c r="FA149" s="220"/>
      <c r="FB149" s="220"/>
      <c r="FC149" s="220"/>
      <c r="FD149" s="220"/>
      <c r="FE149" s="220"/>
      <c r="FF149" s="220"/>
      <c r="FG149" s="220"/>
      <c r="FH149" s="220"/>
      <c r="FI149" s="220"/>
      <c r="FJ149" s="220"/>
      <c r="FK149" s="220"/>
      <c r="FL149" s="220"/>
      <c r="FM149" s="220"/>
      <c r="FN149" s="220"/>
      <c r="FO149" s="221"/>
      <c r="FP149" s="219"/>
      <c r="FQ149" s="220"/>
      <c r="FR149" s="220"/>
      <c r="FS149" s="220"/>
      <c r="FT149" s="221"/>
      <c r="FY149" s="219"/>
      <c r="FZ149" s="220"/>
      <c r="GA149" s="220"/>
      <c r="GB149" s="220"/>
      <c r="GC149" s="220"/>
      <c r="GD149" s="220"/>
      <c r="GE149" s="220"/>
      <c r="GF149" s="220"/>
      <c r="GG149" s="220"/>
      <c r="GH149" s="220"/>
      <c r="GI149" s="220"/>
      <c r="GJ149" s="220"/>
      <c r="GK149" s="220"/>
      <c r="GL149" s="220"/>
      <c r="GM149" s="220"/>
      <c r="GN149" s="220"/>
      <c r="GO149" s="220"/>
      <c r="GP149" s="220"/>
      <c r="GQ149" s="220"/>
      <c r="GR149" s="220"/>
      <c r="GS149" s="220"/>
      <c r="GT149" s="220"/>
      <c r="GU149" s="220"/>
      <c r="GV149" s="220"/>
      <c r="GW149" s="220"/>
      <c r="GX149" s="220"/>
      <c r="GY149" s="220"/>
      <c r="GZ149" s="220"/>
      <c r="HA149" s="220"/>
      <c r="HB149" s="220"/>
      <c r="HC149" s="220"/>
      <c r="HD149" s="220"/>
      <c r="HE149" s="220"/>
      <c r="HF149" s="220"/>
      <c r="HG149" s="220"/>
      <c r="HH149" s="220"/>
      <c r="HI149" s="220"/>
      <c r="HJ149" s="220"/>
      <c r="HK149" s="220"/>
      <c r="HL149" s="221"/>
      <c r="HM149" s="219"/>
      <c r="HN149" s="220"/>
      <c r="HO149" s="220"/>
      <c r="HP149" s="220"/>
      <c r="HQ149" s="221"/>
      <c r="HX149" s="216" t="s">
        <v>4</v>
      </c>
      <c r="HY149" s="217"/>
      <c r="HZ149" s="217"/>
      <c r="IA149" s="217"/>
      <c r="IB149" s="217"/>
      <c r="IC149" s="217"/>
      <c r="ID149" s="217"/>
      <c r="IE149" s="217"/>
      <c r="IF149" s="217"/>
      <c r="IG149" s="217"/>
      <c r="IH149" s="217"/>
      <c r="II149" s="217"/>
      <c r="IJ149" s="217"/>
      <c r="IK149" s="217"/>
      <c r="IL149" s="217"/>
      <c r="IM149" s="217"/>
      <c r="IN149" s="217"/>
      <c r="IO149" s="217"/>
      <c r="IP149" s="217"/>
      <c r="IQ149" s="217"/>
      <c r="IR149" s="217"/>
      <c r="IS149" s="217"/>
      <c r="IT149" s="217"/>
      <c r="IU149" s="217"/>
      <c r="IV149" s="217"/>
      <c r="IW149" s="217"/>
      <c r="IX149" s="217"/>
      <c r="IY149" s="217"/>
      <c r="IZ149" s="217"/>
      <c r="JA149" s="217"/>
      <c r="JB149" s="217"/>
      <c r="JC149" s="217"/>
      <c r="JD149" s="217"/>
      <c r="JE149" s="217"/>
      <c r="JF149" s="217"/>
      <c r="JG149" s="217"/>
      <c r="JH149" s="217"/>
      <c r="JI149" s="217"/>
      <c r="JJ149" s="217"/>
      <c r="JK149" s="218"/>
      <c r="JL149" s="184">
        <v>32</v>
      </c>
      <c r="JM149" s="185"/>
      <c r="JN149" s="185"/>
      <c r="JO149" s="185"/>
      <c r="JP149" s="185"/>
      <c r="JQ149" s="186"/>
      <c r="JR149" s="52"/>
      <c r="JW149" s="155"/>
      <c r="KC149" s="16"/>
      <c r="KE149" s="190"/>
      <c r="KF149" s="191"/>
      <c r="KG149" s="191"/>
      <c r="KH149" s="191"/>
      <c r="KI149" s="191"/>
      <c r="KJ149" s="191"/>
      <c r="KK149" s="191"/>
      <c r="KL149" s="191"/>
      <c r="KM149" s="191"/>
      <c r="KN149" s="191"/>
      <c r="KO149" s="191"/>
      <c r="KP149" s="191"/>
      <c r="KQ149" s="191"/>
      <c r="KR149" s="191"/>
      <c r="KS149" s="191"/>
      <c r="KT149" s="191"/>
      <c r="KU149" s="191"/>
      <c r="KV149" s="191"/>
      <c r="KW149" s="191"/>
      <c r="KX149" s="191"/>
      <c r="KY149" s="191"/>
      <c r="KZ149" s="191"/>
      <c r="LA149" s="191"/>
      <c r="LB149" s="191"/>
      <c r="LC149" s="191"/>
      <c r="LD149" s="191"/>
      <c r="LE149" s="191"/>
      <c r="LF149" s="191"/>
      <c r="LG149" s="191"/>
      <c r="LH149" s="191"/>
      <c r="LI149" s="191"/>
      <c r="LJ149" s="191"/>
      <c r="LK149" s="191"/>
      <c r="LL149" s="191"/>
      <c r="LM149" s="191"/>
      <c r="LN149" s="191"/>
      <c r="LO149" s="191"/>
      <c r="LP149" s="191"/>
      <c r="LQ149" s="191"/>
      <c r="LR149" s="191"/>
      <c r="LS149" s="192"/>
      <c r="LT149" s="190"/>
      <c r="LU149" s="191"/>
      <c r="LV149" s="191"/>
      <c r="LW149" s="191"/>
      <c r="LX149" s="192"/>
      <c r="ML149" s="12"/>
      <c r="MM149" s="7"/>
      <c r="MN149" s="3"/>
      <c r="MO149" s="3"/>
      <c r="MP149" s="3"/>
      <c r="MQ149" s="3"/>
      <c r="MR149" s="2"/>
      <c r="NF149" s="3"/>
      <c r="NG149" s="3"/>
      <c r="NH149" s="3"/>
      <c r="NI149" s="3"/>
      <c r="NJ149" s="3"/>
      <c r="NK149" s="2"/>
    </row>
    <row r="150" spans="3:375" ht="5.0999999999999996" customHeight="1" x14ac:dyDescent="0.3">
      <c r="C150" s="11"/>
      <c r="D150" s="13"/>
      <c r="Q150" s="190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2"/>
      <c r="BF150" s="190"/>
      <c r="BG150" s="191"/>
      <c r="BH150" s="191"/>
      <c r="BI150" s="191"/>
      <c r="BJ150" s="192"/>
      <c r="CD150" s="219"/>
      <c r="CE150" s="220"/>
      <c r="CF150" s="220"/>
      <c r="CG150" s="220"/>
      <c r="CH150" s="220"/>
      <c r="CI150" s="220"/>
      <c r="CJ150" s="220"/>
      <c r="CK150" s="220"/>
      <c r="CL150" s="220"/>
      <c r="CM150" s="220"/>
      <c r="CN150" s="220"/>
      <c r="CO150" s="220"/>
      <c r="CP150" s="220"/>
      <c r="CQ150" s="220"/>
      <c r="CR150" s="220"/>
      <c r="CS150" s="220"/>
      <c r="CT150" s="220"/>
      <c r="CU150" s="220"/>
      <c r="CV150" s="220"/>
      <c r="CW150" s="220"/>
      <c r="CX150" s="220"/>
      <c r="CY150" s="220"/>
      <c r="CZ150" s="220"/>
      <c r="DA150" s="220"/>
      <c r="DB150" s="220"/>
      <c r="DC150" s="220"/>
      <c r="DD150" s="220"/>
      <c r="DE150" s="220"/>
      <c r="DF150" s="220"/>
      <c r="DG150" s="220"/>
      <c r="DH150" s="220"/>
      <c r="DI150" s="220"/>
      <c r="DJ150" s="220"/>
      <c r="DK150" s="220"/>
      <c r="DL150" s="220"/>
      <c r="DM150" s="220"/>
      <c r="DN150" s="220"/>
      <c r="DO150" s="220"/>
      <c r="DP150" s="220"/>
      <c r="DQ150" s="221"/>
      <c r="DR150" s="219"/>
      <c r="DS150" s="220"/>
      <c r="DT150" s="220"/>
      <c r="DU150" s="220"/>
      <c r="DV150" s="221"/>
      <c r="EB150" s="219"/>
      <c r="EC150" s="220"/>
      <c r="ED150" s="220"/>
      <c r="EE150" s="220"/>
      <c r="EF150" s="220"/>
      <c r="EG150" s="220"/>
      <c r="EH150" s="220"/>
      <c r="EI150" s="220"/>
      <c r="EJ150" s="220"/>
      <c r="EK150" s="220"/>
      <c r="EL150" s="220"/>
      <c r="EM150" s="220"/>
      <c r="EN150" s="220"/>
      <c r="EO150" s="220"/>
      <c r="EP150" s="220"/>
      <c r="EQ150" s="220"/>
      <c r="ER150" s="220"/>
      <c r="ES150" s="220"/>
      <c r="ET150" s="220"/>
      <c r="EU150" s="220"/>
      <c r="EV150" s="220"/>
      <c r="EW150" s="220"/>
      <c r="EX150" s="220"/>
      <c r="EY150" s="220"/>
      <c r="EZ150" s="220"/>
      <c r="FA150" s="220"/>
      <c r="FB150" s="220"/>
      <c r="FC150" s="220"/>
      <c r="FD150" s="220"/>
      <c r="FE150" s="220"/>
      <c r="FF150" s="220"/>
      <c r="FG150" s="220"/>
      <c r="FH150" s="220"/>
      <c r="FI150" s="220"/>
      <c r="FJ150" s="220"/>
      <c r="FK150" s="220"/>
      <c r="FL150" s="220"/>
      <c r="FM150" s="220"/>
      <c r="FN150" s="220"/>
      <c r="FO150" s="221"/>
      <c r="FP150" s="219"/>
      <c r="FQ150" s="220"/>
      <c r="FR150" s="220"/>
      <c r="FS150" s="220"/>
      <c r="FT150" s="221"/>
      <c r="FY150" s="219"/>
      <c r="FZ150" s="220"/>
      <c r="GA150" s="220"/>
      <c r="GB150" s="220"/>
      <c r="GC150" s="220"/>
      <c r="GD150" s="220"/>
      <c r="GE150" s="220"/>
      <c r="GF150" s="220"/>
      <c r="GG150" s="220"/>
      <c r="GH150" s="220"/>
      <c r="GI150" s="220"/>
      <c r="GJ150" s="220"/>
      <c r="GK150" s="220"/>
      <c r="GL150" s="220"/>
      <c r="GM150" s="220"/>
      <c r="GN150" s="220"/>
      <c r="GO150" s="220"/>
      <c r="GP150" s="220"/>
      <c r="GQ150" s="220"/>
      <c r="GR150" s="220"/>
      <c r="GS150" s="220"/>
      <c r="GT150" s="220"/>
      <c r="GU150" s="220"/>
      <c r="GV150" s="220"/>
      <c r="GW150" s="220"/>
      <c r="GX150" s="220"/>
      <c r="GY150" s="220"/>
      <c r="GZ150" s="220"/>
      <c r="HA150" s="220"/>
      <c r="HB150" s="220"/>
      <c r="HC150" s="220"/>
      <c r="HD150" s="220"/>
      <c r="HE150" s="220"/>
      <c r="HF150" s="220"/>
      <c r="HG150" s="220"/>
      <c r="HH150" s="220"/>
      <c r="HI150" s="220"/>
      <c r="HJ150" s="220"/>
      <c r="HK150" s="220"/>
      <c r="HL150" s="221"/>
      <c r="HM150" s="219"/>
      <c r="HN150" s="220"/>
      <c r="HO150" s="220"/>
      <c r="HP150" s="220"/>
      <c r="HQ150" s="221"/>
      <c r="HX150" s="219"/>
      <c r="HY150" s="220"/>
      <c r="HZ150" s="220"/>
      <c r="IA150" s="220"/>
      <c r="IB150" s="220"/>
      <c r="IC150" s="220"/>
      <c r="ID150" s="220"/>
      <c r="IE150" s="220"/>
      <c r="IF150" s="220"/>
      <c r="IG150" s="220"/>
      <c r="IH150" s="220"/>
      <c r="II150" s="220"/>
      <c r="IJ150" s="220"/>
      <c r="IK150" s="220"/>
      <c r="IL150" s="220"/>
      <c r="IM150" s="220"/>
      <c r="IN150" s="220"/>
      <c r="IO150" s="220"/>
      <c r="IP150" s="220"/>
      <c r="IQ150" s="220"/>
      <c r="IR150" s="220"/>
      <c r="IS150" s="220"/>
      <c r="IT150" s="220"/>
      <c r="IU150" s="220"/>
      <c r="IV150" s="220"/>
      <c r="IW150" s="220"/>
      <c r="IX150" s="220"/>
      <c r="IY150" s="220"/>
      <c r="IZ150" s="220"/>
      <c r="JA150" s="220"/>
      <c r="JB150" s="220"/>
      <c r="JC150" s="220"/>
      <c r="JD150" s="220"/>
      <c r="JE150" s="220"/>
      <c r="JF150" s="220"/>
      <c r="JG150" s="220"/>
      <c r="JH150" s="220"/>
      <c r="JI150" s="220"/>
      <c r="JJ150" s="220"/>
      <c r="JK150" s="221"/>
      <c r="JL150" s="187"/>
      <c r="JM150" s="188"/>
      <c r="JN150" s="188"/>
      <c r="JO150" s="188"/>
      <c r="JP150" s="188"/>
      <c r="JQ150" s="189"/>
      <c r="JR150" s="19"/>
      <c r="JW150" s="155"/>
      <c r="KC150" s="16"/>
      <c r="KE150" s="184" t="s">
        <v>45</v>
      </c>
      <c r="KF150" s="185"/>
      <c r="KG150" s="185"/>
      <c r="KH150" s="185"/>
      <c r="KI150" s="185"/>
      <c r="KJ150" s="185"/>
      <c r="KK150" s="185"/>
      <c r="KL150" s="185"/>
      <c r="KM150" s="185"/>
      <c r="KN150" s="185"/>
      <c r="KO150" s="185"/>
      <c r="KP150" s="185"/>
      <c r="KQ150" s="185"/>
      <c r="KR150" s="185"/>
      <c r="KS150" s="185"/>
      <c r="KT150" s="185"/>
      <c r="KU150" s="185"/>
      <c r="KV150" s="185"/>
      <c r="KW150" s="185"/>
      <c r="KX150" s="185"/>
      <c r="KY150" s="185"/>
      <c r="KZ150" s="185"/>
      <c r="LA150" s="185"/>
      <c r="LB150" s="185"/>
      <c r="LC150" s="185"/>
      <c r="LD150" s="185"/>
      <c r="LE150" s="185"/>
      <c r="LF150" s="185"/>
      <c r="LG150" s="185"/>
      <c r="LH150" s="185"/>
      <c r="LI150" s="185"/>
      <c r="LJ150" s="185"/>
      <c r="LK150" s="185"/>
      <c r="LL150" s="185"/>
      <c r="LM150" s="185"/>
      <c r="LN150" s="185"/>
      <c r="LO150" s="185"/>
      <c r="LP150" s="185"/>
      <c r="LQ150" s="185"/>
      <c r="LR150" s="185"/>
      <c r="LS150" s="186"/>
      <c r="LT150" s="184">
        <v>1</v>
      </c>
      <c r="LU150" s="185"/>
      <c r="LV150" s="185"/>
      <c r="LW150" s="185"/>
      <c r="LX150" s="186"/>
      <c r="ML150" s="12"/>
      <c r="MM150" s="7"/>
      <c r="MN150" s="3"/>
      <c r="MO150" s="3"/>
      <c r="MP150" s="3"/>
      <c r="MQ150" s="3"/>
      <c r="MR150" s="2"/>
      <c r="NF150" s="3"/>
      <c r="NG150" s="3"/>
      <c r="NH150" s="3"/>
      <c r="NI150" s="3"/>
      <c r="NJ150" s="3"/>
      <c r="NK150" s="2"/>
    </row>
    <row r="151" spans="3:375" ht="5.0999999999999996" customHeight="1" x14ac:dyDescent="0.3">
      <c r="C151" s="11"/>
      <c r="D151" s="13"/>
      <c r="Q151" s="184" t="s">
        <v>45</v>
      </c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6"/>
      <c r="BF151" s="184">
        <v>3</v>
      </c>
      <c r="BG151" s="185"/>
      <c r="BH151" s="185"/>
      <c r="BI151" s="185"/>
      <c r="BJ151" s="186"/>
      <c r="CD151" s="219"/>
      <c r="CE151" s="220"/>
      <c r="CF151" s="220"/>
      <c r="CG151" s="220"/>
      <c r="CH151" s="220"/>
      <c r="CI151" s="220"/>
      <c r="CJ151" s="220"/>
      <c r="CK151" s="220"/>
      <c r="CL151" s="220"/>
      <c r="CM151" s="220"/>
      <c r="CN151" s="220"/>
      <c r="CO151" s="220"/>
      <c r="CP151" s="220"/>
      <c r="CQ151" s="220"/>
      <c r="CR151" s="220"/>
      <c r="CS151" s="220"/>
      <c r="CT151" s="220"/>
      <c r="CU151" s="220"/>
      <c r="CV151" s="220"/>
      <c r="CW151" s="220"/>
      <c r="CX151" s="220"/>
      <c r="CY151" s="220"/>
      <c r="CZ151" s="220"/>
      <c r="DA151" s="220"/>
      <c r="DB151" s="220"/>
      <c r="DC151" s="220"/>
      <c r="DD151" s="220"/>
      <c r="DE151" s="220"/>
      <c r="DF151" s="220"/>
      <c r="DG151" s="220"/>
      <c r="DH151" s="220"/>
      <c r="DI151" s="220"/>
      <c r="DJ151" s="220"/>
      <c r="DK151" s="220"/>
      <c r="DL151" s="220"/>
      <c r="DM151" s="220"/>
      <c r="DN151" s="220"/>
      <c r="DO151" s="220"/>
      <c r="DP151" s="220"/>
      <c r="DQ151" s="221"/>
      <c r="DR151" s="219"/>
      <c r="DS151" s="220"/>
      <c r="DT151" s="220"/>
      <c r="DU151" s="220"/>
      <c r="DV151" s="221"/>
      <c r="EB151" s="219"/>
      <c r="EC151" s="220"/>
      <c r="ED151" s="220"/>
      <c r="EE151" s="220"/>
      <c r="EF151" s="220"/>
      <c r="EG151" s="220"/>
      <c r="EH151" s="220"/>
      <c r="EI151" s="220"/>
      <c r="EJ151" s="220"/>
      <c r="EK151" s="220"/>
      <c r="EL151" s="220"/>
      <c r="EM151" s="220"/>
      <c r="EN151" s="220"/>
      <c r="EO151" s="220"/>
      <c r="EP151" s="220"/>
      <c r="EQ151" s="220"/>
      <c r="ER151" s="220"/>
      <c r="ES151" s="220"/>
      <c r="ET151" s="220"/>
      <c r="EU151" s="220"/>
      <c r="EV151" s="220"/>
      <c r="EW151" s="220"/>
      <c r="EX151" s="220"/>
      <c r="EY151" s="220"/>
      <c r="EZ151" s="220"/>
      <c r="FA151" s="220"/>
      <c r="FB151" s="220"/>
      <c r="FC151" s="220"/>
      <c r="FD151" s="220"/>
      <c r="FE151" s="220"/>
      <c r="FF151" s="220"/>
      <c r="FG151" s="220"/>
      <c r="FH151" s="220"/>
      <c r="FI151" s="220"/>
      <c r="FJ151" s="220"/>
      <c r="FK151" s="220"/>
      <c r="FL151" s="220"/>
      <c r="FM151" s="220"/>
      <c r="FN151" s="220"/>
      <c r="FO151" s="221"/>
      <c r="FP151" s="219"/>
      <c r="FQ151" s="220"/>
      <c r="FR151" s="220"/>
      <c r="FS151" s="220"/>
      <c r="FT151" s="221"/>
      <c r="FY151" s="219"/>
      <c r="FZ151" s="220"/>
      <c r="GA151" s="220"/>
      <c r="GB151" s="220"/>
      <c r="GC151" s="220"/>
      <c r="GD151" s="220"/>
      <c r="GE151" s="220"/>
      <c r="GF151" s="220"/>
      <c r="GG151" s="220"/>
      <c r="GH151" s="220"/>
      <c r="GI151" s="220"/>
      <c r="GJ151" s="220"/>
      <c r="GK151" s="220"/>
      <c r="GL151" s="220"/>
      <c r="GM151" s="220"/>
      <c r="GN151" s="220"/>
      <c r="GO151" s="220"/>
      <c r="GP151" s="220"/>
      <c r="GQ151" s="220"/>
      <c r="GR151" s="220"/>
      <c r="GS151" s="220"/>
      <c r="GT151" s="220"/>
      <c r="GU151" s="220"/>
      <c r="GV151" s="220"/>
      <c r="GW151" s="220"/>
      <c r="GX151" s="220"/>
      <c r="GY151" s="220"/>
      <c r="GZ151" s="220"/>
      <c r="HA151" s="220"/>
      <c r="HB151" s="220"/>
      <c r="HC151" s="220"/>
      <c r="HD151" s="220"/>
      <c r="HE151" s="220"/>
      <c r="HF151" s="220"/>
      <c r="HG151" s="220"/>
      <c r="HH151" s="220"/>
      <c r="HI151" s="220"/>
      <c r="HJ151" s="220"/>
      <c r="HK151" s="220"/>
      <c r="HL151" s="221"/>
      <c r="HM151" s="219"/>
      <c r="HN151" s="220"/>
      <c r="HO151" s="220"/>
      <c r="HP151" s="220"/>
      <c r="HQ151" s="221"/>
      <c r="HX151" s="219"/>
      <c r="HY151" s="220"/>
      <c r="HZ151" s="220"/>
      <c r="IA151" s="220"/>
      <c r="IB151" s="220"/>
      <c r="IC151" s="220"/>
      <c r="ID151" s="220"/>
      <c r="IE151" s="220"/>
      <c r="IF151" s="220"/>
      <c r="IG151" s="220"/>
      <c r="IH151" s="220"/>
      <c r="II151" s="220"/>
      <c r="IJ151" s="220"/>
      <c r="IK151" s="220"/>
      <c r="IL151" s="220"/>
      <c r="IM151" s="220"/>
      <c r="IN151" s="220"/>
      <c r="IO151" s="220"/>
      <c r="IP151" s="220"/>
      <c r="IQ151" s="220"/>
      <c r="IR151" s="220"/>
      <c r="IS151" s="220"/>
      <c r="IT151" s="220"/>
      <c r="IU151" s="220"/>
      <c r="IV151" s="220"/>
      <c r="IW151" s="220"/>
      <c r="IX151" s="220"/>
      <c r="IY151" s="220"/>
      <c r="IZ151" s="220"/>
      <c r="JA151" s="220"/>
      <c r="JB151" s="220"/>
      <c r="JC151" s="220"/>
      <c r="JD151" s="220"/>
      <c r="JE151" s="220"/>
      <c r="JF151" s="220"/>
      <c r="JG151" s="220"/>
      <c r="JH151" s="220"/>
      <c r="JI151" s="220"/>
      <c r="JJ151" s="220"/>
      <c r="JK151" s="221"/>
      <c r="JL151" s="187"/>
      <c r="JM151" s="188"/>
      <c r="JN151" s="188"/>
      <c r="JO151" s="188"/>
      <c r="JP151" s="188"/>
      <c r="JQ151" s="189"/>
      <c r="JR151" s="19"/>
      <c r="JW151" s="155"/>
      <c r="KC151" s="16"/>
      <c r="KE151" s="187"/>
      <c r="KF151" s="188"/>
      <c r="KG151" s="188"/>
      <c r="KH151" s="188"/>
      <c r="KI151" s="188"/>
      <c r="KJ151" s="188"/>
      <c r="KK151" s="188"/>
      <c r="KL151" s="188"/>
      <c r="KM151" s="188"/>
      <c r="KN151" s="188"/>
      <c r="KO151" s="188"/>
      <c r="KP151" s="188"/>
      <c r="KQ151" s="188"/>
      <c r="KR151" s="188"/>
      <c r="KS151" s="188"/>
      <c r="KT151" s="188"/>
      <c r="KU151" s="188"/>
      <c r="KV151" s="188"/>
      <c r="KW151" s="188"/>
      <c r="KX151" s="188"/>
      <c r="KY151" s="188"/>
      <c r="KZ151" s="188"/>
      <c r="LA151" s="188"/>
      <c r="LB151" s="188"/>
      <c r="LC151" s="188"/>
      <c r="LD151" s="188"/>
      <c r="LE151" s="188"/>
      <c r="LF151" s="188"/>
      <c r="LG151" s="188"/>
      <c r="LH151" s="188"/>
      <c r="LI151" s="188"/>
      <c r="LJ151" s="188"/>
      <c r="LK151" s="188"/>
      <c r="LL151" s="188"/>
      <c r="LM151" s="188"/>
      <c r="LN151" s="188"/>
      <c r="LO151" s="188"/>
      <c r="LP151" s="188"/>
      <c r="LQ151" s="188"/>
      <c r="LR151" s="188"/>
      <c r="LS151" s="189"/>
      <c r="LT151" s="187"/>
      <c r="LU151" s="188"/>
      <c r="LV151" s="188"/>
      <c r="LW151" s="188"/>
      <c r="LX151" s="189"/>
      <c r="ML151" s="12"/>
      <c r="MM151" s="7"/>
      <c r="MN151" s="3"/>
      <c r="MO151" s="3"/>
      <c r="MP151" s="3"/>
      <c r="MQ151" s="3"/>
      <c r="MR151" s="2"/>
      <c r="NF151" s="3"/>
      <c r="NG151" s="3"/>
      <c r="NH151" s="3"/>
      <c r="NI151" s="3"/>
      <c r="NJ151" s="3"/>
      <c r="NK151" s="2"/>
    </row>
    <row r="152" spans="3:375" ht="5.0999999999999996" customHeight="1" x14ac:dyDescent="0.3">
      <c r="C152" s="11"/>
      <c r="D152" s="13"/>
      <c r="Q152" s="187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E152" s="189"/>
      <c r="BF152" s="187"/>
      <c r="BG152" s="188"/>
      <c r="BH152" s="188"/>
      <c r="BI152" s="188"/>
      <c r="BJ152" s="189"/>
      <c r="CD152" s="219"/>
      <c r="CE152" s="220"/>
      <c r="CF152" s="220"/>
      <c r="CG152" s="220"/>
      <c r="CH152" s="220"/>
      <c r="CI152" s="220"/>
      <c r="CJ152" s="220"/>
      <c r="CK152" s="220"/>
      <c r="CL152" s="220"/>
      <c r="CM152" s="220"/>
      <c r="CN152" s="220"/>
      <c r="CO152" s="220"/>
      <c r="CP152" s="220"/>
      <c r="CQ152" s="220"/>
      <c r="CR152" s="220"/>
      <c r="CS152" s="220"/>
      <c r="CT152" s="220"/>
      <c r="CU152" s="220"/>
      <c r="CV152" s="220"/>
      <c r="CW152" s="220"/>
      <c r="CX152" s="220"/>
      <c r="CY152" s="220"/>
      <c r="CZ152" s="220"/>
      <c r="DA152" s="220"/>
      <c r="DB152" s="220"/>
      <c r="DC152" s="220"/>
      <c r="DD152" s="220"/>
      <c r="DE152" s="220"/>
      <c r="DF152" s="220"/>
      <c r="DG152" s="220"/>
      <c r="DH152" s="220"/>
      <c r="DI152" s="220"/>
      <c r="DJ152" s="220"/>
      <c r="DK152" s="220"/>
      <c r="DL152" s="220"/>
      <c r="DM152" s="220"/>
      <c r="DN152" s="220"/>
      <c r="DO152" s="220"/>
      <c r="DP152" s="220"/>
      <c r="DQ152" s="221"/>
      <c r="DR152" s="219"/>
      <c r="DS152" s="220"/>
      <c r="DT152" s="220"/>
      <c r="DU152" s="220"/>
      <c r="DV152" s="221"/>
      <c r="EB152" s="219"/>
      <c r="EC152" s="220"/>
      <c r="ED152" s="220"/>
      <c r="EE152" s="220"/>
      <c r="EF152" s="220"/>
      <c r="EG152" s="220"/>
      <c r="EH152" s="220"/>
      <c r="EI152" s="220"/>
      <c r="EJ152" s="220"/>
      <c r="EK152" s="220"/>
      <c r="EL152" s="220"/>
      <c r="EM152" s="220"/>
      <c r="EN152" s="220"/>
      <c r="EO152" s="220"/>
      <c r="EP152" s="220"/>
      <c r="EQ152" s="220"/>
      <c r="ER152" s="220"/>
      <c r="ES152" s="220"/>
      <c r="ET152" s="220"/>
      <c r="EU152" s="220"/>
      <c r="EV152" s="220"/>
      <c r="EW152" s="220"/>
      <c r="EX152" s="220"/>
      <c r="EY152" s="220"/>
      <c r="EZ152" s="220"/>
      <c r="FA152" s="220"/>
      <c r="FB152" s="220"/>
      <c r="FC152" s="220"/>
      <c r="FD152" s="220"/>
      <c r="FE152" s="220"/>
      <c r="FF152" s="220"/>
      <c r="FG152" s="220"/>
      <c r="FH152" s="220"/>
      <c r="FI152" s="220"/>
      <c r="FJ152" s="220"/>
      <c r="FK152" s="220"/>
      <c r="FL152" s="220"/>
      <c r="FM152" s="220"/>
      <c r="FN152" s="220"/>
      <c r="FO152" s="221"/>
      <c r="FP152" s="219"/>
      <c r="FQ152" s="220"/>
      <c r="FR152" s="220"/>
      <c r="FS152" s="220"/>
      <c r="FT152" s="221"/>
      <c r="FY152" s="219"/>
      <c r="FZ152" s="220"/>
      <c r="GA152" s="220"/>
      <c r="GB152" s="220"/>
      <c r="GC152" s="220"/>
      <c r="GD152" s="220"/>
      <c r="GE152" s="220"/>
      <c r="GF152" s="220"/>
      <c r="GG152" s="220"/>
      <c r="GH152" s="220"/>
      <c r="GI152" s="220"/>
      <c r="GJ152" s="220"/>
      <c r="GK152" s="220"/>
      <c r="GL152" s="220"/>
      <c r="GM152" s="220"/>
      <c r="GN152" s="220"/>
      <c r="GO152" s="220"/>
      <c r="GP152" s="220"/>
      <c r="GQ152" s="220"/>
      <c r="GR152" s="220"/>
      <c r="GS152" s="220"/>
      <c r="GT152" s="220"/>
      <c r="GU152" s="220"/>
      <c r="GV152" s="220"/>
      <c r="GW152" s="220"/>
      <c r="GX152" s="220"/>
      <c r="GY152" s="220"/>
      <c r="GZ152" s="220"/>
      <c r="HA152" s="220"/>
      <c r="HB152" s="220"/>
      <c r="HC152" s="220"/>
      <c r="HD152" s="220"/>
      <c r="HE152" s="220"/>
      <c r="HF152" s="220"/>
      <c r="HG152" s="220"/>
      <c r="HH152" s="220"/>
      <c r="HI152" s="220"/>
      <c r="HJ152" s="220"/>
      <c r="HK152" s="220"/>
      <c r="HL152" s="221"/>
      <c r="HM152" s="219"/>
      <c r="HN152" s="220"/>
      <c r="HO152" s="220"/>
      <c r="HP152" s="220"/>
      <c r="HQ152" s="221"/>
      <c r="HX152" s="219"/>
      <c r="HY152" s="220"/>
      <c r="HZ152" s="220"/>
      <c r="IA152" s="220"/>
      <c r="IB152" s="220"/>
      <c r="IC152" s="220"/>
      <c r="ID152" s="220"/>
      <c r="IE152" s="220"/>
      <c r="IF152" s="220"/>
      <c r="IG152" s="220"/>
      <c r="IH152" s="220"/>
      <c r="II152" s="220"/>
      <c r="IJ152" s="220"/>
      <c r="IK152" s="220"/>
      <c r="IL152" s="220"/>
      <c r="IM152" s="220"/>
      <c r="IN152" s="220"/>
      <c r="IO152" s="220"/>
      <c r="IP152" s="220"/>
      <c r="IQ152" s="220"/>
      <c r="IR152" s="220"/>
      <c r="IS152" s="220"/>
      <c r="IT152" s="220"/>
      <c r="IU152" s="220"/>
      <c r="IV152" s="220"/>
      <c r="IW152" s="220"/>
      <c r="IX152" s="220"/>
      <c r="IY152" s="220"/>
      <c r="IZ152" s="220"/>
      <c r="JA152" s="220"/>
      <c r="JB152" s="220"/>
      <c r="JC152" s="220"/>
      <c r="JD152" s="220"/>
      <c r="JE152" s="220"/>
      <c r="JF152" s="220"/>
      <c r="JG152" s="220"/>
      <c r="JH152" s="220"/>
      <c r="JI152" s="220"/>
      <c r="JJ152" s="220"/>
      <c r="JK152" s="221"/>
      <c r="JL152" s="187"/>
      <c r="JM152" s="188"/>
      <c r="JN152" s="188"/>
      <c r="JO152" s="188"/>
      <c r="JP152" s="188"/>
      <c r="JQ152" s="189"/>
      <c r="JR152" s="19"/>
      <c r="JW152" s="155"/>
      <c r="KC152" s="16"/>
      <c r="KE152" s="187"/>
      <c r="KF152" s="188"/>
      <c r="KG152" s="188"/>
      <c r="KH152" s="188"/>
      <c r="KI152" s="188"/>
      <c r="KJ152" s="188"/>
      <c r="KK152" s="188"/>
      <c r="KL152" s="188"/>
      <c r="KM152" s="188"/>
      <c r="KN152" s="188"/>
      <c r="KO152" s="188"/>
      <c r="KP152" s="188"/>
      <c r="KQ152" s="188"/>
      <c r="KR152" s="188"/>
      <c r="KS152" s="188"/>
      <c r="KT152" s="188"/>
      <c r="KU152" s="188"/>
      <c r="KV152" s="188"/>
      <c r="KW152" s="188"/>
      <c r="KX152" s="188"/>
      <c r="KY152" s="188"/>
      <c r="KZ152" s="188"/>
      <c r="LA152" s="188"/>
      <c r="LB152" s="188"/>
      <c r="LC152" s="188"/>
      <c r="LD152" s="188"/>
      <c r="LE152" s="188"/>
      <c r="LF152" s="188"/>
      <c r="LG152" s="188"/>
      <c r="LH152" s="188"/>
      <c r="LI152" s="188"/>
      <c r="LJ152" s="188"/>
      <c r="LK152" s="188"/>
      <c r="LL152" s="188"/>
      <c r="LM152" s="188"/>
      <c r="LN152" s="188"/>
      <c r="LO152" s="188"/>
      <c r="LP152" s="188"/>
      <c r="LQ152" s="188"/>
      <c r="LR152" s="188"/>
      <c r="LS152" s="189"/>
      <c r="LT152" s="187"/>
      <c r="LU152" s="188"/>
      <c r="LV152" s="188"/>
      <c r="LW152" s="188"/>
      <c r="LX152" s="189"/>
      <c r="ML152" s="12"/>
      <c r="MM152" s="7"/>
      <c r="MN152" s="3"/>
      <c r="MO152" s="3"/>
      <c r="MP152" s="3"/>
      <c r="MQ152" s="3"/>
      <c r="MR152" s="2"/>
      <c r="NF152" s="3"/>
      <c r="NG152" s="3"/>
      <c r="NH152" s="3"/>
      <c r="NI152" s="3"/>
      <c r="NJ152" s="3"/>
      <c r="NK152" s="2"/>
    </row>
    <row r="153" spans="3:375" ht="5.0999999999999996" customHeight="1" x14ac:dyDescent="0.3">
      <c r="C153" s="11"/>
      <c r="D153" s="13"/>
      <c r="Q153" s="187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E153" s="189"/>
      <c r="BF153" s="187"/>
      <c r="BG153" s="188"/>
      <c r="BH153" s="188"/>
      <c r="BI153" s="188"/>
      <c r="BJ153" s="189"/>
      <c r="CD153" s="219"/>
      <c r="CE153" s="220"/>
      <c r="CF153" s="220"/>
      <c r="CG153" s="220"/>
      <c r="CH153" s="220"/>
      <c r="CI153" s="220"/>
      <c r="CJ153" s="220"/>
      <c r="CK153" s="220"/>
      <c r="CL153" s="220"/>
      <c r="CM153" s="220"/>
      <c r="CN153" s="220"/>
      <c r="CO153" s="220"/>
      <c r="CP153" s="220"/>
      <c r="CQ153" s="220"/>
      <c r="CR153" s="220"/>
      <c r="CS153" s="220"/>
      <c r="CT153" s="220"/>
      <c r="CU153" s="220"/>
      <c r="CV153" s="220"/>
      <c r="CW153" s="220"/>
      <c r="CX153" s="220"/>
      <c r="CY153" s="220"/>
      <c r="CZ153" s="220"/>
      <c r="DA153" s="220"/>
      <c r="DB153" s="220"/>
      <c r="DC153" s="220"/>
      <c r="DD153" s="220"/>
      <c r="DE153" s="220"/>
      <c r="DF153" s="220"/>
      <c r="DG153" s="220"/>
      <c r="DH153" s="220"/>
      <c r="DI153" s="220"/>
      <c r="DJ153" s="220"/>
      <c r="DK153" s="220"/>
      <c r="DL153" s="220"/>
      <c r="DM153" s="220"/>
      <c r="DN153" s="220"/>
      <c r="DO153" s="220"/>
      <c r="DP153" s="220"/>
      <c r="DQ153" s="221"/>
      <c r="DR153" s="219"/>
      <c r="DS153" s="220"/>
      <c r="DT153" s="220"/>
      <c r="DU153" s="220"/>
      <c r="DV153" s="221"/>
      <c r="EB153" s="219"/>
      <c r="EC153" s="220"/>
      <c r="ED153" s="220"/>
      <c r="EE153" s="220"/>
      <c r="EF153" s="220"/>
      <c r="EG153" s="220"/>
      <c r="EH153" s="220"/>
      <c r="EI153" s="220"/>
      <c r="EJ153" s="220"/>
      <c r="EK153" s="220"/>
      <c r="EL153" s="220"/>
      <c r="EM153" s="220"/>
      <c r="EN153" s="220"/>
      <c r="EO153" s="220"/>
      <c r="EP153" s="220"/>
      <c r="EQ153" s="220"/>
      <c r="ER153" s="220"/>
      <c r="ES153" s="220"/>
      <c r="ET153" s="220"/>
      <c r="EU153" s="220"/>
      <c r="EV153" s="220"/>
      <c r="EW153" s="220"/>
      <c r="EX153" s="220"/>
      <c r="EY153" s="220"/>
      <c r="EZ153" s="220"/>
      <c r="FA153" s="220"/>
      <c r="FB153" s="220"/>
      <c r="FC153" s="220"/>
      <c r="FD153" s="220"/>
      <c r="FE153" s="220"/>
      <c r="FF153" s="220"/>
      <c r="FG153" s="220"/>
      <c r="FH153" s="220"/>
      <c r="FI153" s="220"/>
      <c r="FJ153" s="220"/>
      <c r="FK153" s="220"/>
      <c r="FL153" s="220"/>
      <c r="FM153" s="220"/>
      <c r="FN153" s="220"/>
      <c r="FO153" s="221"/>
      <c r="FP153" s="219"/>
      <c r="FQ153" s="220"/>
      <c r="FR153" s="220"/>
      <c r="FS153" s="220"/>
      <c r="FT153" s="221"/>
      <c r="FY153" s="219"/>
      <c r="FZ153" s="220"/>
      <c r="GA153" s="220"/>
      <c r="GB153" s="220"/>
      <c r="GC153" s="220"/>
      <c r="GD153" s="220"/>
      <c r="GE153" s="220"/>
      <c r="GF153" s="220"/>
      <c r="GG153" s="220"/>
      <c r="GH153" s="220"/>
      <c r="GI153" s="220"/>
      <c r="GJ153" s="220"/>
      <c r="GK153" s="220"/>
      <c r="GL153" s="220"/>
      <c r="GM153" s="220"/>
      <c r="GN153" s="220"/>
      <c r="GO153" s="220"/>
      <c r="GP153" s="220"/>
      <c r="GQ153" s="220"/>
      <c r="GR153" s="220"/>
      <c r="GS153" s="220"/>
      <c r="GT153" s="220"/>
      <c r="GU153" s="220"/>
      <c r="GV153" s="220"/>
      <c r="GW153" s="220"/>
      <c r="GX153" s="220"/>
      <c r="GY153" s="220"/>
      <c r="GZ153" s="220"/>
      <c r="HA153" s="220"/>
      <c r="HB153" s="220"/>
      <c r="HC153" s="220"/>
      <c r="HD153" s="220"/>
      <c r="HE153" s="220"/>
      <c r="HF153" s="220"/>
      <c r="HG153" s="220"/>
      <c r="HH153" s="220"/>
      <c r="HI153" s="220"/>
      <c r="HJ153" s="220"/>
      <c r="HK153" s="220"/>
      <c r="HL153" s="221"/>
      <c r="HM153" s="219"/>
      <c r="HN153" s="220"/>
      <c r="HO153" s="220"/>
      <c r="HP153" s="220"/>
      <c r="HQ153" s="221"/>
      <c r="HX153" s="219"/>
      <c r="HY153" s="220"/>
      <c r="HZ153" s="220"/>
      <c r="IA153" s="220"/>
      <c r="IB153" s="220"/>
      <c r="IC153" s="220"/>
      <c r="ID153" s="220"/>
      <c r="IE153" s="220"/>
      <c r="IF153" s="220"/>
      <c r="IG153" s="220"/>
      <c r="IH153" s="220"/>
      <c r="II153" s="220"/>
      <c r="IJ153" s="220"/>
      <c r="IK153" s="220"/>
      <c r="IL153" s="220"/>
      <c r="IM153" s="220"/>
      <c r="IN153" s="220"/>
      <c r="IO153" s="220"/>
      <c r="IP153" s="220"/>
      <c r="IQ153" s="220"/>
      <c r="IR153" s="220"/>
      <c r="IS153" s="220"/>
      <c r="IT153" s="220"/>
      <c r="IU153" s="220"/>
      <c r="IV153" s="220"/>
      <c r="IW153" s="220"/>
      <c r="IX153" s="220"/>
      <c r="IY153" s="220"/>
      <c r="IZ153" s="220"/>
      <c r="JA153" s="220"/>
      <c r="JB153" s="220"/>
      <c r="JC153" s="220"/>
      <c r="JD153" s="220"/>
      <c r="JE153" s="220"/>
      <c r="JF153" s="220"/>
      <c r="JG153" s="220"/>
      <c r="JH153" s="220"/>
      <c r="JI153" s="220"/>
      <c r="JJ153" s="220"/>
      <c r="JK153" s="221"/>
      <c r="JL153" s="187"/>
      <c r="JM153" s="188"/>
      <c r="JN153" s="188"/>
      <c r="JO153" s="188"/>
      <c r="JP153" s="188"/>
      <c r="JQ153" s="189"/>
      <c r="JR153" s="19"/>
      <c r="JW153" s="155"/>
      <c r="KC153" s="16"/>
      <c r="KE153" s="187"/>
      <c r="KF153" s="188"/>
      <c r="KG153" s="188"/>
      <c r="KH153" s="188"/>
      <c r="KI153" s="188"/>
      <c r="KJ153" s="188"/>
      <c r="KK153" s="188"/>
      <c r="KL153" s="188"/>
      <c r="KM153" s="188"/>
      <c r="KN153" s="188"/>
      <c r="KO153" s="188"/>
      <c r="KP153" s="188"/>
      <c r="KQ153" s="188"/>
      <c r="KR153" s="188"/>
      <c r="KS153" s="188"/>
      <c r="KT153" s="188"/>
      <c r="KU153" s="188"/>
      <c r="KV153" s="188"/>
      <c r="KW153" s="188"/>
      <c r="KX153" s="188"/>
      <c r="KY153" s="188"/>
      <c r="KZ153" s="188"/>
      <c r="LA153" s="188"/>
      <c r="LB153" s="188"/>
      <c r="LC153" s="188"/>
      <c r="LD153" s="188"/>
      <c r="LE153" s="188"/>
      <c r="LF153" s="188"/>
      <c r="LG153" s="188"/>
      <c r="LH153" s="188"/>
      <c r="LI153" s="188"/>
      <c r="LJ153" s="188"/>
      <c r="LK153" s="188"/>
      <c r="LL153" s="188"/>
      <c r="LM153" s="188"/>
      <c r="LN153" s="188"/>
      <c r="LO153" s="188"/>
      <c r="LP153" s="188"/>
      <c r="LQ153" s="188"/>
      <c r="LR153" s="188"/>
      <c r="LS153" s="189"/>
      <c r="LT153" s="187"/>
      <c r="LU153" s="188"/>
      <c r="LV153" s="188"/>
      <c r="LW153" s="188"/>
      <c r="LX153" s="189"/>
      <c r="ML153" s="12"/>
      <c r="MM153" s="7"/>
      <c r="MN153" s="3"/>
      <c r="MO153" s="3"/>
      <c r="MP153" s="3"/>
      <c r="MQ153" s="3"/>
      <c r="MR153" s="2"/>
      <c r="NF153" s="3"/>
      <c r="NG153" s="3"/>
      <c r="NH153" s="3"/>
      <c r="NI153" s="3"/>
      <c r="NJ153" s="3"/>
      <c r="NK153" s="2"/>
    </row>
    <row r="154" spans="3:375" ht="5.0999999999999996" customHeight="1" x14ac:dyDescent="0.3">
      <c r="C154" s="11"/>
      <c r="D154" s="13"/>
      <c r="Q154" s="187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E154" s="189"/>
      <c r="BF154" s="187"/>
      <c r="BG154" s="188"/>
      <c r="BH154" s="188"/>
      <c r="BI154" s="188"/>
      <c r="BJ154" s="189"/>
      <c r="CD154" s="219"/>
      <c r="CE154" s="220"/>
      <c r="CF154" s="220"/>
      <c r="CG154" s="220"/>
      <c r="CH154" s="220"/>
      <c r="CI154" s="220"/>
      <c r="CJ154" s="220"/>
      <c r="CK154" s="220"/>
      <c r="CL154" s="220"/>
      <c r="CM154" s="220"/>
      <c r="CN154" s="220"/>
      <c r="CO154" s="220"/>
      <c r="CP154" s="220"/>
      <c r="CQ154" s="220"/>
      <c r="CR154" s="220"/>
      <c r="CS154" s="220"/>
      <c r="CT154" s="220"/>
      <c r="CU154" s="220"/>
      <c r="CV154" s="220"/>
      <c r="CW154" s="220"/>
      <c r="CX154" s="220"/>
      <c r="CY154" s="220"/>
      <c r="CZ154" s="220"/>
      <c r="DA154" s="220"/>
      <c r="DB154" s="220"/>
      <c r="DC154" s="220"/>
      <c r="DD154" s="220"/>
      <c r="DE154" s="220"/>
      <c r="DF154" s="220"/>
      <c r="DG154" s="220"/>
      <c r="DH154" s="220"/>
      <c r="DI154" s="220"/>
      <c r="DJ154" s="220"/>
      <c r="DK154" s="220"/>
      <c r="DL154" s="220"/>
      <c r="DM154" s="220"/>
      <c r="DN154" s="220"/>
      <c r="DO154" s="220"/>
      <c r="DP154" s="220"/>
      <c r="DQ154" s="221"/>
      <c r="DR154" s="219"/>
      <c r="DS154" s="220"/>
      <c r="DT154" s="220"/>
      <c r="DU154" s="220"/>
      <c r="DV154" s="221"/>
      <c r="EB154" s="219"/>
      <c r="EC154" s="220"/>
      <c r="ED154" s="220"/>
      <c r="EE154" s="220"/>
      <c r="EF154" s="220"/>
      <c r="EG154" s="220"/>
      <c r="EH154" s="220"/>
      <c r="EI154" s="220"/>
      <c r="EJ154" s="220"/>
      <c r="EK154" s="220"/>
      <c r="EL154" s="220"/>
      <c r="EM154" s="220"/>
      <c r="EN154" s="220"/>
      <c r="EO154" s="220"/>
      <c r="EP154" s="220"/>
      <c r="EQ154" s="220"/>
      <c r="ER154" s="220"/>
      <c r="ES154" s="220"/>
      <c r="ET154" s="220"/>
      <c r="EU154" s="220"/>
      <c r="EV154" s="220"/>
      <c r="EW154" s="220"/>
      <c r="EX154" s="220"/>
      <c r="EY154" s="220"/>
      <c r="EZ154" s="220"/>
      <c r="FA154" s="220"/>
      <c r="FB154" s="220"/>
      <c r="FC154" s="220"/>
      <c r="FD154" s="220"/>
      <c r="FE154" s="220"/>
      <c r="FF154" s="220"/>
      <c r="FG154" s="220"/>
      <c r="FH154" s="220"/>
      <c r="FI154" s="220"/>
      <c r="FJ154" s="220"/>
      <c r="FK154" s="220"/>
      <c r="FL154" s="220"/>
      <c r="FM154" s="220"/>
      <c r="FN154" s="220"/>
      <c r="FO154" s="221"/>
      <c r="FP154" s="219"/>
      <c r="FQ154" s="220"/>
      <c r="FR154" s="220"/>
      <c r="FS154" s="220"/>
      <c r="FT154" s="221"/>
      <c r="FY154" s="219"/>
      <c r="FZ154" s="220"/>
      <c r="GA154" s="220"/>
      <c r="GB154" s="220"/>
      <c r="GC154" s="220"/>
      <c r="GD154" s="220"/>
      <c r="GE154" s="220"/>
      <c r="GF154" s="220"/>
      <c r="GG154" s="220"/>
      <c r="GH154" s="220"/>
      <c r="GI154" s="220"/>
      <c r="GJ154" s="220"/>
      <c r="GK154" s="220"/>
      <c r="GL154" s="220"/>
      <c r="GM154" s="220"/>
      <c r="GN154" s="220"/>
      <c r="GO154" s="220"/>
      <c r="GP154" s="220"/>
      <c r="GQ154" s="220"/>
      <c r="GR154" s="220"/>
      <c r="GS154" s="220"/>
      <c r="GT154" s="220"/>
      <c r="GU154" s="220"/>
      <c r="GV154" s="220"/>
      <c r="GW154" s="220"/>
      <c r="GX154" s="220"/>
      <c r="GY154" s="220"/>
      <c r="GZ154" s="220"/>
      <c r="HA154" s="220"/>
      <c r="HB154" s="220"/>
      <c r="HC154" s="220"/>
      <c r="HD154" s="220"/>
      <c r="HE154" s="220"/>
      <c r="HF154" s="220"/>
      <c r="HG154" s="220"/>
      <c r="HH154" s="220"/>
      <c r="HI154" s="220"/>
      <c r="HJ154" s="220"/>
      <c r="HK154" s="220"/>
      <c r="HL154" s="221"/>
      <c r="HM154" s="219"/>
      <c r="HN154" s="220"/>
      <c r="HO154" s="220"/>
      <c r="HP154" s="220"/>
      <c r="HQ154" s="221"/>
      <c r="HX154" s="219"/>
      <c r="HY154" s="220"/>
      <c r="HZ154" s="220"/>
      <c r="IA154" s="220"/>
      <c r="IB154" s="220"/>
      <c r="IC154" s="220"/>
      <c r="ID154" s="220"/>
      <c r="IE154" s="220"/>
      <c r="IF154" s="220"/>
      <c r="IG154" s="220"/>
      <c r="IH154" s="220"/>
      <c r="II154" s="220"/>
      <c r="IJ154" s="220"/>
      <c r="IK154" s="220"/>
      <c r="IL154" s="220"/>
      <c r="IM154" s="220"/>
      <c r="IN154" s="220"/>
      <c r="IO154" s="220"/>
      <c r="IP154" s="220"/>
      <c r="IQ154" s="220"/>
      <c r="IR154" s="220"/>
      <c r="IS154" s="220"/>
      <c r="IT154" s="220"/>
      <c r="IU154" s="220"/>
      <c r="IV154" s="220"/>
      <c r="IW154" s="220"/>
      <c r="IX154" s="220"/>
      <c r="IY154" s="220"/>
      <c r="IZ154" s="220"/>
      <c r="JA154" s="220"/>
      <c r="JB154" s="220"/>
      <c r="JC154" s="220"/>
      <c r="JD154" s="220"/>
      <c r="JE154" s="220"/>
      <c r="JF154" s="220"/>
      <c r="JG154" s="220"/>
      <c r="JH154" s="220"/>
      <c r="JI154" s="220"/>
      <c r="JJ154" s="220"/>
      <c r="JK154" s="221"/>
      <c r="JL154" s="187"/>
      <c r="JM154" s="188"/>
      <c r="JN154" s="188"/>
      <c r="JO154" s="188"/>
      <c r="JP154" s="188"/>
      <c r="JQ154" s="189"/>
      <c r="JR154" s="19"/>
      <c r="JW154" s="155"/>
      <c r="KC154" s="16"/>
      <c r="KE154" s="187"/>
      <c r="KF154" s="188"/>
      <c r="KG154" s="188"/>
      <c r="KH154" s="188"/>
      <c r="KI154" s="188"/>
      <c r="KJ154" s="188"/>
      <c r="KK154" s="188"/>
      <c r="KL154" s="188"/>
      <c r="KM154" s="188"/>
      <c r="KN154" s="188"/>
      <c r="KO154" s="188"/>
      <c r="KP154" s="188"/>
      <c r="KQ154" s="188"/>
      <c r="KR154" s="188"/>
      <c r="KS154" s="188"/>
      <c r="KT154" s="188"/>
      <c r="KU154" s="188"/>
      <c r="KV154" s="188"/>
      <c r="KW154" s="188"/>
      <c r="KX154" s="188"/>
      <c r="KY154" s="188"/>
      <c r="KZ154" s="188"/>
      <c r="LA154" s="188"/>
      <c r="LB154" s="188"/>
      <c r="LC154" s="188"/>
      <c r="LD154" s="188"/>
      <c r="LE154" s="188"/>
      <c r="LF154" s="188"/>
      <c r="LG154" s="188"/>
      <c r="LH154" s="188"/>
      <c r="LI154" s="188"/>
      <c r="LJ154" s="188"/>
      <c r="LK154" s="188"/>
      <c r="LL154" s="188"/>
      <c r="LM154" s="188"/>
      <c r="LN154" s="188"/>
      <c r="LO154" s="188"/>
      <c r="LP154" s="188"/>
      <c r="LQ154" s="188"/>
      <c r="LR154" s="188"/>
      <c r="LS154" s="189"/>
      <c r="LT154" s="187"/>
      <c r="LU154" s="188"/>
      <c r="LV154" s="188"/>
      <c r="LW154" s="188"/>
      <c r="LX154" s="189"/>
      <c r="ML154" s="12"/>
      <c r="MM154" s="7"/>
      <c r="MN154" s="3"/>
      <c r="MO154" s="3"/>
      <c r="MP154" s="3"/>
      <c r="MQ154" s="3"/>
      <c r="MR154" s="2"/>
      <c r="NF154" s="3"/>
      <c r="NG154" s="3"/>
      <c r="NH154" s="3"/>
      <c r="NI154" s="3"/>
      <c r="NJ154" s="3"/>
      <c r="NK154" s="2"/>
    </row>
    <row r="155" spans="3:375" ht="5.0999999999999996" customHeight="1" x14ac:dyDescent="0.3">
      <c r="C155" s="11"/>
      <c r="D155" s="13"/>
      <c r="Q155" s="187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9"/>
      <c r="BF155" s="187"/>
      <c r="BG155" s="188"/>
      <c r="BH155" s="188"/>
      <c r="BI155" s="188"/>
      <c r="BJ155" s="189"/>
      <c r="CD155" s="219"/>
      <c r="CE155" s="220"/>
      <c r="CF155" s="220"/>
      <c r="CG155" s="220"/>
      <c r="CH155" s="220"/>
      <c r="CI155" s="220"/>
      <c r="CJ155" s="220"/>
      <c r="CK155" s="220"/>
      <c r="CL155" s="220"/>
      <c r="CM155" s="220"/>
      <c r="CN155" s="220"/>
      <c r="CO155" s="220"/>
      <c r="CP155" s="220"/>
      <c r="CQ155" s="220"/>
      <c r="CR155" s="220"/>
      <c r="CS155" s="220"/>
      <c r="CT155" s="220"/>
      <c r="CU155" s="220"/>
      <c r="CV155" s="220"/>
      <c r="CW155" s="220"/>
      <c r="CX155" s="220"/>
      <c r="CY155" s="220"/>
      <c r="CZ155" s="220"/>
      <c r="DA155" s="220"/>
      <c r="DB155" s="220"/>
      <c r="DC155" s="220"/>
      <c r="DD155" s="220"/>
      <c r="DE155" s="220"/>
      <c r="DF155" s="220"/>
      <c r="DG155" s="220"/>
      <c r="DH155" s="220"/>
      <c r="DI155" s="220"/>
      <c r="DJ155" s="220"/>
      <c r="DK155" s="220"/>
      <c r="DL155" s="220"/>
      <c r="DM155" s="220"/>
      <c r="DN155" s="220"/>
      <c r="DO155" s="220"/>
      <c r="DP155" s="220"/>
      <c r="DQ155" s="221"/>
      <c r="DR155" s="219"/>
      <c r="DS155" s="220"/>
      <c r="DT155" s="220"/>
      <c r="DU155" s="220"/>
      <c r="DV155" s="221"/>
      <c r="EB155" s="219"/>
      <c r="EC155" s="220"/>
      <c r="ED155" s="220"/>
      <c r="EE155" s="220"/>
      <c r="EF155" s="220"/>
      <c r="EG155" s="220"/>
      <c r="EH155" s="220"/>
      <c r="EI155" s="220"/>
      <c r="EJ155" s="220"/>
      <c r="EK155" s="220"/>
      <c r="EL155" s="220"/>
      <c r="EM155" s="220"/>
      <c r="EN155" s="220"/>
      <c r="EO155" s="220"/>
      <c r="EP155" s="220"/>
      <c r="EQ155" s="220"/>
      <c r="ER155" s="220"/>
      <c r="ES155" s="220"/>
      <c r="ET155" s="220"/>
      <c r="EU155" s="220"/>
      <c r="EV155" s="220"/>
      <c r="EW155" s="220"/>
      <c r="EX155" s="220"/>
      <c r="EY155" s="220"/>
      <c r="EZ155" s="220"/>
      <c r="FA155" s="220"/>
      <c r="FB155" s="220"/>
      <c r="FC155" s="220"/>
      <c r="FD155" s="220"/>
      <c r="FE155" s="220"/>
      <c r="FF155" s="220"/>
      <c r="FG155" s="220"/>
      <c r="FH155" s="220"/>
      <c r="FI155" s="220"/>
      <c r="FJ155" s="220"/>
      <c r="FK155" s="220"/>
      <c r="FL155" s="220"/>
      <c r="FM155" s="220"/>
      <c r="FN155" s="220"/>
      <c r="FO155" s="221"/>
      <c r="FP155" s="219"/>
      <c r="FQ155" s="220"/>
      <c r="FR155" s="220"/>
      <c r="FS155" s="220"/>
      <c r="FT155" s="221"/>
      <c r="FY155" s="219"/>
      <c r="FZ155" s="220"/>
      <c r="GA155" s="220"/>
      <c r="GB155" s="220"/>
      <c r="GC155" s="220"/>
      <c r="GD155" s="220"/>
      <c r="GE155" s="220"/>
      <c r="GF155" s="220"/>
      <c r="GG155" s="220"/>
      <c r="GH155" s="220"/>
      <c r="GI155" s="220"/>
      <c r="GJ155" s="220"/>
      <c r="GK155" s="220"/>
      <c r="GL155" s="220"/>
      <c r="GM155" s="220"/>
      <c r="GN155" s="220"/>
      <c r="GO155" s="220"/>
      <c r="GP155" s="220"/>
      <c r="GQ155" s="220"/>
      <c r="GR155" s="220"/>
      <c r="GS155" s="220"/>
      <c r="GT155" s="220"/>
      <c r="GU155" s="220"/>
      <c r="GV155" s="220"/>
      <c r="GW155" s="220"/>
      <c r="GX155" s="220"/>
      <c r="GY155" s="220"/>
      <c r="GZ155" s="220"/>
      <c r="HA155" s="220"/>
      <c r="HB155" s="220"/>
      <c r="HC155" s="220"/>
      <c r="HD155" s="220"/>
      <c r="HE155" s="220"/>
      <c r="HF155" s="220"/>
      <c r="HG155" s="220"/>
      <c r="HH155" s="220"/>
      <c r="HI155" s="220"/>
      <c r="HJ155" s="220"/>
      <c r="HK155" s="220"/>
      <c r="HL155" s="221"/>
      <c r="HM155" s="219"/>
      <c r="HN155" s="220"/>
      <c r="HO155" s="220"/>
      <c r="HP155" s="220"/>
      <c r="HQ155" s="221"/>
      <c r="HX155" s="219"/>
      <c r="HY155" s="220"/>
      <c r="HZ155" s="220"/>
      <c r="IA155" s="220"/>
      <c r="IB155" s="220"/>
      <c r="IC155" s="220"/>
      <c r="ID155" s="220"/>
      <c r="IE155" s="220"/>
      <c r="IF155" s="220"/>
      <c r="IG155" s="220"/>
      <c r="IH155" s="220"/>
      <c r="II155" s="220"/>
      <c r="IJ155" s="220"/>
      <c r="IK155" s="220"/>
      <c r="IL155" s="220"/>
      <c r="IM155" s="220"/>
      <c r="IN155" s="220"/>
      <c r="IO155" s="220"/>
      <c r="IP155" s="220"/>
      <c r="IQ155" s="220"/>
      <c r="IR155" s="220"/>
      <c r="IS155" s="220"/>
      <c r="IT155" s="220"/>
      <c r="IU155" s="220"/>
      <c r="IV155" s="220"/>
      <c r="IW155" s="220"/>
      <c r="IX155" s="220"/>
      <c r="IY155" s="220"/>
      <c r="IZ155" s="220"/>
      <c r="JA155" s="220"/>
      <c r="JB155" s="220"/>
      <c r="JC155" s="220"/>
      <c r="JD155" s="220"/>
      <c r="JE155" s="220"/>
      <c r="JF155" s="220"/>
      <c r="JG155" s="220"/>
      <c r="JH155" s="220"/>
      <c r="JI155" s="220"/>
      <c r="JJ155" s="220"/>
      <c r="JK155" s="221"/>
      <c r="JL155" s="187"/>
      <c r="JM155" s="188"/>
      <c r="JN155" s="188"/>
      <c r="JO155" s="188"/>
      <c r="JP155" s="188"/>
      <c r="JQ155" s="189"/>
      <c r="JR155" s="19"/>
      <c r="JW155" s="155"/>
      <c r="KC155" s="16"/>
      <c r="KE155" s="187"/>
      <c r="KF155" s="188"/>
      <c r="KG155" s="188"/>
      <c r="KH155" s="188"/>
      <c r="KI155" s="188"/>
      <c r="KJ155" s="188"/>
      <c r="KK155" s="188"/>
      <c r="KL155" s="188"/>
      <c r="KM155" s="188"/>
      <c r="KN155" s="188"/>
      <c r="KO155" s="188"/>
      <c r="KP155" s="188"/>
      <c r="KQ155" s="188"/>
      <c r="KR155" s="188"/>
      <c r="KS155" s="188"/>
      <c r="KT155" s="188"/>
      <c r="KU155" s="188"/>
      <c r="KV155" s="188"/>
      <c r="KW155" s="188"/>
      <c r="KX155" s="188"/>
      <c r="KY155" s="188"/>
      <c r="KZ155" s="188"/>
      <c r="LA155" s="188"/>
      <c r="LB155" s="188"/>
      <c r="LC155" s="188"/>
      <c r="LD155" s="188"/>
      <c r="LE155" s="188"/>
      <c r="LF155" s="188"/>
      <c r="LG155" s="188"/>
      <c r="LH155" s="188"/>
      <c r="LI155" s="188"/>
      <c r="LJ155" s="188"/>
      <c r="LK155" s="188"/>
      <c r="LL155" s="188"/>
      <c r="LM155" s="188"/>
      <c r="LN155" s="188"/>
      <c r="LO155" s="188"/>
      <c r="LP155" s="188"/>
      <c r="LQ155" s="188"/>
      <c r="LR155" s="188"/>
      <c r="LS155" s="189"/>
      <c r="LT155" s="187"/>
      <c r="LU155" s="188"/>
      <c r="LV155" s="188"/>
      <c r="LW155" s="188"/>
      <c r="LX155" s="189"/>
      <c r="ML155" s="12"/>
      <c r="MM155" s="7"/>
      <c r="MN155" s="3"/>
      <c r="MO155" s="3"/>
      <c r="MP155" s="3"/>
      <c r="MQ155" s="3"/>
      <c r="MR155" s="2"/>
      <c r="NF155" s="3"/>
      <c r="NG155" s="3"/>
      <c r="NH155" s="3"/>
      <c r="NI155" s="3"/>
      <c r="NJ155" s="3"/>
      <c r="NK155" s="2"/>
    </row>
    <row r="156" spans="3:375" ht="5.0999999999999996" customHeight="1" x14ac:dyDescent="0.3">
      <c r="C156" s="11"/>
      <c r="D156" s="13"/>
      <c r="Q156" s="187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E156" s="189"/>
      <c r="BF156" s="187"/>
      <c r="BG156" s="188"/>
      <c r="BH156" s="188"/>
      <c r="BI156" s="188"/>
      <c r="BJ156" s="189"/>
      <c r="CD156" s="222"/>
      <c r="CE156" s="223"/>
      <c r="CF156" s="223"/>
      <c r="CG156" s="223"/>
      <c r="CH156" s="223"/>
      <c r="CI156" s="223"/>
      <c r="CJ156" s="223"/>
      <c r="CK156" s="223"/>
      <c r="CL156" s="223"/>
      <c r="CM156" s="223"/>
      <c r="CN156" s="223"/>
      <c r="CO156" s="223"/>
      <c r="CP156" s="223"/>
      <c r="CQ156" s="223"/>
      <c r="CR156" s="223"/>
      <c r="CS156" s="223"/>
      <c r="CT156" s="223"/>
      <c r="CU156" s="223"/>
      <c r="CV156" s="223"/>
      <c r="CW156" s="223"/>
      <c r="CX156" s="223"/>
      <c r="CY156" s="223"/>
      <c r="CZ156" s="223"/>
      <c r="DA156" s="223"/>
      <c r="DB156" s="223"/>
      <c r="DC156" s="223"/>
      <c r="DD156" s="223"/>
      <c r="DE156" s="223"/>
      <c r="DF156" s="223"/>
      <c r="DG156" s="223"/>
      <c r="DH156" s="223"/>
      <c r="DI156" s="223"/>
      <c r="DJ156" s="223"/>
      <c r="DK156" s="223"/>
      <c r="DL156" s="223"/>
      <c r="DM156" s="223"/>
      <c r="DN156" s="223"/>
      <c r="DO156" s="223"/>
      <c r="DP156" s="223"/>
      <c r="DQ156" s="224"/>
      <c r="DR156" s="222"/>
      <c r="DS156" s="223"/>
      <c r="DT156" s="223"/>
      <c r="DU156" s="223"/>
      <c r="DV156" s="224"/>
      <c r="EB156" s="222"/>
      <c r="EC156" s="223"/>
      <c r="ED156" s="223"/>
      <c r="EE156" s="223"/>
      <c r="EF156" s="223"/>
      <c r="EG156" s="223"/>
      <c r="EH156" s="223"/>
      <c r="EI156" s="223"/>
      <c r="EJ156" s="223"/>
      <c r="EK156" s="223"/>
      <c r="EL156" s="223"/>
      <c r="EM156" s="223"/>
      <c r="EN156" s="223"/>
      <c r="EO156" s="223"/>
      <c r="EP156" s="223"/>
      <c r="EQ156" s="223"/>
      <c r="ER156" s="223"/>
      <c r="ES156" s="223"/>
      <c r="ET156" s="223"/>
      <c r="EU156" s="223"/>
      <c r="EV156" s="223"/>
      <c r="EW156" s="223"/>
      <c r="EX156" s="223"/>
      <c r="EY156" s="223"/>
      <c r="EZ156" s="223"/>
      <c r="FA156" s="223"/>
      <c r="FB156" s="223"/>
      <c r="FC156" s="223"/>
      <c r="FD156" s="223"/>
      <c r="FE156" s="223"/>
      <c r="FF156" s="223"/>
      <c r="FG156" s="223"/>
      <c r="FH156" s="223"/>
      <c r="FI156" s="223"/>
      <c r="FJ156" s="223"/>
      <c r="FK156" s="223"/>
      <c r="FL156" s="223"/>
      <c r="FM156" s="223"/>
      <c r="FN156" s="223"/>
      <c r="FO156" s="224"/>
      <c r="FP156" s="222"/>
      <c r="FQ156" s="223"/>
      <c r="FR156" s="223"/>
      <c r="FS156" s="223"/>
      <c r="FT156" s="224"/>
      <c r="FY156" s="222"/>
      <c r="FZ156" s="223"/>
      <c r="GA156" s="223"/>
      <c r="GB156" s="223"/>
      <c r="GC156" s="223"/>
      <c r="GD156" s="223"/>
      <c r="GE156" s="223"/>
      <c r="GF156" s="223"/>
      <c r="GG156" s="223"/>
      <c r="GH156" s="223"/>
      <c r="GI156" s="223"/>
      <c r="GJ156" s="223"/>
      <c r="GK156" s="223"/>
      <c r="GL156" s="223"/>
      <c r="GM156" s="223"/>
      <c r="GN156" s="223"/>
      <c r="GO156" s="223"/>
      <c r="GP156" s="223"/>
      <c r="GQ156" s="223"/>
      <c r="GR156" s="223"/>
      <c r="GS156" s="223"/>
      <c r="GT156" s="223"/>
      <c r="GU156" s="223"/>
      <c r="GV156" s="223"/>
      <c r="GW156" s="223"/>
      <c r="GX156" s="223"/>
      <c r="GY156" s="223"/>
      <c r="GZ156" s="223"/>
      <c r="HA156" s="223"/>
      <c r="HB156" s="223"/>
      <c r="HC156" s="223"/>
      <c r="HD156" s="223"/>
      <c r="HE156" s="223"/>
      <c r="HF156" s="223"/>
      <c r="HG156" s="223"/>
      <c r="HH156" s="223"/>
      <c r="HI156" s="223"/>
      <c r="HJ156" s="223"/>
      <c r="HK156" s="223"/>
      <c r="HL156" s="224"/>
      <c r="HM156" s="222"/>
      <c r="HN156" s="223"/>
      <c r="HO156" s="223"/>
      <c r="HP156" s="223"/>
      <c r="HQ156" s="224"/>
      <c r="HX156" s="219"/>
      <c r="HY156" s="220"/>
      <c r="HZ156" s="220"/>
      <c r="IA156" s="220"/>
      <c r="IB156" s="220"/>
      <c r="IC156" s="220"/>
      <c r="ID156" s="220"/>
      <c r="IE156" s="220"/>
      <c r="IF156" s="220"/>
      <c r="IG156" s="220"/>
      <c r="IH156" s="220"/>
      <c r="II156" s="220"/>
      <c r="IJ156" s="220"/>
      <c r="IK156" s="220"/>
      <c r="IL156" s="220"/>
      <c r="IM156" s="220"/>
      <c r="IN156" s="220"/>
      <c r="IO156" s="220"/>
      <c r="IP156" s="220"/>
      <c r="IQ156" s="220"/>
      <c r="IR156" s="220"/>
      <c r="IS156" s="220"/>
      <c r="IT156" s="220"/>
      <c r="IU156" s="220"/>
      <c r="IV156" s="220"/>
      <c r="IW156" s="220"/>
      <c r="IX156" s="220"/>
      <c r="IY156" s="220"/>
      <c r="IZ156" s="220"/>
      <c r="JA156" s="220"/>
      <c r="JB156" s="220"/>
      <c r="JC156" s="220"/>
      <c r="JD156" s="220"/>
      <c r="JE156" s="220"/>
      <c r="JF156" s="220"/>
      <c r="JG156" s="220"/>
      <c r="JH156" s="220"/>
      <c r="JI156" s="220"/>
      <c r="JJ156" s="220"/>
      <c r="JK156" s="221"/>
      <c r="JL156" s="187"/>
      <c r="JM156" s="188"/>
      <c r="JN156" s="188"/>
      <c r="JO156" s="188"/>
      <c r="JP156" s="188"/>
      <c r="JQ156" s="189"/>
      <c r="JR156" s="19"/>
      <c r="JW156" s="155"/>
      <c r="KC156" s="16"/>
      <c r="KE156" s="187"/>
      <c r="KF156" s="188"/>
      <c r="KG156" s="188"/>
      <c r="KH156" s="188"/>
      <c r="KI156" s="188"/>
      <c r="KJ156" s="188"/>
      <c r="KK156" s="188"/>
      <c r="KL156" s="188"/>
      <c r="KM156" s="188"/>
      <c r="KN156" s="188"/>
      <c r="KO156" s="188"/>
      <c r="KP156" s="188"/>
      <c r="KQ156" s="188"/>
      <c r="KR156" s="188"/>
      <c r="KS156" s="188"/>
      <c r="KT156" s="188"/>
      <c r="KU156" s="188"/>
      <c r="KV156" s="188"/>
      <c r="KW156" s="188"/>
      <c r="KX156" s="188"/>
      <c r="KY156" s="188"/>
      <c r="KZ156" s="188"/>
      <c r="LA156" s="188"/>
      <c r="LB156" s="188"/>
      <c r="LC156" s="188"/>
      <c r="LD156" s="188"/>
      <c r="LE156" s="188"/>
      <c r="LF156" s="188"/>
      <c r="LG156" s="188"/>
      <c r="LH156" s="188"/>
      <c r="LI156" s="188"/>
      <c r="LJ156" s="188"/>
      <c r="LK156" s="188"/>
      <c r="LL156" s="188"/>
      <c r="LM156" s="188"/>
      <c r="LN156" s="188"/>
      <c r="LO156" s="188"/>
      <c r="LP156" s="188"/>
      <c r="LQ156" s="188"/>
      <c r="LR156" s="188"/>
      <c r="LS156" s="189"/>
      <c r="LT156" s="187"/>
      <c r="LU156" s="188"/>
      <c r="LV156" s="188"/>
      <c r="LW156" s="188"/>
      <c r="LX156" s="189"/>
      <c r="ML156" s="12"/>
      <c r="MM156" s="7"/>
      <c r="MN156" s="3"/>
      <c r="MO156" s="3"/>
      <c r="MP156" s="3"/>
      <c r="MQ156" s="3"/>
      <c r="MR156" s="2"/>
      <c r="NF156" s="3"/>
      <c r="NG156" s="3"/>
      <c r="NH156" s="3"/>
      <c r="NI156" s="3"/>
      <c r="NJ156" s="3"/>
      <c r="NK156" s="2"/>
    </row>
    <row r="157" spans="3:375" ht="5.0999999999999996" customHeight="1" x14ac:dyDescent="0.3">
      <c r="C157" s="11"/>
      <c r="D157" s="13"/>
      <c r="Q157" s="187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E157" s="189"/>
      <c r="BF157" s="187"/>
      <c r="BG157" s="188"/>
      <c r="BH157" s="188"/>
      <c r="BI157" s="188"/>
      <c r="BJ157" s="189"/>
      <c r="DA157" s="17"/>
      <c r="DB157" s="18"/>
      <c r="EY157" s="17"/>
      <c r="EZ157" s="18"/>
      <c r="GV157" s="17"/>
      <c r="HX157" s="219"/>
      <c r="HY157" s="220"/>
      <c r="HZ157" s="220"/>
      <c r="IA157" s="220"/>
      <c r="IB157" s="220"/>
      <c r="IC157" s="220"/>
      <c r="ID157" s="220"/>
      <c r="IE157" s="220"/>
      <c r="IF157" s="220"/>
      <c r="IG157" s="220"/>
      <c r="IH157" s="220"/>
      <c r="II157" s="220"/>
      <c r="IJ157" s="220"/>
      <c r="IK157" s="220"/>
      <c r="IL157" s="220"/>
      <c r="IM157" s="220"/>
      <c r="IN157" s="220"/>
      <c r="IO157" s="220"/>
      <c r="IP157" s="220"/>
      <c r="IQ157" s="220"/>
      <c r="IR157" s="220"/>
      <c r="IS157" s="220"/>
      <c r="IT157" s="220"/>
      <c r="IU157" s="220"/>
      <c r="IV157" s="220"/>
      <c r="IW157" s="220"/>
      <c r="IX157" s="220"/>
      <c r="IY157" s="220"/>
      <c r="IZ157" s="220"/>
      <c r="JA157" s="220"/>
      <c r="JB157" s="220"/>
      <c r="JC157" s="220"/>
      <c r="JD157" s="220"/>
      <c r="JE157" s="220"/>
      <c r="JF157" s="220"/>
      <c r="JG157" s="220"/>
      <c r="JH157" s="220"/>
      <c r="JI157" s="220"/>
      <c r="JJ157" s="220"/>
      <c r="JK157" s="221"/>
      <c r="JL157" s="187"/>
      <c r="JM157" s="188"/>
      <c r="JN157" s="188"/>
      <c r="JO157" s="188"/>
      <c r="JP157" s="188"/>
      <c r="JQ157" s="189"/>
      <c r="JR157" s="19"/>
      <c r="JW157" s="155"/>
      <c r="KC157" s="16"/>
      <c r="KE157" s="187"/>
      <c r="KF157" s="188"/>
      <c r="KG157" s="188"/>
      <c r="KH157" s="188"/>
      <c r="KI157" s="188"/>
      <c r="KJ157" s="188"/>
      <c r="KK157" s="188"/>
      <c r="KL157" s="188"/>
      <c r="KM157" s="188"/>
      <c r="KN157" s="188"/>
      <c r="KO157" s="188"/>
      <c r="KP157" s="188"/>
      <c r="KQ157" s="188"/>
      <c r="KR157" s="188"/>
      <c r="KS157" s="188"/>
      <c r="KT157" s="188"/>
      <c r="KU157" s="188"/>
      <c r="KV157" s="188"/>
      <c r="KW157" s="188"/>
      <c r="KX157" s="188"/>
      <c r="KY157" s="188"/>
      <c r="KZ157" s="188"/>
      <c r="LA157" s="188"/>
      <c r="LB157" s="188"/>
      <c r="LC157" s="188"/>
      <c r="LD157" s="188"/>
      <c r="LE157" s="188"/>
      <c r="LF157" s="188"/>
      <c r="LG157" s="188"/>
      <c r="LH157" s="188"/>
      <c r="LI157" s="188"/>
      <c r="LJ157" s="188"/>
      <c r="LK157" s="188"/>
      <c r="LL157" s="188"/>
      <c r="LM157" s="188"/>
      <c r="LN157" s="188"/>
      <c r="LO157" s="188"/>
      <c r="LP157" s="188"/>
      <c r="LQ157" s="188"/>
      <c r="LR157" s="188"/>
      <c r="LS157" s="189"/>
      <c r="LT157" s="187"/>
      <c r="LU157" s="188"/>
      <c r="LV157" s="188"/>
      <c r="LW157" s="188"/>
      <c r="LX157" s="189"/>
      <c r="ML157" s="12"/>
      <c r="MM157" s="7"/>
      <c r="MN157" s="3"/>
      <c r="MO157" s="3"/>
      <c r="MP157" s="3"/>
      <c r="MQ157" s="3"/>
      <c r="MR157" s="2"/>
      <c r="NF157" s="3"/>
      <c r="NG157" s="3"/>
      <c r="NH157" s="3"/>
      <c r="NI157" s="3"/>
      <c r="NJ157" s="3"/>
      <c r="NK157" s="2"/>
    </row>
    <row r="158" spans="3:375" ht="5.0999999999999996" customHeight="1" x14ac:dyDescent="0.3">
      <c r="C158" s="11"/>
      <c r="D158" s="13"/>
      <c r="Q158" s="187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9"/>
      <c r="BF158" s="187"/>
      <c r="BG158" s="188"/>
      <c r="BH158" s="188"/>
      <c r="BI158" s="188"/>
      <c r="BJ158" s="189"/>
      <c r="DA158" s="16"/>
      <c r="EY158" s="16"/>
      <c r="GV158" s="16"/>
      <c r="HX158" s="222"/>
      <c r="HY158" s="223"/>
      <c r="HZ158" s="223"/>
      <c r="IA158" s="223"/>
      <c r="IB158" s="223"/>
      <c r="IC158" s="223"/>
      <c r="ID158" s="223"/>
      <c r="IE158" s="223"/>
      <c r="IF158" s="223"/>
      <c r="IG158" s="223"/>
      <c r="IH158" s="223"/>
      <c r="II158" s="223"/>
      <c r="IJ158" s="223"/>
      <c r="IK158" s="223"/>
      <c r="IL158" s="223"/>
      <c r="IM158" s="223"/>
      <c r="IN158" s="223"/>
      <c r="IO158" s="223"/>
      <c r="IP158" s="223"/>
      <c r="IQ158" s="223"/>
      <c r="IR158" s="223"/>
      <c r="IS158" s="223"/>
      <c r="IT158" s="223"/>
      <c r="IU158" s="223"/>
      <c r="IV158" s="223"/>
      <c r="IW158" s="223"/>
      <c r="IX158" s="223"/>
      <c r="IY158" s="223"/>
      <c r="IZ158" s="223"/>
      <c r="JA158" s="223"/>
      <c r="JB158" s="223"/>
      <c r="JC158" s="223"/>
      <c r="JD158" s="223"/>
      <c r="JE158" s="223"/>
      <c r="JF158" s="223"/>
      <c r="JG158" s="223"/>
      <c r="JH158" s="223"/>
      <c r="JI158" s="223"/>
      <c r="JJ158" s="223"/>
      <c r="JK158" s="224"/>
      <c r="JL158" s="190"/>
      <c r="JM158" s="191"/>
      <c r="JN158" s="191"/>
      <c r="JO158" s="191"/>
      <c r="JP158" s="191"/>
      <c r="JQ158" s="192"/>
      <c r="JR158" s="19"/>
      <c r="JW158" s="155"/>
      <c r="KC158" s="16"/>
      <c r="KE158" s="187"/>
      <c r="KF158" s="188"/>
      <c r="KG158" s="188"/>
      <c r="KH158" s="188"/>
      <c r="KI158" s="188"/>
      <c r="KJ158" s="188"/>
      <c r="KK158" s="188"/>
      <c r="KL158" s="188"/>
      <c r="KM158" s="188"/>
      <c r="KN158" s="188"/>
      <c r="KO158" s="188"/>
      <c r="KP158" s="188"/>
      <c r="KQ158" s="188"/>
      <c r="KR158" s="188"/>
      <c r="KS158" s="188"/>
      <c r="KT158" s="188"/>
      <c r="KU158" s="188"/>
      <c r="KV158" s="188"/>
      <c r="KW158" s="188"/>
      <c r="KX158" s="188"/>
      <c r="KY158" s="188"/>
      <c r="KZ158" s="188"/>
      <c r="LA158" s="188"/>
      <c r="LB158" s="188"/>
      <c r="LC158" s="188"/>
      <c r="LD158" s="188"/>
      <c r="LE158" s="188"/>
      <c r="LF158" s="188"/>
      <c r="LG158" s="188"/>
      <c r="LH158" s="188"/>
      <c r="LI158" s="188"/>
      <c r="LJ158" s="188"/>
      <c r="LK158" s="188"/>
      <c r="LL158" s="188"/>
      <c r="LM158" s="188"/>
      <c r="LN158" s="188"/>
      <c r="LO158" s="188"/>
      <c r="LP158" s="188"/>
      <c r="LQ158" s="188"/>
      <c r="LR158" s="188"/>
      <c r="LS158" s="189"/>
      <c r="LT158" s="187"/>
      <c r="LU158" s="188"/>
      <c r="LV158" s="188"/>
      <c r="LW158" s="188"/>
      <c r="LX158" s="189"/>
      <c r="ML158" s="12"/>
      <c r="MM158" s="7"/>
      <c r="MN158" s="3"/>
      <c r="MO158" s="3"/>
      <c r="MP158" s="3"/>
      <c r="MQ158" s="3"/>
      <c r="MR158" s="2"/>
      <c r="NF158" s="3"/>
      <c r="NG158" s="3"/>
      <c r="NH158" s="3"/>
      <c r="NI158" s="3"/>
      <c r="NJ158" s="3"/>
      <c r="NK158" s="2"/>
    </row>
    <row r="159" spans="3:375" ht="5.0999999999999996" customHeight="1" x14ac:dyDescent="0.3">
      <c r="C159" s="11"/>
      <c r="D159" s="13"/>
      <c r="Q159" s="187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9"/>
      <c r="BF159" s="187"/>
      <c r="BG159" s="188"/>
      <c r="BH159" s="188"/>
      <c r="BI159" s="188"/>
      <c r="BJ159" s="189"/>
      <c r="DA159" s="16"/>
      <c r="EY159" s="16"/>
      <c r="GV159" s="16"/>
      <c r="JR159" s="19"/>
      <c r="JW159" s="155"/>
      <c r="KC159" s="16"/>
      <c r="KE159" s="190"/>
      <c r="KF159" s="191"/>
      <c r="KG159" s="191"/>
      <c r="KH159" s="191"/>
      <c r="KI159" s="191"/>
      <c r="KJ159" s="191"/>
      <c r="KK159" s="191"/>
      <c r="KL159" s="191"/>
      <c r="KM159" s="191"/>
      <c r="KN159" s="191"/>
      <c r="KO159" s="191"/>
      <c r="KP159" s="191"/>
      <c r="KQ159" s="191"/>
      <c r="KR159" s="191"/>
      <c r="KS159" s="191"/>
      <c r="KT159" s="191"/>
      <c r="KU159" s="191"/>
      <c r="KV159" s="191"/>
      <c r="KW159" s="191"/>
      <c r="KX159" s="191"/>
      <c r="KY159" s="191"/>
      <c r="KZ159" s="191"/>
      <c r="LA159" s="191"/>
      <c r="LB159" s="191"/>
      <c r="LC159" s="191"/>
      <c r="LD159" s="191"/>
      <c r="LE159" s="191"/>
      <c r="LF159" s="191"/>
      <c r="LG159" s="191"/>
      <c r="LH159" s="191"/>
      <c r="LI159" s="191"/>
      <c r="LJ159" s="191"/>
      <c r="LK159" s="191"/>
      <c r="LL159" s="191"/>
      <c r="LM159" s="191"/>
      <c r="LN159" s="191"/>
      <c r="LO159" s="191"/>
      <c r="LP159" s="191"/>
      <c r="LQ159" s="191"/>
      <c r="LR159" s="191"/>
      <c r="LS159" s="192"/>
      <c r="LT159" s="190"/>
      <c r="LU159" s="191"/>
      <c r="LV159" s="191"/>
      <c r="LW159" s="191"/>
      <c r="LX159" s="192"/>
      <c r="ML159" s="12"/>
      <c r="MM159" s="7"/>
      <c r="MN159" s="3"/>
      <c r="MO159" s="3"/>
      <c r="MP159" s="3"/>
      <c r="MQ159" s="3"/>
      <c r="MR159" s="2"/>
      <c r="NF159" s="3"/>
      <c r="NG159" s="3"/>
      <c r="NH159" s="3"/>
      <c r="NI159" s="3"/>
      <c r="NJ159" s="3"/>
      <c r="NK159" s="2"/>
    </row>
    <row r="160" spans="3:375" ht="5.0999999999999996" customHeight="1" x14ac:dyDescent="0.3">
      <c r="C160" s="11"/>
      <c r="D160" s="13"/>
      <c r="Q160" s="190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2"/>
      <c r="BF160" s="190"/>
      <c r="BG160" s="191"/>
      <c r="BH160" s="191"/>
      <c r="BI160" s="191"/>
      <c r="BJ160" s="192"/>
      <c r="DA160" s="15"/>
      <c r="DB160" s="9"/>
      <c r="EY160" s="15"/>
      <c r="EZ160" s="9"/>
      <c r="GV160" s="15"/>
      <c r="JR160" s="19"/>
      <c r="JW160" s="155"/>
      <c r="KC160" s="16"/>
      <c r="KE160" s="184" t="s">
        <v>44</v>
      </c>
      <c r="KF160" s="185"/>
      <c r="KG160" s="185"/>
      <c r="KH160" s="185"/>
      <c r="KI160" s="185"/>
      <c r="KJ160" s="185"/>
      <c r="KK160" s="185"/>
      <c r="KL160" s="185"/>
      <c r="KM160" s="185"/>
      <c r="KN160" s="185"/>
      <c r="KO160" s="185"/>
      <c r="KP160" s="185"/>
      <c r="KQ160" s="185"/>
      <c r="KR160" s="185"/>
      <c r="KS160" s="185"/>
      <c r="KT160" s="185"/>
      <c r="KU160" s="185"/>
      <c r="KV160" s="185"/>
      <c r="KW160" s="185"/>
      <c r="KX160" s="185"/>
      <c r="KY160" s="185"/>
      <c r="KZ160" s="185"/>
      <c r="LA160" s="185"/>
      <c r="LB160" s="185"/>
      <c r="LC160" s="185"/>
      <c r="LD160" s="185"/>
      <c r="LE160" s="185"/>
      <c r="LF160" s="185"/>
      <c r="LG160" s="185"/>
      <c r="LH160" s="185"/>
      <c r="LI160" s="185"/>
      <c r="LJ160" s="185"/>
      <c r="LK160" s="185"/>
      <c r="LL160" s="185"/>
      <c r="LM160" s="185"/>
      <c r="LN160" s="185"/>
      <c r="LO160" s="185"/>
      <c r="LP160" s="185"/>
      <c r="LQ160" s="185"/>
      <c r="LR160" s="185"/>
      <c r="LS160" s="186"/>
      <c r="LT160" s="184">
        <v>1</v>
      </c>
      <c r="LU160" s="185"/>
      <c r="LV160" s="185"/>
      <c r="LW160" s="185"/>
      <c r="LX160" s="186"/>
      <c r="ML160" s="12"/>
      <c r="MM160" s="7"/>
      <c r="MN160" s="3"/>
      <c r="MO160" s="3"/>
      <c r="MP160" s="3"/>
      <c r="MQ160" s="3"/>
      <c r="MR160" s="2"/>
      <c r="NF160" s="3"/>
      <c r="NG160" s="3"/>
      <c r="NH160" s="3"/>
      <c r="NI160" s="3"/>
      <c r="NJ160" s="3"/>
      <c r="NK160" s="2"/>
    </row>
    <row r="161" spans="3:375" ht="5.0999999999999996" customHeight="1" x14ac:dyDescent="0.3">
      <c r="C161" s="11"/>
      <c r="D161" s="13"/>
      <c r="Q161" s="184" t="s">
        <v>44</v>
      </c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6"/>
      <c r="BF161" s="184">
        <v>2</v>
      </c>
      <c r="BG161" s="185"/>
      <c r="BH161" s="185"/>
      <c r="BI161" s="185"/>
      <c r="BJ161" s="186"/>
      <c r="CD161" s="184" t="s">
        <v>66</v>
      </c>
      <c r="CE161" s="185"/>
      <c r="CF161" s="185"/>
      <c r="CG161" s="185"/>
      <c r="CH161" s="185"/>
      <c r="CI161" s="185"/>
      <c r="CJ161" s="185"/>
      <c r="CK161" s="185"/>
      <c r="CL161" s="185"/>
      <c r="CM161" s="185"/>
      <c r="CN161" s="185"/>
      <c r="CO161" s="185"/>
      <c r="CP161" s="185"/>
      <c r="CQ161" s="185"/>
      <c r="CR161" s="185"/>
      <c r="CS161" s="185"/>
      <c r="CT161" s="185"/>
      <c r="CU161" s="185"/>
      <c r="CV161" s="185"/>
      <c r="CW161" s="185"/>
      <c r="CX161" s="185"/>
      <c r="CY161" s="185"/>
      <c r="CZ161" s="185"/>
      <c r="DA161" s="185"/>
      <c r="DB161" s="185"/>
      <c r="DC161" s="185"/>
      <c r="DD161" s="185"/>
      <c r="DE161" s="185"/>
      <c r="DF161" s="185"/>
      <c r="DG161" s="185"/>
      <c r="DH161" s="185"/>
      <c r="DI161" s="185"/>
      <c r="DJ161" s="185"/>
      <c r="DK161" s="185"/>
      <c r="DL161" s="185"/>
      <c r="DM161" s="185"/>
      <c r="DN161" s="185"/>
      <c r="DO161" s="185"/>
      <c r="DP161" s="185">
        <v>4</v>
      </c>
      <c r="DQ161" s="186"/>
      <c r="DR161" s="184">
        <v>1</v>
      </c>
      <c r="DS161" s="185"/>
      <c r="DT161" s="185"/>
      <c r="DU161" s="185"/>
      <c r="DV161" s="186"/>
      <c r="EB161" s="184" t="s">
        <v>51</v>
      </c>
      <c r="EC161" s="185"/>
      <c r="ED161" s="185"/>
      <c r="EE161" s="185"/>
      <c r="EF161" s="185"/>
      <c r="EG161" s="185"/>
      <c r="EH161" s="185"/>
      <c r="EI161" s="185"/>
      <c r="EJ161" s="185"/>
      <c r="EK161" s="185"/>
      <c r="EL161" s="185"/>
      <c r="EM161" s="185"/>
      <c r="EN161" s="185"/>
      <c r="EO161" s="185"/>
      <c r="EP161" s="185"/>
      <c r="EQ161" s="185"/>
      <c r="ER161" s="185"/>
      <c r="ES161" s="185"/>
      <c r="ET161" s="185"/>
      <c r="EU161" s="185"/>
      <c r="EV161" s="185"/>
      <c r="EW161" s="185"/>
      <c r="EX161" s="185"/>
      <c r="EY161" s="185"/>
      <c r="EZ161" s="185"/>
      <c r="FA161" s="185"/>
      <c r="FB161" s="185"/>
      <c r="FC161" s="185"/>
      <c r="FD161" s="185"/>
      <c r="FE161" s="185"/>
      <c r="FF161" s="185"/>
      <c r="FG161" s="185"/>
      <c r="FH161" s="185"/>
      <c r="FI161" s="185"/>
      <c r="FJ161" s="185"/>
      <c r="FK161" s="185"/>
      <c r="FL161" s="185"/>
      <c r="FM161" s="185"/>
      <c r="FN161" s="185">
        <v>1</v>
      </c>
      <c r="FO161" s="186"/>
      <c r="FP161" s="184">
        <v>1</v>
      </c>
      <c r="FQ161" s="185"/>
      <c r="FR161" s="185"/>
      <c r="FS161" s="185"/>
      <c r="FT161" s="186"/>
      <c r="FY161" s="184" t="s">
        <v>54</v>
      </c>
      <c r="FZ161" s="185"/>
      <c r="GA161" s="185"/>
      <c r="GB161" s="185"/>
      <c r="GC161" s="185"/>
      <c r="GD161" s="185"/>
      <c r="GE161" s="185"/>
      <c r="GF161" s="185"/>
      <c r="GG161" s="185"/>
      <c r="GH161" s="185"/>
      <c r="GI161" s="185"/>
      <c r="GJ161" s="185"/>
      <c r="GK161" s="185"/>
      <c r="GL161" s="185"/>
      <c r="GM161" s="185"/>
      <c r="GN161" s="185"/>
      <c r="GO161" s="185"/>
      <c r="GP161" s="185"/>
      <c r="GQ161" s="185"/>
      <c r="GR161" s="185"/>
      <c r="GS161" s="185"/>
      <c r="GT161" s="185"/>
      <c r="GU161" s="185"/>
      <c r="GV161" s="185"/>
      <c r="GW161" s="185"/>
      <c r="GX161" s="185"/>
      <c r="GY161" s="185"/>
      <c r="GZ161" s="185"/>
      <c r="HA161" s="185"/>
      <c r="HB161" s="185"/>
      <c r="HC161" s="185"/>
      <c r="HD161" s="185"/>
      <c r="HE161" s="185"/>
      <c r="HF161" s="185"/>
      <c r="HG161" s="185"/>
      <c r="HH161" s="185"/>
      <c r="HI161" s="185"/>
      <c r="HJ161" s="185"/>
      <c r="HK161" s="185"/>
      <c r="HL161" s="186"/>
      <c r="HM161" s="184">
        <v>1</v>
      </c>
      <c r="HN161" s="185"/>
      <c r="HO161" s="185"/>
      <c r="HP161" s="185"/>
      <c r="HQ161" s="186"/>
      <c r="HX161" s="195" t="s">
        <v>36</v>
      </c>
      <c r="HY161" s="196"/>
      <c r="HZ161" s="196"/>
      <c r="IA161" s="196"/>
      <c r="IB161" s="196"/>
      <c r="IC161" s="196"/>
      <c r="ID161" s="196"/>
      <c r="IE161" s="196"/>
      <c r="IF161" s="196"/>
      <c r="IG161" s="196"/>
      <c r="IH161" s="196"/>
      <c r="II161" s="196"/>
      <c r="IJ161" s="196"/>
      <c r="IK161" s="196"/>
      <c r="IL161" s="196"/>
      <c r="IM161" s="196"/>
      <c r="IN161" s="196"/>
      <c r="IO161" s="196"/>
      <c r="IP161" s="196"/>
      <c r="IQ161" s="196"/>
      <c r="IR161" s="196"/>
      <c r="IS161" s="196"/>
      <c r="IT161" s="196"/>
      <c r="IU161" s="196"/>
      <c r="IV161" s="196"/>
      <c r="IW161" s="196"/>
      <c r="IX161" s="196"/>
      <c r="IY161" s="196"/>
      <c r="IZ161" s="196"/>
      <c r="JA161" s="196"/>
      <c r="JB161" s="196"/>
      <c r="JC161" s="196"/>
      <c r="JD161" s="196"/>
      <c r="JE161" s="196"/>
      <c r="JF161" s="196"/>
      <c r="JG161" s="196"/>
      <c r="JH161" s="196"/>
      <c r="JI161" s="196"/>
      <c r="JJ161" s="196"/>
      <c r="JK161" s="196"/>
      <c r="JL161" s="204">
        <f>JL171</f>
        <v>1</v>
      </c>
      <c r="JM161" s="204"/>
      <c r="JN161" s="204"/>
      <c r="JO161" s="204"/>
      <c r="JP161" s="204"/>
      <c r="JQ161" s="204"/>
      <c r="JR161" s="19"/>
      <c r="JW161" s="155"/>
      <c r="KC161" s="16"/>
      <c r="KE161" s="187"/>
      <c r="KF161" s="188"/>
      <c r="KG161" s="188"/>
      <c r="KH161" s="188"/>
      <c r="KI161" s="188"/>
      <c r="KJ161" s="188"/>
      <c r="KK161" s="188"/>
      <c r="KL161" s="188"/>
      <c r="KM161" s="188"/>
      <c r="KN161" s="188"/>
      <c r="KO161" s="188"/>
      <c r="KP161" s="188"/>
      <c r="KQ161" s="188"/>
      <c r="KR161" s="188"/>
      <c r="KS161" s="188"/>
      <c r="KT161" s="188"/>
      <c r="KU161" s="188"/>
      <c r="KV161" s="188"/>
      <c r="KW161" s="188"/>
      <c r="KX161" s="188"/>
      <c r="KY161" s="188"/>
      <c r="KZ161" s="188"/>
      <c r="LA161" s="188"/>
      <c r="LB161" s="188"/>
      <c r="LC161" s="188"/>
      <c r="LD161" s="188"/>
      <c r="LE161" s="188"/>
      <c r="LF161" s="188"/>
      <c r="LG161" s="188"/>
      <c r="LH161" s="188"/>
      <c r="LI161" s="188"/>
      <c r="LJ161" s="188"/>
      <c r="LK161" s="188"/>
      <c r="LL161" s="188"/>
      <c r="LM161" s="188"/>
      <c r="LN161" s="188"/>
      <c r="LO161" s="188"/>
      <c r="LP161" s="188"/>
      <c r="LQ161" s="188"/>
      <c r="LR161" s="188"/>
      <c r="LS161" s="189"/>
      <c r="LT161" s="187"/>
      <c r="LU161" s="188"/>
      <c r="LV161" s="188"/>
      <c r="LW161" s="188"/>
      <c r="LX161" s="189"/>
      <c r="ML161" s="12"/>
      <c r="MM161" s="7"/>
      <c r="MN161" s="3"/>
      <c r="MO161" s="3"/>
      <c r="MP161" s="3"/>
      <c r="MQ161" s="3"/>
      <c r="MR161" s="2"/>
      <c r="NF161" s="3"/>
      <c r="NG161" s="3"/>
      <c r="NH161" s="3"/>
      <c r="NI161" s="3"/>
      <c r="NJ161" s="3"/>
      <c r="NK161" s="2"/>
    </row>
    <row r="162" spans="3:375" ht="5.0999999999999996" customHeight="1" x14ac:dyDescent="0.3">
      <c r="C162" s="11"/>
      <c r="D162" s="13"/>
      <c r="Q162" s="187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E162" s="189"/>
      <c r="BF162" s="187"/>
      <c r="BG162" s="188"/>
      <c r="BH162" s="188"/>
      <c r="BI162" s="188"/>
      <c r="BJ162" s="189"/>
      <c r="CD162" s="187"/>
      <c r="CE162" s="188"/>
      <c r="CF162" s="188"/>
      <c r="CG162" s="188"/>
      <c r="CH162" s="188"/>
      <c r="CI162" s="188"/>
      <c r="CJ162" s="188"/>
      <c r="CK162" s="188"/>
      <c r="CL162" s="188"/>
      <c r="CM162" s="188"/>
      <c r="CN162" s="188"/>
      <c r="CO162" s="188"/>
      <c r="CP162" s="188"/>
      <c r="CQ162" s="188"/>
      <c r="CR162" s="188"/>
      <c r="CS162" s="188"/>
      <c r="CT162" s="188"/>
      <c r="CU162" s="188"/>
      <c r="CV162" s="188"/>
      <c r="CW162" s="188"/>
      <c r="CX162" s="188"/>
      <c r="CY162" s="188"/>
      <c r="CZ162" s="188"/>
      <c r="DA162" s="188"/>
      <c r="DB162" s="188"/>
      <c r="DC162" s="188"/>
      <c r="DD162" s="188"/>
      <c r="DE162" s="188"/>
      <c r="DF162" s="188"/>
      <c r="DG162" s="188"/>
      <c r="DH162" s="188"/>
      <c r="DI162" s="188"/>
      <c r="DJ162" s="188"/>
      <c r="DK162" s="188"/>
      <c r="DL162" s="188"/>
      <c r="DM162" s="188"/>
      <c r="DN162" s="188"/>
      <c r="DO162" s="188"/>
      <c r="DP162" s="188"/>
      <c r="DQ162" s="189"/>
      <c r="DR162" s="187"/>
      <c r="DS162" s="188"/>
      <c r="DT162" s="188"/>
      <c r="DU162" s="188"/>
      <c r="DV162" s="189"/>
      <c r="EB162" s="187"/>
      <c r="EC162" s="188"/>
      <c r="ED162" s="188"/>
      <c r="EE162" s="188"/>
      <c r="EF162" s="188"/>
      <c r="EG162" s="188"/>
      <c r="EH162" s="188"/>
      <c r="EI162" s="188"/>
      <c r="EJ162" s="188"/>
      <c r="EK162" s="188"/>
      <c r="EL162" s="188"/>
      <c r="EM162" s="188"/>
      <c r="EN162" s="188"/>
      <c r="EO162" s="188"/>
      <c r="EP162" s="188"/>
      <c r="EQ162" s="188"/>
      <c r="ER162" s="188"/>
      <c r="ES162" s="188"/>
      <c r="ET162" s="188"/>
      <c r="EU162" s="188"/>
      <c r="EV162" s="188"/>
      <c r="EW162" s="188"/>
      <c r="EX162" s="188"/>
      <c r="EY162" s="188"/>
      <c r="EZ162" s="188"/>
      <c r="FA162" s="188"/>
      <c r="FB162" s="188"/>
      <c r="FC162" s="188"/>
      <c r="FD162" s="188"/>
      <c r="FE162" s="188"/>
      <c r="FF162" s="188"/>
      <c r="FG162" s="188"/>
      <c r="FH162" s="188"/>
      <c r="FI162" s="188"/>
      <c r="FJ162" s="188"/>
      <c r="FK162" s="188"/>
      <c r="FL162" s="188"/>
      <c r="FM162" s="188"/>
      <c r="FN162" s="188"/>
      <c r="FO162" s="189"/>
      <c r="FP162" s="187"/>
      <c r="FQ162" s="188"/>
      <c r="FR162" s="188"/>
      <c r="FS162" s="188"/>
      <c r="FT162" s="189"/>
      <c r="FY162" s="187"/>
      <c r="FZ162" s="188"/>
      <c r="GA162" s="188"/>
      <c r="GB162" s="188"/>
      <c r="GC162" s="188"/>
      <c r="GD162" s="188"/>
      <c r="GE162" s="188"/>
      <c r="GF162" s="188"/>
      <c r="GG162" s="188"/>
      <c r="GH162" s="188"/>
      <c r="GI162" s="188"/>
      <c r="GJ162" s="188"/>
      <c r="GK162" s="188"/>
      <c r="GL162" s="188"/>
      <c r="GM162" s="188"/>
      <c r="GN162" s="188"/>
      <c r="GO162" s="188"/>
      <c r="GP162" s="188"/>
      <c r="GQ162" s="188"/>
      <c r="GR162" s="188"/>
      <c r="GS162" s="188"/>
      <c r="GT162" s="188"/>
      <c r="GU162" s="188"/>
      <c r="GV162" s="188"/>
      <c r="GW162" s="188"/>
      <c r="GX162" s="188"/>
      <c r="GY162" s="188"/>
      <c r="GZ162" s="188"/>
      <c r="HA162" s="188"/>
      <c r="HB162" s="188"/>
      <c r="HC162" s="188"/>
      <c r="HD162" s="188"/>
      <c r="HE162" s="188"/>
      <c r="HF162" s="188"/>
      <c r="HG162" s="188"/>
      <c r="HH162" s="188"/>
      <c r="HI162" s="188"/>
      <c r="HJ162" s="188"/>
      <c r="HK162" s="188"/>
      <c r="HL162" s="189"/>
      <c r="HM162" s="187"/>
      <c r="HN162" s="188"/>
      <c r="HO162" s="188"/>
      <c r="HP162" s="188"/>
      <c r="HQ162" s="189"/>
      <c r="HX162" s="198"/>
      <c r="HY162" s="199"/>
      <c r="HZ162" s="199"/>
      <c r="IA162" s="199"/>
      <c r="IB162" s="199"/>
      <c r="IC162" s="199"/>
      <c r="ID162" s="199"/>
      <c r="IE162" s="199"/>
      <c r="IF162" s="199"/>
      <c r="IG162" s="199"/>
      <c r="IH162" s="199"/>
      <c r="II162" s="199"/>
      <c r="IJ162" s="199"/>
      <c r="IK162" s="199"/>
      <c r="IL162" s="199"/>
      <c r="IM162" s="199"/>
      <c r="IN162" s="199"/>
      <c r="IO162" s="199"/>
      <c r="IP162" s="199"/>
      <c r="IQ162" s="199"/>
      <c r="IR162" s="199"/>
      <c r="IS162" s="199"/>
      <c r="IT162" s="199"/>
      <c r="IU162" s="199"/>
      <c r="IV162" s="199"/>
      <c r="IW162" s="199"/>
      <c r="IX162" s="199"/>
      <c r="IY162" s="199"/>
      <c r="IZ162" s="199"/>
      <c r="JA162" s="199"/>
      <c r="JB162" s="199"/>
      <c r="JC162" s="199"/>
      <c r="JD162" s="199"/>
      <c r="JE162" s="199"/>
      <c r="JF162" s="199"/>
      <c r="JG162" s="199"/>
      <c r="JH162" s="199"/>
      <c r="JI162" s="199"/>
      <c r="JJ162" s="199"/>
      <c r="JK162" s="199"/>
      <c r="JL162" s="204"/>
      <c r="JM162" s="204"/>
      <c r="JN162" s="204"/>
      <c r="JO162" s="204"/>
      <c r="JP162" s="204"/>
      <c r="JQ162" s="204"/>
      <c r="JR162" s="19"/>
      <c r="JW162" s="155"/>
      <c r="KC162" s="16"/>
      <c r="KE162" s="187"/>
      <c r="KF162" s="188"/>
      <c r="KG162" s="188"/>
      <c r="KH162" s="188"/>
      <c r="KI162" s="188"/>
      <c r="KJ162" s="188"/>
      <c r="KK162" s="188"/>
      <c r="KL162" s="188"/>
      <c r="KM162" s="188"/>
      <c r="KN162" s="188"/>
      <c r="KO162" s="188"/>
      <c r="KP162" s="188"/>
      <c r="KQ162" s="188"/>
      <c r="KR162" s="188"/>
      <c r="KS162" s="188"/>
      <c r="KT162" s="188"/>
      <c r="KU162" s="188"/>
      <c r="KV162" s="188"/>
      <c r="KW162" s="188"/>
      <c r="KX162" s="188"/>
      <c r="KY162" s="188"/>
      <c r="KZ162" s="188"/>
      <c r="LA162" s="188"/>
      <c r="LB162" s="188"/>
      <c r="LC162" s="188"/>
      <c r="LD162" s="188"/>
      <c r="LE162" s="188"/>
      <c r="LF162" s="188"/>
      <c r="LG162" s="188"/>
      <c r="LH162" s="188"/>
      <c r="LI162" s="188"/>
      <c r="LJ162" s="188"/>
      <c r="LK162" s="188"/>
      <c r="LL162" s="188"/>
      <c r="LM162" s="188"/>
      <c r="LN162" s="188"/>
      <c r="LO162" s="188"/>
      <c r="LP162" s="188"/>
      <c r="LQ162" s="188"/>
      <c r="LR162" s="188"/>
      <c r="LS162" s="189"/>
      <c r="LT162" s="187"/>
      <c r="LU162" s="188"/>
      <c r="LV162" s="188"/>
      <c r="LW162" s="188"/>
      <c r="LX162" s="189"/>
      <c r="ML162" s="12"/>
      <c r="MM162" s="7"/>
      <c r="MN162" s="3"/>
      <c r="MO162" s="3"/>
      <c r="MP162" s="3"/>
      <c r="MQ162" s="3"/>
      <c r="MR162" s="2"/>
      <c r="NF162" s="3"/>
      <c r="NG162" s="3"/>
      <c r="NH162" s="3"/>
      <c r="NI162" s="3"/>
      <c r="NJ162" s="3"/>
      <c r="NK162" s="2"/>
    </row>
    <row r="163" spans="3:375" ht="5.0999999999999996" customHeight="1" x14ac:dyDescent="0.3">
      <c r="C163" s="11"/>
      <c r="D163" s="13"/>
      <c r="Q163" s="187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  <c r="BD163" s="188"/>
      <c r="BE163" s="189"/>
      <c r="BF163" s="187"/>
      <c r="BG163" s="188"/>
      <c r="BH163" s="188"/>
      <c r="BI163" s="188"/>
      <c r="BJ163" s="189"/>
      <c r="CD163" s="187"/>
      <c r="CE163" s="188"/>
      <c r="CF163" s="188"/>
      <c r="CG163" s="188"/>
      <c r="CH163" s="188"/>
      <c r="CI163" s="188"/>
      <c r="CJ163" s="188"/>
      <c r="CK163" s="188"/>
      <c r="CL163" s="188"/>
      <c r="CM163" s="188"/>
      <c r="CN163" s="188"/>
      <c r="CO163" s="188"/>
      <c r="CP163" s="188"/>
      <c r="CQ163" s="188"/>
      <c r="CR163" s="188"/>
      <c r="CS163" s="188"/>
      <c r="CT163" s="188"/>
      <c r="CU163" s="188"/>
      <c r="CV163" s="188"/>
      <c r="CW163" s="188"/>
      <c r="CX163" s="188"/>
      <c r="CY163" s="188"/>
      <c r="CZ163" s="188"/>
      <c r="DA163" s="188"/>
      <c r="DB163" s="188"/>
      <c r="DC163" s="188"/>
      <c r="DD163" s="188"/>
      <c r="DE163" s="188"/>
      <c r="DF163" s="188"/>
      <c r="DG163" s="188"/>
      <c r="DH163" s="188"/>
      <c r="DI163" s="188"/>
      <c r="DJ163" s="188"/>
      <c r="DK163" s="188"/>
      <c r="DL163" s="188"/>
      <c r="DM163" s="188"/>
      <c r="DN163" s="188"/>
      <c r="DO163" s="188"/>
      <c r="DP163" s="188"/>
      <c r="DQ163" s="189"/>
      <c r="DR163" s="187"/>
      <c r="DS163" s="188"/>
      <c r="DT163" s="188"/>
      <c r="DU163" s="188"/>
      <c r="DV163" s="189"/>
      <c r="EB163" s="187"/>
      <c r="EC163" s="188"/>
      <c r="ED163" s="188"/>
      <c r="EE163" s="188"/>
      <c r="EF163" s="188"/>
      <c r="EG163" s="188"/>
      <c r="EH163" s="188"/>
      <c r="EI163" s="188"/>
      <c r="EJ163" s="188"/>
      <c r="EK163" s="188"/>
      <c r="EL163" s="188"/>
      <c r="EM163" s="188"/>
      <c r="EN163" s="188"/>
      <c r="EO163" s="188"/>
      <c r="EP163" s="188"/>
      <c r="EQ163" s="188"/>
      <c r="ER163" s="188"/>
      <c r="ES163" s="188"/>
      <c r="ET163" s="188"/>
      <c r="EU163" s="188"/>
      <c r="EV163" s="188"/>
      <c r="EW163" s="188"/>
      <c r="EX163" s="188"/>
      <c r="EY163" s="188"/>
      <c r="EZ163" s="188"/>
      <c r="FA163" s="188"/>
      <c r="FB163" s="188"/>
      <c r="FC163" s="188"/>
      <c r="FD163" s="188"/>
      <c r="FE163" s="188"/>
      <c r="FF163" s="188"/>
      <c r="FG163" s="188"/>
      <c r="FH163" s="188"/>
      <c r="FI163" s="188"/>
      <c r="FJ163" s="188"/>
      <c r="FK163" s="188"/>
      <c r="FL163" s="188"/>
      <c r="FM163" s="188"/>
      <c r="FN163" s="188"/>
      <c r="FO163" s="189"/>
      <c r="FP163" s="187"/>
      <c r="FQ163" s="188"/>
      <c r="FR163" s="188"/>
      <c r="FS163" s="188"/>
      <c r="FT163" s="189"/>
      <c r="FY163" s="187"/>
      <c r="FZ163" s="188"/>
      <c r="GA163" s="188"/>
      <c r="GB163" s="188"/>
      <c r="GC163" s="188"/>
      <c r="GD163" s="188"/>
      <c r="GE163" s="188"/>
      <c r="GF163" s="188"/>
      <c r="GG163" s="188"/>
      <c r="GH163" s="188"/>
      <c r="GI163" s="188"/>
      <c r="GJ163" s="188"/>
      <c r="GK163" s="188"/>
      <c r="GL163" s="188"/>
      <c r="GM163" s="188"/>
      <c r="GN163" s="188"/>
      <c r="GO163" s="188"/>
      <c r="GP163" s="188"/>
      <c r="GQ163" s="188"/>
      <c r="GR163" s="188"/>
      <c r="GS163" s="188"/>
      <c r="GT163" s="188"/>
      <c r="GU163" s="188"/>
      <c r="GV163" s="188"/>
      <c r="GW163" s="188"/>
      <c r="GX163" s="188"/>
      <c r="GY163" s="188"/>
      <c r="GZ163" s="188"/>
      <c r="HA163" s="188"/>
      <c r="HB163" s="188"/>
      <c r="HC163" s="188"/>
      <c r="HD163" s="188"/>
      <c r="HE163" s="188"/>
      <c r="HF163" s="188"/>
      <c r="HG163" s="188"/>
      <c r="HH163" s="188"/>
      <c r="HI163" s="188"/>
      <c r="HJ163" s="188"/>
      <c r="HK163" s="188"/>
      <c r="HL163" s="189"/>
      <c r="HM163" s="187"/>
      <c r="HN163" s="188"/>
      <c r="HO163" s="188"/>
      <c r="HP163" s="188"/>
      <c r="HQ163" s="189"/>
      <c r="HX163" s="198"/>
      <c r="HY163" s="199"/>
      <c r="HZ163" s="199"/>
      <c r="IA163" s="199"/>
      <c r="IB163" s="199"/>
      <c r="IC163" s="199"/>
      <c r="ID163" s="199"/>
      <c r="IE163" s="199"/>
      <c r="IF163" s="199"/>
      <c r="IG163" s="199"/>
      <c r="IH163" s="199"/>
      <c r="II163" s="199"/>
      <c r="IJ163" s="199"/>
      <c r="IK163" s="199"/>
      <c r="IL163" s="199"/>
      <c r="IM163" s="199"/>
      <c r="IN163" s="199"/>
      <c r="IO163" s="199"/>
      <c r="IP163" s="199"/>
      <c r="IQ163" s="199"/>
      <c r="IR163" s="199"/>
      <c r="IS163" s="199"/>
      <c r="IT163" s="199"/>
      <c r="IU163" s="199"/>
      <c r="IV163" s="199"/>
      <c r="IW163" s="199"/>
      <c r="IX163" s="199"/>
      <c r="IY163" s="199"/>
      <c r="IZ163" s="199"/>
      <c r="JA163" s="199"/>
      <c r="JB163" s="199"/>
      <c r="JC163" s="199"/>
      <c r="JD163" s="199"/>
      <c r="JE163" s="199"/>
      <c r="JF163" s="199"/>
      <c r="JG163" s="199"/>
      <c r="JH163" s="199"/>
      <c r="JI163" s="199"/>
      <c r="JJ163" s="199"/>
      <c r="JK163" s="199"/>
      <c r="JL163" s="204"/>
      <c r="JM163" s="204"/>
      <c r="JN163" s="204"/>
      <c r="JO163" s="204"/>
      <c r="JP163" s="204"/>
      <c r="JQ163" s="204"/>
      <c r="JR163" s="19"/>
      <c r="JW163" s="155"/>
      <c r="KC163" s="16"/>
      <c r="KE163" s="187"/>
      <c r="KF163" s="188"/>
      <c r="KG163" s="188"/>
      <c r="KH163" s="188"/>
      <c r="KI163" s="188"/>
      <c r="KJ163" s="188"/>
      <c r="KK163" s="188"/>
      <c r="KL163" s="188"/>
      <c r="KM163" s="188"/>
      <c r="KN163" s="188"/>
      <c r="KO163" s="188"/>
      <c r="KP163" s="188"/>
      <c r="KQ163" s="188"/>
      <c r="KR163" s="188"/>
      <c r="KS163" s="188"/>
      <c r="KT163" s="188"/>
      <c r="KU163" s="188"/>
      <c r="KV163" s="188"/>
      <c r="KW163" s="188"/>
      <c r="KX163" s="188"/>
      <c r="KY163" s="188"/>
      <c r="KZ163" s="188"/>
      <c r="LA163" s="188"/>
      <c r="LB163" s="188"/>
      <c r="LC163" s="188"/>
      <c r="LD163" s="188"/>
      <c r="LE163" s="188"/>
      <c r="LF163" s="188"/>
      <c r="LG163" s="188"/>
      <c r="LH163" s="188"/>
      <c r="LI163" s="188"/>
      <c r="LJ163" s="188"/>
      <c r="LK163" s="188"/>
      <c r="LL163" s="188"/>
      <c r="LM163" s="188"/>
      <c r="LN163" s="188"/>
      <c r="LO163" s="188"/>
      <c r="LP163" s="188"/>
      <c r="LQ163" s="188"/>
      <c r="LR163" s="188"/>
      <c r="LS163" s="189"/>
      <c r="LT163" s="187"/>
      <c r="LU163" s="188"/>
      <c r="LV163" s="188"/>
      <c r="LW163" s="188"/>
      <c r="LX163" s="189"/>
      <c r="ML163" s="12"/>
      <c r="MM163" s="7"/>
      <c r="MN163" s="3"/>
      <c r="MO163" s="3"/>
      <c r="MP163" s="3"/>
      <c r="MQ163" s="3"/>
      <c r="MR163" s="2"/>
      <c r="NF163" s="3"/>
      <c r="NG163" s="3"/>
      <c r="NH163" s="3"/>
      <c r="NI163" s="3"/>
      <c r="NJ163" s="3"/>
      <c r="NK163" s="2"/>
    </row>
    <row r="164" spans="3:375" ht="5.0999999999999996" customHeight="1" x14ac:dyDescent="0.3">
      <c r="C164" s="11"/>
      <c r="D164" s="13"/>
      <c r="Q164" s="187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  <c r="BD164" s="188"/>
      <c r="BE164" s="189"/>
      <c r="BF164" s="187"/>
      <c r="BG164" s="188"/>
      <c r="BH164" s="188"/>
      <c r="BI164" s="188"/>
      <c r="BJ164" s="189"/>
      <c r="CD164" s="187"/>
      <c r="CE164" s="188"/>
      <c r="CF164" s="188"/>
      <c r="CG164" s="188"/>
      <c r="CH164" s="188"/>
      <c r="CI164" s="188"/>
      <c r="CJ164" s="188"/>
      <c r="CK164" s="188"/>
      <c r="CL164" s="188"/>
      <c r="CM164" s="188"/>
      <c r="CN164" s="188"/>
      <c r="CO164" s="188"/>
      <c r="CP164" s="188"/>
      <c r="CQ164" s="188"/>
      <c r="CR164" s="188"/>
      <c r="CS164" s="188"/>
      <c r="CT164" s="188"/>
      <c r="CU164" s="188"/>
      <c r="CV164" s="188"/>
      <c r="CW164" s="188"/>
      <c r="CX164" s="188"/>
      <c r="CY164" s="188"/>
      <c r="CZ164" s="188"/>
      <c r="DA164" s="188"/>
      <c r="DB164" s="188"/>
      <c r="DC164" s="188"/>
      <c r="DD164" s="188"/>
      <c r="DE164" s="188"/>
      <c r="DF164" s="188"/>
      <c r="DG164" s="188"/>
      <c r="DH164" s="188"/>
      <c r="DI164" s="188"/>
      <c r="DJ164" s="188"/>
      <c r="DK164" s="188"/>
      <c r="DL164" s="188"/>
      <c r="DM164" s="188"/>
      <c r="DN164" s="188"/>
      <c r="DO164" s="188"/>
      <c r="DP164" s="188"/>
      <c r="DQ164" s="189"/>
      <c r="DR164" s="187"/>
      <c r="DS164" s="188"/>
      <c r="DT164" s="188"/>
      <c r="DU164" s="188"/>
      <c r="DV164" s="189"/>
      <c r="EB164" s="187"/>
      <c r="EC164" s="188"/>
      <c r="ED164" s="188"/>
      <c r="EE164" s="188"/>
      <c r="EF164" s="188"/>
      <c r="EG164" s="188"/>
      <c r="EH164" s="188"/>
      <c r="EI164" s="188"/>
      <c r="EJ164" s="188"/>
      <c r="EK164" s="188"/>
      <c r="EL164" s="188"/>
      <c r="EM164" s="188"/>
      <c r="EN164" s="188"/>
      <c r="EO164" s="188"/>
      <c r="EP164" s="188"/>
      <c r="EQ164" s="188"/>
      <c r="ER164" s="188"/>
      <c r="ES164" s="188"/>
      <c r="ET164" s="188"/>
      <c r="EU164" s="188"/>
      <c r="EV164" s="188"/>
      <c r="EW164" s="188"/>
      <c r="EX164" s="188"/>
      <c r="EY164" s="188"/>
      <c r="EZ164" s="188"/>
      <c r="FA164" s="188"/>
      <c r="FB164" s="188"/>
      <c r="FC164" s="188"/>
      <c r="FD164" s="188"/>
      <c r="FE164" s="188"/>
      <c r="FF164" s="188"/>
      <c r="FG164" s="188"/>
      <c r="FH164" s="188"/>
      <c r="FI164" s="188"/>
      <c r="FJ164" s="188"/>
      <c r="FK164" s="188"/>
      <c r="FL164" s="188"/>
      <c r="FM164" s="188"/>
      <c r="FN164" s="188"/>
      <c r="FO164" s="189"/>
      <c r="FP164" s="187"/>
      <c r="FQ164" s="188"/>
      <c r="FR164" s="188"/>
      <c r="FS164" s="188"/>
      <c r="FT164" s="189"/>
      <c r="FY164" s="187"/>
      <c r="FZ164" s="188"/>
      <c r="GA164" s="188"/>
      <c r="GB164" s="188"/>
      <c r="GC164" s="188"/>
      <c r="GD164" s="188"/>
      <c r="GE164" s="188"/>
      <c r="GF164" s="188"/>
      <c r="GG164" s="188"/>
      <c r="GH164" s="188"/>
      <c r="GI164" s="188"/>
      <c r="GJ164" s="188"/>
      <c r="GK164" s="188"/>
      <c r="GL164" s="188"/>
      <c r="GM164" s="188"/>
      <c r="GN164" s="188"/>
      <c r="GO164" s="188"/>
      <c r="GP164" s="188"/>
      <c r="GQ164" s="188"/>
      <c r="GR164" s="188"/>
      <c r="GS164" s="188"/>
      <c r="GT164" s="188"/>
      <c r="GU164" s="188"/>
      <c r="GV164" s="188"/>
      <c r="GW164" s="188"/>
      <c r="GX164" s="188"/>
      <c r="GY164" s="188"/>
      <c r="GZ164" s="188"/>
      <c r="HA164" s="188"/>
      <c r="HB164" s="188"/>
      <c r="HC164" s="188"/>
      <c r="HD164" s="188"/>
      <c r="HE164" s="188"/>
      <c r="HF164" s="188"/>
      <c r="HG164" s="188"/>
      <c r="HH164" s="188"/>
      <c r="HI164" s="188"/>
      <c r="HJ164" s="188"/>
      <c r="HK164" s="188"/>
      <c r="HL164" s="189"/>
      <c r="HM164" s="187"/>
      <c r="HN164" s="188"/>
      <c r="HO164" s="188"/>
      <c r="HP164" s="188"/>
      <c r="HQ164" s="189"/>
      <c r="HX164" s="198"/>
      <c r="HY164" s="199"/>
      <c r="HZ164" s="199"/>
      <c r="IA164" s="199"/>
      <c r="IB164" s="199"/>
      <c r="IC164" s="199"/>
      <c r="ID164" s="199"/>
      <c r="IE164" s="199"/>
      <c r="IF164" s="199"/>
      <c r="IG164" s="199"/>
      <c r="IH164" s="199"/>
      <c r="II164" s="199"/>
      <c r="IJ164" s="199"/>
      <c r="IK164" s="199"/>
      <c r="IL164" s="199"/>
      <c r="IM164" s="199"/>
      <c r="IN164" s="199"/>
      <c r="IO164" s="199"/>
      <c r="IP164" s="199"/>
      <c r="IQ164" s="199"/>
      <c r="IR164" s="199"/>
      <c r="IS164" s="199"/>
      <c r="IT164" s="199"/>
      <c r="IU164" s="199"/>
      <c r="IV164" s="199"/>
      <c r="IW164" s="199"/>
      <c r="IX164" s="199"/>
      <c r="IY164" s="199"/>
      <c r="IZ164" s="199"/>
      <c r="JA164" s="199"/>
      <c r="JB164" s="199"/>
      <c r="JC164" s="199"/>
      <c r="JD164" s="199"/>
      <c r="JE164" s="199"/>
      <c r="JF164" s="199"/>
      <c r="JG164" s="199"/>
      <c r="JH164" s="199"/>
      <c r="JI164" s="199"/>
      <c r="JJ164" s="199"/>
      <c r="JK164" s="199"/>
      <c r="JL164" s="204"/>
      <c r="JM164" s="204"/>
      <c r="JN164" s="204"/>
      <c r="JO164" s="204"/>
      <c r="JP164" s="204"/>
      <c r="JQ164" s="204"/>
      <c r="JR164" s="19"/>
      <c r="JW164" s="155"/>
      <c r="KC164" s="16"/>
      <c r="KE164" s="187"/>
      <c r="KF164" s="188"/>
      <c r="KG164" s="188"/>
      <c r="KH164" s="188"/>
      <c r="KI164" s="188"/>
      <c r="KJ164" s="188"/>
      <c r="KK164" s="188"/>
      <c r="KL164" s="188"/>
      <c r="KM164" s="188"/>
      <c r="KN164" s="188"/>
      <c r="KO164" s="188"/>
      <c r="KP164" s="188"/>
      <c r="KQ164" s="188"/>
      <c r="KR164" s="188"/>
      <c r="KS164" s="188"/>
      <c r="KT164" s="188"/>
      <c r="KU164" s="188"/>
      <c r="KV164" s="188"/>
      <c r="KW164" s="188"/>
      <c r="KX164" s="188"/>
      <c r="KY164" s="188"/>
      <c r="KZ164" s="188"/>
      <c r="LA164" s="188"/>
      <c r="LB164" s="188"/>
      <c r="LC164" s="188"/>
      <c r="LD164" s="188"/>
      <c r="LE164" s="188"/>
      <c r="LF164" s="188"/>
      <c r="LG164" s="188"/>
      <c r="LH164" s="188"/>
      <c r="LI164" s="188"/>
      <c r="LJ164" s="188"/>
      <c r="LK164" s="188"/>
      <c r="LL164" s="188"/>
      <c r="LM164" s="188"/>
      <c r="LN164" s="188"/>
      <c r="LO164" s="188"/>
      <c r="LP164" s="188"/>
      <c r="LQ164" s="188"/>
      <c r="LR164" s="188"/>
      <c r="LS164" s="189"/>
      <c r="LT164" s="187"/>
      <c r="LU164" s="188"/>
      <c r="LV164" s="188"/>
      <c r="LW164" s="188"/>
      <c r="LX164" s="189"/>
      <c r="ML164" s="12"/>
      <c r="MM164" s="7"/>
      <c r="MN164" s="3"/>
      <c r="MO164" s="3"/>
      <c r="MP164" s="3"/>
      <c r="MQ164" s="3"/>
      <c r="MR164" s="2"/>
      <c r="NF164" s="3"/>
      <c r="NG164" s="3"/>
      <c r="NH164" s="3"/>
      <c r="NI164" s="3"/>
      <c r="NJ164" s="3"/>
      <c r="NK164" s="2"/>
    </row>
    <row r="165" spans="3:375" ht="5.0999999999999996" customHeight="1" x14ac:dyDescent="0.3">
      <c r="C165" s="11"/>
      <c r="D165" s="13"/>
      <c r="Q165" s="187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  <c r="BD165" s="188"/>
      <c r="BE165" s="189"/>
      <c r="BF165" s="187"/>
      <c r="BG165" s="188"/>
      <c r="BH165" s="188"/>
      <c r="BI165" s="188"/>
      <c r="BJ165" s="189"/>
      <c r="CD165" s="187"/>
      <c r="CE165" s="188"/>
      <c r="CF165" s="188"/>
      <c r="CG165" s="188"/>
      <c r="CH165" s="188"/>
      <c r="CI165" s="188"/>
      <c r="CJ165" s="188"/>
      <c r="CK165" s="188"/>
      <c r="CL165" s="188"/>
      <c r="CM165" s="188"/>
      <c r="CN165" s="188"/>
      <c r="CO165" s="188"/>
      <c r="CP165" s="188"/>
      <c r="CQ165" s="188"/>
      <c r="CR165" s="188"/>
      <c r="CS165" s="188"/>
      <c r="CT165" s="188"/>
      <c r="CU165" s="188"/>
      <c r="CV165" s="188"/>
      <c r="CW165" s="188"/>
      <c r="CX165" s="188"/>
      <c r="CY165" s="188"/>
      <c r="CZ165" s="188"/>
      <c r="DA165" s="188"/>
      <c r="DB165" s="188"/>
      <c r="DC165" s="188"/>
      <c r="DD165" s="188"/>
      <c r="DE165" s="188"/>
      <c r="DF165" s="188"/>
      <c r="DG165" s="188"/>
      <c r="DH165" s="188"/>
      <c r="DI165" s="188"/>
      <c r="DJ165" s="188"/>
      <c r="DK165" s="188"/>
      <c r="DL165" s="188"/>
      <c r="DM165" s="188"/>
      <c r="DN165" s="188"/>
      <c r="DO165" s="188"/>
      <c r="DP165" s="188"/>
      <c r="DQ165" s="189"/>
      <c r="DR165" s="187"/>
      <c r="DS165" s="188"/>
      <c r="DT165" s="188"/>
      <c r="DU165" s="188"/>
      <c r="DV165" s="189"/>
      <c r="EB165" s="187"/>
      <c r="EC165" s="188"/>
      <c r="ED165" s="188"/>
      <c r="EE165" s="188"/>
      <c r="EF165" s="188"/>
      <c r="EG165" s="188"/>
      <c r="EH165" s="188"/>
      <c r="EI165" s="188"/>
      <c r="EJ165" s="188"/>
      <c r="EK165" s="188"/>
      <c r="EL165" s="188"/>
      <c r="EM165" s="188"/>
      <c r="EN165" s="188"/>
      <c r="EO165" s="188"/>
      <c r="EP165" s="188"/>
      <c r="EQ165" s="188"/>
      <c r="ER165" s="188"/>
      <c r="ES165" s="188"/>
      <c r="ET165" s="188"/>
      <c r="EU165" s="188"/>
      <c r="EV165" s="188"/>
      <c r="EW165" s="188"/>
      <c r="EX165" s="188"/>
      <c r="EY165" s="188"/>
      <c r="EZ165" s="188"/>
      <c r="FA165" s="188"/>
      <c r="FB165" s="188"/>
      <c r="FC165" s="188"/>
      <c r="FD165" s="188"/>
      <c r="FE165" s="188"/>
      <c r="FF165" s="188"/>
      <c r="FG165" s="188"/>
      <c r="FH165" s="188"/>
      <c r="FI165" s="188"/>
      <c r="FJ165" s="188"/>
      <c r="FK165" s="188"/>
      <c r="FL165" s="188"/>
      <c r="FM165" s="188"/>
      <c r="FN165" s="188"/>
      <c r="FO165" s="189"/>
      <c r="FP165" s="187"/>
      <c r="FQ165" s="188"/>
      <c r="FR165" s="188"/>
      <c r="FS165" s="188"/>
      <c r="FT165" s="189"/>
      <c r="FY165" s="187"/>
      <c r="FZ165" s="188"/>
      <c r="GA165" s="188"/>
      <c r="GB165" s="188"/>
      <c r="GC165" s="188"/>
      <c r="GD165" s="188"/>
      <c r="GE165" s="188"/>
      <c r="GF165" s="188"/>
      <c r="GG165" s="188"/>
      <c r="GH165" s="188"/>
      <c r="GI165" s="188"/>
      <c r="GJ165" s="188"/>
      <c r="GK165" s="188"/>
      <c r="GL165" s="188"/>
      <c r="GM165" s="188"/>
      <c r="GN165" s="188"/>
      <c r="GO165" s="188"/>
      <c r="GP165" s="188"/>
      <c r="GQ165" s="188"/>
      <c r="GR165" s="188"/>
      <c r="GS165" s="188"/>
      <c r="GT165" s="188"/>
      <c r="GU165" s="188"/>
      <c r="GV165" s="188"/>
      <c r="GW165" s="188"/>
      <c r="GX165" s="188"/>
      <c r="GY165" s="188"/>
      <c r="GZ165" s="188"/>
      <c r="HA165" s="188"/>
      <c r="HB165" s="188"/>
      <c r="HC165" s="188"/>
      <c r="HD165" s="188"/>
      <c r="HE165" s="188"/>
      <c r="HF165" s="188"/>
      <c r="HG165" s="188"/>
      <c r="HH165" s="188"/>
      <c r="HI165" s="188"/>
      <c r="HJ165" s="188"/>
      <c r="HK165" s="188"/>
      <c r="HL165" s="189"/>
      <c r="HM165" s="187"/>
      <c r="HN165" s="188"/>
      <c r="HO165" s="188"/>
      <c r="HP165" s="188"/>
      <c r="HQ165" s="189"/>
      <c r="HX165" s="198"/>
      <c r="HY165" s="199"/>
      <c r="HZ165" s="199"/>
      <c r="IA165" s="199"/>
      <c r="IB165" s="199"/>
      <c r="IC165" s="199"/>
      <c r="ID165" s="199"/>
      <c r="IE165" s="199"/>
      <c r="IF165" s="199"/>
      <c r="IG165" s="199"/>
      <c r="IH165" s="199"/>
      <c r="II165" s="199"/>
      <c r="IJ165" s="199"/>
      <c r="IK165" s="199"/>
      <c r="IL165" s="199"/>
      <c r="IM165" s="199"/>
      <c r="IN165" s="199"/>
      <c r="IO165" s="199"/>
      <c r="IP165" s="199"/>
      <c r="IQ165" s="199"/>
      <c r="IR165" s="199"/>
      <c r="IS165" s="199"/>
      <c r="IT165" s="199"/>
      <c r="IU165" s="199"/>
      <c r="IV165" s="199"/>
      <c r="IW165" s="199"/>
      <c r="IX165" s="199"/>
      <c r="IY165" s="199"/>
      <c r="IZ165" s="199"/>
      <c r="JA165" s="199"/>
      <c r="JB165" s="199"/>
      <c r="JC165" s="199"/>
      <c r="JD165" s="199"/>
      <c r="JE165" s="199"/>
      <c r="JF165" s="199"/>
      <c r="JG165" s="199"/>
      <c r="JH165" s="199"/>
      <c r="JI165" s="199"/>
      <c r="JJ165" s="199"/>
      <c r="JK165" s="199"/>
      <c r="JL165" s="204"/>
      <c r="JM165" s="204"/>
      <c r="JN165" s="204"/>
      <c r="JO165" s="204"/>
      <c r="JP165" s="204"/>
      <c r="JQ165" s="204"/>
      <c r="JR165" s="19"/>
      <c r="JW165" s="155"/>
      <c r="KC165" s="16"/>
      <c r="KE165" s="187"/>
      <c r="KF165" s="188"/>
      <c r="KG165" s="188"/>
      <c r="KH165" s="188"/>
      <c r="KI165" s="188"/>
      <c r="KJ165" s="188"/>
      <c r="KK165" s="188"/>
      <c r="KL165" s="188"/>
      <c r="KM165" s="188"/>
      <c r="KN165" s="188"/>
      <c r="KO165" s="188"/>
      <c r="KP165" s="188"/>
      <c r="KQ165" s="188"/>
      <c r="KR165" s="188"/>
      <c r="KS165" s="188"/>
      <c r="KT165" s="188"/>
      <c r="KU165" s="188"/>
      <c r="KV165" s="188"/>
      <c r="KW165" s="188"/>
      <c r="KX165" s="188"/>
      <c r="KY165" s="188"/>
      <c r="KZ165" s="188"/>
      <c r="LA165" s="188"/>
      <c r="LB165" s="188"/>
      <c r="LC165" s="188"/>
      <c r="LD165" s="188"/>
      <c r="LE165" s="188"/>
      <c r="LF165" s="188"/>
      <c r="LG165" s="188"/>
      <c r="LH165" s="188"/>
      <c r="LI165" s="188"/>
      <c r="LJ165" s="188"/>
      <c r="LK165" s="188"/>
      <c r="LL165" s="188"/>
      <c r="LM165" s="188"/>
      <c r="LN165" s="188"/>
      <c r="LO165" s="188"/>
      <c r="LP165" s="188"/>
      <c r="LQ165" s="188"/>
      <c r="LR165" s="188"/>
      <c r="LS165" s="189"/>
      <c r="LT165" s="187"/>
      <c r="LU165" s="188"/>
      <c r="LV165" s="188"/>
      <c r="LW165" s="188"/>
      <c r="LX165" s="189"/>
      <c r="ML165" s="12"/>
      <c r="MM165" s="7"/>
      <c r="MN165" s="3"/>
      <c r="MO165" s="3"/>
      <c r="MP165" s="3"/>
      <c r="MQ165" s="3"/>
      <c r="MR165" s="2"/>
      <c r="NF165" s="3"/>
      <c r="NG165" s="3"/>
      <c r="NH165" s="3"/>
      <c r="NI165" s="3"/>
      <c r="NJ165" s="3"/>
      <c r="NK165" s="2"/>
    </row>
    <row r="166" spans="3:375" ht="5.0999999999999996" customHeight="1" x14ac:dyDescent="0.3">
      <c r="C166" s="11"/>
      <c r="D166" s="13"/>
      <c r="Q166" s="187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  <c r="BD166" s="188"/>
      <c r="BE166" s="189"/>
      <c r="BF166" s="187"/>
      <c r="BG166" s="188"/>
      <c r="BH166" s="188"/>
      <c r="BI166" s="188"/>
      <c r="BJ166" s="189"/>
      <c r="CD166" s="187"/>
      <c r="CE166" s="188"/>
      <c r="CF166" s="188"/>
      <c r="CG166" s="188"/>
      <c r="CH166" s="188"/>
      <c r="CI166" s="188"/>
      <c r="CJ166" s="188"/>
      <c r="CK166" s="188"/>
      <c r="CL166" s="188"/>
      <c r="CM166" s="188"/>
      <c r="CN166" s="188"/>
      <c r="CO166" s="188"/>
      <c r="CP166" s="188"/>
      <c r="CQ166" s="188"/>
      <c r="CR166" s="188"/>
      <c r="CS166" s="188"/>
      <c r="CT166" s="188"/>
      <c r="CU166" s="188"/>
      <c r="CV166" s="188"/>
      <c r="CW166" s="188"/>
      <c r="CX166" s="188"/>
      <c r="CY166" s="188"/>
      <c r="CZ166" s="188"/>
      <c r="DA166" s="188"/>
      <c r="DB166" s="188"/>
      <c r="DC166" s="188"/>
      <c r="DD166" s="188"/>
      <c r="DE166" s="188"/>
      <c r="DF166" s="188"/>
      <c r="DG166" s="188"/>
      <c r="DH166" s="188"/>
      <c r="DI166" s="188"/>
      <c r="DJ166" s="188"/>
      <c r="DK166" s="188"/>
      <c r="DL166" s="188"/>
      <c r="DM166" s="188"/>
      <c r="DN166" s="188"/>
      <c r="DO166" s="188"/>
      <c r="DP166" s="188"/>
      <c r="DQ166" s="189"/>
      <c r="DR166" s="187"/>
      <c r="DS166" s="188"/>
      <c r="DT166" s="188"/>
      <c r="DU166" s="188"/>
      <c r="DV166" s="189"/>
      <c r="EB166" s="187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R166" s="188"/>
      <c r="ES166" s="188"/>
      <c r="ET166" s="188"/>
      <c r="EU166" s="188"/>
      <c r="EV166" s="188"/>
      <c r="EW166" s="188"/>
      <c r="EX166" s="188"/>
      <c r="EY166" s="188"/>
      <c r="EZ166" s="188"/>
      <c r="FA166" s="188"/>
      <c r="FB166" s="188"/>
      <c r="FC166" s="188"/>
      <c r="FD166" s="188"/>
      <c r="FE166" s="188"/>
      <c r="FF166" s="188"/>
      <c r="FG166" s="188"/>
      <c r="FH166" s="188"/>
      <c r="FI166" s="188"/>
      <c r="FJ166" s="188"/>
      <c r="FK166" s="188"/>
      <c r="FL166" s="188"/>
      <c r="FM166" s="188"/>
      <c r="FN166" s="188"/>
      <c r="FO166" s="189"/>
      <c r="FP166" s="187"/>
      <c r="FQ166" s="188"/>
      <c r="FR166" s="188"/>
      <c r="FS166" s="188"/>
      <c r="FT166" s="189"/>
      <c r="FY166" s="187"/>
      <c r="FZ166" s="188"/>
      <c r="GA166" s="188"/>
      <c r="GB166" s="188"/>
      <c r="GC166" s="188"/>
      <c r="GD166" s="188"/>
      <c r="GE166" s="188"/>
      <c r="GF166" s="188"/>
      <c r="GG166" s="188"/>
      <c r="GH166" s="188"/>
      <c r="GI166" s="188"/>
      <c r="GJ166" s="188"/>
      <c r="GK166" s="188"/>
      <c r="GL166" s="188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  <c r="GY166" s="188"/>
      <c r="GZ166" s="188"/>
      <c r="HA166" s="188"/>
      <c r="HB166" s="188"/>
      <c r="HC166" s="188"/>
      <c r="HD166" s="188"/>
      <c r="HE166" s="188"/>
      <c r="HF166" s="188"/>
      <c r="HG166" s="188"/>
      <c r="HH166" s="188"/>
      <c r="HI166" s="188"/>
      <c r="HJ166" s="188"/>
      <c r="HK166" s="188"/>
      <c r="HL166" s="189"/>
      <c r="HM166" s="187"/>
      <c r="HN166" s="188"/>
      <c r="HO166" s="188"/>
      <c r="HP166" s="188"/>
      <c r="HQ166" s="189"/>
      <c r="HX166" s="198"/>
      <c r="HY166" s="199"/>
      <c r="HZ166" s="199"/>
      <c r="IA166" s="199"/>
      <c r="IB166" s="199"/>
      <c r="IC166" s="199"/>
      <c r="ID166" s="199"/>
      <c r="IE166" s="199"/>
      <c r="IF166" s="199"/>
      <c r="IG166" s="199"/>
      <c r="IH166" s="199"/>
      <c r="II166" s="199"/>
      <c r="IJ166" s="199"/>
      <c r="IK166" s="199"/>
      <c r="IL166" s="199"/>
      <c r="IM166" s="199"/>
      <c r="IN166" s="199"/>
      <c r="IO166" s="199"/>
      <c r="IP166" s="199"/>
      <c r="IQ166" s="199"/>
      <c r="IR166" s="199"/>
      <c r="IS166" s="199"/>
      <c r="IT166" s="199"/>
      <c r="IU166" s="199"/>
      <c r="IV166" s="199"/>
      <c r="IW166" s="199"/>
      <c r="IX166" s="199"/>
      <c r="IY166" s="199"/>
      <c r="IZ166" s="199"/>
      <c r="JA166" s="199"/>
      <c r="JB166" s="199"/>
      <c r="JC166" s="199"/>
      <c r="JD166" s="199"/>
      <c r="JE166" s="199"/>
      <c r="JF166" s="199"/>
      <c r="JG166" s="199"/>
      <c r="JH166" s="199"/>
      <c r="JI166" s="199"/>
      <c r="JJ166" s="199"/>
      <c r="JK166" s="199"/>
      <c r="JL166" s="204"/>
      <c r="JM166" s="204"/>
      <c r="JN166" s="204"/>
      <c r="JO166" s="204"/>
      <c r="JP166" s="204"/>
      <c r="JQ166" s="204"/>
      <c r="JR166" s="19"/>
      <c r="JW166" s="155"/>
      <c r="KC166" s="16"/>
      <c r="KE166" s="187"/>
      <c r="KF166" s="188"/>
      <c r="KG166" s="188"/>
      <c r="KH166" s="188"/>
      <c r="KI166" s="188"/>
      <c r="KJ166" s="188"/>
      <c r="KK166" s="188"/>
      <c r="KL166" s="188"/>
      <c r="KM166" s="188"/>
      <c r="KN166" s="188"/>
      <c r="KO166" s="188"/>
      <c r="KP166" s="188"/>
      <c r="KQ166" s="188"/>
      <c r="KR166" s="188"/>
      <c r="KS166" s="188"/>
      <c r="KT166" s="188"/>
      <c r="KU166" s="188"/>
      <c r="KV166" s="188"/>
      <c r="KW166" s="188"/>
      <c r="KX166" s="188"/>
      <c r="KY166" s="188"/>
      <c r="KZ166" s="188"/>
      <c r="LA166" s="188"/>
      <c r="LB166" s="188"/>
      <c r="LC166" s="188"/>
      <c r="LD166" s="188"/>
      <c r="LE166" s="188"/>
      <c r="LF166" s="188"/>
      <c r="LG166" s="188"/>
      <c r="LH166" s="188"/>
      <c r="LI166" s="188"/>
      <c r="LJ166" s="188"/>
      <c r="LK166" s="188"/>
      <c r="LL166" s="188"/>
      <c r="LM166" s="188"/>
      <c r="LN166" s="188"/>
      <c r="LO166" s="188"/>
      <c r="LP166" s="188"/>
      <c r="LQ166" s="188"/>
      <c r="LR166" s="188"/>
      <c r="LS166" s="189"/>
      <c r="LT166" s="187"/>
      <c r="LU166" s="188"/>
      <c r="LV166" s="188"/>
      <c r="LW166" s="188"/>
      <c r="LX166" s="189"/>
      <c r="ML166" s="12"/>
      <c r="MM166" s="7"/>
      <c r="MN166" s="3"/>
      <c r="MO166" s="3"/>
      <c r="MP166" s="3"/>
      <c r="MQ166" s="3"/>
      <c r="MR166" s="2"/>
      <c r="NF166" s="3"/>
      <c r="NG166" s="3"/>
      <c r="NH166" s="3"/>
      <c r="NI166" s="3"/>
      <c r="NJ166" s="3"/>
      <c r="NK166" s="2"/>
    </row>
    <row r="167" spans="3:375" ht="5.0999999999999996" customHeight="1" x14ac:dyDescent="0.3">
      <c r="C167" s="11"/>
      <c r="D167" s="13"/>
      <c r="Q167" s="187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  <c r="BD167" s="188"/>
      <c r="BE167" s="189"/>
      <c r="BF167" s="187"/>
      <c r="BG167" s="188"/>
      <c r="BH167" s="188"/>
      <c r="BI167" s="188"/>
      <c r="BJ167" s="189"/>
      <c r="CD167" s="187"/>
      <c r="CE167" s="188"/>
      <c r="CF167" s="188"/>
      <c r="CG167" s="188"/>
      <c r="CH167" s="188"/>
      <c r="CI167" s="188"/>
      <c r="CJ167" s="188"/>
      <c r="CK167" s="188"/>
      <c r="CL167" s="188"/>
      <c r="CM167" s="188"/>
      <c r="CN167" s="188"/>
      <c r="CO167" s="188"/>
      <c r="CP167" s="188"/>
      <c r="CQ167" s="188"/>
      <c r="CR167" s="188"/>
      <c r="CS167" s="188"/>
      <c r="CT167" s="188"/>
      <c r="CU167" s="188"/>
      <c r="CV167" s="188"/>
      <c r="CW167" s="188"/>
      <c r="CX167" s="188"/>
      <c r="CY167" s="188"/>
      <c r="CZ167" s="188"/>
      <c r="DA167" s="188"/>
      <c r="DB167" s="188"/>
      <c r="DC167" s="188"/>
      <c r="DD167" s="188"/>
      <c r="DE167" s="188"/>
      <c r="DF167" s="188"/>
      <c r="DG167" s="188"/>
      <c r="DH167" s="188"/>
      <c r="DI167" s="188"/>
      <c r="DJ167" s="188"/>
      <c r="DK167" s="188"/>
      <c r="DL167" s="188"/>
      <c r="DM167" s="188"/>
      <c r="DN167" s="188"/>
      <c r="DO167" s="188"/>
      <c r="DP167" s="188"/>
      <c r="DQ167" s="189"/>
      <c r="DR167" s="187"/>
      <c r="DS167" s="188"/>
      <c r="DT167" s="188"/>
      <c r="DU167" s="188"/>
      <c r="DV167" s="189"/>
      <c r="EB167" s="187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R167" s="188"/>
      <c r="ES167" s="188"/>
      <c r="ET167" s="188"/>
      <c r="EU167" s="188"/>
      <c r="EV167" s="188"/>
      <c r="EW167" s="188"/>
      <c r="EX167" s="188"/>
      <c r="EY167" s="188"/>
      <c r="EZ167" s="188"/>
      <c r="FA167" s="188"/>
      <c r="FB167" s="188"/>
      <c r="FC167" s="188"/>
      <c r="FD167" s="188"/>
      <c r="FE167" s="188"/>
      <c r="FF167" s="188"/>
      <c r="FG167" s="188"/>
      <c r="FH167" s="188"/>
      <c r="FI167" s="188"/>
      <c r="FJ167" s="188"/>
      <c r="FK167" s="188"/>
      <c r="FL167" s="188"/>
      <c r="FM167" s="188"/>
      <c r="FN167" s="188"/>
      <c r="FO167" s="189"/>
      <c r="FP167" s="187"/>
      <c r="FQ167" s="188"/>
      <c r="FR167" s="188"/>
      <c r="FS167" s="188"/>
      <c r="FT167" s="189"/>
      <c r="FY167" s="187"/>
      <c r="FZ167" s="188"/>
      <c r="GA167" s="188"/>
      <c r="GB167" s="188"/>
      <c r="GC167" s="188"/>
      <c r="GD167" s="188"/>
      <c r="GE167" s="188"/>
      <c r="GF167" s="188"/>
      <c r="GG167" s="188"/>
      <c r="GH167" s="188"/>
      <c r="GI167" s="188"/>
      <c r="GJ167" s="188"/>
      <c r="GK167" s="188"/>
      <c r="GL167" s="188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  <c r="GY167" s="188"/>
      <c r="GZ167" s="188"/>
      <c r="HA167" s="188"/>
      <c r="HB167" s="188"/>
      <c r="HC167" s="188"/>
      <c r="HD167" s="188"/>
      <c r="HE167" s="188"/>
      <c r="HF167" s="188"/>
      <c r="HG167" s="188"/>
      <c r="HH167" s="188"/>
      <c r="HI167" s="188"/>
      <c r="HJ167" s="188"/>
      <c r="HK167" s="188"/>
      <c r="HL167" s="189"/>
      <c r="HM167" s="187"/>
      <c r="HN167" s="188"/>
      <c r="HO167" s="188"/>
      <c r="HP167" s="188"/>
      <c r="HQ167" s="189"/>
      <c r="HX167" s="198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  <c r="IW167" s="199"/>
      <c r="IX167" s="199"/>
      <c r="IY167" s="199"/>
      <c r="IZ167" s="199"/>
      <c r="JA167" s="199"/>
      <c r="JB167" s="199"/>
      <c r="JC167" s="199"/>
      <c r="JD167" s="199"/>
      <c r="JE167" s="199"/>
      <c r="JF167" s="199"/>
      <c r="JG167" s="199"/>
      <c r="JH167" s="199"/>
      <c r="JI167" s="199"/>
      <c r="JJ167" s="199"/>
      <c r="JK167" s="199"/>
      <c r="JL167" s="204"/>
      <c r="JM167" s="204"/>
      <c r="JN167" s="204"/>
      <c r="JO167" s="204"/>
      <c r="JP167" s="204"/>
      <c r="JQ167" s="204"/>
      <c r="JR167" s="19"/>
      <c r="JW167" s="155"/>
      <c r="KC167" s="16"/>
      <c r="KE167" s="187"/>
      <c r="KF167" s="188"/>
      <c r="KG167" s="188"/>
      <c r="KH167" s="188"/>
      <c r="KI167" s="188"/>
      <c r="KJ167" s="188"/>
      <c r="KK167" s="188"/>
      <c r="KL167" s="188"/>
      <c r="KM167" s="188"/>
      <c r="KN167" s="188"/>
      <c r="KO167" s="188"/>
      <c r="KP167" s="188"/>
      <c r="KQ167" s="188"/>
      <c r="KR167" s="188"/>
      <c r="KS167" s="188"/>
      <c r="KT167" s="188"/>
      <c r="KU167" s="188"/>
      <c r="KV167" s="188"/>
      <c r="KW167" s="188"/>
      <c r="KX167" s="188"/>
      <c r="KY167" s="188"/>
      <c r="KZ167" s="188"/>
      <c r="LA167" s="188"/>
      <c r="LB167" s="188"/>
      <c r="LC167" s="188"/>
      <c r="LD167" s="188"/>
      <c r="LE167" s="188"/>
      <c r="LF167" s="188"/>
      <c r="LG167" s="188"/>
      <c r="LH167" s="188"/>
      <c r="LI167" s="188"/>
      <c r="LJ167" s="188"/>
      <c r="LK167" s="188"/>
      <c r="LL167" s="188"/>
      <c r="LM167" s="188"/>
      <c r="LN167" s="188"/>
      <c r="LO167" s="188"/>
      <c r="LP167" s="188"/>
      <c r="LQ167" s="188"/>
      <c r="LR167" s="188"/>
      <c r="LS167" s="189"/>
      <c r="LT167" s="187"/>
      <c r="LU167" s="188"/>
      <c r="LV167" s="188"/>
      <c r="LW167" s="188"/>
      <c r="LX167" s="189"/>
      <c r="ML167" s="12"/>
      <c r="MM167" s="7"/>
      <c r="MN167" s="3"/>
      <c r="MO167" s="3"/>
      <c r="MP167" s="3"/>
      <c r="MQ167" s="3"/>
      <c r="MR167" s="2"/>
      <c r="NF167" s="3"/>
      <c r="NG167" s="3"/>
      <c r="NH167" s="3"/>
      <c r="NI167" s="3"/>
      <c r="NJ167" s="3"/>
      <c r="NK167" s="2"/>
    </row>
    <row r="168" spans="3:375" ht="5.0999999999999996" customHeight="1" x14ac:dyDescent="0.3">
      <c r="C168" s="11"/>
      <c r="D168" s="13"/>
      <c r="Q168" s="187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  <c r="BD168" s="188"/>
      <c r="BE168" s="189"/>
      <c r="BF168" s="187"/>
      <c r="BG168" s="188"/>
      <c r="BH168" s="188"/>
      <c r="BI168" s="188"/>
      <c r="BJ168" s="189"/>
      <c r="CD168" s="187"/>
      <c r="CE168" s="188"/>
      <c r="CF168" s="188"/>
      <c r="CG168" s="188"/>
      <c r="CH168" s="188"/>
      <c r="CI168" s="188"/>
      <c r="CJ168" s="188"/>
      <c r="CK168" s="188"/>
      <c r="CL168" s="188"/>
      <c r="CM168" s="188"/>
      <c r="CN168" s="188"/>
      <c r="CO168" s="188"/>
      <c r="CP168" s="188"/>
      <c r="CQ168" s="188"/>
      <c r="CR168" s="188"/>
      <c r="CS168" s="188"/>
      <c r="CT168" s="188"/>
      <c r="CU168" s="188"/>
      <c r="CV168" s="188"/>
      <c r="CW168" s="188"/>
      <c r="CX168" s="188"/>
      <c r="CY168" s="188"/>
      <c r="CZ168" s="188"/>
      <c r="DA168" s="188"/>
      <c r="DB168" s="188"/>
      <c r="DC168" s="188"/>
      <c r="DD168" s="188"/>
      <c r="DE168" s="188"/>
      <c r="DF168" s="188"/>
      <c r="DG168" s="188"/>
      <c r="DH168" s="188"/>
      <c r="DI168" s="188"/>
      <c r="DJ168" s="188"/>
      <c r="DK168" s="188"/>
      <c r="DL168" s="188"/>
      <c r="DM168" s="188"/>
      <c r="DN168" s="188"/>
      <c r="DO168" s="188"/>
      <c r="DP168" s="188"/>
      <c r="DQ168" s="189"/>
      <c r="DR168" s="187"/>
      <c r="DS168" s="188"/>
      <c r="DT168" s="188"/>
      <c r="DU168" s="188"/>
      <c r="DV168" s="189"/>
      <c r="EB168" s="187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R168" s="188"/>
      <c r="ES168" s="188"/>
      <c r="ET168" s="188"/>
      <c r="EU168" s="188"/>
      <c r="EV168" s="188"/>
      <c r="EW168" s="188"/>
      <c r="EX168" s="188"/>
      <c r="EY168" s="188"/>
      <c r="EZ168" s="188"/>
      <c r="FA168" s="188"/>
      <c r="FB168" s="188"/>
      <c r="FC168" s="188"/>
      <c r="FD168" s="188"/>
      <c r="FE168" s="188"/>
      <c r="FF168" s="188"/>
      <c r="FG168" s="188"/>
      <c r="FH168" s="188"/>
      <c r="FI168" s="188"/>
      <c r="FJ168" s="188"/>
      <c r="FK168" s="188"/>
      <c r="FL168" s="188"/>
      <c r="FM168" s="188"/>
      <c r="FN168" s="188"/>
      <c r="FO168" s="189"/>
      <c r="FP168" s="187"/>
      <c r="FQ168" s="188"/>
      <c r="FR168" s="188"/>
      <c r="FS168" s="188"/>
      <c r="FT168" s="189"/>
      <c r="FY168" s="187"/>
      <c r="FZ168" s="188"/>
      <c r="GA168" s="188"/>
      <c r="GB168" s="188"/>
      <c r="GC168" s="188"/>
      <c r="GD168" s="188"/>
      <c r="GE168" s="188"/>
      <c r="GF168" s="188"/>
      <c r="GG168" s="188"/>
      <c r="GH168" s="188"/>
      <c r="GI168" s="188"/>
      <c r="GJ168" s="188"/>
      <c r="GK168" s="188"/>
      <c r="GL168" s="188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  <c r="GY168" s="188"/>
      <c r="GZ168" s="188"/>
      <c r="HA168" s="188"/>
      <c r="HB168" s="188"/>
      <c r="HC168" s="188"/>
      <c r="HD168" s="188"/>
      <c r="HE168" s="188"/>
      <c r="HF168" s="188"/>
      <c r="HG168" s="188"/>
      <c r="HH168" s="188"/>
      <c r="HI168" s="188"/>
      <c r="HJ168" s="188"/>
      <c r="HK168" s="188"/>
      <c r="HL168" s="189"/>
      <c r="HM168" s="187"/>
      <c r="HN168" s="188"/>
      <c r="HO168" s="188"/>
      <c r="HP168" s="188"/>
      <c r="HQ168" s="189"/>
      <c r="HX168" s="198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  <c r="IW168" s="199"/>
      <c r="IX168" s="199"/>
      <c r="IY168" s="199"/>
      <c r="IZ168" s="199"/>
      <c r="JA168" s="199"/>
      <c r="JB168" s="199"/>
      <c r="JC168" s="199"/>
      <c r="JD168" s="199"/>
      <c r="JE168" s="199"/>
      <c r="JF168" s="199"/>
      <c r="JG168" s="199"/>
      <c r="JH168" s="199"/>
      <c r="JI168" s="199"/>
      <c r="JJ168" s="199"/>
      <c r="JK168" s="199"/>
      <c r="JL168" s="204"/>
      <c r="JM168" s="204"/>
      <c r="JN168" s="204"/>
      <c r="JO168" s="204"/>
      <c r="JP168" s="204"/>
      <c r="JQ168" s="204"/>
      <c r="JR168" s="19"/>
      <c r="JW168" s="155"/>
      <c r="KC168" s="16"/>
      <c r="KE168" s="187"/>
      <c r="KF168" s="188"/>
      <c r="KG168" s="188"/>
      <c r="KH168" s="188"/>
      <c r="KI168" s="188"/>
      <c r="KJ168" s="188"/>
      <c r="KK168" s="188"/>
      <c r="KL168" s="188"/>
      <c r="KM168" s="188"/>
      <c r="KN168" s="188"/>
      <c r="KO168" s="188"/>
      <c r="KP168" s="188"/>
      <c r="KQ168" s="188"/>
      <c r="KR168" s="188"/>
      <c r="KS168" s="188"/>
      <c r="KT168" s="188"/>
      <c r="KU168" s="188"/>
      <c r="KV168" s="188"/>
      <c r="KW168" s="188"/>
      <c r="KX168" s="188"/>
      <c r="KY168" s="188"/>
      <c r="KZ168" s="188"/>
      <c r="LA168" s="188"/>
      <c r="LB168" s="188"/>
      <c r="LC168" s="188"/>
      <c r="LD168" s="188"/>
      <c r="LE168" s="188"/>
      <c r="LF168" s="188"/>
      <c r="LG168" s="188"/>
      <c r="LH168" s="188"/>
      <c r="LI168" s="188"/>
      <c r="LJ168" s="188"/>
      <c r="LK168" s="188"/>
      <c r="LL168" s="188"/>
      <c r="LM168" s="188"/>
      <c r="LN168" s="188"/>
      <c r="LO168" s="188"/>
      <c r="LP168" s="188"/>
      <c r="LQ168" s="188"/>
      <c r="LR168" s="188"/>
      <c r="LS168" s="189"/>
      <c r="LT168" s="187"/>
      <c r="LU168" s="188"/>
      <c r="LV168" s="188"/>
      <c r="LW168" s="188"/>
      <c r="LX168" s="189"/>
      <c r="ML168" s="12"/>
      <c r="MM168" s="7"/>
      <c r="MN168" s="3"/>
      <c r="MO168" s="3"/>
      <c r="MP168" s="3"/>
      <c r="MQ168" s="3"/>
      <c r="MR168" s="2"/>
      <c r="NF168" s="3"/>
      <c r="NG168" s="3"/>
      <c r="NH168" s="3"/>
      <c r="NI168" s="3"/>
      <c r="NJ168" s="3"/>
      <c r="NK168" s="2"/>
    </row>
    <row r="169" spans="3:375" ht="5.0999999999999996" customHeight="1" x14ac:dyDescent="0.3">
      <c r="C169" s="11"/>
      <c r="D169" s="13"/>
      <c r="Q169" s="187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  <c r="BE169" s="189"/>
      <c r="BF169" s="187"/>
      <c r="BG169" s="188"/>
      <c r="BH169" s="188"/>
      <c r="BI169" s="188"/>
      <c r="BJ169" s="189"/>
      <c r="CD169" s="187"/>
      <c r="CE169" s="188"/>
      <c r="CF169" s="188"/>
      <c r="CG169" s="188"/>
      <c r="CH169" s="188"/>
      <c r="CI169" s="188"/>
      <c r="CJ169" s="188"/>
      <c r="CK169" s="188"/>
      <c r="CL169" s="188"/>
      <c r="CM169" s="188"/>
      <c r="CN169" s="188"/>
      <c r="CO169" s="188"/>
      <c r="CP169" s="188"/>
      <c r="CQ169" s="188"/>
      <c r="CR169" s="188"/>
      <c r="CS169" s="188"/>
      <c r="CT169" s="188"/>
      <c r="CU169" s="188"/>
      <c r="CV169" s="188"/>
      <c r="CW169" s="188"/>
      <c r="CX169" s="188"/>
      <c r="CY169" s="188"/>
      <c r="CZ169" s="188"/>
      <c r="DA169" s="188"/>
      <c r="DB169" s="188"/>
      <c r="DC169" s="188"/>
      <c r="DD169" s="188"/>
      <c r="DE169" s="188"/>
      <c r="DF169" s="188"/>
      <c r="DG169" s="188"/>
      <c r="DH169" s="188"/>
      <c r="DI169" s="188"/>
      <c r="DJ169" s="188"/>
      <c r="DK169" s="188"/>
      <c r="DL169" s="188"/>
      <c r="DM169" s="188"/>
      <c r="DN169" s="188"/>
      <c r="DO169" s="188"/>
      <c r="DP169" s="188"/>
      <c r="DQ169" s="189"/>
      <c r="DR169" s="187"/>
      <c r="DS169" s="188"/>
      <c r="DT169" s="188"/>
      <c r="DU169" s="188"/>
      <c r="DV169" s="189"/>
      <c r="EB169" s="187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R169" s="188"/>
      <c r="ES169" s="188"/>
      <c r="ET169" s="188"/>
      <c r="EU169" s="188"/>
      <c r="EV169" s="188"/>
      <c r="EW169" s="188"/>
      <c r="EX169" s="188"/>
      <c r="EY169" s="188"/>
      <c r="EZ169" s="188"/>
      <c r="FA169" s="188"/>
      <c r="FB169" s="188"/>
      <c r="FC169" s="188"/>
      <c r="FD169" s="188"/>
      <c r="FE169" s="188"/>
      <c r="FF169" s="188"/>
      <c r="FG169" s="188"/>
      <c r="FH169" s="188"/>
      <c r="FI169" s="188"/>
      <c r="FJ169" s="188"/>
      <c r="FK169" s="188"/>
      <c r="FL169" s="188"/>
      <c r="FM169" s="188"/>
      <c r="FN169" s="188"/>
      <c r="FO169" s="189"/>
      <c r="FP169" s="187"/>
      <c r="FQ169" s="188"/>
      <c r="FR169" s="188"/>
      <c r="FS169" s="188"/>
      <c r="FT169" s="189"/>
      <c r="FY169" s="187"/>
      <c r="FZ169" s="188"/>
      <c r="GA169" s="188"/>
      <c r="GB169" s="188"/>
      <c r="GC169" s="188"/>
      <c r="GD169" s="188"/>
      <c r="GE169" s="188"/>
      <c r="GF169" s="188"/>
      <c r="GG169" s="188"/>
      <c r="GH169" s="188"/>
      <c r="GI169" s="188"/>
      <c r="GJ169" s="188"/>
      <c r="GK169" s="188"/>
      <c r="GL169" s="188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  <c r="GY169" s="188"/>
      <c r="GZ169" s="188"/>
      <c r="HA169" s="188"/>
      <c r="HB169" s="188"/>
      <c r="HC169" s="188"/>
      <c r="HD169" s="188"/>
      <c r="HE169" s="188"/>
      <c r="HF169" s="188"/>
      <c r="HG169" s="188"/>
      <c r="HH169" s="188"/>
      <c r="HI169" s="188"/>
      <c r="HJ169" s="188"/>
      <c r="HK169" s="188"/>
      <c r="HL169" s="189"/>
      <c r="HM169" s="187"/>
      <c r="HN169" s="188"/>
      <c r="HO169" s="188"/>
      <c r="HP169" s="188"/>
      <c r="HQ169" s="189"/>
      <c r="HX169" s="198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  <c r="IW169" s="199"/>
      <c r="IX169" s="199"/>
      <c r="IY169" s="199"/>
      <c r="IZ169" s="199"/>
      <c r="JA169" s="199"/>
      <c r="JB169" s="199"/>
      <c r="JC169" s="199"/>
      <c r="JD169" s="199"/>
      <c r="JE169" s="199"/>
      <c r="JF169" s="199"/>
      <c r="JG169" s="199"/>
      <c r="JH169" s="199"/>
      <c r="JI169" s="199"/>
      <c r="JJ169" s="199"/>
      <c r="JK169" s="199"/>
      <c r="JL169" s="204"/>
      <c r="JM169" s="204"/>
      <c r="JN169" s="204"/>
      <c r="JO169" s="204"/>
      <c r="JP169" s="204"/>
      <c r="JQ169" s="204"/>
      <c r="JR169" s="53"/>
      <c r="JW169" s="155"/>
      <c r="KC169" s="16"/>
      <c r="KE169" s="190"/>
      <c r="KF169" s="191"/>
      <c r="KG169" s="191"/>
      <c r="KH169" s="191"/>
      <c r="KI169" s="191"/>
      <c r="KJ169" s="191"/>
      <c r="KK169" s="191"/>
      <c r="KL169" s="191"/>
      <c r="KM169" s="191"/>
      <c r="KN169" s="191"/>
      <c r="KO169" s="191"/>
      <c r="KP169" s="191"/>
      <c r="KQ169" s="191"/>
      <c r="KR169" s="191"/>
      <c r="KS169" s="191"/>
      <c r="KT169" s="191"/>
      <c r="KU169" s="191"/>
      <c r="KV169" s="191"/>
      <c r="KW169" s="191"/>
      <c r="KX169" s="191"/>
      <c r="KY169" s="191"/>
      <c r="KZ169" s="191"/>
      <c r="LA169" s="191"/>
      <c r="LB169" s="191"/>
      <c r="LC169" s="191"/>
      <c r="LD169" s="191"/>
      <c r="LE169" s="191"/>
      <c r="LF169" s="191"/>
      <c r="LG169" s="191"/>
      <c r="LH169" s="191"/>
      <c r="LI169" s="191"/>
      <c r="LJ169" s="191"/>
      <c r="LK169" s="191"/>
      <c r="LL169" s="191"/>
      <c r="LM169" s="191"/>
      <c r="LN169" s="191"/>
      <c r="LO169" s="191"/>
      <c r="LP169" s="191"/>
      <c r="LQ169" s="191"/>
      <c r="LR169" s="191"/>
      <c r="LS169" s="192"/>
      <c r="LT169" s="190"/>
      <c r="LU169" s="191"/>
      <c r="LV169" s="191"/>
      <c r="LW169" s="191"/>
      <c r="LX169" s="192"/>
      <c r="ML169" s="12"/>
      <c r="MM169" s="7"/>
      <c r="MN169" s="3"/>
      <c r="MO169" s="3"/>
      <c r="MP169" s="3"/>
      <c r="MQ169" s="3"/>
      <c r="MR169" s="2"/>
      <c r="NF169" s="3"/>
      <c r="NG169" s="3"/>
      <c r="NH169" s="3"/>
      <c r="NI169" s="3"/>
      <c r="NJ169" s="3"/>
      <c r="NK169" s="2"/>
    </row>
    <row r="170" spans="3:375" ht="5.0999999999999996" customHeight="1" thickBot="1" x14ac:dyDescent="0.35">
      <c r="C170" s="11"/>
      <c r="D170" s="13"/>
      <c r="Q170" s="190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2"/>
      <c r="BF170" s="190"/>
      <c r="BG170" s="191"/>
      <c r="BH170" s="191"/>
      <c r="BI170" s="191"/>
      <c r="BJ170" s="192"/>
      <c r="CD170" s="190"/>
      <c r="CE170" s="191"/>
      <c r="CF170" s="191"/>
      <c r="CG170" s="191"/>
      <c r="CH170" s="191"/>
      <c r="CI170" s="191"/>
      <c r="CJ170" s="191"/>
      <c r="CK170" s="191"/>
      <c r="CL170" s="191"/>
      <c r="CM170" s="191"/>
      <c r="CN170" s="191"/>
      <c r="CO170" s="191"/>
      <c r="CP170" s="191"/>
      <c r="CQ170" s="191"/>
      <c r="CR170" s="191"/>
      <c r="CS170" s="191"/>
      <c r="CT170" s="191"/>
      <c r="CU170" s="191"/>
      <c r="CV170" s="191"/>
      <c r="CW170" s="191"/>
      <c r="CX170" s="191"/>
      <c r="CY170" s="191"/>
      <c r="CZ170" s="191"/>
      <c r="DA170" s="191"/>
      <c r="DB170" s="191"/>
      <c r="DC170" s="191"/>
      <c r="DD170" s="191"/>
      <c r="DE170" s="191"/>
      <c r="DF170" s="191"/>
      <c r="DG170" s="191"/>
      <c r="DH170" s="191"/>
      <c r="DI170" s="191"/>
      <c r="DJ170" s="191"/>
      <c r="DK170" s="191"/>
      <c r="DL170" s="191"/>
      <c r="DM170" s="191"/>
      <c r="DN170" s="191"/>
      <c r="DO170" s="191"/>
      <c r="DP170" s="191"/>
      <c r="DQ170" s="192"/>
      <c r="DR170" s="190"/>
      <c r="DS170" s="191"/>
      <c r="DT170" s="191"/>
      <c r="DU170" s="191"/>
      <c r="DV170" s="192"/>
      <c r="EB170" s="190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1"/>
      <c r="FC170" s="191"/>
      <c r="FD170" s="191"/>
      <c r="FE170" s="191"/>
      <c r="FF170" s="191"/>
      <c r="FG170" s="191"/>
      <c r="FH170" s="191"/>
      <c r="FI170" s="191"/>
      <c r="FJ170" s="191"/>
      <c r="FK170" s="191"/>
      <c r="FL170" s="191"/>
      <c r="FM170" s="191"/>
      <c r="FN170" s="191"/>
      <c r="FO170" s="192"/>
      <c r="FP170" s="190"/>
      <c r="FQ170" s="191"/>
      <c r="FR170" s="191"/>
      <c r="FS170" s="191"/>
      <c r="FT170" s="192"/>
      <c r="FY170" s="190"/>
      <c r="FZ170" s="191"/>
      <c r="GA170" s="191"/>
      <c r="GB170" s="191"/>
      <c r="GC170" s="191"/>
      <c r="GD170" s="191"/>
      <c r="GE170" s="191"/>
      <c r="GF170" s="191"/>
      <c r="GG170" s="191"/>
      <c r="GH170" s="191"/>
      <c r="GI170" s="191"/>
      <c r="GJ170" s="191"/>
      <c r="GK170" s="191"/>
      <c r="GL170" s="191"/>
      <c r="GM170" s="191"/>
      <c r="GN170" s="191"/>
      <c r="GO170" s="191"/>
      <c r="GP170" s="191"/>
      <c r="GQ170" s="191"/>
      <c r="GR170" s="191"/>
      <c r="GS170" s="191"/>
      <c r="GT170" s="191"/>
      <c r="GU170" s="191"/>
      <c r="GV170" s="191"/>
      <c r="GW170" s="191"/>
      <c r="GX170" s="191"/>
      <c r="GY170" s="191"/>
      <c r="GZ170" s="191"/>
      <c r="HA170" s="191"/>
      <c r="HB170" s="191"/>
      <c r="HC170" s="191"/>
      <c r="HD170" s="191"/>
      <c r="HE170" s="191"/>
      <c r="HF170" s="191"/>
      <c r="HG170" s="191"/>
      <c r="HH170" s="191"/>
      <c r="HI170" s="191"/>
      <c r="HJ170" s="191"/>
      <c r="HK170" s="191"/>
      <c r="HL170" s="192"/>
      <c r="HM170" s="190"/>
      <c r="HN170" s="191"/>
      <c r="HO170" s="191"/>
      <c r="HP170" s="191"/>
      <c r="HQ170" s="192"/>
      <c r="HX170" s="201"/>
      <c r="HY170" s="202"/>
      <c r="HZ170" s="202"/>
      <c r="IA170" s="202"/>
      <c r="IB170" s="202"/>
      <c r="IC170" s="202"/>
      <c r="ID170" s="202"/>
      <c r="IE170" s="202"/>
      <c r="IF170" s="202"/>
      <c r="IG170" s="202"/>
      <c r="IH170" s="202"/>
      <c r="II170" s="202"/>
      <c r="IJ170" s="202"/>
      <c r="IK170" s="202"/>
      <c r="IL170" s="202"/>
      <c r="IM170" s="202"/>
      <c r="IN170" s="202"/>
      <c r="IO170" s="202"/>
      <c r="IP170" s="202"/>
      <c r="IQ170" s="202"/>
      <c r="IR170" s="202"/>
      <c r="IS170" s="202"/>
      <c r="IT170" s="202"/>
      <c r="IU170" s="202"/>
      <c r="IV170" s="202"/>
      <c r="IW170" s="202"/>
      <c r="IX170" s="202"/>
      <c r="IY170" s="202"/>
      <c r="IZ170" s="202"/>
      <c r="JA170" s="202"/>
      <c r="JB170" s="202"/>
      <c r="JC170" s="202"/>
      <c r="JD170" s="202"/>
      <c r="JE170" s="202"/>
      <c r="JF170" s="202"/>
      <c r="JG170" s="202"/>
      <c r="JH170" s="202"/>
      <c r="JI170" s="202"/>
      <c r="JJ170" s="202"/>
      <c r="JK170" s="202"/>
      <c r="JL170" s="204"/>
      <c r="JM170" s="204"/>
      <c r="JN170" s="204"/>
      <c r="JO170" s="204"/>
      <c r="JP170" s="204"/>
      <c r="JQ170" s="204"/>
      <c r="JR170" s="55"/>
      <c r="JW170" s="155"/>
      <c r="KC170" s="16"/>
      <c r="KE170" s="184" t="s">
        <v>43</v>
      </c>
      <c r="KF170" s="185"/>
      <c r="KG170" s="185"/>
      <c r="KH170" s="185"/>
      <c r="KI170" s="185"/>
      <c r="KJ170" s="185"/>
      <c r="KK170" s="185"/>
      <c r="KL170" s="185"/>
      <c r="KM170" s="185"/>
      <c r="KN170" s="185"/>
      <c r="KO170" s="185"/>
      <c r="KP170" s="185"/>
      <c r="KQ170" s="185"/>
      <c r="KR170" s="185"/>
      <c r="KS170" s="185"/>
      <c r="KT170" s="185"/>
      <c r="KU170" s="185"/>
      <c r="KV170" s="185"/>
      <c r="KW170" s="185"/>
      <c r="KX170" s="185"/>
      <c r="KY170" s="185"/>
      <c r="KZ170" s="185"/>
      <c r="LA170" s="185"/>
      <c r="LB170" s="185"/>
      <c r="LC170" s="185"/>
      <c r="LD170" s="185"/>
      <c r="LE170" s="185"/>
      <c r="LF170" s="185"/>
      <c r="LG170" s="185"/>
      <c r="LH170" s="185"/>
      <c r="LI170" s="185"/>
      <c r="LJ170" s="185"/>
      <c r="LK170" s="185"/>
      <c r="LL170" s="185"/>
      <c r="LM170" s="185"/>
      <c r="LN170" s="185"/>
      <c r="LO170" s="185"/>
      <c r="LP170" s="185"/>
      <c r="LQ170" s="185"/>
      <c r="LR170" s="185"/>
      <c r="LS170" s="186"/>
      <c r="LT170" s="184">
        <v>1</v>
      </c>
      <c r="LU170" s="185"/>
      <c r="LV170" s="185"/>
      <c r="LW170" s="185"/>
      <c r="LX170" s="186"/>
      <c r="ML170" s="12"/>
      <c r="MM170" s="7"/>
      <c r="MN170" s="3"/>
      <c r="MO170" s="3"/>
      <c r="MP170" s="3"/>
      <c r="MQ170" s="3"/>
      <c r="MR170" s="2"/>
      <c r="NF170" s="3"/>
      <c r="NG170" s="3"/>
      <c r="NH170" s="3"/>
      <c r="NI170" s="3"/>
      <c r="NJ170" s="3"/>
      <c r="NK170" s="2"/>
    </row>
    <row r="171" spans="3:375" ht="5.0999999999999996" customHeight="1" x14ac:dyDescent="0.3">
      <c r="C171" s="11"/>
      <c r="D171" s="13"/>
      <c r="Q171" s="184" t="s">
        <v>43</v>
      </c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6"/>
      <c r="BF171" s="184">
        <v>1</v>
      </c>
      <c r="BG171" s="185"/>
      <c r="BH171" s="185"/>
      <c r="BI171" s="185"/>
      <c r="BJ171" s="186"/>
      <c r="CZ171" s="54"/>
      <c r="DA171" s="18"/>
      <c r="EB171" s="184" t="s">
        <v>52</v>
      </c>
      <c r="EC171" s="185"/>
      <c r="ED171" s="185"/>
      <c r="EE171" s="185"/>
      <c r="EF171" s="185"/>
      <c r="EG171" s="185"/>
      <c r="EH171" s="185"/>
      <c r="EI171" s="185"/>
      <c r="EJ171" s="185"/>
      <c r="EK171" s="185"/>
      <c r="EL171" s="185"/>
      <c r="EM171" s="185"/>
      <c r="EN171" s="185"/>
      <c r="EO171" s="185"/>
      <c r="EP171" s="185"/>
      <c r="EQ171" s="185"/>
      <c r="ER171" s="185"/>
      <c r="ES171" s="185"/>
      <c r="ET171" s="185"/>
      <c r="EU171" s="185"/>
      <c r="EV171" s="185"/>
      <c r="EW171" s="185"/>
      <c r="EX171" s="185"/>
      <c r="EY171" s="185"/>
      <c r="EZ171" s="185"/>
      <c r="FA171" s="185"/>
      <c r="FB171" s="185"/>
      <c r="FC171" s="185"/>
      <c r="FD171" s="185"/>
      <c r="FE171" s="185"/>
      <c r="FF171" s="185"/>
      <c r="FG171" s="185"/>
      <c r="FH171" s="185"/>
      <c r="FI171" s="185"/>
      <c r="FJ171" s="185"/>
      <c r="FK171" s="185"/>
      <c r="FL171" s="185"/>
      <c r="FM171" s="185"/>
      <c r="FN171" s="185">
        <v>1</v>
      </c>
      <c r="FO171" s="186"/>
      <c r="FP171" s="184">
        <v>4</v>
      </c>
      <c r="FQ171" s="185"/>
      <c r="FR171" s="185"/>
      <c r="FS171" s="185"/>
      <c r="FT171" s="186"/>
      <c r="FY171" s="184" t="s">
        <v>53</v>
      </c>
      <c r="FZ171" s="185"/>
      <c r="GA171" s="185"/>
      <c r="GB171" s="185"/>
      <c r="GC171" s="185"/>
      <c r="GD171" s="185"/>
      <c r="GE171" s="185"/>
      <c r="GF171" s="185"/>
      <c r="GG171" s="185"/>
      <c r="GH171" s="185"/>
      <c r="GI171" s="185"/>
      <c r="GJ171" s="185"/>
      <c r="GK171" s="185"/>
      <c r="GL171" s="185"/>
      <c r="GM171" s="185"/>
      <c r="GN171" s="185"/>
      <c r="GO171" s="185"/>
      <c r="GP171" s="185"/>
      <c r="GQ171" s="185"/>
      <c r="GR171" s="185"/>
      <c r="GS171" s="185"/>
      <c r="GT171" s="185"/>
      <c r="GU171" s="185"/>
      <c r="GV171" s="185"/>
      <c r="GW171" s="185"/>
      <c r="GX171" s="185"/>
      <c r="GY171" s="185"/>
      <c r="GZ171" s="185"/>
      <c r="HA171" s="185"/>
      <c r="HB171" s="185"/>
      <c r="HC171" s="185"/>
      <c r="HD171" s="185"/>
      <c r="HE171" s="185"/>
      <c r="HF171" s="185"/>
      <c r="HG171" s="185"/>
      <c r="HH171" s="185"/>
      <c r="HI171" s="185"/>
      <c r="HJ171" s="185"/>
      <c r="HK171" s="185"/>
      <c r="HL171" s="186"/>
      <c r="HM171" s="184">
        <v>1</v>
      </c>
      <c r="HN171" s="185"/>
      <c r="HO171" s="185"/>
      <c r="HP171" s="185"/>
      <c r="HQ171" s="186"/>
      <c r="HX171" s="216" t="s">
        <v>37</v>
      </c>
      <c r="HY171" s="217"/>
      <c r="HZ171" s="217"/>
      <c r="IA171" s="217"/>
      <c r="IB171" s="217"/>
      <c r="IC171" s="217"/>
      <c r="ID171" s="217"/>
      <c r="IE171" s="217"/>
      <c r="IF171" s="217"/>
      <c r="IG171" s="217"/>
      <c r="IH171" s="217"/>
      <c r="II171" s="217"/>
      <c r="IJ171" s="217"/>
      <c r="IK171" s="217"/>
      <c r="IL171" s="217"/>
      <c r="IM171" s="217"/>
      <c r="IN171" s="217"/>
      <c r="IO171" s="217"/>
      <c r="IP171" s="217"/>
      <c r="IQ171" s="217"/>
      <c r="IR171" s="217"/>
      <c r="IS171" s="217"/>
      <c r="IT171" s="217"/>
      <c r="IU171" s="217"/>
      <c r="IV171" s="217"/>
      <c r="IW171" s="217"/>
      <c r="IX171" s="217"/>
      <c r="IY171" s="217"/>
      <c r="IZ171" s="217"/>
      <c r="JA171" s="217"/>
      <c r="JB171" s="217"/>
      <c r="JC171" s="217"/>
      <c r="JD171" s="217"/>
      <c r="JE171" s="217"/>
      <c r="JF171" s="217"/>
      <c r="JG171" s="217"/>
      <c r="JH171" s="217"/>
      <c r="JI171" s="217"/>
      <c r="JJ171" s="217"/>
      <c r="JK171" s="217"/>
      <c r="JL171" s="187">
        <v>1</v>
      </c>
      <c r="JM171" s="188"/>
      <c r="JN171" s="188"/>
      <c r="JO171" s="188"/>
      <c r="JP171" s="188"/>
      <c r="JQ171" s="189"/>
      <c r="JW171" s="155"/>
      <c r="KC171" s="16"/>
      <c r="KE171" s="187"/>
      <c r="KF171" s="188"/>
      <c r="KG171" s="188"/>
      <c r="KH171" s="188"/>
      <c r="KI171" s="188"/>
      <c r="KJ171" s="188"/>
      <c r="KK171" s="188"/>
      <c r="KL171" s="188"/>
      <c r="KM171" s="188"/>
      <c r="KN171" s="188"/>
      <c r="KO171" s="188"/>
      <c r="KP171" s="188"/>
      <c r="KQ171" s="188"/>
      <c r="KR171" s="188"/>
      <c r="KS171" s="188"/>
      <c r="KT171" s="188"/>
      <c r="KU171" s="188"/>
      <c r="KV171" s="188"/>
      <c r="KW171" s="188"/>
      <c r="KX171" s="188"/>
      <c r="KY171" s="188"/>
      <c r="KZ171" s="188"/>
      <c r="LA171" s="188"/>
      <c r="LB171" s="188"/>
      <c r="LC171" s="188"/>
      <c r="LD171" s="188"/>
      <c r="LE171" s="188"/>
      <c r="LF171" s="188"/>
      <c r="LG171" s="188"/>
      <c r="LH171" s="188"/>
      <c r="LI171" s="188"/>
      <c r="LJ171" s="188"/>
      <c r="LK171" s="188"/>
      <c r="LL171" s="188"/>
      <c r="LM171" s="188"/>
      <c r="LN171" s="188"/>
      <c r="LO171" s="188"/>
      <c r="LP171" s="188"/>
      <c r="LQ171" s="188"/>
      <c r="LR171" s="188"/>
      <c r="LS171" s="189"/>
      <c r="LT171" s="187"/>
      <c r="LU171" s="188"/>
      <c r="LV171" s="188"/>
      <c r="LW171" s="188"/>
      <c r="LX171" s="189"/>
      <c r="ML171" s="12"/>
      <c r="MM171" s="7"/>
      <c r="MN171" s="3"/>
      <c r="MO171" s="3"/>
      <c r="MP171" s="3"/>
      <c r="MQ171" s="3"/>
      <c r="MR171" s="2"/>
      <c r="NF171" s="3"/>
      <c r="NG171" s="3"/>
      <c r="NH171" s="3"/>
      <c r="NI171" s="3"/>
      <c r="NJ171" s="3"/>
      <c r="NK171" s="2"/>
    </row>
    <row r="172" spans="3:375" ht="5.0999999999999996" customHeight="1" x14ac:dyDescent="0.3">
      <c r="C172" s="11"/>
      <c r="D172" s="13"/>
      <c r="Q172" s="187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9"/>
      <c r="BF172" s="187"/>
      <c r="BG172" s="188"/>
      <c r="BH172" s="188"/>
      <c r="BI172" s="188"/>
      <c r="BJ172" s="189"/>
      <c r="CZ172" s="19"/>
      <c r="EB172" s="187"/>
      <c r="EC172" s="188"/>
      <c r="ED172" s="188"/>
      <c r="EE172" s="188"/>
      <c r="EF172" s="188"/>
      <c r="EG172" s="188"/>
      <c r="EH172" s="188"/>
      <c r="EI172" s="188"/>
      <c r="EJ172" s="188"/>
      <c r="EK172" s="188"/>
      <c r="EL172" s="188"/>
      <c r="EM172" s="188"/>
      <c r="EN172" s="188"/>
      <c r="EO172" s="188"/>
      <c r="EP172" s="188"/>
      <c r="EQ172" s="188"/>
      <c r="ER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8"/>
      <c r="FC172" s="188"/>
      <c r="FD172" s="188"/>
      <c r="FE172" s="188"/>
      <c r="FF172" s="188"/>
      <c r="FG172" s="188"/>
      <c r="FH172" s="188"/>
      <c r="FI172" s="188"/>
      <c r="FJ172" s="188"/>
      <c r="FK172" s="188"/>
      <c r="FL172" s="188"/>
      <c r="FM172" s="188"/>
      <c r="FN172" s="188"/>
      <c r="FO172" s="189"/>
      <c r="FP172" s="187"/>
      <c r="FQ172" s="188"/>
      <c r="FR172" s="188"/>
      <c r="FS172" s="188"/>
      <c r="FT172" s="189"/>
      <c r="FY172" s="187"/>
      <c r="FZ172" s="188"/>
      <c r="GA172" s="188"/>
      <c r="GB172" s="188"/>
      <c r="GC172" s="188"/>
      <c r="GD172" s="188"/>
      <c r="GE172" s="188"/>
      <c r="GF172" s="188"/>
      <c r="GG172" s="188"/>
      <c r="GH172" s="188"/>
      <c r="GI172" s="188"/>
      <c r="GJ172" s="188"/>
      <c r="GK172" s="188"/>
      <c r="GL172" s="188"/>
      <c r="GM172" s="188"/>
      <c r="GN172" s="188"/>
      <c r="GO172" s="188"/>
      <c r="GP172" s="188"/>
      <c r="GQ172" s="188"/>
      <c r="GR172" s="188"/>
      <c r="GS172" s="188"/>
      <c r="GT172" s="188"/>
      <c r="GU172" s="188"/>
      <c r="GV172" s="188"/>
      <c r="GW172" s="188"/>
      <c r="GX172" s="188"/>
      <c r="GY172" s="188"/>
      <c r="GZ172" s="188"/>
      <c r="HA172" s="188"/>
      <c r="HB172" s="188"/>
      <c r="HC172" s="188"/>
      <c r="HD172" s="188"/>
      <c r="HE172" s="188"/>
      <c r="HF172" s="188"/>
      <c r="HG172" s="188"/>
      <c r="HH172" s="188"/>
      <c r="HI172" s="188"/>
      <c r="HJ172" s="188"/>
      <c r="HK172" s="188"/>
      <c r="HL172" s="189"/>
      <c r="HM172" s="187"/>
      <c r="HN172" s="188"/>
      <c r="HO172" s="188"/>
      <c r="HP172" s="188"/>
      <c r="HQ172" s="189"/>
      <c r="HX172" s="219"/>
      <c r="HY172" s="220"/>
      <c r="HZ172" s="220"/>
      <c r="IA172" s="220"/>
      <c r="IB172" s="220"/>
      <c r="IC172" s="220"/>
      <c r="ID172" s="220"/>
      <c r="IE172" s="220"/>
      <c r="IF172" s="220"/>
      <c r="IG172" s="220"/>
      <c r="IH172" s="220"/>
      <c r="II172" s="220"/>
      <c r="IJ172" s="220"/>
      <c r="IK172" s="220"/>
      <c r="IL172" s="220"/>
      <c r="IM172" s="220"/>
      <c r="IN172" s="220"/>
      <c r="IO172" s="220"/>
      <c r="IP172" s="220"/>
      <c r="IQ172" s="220"/>
      <c r="IR172" s="220"/>
      <c r="IS172" s="220"/>
      <c r="IT172" s="220"/>
      <c r="IU172" s="220"/>
      <c r="IV172" s="220"/>
      <c r="IW172" s="220"/>
      <c r="IX172" s="220"/>
      <c r="IY172" s="220"/>
      <c r="IZ172" s="220"/>
      <c r="JA172" s="220"/>
      <c r="JB172" s="220"/>
      <c r="JC172" s="220"/>
      <c r="JD172" s="220"/>
      <c r="JE172" s="220"/>
      <c r="JF172" s="220"/>
      <c r="JG172" s="220"/>
      <c r="JH172" s="220"/>
      <c r="JI172" s="220"/>
      <c r="JJ172" s="220"/>
      <c r="JK172" s="220"/>
      <c r="JL172" s="187"/>
      <c r="JM172" s="188"/>
      <c r="JN172" s="188"/>
      <c r="JO172" s="188"/>
      <c r="JP172" s="188"/>
      <c r="JQ172" s="189"/>
      <c r="JW172" s="155"/>
      <c r="KC172" s="16"/>
      <c r="KE172" s="187"/>
      <c r="KF172" s="188"/>
      <c r="KG172" s="188"/>
      <c r="KH172" s="188"/>
      <c r="KI172" s="188"/>
      <c r="KJ172" s="188"/>
      <c r="KK172" s="188"/>
      <c r="KL172" s="188"/>
      <c r="KM172" s="188"/>
      <c r="KN172" s="188"/>
      <c r="KO172" s="188"/>
      <c r="KP172" s="188"/>
      <c r="KQ172" s="188"/>
      <c r="KR172" s="188"/>
      <c r="KS172" s="188"/>
      <c r="KT172" s="188"/>
      <c r="KU172" s="188"/>
      <c r="KV172" s="188"/>
      <c r="KW172" s="188"/>
      <c r="KX172" s="188"/>
      <c r="KY172" s="188"/>
      <c r="KZ172" s="188"/>
      <c r="LA172" s="188"/>
      <c r="LB172" s="188"/>
      <c r="LC172" s="188"/>
      <c r="LD172" s="188"/>
      <c r="LE172" s="188"/>
      <c r="LF172" s="188"/>
      <c r="LG172" s="188"/>
      <c r="LH172" s="188"/>
      <c r="LI172" s="188"/>
      <c r="LJ172" s="188"/>
      <c r="LK172" s="188"/>
      <c r="LL172" s="188"/>
      <c r="LM172" s="188"/>
      <c r="LN172" s="188"/>
      <c r="LO172" s="188"/>
      <c r="LP172" s="188"/>
      <c r="LQ172" s="188"/>
      <c r="LR172" s="188"/>
      <c r="LS172" s="189"/>
      <c r="LT172" s="187"/>
      <c r="LU172" s="188"/>
      <c r="LV172" s="188"/>
      <c r="LW172" s="188"/>
      <c r="LX172" s="189"/>
      <c r="ML172" s="12"/>
      <c r="MM172" s="7"/>
      <c r="MN172" s="3"/>
      <c r="MO172" s="3"/>
      <c r="MP172" s="3"/>
      <c r="MQ172" s="3"/>
      <c r="MR172" s="2"/>
      <c r="NF172" s="3"/>
      <c r="NG172" s="3"/>
      <c r="NH172" s="3"/>
      <c r="NI172" s="3"/>
      <c r="NJ172" s="3"/>
      <c r="NK172" s="2"/>
    </row>
    <row r="173" spans="3:375" ht="5.0999999999999996" customHeight="1" x14ac:dyDescent="0.3">
      <c r="C173" s="11"/>
      <c r="D173" s="13"/>
      <c r="Q173" s="187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  <c r="BD173" s="188"/>
      <c r="BE173" s="189"/>
      <c r="BF173" s="187"/>
      <c r="BG173" s="188"/>
      <c r="BH173" s="188"/>
      <c r="BI173" s="188"/>
      <c r="BJ173" s="189"/>
      <c r="CD173" s="184" t="s">
        <v>49</v>
      </c>
      <c r="CE173" s="185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5"/>
      <c r="CP173" s="185"/>
      <c r="CQ173" s="185"/>
      <c r="CR173" s="185"/>
      <c r="CS173" s="185"/>
      <c r="CT173" s="185"/>
      <c r="CU173" s="185"/>
      <c r="CV173" s="185"/>
      <c r="CW173" s="185"/>
      <c r="CX173" s="185"/>
      <c r="CY173" s="185"/>
      <c r="CZ173" s="185"/>
      <c r="DA173" s="185"/>
      <c r="DB173" s="185"/>
      <c r="DC173" s="185"/>
      <c r="DD173" s="185"/>
      <c r="DE173" s="185"/>
      <c r="DF173" s="185"/>
      <c r="DG173" s="185"/>
      <c r="DH173" s="185"/>
      <c r="DI173" s="185"/>
      <c r="DJ173" s="185"/>
      <c r="DK173" s="185"/>
      <c r="DL173" s="185"/>
      <c r="DM173" s="185"/>
      <c r="DN173" s="185"/>
      <c r="DO173" s="185"/>
      <c r="DP173" s="185">
        <v>1</v>
      </c>
      <c r="DQ173" s="186"/>
      <c r="DR173" s="184">
        <v>6</v>
      </c>
      <c r="DS173" s="185"/>
      <c r="DT173" s="185"/>
      <c r="DU173" s="185"/>
      <c r="DV173" s="186"/>
      <c r="EB173" s="187"/>
      <c r="EC173" s="188"/>
      <c r="ED173" s="188"/>
      <c r="EE173" s="188"/>
      <c r="EF173" s="188"/>
      <c r="EG173" s="188"/>
      <c r="EH173" s="188"/>
      <c r="EI173" s="188"/>
      <c r="EJ173" s="188"/>
      <c r="EK173" s="188"/>
      <c r="EL173" s="188"/>
      <c r="EM173" s="188"/>
      <c r="EN173" s="188"/>
      <c r="EO173" s="188"/>
      <c r="EP173" s="188"/>
      <c r="EQ173" s="188"/>
      <c r="ER173" s="188"/>
      <c r="ES173" s="188"/>
      <c r="ET173" s="188"/>
      <c r="EU173" s="188"/>
      <c r="EV173" s="188"/>
      <c r="EW173" s="188"/>
      <c r="EX173" s="188"/>
      <c r="EY173" s="188"/>
      <c r="EZ173" s="188"/>
      <c r="FA173" s="188"/>
      <c r="FB173" s="188"/>
      <c r="FC173" s="188"/>
      <c r="FD173" s="188"/>
      <c r="FE173" s="188"/>
      <c r="FF173" s="188"/>
      <c r="FG173" s="188"/>
      <c r="FH173" s="188"/>
      <c r="FI173" s="188"/>
      <c r="FJ173" s="188"/>
      <c r="FK173" s="188"/>
      <c r="FL173" s="188"/>
      <c r="FM173" s="188"/>
      <c r="FN173" s="188"/>
      <c r="FO173" s="189"/>
      <c r="FP173" s="187"/>
      <c r="FQ173" s="188"/>
      <c r="FR173" s="188"/>
      <c r="FS173" s="188"/>
      <c r="FT173" s="189"/>
      <c r="FY173" s="187"/>
      <c r="FZ173" s="188"/>
      <c r="GA173" s="188"/>
      <c r="GB173" s="188"/>
      <c r="GC173" s="188"/>
      <c r="GD173" s="188"/>
      <c r="GE173" s="188"/>
      <c r="GF173" s="188"/>
      <c r="GG173" s="188"/>
      <c r="GH173" s="188"/>
      <c r="GI173" s="188"/>
      <c r="GJ173" s="188"/>
      <c r="GK173" s="188"/>
      <c r="GL173" s="188"/>
      <c r="GM173" s="188"/>
      <c r="GN173" s="188"/>
      <c r="GO173" s="188"/>
      <c r="GP173" s="188"/>
      <c r="GQ173" s="188"/>
      <c r="GR173" s="188"/>
      <c r="GS173" s="188"/>
      <c r="GT173" s="188"/>
      <c r="GU173" s="188"/>
      <c r="GV173" s="188"/>
      <c r="GW173" s="188"/>
      <c r="GX173" s="188"/>
      <c r="GY173" s="188"/>
      <c r="GZ173" s="188"/>
      <c r="HA173" s="188"/>
      <c r="HB173" s="188"/>
      <c r="HC173" s="188"/>
      <c r="HD173" s="188"/>
      <c r="HE173" s="188"/>
      <c r="HF173" s="188"/>
      <c r="HG173" s="188"/>
      <c r="HH173" s="188"/>
      <c r="HI173" s="188"/>
      <c r="HJ173" s="188"/>
      <c r="HK173" s="188"/>
      <c r="HL173" s="189"/>
      <c r="HM173" s="187"/>
      <c r="HN173" s="188"/>
      <c r="HO173" s="188"/>
      <c r="HP173" s="188"/>
      <c r="HQ173" s="189"/>
      <c r="HV173" s="14"/>
      <c r="HX173" s="219"/>
      <c r="HY173" s="220"/>
      <c r="HZ173" s="220"/>
      <c r="IA173" s="220"/>
      <c r="IB173" s="220"/>
      <c r="IC173" s="220"/>
      <c r="ID173" s="220"/>
      <c r="IE173" s="220"/>
      <c r="IF173" s="220"/>
      <c r="IG173" s="220"/>
      <c r="IH173" s="220"/>
      <c r="II173" s="220"/>
      <c r="IJ173" s="220"/>
      <c r="IK173" s="220"/>
      <c r="IL173" s="220"/>
      <c r="IM173" s="220"/>
      <c r="IN173" s="220"/>
      <c r="IO173" s="220"/>
      <c r="IP173" s="220"/>
      <c r="IQ173" s="220"/>
      <c r="IR173" s="220"/>
      <c r="IS173" s="220"/>
      <c r="IT173" s="220"/>
      <c r="IU173" s="220"/>
      <c r="IV173" s="220"/>
      <c r="IW173" s="220"/>
      <c r="IX173" s="220"/>
      <c r="IY173" s="220"/>
      <c r="IZ173" s="220"/>
      <c r="JA173" s="220"/>
      <c r="JB173" s="220"/>
      <c r="JC173" s="220"/>
      <c r="JD173" s="220"/>
      <c r="JE173" s="220"/>
      <c r="JF173" s="220"/>
      <c r="JG173" s="220"/>
      <c r="JH173" s="220"/>
      <c r="JI173" s="220"/>
      <c r="JJ173" s="220"/>
      <c r="JK173" s="220"/>
      <c r="JL173" s="187"/>
      <c r="JM173" s="188"/>
      <c r="JN173" s="188"/>
      <c r="JO173" s="188"/>
      <c r="JP173" s="188"/>
      <c r="JQ173" s="189"/>
      <c r="JW173" s="155"/>
      <c r="KC173" s="16"/>
      <c r="KE173" s="187"/>
      <c r="KF173" s="188"/>
      <c r="KG173" s="188"/>
      <c r="KH173" s="188"/>
      <c r="KI173" s="188"/>
      <c r="KJ173" s="188"/>
      <c r="KK173" s="188"/>
      <c r="KL173" s="188"/>
      <c r="KM173" s="188"/>
      <c r="KN173" s="188"/>
      <c r="KO173" s="188"/>
      <c r="KP173" s="188"/>
      <c r="KQ173" s="188"/>
      <c r="KR173" s="188"/>
      <c r="KS173" s="188"/>
      <c r="KT173" s="188"/>
      <c r="KU173" s="188"/>
      <c r="KV173" s="188"/>
      <c r="KW173" s="188"/>
      <c r="KX173" s="188"/>
      <c r="KY173" s="188"/>
      <c r="KZ173" s="188"/>
      <c r="LA173" s="188"/>
      <c r="LB173" s="188"/>
      <c r="LC173" s="188"/>
      <c r="LD173" s="188"/>
      <c r="LE173" s="188"/>
      <c r="LF173" s="188"/>
      <c r="LG173" s="188"/>
      <c r="LH173" s="188"/>
      <c r="LI173" s="188"/>
      <c r="LJ173" s="188"/>
      <c r="LK173" s="188"/>
      <c r="LL173" s="188"/>
      <c r="LM173" s="188"/>
      <c r="LN173" s="188"/>
      <c r="LO173" s="188"/>
      <c r="LP173" s="188"/>
      <c r="LQ173" s="188"/>
      <c r="LR173" s="188"/>
      <c r="LS173" s="189"/>
      <c r="LT173" s="187"/>
      <c r="LU173" s="188"/>
      <c r="LV173" s="188"/>
      <c r="LW173" s="188"/>
      <c r="LX173" s="189"/>
      <c r="ML173" s="12"/>
      <c r="MM173" s="7"/>
      <c r="MN173" s="3"/>
      <c r="MO173" s="3"/>
      <c r="MP173" s="3"/>
      <c r="MQ173" s="3"/>
      <c r="MR173" s="2"/>
      <c r="NF173" s="3"/>
      <c r="NG173" s="3"/>
      <c r="NH173" s="3"/>
      <c r="NI173" s="3"/>
      <c r="NJ173" s="3"/>
      <c r="NK173" s="2"/>
    </row>
    <row r="174" spans="3:375" ht="5.0999999999999996" customHeight="1" x14ac:dyDescent="0.3">
      <c r="C174" s="11"/>
      <c r="D174" s="13"/>
      <c r="Q174" s="187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  <c r="BD174" s="188"/>
      <c r="BE174" s="189"/>
      <c r="BF174" s="187"/>
      <c r="BG174" s="188"/>
      <c r="BH174" s="188"/>
      <c r="BI174" s="188"/>
      <c r="BJ174" s="189"/>
      <c r="CD174" s="187"/>
      <c r="CE174" s="188"/>
      <c r="CF174" s="188"/>
      <c r="CG174" s="188"/>
      <c r="CH174" s="188"/>
      <c r="CI174" s="188"/>
      <c r="CJ174" s="188"/>
      <c r="CK174" s="188"/>
      <c r="CL174" s="188"/>
      <c r="CM174" s="188"/>
      <c r="CN174" s="188"/>
      <c r="CO174" s="188"/>
      <c r="CP174" s="188"/>
      <c r="CQ174" s="188"/>
      <c r="CR174" s="188"/>
      <c r="CS174" s="188"/>
      <c r="CT174" s="188"/>
      <c r="CU174" s="188"/>
      <c r="CV174" s="188"/>
      <c r="CW174" s="188"/>
      <c r="CX174" s="188"/>
      <c r="CY174" s="188"/>
      <c r="CZ174" s="188"/>
      <c r="DA174" s="188"/>
      <c r="DB174" s="188"/>
      <c r="DC174" s="188"/>
      <c r="DD174" s="188"/>
      <c r="DE174" s="188"/>
      <c r="DF174" s="188"/>
      <c r="DG174" s="188"/>
      <c r="DH174" s="188"/>
      <c r="DI174" s="188"/>
      <c r="DJ174" s="188"/>
      <c r="DK174" s="188"/>
      <c r="DL174" s="188"/>
      <c r="DM174" s="188"/>
      <c r="DN174" s="188"/>
      <c r="DO174" s="188"/>
      <c r="DP174" s="188"/>
      <c r="DQ174" s="189"/>
      <c r="DR174" s="187"/>
      <c r="DS174" s="188"/>
      <c r="DT174" s="188"/>
      <c r="DU174" s="188"/>
      <c r="DV174" s="189"/>
      <c r="EB174" s="187"/>
      <c r="EC174" s="188"/>
      <c r="ED174" s="188"/>
      <c r="EE174" s="188"/>
      <c r="EF174" s="188"/>
      <c r="EG174" s="188"/>
      <c r="EH174" s="188"/>
      <c r="EI174" s="188"/>
      <c r="EJ174" s="188"/>
      <c r="EK174" s="188"/>
      <c r="EL174" s="188"/>
      <c r="EM174" s="188"/>
      <c r="EN174" s="188"/>
      <c r="EO174" s="188"/>
      <c r="EP174" s="188"/>
      <c r="EQ174" s="188"/>
      <c r="ER174" s="188"/>
      <c r="ES174" s="188"/>
      <c r="ET174" s="188"/>
      <c r="EU174" s="188"/>
      <c r="EV174" s="188"/>
      <c r="EW174" s="188"/>
      <c r="EX174" s="188"/>
      <c r="EY174" s="188"/>
      <c r="EZ174" s="188"/>
      <c r="FA174" s="188"/>
      <c r="FB174" s="188"/>
      <c r="FC174" s="188"/>
      <c r="FD174" s="188"/>
      <c r="FE174" s="188"/>
      <c r="FF174" s="188"/>
      <c r="FG174" s="188"/>
      <c r="FH174" s="188"/>
      <c r="FI174" s="188"/>
      <c r="FJ174" s="188"/>
      <c r="FK174" s="188"/>
      <c r="FL174" s="188"/>
      <c r="FM174" s="188"/>
      <c r="FN174" s="188"/>
      <c r="FO174" s="189"/>
      <c r="FP174" s="187"/>
      <c r="FQ174" s="188"/>
      <c r="FR174" s="188"/>
      <c r="FS174" s="188"/>
      <c r="FT174" s="189"/>
      <c r="FY174" s="187"/>
      <c r="FZ174" s="188"/>
      <c r="GA174" s="188"/>
      <c r="GB174" s="188"/>
      <c r="GC174" s="188"/>
      <c r="GD174" s="188"/>
      <c r="GE174" s="188"/>
      <c r="GF174" s="188"/>
      <c r="GG174" s="188"/>
      <c r="GH174" s="188"/>
      <c r="GI174" s="188"/>
      <c r="GJ174" s="188"/>
      <c r="GK174" s="188"/>
      <c r="GL174" s="188"/>
      <c r="GM174" s="188"/>
      <c r="GN174" s="188"/>
      <c r="GO174" s="188"/>
      <c r="GP174" s="188"/>
      <c r="GQ174" s="188"/>
      <c r="GR174" s="188"/>
      <c r="GS174" s="188"/>
      <c r="GT174" s="188"/>
      <c r="GU174" s="188"/>
      <c r="GV174" s="188"/>
      <c r="GW174" s="188"/>
      <c r="GX174" s="188"/>
      <c r="GY174" s="188"/>
      <c r="GZ174" s="188"/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8"/>
      <c r="HL174" s="189"/>
      <c r="HM174" s="187"/>
      <c r="HN174" s="188"/>
      <c r="HO174" s="188"/>
      <c r="HP174" s="188"/>
      <c r="HQ174" s="189"/>
      <c r="HV174" s="14"/>
      <c r="HX174" s="219"/>
      <c r="HY174" s="220"/>
      <c r="HZ174" s="220"/>
      <c r="IA174" s="220"/>
      <c r="IB174" s="220"/>
      <c r="IC174" s="220"/>
      <c r="ID174" s="220"/>
      <c r="IE174" s="220"/>
      <c r="IF174" s="220"/>
      <c r="IG174" s="220"/>
      <c r="IH174" s="220"/>
      <c r="II174" s="220"/>
      <c r="IJ174" s="220"/>
      <c r="IK174" s="220"/>
      <c r="IL174" s="220"/>
      <c r="IM174" s="220"/>
      <c r="IN174" s="220"/>
      <c r="IO174" s="220"/>
      <c r="IP174" s="220"/>
      <c r="IQ174" s="220"/>
      <c r="IR174" s="220"/>
      <c r="IS174" s="220"/>
      <c r="IT174" s="220"/>
      <c r="IU174" s="220"/>
      <c r="IV174" s="220"/>
      <c r="IW174" s="220"/>
      <c r="IX174" s="220"/>
      <c r="IY174" s="220"/>
      <c r="IZ174" s="220"/>
      <c r="JA174" s="220"/>
      <c r="JB174" s="220"/>
      <c r="JC174" s="220"/>
      <c r="JD174" s="220"/>
      <c r="JE174" s="220"/>
      <c r="JF174" s="220"/>
      <c r="JG174" s="220"/>
      <c r="JH174" s="220"/>
      <c r="JI174" s="220"/>
      <c r="JJ174" s="220"/>
      <c r="JK174" s="220"/>
      <c r="JL174" s="187"/>
      <c r="JM174" s="188"/>
      <c r="JN174" s="188"/>
      <c r="JO174" s="188"/>
      <c r="JP174" s="188"/>
      <c r="JQ174" s="189"/>
      <c r="JW174" s="155"/>
      <c r="KC174" s="16"/>
      <c r="KE174" s="187"/>
      <c r="KF174" s="188"/>
      <c r="KG174" s="188"/>
      <c r="KH174" s="188"/>
      <c r="KI174" s="188"/>
      <c r="KJ174" s="188"/>
      <c r="KK174" s="188"/>
      <c r="KL174" s="188"/>
      <c r="KM174" s="188"/>
      <c r="KN174" s="188"/>
      <c r="KO174" s="188"/>
      <c r="KP174" s="188"/>
      <c r="KQ174" s="188"/>
      <c r="KR174" s="188"/>
      <c r="KS174" s="188"/>
      <c r="KT174" s="188"/>
      <c r="KU174" s="188"/>
      <c r="KV174" s="188"/>
      <c r="KW174" s="188"/>
      <c r="KX174" s="188"/>
      <c r="KY174" s="188"/>
      <c r="KZ174" s="188"/>
      <c r="LA174" s="188"/>
      <c r="LB174" s="188"/>
      <c r="LC174" s="188"/>
      <c r="LD174" s="188"/>
      <c r="LE174" s="188"/>
      <c r="LF174" s="188"/>
      <c r="LG174" s="188"/>
      <c r="LH174" s="188"/>
      <c r="LI174" s="188"/>
      <c r="LJ174" s="188"/>
      <c r="LK174" s="188"/>
      <c r="LL174" s="188"/>
      <c r="LM174" s="188"/>
      <c r="LN174" s="188"/>
      <c r="LO174" s="188"/>
      <c r="LP174" s="188"/>
      <c r="LQ174" s="188"/>
      <c r="LR174" s="188"/>
      <c r="LS174" s="189"/>
      <c r="LT174" s="187"/>
      <c r="LU174" s="188"/>
      <c r="LV174" s="188"/>
      <c r="LW174" s="188"/>
      <c r="LX174" s="189"/>
      <c r="ML174" s="12"/>
      <c r="MM174" s="7"/>
      <c r="MN174" s="3"/>
      <c r="MO174" s="3"/>
      <c r="MP174" s="3"/>
      <c r="MQ174" s="3"/>
      <c r="MR174" s="2"/>
      <c r="NF174" s="3"/>
      <c r="NG174" s="3"/>
      <c r="NH174" s="3"/>
      <c r="NI174" s="3"/>
      <c r="NJ174" s="3"/>
      <c r="NK174" s="2"/>
    </row>
    <row r="175" spans="3:375" ht="5.0999999999999996" customHeight="1" x14ac:dyDescent="0.3">
      <c r="C175" s="11"/>
      <c r="D175" s="13"/>
      <c r="Q175" s="187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9"/>
      <c r="BF175" s="187"/>
      <c r="BG175" s="188"/>
      <c r="BH175" s="188"/>
      <c r="BI175" s="188"/>
      <c r="BJ175" s="189"/>
      <c r="CD175" s="187"/>
      <c r="CE175" s="188"/>
      <c r="CF175" s="188"/>
      <c r="CG175" s="188"/>
      <c r="CH175" s="188"/>
      <c r="CI175" s="188"/>
      <c r="CJ175" s="188"/>
      <c r="CK175" s="188"/>
      <c r="CL175" s="188"/>
      <c r="CM175" s="188"/>
      <c r="CN175" s="188"/>
      <c r="CO175" s="188"/>
      <c r="CP175" s="188"/>
      <c r="CQ175" s="188"/>
      <c r="CR175" s="188"/>
      <c r="CS175" s="188"/>
      <c r="CT175" s="188"/>
      <c r="CU175" s="188"/>
      <c r="CV175" s="188"/>
      <c r="CW175" s="188"/>
      <c r="CX175" s="188"/>
      <c r="CY175" s="188"/>
      <c r="CZ175" s="188"/>
      <c r="DA175" s="188"/>
      <c r="DB175" s="188"/>
      <c r="DC175" s="188"/>
      <c r="DD175" s="188"/>
      <c r="DE175" s="188"/>
      <c r="DF175" s="188"/>
      <c r="DG175" s="188"/>
      <c r="DH175" s="188"/>
      <c r="DI175" s="188"/>
      <c r="DJ175" s="188"/>
      <c r="DK175" s="188"/>
      <c r="DL175" s="188"/>
      <c r="DM175" s="188"/>
      <c r="DN175" s="188"/>
      <c r="DO175" s="188"/>
      <c r="DP175" s="188"/>
      <c r="DQ175" s="189"/>
      <c r="DR175" s="187"/>
      <c r="DS175" s="188"/>
      <c r="DT175" s="188"/>
      <c r="DU175" s="188"/>
      <c r="DV175" s="189"/>
      <c r="EB175" s="187"/>
      <c r="EC175" s="188"/>
      <c r="ED175" s="188"/>
      <c r="EE175" s="188"/>
      <c r="EF175" s="188"/>
      <c r="EG175" s="188"/>
      <c r="EH175" s="188"/>
      <c r="EI175" s="188"/>
      <c r="EJ175" s="188"/>
      <c r="EK175" s="188"/>
      <c r="EL175" s="188"/>
      <c r="EM175" s="188"/>
      <c r="EN175" s="188"/>
      <c r="EO175" s="188"/>
      <c r="EP175" s="188"/>
      <c r="EQ175" s="188"/>
      <c r="ER175" s="188"/>
      <c r="ES175" s="188"/>
      <c r="ET175" s="188"/>
      <c r="EU175" s="188"/>
      <c r="EV175" s="188"/>
      <c r="EW175" s="188"/>
      <c r="EX175" s="188"/>
      <c r="EY175" s="188"/>
      <c r="EZ175" s="188"/>
      <c r="FA175" s="188"/>
      <c r="FB175" s="188"/>
      <c r="FC175" s="188"/>
      <c r="FD175" s="188"/>
      <c r="FE175" s="188"/>
      <c r="FF175" s="188"/>
      <c r="FG175" s="188"/>
      <c r="FH175" s="188"/>
      <c r="FI175" s="188"/>
      <c r="FJ175" s="188"/>
      <c r="FK175" s="188"/>
      <c r="FL175" s="188"/>
      <c r="FM175" s="188"/>
      <c r="FN175" s="188"/>
      <c r="FO175" s="189"/>
      <c r="FP175" s="187"/>
      <c r="FQ175" s="188"/>
      <c r="FR175" s="188"/>
      <c r="FS175" s="188"/>
      <c r="FT175" s="189"/>
      <c r="FY175" s="187"/>
      <c r="FZ175" s="188"/>
      <c r="GA175" s="188"/>
      <c r="GB175" s="188"/>
      <c r="GC175" s="188"/>
      <c r="GD175" s="188"/>
      <c r="GE175" s="188"/>
      <c r="GF175" s="188"/>
      <c r="GG175" s="188"/>
      <c r="GH175" s="188"/>
      <c r="GI175" s="188"/>
      <c r="GJ175" s="188"/>
      <c r="GK175" s="188"/>
      <c r="GL175" s="188"/>
      <c r="GM175" s="188"/>
      <c r="GN175" s="188"/>
      <c r="GO175" s="188"/>
      <c r="GP175" s="188"/>
      <c r="GQ175" s="188"/>
      <c r="GR175" s="188"/>
      <c r="GS175" s="188"/>
      <c r="GT175" s="188"/>
      <c r="GU175" s="188"/>
      <c r="GV175" s="188"/>
      <c r="GW175" s="188"/>
      <c r="GX175" s="188"/>
      <c r="GY175" s="188"/>
      <c r="GZ175" s="188"/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8"/>
      <c r="HL175" s="189"/>
      <c r="HM175" s="187"/>
      <c r="HN175" s="188"/>
      <c r="HO175" s="188"/>
      <c r="HP175" s="188"/>
      <c r="HQ175" s="189"/>
      <c r="HV175" s="14"/>
      <c r="HX175" s="219"/>
      <c r="HY175" s="220"/>
      <c r="HZ175" s="220"/>
      <c r="IA175" s="220"/>
      <c r="IB175" s="220"/>
      <c r="IC175" s="220"/>
      <c r="ID175" s="220"/>
      <c r="IE175" s="220"/>
      <c r="IF175" s="220"/>
      <c r="IG175" s="220"/>
      <c r="IH175" s="220"/>
      <c r="II175" s="220"/>
      <c r="IJ175" s="220"/>
      <c r="IK175" s="220"/>
      <c r="IL175" s="220"/>
      <c r="IM175" s="220"/>
      <c r="IN175" s="220"/>
      <c r="IO175" s="220"/>
      <c r="IP175" s="220"/>
      <c r="IQ175" s="220"/>
      <c r="IR175" s="220"/>
      <c r="IS175" s="220"/>
      <c r="IT175" s="220"/>
      <c r="IU175" s="220"/>
      <c r="IV175" s="220"/>
      <c r="IW175" s="220"/>
      <c r="IX175" s="220"/>
      <c r="IY175" s="220"/>
      <c r="IZ175" s="220"/>
      <c r="JA175" s="220"/>
      <c r="JB175" s="220"/>
      <c r="JC175" s="220"/>
      <c r="JD175" s="220"/>
      <c r="JE175" s="220"/>
      <c r="JF175" s="220"/>
      <c r="JG175" s="220"/>
      <c r="JH175" s="220"/>
      <c r="JI175" s="220"/>
      <c r="JJ175" s="220"/>
      <c r="JK175" s="220"/>
      <c r="JL175" s="187"/>
      <c r="JM175" s="188"/>
      <c r="JN175" s="188"/>
      <c r="JO175" s="188"/>
      <c r="JP175" s="188"/>
      <c r="JQ175" s="189"/>
      <c r="JW175" s="155"/>
      <c r="KC175" s="16"/>
      <c r="KE175" s="187"/>
      <c r="KF175" s="188"/>
      <c r="KG175" s="188"/>
      <c r="KH175" s="188"/>
      <c r="KI175" s="188"/>
      <c r="KJ175" s="188"/>
      <c r="KK175" s="188"/>
      <c r="KL175" s="188"/>
      <c r="KM175" s="188"/>
      <c r="KN175" s="188"/>
      <c r="KO175" s="188"/>
      <c r="KP175" s="188"/>
      <c r="KQ175" s="188"/>
      <c r="KR175" s="188"/>
      <c r="KS175" s="188"/>
      <c r="KT175" s="188"/>
      <c r="KU175" s="188"/>
      <c r="KV175" s="188"/>
      <c r="KW175" s="188"/>
      <c r="KX175" s="188"/>
      <c r="KY175" s="188"/>
      <c r="KZ175" s="188"/>
      <c r="LA175" s="188"/>
      <c r="LB175" s="188"/>
      <c r="LC175" s="188"/>
      <c r="LD175" s="188"/>
      <c r="LE175" s="188"/>
      <c r="LF175" s="188"/>
      <c r="LG175" s="188"/>
      <c r="LH175" s="188"/>
      <c r="LI175" s="188"/>
      <c r="LJ175" s="188"/>
      <c r="LK175" s="188"/>
      <c r="LL175" s="188"/>
      <c r="LM175" s="188"/>
      <c r="LN175" s="188"/>
      <c r="LO175" s="188"/>
      <c r="LP175" s="188"/>
      <c r="LQ175" s="188"/>
      <c r="LR175" s="188"/>
      <c r="LS175" s="189"/>
      <c r="LT175" s="187"/>
      <c r="LU175" s="188"/>
      <c r="LV175" s="188"/>
      <c r="LW175" s="188"/>
      <c r="LX175" s="189"/>
      <c r="ML175" s="12"/>
      <c r="MM175" s="7"/>
      <c r="MN175" s="3"/>
      <c r="MO175" s="3"/>
      <c r="MP175" s="3"/>
      <c r="MQ175" s="3"/>
      <c r="MR175" s="2"/>
      <c r="NF175" s="3"/>
      <c r="NG175" s="3"/>
      <c r="NH175" s="3"/>
      <c r="NI175" s="3"/>
      <c r="NJ175" s="3"/>
      <c r="NK175" s="2"/>
    </row>
    <row r="176" spans="3:375" ht="5.0999999999999996" customHeight="1" x14ac:dyDescent="0.3">
      <c r="C176" s="11"/>
      <c r="D176" s="13"/>
      <c r="Q176" s="187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9"/>
      <c r="BF176" s="187"/>
      <c r="BG176" s="188"/>
      <c r="BH176" s="188"/>
      <c r="BI176" s="188"/>
      <c r="BJ176" s="189"/>
      <c r="CD176" s="187"/>
      <c r="CE176" s="188"/>
      <c r="CF176" s="188"/>
      <c r="CG176" s="188"/>
      <c r="CH176" s="188"/>
      <c r="CI176" s="188"/>
      <c r="CJ176" s="188"/>
      <c r="CK176" s="188"/>
      <c r="CL176" s="188"/>
      <c r="CM176" s="188"/>
      <c r="CN176" s="188"/>
      <c r="CO176" s="188"/>
      <c r="CP176" s="188"/>
      <c r="CQ176" s="188"/>
      <c r="CR176" s="188"/>
      <c r="CS176" s="188"/>
      <c r="CT176" s="188"/>
      <c r="CU176" s="188"/>
      <c r="CV176" s="188"/>
      <c r="CW176" s="188"/>
      <c r="CX176" s="188"/>
      <c r="CY176" s="188"/>
      <c r="CZ176" s="188"/>
      <c r="DA176" s="188"/>
      <c r="DB176" s="188"/>
      <c r="DC176" s="188"/>
      <c r="DD176" s="188"/>
      <c r="DE176" s="188"/>
      <c r="DF176" s="188"/>
      <c r="DG176" s="188"/>
      <c r="DH176" s="188"/>
      <c r="DI176" s="188"/>
      <c r="DJ176" s="188"/>
      <c r="DK176" s="188"/>
      <c r="DL176" s="188"/>
      <c r="DM176" s="188"/>
      <c r="DN176" s="188"/>
      <c r="DO176" s="188"/>
      <c r="DP176" s="188"/>
      <c r="DQ176" s="189"/>
      <c r="DR176" s="187"/>
      <c r="DS176" s="188"/>
      <c r="DT176" s="188"/>
      <c r="DU176" s="188"/>
      <c r="DV176" s="189"/>
      <c r="EB176" s="187"/>
      <c r="EC176" s="188"/>
      <c r="ED176" s="188"/>
      <c r="EE176" s="188"/>
      <c r="EF176" s="188"/>
      <c r="EG176" s="188"/>
      <c r="EH176" s="188"/>
      <c r="EI176" s="188"/>
      <c r="EJ176" s="188"/>
      <c r="EK176" s="188"/>
      <c r="EL176" s="188"/>
      <c r="EM176" s="188"/>
      <c r="EN176" s="188"/>
      <c r="EO176" s="188"/>
      <c r="EP176" s="188"/>
      <c r="EQ176" s="188"/>
      <c r="ER176" s="188"/>
      <c r="ES176" s="188"/>
      <c r="ET176" s="188"/>
      <c r="EU176" s="188"/>
      <c r="EV176" s="188"/>
      <c r="EW176" s="188"/>
      <c r="EX176" s="188"/>
      <c r="EY176" s="188"/>
      <c r="EZ176" s="188"/>
      <c r="FA176" s="188"/>
      <c r="FB176" s="188"/>
      <c r="FC176" s="188"/>
      <c r="FD176" s="188"/>
      <c r="FE176" s="188"/>
      <c r="FF176" s="188"/>
      <c r="FG176" s="188"/>
      <c r="FH176" s="188"/>
      <c r="FI176" s="188"/>
      <c r="FJ176" s="188"/>
      <c r="FK176" s="188"/>
      <c r="FL176" s="188"/>
      <c r="FM176" s="188"/>
      <c r="FN176" s="188"/>
      <c r="FO176" s="189"/>
      <c r="FP176" s="187"/>
      <c r="FQ176" s="188"/>
      <c r="FR176" s="188"/>
      <c r="FS176" s="188"/>
      <c r="FT176" s="189"/>
      <c r="FY176" s="187"/>
      <c r="FZ176" s="188"/>
      <c r="GA176" s="188"/>
      <c r="GB176" s="188"/>
      <c r="GC176" s="188"/>
      <c r="GD176" s="188"/>
      <c r="GE176" s="188"/>
      <c r="GF176" s="188"/>
      <c r="GG176" s="188"/>
      <c r="GH176" s="188"/>
      <c r="GI176" s="188"/>
      <c r="GJ176" s="188"/>
      <c r="GK176" s="188"/>
      <c r="GL176" s="188"/>
      <c r="GM176" s="188"/>
      <c r="GN176" s="188"/>
      <c r="GO176" s="188"/>
      <c r="GP176" s="188"/>
      <c r="GQ176" s="188"/>
      <c r="GR176" s="188"/>
      <c r="GS176" s="188"/>
      <c r="GT176" s="188"/>
      <c r="GU176" s="188"/>
      <c r="GV176" s="188"/>
      <c r="GW176" s="188"/>
      <c r="GX176" s="188"/>
      <c r="GY176" s="188"/>
      <c r="GZ176" s="188"/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8"/>
      <c r="HL176" s="189"/>
      <c r="HM176" s="187"/>
      <c r="HN176" s="188"/>
      <c r="HO176" s="188"/>
      <c r="HP176" s="188"/>
      <c r="HQ176" s="189"/>
      <c r="HV176" s="14"/>
      <c r="HX176" s="219"/>
      <c r="HY176" s="220"/>
      <c r="HZ176" s="220"/>
      <c r="IA176" s="220"/>
      <c r="IB176" s="220"/>
      <c r="IC176" s="220"/>
      <c r="ID176" s="220"/>
      <c r="IE176" s="220"/>
      <c r="IF176" s="220"/>
      <c r="IG176" s="220"/>
      <c r="IH176" s="220"/>
      <c r="II176" s="220"/>
      <c r="IJ176" s="220"/>
      <c r="IK176" s="220"/>
      <c r="IL176" s="220"/>
      <c r="IM176" s="220"/>
      <c r="IN176" s="220"/>
      <c r="IO176" s="220"/>
      <c r="IP176" s="220"/>
      <c r="IQ176" s="220"/>
      <c r="IR176" s="220"/>
      <c r="IS176" s="220"/>
      <c r="IT176" s="220"/>
      <c r="IU176" s="220"/>
      <c r="IV176" s="220"/>
      <c r="IW176" s="220"/>
      <c r="IX176" s="220"/>
      <c r="IY176" s="220"/>
      <c r="IZ176" s="220"/>
      <c r="JA176" s="220"/>
      <c r="JB176" s="220"/>
      <c r="JC176" s="220"/>
      <c r="JD176" s="220"/>
      <c r="JE176" s="220"/>
      <c r="JF176" s="220"/>
      <c r="JG176" s="220"/>
      <c r="JH176" s="220"/>
      <c r="JI176" s="220"/>
      <c r="JJ176" s="220"/>
      <c r="JK176" s="220"/>
      <c r="JL176" s="187"/>
      <c r="JM176" s="188"/>
      <c r="JN176" s="188"/>
      <c r="JO176" s="188"/>
      <c r="JP176" s="188"/>
      <c r="JQ176" s="189"/>
      <c r="JW176" s="155"/>
      <c r="KC176" s="16"/>
      <c r="KE176" s="187"/>
      <c r="KF176" s="188"/>
      <c r="KG176" s="188"/>
      <c r="KH176" s="188"/>
      <c r="KI176" s="188"/>
      <c r="KJ176" s="188"/>
      <c r="KK176" s="188"/>
      <c r="KL176" s="188"/>
      <c r="KM176" s="188"/>
      <c r="KN176" s="188"/>
      <c r="KO176" s="188"/>
      <c r="KP176" s="188"/>
      <c r="KQ176" s="188"/>
      <c r="KR176" s="188"/>
      <c r="KS176" s="188"/>
      <c r="KT176" s="188"/>
      <c r="KU176" s="188"/>
      <c r="KV176" s="188"/>
      <c r="KW176" s="188"/>
      <c r="KX176" s="188"/>
      <c r="KY176" s="188"/>
      <c r="KZ176" s="188"/>
      <c r="LA176" s="188"/>
      <c r="LB176" s="188"/>
      <c r="LC176" s="188"/>
      <c r="LD176" s="188"/>
      <c r="LE176" s="188"/>
      <c r="LF176" s="188"/>
      <c r="LG176" s="188"/>
      <c r="LH176" s="188"/>
      <c r="LI176" s="188"/>
      <c r="LJ176" s="188"/>
      <c r="LK176" s="188"/>
      <c r="LL176" s="188"/>
      <c r="LM176" s="188"/>
      <c r="LN176" s="188"/>
      <c r="LO176" s="188"/>
      <c r="LP176" s="188"/>
      <c r="LQ176" s="188"/>
      <c r="LR176" s="188"/>
      <c r="LS176" s="189"/>
      <c r="LT176" s="187"/>
      <c r="LU176" s="188"/>
      <c r="LV176" s="188"/>
      <c r="LW176" s="188"/>
      <c r="LX176" s="189"/>
      <c r="ML176" s="12"/>
      <c r="MM176" s="7"/>
      <c r="MN176" s="3"/>
      <c r="MO176" s="3"/>
      <c r="MP176" s="3"/>
      <c r="MQ176" s="3"/>
      <c r="MR176" s="2"/>
      <c r="NF176" s="3"/>
      <c r="NG176" s="3"/>
      <c r="NH176" s="3"/>
      <c r="NI176" s="3"/>
      <c r="NJ176" s="3"/>
      <c r="NK176" s="2"/>
    </row>
    <row r="177" spans="3:375" ht="5.0999999999999996" customHeight="1" x14ac:dyDescent="0.3">
      <c r="C177" s="11"/>
      <c r="D177" s="13"/>
      <c r="Q177" s="187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  <c r="BE177" s="189"/>
      <c r="BF177" s="187"/>
      <c r="BG177" s="188"/>
      <c r="BH177" s="188"/>
      <c r="BI177" s="188"/>
      <c r="BJ177" s="189"/>
      <c r="CD177" s="187"/>
      <c r="CE177" s="188"/>
      <c r="CF177" s="188"/>
      <c r="CG177" s="188"/>
      <c r="CH177" s="188"/>
      <c r="CI177" s="188"/>
      <c r="CJ177" s="188"/>
      <c r="CK177" s="188"/>
      <c r="CL177" s="188"/>
      <c r="CM177" s="188"/>
      <c r="CN177" s="188"/>
      <c r="CO177" s="188"/>
      <c r="CP177" s="188"/>
      <c r="CQ177" s="188"/>
      <c r="CR177" s="188"/>
      <c r="CS177" s="188"/>
      <c r="CT177" s="188"/>
      <c r="CU177" s="188"/>
      <c r="CV177" s="188"/>
      <c r="CW177" s="188"/>
      <c r="CX177" s="188"/>
      <c r="CY177" s="188"/>
      <c r="CZ177" s="188"/>
      <c r="DA177" s="188"/>
      <c r="DB177" s="188"/>
      <c r="DC177" s="188"/>
      <c r="DD177" s="188"/>
      <c r="DE177" s="188"/>
      <c r="DF177" s="188"/>
      <c r="DG177" s="188"/>
      <c r="DH177" s="188"/>
      <c r="DI177" s="188"/>
      <c r="DJ177" s="188"/>
      <c r="DK177" s="188"/>
      <c r="DL177" s="188"/>
      <c r="DM177" s="188"/>
      <c r="DN177" s="188"/>
      <c r="DO177" s="188"/>
      <c r="DP177" s="188"/>
      <c r="DQ177" s="189"/>
      <c r="DR177" s="187"/>
      <c r="DS177" s="188"/>
      <c r="DT177" s="188"/>
      <c r="DU177" s="188"/>
      <c r="DV177" s="189"/>
      <c r="EB177" s="187"/>
      <c r="EC177" s="188"/>
      <c r="ED177" s="188"/>
      <c r="EE177" s="188"/>
      <c r="EF177" s="188"/>
      <c r="EG177" s="188"/>
      <c r="EH177" s="188"/>
      <c r="EI177" s="188"/>
      <c r="EJ177" s="188"/>
      <c r="EK177" s="188"/>
      <c r="EL177" s="188"/>
      <c r="EM177" s="188"/>
      <c r="EN177" s="188"/>
      <c r="EO177" s="188"/>
      <c r="EP177" s="188"/>
      <c r="EQ177" s="188"/>
      <c r="ER177" s="188"/>
      <c r="ES177" s="188"/>
      <c r="ET177" s="188"/>
      <c r="EU177" s="188"/>
      <c r="EV177" s="188"/>
      <c r="EW177" s="188"/>
      <c r="EX177" s="188"/>
      <c r="EY177" s="188"/>
      <c r="EZ177" s="188"/>
      <c r="FA177" s="188"/>
      <c r="FB177" s="188"/>
      <c r="FC177" s="188"/>
      <c r="FD177" s="188"/>
      <c r="FE177" s="188"/>
      <c r="FF177" s="188"/>
      <c r="FG177" s="188"/>
      <c r="FH177" s="188"/>
      <c r="FI177" s="188"/>
      <c r="FJ177" s="188"/>
      <c r="FK177" s="188"/>
      <c r="FL177" s="188"/>
      <c r="FM177" s="188"/>
      <c r="FN177" s="188"/>
      <c r="FO177" s="189"/>
      <c r="FP177" s="187"/>
      <c r="FQ177" s="188"/>
      <c r="FR177" s="188"/>
      <c r="FS177" s="188"/>
      <c r="FT177" s="189"/>
      <c r="FY177" s="187"/>
      <c r="FZ177" s="188"/>
      <c r="GA177" s="188"/>
      <c r="GB177" s="188"/>
      <c r="GC177" s="188"/>
      <c r="GD177" s="188"/>
      <c r="GE177" s="188"/>
      <c r="GF177" s="188"/>
      <c r="GG177" s="188"/>
      <c r="GH177" s="188"/>
      <c r="GI177" s="188"/>
      <c r="GJ177" s="188"/>
      <c r="GK177" s="188"/>
      <c r="GL177" s="188"/>
      <c r="GM177" s="188"/>
      <c r="GN177" s="188"/>
      <c r="GO177" s="188"/>
      <c r="GP177" s="188"/>
      <c r="GQ177" s="188"/>
      <c r="GR177" s="188"/>
      <c r="GS177" s="188"/>
      <c r="GT177" s="188"/>
      <c r="GU177" s="188"/>
      <c r="GV177" s="188"/>
      <c r="GW177" s="188"/>
      <c r="GX177" s="188"/>
      <c r="GY177" s="188"/>
      <c r="GZ177" s="188"/>
      <c r="HA177" s="188"/>
      <c r="HB177" s="188"/>
      <c r="HC177" s="188"/>
      <c r="HD177" s="188"/>
      <c r="HE177" s="188"/>
      <c r="HF177" s="188"/>
      <c r="HG177" s="188"/>
      <c r="HH177" s="188"/>
      <c r="HI177" s="188"/>
      <c r="HJ177" s="188"/>
      <c r="HK177" s="188"/>
      <c r="HL177" s="189"/>
      <c r="HM177" s="187"/>
      <c r="HN177" s="188"/>
      <c r="HO177" s="188"/>
      <c r="HP177" s="188"/>
      <c r="HQ177" s="189"/>
      <c r="HV177" s="14"/>
      <c r="HX177" s="219"/>
      <c r="HY177" s="220"/>
      <c r="HZ177" s="220"/>
      <c r="IA177" s="220"/>
      <c r="IB177" s="220"/>
      <c r="IC177" s="220"/>
      <c r="ID177" s="220"/>
      <c r="IE177" s="220"/>
      <c r="IF177" s="220"/>
      <c r="IG177" s="220"/>
      <c r="IH177" s="220"/>
      <c r="II177" s="220"/>
      <c r="IJ177" s="220"/>
      <c r="IK177" s="220"/>
      <c r="IL177" s="220"/>
      <c r="IM177" s="220"/>
      <c r="IN177" s="220"/>
      <c r="IO177" s="220"/>
      <c r="IP177" s="220"/>
      <c r="IQ177" s="220"/>
      <c r="IR177" s="220"/>
      <c r="IS177" s="220"/>
      <c r="IT177" s="220"/>
      <c r="IU177" s="220"/>
      <c r="IV177" s="220"/>
      <c r="IW177" s="220"/>
      <c r="IX177" s="220"/>
      <c r="IY177" s="220"/>
      <c r="IZ177" s="220"/>
      <c r="JA177" s="220"/>
      <c r="JB177" s="220"/>
      <c r="JC177" s="220"/>
      <c r="JD177" s="220"/>
      <c r="JE177" s="220"/>
      <c r="JF177" s="220"/>
      <c r="JG177" s="220"/>
      <c r="JH177" s="220"/>
      <c r="JI177" s="220"/>
      <c r="JJ177" s="220"/>
      <c r="JK177" s="220"/>
      <c r="JL177" s="187"/>
      <c r="JM177" s="188"/>
      <c r="JN177" s="188"/>
      <c r="JO177" s="188"/>
      <c r="JP177" s="188"/>
      <c r="JQ177" s="189"/>
      <c r="JW177" s="155"/>
      <c r="KC177" s="16"/>
      <c r="KE177" s="187"/>
      <c r="KF177" s="188"/>
      <c r="KG177" s="188"/>
      <c r="KH177" s="188"/>
      <c r="KI177" s="188"/>
      <c r="KJ177" s="188"/>
      <c r="KK177" s="188"/>
      <c r="KL177" s="188"/>
      <c r="KM177" s="188"/>
      <c r="KN177" s="188"/>
      <c r="KO177" s="188"/>
      <c r="KP177" s="188"/>
      <c r="KQ177" s="188"/>
      <c r="KR177" s="188"/>
      <c r="KS177" s="188"/>
      <c r="KT177" s="188"/>
      <c r="KU177" s="188"/>
      <c r="KV177" s="188"/>
      <c r="KW177" s="188"/>
      <c r="KX177" s="188"/>
      <c r="KY177" s="188"/>
      <c r="KZ177" s="188"/>
      <c r="LA177" s="188"/>
      <c r="LB177" s="188"/>
      <c r="LC177" s="188"/>
      <c r="LD177" s="188"/>
      <c r="LE177" s="188"/>
      <c r="LF177" s="188"/>
      <c r="LG177" s="188"/>
      <c r="LH177" s="188"/>
      <c r="LI177" s="188"/>
      <c r="LJ177" s="188"/>
      <c r="LK177" s="188"/>
      <c r="LL177" s="188"/>
      <c r="LM177" s="188"/>
      <c r="LN177" s="188"/>
      <c r="LO177" s="188"/>
      <c r="LP177" s="188"/>
      <c r="LQ177" s="188"/>
      <c r="LR177" s="188"/>
      <c r="LS177" s="189"/>
      <c r="LT177" s="187"/>
      <c r="LU177" s="188"/>
      <c r="LV177" s="188"/>
      <c r="LW177" s="188"/>
      <c r="LX177" s="189"/>
      <c r="ML177" s="12"/>
      <c r="MM177" s="7"/>
    </row>
    <row r="178" spans="3:375" ht="5.0999999999999996" customHeight="1" x14ac:dyDescent="0.3">
      <c r="C178" s="11"/>
      <c r="D178" s="13"/>
      <c r="Q178" s="187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  <c r="BD178" s="188"/>
      <c r="BE178" s="189"/>
      <c r="BF178" s="187"/>
      <c r="BG178" s="188"/>
      <c r="BH178" s="188"/>
      <c r="BI178" s="188"/>
      <c r="BJ178" s="189"/>
      <c r="CD178" s="187"/>
      <c r="CE178" s="188"/>
      <c r="CF178" s="188"/>
      <c r="CG178" s="188"/>
      <c r="CH178" s="188"/>
      <c r="CI178" s="188"/>
      <c r="CJ178" s="188"/>
      <c r="CK178" s="188"/>
      <c r="CL178" s="188"/>
      <c r="CM178" s="188"/>
      <c r="CN178" s="188"/>
      <c r="CO178" s="188"/>
      <c r="CP178" s="188"/>
      <c r="CQ178" s="188"/>
      <c r="CR178" s="188"/>
      <c r="CS178" s="188"/>
      <c r="CT178" s="188"/>
      <c r="CU178" s="188"/>
      <c r="CV178" s="188"/>
      <c r="CW178" s="188"/>
      <c r="CX178" s="188"/>
      <c r="CY178" s="188"/>
      <c r="CZ178" s="188"/>
      <c r="DA178" s="188"/>
      <c r="DB178" s="188"/>
      <c r="DC178" s="188"/>
      <c r="DD178" s="188"/>
      <c r="DE178" s="188"/>
      <c r="DF178" s="188"/>
      <c r="DG178" s="188"/>
      <c r="DH178" s="188"/>
      <c r="DI178" s="188"/>
      <c r="DJ178" s="188"/>
      <c r="DK178" s="188"/>
      <c r="DL178" s="188"/>
      <c r="DM178" s="188"/>
      <c r="DN178" s="188"/>
      <c r="DO178" s="188"/>
      <c r="DP178" s="188"/>
      <c r="DQ178" s="189"/>
      <c r="DR178" s="187"/>
      <c r="DS178" s="188"/>
      <c r="DT178" s="188"/>
      <c r="DU178" s="188"/>
      <c r="DV178" s="189"/>
      <c r="EB178" s="187"/>
      <c r="EC178" s="188"/>
      <c r="ED178" s="188"/>
      <c r="EE178" s="188"/>
      <c r="EF178" s="188"/>
      <c r="EG178" s="188"/>
      <c r="EH178" s="188"/>
      <c r="EI178" s="188"/>
      <c r="EJ178" s="188"/>
      <c r="EK178" s="188"/>
      <c r="EL178" s="188"/>
      <c r="EM178" s="188"/>
      <c r="EN178" s="188"/>
      <c r="EO178" s="188"/>
      <c r="EP178" s="188"/>
      <c r="EQ178" s="188"/>
      <c r="ER178" s="188"/>
      <c r="ES178" s="188"/>
      <c r="ET178" s="188"/>
      <c r="EU178" s="188"/>
      <c r="EV178" s="188"/>
      <c r="EW178" s="188"/>
      <c r="EX178" s="188"/>
      <c r="EY178" s="188"/>
      <c r="EZ178" s="188"/>
      <c r="FA178" s="188"/>
      <c r="FB178" s="188"/>
      <c r="FC178" s="188"/>
      <c r="FD178" s="188"/>
      <c r="FE178" s="188"/>
      <c r="FF178" s="188"/>
      <c r="FG178" s="188"/>
      <c r="FH178" s="188"/>
      <c r="FI178" s="188"/>
      <c r="FJ178" s="188"/>
      <c r="FK178" s="188"/>
      <c r="FL178" s="188"/>
      <c r="FM178" s="188"/>
      <c r="FN178" s="188"/>
      <c r="FO178" s="189"/>
      <c r="FP178" s="187"/>
      <c r="FQ178" s="188"/>
      <c r="FR178" s="188"/>
      <c r="FS178" s="188"/>
      <c r="FT178" s="189"/>
      <c r="FY178" s="187"/>
      <c r="FZ178" s="188"/>
      <c r="GA178" s="188"/>
      <c r="GB178" s="188"/>
      <c r="GC178" s="188"/>
      <c r="GD178" s="188"/>
      <c r="GE178" s="188"/>
      <c r="GF178" s="188"/>
      <c r="GG178" s="188"/>
      <c r="GH178" s="188"/>
      <c r="GI178" s="188"/>
      <c r="GJ178" s="188"/>
      <c r="GK178" s="188"/>
      <c r="GL178" s="188"/>
      <c r="GM178" s="188"/>
      <c r="GN178" s="188"/>
      <c r="GO178" s="188"/>
      <c r="GP178" s="188"/>
      <c r="GQ178" s="188"/>
      <c r="GR178" s="188"/>
      <c r="GS178" s="188"/>
      <c r="GT178" s="188"/>
      <c r="GU178" s="188"/>
      <c r="GV178" s="188"/>
      <c r="GW178" s="188"/>
      <c r="GX178" s="188"/>
      <c r="GY178" s="188"/>
      <c r="GZ178" s="188"/>
      <c r="HA178" s="188"/>
      <c r="HB178" s="188"/>
      <c r="HC178" s="188"/>
      <c r="HD178" s="188"/>
      <c r="HE178" s="188"/>
      <c r="HF178" s="188"/>
      <c r="HG178" s="188"/>
      <c r="HH178" s="188"/>
      <c r="HI178" s="188"/>
      <c r="HJ178" s="188"/>
      <c r="HK178" s="188"/>
      <c r="HL178" s="189"/>
      <c r="HM178" s="187"/>
      <c r="HN178" s="188"/>
      <c r="HO178" s="188"/>
      <c r="HP178" s="188"/>
      <c r="HQ178" s="189"/>
      <c r="HV178" s="14"/>
      <c r="HX178" s="219"/>
      <c r="HY178" s="220"/>
      <c r="HZ178" s="220"/>
      <c r="IA178" s="220"/>
      <c r="IB178" s="220"/>
      <c r="IC178" s="220"/>
      <c r="ID178" s="220"/>
      <c r="IE178" s="220"/>
      <c r="IF178" s="220"/>
      <c r="IG178" s="220"/>
      <c r="IH178" s="220"/>
      <c r="II178" s="220"/>
      <c r="IJ178" s="220"/>
      <c r="IK178" s="220"/>
      <c r="IL178" s="220"/>
      <c r="IM178" s="220"/>
      <c r="IN178" s="220"/>
      <c r="IO178" s="220"/>
      <c r="IP178" s="220"/>
      <c r="IQ178" s="220"/>
      <c r="IR178" s="220"/>
      <c r="IS178" s="220"/>
      <c r="IT178" s="220"/>
      <c r="IU178" s="220"/>
      <c r="IV178" s="220"/>
      <c r="IW178" s="220"/>
      <c r="IX178" s="220"/>
      <c r="IY178" s="220"/>
      <c r="IZ178" s="220"/>
      <c r="JA178" s="220"/>
      <c r="JB178" s="220"/>
      <c r="JC178" s="220"/>
      <c r="JD178" s="220"/>
      <c r="JE178" s="220"/>
      <c r="JF178" s="220"/>
      <c r="JG178" s="220"/>
      <c r="JH178" s="220"/>
      <c r="JI178" s="220"/>
      <c r="JJ178" s="220"/>
      <c r="JK178" s="220"/>
      <c r="JL178" s="187"/>
      <c r="JM178" s="188"/>
      <c r="JN178" s="188"/>
      <c r="JO178" s="188"/>
      <c r="JP178" s="188"/>
      <c r="JQ178" s="189"/>
      <c r="JW178" s="155"/>
      <c r="KC178" s="16"/>
      <c r="KE178" s="187"/>
      <c r="KF178" s="188"/>
      <c r="KG178" s="188"/>
      <c r="KH178" s="188"/>
      <c r="KI178" s="188"/>
      <c r="KJ178" s="188"/>
      <c r="KK178" s="188"/>
      <c r="KL178" s="188"/>
      <c r="KM178" s="188"/>
      <c r="KN178" s="188"/>
      <c r="KO178" s="188"/>
      <c r="KP178" s="188"/>
      <c r="KQ178" s="188"/>
      <c r="KR178" s="188"/>
      <c r="KS178" s="188"/>
      <c r="KT178" s="188"/>
      <c r="KU178" s="188"/>
      <c r="KV178" s="188"/>
      <c r="KW178" s="188"/>
      <c r="KX178" s="188"/>
      <c r="KY178" s="188"/>
      <c r="KZ178" s="188"/>
      <c r="LA178" s="188"/>
      <c r="LB178" s="188"/>
      <c r="LC178" s="188"/>
      <c r="LD178" s="188"/>
      <c r="LE178" s="188"/>
      <c r="LF178" s="188"/>
      <c r="LG178" s="188"/>
      <c r="LH178" s="188"/>
      <c r="LI178" s="188"/>
      <c r="LJ178" s="188"/>
      <c r="LK178" s="188"/>
      <c r="LL178" s="188"/>
      <c r="LM178" s="188"/>
      <c r="LN178" s="188"/>
      <c r="LO178" s="188"/>
      <c r="LP178" s="188"/>
      <c r="LQ178" s="188"/>
      <c r="LR178" s="188"/>
      <c r="LS178" s="189"/>
      <c r="LT178" s="187"/>
      <c r="LU178" s="188"/>
      <c r="LV178" s="188"/>
      <c r="LW178" s="188"/>
      <c r="LX178" s="189"/>
      <c r="ML178" s="12"/>
      <c r="MM178" s="7"/>
    </row>
    <row r="179" spans="3:375" ht="5.0999999999999996" customHeight="1" x14ac:dyDescent="0.3">
      <c r="C179" s="11"/>
      <c r="D179" s="13"/>
      <c r="Q179" s="187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  <c r="BD179" s="188"/>
      <c r="BE179" s="189"/>
      <c r="BF179" s="187"/>
      <c r="BG179" s="188"/>
      <c r="BH179" s="188"/>
      <c r="BI179" s="188"/>
      <c r="BJ179" s="189"/>
      <c r="CD179" s="187"/>
      <c r="CE179" s="188"/>
      <c r="CF179" s="188"/>
      <c r="CG179" s="188"/>
      <c r="CH179" s="188"/>
      <c r="CI179" s="188"/>
      <c r="CJ179" s="188"/>
      <c r="CK179" s="188"/>
      <c r="CL179" s="188"/>
      <c r="CM179" s="188"/>
      <c r="CN179" s="188"/>
      <c r="CO179" s="188"/>
      <c r="CP179" s="188"/>
      <c r="CQ179" s="188"/>
      <c r="CR179" s="188"/>
      <c r="CS179" s="188"/>
      <c r="CT179" s="188"/>
      <c r="CU179" s="188"/>
      <c r="CV179" s="188"/>
      <c r="CW179" s="188"/>
      <c r="CX179" s="188"/>
      <c r="CY179" s="188"/>
      <c r="CZ179" s="188"/>
      <c r="DA179" s="188"/>
      <c r="DB179" s="188"/>
      <c r="DC179" s="188"/>
      <c r="DD179" s="188"/>
      <c r="DE179" s="188"/>
      <c r="DF179" s="188"/>
      <c r="DG179" s="188"/>
      <c r="DH179" s="188"/>
      <c r="DI179" s="188"/>
      <c r="DJ179" s="188"/>
      <c r="DK179" s="188"/>
      <c r="DL179" s="188"/>
      <c r="DM179" s="188"/>
      <c r="DN179" s="188"/>
      <c r="DO179" s="188"/>
      <c r="DP179" s="188"/>
      <c r="DQ179" s="189"/>
      <c r="DR179" s="187"/>
      <c r="DS179" s="188"/>
      <c r="DT179" s="188"/>
      <c r="DU179" s="188"/>
      <c r="DV179" s="189"/>
      <c r="EB179" s="187"/>
      <c r="EC179" s="188"/>
      <c r="ED179" s="188"/>
      <c r="EE179" s="188"/>
      <c r="EF179" s="188"/>
      <c r="EG179" s="188"/>
      <c r="EH179" s="188"/>
      <c r="EI179" s="188"/>
      <c r="EJ179" s="188"/>
      <c r="EK179" s="188"/>
      <c r="EL179" s="188"/>
      <c r="EM179" s="188"/>
      <c r="EN179" s="188"/>
      <c r="EO179" s="188"/>
      <c r="EP179" s="188"/>
      <c r="EQ179" s="188"/>
      <c r="ER179" s="188"/>
      <c r="ES179" s="188"/>
      <c r="ET179" s="188"/>
      <c r="EU179" s="188"/>
      <c r="EV179" s="188"/>
      <c r="EW179" s="188"/>
      <c r="EX179" s="188"/>
      <c r="EY179" s="188"/>
      <c r="EZ179" s="188"/>
      <c r="FA179" s="188"/>
      <c r="FB179" s="188"/>
      <c r="FC179" s="188"/>
      <c r="FD179" s="188"/>
      <c r="FE179" s="188"/>
      <c r="FF179" s="188"/>
      <c r="FG179" s="188"/>
      <c r="FH179" s="188"/>
      <c r="FI179" s="188"/>
      <c r="FJ179" s="188"/>
      <c r="FK179" s="188"/>
      <c r="FL179" s="188"/>
      <c r="FM179" s="188"/>
      <c r="FN179" s="188"/>
      <c r="FO179" s="189"/>
      <c r="FP179" s="187"/>
      <c r="FQ179" s="188"/>
      <c r="FR179" s="188"/>
      <c r="FS179" s="188"/>
      <c r="FT179" s="189"/>
      <c r="FY179" s="187"/>
      <c r="FZ179" s="188"/>
      <c r="GA179" s="188"/>
      <c r="GB179" s="188"/>
      <c r="GC179" s="188"/>
      <c r="GD179" s="188"/>
      <c r="GE179" s="188"/>
      <c r="GF179" s="188"/>
      <c r="GG179" s="188"/>
      <c r="GH179" s="188"/>
      <c r="GI179" s="188"/>
      <c r="GJ179" s="188"/>
      <c r="GK179" s="188"/>
      <c r="GL179" s="188"/>
      <c r="GM179" s="188"/>
      <c r="GN179" s="188"/>
      <c r="GO179" s="188"/>
      <c r="GP179" s="188"/>
      <c r="GQ179" s="188"/>
      <c r="GR179" s="188"/>
      <c r="GS179" s="188"/>
      <c r="GT179" s="188"/>
      <c r="GU179" s="188"/>
      <c r="GV179" s="188"/>
      <c r="GW179" s="188"/>
      <c r="GX179" s="188"/>
      <c r="GY179" s="188"/>
      <c r="GZ179" s="188"/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8"/>
      <c r="HL179" s="189"/>
      <c r="HM179" s="187"/>
      <c r="HN179" s="188"/>
      <c r="HO179" s="188"/>
      <c r="HP179" s="188"/>
      <c r="HQ179" s="189"/>
      <c r="HV179" s="14"/>
      <c r="HX179" s="219"/>
      <c r="HY179" s="220"/>
      <c r="HZ179" s="220"/>
      <c r="IA179" s="220"/>
      <c r="IB179" s="220"/>
      <c r="IC179" s="220"/>
      <c r="ID179" s="220"/>
      <c r="IE179" s="220"/>
      <c r="IF179" s="220"/>
      <c r="IG179" s="220"/>
      <c r="IH179" s="220"/>
      <c r="II179" s="220"/>
      <c r="IJ179" s="220"/>
      <c r="IK179" s="220"/>
      <c r="IL179" s="220"/>
      <c r="IM179" s="220"/>
      <c r="IN179" s="220"/>
      <c r="IO179" s="220"/>
      <c r="IP179" s="220"/>
      <c r="IQ179" s="220"/>
      <c r="IR179" s="220"/>
      <c r="IS179" s="220"/>
      <c r="IT179" s="220"/>
      <c r="IU179" s="220"/>
      <c r="IV179" s="220"/>
      <c r="IW179" s="220"/>
      <c r="IX179" s="220"/>
      <c r="IY179" s="220"/>
      <c r="IZ179" s="220"/>
      <c r="JA179" s="220"/>
      <c r="JB179" s="220"/>
      <c r="JC179" s="220"/>
      <c r="JD179" s="220"/>
      <c r="JE179" s="220"/>
      <c r="JF179" s="220"/>
      <c r="JG179" s="220"/>
      <c r="JH179" s="220"/>
      <c r="JI179" s="220"/>
      <c r="JJ179" s="220"/>
      <c r="JK179" s="220"/>
      <c r="JL179" s="187"/>
      <c r="JM179" s="188"/>
      <c r="JN179" s="188"/>
      <c r="JO179" s="188"/>
      <c r="JP179" s="188"/>
      <c r="JQ179" s="189"/>
      <c r="JW179" s="155"/>
      <c r="KC179" s="16"/>
      <c r="KE179" s="190"/>
      <c r="KF179" s="191"/>
      <c r="KG179" s="191"/>
      <c r="KH179" s="191"/>
      <c r="KI179" s="191"/>
      <c r="KJ179" s="191"/>
      <c r="KK179" s="191"/>
      <c r="KL179" s="191"/>
      <c r="KM179" s="191"/>
      <c r="KN179" s="191"/>
      <c r="KO179" s="191"/>
      <c r="KP179" s="191"/>
      <c r="KQ179" s="191"/>
      <c r="KR179" s="191"/>
      <c r="KS179" s="191"/>
      <c r="KT179" s="191"/>
      <c r="KU179" s="191"/>
      <c r="KV179" s="191"/>
      <c r="KW179" s="191"/>
      <c r="KX179" s="191"/>
      <c r="KY179" s="191"/>
      <c r="KZ179" s="191"/>
      <c r="LA179" s="191"/>
      <c r="LB179" s="191"/>
      <c r="LC179" s="191"/>
      <c r="LD179" s="191"/>
      <c r="LE179" s="191"/>
      <c r="LF179" s="191"/>
      <c r="LG179" s="191"/>
      <c r="LH179" s="191"/>
      <c r="LI179" s="191"/>
      <c r="LJ179" s="191"/>
      <c r="LK179" s="191"/>
      <c r="LL179" s="191"/>
      <c r="LM179" s="191"/>
      <c r="LN179" s="191"/>
      <c r="LO179" s="191"/>
      <c r="LP179" s="191"/>
      <c r="LQ179" s="191"/>
      <c r="LR179" s="191"/>
      <c r="LS179" s="192"/>
      <c r="LT179" s="190"/>
      <c r="LU179" s="191"/>
      <c r="LV179" s="191"/>
      <c r="LW179" s="191"/>
      <c r="LX179" s="192"/>
      <c r="ML179" s="12"/>
      <c r="MM179" s="7"/>
    </row>
    <row r="180" spans="3:375" ht="5.0999999999999996" customHeight="1" x14ac:dyDescent="0.3">
      <c r="C180" s="11"/>
      <c r="D180" s="13"/>
      <c r="Q180" s="190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2"/>
      <c r="BF180" s="190"/>
      <c r="BG180" s="191"/>
      <c r="BH180" s="191"/>
      <c r="BI180" s="191"/>
      <c r="BJ180" s="192"/>
      <c r="CD180" s="187"/>
      <c r="CE180" s="188"/>
      <c r="CF180" s="188"/>
      <c r="CG180" s="188"/>
      <c r="CH180" s="188"/>
      <c r="CI180" s="188"/>
      <c r="CJ180" s="188"/>
      <c r="CK180" s="188"/>
      <c r="CL180" s="188"/>
      <c r="CM180" s="188"/>
      <c r="CN180" s="188"/>
      <c r="CO180" s="188"/>
      <c r="CP180" s="188"/>
      <c r="CQ180" s="188"/>
      <c r="CR180" s="188"/>
      <c r="CS180" s="188"/>
      <c r="CT180" s="188"/>
      <c r="CU180" s="188"/>
      <c r="CV180" s="188"/>
      <c r="CW180" s="188"/>
      <c r="CX180" s="188"/>
      <c r="CY180" s="188"/>
      <c r="CZ180" s="188"/>
      <c r="DA180" s="188"/>
      <c r="DB180" s="188"/>
      <c r="DC180" s="188"/>
      <c r="DD180" s="188"/>
      <c r="DE180" s="188"/>
      <c r="DF180" s="188"/>
      <c r="DG180" s="188"/>
      <c r="DH180" s="188"/>
      <c r="DI180" s="188"/>
      <c r="DJ180" s="188"/>
      <c r="DK180" s="188"/>
      <c r="DL180" s="188"/>
      <c r="DM180" s="188"/>
      <c r="DN180" s="188"/>
      <c r="DO180" s="188"/>
      <c r="DP180" s="188"/>
      <c r="DQ180" s="189"/>
      <c r="DR180" s="187"/>
      <c r="DS180" s="188"/>
      <c r="DT180" s="188"/>
      <c r="DU180" s="188"/>
      <c r="DV180" s="189"/>
      <c r="EB180" s="190"/>
      <c r="EC180" s="191"/>
      <c r="ED180" s="191"/>
      <c r="EE180" s="191"/>
      <c r="EF180" s="191"/>
      <c r="EG180" s="191"/>
      <c r="EH180" s="191"/>
      <c r="EI180" s="191"/>
      <c r="EJ180" s="191"/>
      <c r="EK180" s="191"/>
      <c r="EL180" s="191"/>
      <c r="EM180" s="191"/>
      <c r="EN180" s="191"/>
      <c r="EO180" s="191"/>
      <c r="EP180" s="191"/>
      <c r="EQ180" s="191"/>
      <c r="ER180" s="191"/>
      <c r="ES180" s="191"/>
      <c r="ET180" s="191"/>
      <c r="EU180" s="191"/>
      <c r="EV180" s="191"/>
      <c r="EW180" s="191"/>
      <c r="EX180" s="191"/>
      <c r="EY180" s="191"/>
      <c r="EZ180" s="191"/>
      <c r="FA180" s="191"/>
      <c r="FB180" s="191"/>
      <c r="FC180" s="191"/>
      <c r="FD180" s="191"/>
      <c r="FE180" s="191"/>
      <c r="FF180" s="191"/>
      <c r="FG180" s="191"/>
      <c r="FH180" s="191"/>
      <c r="FI180" s="191"/>
      <c r="FJ180" s="191"/>
      <c r="FK180" s="191"/>
      <c r="FL180" s="191"/>
      <c r="FM180" s="191"/>
      <c r="FN180" s="191"/>
      <c r="FO180" s="192"/>
      <c r="FP180" s="190"/>
      <c r="FQ180" s="191"/>
      <c r="FR180" s="191"/>
      <c r="FS180" s="191"/>
      <c r="FT180" s="192"/>
      <c r="FY180" s="190"/>
      <c r="FZ180" s="191"/>
      <c r="GA180" s="191"/>
      <c r="GB180" s="191"/>
      <c r="GC180" s="191"/>
      <c r="GD180" s="191"/>
      <c r="GE180" s="191"/>
      <c r="GF180" s="191"/>
      <c r="GG180" s="191"/>
      <c r="GH180" s="191"/>
      <c r="GI180" s="191"/>
      <c r="GJ180" s="191"/>
      <c r="GK180" s="191"/>
      <c r="GL180" s="191"/>
      <c r="GM180" s="191"/>
      <c r="GN180" s="191"/>
      <c r="GO180" s="191"/>
      <c r="GP180" s="191"/>
      <c r="GQ180" s="191"/>
      <c r="GR180" s="191"/>
      <c r="GS180" s="191"/>
      <c r="GT180" s="191"/>
      <c r="GU180" s="191"/>
      <c r="GV180" s="191"/>
      <c r="GW180" s="191"/>
      <c r="GX180" s="191"/>
      <c r="GY180" s="191"/>
      <c r="GZ180" s="191"/>
      <c r="HA180" s="191"/>
      <c r="HB180" s="191"/>
      <c r="HC180" s="191"/>
      <c r="HD180" s="191"/>
      <c r="HE180" s="191"/>
      <c r="HF180" s="191"/>
      <c r="HG180" s="191"/>
      <c r="HH180" s="191"/>
      <c r="HI180" s="191"/>
      <c r="HJ180" s="191"/>
      <c r="HK180" s="191"/>
      <c r="HL180" s="192"/>
      <c r="HM180" s="190"/>
      <c r="HN180" s="191"/>
      <c r="HO180" s="191"/>
      <c r="HP180" s="191"/>
      <c r="HQ180" s="192"/>
      <c r="HV180" s="14"/>
      <c r="HX180" s="222"/>
      <c r="HY180" s="223"/>
      <c r="HZ180" s="223"/>
      <c r="IA180" s="223"/>
      <c r="IB180" s="223"/>
      <c r="IC180" s="223"/>
      <c r="ID180" s="223"/>
      <c r="IE180" s="223"/>
      <c r="IF180" s="223"/>
      <c r="IG180" s="223"/>
      <c r="IH180" s="223"/>
      <c r="II180" s="223"/>
      <c r="IJ180" s="223"/>
      <c r="IK180" s="223"/>
      <c r="IL180" s="223"/>
      <c r="IM180" s="223"/>
      <c r="IN180" s="223"/>
      <c r="IO180" s="223"/>
      <c r="IP180" s="223"/>
      <c r="IQ180" s="223"/>
      <c r="IR180" s="223"/>
      <c r="IS180" s="223"/>
      <c r="IT180" s="223"/>
      <c r="IU180" s="223"/>
      <c r="IV180" s="223"/>
      <c r="IW180" s="223"/>
      <c r="IX180" s="223"/>
      <c r="IY180" s="223"/>
      <c r="IZ180" s="223"/>
      <c r="JA180" s="223"/>
      <c r="JB180" s="223"/>
      <c r="JC180" s="223"/>
      <c r="JD180" s="223"/>
      <c r="JE180" s="223"/>
      <c r="JF180" s="223"/>
      <c r="JG180" s="223"/>
      <c r="JH180" s="223"/>
      <c r="JI180" s="223"/>
      <c r="JJ180" s="223"/>
      <c r="JK180" s="223"/>
      <c r="JL180" s="190"/>
      <c r="JM180" s="191"/>
      <c r="JN180" s="191"/>
      <c r="JO180" s="191"/>
      <c r="JP180" s="191"/>
      <c r="JQ180" s="192"/>
      <c r="JW180" s="155"/>
      <c r="KC180" s="16"/>
      <c r="KE180" s="184" t="s">
        <v>42</v>
      </c>
      <c r="KF180" s="185"/>
      <c r="KG180" s="185"/>
      <c r="KH180" s="185"/>
      <c r="KI180" s="185"/>
      <c r="KJ180" s="185"/>
      <c r="KK180" s="185"/>
      <c r="KL180" s="185"/>
      <c r="KM180" s="185"/>
      <c r="KN180" s="185"/>
      <c r="KO180" s="185"/>
      <c r="KP180" s="185"/>
      <c r="KQ180" s="185"/>
      <c r="KR180" s="185"/>
      <c r="KS180" s="185"/>
      <c r="KT180" s="185"/>
      <c r="KU180" s="185"/>
      <c r="KV180" s="185"/>
      <c r="KW180" s="185"/>
      <c r="KX180" s="185"/>
      <c r="KY180" s="185"/>
      <c r="KZ180" s="185"/>
      <c r="LA180" s="185"/>
      <c r="LB180" s="185"/>
      <c r="LC180" s="185"/>
      <c r="LD180" s="185"/>
      <c r="LE180" s="185"/>
      <c r="LF180" s="185"/>
      <c r="LG180" s="185"/>
      <c r="LH180" s="185"/>
      <c r="LI180" s="185"/>
      <c r="LJ180" s="185"/>
      <c r="LK180" s="185"/>
      <c r="LL180" s="185"/>
      <c r="LM180" s="185"/>
      <c r="LN180" s="185"/>
      <c r="LO180" s="185"/>
      <c r="LP180" s="185"/>
      <c r="LQ180" s="185"/>
      <c r="LR180" s="185"/>
      <c r="LS180" s="186"/>
      <c r="LT180" s="184">
        <v>1</v>
      </c>
      <c r="LU180" s="185"/>
      <c r="LV180" s="185"/>
      <c r="LW180" s="185"/>
      <c r="LX180" s="186"/>
      <c r="ML180" s="12"/>
      <c r="MM180" s="7"/>
    </row>
    <row r="181" spans="3:375" ht="5.0999999999999996" customHeight="1" x14ac:dyDescent="0.3">
      <c r="C181" s="11"/>
      <c r="D181" s="13"/>
      <c r="Q181" s="184" t="s">
        <v>42</v>
      </c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6"/>
      <c r="BF181" s="184">
        <v>1</v>
      </c>
      <c r="BG181" s="185"/>
      <c r="BH181" s="185"/>
      <c r="BI181" s="185"/>
      <c r="BJ181" s="186"/>
      <c r="CD181" s="187"/>
      <c r="CE181" s="188"/>
      <c r="CF181" s="188"/>
      <c r="CG181" s="188"/>
      <c r="CH181" s="188"/>
      <c r="CI181" s="188"/>
      <c r="CJ181" s="188"/>
      <c r="CK181" s="188"/>
      <c r="CL181" s="188"/>
      <c r="CM181" s="188"/>
      <c r="CN181" s="188"/>
      <c r="CO181" s="188"/>
      <c r="CP181" s="188"/>
      <c r="CQ181" s="188"/>
      <c r="CR181" s="188"/>
      <c r="CS181" s="188"/>
      <c r="CT181" s="188"/>
      <c r="CU181" s="188"/>
      <c r="CV181" s="188"/>
      <c r="CW181" s="188"/>
      <c r="CX181" s="188"/>
      <c r="CY181" s="188"/>
      <c r="CZ181" s="188"/>
      <c r="DA181" s="188"/>
      <c r="DB181" s="188"/>
      <c r="DC181" s="188"/>
      <c r="DD181" s="188"/>
      <c r="DE181" s="188"/>
      <c r="DF181" s="188"/>
      <c r="DG181" s="188"/>
      <c r="DH181" s="188"/>
      <c r="DI181" s="188"/>
      <c r="DJ181" s="188"/>
      <c r="DK181" s="188"/>
      <c r="DL181" s="188"/>
      <c r="DM181" s="188"/>
      <c r="DN181" s="188"/>
      <c r="DO181" s="188"/>
      <c r="DP181" s="188"/>
      <c r="DQ181" s="189"/>
      <c r="DR181" s="187"/>
      <c r="DS181" s="188"/>
      <c r="DT181" s="188"/>
      <c r="DU181" s="188"/>
      <c r="DV181" s="189"/>
      <c r="EB181" s="1" t="s">
        <v>21</v>
      </c>
      <c r="FN181" s="1">
        <v>1</v>
      </c>
      <c r="FP181" s="1">
        <v>4</v>
      </c>
      <c r="FY181" s="184" t="s">
        <v>3</v>
      </c>
      <c r="FZ181" s="185"/>
      <c r="GA181" s="185"/>
      <c r="GB181" s="185"/>
      <c r="GC181" s="185"/>
      <c r="GD181" s="185"/>
      <c r="GE181" s="185"/>
      <c r="GF181" s="185"/>
      <c r="GG181" s="185"/>
      <c r="GH181" s="185"/>
      <c r="GI181" s="185"/>
      <c r="GJ181" s="185"/>
      <c r="GK181" s="185"/>
      <c r="GL181" s="185"/>
      <c r="GM181" s="185"/>
      <c r="GN181" s="185"/>
      <c r="GO181" s="185"/>
      <c r="GP181" s="185"/>
      <c r="GQ181" s="185"/>
      <c r="GR181" s="185"/>
      <c r="GS181" s="185"/>
      <c r="GT181" s="185"/>
      <c r="GU181" s="185"/>
      <c r="GV181" s="185"/>
      <c r="GW181" s="185"/>
      <c r="GX181" s="185"/>
      <c r="GY181" s="185"/>
      <c r="GZ181" s="185"/>
      <c r="HA181" s="185"/>
      <c r="HB181" s="185"/>
      <c r="HC181" s="185"/>
      <c r="HD181" s="185"/>
      <c r="HE181" s="185"/>
      <c r="HF181" s="185"/>
      <c r="HG181" s="185"/>
      <c r="HH181" s="185"/>
      <c r="HI181" s="185"/>
      <c r="HJ181" s="185"/>
      <c r="HK181" s="185"/>
      <c r="HL181" s="186"/>
      <c r="HM181" s="184">
        <v>2</v>
      </c>
      <c r="HN181" s="185"/>
      <c r="HO181" s="185"/>
      <c r="HP181" s="185"/>
      <c r="HQ181" s="186"/>
      <c r="JW181" s="155"/>
      <c r="KC181" s="16"/>
      <c r="KE181" s="187"/>
      <c r="KF181" s="188"/>
      <c r="KG181" s="188"/>
      <c r="KH181" s="188"/>
      <c r="KI181" s="188"/>
      <c r="KJ181" s="188"/>
      <c r="KK181" s="188"/>
      <c r="KL181" s="188"/>
      <c r="KM181" s="188"/>
      <c r="KN181" s="188"/>
      <c r="KO181" s="188"/>
      <c r="KP181" s="188"/>
      <c r="KQ181" s="188"/>
      <c r="KR181" s="188"/>
      <c r="KS181" s="188"/>
      <c r="KT181" s="188"/>
      <c r="KU181" s="188"/>
      <c r="KV181" s="188"/>
      <c r="KW181" s="188"/>
      <c r="KX181" s="188"/>
      <c r="KY181" s="188"/>
      <c r="KZ181" s="188"/>
      <c r="LA181" s="188"/>
      <c r="LB181" s="188"/>
      <c r="LC181" s="188"/>
      <c r="LD181" s="188"/>
      <c r="LE181" s="188"/>
      <c r="LF181" s="188"/>
      <c r="LG181" s="188"/>
      <c r="LH181" s="188"/>
      <c r="LI181" s="188"/>
      <c r="LJ181" s="188"/>
      <c r="LK181" s="188"/>
      <c r="LL181" s="188"/>
      <c r="LM181" s="188"/>
      <c r="LN181" s="188"/>
      <c r="LO181" s="188"/>
      <c r="LP181" s="188"/>
      <c r="LQ181" s="188"/>
      <c r="LR181" s="188"/>
      <c r="LS181" s="189"/>
      <c r="LT181" s="187"/>
      <c r="LU181" s="188"/>
      <c r="LV181" s="188"/>
      <c r="LW181" s="188"/>
      <c r="LX181" s="189"/>
      <c r="ML181" s="12"/>
      <c r="MM181" s="7"/>
    </row>
    <row r="182" spans="3:375" ht="5.0999999999999996" customHeight="1" x14ac:dyDescent="0.3">
      <c r="C182" s="11"/>
      <c r="D182" s="13"/>
      <c r="Q182" s="187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  <c r="BD182" s="188"/>
      <c r="BE182" s="189"/>
      <c r="BF182" s="187"/>
      <c r="BG182" s="188"/>
      <c r="BH182" s="188"/>
      <c r="BI182" s="188"/>
      <c r="BJ182" s="189"/>
      <c r="CD182" s="190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  <c r="CT182" s="191"/>
      <c r="CU182" s="191"/>
      <c r="CV182" s="191"/>
      <c r="CW182" s="191"/>
      <c r="CX182" s="191"/>
      <c r="CY182" s="191"/>
      <c r="CZ182" s="191"/>
      <c r="DA182" s="191"/>
      <c r="DB182" s="191"/>
      <c r="DC182" s="191"/>
      <c r="DD182" s="191"/>
      <c r="DE182" s="191"/>
      <c r="DF182" s="191"/>
      <c r="DG182" s="191"/>
      <c r="DH182" s="191"/>
      <c r="DI182" s="191"/>
      <c r="DJ182" s="191"/>
      <c r="DK182" s="191"/>
      <c r="DL182" s="191"/>
      <c r="DM182" s="191"/>
      <c r="DN182" s="191"/>
      <c r="DO182" s="191"/>
      <c r="DP182" s="191"/>
      <c r="DQ182" s="192"/>
      <c r="DR182" s="190"/>
      <c r="DS182" s="191"/>
      <c r="DT182" s="191"/>
      <c r="DU182" s="191"/>
      <c r="DV182" s="192"/>
      <c r="FY182" s="187"/>
      <c r="FZ182" s="188"/>
      <c r="GA182" s="188"/>
      <c r="GB182" s="188"/>
      <c r="GC182" s="188"/>
      <c r="GD182" s="188"/>
      <c r="GE182" s="188"/>
      <c r="GF182" s="188"/>
      <c r="GG182" s="188"/>
      <c r="GH182" s="188"/>
      <c r="GI182" s="188"/>
      <c r="GJ182" s="188"/>
      <c r="GK182" s="188"/>
      <c r="GL182" s="188"/>
      <c r="GM182" s="188"/>
      <c r="GN182" s="188"/>
      <c r="GO182" s="188"/>
      <c r="GP182" s="188"/>
      <c r="GQ182" s="188"/>
      <c r="GR182" s="188"/>
      <c r="GS182" s="188"/>
      <c r="GT182" s="188"/>
      <c r="GU182" s="188"/>
      <c r="GV182" s="188"/>
      <c r="GW182" s="188"/>
      <c r="GX182" s="188"/>
      <c r="GY182" s="188"/>
      <c r="GZ182" s="188"/>
      <c r="HA182" s="188"/>
      <c r="HB182" s="188"/>
      <c r="HC182" s="188"/>
      <c r="HD182" s="188"/>
      <c r="HE182" s="188"/>
      <c r="HF182" s="188"/>
      <c r="HG182" s="188"/>
      <c r="HH182" s="188"/>
      <c r="HI182" s="188"/>
      <c r="HJ182" s="188"/>
      <c r="HK182" s="188"/>
      <c r="HL182" s="189"/>
      <c r="HM182" s="187"/>
      <c r="HN182" s="188"/>
      <c r="HO182" s="188"/>
      <c r="HP182" s="188"/>
      <c r="HQ182" s="189"/>
      <c r="JW182" s="155"/>
      <c r="KC182" s="16"/>
      <c r="KE182" s="187"/>
      <c r="KF182" s="188"/>
      <c r="KG182" s="188"/>
      <c r="KH182" s="188"/>
      <c r="KI182" s="188"/>
      <c r="KJ182" s="188"/>
      <c r="KK182" s="188"/>
      <c r="KL182" s="188"/>
      <c r="KM182" s="188"/>
      <c r="KN182" s="188"/>
      <c r="KO182" s="188"/>
      <c r="KP182" s="188"/>
      <c r="KQ182" s="188"/>
      <c r="KR182" s="188"/>
      <c r="KS182" s="188"/>
      <c r="KT182" s="188"/>
      <c r="KU182" s="188"/>
      <c r="KV182" s="188"/>
      <c r="KW182" s="188"/>
      <c r="KX182" s="188"/>
      <c r="KY182" s="188"/>
      <c r="KZ182" s="188"/>
      <c r="LA182" s="188"/>
      <c r="LB182" s="188"/>
      <c r="LC182" s="188"/>
      <c r="LD182" s="188"/>
      <c r="LE182" s="188"/>
      <c r="LF182" s="188"/>
      <c r="LG182" s="188"/>
      <c r="LH182" s="188"/>
      <c r="LI182" s="188"/>
      <c r="LJ182" s="188"/>
      <c r="LK182" s="188"/>
      <c r="LL182" s="188"/>
      <c r="LM182" s="188"/>
      <c r="LN182" s="188"/>
      <c r="LO182" s="188"/>
      <c r="LP182" s="188"/>
      <c r="LQ182" s="188"/>
      <c r="LR182" s="188"/>
      <c r="LS182" s="189"/>
      <c r="LT182" s="187"/>
      <c r="LU182" s="188"/>
      <c r="LV182" s="188"/>
      <c r="LW182" s="188"/>
      <c r="LX182" s="189"/>
      <c r="ML182" s="12"/>
      <c r="MM182" s="7"/>
    </row>
    <row r="183" spans="3:375" ht="5.0999999999999996" customHeight="1" x14ac:dyDescent="0.3">
      <c r="C183" s="11"/>
      <c r="D183" s="13"/>
      <c r="Q183" s="187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  <c r="BE183" s="189"/>
      <c r="BF183" s="187"/>
      <c r="BG183" s="188"/>
      <c r="BH183" s="188"/>
      <c r="BI183" s="188"/>
      <c r="BJ183" s="189"/>
      <c r="FY183" s="187"/>
      <c r="FZ183" s="188"/>
      <c r="GA183" s="188"/>
      <c r="GB183" s="188"/>
      <c r="GC183" s="188"/>
      <c r="GD183" s="188"/>
      <c r="GE183" s="188"/>
      <c r="GF183" s="188"/>
      <c r="GG183" s="188"/>
      <c r="GH183" s="188"/>
      <c r="GI183" s="188"/>
      <c r="GJ183" s="188"/>
      <c r="GK183" s="188"/>
      <c r="GL183" s="188"/>
      <c r="GM183" s="188"/>
      <c r="GN183" s="188"/>
      <c r="GO183" s="188"/>
      <c r="GP183" s="188"/>
      <c r="GQ183" s="188"/>
      <c r="GR183" s="188"/>
      <c r="GS183" s="188"/>
      <c r="GT183" s="188"/>
      <c r="GU183" s="188"/>
      <c r="GV183" s="188"/>
      <c r="GW183" s="188"/>
      <c r="GX183" s="188"/>
      <c r="GY183" s="188"/>
      <c r="GZ183" s="188"/>
      <c r="HA183" s="188"/>
      <c r="HB183" s="188"/>
      <c r="HC183" s="188"/>
      <c r="HD183" s="188"/>
      <c r="HE183" s="188"/>
      <c r="HF183" s="188"/>
      <c r="HG183" s="188"/>
      <c r="HH183" s="188"/>
      <c r="HI183" s="188"/>
      <c r="HJ183" s="188"/>
      <c r="HK183" s="188"/>
      <c r="HL183" s="189"/>
      <c r="HM183" s="187"/>
      <c r="HN183" s="188"/>
      <c r="HO183" s="188"/>
      <c r="HP183" s="188"/>
      <c r="HQ183" s="189"/>
      <c r="JW183" s="155"/>
      <c r="KC183" s="16"/>
      <c r="KE183" s="187"/>
      <c r="KF183" s="188"/>
      <c r="KG183" s="188"/>
      <c r="KH183" s="188"/>
      <c r="KI183" s="188"/>
      <c r="KJ183" s="188"/>
      <c r="KK183" s="188"/>
      <c r="KL183" s="188"/>
      <c r="KM183" s="188"/>
      <c r="KN183" s="188"/>
      <c r="KO183" s="188"/>
      <c r="KP183" s="188"/>
      <c r="KQ183" s="188"/>
      <c r="KR183" s="188"/>
      <c r="KS183" s="188"/>
      <c r="KT183" s="188"/>
      <c r="KU183" s="188"/>
      <c r="KV183" s="188"/>
      <c r="KW183" s="188"/>
      <c r="KX183" s="188"/>
      <c r="KY183" s="188"/>
      <c r="KZ183" s="188"/>
      <c r="LA183" s="188"/>
      <c r="LB183" s="188"/>
      <c r="LC183" s="188"/>
      <c r="LD183" s="188"/>
      <c r="LE183" s="188"/>
      <c r="LF183" s="188"/>
      <c r="LG183" s="188"/>
      <c r="LH183" s="188"/>
      <c r="LI183" s="188"/>
      <c r="LJ183" s="188"/>
      <c r="LK183" s="188"/>
      <c r="LL183" s="188"/>
      <c r="LM183" s="188"/>
      <c r="LN183" s="188"/>
      <c r="LO183" s="188"/>
      <c r="LP183" s="188"/>
      <c r="LQ183" s="188"/>
      <c r="LR183" s="188"/>
      <c r="LS183" s="189"/>
      <c r="LT183" s="187"/>
      <c r="LU183" s="188"/>
      <c r="LV183" s="188"/>
      <c r="LW183" s="188"/>
      <c r="LX183" s="189"/>
      <c r="ML183" s="12"/>
      <c r="MM183" s="7"/>
    </row>
    <row r="184" spans="3:375" ht="5.0999999999999996" customHeight="1" x14ac:dyDescent="0.3">
      <c r="C184" s="11"/>
      <c r="D184" s="13"/>
      <c r="Q184" s="187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  <c r="BD184" s="188"/>
      <c r="BE184" s="189"/>
      <c r="BF184" s="187"/>
      <c r="BG184" s="188"/>
      <c r="BH184" s="188"/>
      <c r="BI184" s="188"/>
      <c r="BJ184" s="189"/>
      <c r="FY184" s="187"/>
      <c r="FZ184" s="188"/>
      <c r="GA184" s="188"/>
      <c r="GB184" s="188"/>
      <c r="GC184" s="188"/>
      <c r="GD184" s="188"/>
      <c r="GE184" s="188"/>
      <c r="GF184" s="188"/>
      <c r="GG184" s="188"/>
      <c r="GH184" s="188"/>
      <c r="GI184" s="188"/>
      <c r="GJ184" s="188"/>
      <c r="GK184" s="188"/>
      <c r="GL184" s="188"/>
      <c r="GM184" s="188"/>
      <c r="GN184" s="188"/>
      <c r="GO184" s="188"/>
      <c r="GP184" s="188"/>
      <c r="GQ184" s="188"/>
      <c r="GR184" s="188"/>
      <c r="GS184" s="188"/>
      <c r="GT184" s="188"/>
      <c r="GU184" s="188"/>
      <c r="GV184" s="188"/>
      <c r="GW184" s="188"/>
      <c r="GX184" s="188"/>
      <c r="GY184" s="188"/>
      <c r="GZ184" s="188"/>
      <c r="HA184" s="188"/>
      <c r="HB184" s="188"/>
      <c r="HC184" s="188"/>
      <c r="HD184" s="188"/>
      <c r="HE184" s="188"/>
      <c r="HF184" s="188"/>
      <c r="HG184" s="188"/>
      <c r="HH184" s="188"/>
      <c r="HI184" s="188"/>
      <c r="HJ184" s="188"/>
      <c r="HK184" s="188"/>
      <c r="HL184" s="189"/>
      <c r="HM184" s="187"/>
      <c r="HN184" s="188"/>
      <c r="HO184" s="188"/>
      <c r="HP184" s="188"/>
      <c r="HQ184" s="189"/>
      <c r="JW184" s="155"/>
      <c r="KC184" s="16"/>
      <c r="KE184" s="187"/>
      <c r="KF184" s="188"/>
      <c r="KG184" s="188"/>
      <c r="KH184" s="188"/>
      <c r="KI184" s="188"/>
      <c r="KJ184" s="188"/>
      <c r="KK184" s="188"/>
      <c r="KL184" s="188"/>
      <c r="KM184" s="188"/>
      <c r="KN184" s="188"/>
      <c r="KO184" s="188"/>
      <c r="KP184" s="188"/>
      <c r="KQ184" s="188"/>
      <c r="KR184" s="188"/>
      <c r="KS184" s="188"/>
      <c r="KT184" s="188"/>
      <c r="KU184" s="188"/>
      <c r="KV184" s="188"/>
      <c r="KW184" s="188"/>
      <c r="KX184" s="188"/>
      <c r="KY184" s="188"/>
      <c r="KZ184" s="188"/>
      <c r="LA184" s="188"/>
      <c r="LB184" s="188"/>
      <c r="LC184" s="188"/>
      <c r="LD184" s="188"/>
      <c r="LE184" s="188"/>
      <c r="LF184" s="188"/>
      <c r="LG184" s="188"/>
      <c r="LH184" s="188"/>
      <c r="LI184" s="188"/>
      <c r="LJ184" s="188"/>
      <c r="LK184" s="188"/>
      <c r="LL184" s="188"/>
      <c r="LM184" s="188"/>
      <c r="LN184" s="188"/>
      <c r="LO184" s="188"/>
      <c r="LP184" s="188"/>
      <c r="LQ184" s="188"/>
      <c r="LR184" s="188"/>
      <c r="LS184" s="189"/>
      <c r="LT184" s="187"/>
      <c r="LU184" s="188"/>
      <c r="LV184" s="188"/>
      <c r="LW184" s="188"/>
      <c r="LX184" s="189"/>
      <c r="ML184" s="12"/>
      <c r="MM184" s="7"/>
    </row>
    <row r="185" spans="3:375" ht="5.0999999999999996" customHeight="1" x14ac:dyDescent="0.3">
      <c r="C185" s="11"/>
      <c r="D185" s="13"/>
      <c r="Q185" s="187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  <c r="BD185" s="188"/>
      <c r="BE185" s="189"/>
      <c r="BF185" s="187"/>
      <c r="BG185" s="188"/>
      <c r="BH185" s="188"/>
      <c r="BI185" s="188"/>
      <c r="BJ185" s="189"/>
      <c r="FY185" s="187"/>
      <c r="FZ185" s="188"/>
      <c r="GA185" s="188"/>
      <c r="GB185" s="188"/>
      <c r="GC185" s="188"/>
      <c r="GD185" s="188"/>
      <c r="GE185" s="188"/>
      <c r="GF185" s="188"/>
      <c r="GG185" s="188"/>
      <c r="GH185" s="188"/>
      <c r="GI185" s="188"/>
      <c r="GJ185" s="188"/>
      <c r="GK185" s="188"/>
      <c r="GL185" s="188"/>
      <c r="GM185" s="188"/>
      <c r="GN185" s="188"/>
      <c r="GO185" s="188"/>
      <c r="GP185" s="188"/>
      <c r="GQ185" s="188"/>
      <c r="GR185" s="188"/>
      <c r="GS185" s="188"/>
      <c r="GT185" s="188"/>
      <c r="GU185" s="188"/>
      <c r="GV185" s="188"/>
      <c r="GW185" s="188"/>
      <c r="GX185" s="188"/>
      <c r="GY185" s="188"/>
      <c r="GZ185" s="188"/>
      <c r="HA185" s="188"/>
      <c r="HB185" s="188"/>
      <c r="HC185" s="188"/>
      <c r="HD185" s="188"/>
      <c r="HE185" s="188"/>
      <c r="HF185" s="188"/>
      <c r="HG185" s="188"/>
      <c r="HH185" s="188"/>
      <c r="HI185" s="188"/>
      <c r="HJ185" s="188"/>
      <c r="HK185" s="188"/>
      <c r="HL185" s="189"/>
      <c r="HM185" s="187"/>
      <c r="HN185" s="188"/>
      <c r="HO185" s="188"/>
      <c r="HP185" s="188"/>
      <c r="HQ185" s="189"/>
      <c r="JW185" s="155"/>
      <c r="KC185" s="16"/>
      <c r="KE185" s="187"/>
      <c r="KF185" s="188"/>
      <c r="KG185" s="188"/>
      <c r="KH185" s="188"/>
      <c r="KI185" s="188"/>
      <c r="KJ185" s="188"/>
      <c r="KK185" s="188"/>
      <c r="KL185" s="188"/>
      <c r="KM185" s="188"/>
      <c r="KN185" s="188"/>
      <c r="KO185" s="188"/>
      <c r="KP185" s="188"/>
      <c r="KQ185" s="188"/>
      <c r="KR185" s="188"/>
      <c r="KS185" s="188"/>
      <c r="KT185" s="188"/>
      <c r="KU185" s="188"/>
      <c r="KV185" s="188"/>
      <c r="KW185" s="188"/>
      <c r="KX185" s="188"/>
      <c r="KY185" s="188"/>
      <c r="KZ185" s="188"/>
      <c r="LA185" s="188"/>
      <c r="LB185" s="188"/>
      <c r="LC185" s="188"/>
      <c r="LD185" s="188"/>
      <c r="LE185" s="188"/>
      <c r="LF185" s="188"/>
      <c r="LG185" s="188"/>
      <c r="LH185" s="188"/>
      <c r="LI185" s="188"/>
      <c r="LJ185" s="188"/>
      <c r="LK185" s="188"/>
      <c r="LL185" s="188"/>
      <c r="LM185" s="188"/>
      <c r="LN185" s="188"/>
      <c r="LO185" s="188"/>
      <c r="LP185" s="188"/>
      <c r="LQ185" s="188"/>
      <c r="LR185" s="188"/>
      <c r="LS185" s="189"/>
      <c r="LT185" s="187"/>
      <c r="LU185" s="188"/>
      <c r="LV185" s="188"/>
      <c r="LW185" s="188"/>
      <c r="LX185" s="189"/>
      <c r="ML185" s="12"/>
      <c r="MM185" s="7"/>
      <c r="MN185" s="3"/>
      <c r="MO185" s="3"/>
      <c r="MP185" s="3"/>
      <c r="MQ185" s="3"/>
      <c r="MR185" s="2"/>
      <c r="NF185" s="3"/>
      <c r="NG185" s="3"/>
      <c r="NH185" s="3"/>
      <c r="NI185" s="3"/>
      <c r="NJ185" s="3"/>
      <c r="NK185" s="2"/>
    </row>
    <row r="186" spans="3:375" ht="5.0999999999999996" customHeight="1" x14ac:dyDescent="0.3">
      <c r="C186" s="11"/>
      <c r="D186" s="13"/>
      <c r="Q186" s="187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  <c r="BD186" s="188"/>
      <c r="BE186" s="189"/>
      <c r="BF186" s="187"/>
      <c r="BG186" s="188"/>
      <c r="BH186" s="188"/>
      <c r="BI186" s="188"/>
      <c r="BJ186" s="189"/>
      <c r="FY186" s="187"/>
      <c r="FZ186" s="188"/>
      <c r="GA186" s="188"/>
      <c r="GB186" s="188"/>
      <c r="GC186" s="188"/>
      <c r="GD186" s="188"/>
      <c r="GE186" s="188"/>
      <c r="GF186" s="188"/>
      <c r="GG186" s="188"/>
      <c r="GH186" s="188"/>
      <c r="GI186" s="188"/>
      <c r="GJ186" s="188"/>
      <c r="GK186" s="188"/>
      <c r="GL186" s="188"/>
      <c r="GM186" s="188"/>
      <c r="GN186" s="188"/>
      <c r="GO186" s="188"/>
      <c r="GP186" s="188"/>
      <c r="GQ186" s="188"/>
      <c r="GR186" s="188"/>
      <c r="GS186" s="188"/>
      <c r="GT186" s="188"/>
      <c r="GU186" s="188"/>
      <c r="GV186" s="188"/>
      <c r="GW186" s="188"/>
      <c r="GX186" s="188"/>
      <c r="GY186" s="188"/>
      <c r="GZ186" s="188"/>
      <c r="HA186" s="188"/>
      <c r="HB186" s="188"/>
      <c r="HC186" s="188"/>
      <c r="HD186" s="188"/>
      <c r="HE186" s="188"/>
      <c r="HF186" s="188"/>
      <c r="HG186" s="188"/>
      <c r="HH186" s="188"/>
      <c r="HI186" s="188"/>
      <c r="HJ186" s="188"/>
      <c r="HK186" s="188"/>
      <c r="HL186" s="189"/>
      <c r="HM186" s="187"/>
      <c r="HN186" s="188"/>
      <c r="HO186" s="188"/>
      <c r="HP186" s="188"/>
      <c r="HQ186" s="189"/>
      <c r="JW186" s="155"/>
      <c r="KC186" s="16"/>
      <c r="KE186" s="187"/>
      <c r="KF186" s="188"/>
      <c r="KG186" s="188"/>
      <c r="KH186" s="188"/>
      <c r="KI186" s="188"/>
      <c r="KJ186" s="188"/>
      <c r="KK186" s="188"/>
      <c r="KL186" s="188"/>
      <c r="KM186" s="188"/>
      <c r="KN186" s="188"/>
      <c r="KO186" s="188"/>
      <c r="KP186" s="188"/>
      <c r="KQ186" s="188"/>
      <c r="KR186" s="188"/>
      <c r="KS186" s="188"/>
      <c r="KT186" s="188"/>
      <c r="KU186" s="188"/>
      <c r="KV186" s="188"/>
      <c r="KW186" s="188"/>
      <c r="KX186" s="188"/>
      <c r="KY186" s="188"/>
      <c r="KZ186" s="188"/>
      <c r="LA186" s="188"/>
      <c r="LB186" s="188"/>
      <c r="LC186" s="188"/>
      <c r="LD186" s="188"/>
      <c r="LE186" s="188"/>
      <c r="LF186" s="188"/>
      <c r="LG186" s="188"/>
      <c r="LH186" s="188"/>
      <c r="LI186" s="188"/>
      <c r="LJ186" s="188"/>
      <c r="LK186" s="188"/>
      <c r="LL186" s="188"/>
      <c r="LM186" s="188"/>
      <c r="LN186" s="188"/>
      <c r="LO186" s="188"/>
      <c r="LP186" s="188"/>
      <c r="LQ186" s="188"/>
      <c r="LR186" s="188"/>
      <c r="LS186" s="189"/>
      <c r="LT186" s="187"/>
      <c r="LU186" s="188"/>
      <c r="LV186" s="188"/>
      <c r="LW186" s="188"/>
      <c r="LX186" s="189"/>
      <c r="ML186" s="12"/>
      <c r="MM186" s="7"/>
      <c r="MN186" s="3"/>
      <c r="MO186" s="3"/>
      <c r="MP186" s="3"/>
      <c r="MQ186" s="3"/>
      <c r="MR186" s="2"/>
      <c r="NF186" s="3"/>
      <c r="NG186" s="3"/>
      <c r="NH186" s="3"/>
      <c r="NI186" s="3"/>
      <c r="NJ186" s="3"/>
      <c r="NK186" s="2"/>
    </row>
    <row r="187" spans="3:375" ht="3.75" customHeight="1" x14ac:dyDescent="0.3">
      <c r="C187" s="11"/>
      <c r="D187" s="13"/>
      <c r="Q187" s="187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  <c r="BD187" s="188"/>
      <c r="BE187" s="189"/>
      <c r="BF187" s="187"/>
      <c r="BG187" s="188"/>
      <c r="BH187" s="188"/>
      <c r="BI187" s="188"/>
      <c r="BJ187" s="189"/>
      <c r="FY187" s="187"/>
      <c r="FZ187" s="188"/>
      <c r="GA187" s="188"/>
      <c r="GB187" s="188"/>
      <c r="GC187" s="188"/>
      <c r="GD187" s="188"/>
      <c r="GE187" s="188"/>
      <c r="GF187" s="188"/>
      <c r="GG187" s="188"/>
      <c r="GH187" s="188"/>
      <c r="GI187" s="188"/>
      <c r="GJ187" s="188"/>
      <c r="GK187" s="188"/>
      <c r="GL187" s="188"/>
      <c r="GM187" s="188"/>
      <c r="GN187" s="188"/>
      <c r="GO187" s="188"/>
      <c r="GP187" s="188"/>
      <c r="GQ187" s="188"/>
      <c r="GR187" s="188"/>
      <c r="GS187" s="188"/>
      <c r="GT187" s="188"/>
      <c r="GU187" s="188"/>
      <c r="GV187" s="188"/>
      <c r="GW187" s="188"/>
      <c r="GX187" s="188"/>
      <c r="GY187" s="188"/>
      <c r="GZ187" s="188"/>
      <c r="HA187" s="188"/>
      <c r="HB187" s="188"/>
      <c r="HC187" s="188"/>
      <c r="HD187" s="188"/>
      <c r="HE187" s="188"/>
      <c r="HF187" s="188"/>
      <c r="HG187" s="188"/>
      <c r="HH187" s="188"/>
      <c r="HI187" s="188"/>
      <c r="HJ187" s="188"/>
      <c r="HK187" s="188"/>
      <c r="HL187" s="189"/>
      <c r="HM187" s="187"/>
      <c r="HN187" s="188"/>
      <c r="HO187" s="188"/>
      <c r="HP187" s="188"/>
      <c r="HQ187" s="189"/>
      <c r="JW187" s="155"/>
      <c r="KC187" s="16"/>
      <c r="KE187" s="187"/>
      <c r="KF187" s="188"/>
      <c r="KG187" s="188"/>
      <c r="KH187" s="188"/>
      <c r="KI187" s="188"/>
      <c r="KJ187" s="188"/>
      <c r="KK187" s="188"/>
      <c r="KL187" s="188"/>
      <c r="KM187" s="188"/>
      <c r="KN187" s="188"/>
      <c r="KO187" s="188"/>
      <c r="KP187" s="188"/>
      <c r="KQ187" s="188"/>
      <c r="KR187" s="188"/>
      <c r="KS187" s="188"/>
      <c r="KT187" s="188"/>
      <c r="KU187" s="188"/>
      <c r="KV187" s="188"/>
      <c r="KW187" s="188"/>
      <c r="KX187" s="188"/>
      <c r="KY187" s="188"/>
      <c r="KZ187" s="188"/>
      <c r="LA187" s="188"/>
      <c r="LB187" s="188"/>
      <c r="LC187" s="188"/>
      <c r="LD187" s="188"/>
      <c r="LE187" s="188"/>
      <c r="LF187" s="188"/>
      <c r="LG187" s="188"/>
      <c r="LH187" s="188"/>
      <c r="LI187" s="188"/>
      <c r="LJ187" s="188"/>
      <c r="LK187" s="188"/>
      <c r="LL187" s="188"/>
      <c r="LM187" s="188"/>
      <c r="LN187" s="188"/>
      <c r="LO187" s="188"/>
      <c r="LP187" s="188"/>
      <c r="LQ187" s="188"/>
      <c r="LR187" s="188"/>
      <c r="LS187" s="189"/>
      <c r="LT187" s="187"/>
      <c r="LU187" s="188"/>
      <c r="LV187" s="188"/>
      <c r="LW187" s="188"/>
      <c r="LX187" s="189"/>
      <c r="ML187" s="12"/>
      <c r="MM187" s="7"/>
      <c r="MN187" s="3"/>
      <c r="MO187" s="3"/>
      <c r="MP187" s="3"/>
      <c r="MQ187" s="3"/>
      <c r="MR187" s="2"/>
      <c r="NF187" s="3"/>
      <c r="NG187" s="3"/>
      <c r="NH187" s="3"/>
      <c r="NI187" s="3"/>
      <c r="NJ187" s="3"/>
      <c r="NK187" s="2"/>
    </row>
    <row r="188" spans="3:375" ht="5.0999999999999996" customHeight="1" x14ac:dyDescent="0.3">
      <c r="C188" s="11"/>
      <c r="D188" s="13"/>
      <c r="Q188" s="187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  <c r="BD188" s="188"/>
      <c r="BE188" s="189"/>
      <c r="BF188" s="187"/>
      <c r="BG188" s="188"/>
      <c r="BH188" s="188"/>
      <c r="BI188" s="188"/>
      <c r="BJ188" s="189"/>
      <c r="FY188" s="187"/>
      <c r="FZ188" s="188"/>
      <c r="GA188" s="188"/>
      <c r="GB188" s="188"/>
      <c r="GC188" s="188"/>
      <c r="GD188" s="188"/>
      <c r="GE188" s="188"/>
      <c r="GF188" s="188"/>
      <c r="GG188" s="188"/>
      <c r="GH188" s="188"/>
      <c r="GI188" s="188"/>
      <c r="GJ188" s="188"/>
      <c r="GK188" s="188"/>
      <c r="GL188" s="188"/>
      <c r="GM188" s="188"/>
      <c r="GN188" s="188"/>
      <c r="GO188" s="188"/>
      <c r="GP188" s="188"/>
      <c r="GQ188" s="188"/>
      <c r="GR188" s="188"/>
      <c r="GS188" s="188"/>
      <c r="GT188" s="188"/>
      <c r="GU188" s="188"/>
      <c r="GV188" s="188"/>
      <c r="GW188" s="188"/>
      <c r="GX188" s="188"/>
      <c r="GY188" s="188"/>
      <c r="GZ188" s="188"/>
      <c r="HA188" s="188"/>
      <c r="HB188" s="188"/>
      <c r="HC188" s="188"/>
      <c r="HD188" s="188"/>
      <c r="HE188" s="188"/>
      <c r="HF188" s="188"/>
      <c r="HG188" s="188"/>
      <c r="HH188" s="188"/>
      <c r="HI188" s="188"/>
      <c r="HJ188" s="188"/>
      <c r="HK188" s="188"/>
      <c r="HL188" s="189"/>
      <c r="HM188" s="187"/>
      <c r="HN188" s="188"/>
      <c r="HO188" s="188"/>
      <c r="HP188" s="188"/>
      <c r="HQ188" s="189"/>
      <c r="JW188" s="155"/>
      <c r="KC188" s="16"/>
      <c r="KE188" s="187"/>
      <c r="KF188" s="188"/>
      <c r="KG188" s="188"/>
      <c r="KH188" s="188"/>
      <c r="KI188" s="188"/>
      <c r="KJ188" s="188"/>
      <c r="KK188" s="188"/>
      <c r="KL188" s="188"/>
      <c r="KM188" s="188"/>
      <c r="KN188" s="188"/>
      <c r="KO188" s="188"/>
      <c r="KP188" s="188"/>
      <c r="KQ188" s="188"/>
      <c r="KR188" s="188"/>
      <c r="KS188" s="188"/>
      <c r="KT188" s="188"/>
      <c r="KU188" s="188"/>
      <c r="KV188" s="188"/>
      <c r="KW188" s="188"/>
      <c r="KX188" s="188"/>
      <c r="KY188" s="188"/>
      <c r="KZ188" s="188"/>
      <c r="LA188" s="188"/>
      <c r="LB188" s="188"/>
      <c r="LC188" s="188"/>
      <c r="LD188" s="188"/>
      <c r="LE188" s="188"/>
      <c r="LF188" s="188"/>
      <c r="LG188" s="188"/>
      <c r="LH188" s="188"/>
      <c r="LI188" s="188"/>
      <c r="LJ188" s="188"/>
      <c r="LK188" s="188"/>
      <c r="LL188" s="188"/>
      <c r="LM188" s="188"/>
      <c r="LN188" s="188"/>
      <c r="LO188" s="188"/>
      <c r="LP188" s="188"/>
      <c r="LQ188" s="188"/>
      <c r="LR188" s="188"/>
      <c r="LS188" s="189"/>
      <c r="LT188" s="187"/>
      <c r="LU188" s="188"/>
      <c r="LV188" s="188"/>
      <c r="LW188" s="188"/>
      <c r="LX188" s="189"/>
      <c r="ML188" s="12"/>
      <c r="MM188" s="7"/>
      <c r="MN188" s="3"/>
      <c r="MO188" s="3"/>
      <c r="MP188" s="3"/>
      <c r="MQ188" s="3"/>
      <c r="MR188" s="2"/>
      <c r="NF188" s="3"/>
      <c r="NG188" s="3"/>
      <c r="NH188" s="3"/>
      <c r="NI188" s="3"/>
      <c r="NJ188" s="3"/>
      <c r="NK188" s="2"/>
    </row>
    <row r="189" spans="3:375" ht="5.0999999999999996" customHeight="1" x14ac:dyDescent="0.3">
      <c r="C189" s="11"/>
      <c r="D189" s="13"/>
      <c r="Q189" s="187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  <c r="BE189" s="189"/>
      <c r="BF189" s="187"/>
      <c r="BG189" s="188"/>
      <c r="BH189" s="188"/>
      <c r="BI189" s="188"/>
      <c r="BJ189" s="189"/>
      <c r="FY189" s="187"/>
      <c r="FZ189" s="188"/>
      <c r="GA189" s="188"/>
      <c r="GB189" s="188"/>
      <c r="GC189" s="188"/>
      <c r="GD189" s="188"/>
      <c r="GE189" s="188"/>
      <c r="GF189" s="188"/>
      <c r="GG189" s="188"/>
      <c r="GH189" s="188"/>
      <c r="GI189" s="188"/>
      <c r="GJ189" s="188"/>
      <c r="GK189" s="188"/>
      <c r="GL189" s="188"/>
      <c r="GM189" s="188"/>
      <c r="GN189" s="188"/>
      <c r="GO189" s="188"/>
      <c r="GP189" s="188"/>
      <c r="GQ189" s="188"/>
      <c r="GR189" s="188"/>
      <c r="GS189" s="188"/>
      <c r="GT189" s="188"/>
      <c r="GU189" s="188"/>
      <c r="GV189" s="188"/>
      <c r="GW189" s="188"/>
      <c r="GX189" s="188"/>
      <c r="GY189" s="188"/>
      <c r="GZ189" s="188"/>
      <c r="HA189" s="188"/>
      <c r="HB189" s="188"/>
      <c r="HC189" s="188"/>
      <c r="HD189" s="188"/>
      <c r="HE189" s="188"/>
      <c r="HF189" s="188"/>
      <c r="HG189" s="188"/>
      <c r="HH189" s="188"/>
      <c r="HI189" s="188"/>
      <c r="HJ189" s="188"/>
      <c r="HK189" s="188"/>
      <c r="HL189" s="189"/>
      <c r="HM189" s="187"/>
      <c r="HN189" s="188"/>
      <c r="HO189" s="188"/>
      <c r="HP189" s="188"/>
      <c r="HQ189" s="189"/>
      <c r="JW189" s="155"/>
      <c r="KC189" s="16"/>
      <c r="KE189" s="190"/>
      <c r="KF189" s="191"/>
      <c r="KG189" s="191"/>
      <c r="KH189" s="191"/>
      <c r="KI189" s="191"/>
      <c r="KJ189" s="191"/>
      <c r="KK189" s="191"/>
      <c r="KL189" s="191"/>
      <c r="KM189" s="191"/>
      <c r="KN189" s="191"/>
      <c r="KO189" s="191"/>
      <c r="KP189" s="191"/>
      <c r="KQ189" s="191"/>
      <c r="KR189" s="191"/>
      <c r="KS189" s="191"/>
      <c r="KT189" s="191"/>
      <c r="KU189" s="191"/>
      <c r="KV189" s="191"/>
      <c r="KW189" s="191"/>
      <c r="KX189" s="191"/>
      <c r="KY189" s="191"/>
      <c r="KZ189" s="191"/>
      <c r="LA189" s="191"/>
      <c r="LB189" s="191"/>
      <c r="LC189" s="191"/>
      <c r="LD189" s="191"/>
      <c r="LE189" s="191"/>
      <c r="LF189" s="191"/>
      <c r="LG189" s="191"/>
      <c r="LH189" s="191"/>
      <c r="LI189" s="191"/>
      <c r="LJ189" s="191"/>
      <c r="LK189" s="191"/>
      <c r="LL189" s="191"/>
      <c r="LM189" s="191"/>
      <c r="LN189" s="191"/>
      <c r="LO189" s="191"/>
      <c r="LP189" s="191"/>
      <c r="LQ189" s="191"/>
      <c r="LR189" s="191"/>
      <c r="LS189" s="192"/>
      <c r="LT189" s="190"/>
      <c r="LU189" s="191"/>
      <c r="LV189" s="191"/>
      <c r="LW189" s="191"/>
      <c r="LX189" s="192"/>
      <c r="ML189" s="12"/>
      <c r="MM189" s="7"/>
      <c r="MN189" s="3"/>
      <c r="MO189" s="3"/>
      <c r="MP189" s="3"/>
      <c r="MQ189" s="3"/>
      <c r="MR189" s="2"/>
      <c r="NF189" s="3"/>
      <c r="NG189" s="3"/>
      <c r="NH189" s="3"/>
      <c r="NI189" s="3"/>
      <c r="NJ189" s="3"/>
      <c r="NK189" s="2"/>
    </row>
    <row r="190" spans="3:375" ht="5.0999999999999996" customHeight="1" x14ac:dyDescent="0.3">
      <c r="C190" s="11"/>
      <c r="D190" s="13"/>
      <c r="Q190" s="190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2"/>
      <c r="BF190" s="190"/>
      <c r="BG190" s="191"/>
      <c r="BH190" s="191"/>
      <c r="BI190" s="191"/>
      <c r="BJ190" s="192"/>
      <c r="FY190" s="190"/>
      <c r="FZ190" s="191"/>
      <c r="GA190" s="191"/>
      <c r="GB190" s="191"/>
      <c r="GC190" s="191"/>
      <c r="GD190" s="191"/>
      <c r="GE190" s="191"/>
      <c r="GF190" s="191"/>
      <c r="GG190" s="191"/>
      <c r="GH190" s="191"/>
      <c r="GI190" s="191"/>
      <c r="GJ190" s="191"/>
      <c r="GK190" s="191"/>
      <c r="GL190" s="191"/>
      <c r="GM190" s="191"/>
      <c r="GN190" s="191"/>
      <c r="GO190" s="191"/>
      <c r="GP190" s="191"/>
      <c r="GQ190" s="191"/>
      <c r="GR190" s="191"/>
      <c r="GS190" s="191"/>
      <c r="GT190" s="191"/>
      <c r="GU190" s="191"/>
      <c r="GV190" s="191"/>
      <c r="GW190" s="191"/>
      <c r="GX190" s="191"/>
      <c r="GY190" s="191"/>
      <c r="GZ190" s="191"/>
      <c r="HA190" s="191"/>
      <c r="HB190" s="191"/>
      <c r="HC190" s="191"/>
      <c r="HD190" s="191"/>
      <c r="HE190" s="191"/>
      <c r="HF190" s="191"/>
      <c r="HG190" s="191"/>
      <c r="HH190" s="191"/>
      <c r="HI190" s="191"/>
      <c r="HJ190" s="191"/>
      <c r="HK190" s="191"/>
      <c r="HL190" s="192"/>
      <c r="HM190" s="190"/>
      <c r="HN190" s="191"/>
      <c r="HO190" s="191"/>
      <c r="HP190" s="191"/>
      <c r="HQ190" s="192"/>
      <c r="JW190" s="155"/>
      <c r="KC190" s="16"/>
      <c r="KE190" s="184" t="s">
        <v>63</v>
      </c>
      <c r="KF190" s="185"/>
      <c r="KG190" s="185"/>
      <c r="KH190" s="185"/>
      <c r="KI190" s="185"/>
      <c r="KJ190" s="185"/>
      <c r="KK190" s="185"/>
      <c r="KL190" s="185"/>
      <c r="KM190" s="185"/>
      <c r="KN190" s="185"/>
      <c r="KO190" s="185"/>
      <c r="KP190" s="185"/>
      <c r="KQ190" s="185"/>
      <c r="KR190" s="185"/>
      <c r="KS190" s="185"/>
      <c r="KT190" s="185"/>
      <c r="KU190" s="185"/>
      <c r="KV190" s="185"/>
      <c r="KW190" s="185"/>
      <c r="KX190" s="185"/>
      <c r="KY190" s="185"/>
      <c r="KZ190" s="185"/>
      <c r="LA190" s="185"/>
      <c r="LB190" s="185"/>
      <c r="LC190" s="185"/>
      <c r="LD190" s="185"/>
      <c r="LE190" s="185"/>
      <c r="LF190" s="185"/>
      <c r="LG190" s="185"/>
      <c r="LH190" s="185"/>
      <c r="LI190" s="185"/>
      <c r="LJ190" s="185"/>
      <c r="LK190" s="185"/>
      <c r="LL190" s="185"/>
      <c r="LM190" s="185"/>
      <c r="LN190" s="185"/>
      <c r="LO190" s="185"/>
      <c r="LP190" s="185"/>
      <c r="LQ190" s="185"/>
      <c r="LR190" s="185"/>
      <c r="LS190" s="186"/>
      <c r="LT190" s="184">
        <v>1</v>
      </c>
      <c r="LU190" s="185"/>
      <c r="LV190" s="185"/>
      <c r="LW190" s="185"/>
      <c r="LX190" s="186"/>
      <c r="ML190" s="12"/>
      <c r="MM190" s="7"/>
    </row>
    <row r="191" spans="3:375" ht="5.0999999999999996" customHeight="1" x14ac:dyDescent="0.3">
      <c r="C191" s="11"/>
      <c r="D191" s="13"/>
      <c r="Q191" s="184" t="s">
        <v>41</v>
      </c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6"/>
      <c r="BF191" s="184">
        <v>1</v>
      </c>
      <c r="BG191" s="185"/>
      <c r="BH191" s="185"/>
      <c r="BI191" s="185"/>
      <c r="BJ191" s="186"/>
      <c r="EB191" s="1" t="s">
        <v>20</v>
      </c>
      <c r="FN191" s="1">
        <v>1</v>
      </c>
      <c r="FP191" s="1">
        <v>24</v>
      </c>
      <c r="JW191" s="155"/>
      <c r="KC191" s="16"/>
      <c r="KE191" s="187"/>
      <c r="KF191" s="188"/>
      <c r="KG191" s="188"/>
      <c r="KH191" s="188"/>
      <c r="KI191" s="188"/>
      <c r="KJ191" s="188"/>
      <c r="KK191" s="188"/>
      <c r="KL191" s="188"/>
      <c r="KM191" s="188"/>
      <c r="KN191" s="188"/>
      <c r="KO191" s="188"/>
      <c r="KP191" s="188"/>
      <c r="KQ191" s="188"/>
      <c r="KR191" s="188"/>
      <c r="KS191" s="188"/>
      <c r="KT191" s="188"/>
      <c r="KU191" s="188"/>
      <c r="KV191" s="188"/>
      <c r="KW191" s="188"/>
      <c r="KX191" s="188"/>
      <c r="KY191" s="188"/>
      <c r="KZ191" s="188"/>
      <c r="LA191" s="188"/>
      <c r="LB191" s="188"/>
      <c r="LC191" s="188"/>
      <c r="LD191" s="188"/>
      <c r="LE191" s="188"/>
      <c r="LF191" s="188"/>
      <c r="LG191" s="188"/>
      <c r="LH191" s="188"/>
      <c r="LI191" s="188"/>
      <c r="LJ191" s="188"/>
      <c r="LK191" s="188"/>
      <c r="LL191" s="188"/>
      <c r="LM191" s="188"/>
      <c r="LN191" s="188"/>
      <c r="LO191" s="188"/>
      <c r="LP191" s="188"/>
      <c r="LQ191" s="188"/>
      <c r="LR191" s="188"/>
      <c r="LS191" s="189"/>
      <c r="LT191" s="187"/>
      <c r="LU191" s="188"/>
      <c r="LV191" s="188"/>
      <c r="LW191" s="188"/>
      <c r="LX191" s="189"/>
      <c r="ML191" s="12"/>
      <c r="MM191" s="7"/>
    </row>
    <row r="192" spans="3:375" ht="5.0999999999999996" customHeight="1" x14ac:dyDescent="0.3">
      <c r="C192" s="11"/>
      <c r="D192" s="13"/>
      <c r="Q192" s="187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  <c r="BD192" s="188"/>
      <c r="BE192" s="189"/>
      <c r="BF192" s="187"/>
      <c r="BG192" s="188"/>
      <c r="BH192" s="188"/>
      <c r="BI192" s="188"/>
      <c r="BJ192" s="189"/>
      <c r="JW192" s="155"/>
      <c r="KC192" s="16"/>
      <c r="KE192" s="187"/>
      <c r="KF192" s="188"/>
      <c r="KG192" s="188"/>
      <c r="KH192" s="188"/>
      <c r="KI192" s="188"/>
      <c r="KJ192" s="188"/>
      <c r="KK192" s="188"/>
      <c r="KL192" s="188"/>
      <c r="KM192" s="188"/>
      <c r="KN192" s="188"/>
      <c r="KO192" s="188"/>
      <c r="KP192" s="188"/>
      <c r="KQ192" s="188"/>
      <c r="KR192" s="188"/>
      <c r="KS192" s="188"/>
      <c r="KT192" s="188"/>
      <c r="KU192" s="188"/>
      <c r="KV192" s="188"/>
      <c r="KW192" s="188"/>
      <c r="KX192" s="188"/>
      <c r="KY192" s="188"/>
      <c r="KZ192" s="188"/>
      <c r="LA192" s="188"/>
      <c r="LB192" s="188"/>
      <c r="LC192" s="188"/>
      <c r="LD192" s="188"/>
      <c r="LE192" s="188"/>
      <c r="LF192" s="188"/>
      <c r="LG192" s="188"/>
      <c r="LH192" s="188"/>
      <c r="LI192" s="188"/>
      <c r="LJ192" s="188"/>
      <c r="LK192" s="188"/>
      <c r="LL192" s="188"/>
      <c r="LM192" s="188"/>
      <c r="LN192" s="188"/>
      <c r="LO192" s="188"/>
      <c r="LP192" s="188"/>
      <c r="LQ192" s="188"/>
      <c r="LR192" s="188"/>
      <c r="LS192" s="189"/>
      <c r="LT192" s="187"/>
      <c r="LU192" s="188"/>
      <c r="LV192" s="188"/>
      <c r="LW192" s="188"/>
      <c r="LX192" s="189"/>
      <c r="ML192" s="12"/>
      <c r="MM192" s="7"/>
      <c r="MN192" s="3"/>
      <c r="MO192" s="3"/>
      <c r="MP192" s="3"/>
      <c r="MQ192" s="3"/>
      <c r="MR192" s="2"/>
      <c r="NF192" s="3"/>
      <c r="NG192" s="3"/>
      <c r="NH192" s="3"/>
      <c r="NI192" s="3"/>
      <c r="NJ192" s="3"/>
      <c r="NK192" s="2"/>
    </row>
    <row r="193" spans="3:375" ht="5.0999999999999996" customHeight="1" x14ac:dyDescent="0.3">
      <c r="C193" s="11"/>
      <c r="D193" s="13"/>
      <c r="Q193" s="187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  <c r="BE193" s="189"/>
      <c r="BF193" s="187"/>
      <c r="BG193" s="188"/>
      <c r="BH193" s="188"/>
      <c r="BI193" s="188"/>
      <c r="BJ193" s="189"/>
      <c r="JW193" s="155"/>
      <c r="KC193" s="16"/>
      <c r="KE193" s="187"/>
      <c r="KF193" s="188"/>
      <c r="KG193" s="188"/>
      <c r="KH193" s="188"/>
      <c r="KI193" s="188"/>
      <c r="KJ193" s="188"/>
      <c r="KK193" s="188"/>
      <c r="KL193" s="188"/>
      <c r="KM193" s="188"/>
      <c r="KN193" s="188"/>
      <c r="KO193" s="188"/>
      <c r="KP193" s="188"/>
      <c r="KQ193" s="188"/>
      <c r="KR193" s="188"/>
      <c r="KS193" s="188"/>
      <c r="KT193" s="188"/>
      <c r="KU193" s="188"/>
      <c r="KV193" s="188"/>
      <c r="KW193" s="188"/>
      <c r="KX193" s="188"/>
      <c r="KY193" s="188"/>
      <c r="KZ193" s="188"/>
      <c r="LA193" s="188"/>
      <c r="LB193" s="188"/>
      <c r="LC193" s="188"/>
      <c r="LD193" s="188"/>
      <c r="LE193" s="188"/>
      <c r="LF193" s="188"/>
      <c r="LG193" s="188"/>
      <c r="LH193" s="188"/>
      <c r="LI193" s="188"/>
      <c r="LJ193" s="188"/>
      <c r="LK193" s="188"/>
      <c r="LL193" s="188"/>
      <c r="LM193" s="188"/>
      <c r="LN193" s="188"/>
      <c r="LO193" s="188"/>
      <c r="LP193" s="188"/>
      <c r="LQ193" s="188"/>
      <c r="LR193" s="188"/>
      <c r="LS193" s="189"/>
      <c r="LT193" s="187"/>
      <c r="LU193" s="188"/>
      <c r="LV193" s="188"/>
      <c r="LW193" s="188"/>
      <c r="LX193" s="189"/>
      <c r="ML193" s="12"/>
      <c r="MM193" s="7"/>
      <c r="MN193" s="3"/>
      <c r="MO193" s="3"/>
      <c r="MP193" s="3"/>
      <c r="MQ193" s="3"/>
      <c r="MR193" s="2"/>
      <c r="NF193" s="3"/>
      <c r="NG193" s="3"/>
      <c r="NH193" s="3"/>
      <c r="NI193" s="3"/>
      <c r="NJ193" s="3"/>
      <c r="NK193" s="2"/>
    </row>
    <row r="194" spans="3:375" ht="5.0999999999999996" customHeight="1" x14ac:dyDescent="0.3">
      <c r="C194" s="11"/>
      <c r="D194" s="13"/>
      <c r="Q194" s="187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  <c r="BD194" s="188"/>
      <c r="BE194" s="189"/>
      <c r="BF194" s="187"/>
      <c r="BG194" s="188"/>
      <c r="BH194" s="188"/>
      <c r="BI194" s="188"/>
      <c r="BJ194" s="189"/>
      <c r="JW194" s="155"/>
      <c r="KC194" s="16"/>
      <c r="KE194" s="187"/>
      <c r="KF194" s="188"/>
      <c r="KG194" s="188"/>
      <c r="KH194" s="188"/>
      <c r="KI194" s="188"/>
      <c r="KJ194" s="188"/>
      <c r="KK194" s="188"/>
      <c r="KL194" s="188"/>
      <c r="KM194" s="188"/>
      <c r="KN194" s="188"/>
      <c r="KO194" s="188"/>
      <c r="KP194" s="188"/>
      <c r="KQ194" s="188"/>
      <c r="KR194" s="188"/>
      <c r="KS194" s="188"/>
      <c r="KT194" s="188"/>
      <c r="KU194" s="188"/>
      <c r="KV194" s="188"/>
      <c r="KW194" s="188"/>
      <c r="KX194" s="188"/>
      <c r="KY194" s="188"/>
      <c r="KZ194" s="188"/>
      <c r="LA194" s="188"/>
      <c r="LB194" s="188"/>
      <c r="LC194" s="188"/>
      <c r="LD194" s="188"/>
      <c r="LE194" s="188"/>
      <c r="LF194" s="188"/>
      <c r="LG194" s="188"/>
      <c r="LH194" s="188"/>
      <c r="LI194" s="188"/>
      <c r="LJ194" s="188"/>
      <c r="LK194" s="188"/>
      <c r="LL194" s="188"/>
      <c r="LM194" s="188"/>
      <c r="LN194" s="188"/>
      <c r="LO194" s="188"/>
      <c r="LP194" s="188"/>
      <c r="LQ194" s="188"/>
      <c r="LR194" s="188"/>
      <c r="LS194" s="189"/>
      <c r="LT194" s="187"/>
      <c r="LU194" s="188"/>
      <c r="LV194" s="188"/>
      <c r="LW194" s="188"/>
      <c r="LX194" s="189"/>
      <c r="ML194" s="12"/>
      <c r="MM194" s="7"/>
      <c r="MN194" s="3"/>
      <c r="MO194" s="3"/>
      <c r="MP194" s="3"/>
      <c r="MQ194" s="3"/>
      <c r="MR194" s="2"/>
      <c r="NF194" s="3"/>
      <c r="NG194" s="3"/>
      <c r="NH194" s="3"/>
      <c r="NI194" s="3"/>
      <c r="NJ194" s="3"/>
      <c r="NK194" s="2"/>
    </row>
    <row r="195" spans="3:375" ht="5.0999999999999996" customHeight="1" x14ac:dyDescent="0.3">
      <c r="C195" s="11"/>
      <c r="D195" s="13"/>
      <c r="Q195" s="187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9"/>
      <c r="BF195" s="187"/>
      <c r="BG195" s="188"/>
      <c r="BH195" s="188"/>
      <c r="BI195" s="188"/>
      <c r="BJ195" s="189"/>
      <c r="JW195" s="155"/>
      <c r="KC195" s="16"/>
      <c r="KE195" s="187"/>
      <c r="KF195" s="188"/>
      <c r="KG195" s="188"/>
      <c r="KH195" s="188"/>
      <c r="KI195" s="188"/>
      <c r="KJ195" s="188"/>
      <c r="KK195" s="188"/>
      <c r="KL195" s="188"/>
      <c r="KM195" s="188"/>
      <c r="KN195" s="188"/>
      <c r="KO195" s="188"/>
      <c r="KP195" s="188"/>
      <c r="KQ195" s="188"/>
      <c r="KR195" s="188"/>
      <c r="KS195" s="188"/>
      <c r="KT195" s="188"/>
      <c r="KU195" s="188"/>
      <c r="KV195" s="188"/>
      <c r="KW195" s="188"/>
      <c r="KX195" s="188"/>
      <c r="KY195" s="188"/>
      <c r="KZ195" s="188"/>
      <c r="LA195" s="188"/>
      <c r="LB195" s="188"/>
      <c r="LC195" s="188"/>
      <c r="LD195" s="188"/>
      <c r="LE195" s="188"/>
      <c r="LF195" s="188"/>
      <c r="LG195" s="188"/>
      <c r="LH195" s="188"/>
      <c r="LI195" s="188"/>
      <c r="LJ195" s="188"/>
      <c r="LK195" s="188"/>
      <c r="LL195" s="188"/>
      <c r="LM195" s="188"/>
      <c r="LN195" s="188"/>
      <c r="LO195" s="188"/>
      <c r="LP195" s="188"/>
      <c r="LQ195" s="188"/>
      <c r="LR195" s="188"/>
      <c r="LS195" s="189"/>
      <c r="LT195" s="187"/>
      <c r="LU195" s="188"/>
      <c r="LV195" s="188"/>
      <c r="LW195" s="188"/>
      <c r="LX195" s="189"/>
      <c r="ML195" s="12"/>
      <c r="MM195" s="7"/>
      <c r="MN195" s="3"/>
      <c r="MO195" s="3"/>
      <c r="MP195" s="3"/>
      <c r="MQ195" s="3"/>
      <c r="MR195" s="2"/>
      <c r="NF195" s="3"/>
      <c r="NG195" s="3"/>
      <c r="NH195" s="3"/>
      <c r="NI195" s="3"/>
      <c r="NJ195" s="3"/>
      <c r="NK195" s="2"/>
    </row>
    <row r="196" spans="3:375" ht="5.0999999999999996" customHeight="1" x14ac:dyDescent="0.3">
      <c r="C196" s="11"/>
      <c r="D196" s="13"/>
      <c r="Q196" s="187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  <c r="BD196" s="188"/>
      <c r="BE196" s="189"/>
      <c r="BF196" s="187"/>
      <c r="BG196" s="188"/>
      <c r="BH196" s="188"/>
      <c r="BI196" s="188"/>
      <c r="BJ196" s="189"/>
      <c r="JW196" s="155"/>
      <c r="KC196" s="16"/>
      <c r="KE196" s="187"/>
      <c r="KF196" s="188"/>
      <c r="KG196" s="188"/>
      <c r="KH196" s="188"/>
      <c r="KI196" s="188"/>
      <c r="KJ196" s="188"/>
      <c r="KK196" s="188"/>
      <c r="KL196" s="188"/>
      <c r="KM196" s="188"/>
      <c r="KN196" s="188"/>
      <c r="KO196" s="188"/>
      <c r="KP196" s="188"/>
      <c r="KQ196" s="188"/>
      <c r="KR196" s="188"/>
      <c r="KS196" s="188"/>
      <c r="KT196" s="188"/>
      <c r="KU196" s="188"/>
      <c r="KV196" s="188"/>
      <c r="KW196" s="188"/>
      <c r="KX196" s="188"/>
      <c r="KY196" s="188"/>
      <c r="KZ196" s="188"/>
      <c r="LA196" s="188"/>
      <c r="LB196" s="188"/>
      <c r="LC196" s="188"/>
      <c r="LD196" s="188"/>
      <c r="LE196" s="188"/>
      <c r="LF196" s="188"/>
      <c r="LG196" s="188"/>
      <c r="LH196" s="188"/>
      <c r="LI196" s="188"/>
      <c r="LJ196" s="188"/>
      <c r="LK196" s="188"/>
      <c r="LL196" s="188"/>
      <c r="LM196" s="188"/>
      <c r="LN196" s="188"/>
      <c r="LO196" s="188"/>
      <c r="LP196" s="188"/>
      <c r="LQ196" s="188"/>
      <c r="LR196" s="188"/>
      <c r="LS196" s="189"/>
      <c r="LT196" s="187"/>
      <c r="LU196" s="188"/>
      <c r="LV196" s="188"/>
      <c r="LW196" s="188"/>
      <c r="LX196" s="189"/>
      <c r="ML196" s="12"/>
      <c r="MM196" s="7"/>
      <c r="MN196" s="3"/>
      <c r="MO196" s="3"/>
      <c r="MP196" s="3"/>
      <c r="MQ196" s="3"/>
      <c r="MR196" s="2"/>
      <c r="NF196" s="3"/>
      <c r="NG196" s="3"/>
      <c r="NH196" s="3"/>
      <c r="NI196" s="3"/>
      <c r="NJ196" s="3"/>
      <c r="NK196" s="2"/>
    </row>
    <row r="197" spans="3:375" ht="5.0999999999999996" customHeight="1" x14ac:dyDescent="0.3">
      <c r="C197" s="11"/>
      <c r="D197" s="13"/>
      <c r="Q197" s="187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  <c r="BD197" s="188"/>
      <c r="BE197" s="189"/>
      <c r="BF197" s="187"/>
      <c r="BG197" s="188"/>
      <c r="BH197" s="188"/>
      <c r="BI197" s="188"/>
      <c r="BJ197" s="189"/>
      <c r="JW197" s="155"/>
      <c r="KC197" s="16"/>
      <c r="KE197" s="187"/>
      <c r="KF197" s="188"/>
      <c r="KG197" s="188"/>
      <c r="KH197" s="188"/>
      <c r="KI197" s="188"/>
      <c r="KJ197" s="188"/>
      <c r="KK197" s="188"/>
      <c r="KL197" s="188"/>
      <c r="KM197" s="188"/>
      <c r="KN197" s="188"/>
      <c r="KO197" s="188"/>
      <c r="KP197" s="188"/>
      <c r="KQ197" s="188"/>
      <c r="KR197" s="188"/>
      <c r="KS197" s="188"/>
      <c r="KT197" s="188"/>
      <c r="KU197" s="188"/>
      <c r="KV197" s="188"/>
      <c r="KW197" s="188"/>
      <c r="KX197" s="188"/>
      <c r="KY197" s="188"/>
      <c r="KZ197" s="188"/>
      <c r="LA197" s="188"/>
      <c r="LB197" s="188"/>
      <c r="LC197" s="188"/>
      <c r="LD197" s="188"/>
      <c r="LE197" s="188"/>
      <c r="LF197" s="188"/>
      <c r="LG197" s="188"/>
      <c r="LH197" s="188"/>
      <c r="LI197" s="188"/>
      <c r="LJ197" s="188"/>
      <c r="LK197" s="188"/>
      <c r="LL197" s="188"/>
      <c r="LM197" s="188"/>
      <c r="LN197" s="188"/>
      <c r="LO197" s="188"/>
      <c r="LP197" s="188"/>
      <c r="LQ197" s="188"/>
      <c r="LR197" s="188"/>
      <c r="LS197" s="189"/>
      <c r="LT197" s="187"/>
      <c r="LU197" s="188"/>
      <c r="LV197" s="188"/>
      <c r="LW197" s="188"/>
      <c r="LX197" s="189"/>
      <c r="ML197" s="12"/>
      <c r="MM197" s="7"/>
      <c r="MN197" s="3"/>
      <c r="MO197" s="3"/>
      <c r="MP197" s="3"/>
      <c r="MQ197" s="3"/>
      <c r="MR197" s="2"/>
      <c r="NF197" s="3"/>
      <c r="NG197" s="3"/>
      <c r="NH197" s="3"/>
      <c r="NI197" s="3"/>
      <c r="NJ197" s="3"/>
      <c r="NK197" s="2"/>
    </row>
    <row r="198" spans="3:375" ht="5.0999999999999996" customHeight="1" x14ac:dyDescent="0.3">
      <c r="C198" s="11"/>
      <c r="D198" s="13"/>
      <c r="Q198" s="187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9"/>
      <c r="BF198" s="187"/>
      <c r="BG198" s="188"/>
      <c r="BH198" s="188"/>
      <c r="BI198" s="188"/>
      <c r="BJ198" s="189"/>
      <c r="JW198" s="155"/>
      <c r="KC198" s="16"/>
      <c r="KE198" s="187"/>
      <c r="KF198" s="188"/>
      <c r="KG198" s="188"/>
      <c r="KH198" s="188"/>
      <c r="KI198" s="188"/>
      <c r="KJ198" s="188"/>
      <c r="KK198" s="188"/>
      <c r="KL198" s="188"/>
      <c r="KM198" s="188"/>
      <c r="KN198" s="188"/>
      <c r="KO198" s="188"/>
      <c r="KP198" s="188"/>
      <c r="KQ198" s="188"/>
      <c r="KR198" s="188"/>
      <c r="KS198" s="188"/>
      <c r="KT198" s="188"/>
      <c r="KU198" s="188"/>
      <c r="KV198" s="188"/>
      <c r="KW198" s="188"/>
      <c r="KX198" s="188"/>
      <c r="KY198" s="188"/>
      <c r="KZ198" s="188"/>
      <c r="LA198" s="188"/>
      <c r="LB198" s="188"/>
      <c r="LC198" s="188"/>
      <c r="LD198" s="188"/>
      <c r="LE198" s="188"/>
      <c r="LF198" s="188"/>
      <c r="LG198" s="188"/>
      <c r="LH198" s="188"/>
      <c r="LI198" s="188"/>
      <c r="LJ198" s="188"/>
      <c r="LK198" s="188"/>
      <c r="LL198" s="188"/>
      <c r="LM198" s="188"/>
      <c r="LN198" s="188"/>
      <c r="LO198" s="188"/>
      <c r="LP198" s="188"/>
      <c r="LQ198" s="188"/>
      <c r="LR198" s="188"/>
      <c r="LS198" s="189"/>
      <c r="LT198" s="187"/>
      <c r="LU198" s="188"/>
      <c r="LV198" s="188"/>
      <c r="LW198" s="188"/>
      <c r="LX198" s="189"/>
      <c r="ML198" s="12"/>
      <c r="MM198" s="7"/>
      <c r="MN198" s="3"/>
      <c r="MO198" s="3"/>
      <c r="MP198" s="3"/>
      <c r="MQ198" s="3"/>
      <c r="MR198" s="2"/>
      <c r="NF198" s="3"/>
      <c r="NG198" s="3"/>
      <c r="NH198" s="3"/>
      <c r="NI198" s="3"/>
      <c r="NJ198" s="3"/>
      <c r="NK198" s="2"/>
    </row>
    <row r="199" spans="3:375" ht="5.0999999999999996" customHeight="1" x14ac:dyDescent="0.3">
      <c r="C199" s="11"/>
      <c r="D199" s="13"/>
      <c r="Q199" s="187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9"/>
      <c r="BF199" s="187"/>
      <c r="BG199" s="188"/>
      <c r="BH199" s="188"/>
      <c r="BI199" s="188"/>
      <c r="BJ199" s="189"/>
      <c r="JW199" s="155"/>
      <c r="KC199" s="16"/>
      <c r="KE199" s="190"/>
      <c r="KF199" s="191"/>
      <c r="KG199" s="191"/>
      <c r="KH199" s="191"/>
      <c r="KI199" s="191"/>
      <c r="KJ199" s="191"/>
      <c r="KK199" s="191"/>
      <c r="KL199" s="191"/>
      <c r="KM199" s="191"/>
      <c r="KN199" s="191"/>
      <c r="KO199" s="191"/>
      <c r="KP199" s="191"/>
      <c r="KQ199" s="191"/>
      <c r="KR199" s="191"/>
      <c r="KS199" s="191"/>
      <c r="KT199" s="191"/>
      <c r="KU199" s="191"/>
      <c r="KV199" s="191"/>
      <c r="KW199" s="191"/>
      <c r="KX199" s="191"/>
      <c r="KY199" s="191"/>
      <c r="KZ199" s="191"/>
      <c r="LA199" s="191"/>
      <c r="LB199" s="191"/>
      <c r="LC199" s="191"/>
      <c r="LD199" s="191"/>
      <c r="LE199" s="191"/>
      <c r="LF199" s="191"/>
      <c r="LG199" s="191"/>
      <c r="LH199" s="191"/>
      <c r="LI199" s="191"/>
      <c r="LJ199" s="191"/>
      <c r="LK199" s="191"/>
      <c r="LL199" s="191"/>
      <c r="LM199" s="191"/>
      <c r="LN199" s="191"/>
      <c r="LO199" s="191"/>
      <c r="LP199" s="191"/>
      <c r="LQ199" s="191"/>
      <c r="LR199" s="191"/>
      <c r="LS199" s="192"/>
      <c r="LT199" s="190"/>
      <c r="LU199" s="191"/>
      <c r="LV199" s="191"/>
      <c r="LW199" s="191"/>
      <c r="LX199" s="192"/>
      <c r="ML199" s="12"/>
      <c r="MM199" s="7"/>
      <c r="MN199" s="3"/>
      <c r="MO199" s="3"/>
      <c r="MP199" s="3"/>
      <c r="MQ199" s="3"/>
      <c r="MR199" s="2"/>
      <c r="NF199" s="3"/>
      <c r="NG199" s="3"/>
      <c r="NH199" s="3"/>
      <c r="NI199" s="3"/>
      <c r="NJ199" s="3"/>
      <c r="NK199" s="2"/>
    </row>
    <row r="200" spans="3:375" ht="5.0999999999999996" customHeight="1" x14ac:dyDescent="0.3">
      <c r="C200" s="11"/>
      <c r="D200" s="13"/>
      <c r="Q200" s="190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2"/>
      <c r="BF200" s="190"/>
      <c r="BG200" s="191"/>
      <c r="BH200" s="191"/>
      <c r="BI200" s="191"/>
      <c r="BJ200" s="192"/>
      <c r="JW200" s="155"/>
      <c r="KC200" s="16"/>
      <c r="KE200" s="184" t="s">
        <v>152</v>
      </c>
      <c r="KF200" s="185"/>
      <c r="KG200" s="185"/>
      <c r="KH200" s="185"/>
      <c r="KI200" s="185"/>
      <c r="KJ200" s="185"/>
      <c r="KK200" s="185"/>
      <c r="KL200" s="185"/>
      <c r="KM200" s="185"/>
      <c r="KN200" s="185"/>
      <c r="KO200" s="185"/>
      <c r="KP200" s="185"/>
      <c r="KQ200" s="185"/>
      <c r="KR200" s="185"/>
      <c r="KS200" s="185"/>
      <c r="KT200" s="185"/>
      <c r="KU200" s="185"/>
      <c r="KV200" s="185"/>
      <c r="KW200" s="185"/>
      <c r="KX200" s="185"/>
      <c r="KY200" s="185"/>
      <c r="KZ200" s="185"/>
      <c r="LA200" s="185"/>
      <c r="LB200" s="185"/>
      <c r="LC200" s="185"/>
      <c r="LD200" s="185"/>
      <c r="LE200" s="185"/>
      <c r="LF200" s="185"/>
      <c r="LG200" s="185"/>
      <c r="LH200" s="185"/>
      <c r="LI200" s="185"/>
      <c r="LJ200" s="185"/>
      <c r="LK200" s="185"/>
      <c r="LL200" s="185"/>
      <c r="LM200" s="185"/>
      <c r="LN200" s="185"/>
      <c r="LO200" s="185"/>
      <c r="LP200" s="185"/>
      <c r="LQ200" s="185"/>
      <c r="LR200" s="185"/>
      <c r="LS200" s="186"/>
      <c r="LT200" s="184">
        <v>6</v>
      </c>
      <c r="LU200" s="185"/>
      <c r="LV200" s="185"/>
      <c r="LW200" s="185"/>
      <c r="LX200" s="186"/>
      <c r="ML200" s="12"/>
      <c r="MM200" s="7"/>
      <c r="MN200" s="3"/>
      <c r="MO200" s="3"/>
      <c r="MP200" s="3"/>
      <c r="MQ200" s="3"/>
      <c r="MR200" s="2"/>
      <c r="NF200" s="3"/>
      <c r="NG200" s="3"/>
      <c r="NH200" s="3"/>
      <c r="NI200" s="3"/>
      <c r="NJ200" s="3"/>
      <c r="NK200" s="2"/>
    </row>
    <row r="201" spans="3:375" ht="5.0999999999999996" customHeight="1" x14ac:dyDescent="0.3">
      <c r="C201" s="11"/>
      <c r="D201" s="13"/>
      <c r="Q201" s="184" t="s">
        <v>63</v>
      </c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6"/>
      <c r="BF201" s="184">
        <v>2</v>
      </c>
      <c r="BG201" s="185"/>
      <c r="BH201" s="185"/>
      <c r="BI201" s="185"/>
      <c r="BJ201" s="186"/>
      <c r="JW201" s="155"/>
      <c r="KC201" s="16"/>
      <c r="KE201" s="187"/>
      <c r="KF201" s="188"/>
      <c r="KG201" s="188"/>
      <c r="KH201" s="188"/>
      <c r="KI201" s="188"/>
      <c r="KJ201" s="188"/>
      <c r="KK201" s="188"/>
      <c r="KL201" s="188"/>
      <c r="KM201" s="188"/>
      <c r="KN201" s="188"/>
      <c r="KO201" s="188"/>
      <c r="KP201" s="188"/>
      <c r="KQ201" s="188"/>
      <c r="KR201" s="188"/>
      <c r="KS201" s="188"/>
      <c r="KT201" s="188"/>
      <c r="KU201" s="188"/>
      <c r="KV201" s="188"/>
      <c r="KW201" s="188"/>
      <c r="KX201" s="188"/>
      <c r="KY201" s="188"/>
      <c r="KZ201" s="188"/>
      <c r="LA201" s="188"/>
      <c r="LB201" s="188"/>
      <c r="LC201" s="188"/>
      <c r="LD201" s="188"/>
      <c r="LE201" s="188"/>
      <c r="LF201" s="188"/>
      <c r="LG201" s="188"/>
      <c r="LH201" s="188"/>
      <c r="LI201" s="188"/>
      <c r="LJ201" s="188"/>
      <c r="LK201" s="188"/>
      <c r="LL201" s="188"/>
      <c r="LM201" s="188"/>
      <c r="LN201" s="188"/>
      <c r="LO201" s="188"/>
      <c r="LP201" s="188"/>
      <c r="LQ201" s="188"/>
      <c r="LR201" s="188"/>
      <c r="LS201" s="189"/>
      <c r="LT201" s="187"/>
      <c r="LU201" s="188"/>
      <c r="LV201" s="188"/>
      <c r="LW201" s="188"/>
      <c r="LX201" s="189"/>
      <c r="ML201" s="12"/>
      <c r="MM201" s="7"/>
      <c r="MN201" s="3"/>
      <c r="MO201" s="3"/>
      <c r="MP201" s="3"/>
      <c r="MQ201" s="3"/>
      <c r="MR201" s="2"/>
      <c r="NF201" s="3"/>
      <c r="NG201" s="3"/>
      <c r="NH201" s="3"/>
      <c r="NI201" s="3"/>
      <c r="NJ201" s="3"/>
      <c r="NK201" s="2"/>
    </row>
    <row r="202" spans="3:375" ht="5.0999999999999996" customHeight="1" x14ac:dyDescent="0.3">
      <c r="C202" s="11"/>
      <c r="D202" s="13"/>
      <c r="Q202" s="187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9"/>
      <c r="BF202" s="187"/>
      <c r="BG202" s="188"/>
      <c r="BH202" s="188"/>
      <c r="BI202" s="188"/>
      <c r="BJ202" s="189"/>
      <c r="JW202" s="155"/>
      <c r="KC202" s="16"/>
      <c r="KE202" s="187"/>
      <c r="KF202" s="188"/>
      <c r="KG202" s="188"/>
      <c r="KH202" s="188"/>
      <c r="KI202" s="188"/>
      <c r="KJ202" s="188"/>
      <c r="KK202" s="188"/>
      <c r="KL202" s="188"/>
      <c r="KM202" s="188"/>
      <c r="KN202" s="188"/>
      <c r="KO202" s="188"/>
      <c r="KP202" s="188"/>
      <c r="KQ202" s="188"/>
      <c r="KR202" s="188"/>
      <c r="KS202" s="188"/>
      <c r="KT202" s="188"/>
      <c r="KU202" s="188"/>
      <c r="KV202" s="188"/>
      <c r="KW202" s="188"/>
      <c r="KX202" s="188"/>
      <c r="KY202" s="188"/>
      <c r="KZ202" s="188"/>
      <c r="LA202" s="188"/>
      <c r="LB202" s="188"/>
      <c r="LC202" s="188"/>
      <c r="LD202" s="188"/>
      <c r="LE202" s="188"/>
      <c r="LF202" s="188"/>
      <c r="LG202" s="188"/>
      <c r="LH202" s="188"/>
      <c r="LI202" s="188"/>
      <c r="LJ202" s="188"/>
      <c r="LK202" s="188"/>
      <c r="LL202" s="188"/>
      <c r="LM202" s="188"/>
      <c r="LN202" s="188"/>
      <c r="LO202" s="188"/>
      <c r="LP202" s="188"/>
      <c r="LQ202" s="188"/>
      <c r="LR202" s="188"/>
      <c r="LS202" s="189"/>
      <c r="LT202" s="187"/>
      <c r="LU202" s="188"/>
      <c r="LV202" s="188"/>
      <c r="LW202" s="188"/>
      <c r="LX202" s="189"/>
      <c r="ML202" s="12"/>
      <c r="MM202" s="7"/>
      <c r="MN202" s="3"/>
      <c r="MO202" s="3"/>
      <c r="MP202" s="3"/>
      <c r="MQ202" s="3"/>
      <c r="MR202" s="2"/>
      <c r="NF202" s="3"/>
      <c r="NG202" s="3"/>
      <c r="NH202" s="3"/>
      <c r="NI202" s="3"/>
      <c r="NJ202" s="3"/>
      <c r="NK202" s="2"/>
    </row>
    <row r="203" spans="3:375" ht="5.0999999999999996" customHeight="1" x14ac:dyDescent="0.3">
      <c r="C203" s="11"/>
      <c r="D203" s="13"/>
      <c r="Q203" s="187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  <c r="BD203" s="188"/>
      <c r="BE203" s="189"/>
      <c r="BF203" s="187"/>
      <c r="BG203" s="188"/>
      <c r="BH203" s="188"/>
      <c r="BI203" s="188"/>
      <c r="BJ203" s="189"/>
      <c r="JW203" s="155"/>
      <c r="KC203" s="16"/>
      <c r="KE203" s="187"/>
      <c r="KF203" s="188"/>
      <c r="KG203" s="188"/>
      <c r="KH203" s="188"/>
      <c r="KI203" s="188"/>
      <c r="KJ203" s="188"/>
      <c r="KK203" s="188"/>
      <c r="KL203" s="188"/>
      <c r="KM203" s="188"/>
      <c r="KN203" s="188"/>
      <c r="KO203" s="188"/>
      <c r="KP203" s="188"/>
      <c r="KQ203" s="188"/>
      <c r="KR203" s="188"/>
      <c r="KS203" s="188"/>
      <c r="KT203" s="188"/>
      <c r="KU203" s="188"/>
      <c r="KV203" s="188"/>
      <c r="KW203" s="188"/>
      <c r="KX203" s="188"/>
      <c r="KY203" s="188"/>
      <c r="KZ203" s="188"/>
      <c r="LA203" s="188"/>
      <c r="LB203" s="188"/>
      <c r="LC203" s="188"/>
      <c r="LD203" s="188"/>
      <c r="LE203" s="188"/>
      <c r="LF203" s="188"/>
      <c r="LG203" s="188"/>
      <c r="LH203" s="188"/>
      <c r="LI203" s="188"/>
      <c r="LJ203" s="188"/>
      <c r="LK203" s="188"/>
      <c r="LL203" s="188"/>
      <c r="LM203" s="188"/>
      <c r="LN203" s="188"/>
      <c r="LO203" s="188"/>
      <c r="LP203" s="188"/>
      <c r="LQ203" s="188"/>
      <c r="LR203" s="188"/>
      <c r="LS203" s="189"/>
      <c r="LT203" s="187"/>
      <c r="LU203" s="188"/>
      <c r="LV203" s="188"/>
      <c r="LW203" s="188"/>
      <c r="LX203" s="189"/>
      <c r="ML203" s="12"/>
      <c r="MM203" s="7"/>
      <c r="MN203" s="3"/>
      <c r="MO203" s="3"/>
      <c r="MP203" s="3"/>
      <c r="MQ203" s="3"/>
      <c r="MR203" s="2"/>
      <c r="NF203" s="3"/>
      <c r="NG203" s="3"/>
      <c r="NH203" s="3"/>
      <c r="NI203" s="3"/>
      <c r="NJ203" s="3"/>
      <c r="NK203" s="2"/>
    </row>
    <row r="204" spans="3:375" ht="5.0999999999999996" customHeight="1" x14ac:dyDescent="0.3">
      <c r="C204" s="11"/>
      <c r="D204" s="13"/>
      <c r="Q204" s="187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  <c r="BD204" s="188"/>
      <c r="BE204" s="189"/>
      <c r="BF204" s="187"/>
      <c r="BG204" s="188"/>
      <c r="BH204" s="188"/>
      <c r="BI204" s="188"/>
      <c r="BJ204" s="189"/>
      <c r="JW204" s="155"/>
      <c r="KC204" s="16"/>
      <c r="KE204" s="187"/>
      <c r="KF204" s="188"/>
      <c r="KG204" s="188"/>
      <c r="KH204" s="188"/>
      <c r="KI204" s="188"/>
      <c r="KJ204" s="188"/>
      <c r="KK204" s="188"/>
      <c r="KL204" s="188"/>
      <c r="KM204" s="188"/>
      <c r="KN204" s="188"/>
      <c r="KO204" s="188"/>
      <c r="KP204" s="188"/>
      <c r="KQ204" s="188"/>
      <c r="KR204" s="188"/>
      <c r="KS204" s="188"/>
      <c r="KT204" s="188"/>
      <c r="KU204" s="188"/>
      <c r="KV204" s="188"/>
      <c r="KW204" s="188"/>
      <c r="KX204" s="188"/>
      <c r="KY204" s="188"/>
      <c r="KZ204" s="188"/>
      <c r="LA204" s="188"/>
      <c r="LB204" s="188"/>
      <c r="LC204" s="188"/>
      <c r="LD204" s="188"/>
      <c r="LE204" s="188"/>
      <c r="LF204" s="188"/>
      <c r="LG204" s="188"/>
      <c r="LH204" s="188"/>
      <c r="LI204" s="188"/>
      <c r="LJ204" s="188"/>
      <c r="LK204" s="188"/>
      <c r="LL204" s="188"/>
      <c r="LM204" s="188"/>
      <c r="LN204" s="188"/>
      <c r="LO204" s="188"/>
      <c r="LP204" s="188"/>
      <c r="LQ204" s="188"/>
      <c r="LR204" s="188"/>
      <c r="LS204" s="189"/>
      <c r="LT204" s="187"/>
      <c r="LU204" s="188"/>
      <c r="LV204" s="188"/>
      <c r="LW204" s="188"/>
      <c r="LX204" s="189"/>
      <c r="ML204" s="12"/>
      <c r="MM204" s="7"/>
      <c r="MN204" s="3"/>
      <c r="MO204" s="3"/>
      <c r="MP204" s="3"/>
      <c r="MQ204" s="3"/>
      <c r="MR204" s="2"/>
      <c r="NF204" s="3"/>
      <c r="NG204" s="3"/>
      <c r="NH204" s="3"/>
      <c r="NI204" s="3"/>
      <c r="NJ204" s="3"/>
      <c r="NK204" s="2"/>
    </row>
    <row r="205" spans="3:375" ht="5.0999999999999996" customHeight="1" x14ac:dyDescent="0.3">
      <c r="C205" s="11"/>
      <c r="D205" s="13"/>
      <c r="Q205" s="187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  <c r="BE205" s="189"/>
      <c r="BF205" s="187"/>
      <c r="BG205" s="188"/>
      <c r="BH205" s="188"/>
      <c r="BI205" s="188"/>
      <c r="BJ205" s="189"/>
      <c r="JW205" s="155"/>
      <c r="KC205" s="16"/>
      <c r="KE205" s="187"/>
      <c r="KF205" s="188"/>
      <c r="KG205" s="188"/>
      <c r="KH205" s="188"/>
      <c r="KI205" s="188"/>
      <c r="KJ205" s="188"/>
      <c r="KK205" s="188"/>
      <c r="KL205" s="188"/>
      <c r="KM205" s="188"/>
      <c r="KN205" s="188"/>
      <c r="KO205" s="188"/>
      <c r="KP205" s="188"/>
      <c r="KQ205" s="188"/>
      <c r="KR205" s="188"/>
      <c r="KS205" s="188"/>
      <c r="KT205" s="188"/>
      <c r="KU205" s="188"/>
      <c r="KV205" s="188"/>
      <c r="KW205" s="188"/>
      <c r="KX205" s="188"/>
      <c r="KY205" s="188"/>
      <c r="KZ205" s="188"/>
      <c r="LA205" s="188"/>
      <c r="LB205" s="188"/>
      <c r="LC205" s="188"/>
      <c r="LD205" s="188"/>
      <c r="LE205" s="188"/>
      <c r="LF205" s="188"/>
      <c r="LG205" s="188"/>
      <c r="LH205" s="188"/>
      <c r="LI205" s="188"/>
      <c r="LJ205" s="188"/>
      <c r="LK205" s="188"/>
      <c r="LL205" s="188"/>
      <c r="LM205" s="188"/>
      <c r="LN205" s="188"/>
      <c r="LO205" s="188"/>
      <c r="LP205" s="188"/>
      <c r="LQ205" s="188"/>
      <c r="LR205" s="188"/>
      <c r="LS205" s="189"/>
      <c r="LT205" s="187"/>
      <c r="LU205" s="188"/>
      <c r="LV205" s="188"/>
      <c r="LW205" s="188"/>
      <c r="LX205" s="189"/>
      <c r="ML205" s="12"/>
      <c r="MM205" s="7"/>
      <c r="MN205" s="3"/>
      <c r="MO205" s="3"/>
      <c r="MP205" s="3"/>
      <c r="MQ205" s="3"/>
      <c r="MR205" s="2"/>
      <c r="NF205" s="3"/>
      <c r="NG205" s="3"/>
      <c r="NH205" s="3"/>
      <c r="NI205" s="3"/>
      <c r="NJ205" s="3"/>
      <c r="NK205" s="2"/>
    </row>
    <row r="206" spans="3:375" ht="5.0999999999999996" customHeight="1" x14ac:dyDescent="0.3">
      <c r="C206" s="11"/>
      <c r="D206" s="13"/>
      <c r="Q206" s="187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  <c r="BD206" s="188"/>
      <c r="BE206" s="189"/>
      <c r="BF206" s="187"/>
      <c r="BG206" s="188"/>
      <c r="BH206" s="188"/>
      <c r="BI206" s="188"/>
      <c r="BJ206" s="189"/>
      <c r="JW206" s="155"/>
      <c r="KC206" s="16"/>
      <c r="KE206" s="187"/>
      <c r="KF206" s="188"/>
      <c r="KG206" s="188"/>
      <c r="KH206" s="188"/>
      <c r="KI206" s="188"/>
      <c r="KJ206" s="188"/>
      <c r="KK206" s="188"/>
      <c r="KL206" s="188"/>
      <c r="KM206" s="188"/>
      <c r="KN206" s="188"/>
      <c r="KO206" s="188"/>
      <c r="KP206" s="188"/>
      <c r="KQ206" s="188"/>
      <c r="KR206" s="188"/>
      <c r="KS206" s="188"/>
      <c r="KT206" s="188"/>
      <c r="KU206" s="188"/>
      <c r="KV206" s="188"/>
      <c r="KW206" s="188"/>
      <c r="KX206" s="188"/>
      <c r="KY206" s="188"/>
      <c r="KZ206" s="188"/>
      <c r="LA206" s="188"/>
      <c r="LB206" s="188"/>
      <c r="LC206" s="188"/>
      <c r="LD206" s="188"/>
      <c r="LE206" s="188"/>
      <c r="LF206" s="188"/>
      <c r="LG206" s="188"/>
      <c r="LH206" s="188"/>
      <c r="LI206" s="188"/>
      <c r="LJ206" s="188"/>
      <c r="LK206" s="188"/>
      <c r="LL206" s="188"/>
      <c r="LM206" s="188"/>
      <c r="LN206" s="188"/>
      <c r="LO206" s="188"/>
      <c r="LP206" s="188"/>
      <c r="LQ206" s="188"/>
      <c r="LR206" s="188"/>
      <c r="LS206" s="189"/>
      <c r="LT206" s="187"/>
      <c r="LU206" s="188"/>
      <c r="LV206" s="188"/>
      <c r="LW206" s="188"/>
      <c r="LX206" s="189"/>
      <c r="ML206" s="12"/>
      <c r="MM206" s="7"/>
      <c r="MN206" s="3"/>
      <c r="MO206" s="3"/>
      <c r="MP206" s="3"/>
      <c r="MQ206" s="3"/>
      <c r="MR206" s="2"/>
      <c r="NF206" s="3"/>
      <c r="NG206" s="3"/>
      <c r="NH206" s="3"/>
      <c r="NI206" s="3"/>
      <c r="NJ206" s="3"/>
      <c r="NK206" s="2"/>
    </row>
    <row r="207" spans="3:375" ht="5.0999999999999996" customHeight="1" x14ac:dyDescent="0.3">
      <c r="C207" s="11"/>
      <c r="D207" s="13"/>
      <c r="Q207" s="187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E207" s="189"/>
      <c r="BF207" s="187"/>
      <c r="BG207" s="188"/>
      <c r="BH207" s="188"/>
      <c r="BI207" s="188"/>
      <c r="BJ207" s="189"/>
      <c r="JW207" s="155"/>
      <c r="KC207" s="16"/>
      <c r="KE207" s="187"/>
      <c r="KF207" s="188"/>
      <c r="KG207" s="188"/>
      <c r="KH207" s="188"/>
      <c r="KI207" s="188"/>
      <c r="KJ207" s="188"/>
      <c r="KK207" s="188"/>
      <c r="KL207" s="188"/>
      <c r="KM207" s="188"/>
      <c r="KN207" s="188"/>
      <c r="KO207" s="188"/>
      <c r="KP207" s="188"/>
      <c r="KQ207" s="188"/>
      <c r="KR207" s="188"/>
      <c r="KS207" s="188"/>
      <c r="KT207" s="188"/>
      <c r="KU207" s="188"/>
      <c r="KV207" s="188"/>
      <c r="KW207" s="188"/>
      <c r="KX207" s="188"/>
      <c r="KY207" s="188"/>
      <c r="KZ207" s="188"/>
      <c r="LA207" s="188"/>
      <c r="LB207" s="188"/>
      <c r="LC207" s="188"/>
      <c r="LD207" s="188"/>
      <c r="LE207" s="188"/>
      <c r="LF207" s="188"/>
      <c r="LG207" s="188"/>
      <c r="LH207" s="188"/>
      <c r="LI207" s="188"/>
      <c r="LJ207" s="188"/>
      <c r="LK207" s="188"/>
      <c r="LL207" s="188"/>
      <c r="LM207" s="188"/>
      <c r="LN207" s="188"/>
      <c r="LO207" s="188"/>
      <c r="LP207" s="188"/>
      <c r="LQ207" s="188"/>
      <c r="LR207" s="188"/>
      <c r="LS207" s="189"/>
      <c r="LT207" s="187"/>
      <c r="LU207" s="188"/>
      <c r="LV207" s="188"/>
      <c r="LW207" s="188"/>
      <c r="LX207" s="189"/>
      <c r="ML207" s="12"/>
      <c r="MM207" s="7"/>
      <c r="MN207" s="3"/>
      <c r="MO207" s="3"/>
      <c r="MP207" s="3"/>
      <c r="MQ207" s="3"/>
      <c r="MR207" s="2"/>
      <c r="NF207" s="3"/>
      <c r="NG207" s="3"/>
      <c r="NH207" s="3"/>
      <c r="NI207" s="3"/>
      <c r="NJ207" s="3"/>
      <c r="NK207" s="2"/>
    </row>
    <row r="208" spans="3:375" ht="5.0999999999999996" customHeight="1" x14ac:dyDescent="0.3">
      <c r="C208" s="11"/>
      <c r="D208" s="13"/>
      <c r="Q208" s="187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E208" s="189"/>
      <c r="BF208" s="187"/>
      <c r="BG208" s="188"/>
      <c r="BH208" s="188"/>
      <c r="BI208" s="188"/>
      <c r="BJ208" s="189"/>
      <c r="JW208" s="155"/>
      <c r="KC208" s="16"/>
      <c r="KE208" s="187"/>
      <c r="KF208" s="188"/>
      <c r="KG208" s="188"/>
      <c r="KH208" s="188"/>
      <c r="KI208" s="188"/>
      <c r="KJ208" s="188"/>
      <c r="KK208" s="188"/>
      <c r="KL208" s="188"/>
      <c r="KM208" s="188"/>
      <c r="KN208" s="188"/>
      <c r="KO208" s="188"/>
      <c r="KP208" s="188"/>
      <c r="KQ208" s="188"/>
      <c r="KR208" s="188"/>
      <c r="KS208" s="188"/>
      <c r="KT208" s="188"/>
      <c r="KU208" s="188"/>
      <c r="KV208" s="188"/>
      <c r="KW208" s="188"/>
      <c r="KX208" s="188"/>
      <c r="KY208" s="188"/>
      <c r="KZ208" s="188"/>
      <c r="LA208" s="188"/>
      <c r="LB208" s="188"/>
      <c r="LC208" s="188"/>
      <c r="LD208" s="188"/>
      <c r="LE208" s="188"/>
      <c r="LF208" s="188"/>
      <c r="LG208" s="188"/>
      <c r="LH208" s="188"/>
      <c r="LI208" s="188"/>
      <c r="LJ208" s="188"/>
      <c r="LK208" s="188"/>
      <c r="LL208" s="188"/>
      <c r="LM208" s="188"/>
      <c r="LN208" s="188"/>
      <c r="LO208" s="188"/>
      <c r="LP208" s="188"/>
      <c r="LQ208" s="188"/>
      <c r="LR208" s="188"/>
      <c r="LS208" s="189"/>
      <c r="LT208" s="187"/>
      <c r="LU208" s="188"/>
      <c r="LV208" s="188"/>
      <c r="LW208" s="188"/>
      <c r="LX208" s="189"/>
      <c r="ML208" s="12"/>
      <c r="MM208" s="7"/>
    </row>
    <row r="209" spans="3:351" ht="5.0999999999999996" customHeight="1" x14ac:dyDescent="0.3">
      <c r="C209" s="11"/>
      <c r="D209" s="13"/>
      <c r="Q209" s="187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9"/>
      <c r="BF209" s="187"/>
      <c r="BG209" s="188"/>
      <c r="BH209" s="188"/>
      <c r="BI209" s="188"/>
      <c r="BJ209" s="189"/>
      <c r="JW209" s="155"/>
      <c r="KC209" s="16"/>
      <c r="KE209" s="190"/>
      <c r="KF209" s="191"/>
      <c r="KG209" s="191"/>
      <c r="KH209" s="191"/>
      <c r="KI209" s="191"/>
      <c r="KJ209" s="191"/>
      <c r="KK209" s="191"/>
      <c r="KL209" s="191"/>
      <c r="KM209" s="191"/>
      <c r="KN209" s="191"/>
      <c r="KO209" s="191"/>
      <c r="KP209" s="191"/>
      <c r="KQ209" s="191"/>
      <c r="KR209" s="191"/>
      <c r="KS209" s="191"/>
      <c r="KT209" s="191"/>
      <c r="KU209" s="191"/>
      <c r="KV209" s="191"/>
      <c r="KW209" s="191"/>
      <c r="KX209" s="191"/>
      <c r="KY209" s="191"/>
      <c r="KZ209" s="191"/>
      <c r="LA209" s="191"/>
      <c r="LB209" s="191"/>
      <c r="LC209" s="191"/>
      <c r="LD209" s="191"/>
      <c r="LE209" s="191"/>
      <c r="LF209" s="191"/>
      <c r="LG209" s="191"/>
      <c r="LH209" s="191"/>
      <c r="LI209" s="191"/>
      <c r="LJ209" s="191"/>
      <c r="LK209" s="191"/>
      <c r="LL209" s="191"/>
      <c r="LM209" s="191"/>
      <c r="LN209" s="191"/>
      <c r="LO209" s="191"/>
      <c r="LP209" s="191"/>
      <c r="LQ209" s="191"/>
      <c r="LR209" s="191"/>
      <c r="LS209" s="192"/>
      <c r="LT209" s="190"/>
      <c r="LU209" s="191"/>
      <c r="LV209" s="191"/>
      <c r="LW209" s="191"/>
      <c r="LX209" s="192"/>
      <c r="ML209" s="12"/>
      <c r="MM209" s="7"/>
    </row>
    <row r="210" spans="3:351" ht="5.0999999999999996" customHeight="1" x14ac:dyDescent="0.3">
      <c r="C210" s="11"/>
      <c r="D210" s="13"/>
      <c r="Q210" s="190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2"/>
      <c r="BF210" s="190"/>
      <c r="BG210" s="191"/>
      <c r="BH210" s="191"/>
      <c r="BI210" s="191"/>
      <c r="BJ210" s="192"/>
      <c r="JW210" s="155"/>
      <c r="KC210" s="16"/>
      <c r="ML210" s="12"/>
      <c r="MM210" s="7"/>
    </row>
    <row r="211" spans="3:351" ht="5.0999999999999996" customHeight="1" x14ac:dyDescent="0.3">
      <c r="C211" s="11"/>
      <c r="D211" s="13"/>
      <c r="Q211" s="184" t="s">
        <v>71</v>
      </c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6">
        <v>10</v>
      </c>
      <c r="BF211" s="184">
        <v>2</v>
      </c>
      <c r="BG211" s="185"/>
      <c r="BH211" s="185"/>
      <c r="BI211" s="185"/>
      <c r="BJ211" s="186"/>
      <c r="JW211" s="155"/>
      <c r="KC211" s="16"/>
      <c r="ML211" s="12"/>
      <c r="MM211" s="7"/>
    </row>
    <row r="212" spans="3:351" ht="5.0999999999999996" customHeight="1" x14ac:dyDescent="0.3">
      <c r="C212" s="11"/>
      <c r="D212" s="13"/>
      <c r="Q212" s="187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  <c r="BD212" s="188"/>
      <c r="BE212" s="189"/>
      <c r="BF212" s="187"/>
      <c r="BG212" s="188"/>
      <c r="BH212" s="188"/>
      <c r="BI212" s="188"/>
      <c r="BJ212" s="189"/>
      <c r="JW212" s="155"/>
      <c r="KC212" s="16"/>
      <c r="KE212" s="184" t="s">
        <v>60</v>
      </c>
      <c r="KF212" s="185"/>
      <c r="KG212" s="185"/>
      <c r="KH212" s="185"/>
      <c r="KI212" s="185"/>
      <c r="KJ212" s="185"/>
      <c r="KK212" s="185"/>
      <c r="KL212" s="185"/>
      <c r="KM212" s="185"/>
      <c r="KN212" s="185"/>
      <c r="KO212" s="185"/>
      <c r="KP212" s="185"/>
      <c r="KQ212" s="185"/>
      <c r="KR212" s="185"/>
      <c r="KS212" s="185"/>
      <c r="KT212" s="185"/>
      <c r="KU212" s="185"/>
      <c r="KV212" s="185"/>
      <c r="KW212" s="185"/>
      <c r="KX212" s="185"/>
      <c r="KY212" s="185"/>
      <c r="KZ212" s="185"/>
      <c r="LA212" s="185"/>
      <c r="LB212" s="185"/>
      <c r="LC212" s="185"/>
      <c r="LD212" s="185"/>
      <c r="LE212" s="185"/>
      <c r="LF212" s="185"/>
      <c r="LG212" s="185"/>
      <c r="LH212" s="185"/>
      <c r="LI212" s="185"/>
      <c r="LJ212" s="185"/>
      <c r="LK212" s="185"/>
      <c r="LL212" s="185"/>
      <c r="LM212" s="185"/>
      <c r="LN212" s="185"/>
      <c r="LO212" s="185"/>
      <c r="LP212" s="185"/>
      <c r="LQ212" s="185"/>
      <c r="LR212" s="185"/>
      <c r="LS212" s="186"/>
      <c r="LT212" s="184">
        <v>1</v>
      </c>
      <c r="LU212" s="185"/>
      <c r="LV212" s="185"/>
      <c r="LW212" s="185"/>
      <c r="LX212" s="186"/>
      <c r="ML212" s="12"/>
      <c r="MM212" s="7"/>
    </row>
    <row r="213" spans="3:351" ht="5.0999999999999996" customHeight="1" x14ac:dyDescent="0.3">
      <c r="C213" s="11"/>
      <c r="D213" s="13"/>
      <c r="Q213" s="187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  <c r="BE213" s="189"/>
      <c r="BF213" s="187"/>
      <c r="BG213" s="188"/>
      <c r="BH213" s="188"/>
      <c r="BI213" s="188"/>
      <c r="BJ213" s="189"/>
      <c r="JW213" s="155"/>
      <c r="KC213" s="16"/>
      <c r="KE213" s="187"/>
      <c r="KF213" s="188"/>
      <c r="KG213" s="188"/>
      <c r="KH213" s="188"/>
      <c r="KI213" s="188"/>
      <c r="KJ213" s="188"/>
      <c r="KK213" s="188"/>
      <c r="KL213" s="188"/>
      <c r="KM213" s="188"/>
      <c r="KN213" s="188"/>
      <c r="KO213" s="188"/>
      <c r="KP213" s="188"/>
      <c r="KQ213" s="188"/>
      <c r="KR213" s="188"/>
      <c r="KS213" s="188"/>
      <c r="KT213" s="188"/>
      <c r="KU213" s="188"/>
      <c r="KV213" s="188"/>
      <c r="KW213" s="188"/>
      <c r="KX213" s="188"/>
      <c r="KY213" s="188"/>
      <c r="KZ213" s="188"/>
      <c r="LA213" s="188"/>
      <c r="LB213" s="188"/>
      <c r="LC213" s="188"/>
      <c r="LD213" s="188"/>
      <c r="LE213" s="188"/>
      <c r="LF213" s="188"/>
      <c r="LG213" s="188"/>
      <c r="LH213" s="188"/>
      <c r="LI213" s="188"/>
      <c r="LJ213" s="188"/>
      <c r="LK213" s="188"/>
      <c r="LL213" s="188"/>
      <c r="LM213" s="188"/>
      <c r="LN213" s="188"/>
      <c r="LO213" s="188"/>
      <c r="LP213" s="188"/>
      <c r="LQ213" s="188"/>
      <c r="LR213" s="188"/>
      <c r="LS213" s="189"/>
      <c r="LT213" s="187"/>
      <c r="LU213" s="188"/>
      <c r="LV213" s="188"/>
      <c r="LW213" s="188"/>
      <c r="LX213" s="189"/>
      <c r="ML213" s="12"/>
      <c r="MM213" s="7"/>
    </row>
    <row r="214" spans="3:351" ht="5.0999999999999996" customHeight="1" x14ac:dyDescent="0.3">
      <c r="C214" s="11"/>
      <c r="D214" s="13"/>
      <c r="Q214" s="187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  <c r="BD214" s="188"/>
      <c r="BE214" s="189"/>
      <c r="BF214" s="187"/>
      <c r="BG214" s="188"/>
      <c r="BH214" s="188"/>
      <c r="BI214" s="188"/>
      <c r="BJ214" s="189"/>
      <c r="JW214" s="155"/>
      <c r="KC214" s="16"/>
      <c r="KE214" s="187"/>
      <c r="KF214" s="188"/>
      <c r="KG214" s="188"/>
      <c r="KH214" s="188"/>
      <c r="KI214" s="188"/>
      <c r="KJ214" s="188"/>
      <c r="KK214" s="188"/>
      <c r="KL214" s="188"/>
      <c r="KM214" s="188"/>
      <c r="KN214" s="188"/>
      <c r="KO214" s="188"/>
      <c r="KP214" s="188"/>
      <c r="KQ214" s="188"/>
      <c r="KR214" s="188"/>
      <c r="KS214" s="188"/>
      <c r="KT214" s="188"/>
      <c r="KU214" s="188"/>
      <c r="KV214" s="188"/>
      <c r="KW214" s="188"/>
      <c r="KX214" s="188"/>
      <c r="KY214" s="188"/>
      <c r="KZ214" s="188"/>
      <c r="LA214" s="188"/>
      <c r="LB214" s="188"/>
      <c r="LC214" s="188"/>
      <c r="LD214" s="188"/>
      <c r="LE214" s="188"/>
      <c r="LF214" s="188"/>
      <c r="LG214" s="188"/>
      <c r="LH214" s="188"/>
      <c r="LI214" s="188"/>
      <c r="LJ214" s="188"/>
      <c r="LK214" s="188"/>
      <c r="LL214" s="188"/>
      <c r="LM214" s="188"/>
      <c r="LN214" s="188"/>
      <c r="LO214" s="188"/>
      <c r="LP214" s="188"/>
      <c r="LQ214" s="188"/>
      <c r="LR214" s="188"/>
      <c r="LS214" s="189"/>
      <c r="LT214" s="187"/>
      <c r="LU214" s="188"/>
      <c r="LV214" s="188"/>
      <c r="LW214" s="188"/>
      <c r="LX214" s="189"/>
      <c r="ML214" s="12"/>
      <c r="MM214" s="7"/>
    </row>
    <row r="215" spans="3:351" ht="5.0999999999999996" customHeight="1" x14ac:dyDescent="0.3">
      <c r="C215" s="11"/>
      <c r="D215" s="13"/>
      <c r="Q215" s="187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  <c r="BD215" s="188"/>
      <c r="BE215" s="189"/>
      <c r="BF215" s="187"/>
      <c r="BG215" s="188"/>
      <c r="BH215" s="188"/>
      <c r="BI215" s="188"/>
      <c r="BJ215" s="189"/>
      <c r="JW215" s="155"/>
      <c r="KC215" s="16"/>
      <c r="KE215" s="187"/>
      <c r="KF215" s="188"/>
      <c r="KG215" s="188"/>
      <c r="KH215" s="188"/>
      <c r="KI215" s="188"/>
      <c r="KJ215" s="188"/>
      <c r="KK215" s="188"/>
      <c r="KL215" s="188"/>
      <c r="KM215" s="188"/>
      <c r="KN215" s="188"/>
      <c r="KO215" s="188"/>
      <c r="KP215" s="188"/>
      <c r="KQ215" s="188"/>
      <c r="KR215" s="188"/>
      <c r="KS215" s="188"/>
      <c r="KT215" s="188"/>
      <c r="KU215" s="188"/>
      <c r="KV215" s="188"/>
      <c r="KW215" s="188"/>
      <c r="KX215" s="188"/>
      <c r="KY215" s="188"/>
      <c r="KZ215" s="188"/>
      <c r="LA215" s="188"/>
      <c r="LB215" s="188"/>
      <c r="LC215" s="188"/>
      <c r="LD215" s="188"/>
      <c r="LE215" s="188"/>
      <c r="LF215" s="188"/>
      <c r="LG215" s="188"/>
      <c r="LH215" s="188"/>
      <c r="LI215" s="188"/>
      <c r="LJ215" s="188"/>
      <c r="LK215" s="188"/>
      <c r="LL215" s="188"/>
      <c r="LM215" s="188"/>
      <c r="LN215" s="188"/>
      <c r="LO215" s="188"/>
      <c r="LP215" s="188"/>
      <c r="LQ215" s="188"/>
      <c r="LR215" s="188"/>
      <c r="LS215" s="189"/>
      <c r="LT215" s="187"/>
      <c r="LU215" s="188"/>
      <c r="LV215" s="188"/>
      <c r="LW215" s="188"/>
      <c r="LX215" s="189"/>
      <c r="ML215" s="12"/>
      <c r="MM215" s="7"/>
    </row>
    <row r="216" spans="3:351" ht="5.0999999999999996" customHeight="1" thickBot="1" x14ac:dyDescent="0.35">
      <c r="C216" s="11"/>
      <c r="D216" s="13"/>
      <c r="Q216" s="187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  <c r="BD216" s="188"/>
      <c r="BE216" s="189"/>
      <c r="BF216" s="187"/>
      <c r="BG216" s="188"/>
      <c r="BH216" s="188"/>
      <c r="BI216" s="188"/>
      <c r="BJ216" s="189"/>
      <c r="JW216" s="155"/>
      <c r="KC216" s="23"/>
      <c r="KD216" s="31"/>
      <c r="KE216" s="187"/>
      <c r="KF216" s="188"/>
      <c r="KG216" s="188"/>
      <c r="KH216" s="188"/>
      <c r="KI216" s="188"/>
      <c r="KJ216" s="188"/>
      <c r="KK216" s="188"/>
      <c r="KL216" s="188"/>
      <c r="KM216" s="188"/>
      <c r="KN216" s="188"/>
      <c r="KO216" s="188"/>
      <c r="KP216" s="188"/>
      <c r="KQ216" s="188"/>
      <c r="KR216" s="188"/>
      <c r="KS216" s="188"/>
      <c r="KT216" s="188"/>
      <c r="KU216" s="188"/>
      <c r="KV216" s="188"/>
      <c r="KW216" s="188"/>
      <c r="KX216" s="188"/>
      <c r="KY216" s="188"/>
      <c r="KZ216" s="188"/>
      <c r="LA216" s="188"/>
      <c r="LB216" s="188"/>
      <c r="LC216" s="188"/>
      <c r="LD216" s="188"/>
      <c r="LE216" s="188"/>
      <c r="LF216" s="188"/>
      <c r="LG216" s="188"/>
      <c r="LH216" s="188"/>
      <c r="LI216" s="188"/>
      <c r="LJ216" s="188"/>
      <c r="LK216" s="188"/>
      <c r="LL216" s="188"/>
      <c r="LM216" s="188"/>
      <c r="LN216" s="188"/>
      <c r="LO216" s="188"/>
      <c r="LP216" s="188"/>
      <c r="LQ216" s="188"/>
      <c r="LR216" s="188"/>
      <c r="LS216" s="189"/>
      <c r="LT216" s="187"/>
      <c r="LU216" s="188"/>
      <c r="LV216" s="188"/>
      <c r="LW216" s="188"/>
      <c r="LX216" s="189"/>
      <c r="ML216" s="12"/>
      <c r="MM216" s="7"/>
    </row>
    <row r="217" spans="3:351" ht="5.0999999999999996" customHeight="1" x14ac:dyDescent="0.3">
      <c r="C217" s="11"/>
      <c r="D217" s="13"/>
      <c r="Q217" s="187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  <c r="BD217" s="188"/>
      <c r="BE217" s="189"/>
      <c r="BF217" s="187"/>
      <c r="BG217" s="188"/>
      <c r="BH217" s="188"/>
      <c r="BI217" s="188"/>
      <c r="BJ217" s="189"/>
      <c r="JW217" s="155"/>
      <c r="KE217" s="187"/>
      <c r="KF217" s="188"/>
      <c r="KG217" s="188"/>
      <c r="KH217" s="188"/>
      <c r="KI217" s="188"/>
      <c r="KJ217" s="188"/>
      <c r="KK217" s="188"/>
      <c r="KL217" s="188"/>
      <c r="KM217" s="188"/>
      <c r="KN217" s="188"/>
      <c r="KO217" s="188"/>
      <c r="KP217" s="188"/>
      <c r="KQ217" s="188"/>
      <c r="KR217" s="188"/>
      <c r="KS217" s="188"/>
      <c r="KT217" s="188"/>
      <c r="KU217" s="188"/>
      <c r="KV217" s="188"/>
      <c r="KW217" s="188"/>
      <c r="KX217" s="188"/>
      <c r="KY217" s="188"/>
      <c r="KZ217" s="188"/>
      <c r="LA217" s="188"/>
      <c r="LB217" s="188"/>
      <c r="LC217" s="188"/>
      <c r="LD217" s="188"/>
      <c r="LE217" s="188"/>
      <c r="LF217" s="188"/>
      <c r="LG217" s="188"/>
      <c r="LH217" s="188"/>
      <c r="LI217" s="188"/>
      <c r="LJ217" s="188"/>
      <c r="LK217" s="188"/>
      <c r="LL217" s="188"/>
      <c r="LM217" s="188"/>
      <c r="LN217" s="188"/>
      <c r="LO217" s="188"/>
      <c r="LP217" s="188"/>
      <c r="LQ217" s="188"/>
      <c r="LR217" s="188"/>
      <c r="LS217" s="189"/>
      <c r="LT217" s="187"/>
      <c r="LU217" s="188"/>
      <c r="LV217" s="188"/>
      <c r="LW217" s="188"/>
      <c r="LX217" s="189"/>
      <c r="ML217" s="12"/>
      <c r="MM217" s="7"/>
    </row>
    <row r="218" spans="3:351" ht="5.0999999999999996" customHeight="1" x14ac:dyDescent="0.3">
      <c r="C218" s="11"/>
      <c r="D218" s="13"/>
      <c r="Q218" s="187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  <c r="BD218" s="188"/>
      <c r="BE218" s="189"/>
      <c r="BF218" s="187"/>
      <c r="BG218" s="188"/>
      <c r="BH218" s="188"/>
      <c r="BI218" s="188"/>
      <c r="BJ218" s="189"/>
      <c r="JW218" s="155"/>
      <c r="KE218" s="187"/>
      <c r="KF218" s="188"/>
      <c r="KG218" s="188"/>
      <c r="KH218" s="188"/>
      <c r="KI218" s="188"/>
      <c r="KJ218" s="188"/>
      <c r="KK218" s="188"/>
      <c r="KL218" s="188"/>
      <c r="KM218" s="188"/>
      <c r="KN218" s="188"/>
      <c r="KO218" s="188"/>
      <c r="KP218" s="188"/>
      <c r="KQ218" s="188"/>
      <c r="KR218" s="188"/>
      <c r="KS218" s="188"/>
      <c r="KT218" s="188"/>
      <c r="KU218" s="188"/>
      <c r="KV218" s="188"/>
      <c r="KW218" s="188"/>
      <c r="KX218" s="188"/>
      <c r="KY218" s="188"/>
      <c r="KZ218" s="188"/>
      <c r="LA218" s="188"/>
      <c r="LB218" s="188"/>
      <c r="LC218" s="188"/>
      <c r="LD218" s="188"/>
      <c r="LE218" s="188"/>
      <c r="LF218" s="188"/>
      <c r="LG218" s="188"/>
      <c r="LH218" s="188"/>
      <c r="LI218" s="188"/>
      <c r="LJ218" s="188"/>
      <c r="LK218" s="188"/>
      <c r="LL218" s="188"/>
      <c r="LM218" s="188"/>
      <c r="LN218" s="188"/>
      <c r="LO218" s="188"/>
      <c r="LP218" s="188"/>
      <c r="LQ218" s="188"/>
      <c r="LR218" s="188"/>
      <c r="LS218" s="189"/>
      <c r="LT218" s="187"/>
      <c r="LU218" s="188"/>
      <c r="LV218" s="188"/>
      <c r="LW218" s="188"/>
      <c r="LX218" s="189"/>
      <c r="ML218" s="12"/>
      <c r="MM218" s="7"/>
    </row>
    <row r="219" spans="3:351" ht="5.0999999999999996" customHeight="1" x14ac:dyDescent="0.3">
      <c r="C219" s="11"/>
      <c r="D219" s="13"/>
      <c r="Q219" s="187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  <c r="BD219" s="188"/>
      <c r="BE219" s="189"/>
      <c r="BF219" s="187"/>
      <c r="BG219" s="188"/>
      <c r="BH219" s="188"/>
      <c r="BI219" s="188"/>
      <c r="BJ219" s="189"/>
      <c r="JW219" s="155"/>
      <c r="KE219" s="187"/>
      <c r="KF219" s="188"/>
      <c r="KG219" s="188"/>
      <c r="KH219" s="188"/>
      <c r="KI219" s="188"/>
      <c r="KJ219" s="188"/>
      <c r="KK219" s="188"/>
      <c r="KL219" s="188"/>
      <c r="KM219" s="188"/>
      <c r="KN219" s="188"/>
      <c r="KO219" s="188"/>
      <c r="KP219" s="188"/>
      <c r="KQ219" s="188"/>
      <c r="KR219" s="188"/>
      <c r="KS219" s="188"/>
      <c r="KT219" s="188"/>
      <c r="KU219" s="188"/>
      <c r="KV219" s="188"/>
      <c r="KW219" s="188"/>
      <c r="KX219" s="188"/>
      <c r="KY219" s="188"/>
      <c r="KZ219" s="188"/>
      <c r="LA219" s="188"/>
      <c r="LB219" s="188"/>
      <c r="LC219" s="188"/>
      <c r="LD219" s="188"/>
      <c r="LE219" s="188"/>
      <c r="LF219" s="188"/>
      <c r="LG219" s="188"/>
      <c r="LH219" s="188"/>
      <c r="LI219" s="188"/>
      <c r="LJ219" s="188"/>
      <c r="LK219" s="188"/>
      <c r="LL219" s="188"/>
      <c r="LM219" s="188"/>
      <c r="LN219" s="188"/>
      <c r="LO219" s="188"/>
      <c r="LP219" s="188"/>
      <c r="LQ219" s="188"/>
      <c r="LR219" s="188"/>
      <c r="LS219" s="189"/>
      <c r="LT219" s="187"/>
      <c r="LU219" s="188"/>
      <c r="LV219" s="188"/>
      <c r="LW219" s="188"/>
      <c r="LX219" s="189"/>
      <c r="ML219" s="12"/>
      <c r="MM219" s="7"/>
    </row>
    <row r="220" spans="3:351" ht="5.0999999999999996" customHeight="1" x14ac:dyDescent="0.3">
      <c r="C220" s="11"/>
      <c r="D220" s="13"/>
      <c r="Q220" s="190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2"/>
      <c r="BF220" s="190"/>
      <c r="BG220" s="191"/>
      <c r="BH220" s="191"/>
      <c r="BI220" s="191"/>
      <c r="BJ220" s="192"/>
      <c r="JW220" s="155"/>
      <c r="KE220" s="187"/>
      <c r="KF220" s="188"/>
      <c r="KG220" s="188"/>
      <c r="KH220" s="188"/>
      <c r="KI220" s="188"/>
      <c r="KJ220" s="188"/>
      <c r="KK220" s="188"/>
      <c r="KL220" s="188"/>
      <c r="KM220" s="188"/>
      <c r="KN220" s="188"/>
      <c r="KO220" s="188"/>
      <c r="KP220" s="188"/>
      <c r="KQ220" s="188"/>
      <c r="KR220" s="188"/>
      <c r="KS220" s="188"/>
      <c r="KT220" s="188"/>
      <c r="KU220" s="188"/>
      <c r="KV220" s="188"/>
      <c r="KW220" s="188"/>
      <c r="KX220" s="188"/>
      <c r="KY220" s="188"/>
      <c r="KZ220" s="188"/>
      <c r="LA220" s="188"/>
      <c r="LB220" s="188"/>
      <c r="LC220" s="188"/>
      <c r="LD220" s="188"/>
      <c r="LE220" s="188"/>
      <c r="LF220" s="188"/>
      <c r="LG220" s="188"/>
      <c r="LH220" s="188"/>
      <c r="LI220" s="188"/>
      <c r="LJ220" s="188"/>
      <c r="LK220" s="188"/>
      <c r="LL220" s="188"/>
      <c r="LM220" s="188"/>
      <c r="LN220" s="188"/>
      <c r="LO220" s="188"/>
      <c r="LP220" s="188"/>
      <c r="LQ220" s="188"/>
      <c r="LR220" s="188"/>
      <c r="LS220" s="189"/>
      <c r="LT220" s="187"/>
      <c r="LU220" s="188"/>
      <c r="LV220" s="188"/>
      <c r="LW220" s="188"/>
      <c r="LX220" s="189"/>
      <c r="ML220" s="12"/>
      <c r="MM220" s="7"/>
    </row>
    <row r="221" spans="3:351" ht="5.0999999999999996" customHeight="1" x14ac:dyDescent="0.3">
      <c r="C221" s="11"/>
      <c r="D221" s="13"/>
      <c r="Q221" s="195" t="s">
        <v>27</v>
      </c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7">
        <v>10</v>
      </c>
      <c r="BF221" s="184"/>
      <c r="BG221" s="185"/>
      <c r="BH221" s="185"/>
      <c r="BI221" s="185"/>
      <c r="BJ221" s="186"/>
      <c r="JW221" s="155"/>
      <c r="KE221" s="190"/>
      <c r="KF221" s="191"/>
      <c r="KG221" s="191"/>
      <c r="KH221" s="191"/>
      <c r="KI221" s="191"/>
      <c r="KJ221" s="191"/>
      <c r="KK221" s="191"/>
      <c r="KL221" s="191"/>
      <c r="KM221" s="191"/>
      <c r="KN221" s="191"/>
      <c r="KO221" s="191"/>
      <c r="KP221" s="191"/>
      <c r="KQ221" s="191"/>
      <c r="KR221" s="191"/>
      <c r="KS221" s="191"/>
      <c r="KT221" s="191"/>
      <c r="KU221" s="191"/>
      <c r="KV221" s="191"/>
      <c r="KW221" s="191"/>
      <c r="KX221" s="191"/>
      <c r="KY221" s="191"/>
      <c r="KZ221" s="191"/>
      <c r="LA221" s="191"/>
      <c r="LB221" s="191"/>
      <c r="LC221" s="191"/>
      <c r="LD221" s="191"/>
      <c r="LE221" s="191"/>
      <c r="LF221" s="191"/>
      <c r="LG221" s="191"/>
      <c r="LH221" s="191"/>
      <c r="LI221" s="191"/>
      <c r="LJ221" s="191"/>
      <c r="LK221" s="191"/>
      <c r="LL221" s="191"/>
      <c r="LM221" s="191"/>
      <c r="LN221" s="191"/>
      <c r="LO221" s="191"/>
      <c r="LP221" s="191"/>
      <c r="LQ221" s="191"/>
      <c r="LR221" s="191"/>
      <c r="LS221" s="192"/>
      <c r="LT221" s="190"/>
      <c r="LU221" s="191"/>
      <c r="LV221" s="191"/>
      <c r="LW221" s="191"/>
      <c r="LX221" s="192"/>
      <c r="ML221" s="12"/>
      <c r="MM221" s="7"/>
    </row>
    <row r="222" spans="3:351" ht="5.0999999999999996" customHeight="1" x14ac:dyDescent="0.3">
      <c r="C222" s="11"/>
      <c r="D222" s="13"/>
      <c r="Q222" s="198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199"/>
      <c r="AM222" s="199"/>
      <c r="AN222" s="199"/>
      <c r="AO222" s="199"/>
      <c r="AP222" s="199"/>
      <c r="AQ222" s="199"/>
      <c r="AR222" s="199"/>
      <c r="AS222" s="199"/>
      <c r="AT222" s="199"/>
      <c r="AU222" s="199"/>
      <c r="AV222" s="199"/>
      <c r="AW222" s="199"/>
      <c r="AX222" s="199"/>
      <c r="AY222" s="199"/>
      <c r="AZ222" s="199"/>
      <c r="BA222" s="199"/>
      <c r="BB222" s="199"/>
      <c r="BC222" s="199"/>
      <c r="BD222" s="199"/>
      <c r="BE222" s="200"/>
      <c r="BF222" s="187"/>
      <c r="BG222" s="188"/>
      <c r="BH222" s="188"/>
      <c r="BI222" s="188"/>
      <c r="BJ222" s="189"/>
      <c r="JW222" s="155"/>
      <c r="LB222" s="151"/>
      <c r="ML222" s="12"/>
      <c r="MM222" s="7"/>
    </row>
    <row r="223" spans="3:351" ht="5.0999999999999996" customHeight="1" x14ac:dyDescent="0.3">
      <c r="C223" s="11"/>
      <c r="D223" s="13"/>
      <c r="Q223" s="198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199"/>
      <c r="AM223" s="199"/>
      <c r="AN223" s="199"/>
      <c r="AO223" s="199"/>
      <c r="AP223" s="199"/>
      <c r="AQ223" s="199"/>
      <c r="AR223" s="199"/>
      <c r="AS223" s="199"/>
      <c r="AT223" s="199"/>
      <c r="AU223" s="199"/>
      <c r="AV223" s="199"/>
      <c r="AW223" s="199"/>
      <c r="AX223" s="199"/>
      <c r="AY223" s="199"/>
      <c r="AZ223" s="199"/>
      <c r="BA223" s="199"/>
      <c r="BB223" s="199"/>
      <c r="BC223" s="199"/>
      <c r="BD223" s="199"/>
      <c r="BE223" s="200"/>
      <c r="BF223" s="187"/>
      <c r="BG223" s="188"/>
      <c r="BH223" s="188"/>
      <c r="BI223" s="188"/>
      <c r="BJ223" s="189"/>
      <c r="JW223" s="155"/>
      <c r="KE223" s="184" t="s">
        <v>58</v>
      </c>
      <c r="KF223" s="185"/>
      <c r="KG223" s="185"/>
      <c r="KH223" s="185"/>
      <c r="KI223" s="185"/>
      <c r="KJ223" s="185"/>
      <c r="KK223" s="185"/>
      <c r="KL223" s="185"/>
      <c r="KM223" s="185"/>
      <c r="KN223" s="185"/>
      <c r="KO223" s="185"/>
      <c r="KP223" s="185"/>
      <c r="KQ223" s="185"/>
      <c r="KR223" s="185"/>
      <c r="KS223" s="185"/>
      <c r="KT223" s="185"/>
      <c r="KU223" s="185"/>
      <c r="KV223" s="185"/>
      <c r="KW223" s="185"/>
      <c r="KX223" s="185"/>
      <c r="KY223" s="185"/>
      <c r="KZ223" s="185"/>
      <c r="LA223" s="185"/>
      <c r="LB223" s="185"/>
      <c r="LC223" s="185"/>
      <c r="LD223" s="185"/>
      <c r="LE223" s="185"/>
      <c r="LF223" s="185"/>
      <c r="LG223" s="185"/>
      <c r="LH223" s="185"/>
      <c r="LI223" s="185"/>
      <c r="LJ223" s="185"/>
      <c r="LK223" s="185"/>
      <c r="LL223" s="185"/>
      <c r="LM223" s="185"/>
      <c r="LN223" s="185"/>
      <c r="LO223" s="185"/>
      <c r="LP223" s="185"/>
      <c r="LQ223" s="185"/>
      <c r="LR223" s="185"/>
      <c r="LS223" s="186"/>
      <c r="LT223" s="184">
        <v>1</v>
      </c>
      <c r="LU223" s="185"/>
      <c r="LV223" s="185"/>
      <c r="LW223" s="185"/>
      <c r="LX223" s="186"/>
      <c r="ML223" s="12"/>
      <c r="MM223" s="7"/>
    </row>
    <row r="224" spans="3:351" ht="5.0999999999999996" customHeight="1" x14ac:dyDescent="0.3">
      <c r="C224" s="11"/>
      <c r="D224" s="13"/>
      <c r="Q224" s="198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199"/>
      <c r="AM224" s="199"/>
      <c r="AN224" s="199"/>
      <c r="AO224" s="199"/>
      <c r="AP224" s="199"/>
      <c r="AQ224" s="199"/>
      <c r="AR224" s="199"/>
      <c r="AS224" s="199"/>
      <c r="AT224" s="199"/>
      <c r="AU224" s="199"/>
      <c r="AV224" s="199"/>
      <c r="AW224" s="199"/>
      <c r="AX224" s="199"/>
      <c r="AY224" s="199"/>
      <c r="AZ224" s="199"/>
      <c r="BA224" s="199"/>
      <c r="BB224" s="199"/>
      <c r="BC224" s="199"/>
      <c r="BD224" s="199"/>
      <c r="BE224" s="200"/>
      <c r="BF224" s="187"/>
      <c r="BG224" s="188"/>
      <c r="BH224" s="188"/>
      <c r="BI224" s="188"/>
      <c r="BJ224" s="189"/>
      <c r="JW224" s="155"/>
      <c r="KE224" s="187"/>
      <c r="KF224" s="188"/>
      <c r="KG224" s="188"/>
      <c r="KH224" s="188"/>
      <c r="KI224" s="188"/>
      <c r="KJ224" s="188"/>
      <c r="KK224" s="188"/>
      <c r="KL224" s="188"/>
      <c r="KM224" s="188"/>
      <c r="KN224" s="188"/>
      <c r="KO224" s="188"/>
      <c r="KP224" s="188"/>
      <c r="KQ224" s="188"/>
      <c r="KR224" s="188"/>
      <c r="KS224" s="188"/>
      <c r="KT224" s="188"/>
      <c r="KU224" s="188"/>
      <c r="KV224" s="188"/>
      <c r="KW224" s="188"/>
      <c r="KX224" s="188"/>
      <c r="KY224" s="188"/>
      <c r="KZ224" s="188"/>
      <c r="LA224" s="188"/>
      <c r="LB224" s="188"/>
      <c r="LC224" s="188"/>
      <c r="LD224" s="188"/>
      <c r="LE224" s="188"/>
      <c r="LF224" s="188"/>
      <c r="LG224" s="188"/>
      <c r="LH224" s="188"/>
      <c r="LI224" s="188"/>
      <c r="LJ224" s="188"/>
      <c r="LK224" s="188"/>
      <c r="LL224" s="188"/>
      <c r="LM224" s="188"/>
      <c r="LN224" s="188"/>
      <c r="LO224" s="188"/>
      <c r="LP224" s="188"/>
      <c r="LQ224" s="188"/>
      <c r="LR224" s="188"/>
      <c r="LS224" s="189"/>
      <c r="LT224" s="187"/>
      <c r="LU224" s="188"/>
      <c r="LV224" s="188"/>
      <c r="LW224" s="188"/>
      <c r="LX224" s="189"/>
      <c r="ML224" s="12"/>
      <c r="MM224" s="7"/>
    </row>
    <row r="225" spans="3:351" ht="5.0999999999999996" customHeight="1" x14ac:dyDescent="0.3">
      <c r="C225" s="11"/>
      <c r="D225" s="13"/>
      <c r="Q225" s="198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199"/>
      <c r="AM225" s="199"/>
      <c r="AN225" s="199"/>
      <c r="AO225" s="199"/>
      <c r="AP225" s="199"/>
      <c r="AQ225" s="199"/>
      <c r="AR225" s="199"/>
      <c r="AS225" s="199"/>
      <c r="AT225" s="199"/>
      <c r="AU225" s="199"/>
      <c r="AV225" s="199"/>
      <c r="AW225" s="199"/>
      <c r="AX225" s="199"/>
      <c r="AY225" s="199"/>
      <c r="AZ225" s="199"/>
      <c r="BA225" s="199"/>
      <c r="BB225" s="199"/>
      <c r="BC225" s="199"/>
      <c r="BD225" s="199"/>
      <c r="BE225" s="200"/>
      <c r="BF225" s="187"/>
      <c r="BG225" s="188"/>
      <c r="BH225" s="188"/>
      <c r="BI225" s="188"/>
      <c r="BJ225" s="189"/>
      <c r="JW225" s="155"/>
      <c r="KE225" s="187"/>
      <c r="KF225" s="188"/>
      <c r="KG225" s="188"/>
      <c r="KH225" s="188"/>
      <c r="KI225" s="188"/>
      <c r="KJ225" s="188"/>
      <c r="KK225" s="188"/>
      <c r="KL225" s="188"/>
      <c r="KM225" s="188"/>
      <c r="KN225" s="188"/>
      <c r="KO225" s="188"/>
      <c r="KP225" s="188"/>
      <c r="KQ225" s="188"/>
      <c r="KR225" s="188"/>
      <c r="KS225" s="188"/>
      <c r="KT225" s="188"/>
      <c r="KU225" s="188"/>
      <c r="KV225" s="188"/>
      <c r="KW225" s="188"/>
      <c r="KX225" s="188"/>
      <c r="KY225" s="188"/>
      <c r="KZ225" s="188"/>
      <c r="LA225" s="188"/>
      <c r="LB225" s="188"/>
      <c r="LC225" s="188"/>
      <c r="LD225" s="188"/>
      <c r="LE225" s="188"/>
      <c r="LF225" s="188"/>
      <c r="LG225" s="188"/>
      <c r="LH225" s="188"/>
      <c r="LI225" s="188"/>
      <c r="LJ225" s="188"/>
      <c r="LK225" s="188"/>
      <c r="LL225" s="188"/>
      <c r="LM225" s="188"/>
      <c r="LN225" s="188"/>
      <c r="LO225" s="188"/>
      <c r="LP225" s="188"/>
      <c r="LQ225" s="188"/>
      <c r="LR225" s="188"/>
      <c r="LS225" s="189"/>
      <c r="LT225" s="187"/>
      <c r="LU225" s="188"/>
      <c r="LV225" s="188"/>
      <c r="LW225" s="188"/>
      <c r="LX225" s="189"/>
      <c r="ML225" s="12"/>
      <c r="MM225" s="7"/>
    </row>
    <row r="226" spans="3:351" ht="5.0999999999999996" customHeight="1" x14ac:dyDescent="0.3">
      <c r="C226" s="11"/>
      <c r="D226" s="13"/>
      <c r="Q226" s="198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199"/>
      <c r="AU226" s="199"/>
      <c r="AV226" s="199"/>
      <c r="AW226" s="199"/>
      <c r="AX226" s="199"/>
      <c r="AY226" s="199"/>
      <c r="AZ226" s="199"/>
      <c r="BA226" s="199"/>
      <c r="BB226" s="199"/>
      <c r="BC226" s="199"/>
      <c r="BD226" s="199"/>
      <c r="BE226" s="200"/>
      <c r="BF226" s="187"/>
      <c r="BG226" s="188"/>
      <c r="BH226" s="188"/>
      <c r="BI226" s="188"/>
      <c r="BJ226" s="189"/>
      <c r="JW226" s="155"/>
      <c r="KE226" s="187"/>
      <c r="KF226" s="188"/>
      <c r="KG226" s="188"/>
      <c r="KH226" s="188"/>
      <c r="KI226" s="188"/>
      <c r="KJ226" s="188"/>
      <c r="KK226" s="188"/>
      <c r="KL226" s="188"/>
      <c r="KM226" s="188"/>
      <c r="KN226" s="188"/>
      <c r="KO226" s="188"/>
      <c r="KP226" s="188"/>
      <c r="KQ226" s="188"/>
      <c r="KR226" s="188"/>
      <c r="KS226" s="188"/>
      <c r="KT226" s="188"/>
      <c r="KU226" s="188"/>
      <c r="KV226" s="188"/>
      <c r="KW226" s="188"/>
      <c r="KX226" s="188"/>
      <c r="KY226" s="188"/>
      <c r="KZ226" s="188"/>
      <c r="LA226" s="188"/>
      <c r="LB226" s="188"/>
      <c r="LC226" s="188"/>
      <c r="LD226" s="188"/>
      <c r="LE226" s="188"/>
      <c r="LF226" s="188"/>
      <c r="LG226" s="188"/>
      <c r="LH226" s="188"/>
      <c r="LI226" s="188"/>
      <c r="LJ226" s="188"/>
      <c r="LK226" s="188"/>
      <c r="LL226" s="188"/>
      <c r="LM226" s="188"/>
      <c r="LN226" s="188"/>
      <c r="LO226" s="188"/>
      <c r="LP226" s="188"/>
      <c r="LQ226" s="188"/>
      <c r="LR226" s="188"/>
      <c r="LS226" s="189"/>
      <c r="LT226" s="187"/>
      <c r="LU226" s="188"/>
      <c r="LV226" s="188"/>
      <c r="LW226" s="188"/>
      <c r="LX226" s="189"/>
      <c r="ML226" s="12"/>
      <c r="MM226" s="7"/>
    </row>
    <row r="227" spans="3:351" ht="5.0999999999999996" customHeight="1" x14ac:dyDescent="0.3">
      <c r="C227" s="11"/>
      <c r="D227" s="13"/>
      <c r="Q227" s="198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  <c r="AS227" s="199"/>
      <c r="AT227" s="199"/>
      <c r="AU227" s="199"/>
      <c r="AV227" s="199"/>
      <c r="AW227" s="199"/>
      <c r="AX227" s="199"/>
      <c r="AY227" s="199"/>
      <c r="AZ227" s="199"/>
      <c r="BA227" s="199"/>
      <c r="BB227" s="199"/>
      <c r="BC227" s="199"/>
      <c r="BD227" s="199"/>
      <c r="BE227" s="200"/>
      <c r="BF227" s="187"/>
      <c r="BG227" s="188"/>
      <c r="BH227" s="188"/>
      <c r="BI227" s="188"/>
      <c r="BJ227" s="189"/>
      <c r="JW227" s="155"/>
      <c r="KE227" s="187"/>
      <c r="KF227" s="188"/>
      <c r="KG227" s="188"/>
      <c r="KH227" s="188"/>
      <c r="KI227" s="188"/>
      <c r="KJ227" s="188"/>
      <c r="KK227" s="188"/>
      <c r="KL227" s="188"/>
      <c r="KM227" s="188"/>
      <c r="KN227" s="188"/>
      <c r="KO227" s="188"/>
      <c r="KP227" s="188"/>
      <c r="KQ227" s="188"/>
      <c r="KR227" s="188"/>
      <c r="KS227" s="188"/>
      <c r="KT227" s="188"/>
      <c r="KU227" s="188"/>
      <c r="KV227" s="188"/>
      <c r="KW227" s="188"/>
      <c r="KX227" s="188"/>
      <c r="KY227" s="188"/>
      <c r="KZ227" s="188"/>
      <c r="LA227" s="188"/>
      <c r="LB227" s="188"/>
      <c r="LC227" s="188"/>
      <c r="LD227" s="188"/>
      <c r="LE227" s="188"/>
      <c r="LF227" s="188"/>
      <c r="LG227" s="188"/>
      <c r="LH227" s="188"/>
      <c r="LI227" s="188"/>
      <c r="LJ227" s="188"/>
      <c r="LK227" s="188"/>
      <c r="LL227" s="188"/>
      <c r="LM227" s="188"/>
      <c r="LN227" s="188"/>
      <c r="LO227" s="188"/>
      <c r="LP227" s="188"/>
      <c r="LQ227" s="188"/>
      <c r="LR227" s="188"/>
      <c r="LS227" s="189"/>
      <c r="LT227" s="187"/>
      <c r="LU227" s="188"/>
      <c r="LV227" s="188"/>
      <c r="LW227" s="188"/>
      <c r="LX227" s="189"/>
      <c r="ML227" s="12"/>
      <c r="MM227" s="7"/>
    </row>
    <row r="228" spans="3:351" ht="5.0999999999999996" customHeight="1" x14ac:dyDescent="0.3">
      <c r="C228" s="11"/>
      <c r="D228" s="13"/>
      <c r="Q228" s="198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199"/>
      <c r="AM228" s="199"/>
      <c r="AN228" s="199"/>
      <c r="AO228" s="199"/>
      <c r="AP228" s="199"/>
      <c r="AQ228" s="199"/>
      <c r="AR228" s="199"/>
      <c r="AS228" s="199"/>
      <c r="AT228" s="199"/>
      <c r="AU228" s="199"/>
      <c r="AV228" s="199"/>
      <c r="AW228" s="199"/>
      <c r="AX228" s="199"/>
      <c r="AY228" s="199"/>
      <c r="AZ228" s="199"/>
      <c r="BA228" s="199"/>
      <c r="BB228" s="199"/>
      <c r="BC228" s="199"/>
      <c r="BD228" s="199"/>
      <c r="BE228" s="200"/>
      <c r="BF228" s="187"/>
      <c r="BG228" s="188"/>
      <c r="BH228" s="188"/>
      <c r="BI228" s="188"/>
      <c r="BJ228" s="189"/>
      <c r="JW228" s="155"/>
      <c r="KE228" s="187"/>
      <c r="KF228" s="188"/>
      <c r="KG228" s="188"/>
      <c r="KH228" s="188"/>
      <c r="KI228" s="188"/>
      <c r="KJ228" s="188"/>
      <c r="KK228" s="188"/>
      <c r="KL228" s="188"/>
      <c r="KM228" s="188"/>
      <c r="KN228" s="188"/>
      <c r="KO228" s="188"/>
      <c r="KP228" s="188"/>
      <c r="KQ228" s="188"/>
      <c r="KR228" s="188"/>
      <c r="KS228" s="188"/>
      <c r="KT228" s="188"/>
      <c r="KU228" s="188"/>
      <c r="KV228" s="188"/>
      <c r="KW228" s="188"/>
      <c r="KX228" s="188"/>
      <c r="KY228" s="188"/>
      <c r="KZ228" s="188"/>
      <c r="LA228" s="188"/>
      <c r="LB228" s="188"/>
      <c r="LC228" s="188"/>
      <c r="LD228" s="188"/>
      <c r="LE228" s="188"/>
      <c r="LF228" s="188"/>
      <c r="LG228" s="188"/>
      <c r="LH228" s="188"/>
      <c r="LI228" s="188"/>
      <c r="LJ228" s="188"/>
      <c r="LK228" s="188"/>
      <c r="LL228" s="188"/>
      <c r="LM228" s="188"/>
      <c r="LN228" s="188"/>
      <c r="LO228" s="188"/>
      <c r="LP228" s="188"/>
      <c r="LQ228" s="188"/>
      <c r="LR228" s="188"/>
      <c r="LS228" s="189"/>
      <c r="LT228" s="187"/>
      <c r="LU228" s="188"/>
      <c r="LV228" s="188"/>
      <c r="LW228" s="188"/>
      <c r="LX228" s="189"/>
      <c r="ML228" s="12"/>
      <c r="MM228" s="7"/>
    </row>
    <row r="229" spans="3:351" ht="5.0999999999999996" customHeight="1" x14ac:dyDescent="0.3">
      <c r="C229" s="11"/>
      <c r="D229" s="13"/>
      <c r="Q229" s="198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199"/>
      <c r="AM229" s="199"/>
      <c r="AN229" s="199"/>
      <c r="AO229" s="199"/>
      <c r="AP229" s="199"/>
      <c r="AQ229" s="199"/>
      <c r="AR229" s="199"/>
      <c r="AS229" s="199"/>
      <c r="AT229" s="199"/>
      <c r="AU229" s="199"/>
      <c r="AV229" s="199"/>
      <c r="AW229" s="199"/>
      <c r="AX229" s="199"/>
      <c r="AY229" s="199"/>
      <c r="AZ229" s="199"/>
      <c r="BA229" s="199"/>
      <c r="BB229" s="199"/>
      <c r="BC229" s="199"/>
      <c r="BD229" s="199"/>
      <c r="BE229" s="200"/>
      <c r="BF229" s="187"/>
      <c r="BG229" s="188"/>
      <c r="BH229" s="188"/>
      <c r="BI229" s="188"/>
      <c r="BJ229" s="189"/>
      <c r="JW229" s="155"/>
      <c r="KE229" s="187"/>
      <c r="KF229" s="188"/>
      <c r="KG229" s="188"/>
      <c r="KH229" s="188"/>
      <c r="KI229" s="188"/>
      <c r="KJ229" s="188"/>
      <c r="KK229" s="188"/>
      <c r="KL229" s="188"/>
      <c r="KM229" s="188"/>
      <c r="KN229" s="188"/>
      <c r="KO229" s="188"/>
      <c r="KP229" s="188"/>
      <c r="KQ229" s="188"/>
      <c r="KR229" s="188"/>
      <c r="KS229" s="188"/>
      <c r="KT229" s="188"/>
      <c r="KU229" s="188"/>
      <c r="KV229" s="188"/>
      <c r="KW229" s="188"/>
      <c r="KX229" s="188"/>
      <c r="KY229" s="188"/>
      <c r="KZ229" s="188"/>
      <c r="LA229" s="188"/>
      <c r="LB229" s="188"/>
      <c r="LC229" s="188"/>
      <c r="LD229" s="188"/>
      <c r="LE229" s="188"/>
      <c r="LF229" s="188"/>
      <c r="LG229" s="188"/>
      <c r="LH229" s="188"/>
      <c r="LI229" s="188"/>
      <c r="LJ229" s="188"/>
      <c r="LK229" s="188"/>
      <c r="LL229" s="188"/>
      <c r="LM229" s="188"/>
      <c r="LN229" s="188"/>
      <c r="LO229" s="188"/>
      <c r="LP229" s="188"/>
      <c r="LQ229" s="188"/>
      <c r="LR229" s="188"/>
      <c r="LS229" s="189"/>
      <c r="LT229" s="187"/>
      <c r="LU229" s="188"/>
      <c r="LV229" s="188"/>
      <c r="LW229" s="188"/>
      <c r="LX229" s="189"/>
      <c r="ML229" s="12"/>
      <c r="MM229" s="7"/>
    </row>
    <row r="230" spans="3:351" ht="5.0999999999999996" customHeight="1" x14ac:dyDescent="0.3">
      <c r="C230" s="11"/>
      <c r="D230" s="13"/>
      <c r="Q230" s="201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3"/>
      <c r="BF230" s="190"/>
      <c r="BG230" s="191"/>
      <c r="BH230" s="191"/>
      <c r="BI230" s="191"/>
      <c r="BJ230" s="192"/>
      <c r="JW230" s="155"/>
      <c r="KE230" s="187"/>
      <c r="KF230" s="188"/>
      <c r="KG230" s="188"/>
      <c r="KH230" s="188"/>
      <c r="KI230" s="188"/>
      <c r="KJ230" s="188"/>
      <c r="KK230" s="188"/>
      <c r="KL230" s="188"/>
      <c r="KM230" s="188"/>
      <c r="KN230" s="188"/>
      <c r="KO230" s="188"/>
      <c r="KP230" s="188"/>
      <c r="KQ230" s="188"/>
      <c r="KR230" s="188"/>
      <c r="KS230" s="188"/>
      <c r="KT230" s="188"/>
      <c r="KU230" s="188"/>
      <c r="KV230" s="188"/>
      <c r="KW230" s="188"/>
      <c r="KX230" s="188"/>
      <c r="KY230" s="188"/>
      <c r="KZ230" s="188"/>
      <c r="LA230" s="188"/>
      <c r="LB230" s="188"/>
      <c r="LC230" s="188"/>
      <c r="LD230" s="188"/>
      <c r="LE230" s="188"/>
      <c r="LF230" s="188"/>
      <c r="LG230" s="188"/>
      <c r="LH230" s="188"/>
      <c r="LI230" s="188"/>
      <c r="LJ230" s="188"/>
      <c r="LK230" s="188"/>
      <c r="LL230" s="188"/>
      <c r="LM230" s="188"/>
      <c r="LN230" s="188"/>
      <c r="LO230" s="188"/>
      <c r="LP230" s="188"/>
      <c r="LQ230" s="188"/>
      <c r="LR230" s="188"/>
      <c r="LS230" s="189"/>
      <c r="LT230" s="187"/>
      <c r="LU230" s="188"/>
      <c r="LV230" s="188"/>
      <c r="LW230" s="188"/>
      <c r="LX230" s="189"/>
      <c r="ML230" s="12"/>
      <c r="MM230" s="7"/>
    </row>
    <row r="231" spans="3:351" ht="5.0999999999999996" customHeight="1" x14ac:dyDescent="0.3">
      <c r="C231" s="11"/>
      <c r="D231" s="13"/>
      <c r="Q231" s="195" t="s">
        <v>28</v>
      </c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  <c r="AY231" s="196"/>
      <c r="AZ231" s="196"/>
      <c r="BA231" s="196"/>
      <c r="BB231" s="196"/>
      <c r="BC231" s="196"/>
      <c r="BD231" s="196"/>
      <c r="BE231" s="197">
        <v>10</v>
      </c>
      <c r="BF231" s="216"/>
      <c r="BG231" s="217"/>
      <c r="BH231" s="217"/>
      <c r="BI231" s="217"/>
      <c r="BJ231" s="218"/>
      <c r="JW231" s="155"/>
      <c r="KE231" s="187"/>
      <c r="KF231" s="188"/>
      <c r="KG231" s="188"/>
      <c r="KH231" s="188"/>
      <c r="KI231" s="188"/>
      <c r="KJ231" s="188"/>
      <c r="KK231" s="188"/>
      <c r="KL231" s="188"/>
      <c r="KM231" s="188"/>
      <c r="KN231" s="188"/>
      <c r="KO231" s="188"/>
      <c r="KP231" s="188"/>
      <c r="KQ231" s="188"/>
      <c r="KR231" s="188"/>
      <c r="KS231" s="188"/>
      <c r="KT231" s="188"/>
      <c r="KU231" s="188"/>
      <c r="KV231" s="188"/>
      <c r="KW231" s="188"/>
      <c r="KX231" s="188"/>
      <c r="KY231" s="188"/>
      <c r="KZ231" s="188"/>
      <c r="LA231" s="188"/>
      <c r="LB231" s="188"/>
      <c r="LC231" s="188"/>
      <c r="LD231" s="188"/>
      <c r="LE231" s="188"/>
      <c r="LF231" s="188"/>
      <c r="LG231" s="188"/>
      <c r="LH231" s="188"/>
      <c r="LI231" s="188"/>
      <c r="LJ231" s="188"/>
      <c r="LK231" s="188"/>
      <c r="LL231" s="188"/>
      <c r="LM231" s="188"/>
      <c r="LN231" s="188"/>
      <c r="LO231" s="188"/>
      <c r="LP231" s="188"/>
      <c r="LQ231" s="188"/>
      <c r="LR231" s="188"/>
      <c r="LS231" s="189"/>
      <c r="LT231" s="187"/>
      <c r="LU231" s="188"/>
      <c r="LV231" s="188"/>
      <c r="LW231" s="188"/>
      <c r="LX231" s="189"/>
      <c r="ML231" s="12"/>
      <c r="MM231" s="7"/>
    </row>
    <row r="232" spans="3:351" ht="5.0999999999999996" customHeight="1" x14ac:dyDescent="0.3">
      <c r="C232" s="11"/>
      <c r="D232" s="13"/>
      <c r="Q232" s="198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  <c r="AS232" s="199"/>
      <c r="AT232" s="199"/>
      <c r="AU232" s="199"/>
      <c r="AV232" s="199"/>
      <c r="AW232" s="199"/>
      <c r="AX232" s="199"/>
      <c r="AY232" s="199"/>
      <c r="AZ232" s="199"/>
      <c r="BA232" s="199"/>
      <c r="BB232" s="199"/>
      <c r="BC232" s="199"/>
      <c r="BD232" s="199"/>
      <c r="BE232" s="200"/>
      <c r="BF232" s="219"/>
      <c r="BG232" s="220"/>
      <c r="BH232" s="220"/>
      <c r="BI232" s="220"/>
      <c r="BJ232" s="221"/>
      <c r="JW232" s="155"/>
      <c r="KE232" s="190"/>
      <c r="KF232" s="191"/>
      <c r="KG232" s="191"/>
      <c r="KH232" s="191"/>
      <c r="KI232" s="191"/>
      <c r="KJ232" s="191"/>
      <c r="KK232" s="191"/>
      <c r="KL232" s="191"/>
      <c r="KM232" s="191"/>
      <c r="KN232" s="191"/>
      <c r="KO232" s="191"/>
      <c r="KP232" s="191"/>
      <c r="KQ232" s="191"/>
      <c r="KR232" s="191"/>
      <c r="KS232" s="191"/>
      <c r="KT232" s="191"/>
      <c r="KU232" s="191"/>
      <c r="KV232" s="191"/>
      <c r="KW232" s="191"/>
      <c r="KX232" s="191"/>
      <c r="KY232" s="191"/>
      <c r="KZ232" s="191"/>
      <c r="LA232" s="191"/>
      <c r="LB232" s="191"/>
      <c r="LC232" s="191"/>
      <c r="LD232" s="191"/>
      <c r="LE232" s="191"/>
      <c r="LF232" s="191"/>
      <c r="LG232" s="191"/>
      <c r="LH232" s="191"/>
      <c r="LI232" s="191"/>
      <c r="LJ232" s="191"/>
      <c r="LK232" s="191"/>
      <c r="LL232" s="191"/>
      <c r="LM232" s="191"/>
      <c r="LN232" s="191"/>
      <c r="LO232" s="191"/>
      <c r="LP232" s="191"/>
      <c r="LQ232" s="191"/>
      <c r="LR232" s="191"/>
      <c r="LS232" s="192"/>
      <c r="LT232" s="190"/>
      <c r="LU232" s="191"/>
      <c r="LV232" s="191"/>
      <c r="LW232" s="191"/>
      <c r="LX232" s="192"/>
      <c r="ML232" s="12"/>
      <c r="MM232" s="7"/>
    </row>
    <row r="233" spans="3:351" ht="5.0999999999999996" customHeight="1" x14ac:dyDescent="0.3">
      <c r="C233" s="11"/>
      <c r="D233" s="13"/>
      <c r="Q233" s="198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  <c r="AD233" s="199"/>
      <c r="AE233" s="199"/>
      <c r="AF233" s="199"/>
      <c r="AG233" s="199"/>
      <c r="AH233" s="199"/>
      <c r="AI233" s="199"/>
      <c r="AJ233" s="199"/>
      <c r="AK233" s="199"/>
      <c r="AL233" s="199"/>
      <c r="AM233" s="199"/>
      <c r="AN233" s="199"/>
      <c r="AO233" s="199"/>
      <c r="AP233" s="199"/>
      <c r="AQ233" s="199"/>
      <c r="AR233" s="199"/>
      <c r="AS233" s="199"/>
      <c r="AT233" s="199"/>
      <c r="AU233" s="199"/>
      <c r="AV233" s="199"/>
      <c r="AW233" s="199"/>
      <c r="AX233" s="199"/>
      <c r="AY233" s="199"/>
      <c r="AZ233" s="199"/>
      <c r="BA233" s="199"/>
      <c r="BB233" s="199"/>
      <c r="BC233" s="199"/>
      <c r="BD233" s="199"/>
      <c r="BE233" s="200"/>
      <c r="BF233" s="219"/>
      <c r="BG233" s="220"/>
      <c r="BH233" s="220"/>
      <c r="BI233" s="220"/>
      <c r="BJ233" s="221"/>
      <c r="JW233" s="155"/>
      <c r="ML233" s="12"/>
      <c r="MM233" s="7"/>
    </row>
    <row r="234" spans="3:351" ht="5.0999999999999996" customHeight="1" x14ac:dyDescent="0.3">
      <c r="C234" s="11"/>
      <c r="D234" s="13"/>
      <c r="Q234" s="198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  <c r="AD234" s="199"/>
      <c r="AE234" s="199"/>
      <c r="AF234" s="199"/>
      <c r="AG234" s="199"/>
      <c r="AH234" s="199"/>
      <c r="AI234" s="199"/>
      <c r="AJ234" s="199"/>
      <c r="AK234" s="199"/>
      <c r="AL234" s="199"/>
      <c r="AM234" s="199"/>
      <c r="AN234" s="199"/>
      <c r="AO234" s="199"/>
      <c r="AP234" s="199"/>
      <c r="AQ234" s="199"/>
      <c r="AR234" s="199"/>
      <c r="AS234" s="199"/>
      <c r="AT234" s="199"/>
      <c r="AU234" s="199"/>
      <c r="AV234" s="199"/>
      <c r="AW234" s="199"/>
      <c r="AX234" s="199"/>
      <c r="AY234" s="199"/>
      <c r="AZ234" s="199"/>
      <c r="BA234" s="199"/>
      <c r="BB234" s="199"/>
      <c r="BC234" s="199"/>
      <c r="BD234" s="199"/>
      <c r="BE234" s="200"/>
      <c r="BF234" s="219"/>
      <c r="BG234" s="220"/>
      <c r="BH234" s="220"/>
      <c r="BI234" s="220"/>
      <c r="BJ234" s="221"/>
      <c r="ML234" s="12"/>
      <c r="MM234" s="7"/>
    </row>
    <row r="235" spans="3:351" ht="5.0999999999999996" customHeight="1" x14ac:dyDescent="0.3">
      <c r="C235" s="11"/>
      <c r="D235" s="13"/>
      <c r="Q235" s="198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  <c r="AS235" s="199"/>
      <c r="AT235" s="199"/>
      <c r="AU235" s="199"/>
      <c r="AV235" s="199"/>
      <c r="AW235" s="199"/>
      <c r="AX235" s="199"/>
      <c r="AY235" s="199"/>
      <c r="AZ235" s="199"/>
      <c r="BA235" s="199"/>
      <c r="BB235" s="199"/>
      <c r="BC235" s="199"/>
      <c r="BD235" s="199"/>
      <c r="BE235" s="200"/>
      <c r="BF235" s="219"/>
      <c r="BG235" s="220"/>
      <c r="BH235" s="220"/>
      <c r="BI235" s="220"/>
      <c r="BJ235" s="221"/>
      <c r="ML235" s="12"/>
      <c r="MM235" s="7"/>
    </row>
    <row r="236" spans="3:351" ht="5.0999999999999996" customHeight="1" x14ac:dyDescent="0.3">
      <c r="C236" s="11"/>
      <c r="D236" s="13"/>
      <c r="Q236" s="198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199"/>
      <c r="AM236" s="199"/>
      <c r="AN236" s="199"/>
      <c r="AO236" s="199"/>
      <c r="AP236" s="199"/>
      <c r="AQ236" s="199"/>
      <c r="AR236" s="199"/>
      <c r="AS236" s="199"/>
      <c r="AT236" s="199"/>
      <c r="AU236" s="199"/>
      <c r="AV236" s="199"/>
      <c r="AW236" s="199"/>
      <c r="AX236" s="199"/>
      <c r="AY236" s="199"/>
      <c r="AZ236" s="199"/>
      <c r="BA236" s="199"/>
      <c r="BB236" s="199"/>
      <c r="BC236" s="199"/>
      <c r="BD236" s="199"/>
      <c r="BE236" s="200"/>
      <c r="BF236" s="219"/>
      <c r="BG236" s="220"/>
      <c r="BH236" s="220"/>
      <c r="BI236" s="220"/>
      <c r="BJ236" s="221"/>
      <c r="ML236" s="12"/>
      <c r="MM236" s="7"/>
    </row>
    <row r="237" spans="3:351" ht="5.0999999999999996" customHeight="1" x14ac:dyDescent="0.3">
      <c r="C237" s="11"/>
      <c r="D237" s="13"/>
      <c r="Q237" s="198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  <c r="AD237" s="199"/>
      <c r="AE237" s="199"/>
      <c r="AF237" s="199"/>
      <c r="AG237" s="199"/>
      <c r="AH237" s="199"/>
      <c r="AI237" s="199"/>
      <c r="AJ237" s="199"/>
      <c r="AK237" s="199"/>
      <c r="AL237" s="199"/>
      <c r="AM237" s="199"/>
      <c r="AN237" s="199"/>
      <c r="AO237" s="199"/>
      <c r="AP237" s="199"/>
      <c r="AQ237" s="199"/>
      <c r="AR237" s="199"/>
      <c r="AS237" s="199"/>
      <c r="AT237" s="199"/>
      <c r="AU237" s="199"/>
      <c r="AV237" s="199"/>
      <c r="AW237" s="199"/>
      <c r="AX237" s="199"/>
      <c r="AY237" s="199"/>
      <c r="AZ237" s="199"/>
      <c r="BA237" s="199"/>
      <c r="BB237" s="199"/>
      <c r="BC237" s="199"/>
      <c r="BD237" s="199"/>
      <c r="BE237" s="200"/>
      <c r="BF237" s="219"/>
      <c r="BG237" s="220"/>
      <c r="BH237" s="220"/>
      <c r="BI237" s="220"/>
      <c r="BJ237" s="221"/>
      <c r="ML237" s="12"/>
      <c r="MM237" s="7"/>
    </row>
    <row r="238" spans="3:351" ht="5.0999999999999996" customHeight="1" x14ac:dyDescent="0.3">
      <c r="C238" s="11"/>
      <c r="D238" s="13"/>
      <c r="Q238" s="198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  <c r="AD238" s="199"/>
      <c r="AE238" s="199"/>
      <c r="AF238" s="199"/>
      <c r="AG238" s="199"/>
      <c r="AH238" s="199"/>
      <c r="AI238" s="199"/>
      <c r="AJ238" s="199"/>
      <c r="AK238" s="199"/>
      <c r="AL238" s="199"/>
      <c r="AM238" s="199"/>
      <c r="AN238" s="199"/>
      <c r="AO238" s="199"/>
      <c r="AP238" s="199"/>
      <c r="AQ238" s="199"/>
      <c r="AR238" s="199"/>
      <c r="AS238" s="199"/>
      <c r="AT238" s="199"/>
      <c r="AU238" s="199"/>
      <c r="AV238" s="199"/>
      <c r="AW238" s="199"/>
      <c r="AX238" s="199"/>
      <c r="AY238" s="199"/>
      <c r="AZ238" s="199"/>
      <c r="BA238" s="199"/>
      <c r="BB238" s="199"/>
      <c r="BC238" s="199"/>
      <c r="BD238" s="199"/>
      <c r="BE238" s="200"/>
      <c r="BF238" s="219"/>
      <c r="BG238" s="220"/>
      <c r="BH238" s="220"/>
      <c r="BI238" s="220"/>
      <c r="BJ238" s="221"/>
      <c r="ML238" s="12"/>
      <c r="MM238" s="7"/>
    </row>
    <row r="239" spans="3:351" ht="5.0999999999999996" customHeight="1" x14ac:dyDescent="0.3">
      <c r="C239" s="11"/>
      <c r="D239" s="13"/>
      <c r="Q239" s="198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  <c r="AS239" s="199"/>
      <c r="AT239" s="199"/>
      <c r="AU239" s="199"/>
      <c r="AV239" s="199"/>
      <c r="AW239" s="199"/>
      <c r="AX239" s="199"/>
      <c r="AY239" s="199"/>
      <c r="AZ239" s="199"/>
      <c r="BA239" s="199"/>
      <c r="BB239" s="199"/>
      <c r="BC239" s="199"/>
      <c r="BD239" s="199"/>
      <c r="BE239" s="200"/>
      <c r="BF239" s="219"/>
      <c r="BG239" s="220"/>
      <c r="BH239" s="220"/>
      <c r="BI239" s="220"/>
      <c r="BJ239" s="221"/>
      <c r="ML239" s="12"/>
      <c r="MM239" s="7"/>
    </row>
    <row r="240" spans="3:351" ht="5.0999999999999996" customHeight="1" x14ac:dyDescent="0.3">
      <c r="C240" s="11"/>
      <c r="D240" s="13"/>
      <c r="Q240" s="201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  <c r="AV240" s="202"/>
      <c r="AW240" s="202"/>
      <c r="AX240" s="202"/>
      <c r="AY240" s="202"/>
      <c r="AZ240" s="202"/>
      <c r="BA240" s="202"/>
      <c r="BB240" s="202"/>
      <c r="BC240" s="202"/>
      <c r="BD240" s="202"/>
      <c r="BE240" s="203"/>
      <c r="BF240" s="222"/>
      <c r="BG240" s="223"/>
      <c r="BH240" s="223"/>
      <c r="BI240" s="223"/>
      <c r="BJ240" s="224"/>
      <c r="ML240" s="12"/>
      <c r="MM240" s="7"/>
    </row>
    <row r="241" spans="3:351" ht="5.0999999999999996" customHeight="1" thickBot="1" x14ac:dyDescent="0.35">
      <c r="C241" s="11"/>
      <c r="D241" s="13"/>
      <c r="ML241" s="12"/>
      <c r="MM241" s="7"/>
    </row>
    <row r="242" spans="3:351" ht="5.0999999999999996" customHeight="1" x14ac:dyDescent="0.3">
      <c r="C242" s="11"/>
      <c r="D242" s="13"/>
      <c r="JY242" s="329" t="s">
        <v>154</v>
      </c>
      <c r="JZ242" s="330"/>
      <c r="KA242" s="330"/>
      <c r="KB242" s="330"/>
      <c r="KC242" s="330"/>
      <c r="KD242" s="330"/>
      <c r="KE242" s="330"/>
      <c r="KF242" s="330"/>
      <c r="KG242" s="330"/>
      <c r="KH242" s="330"/>
      <c r="KI242" s="330"/>
      <c r="KJ242" s="330"/>
      <c r="KK242" s="330"/>
      <c r="KL242" s="330"/>
      <c r="KM242" s="330"/>
      <c r="KN242" s="330"/>
      <c r="KO242" s="330"/>
      <c r="KP242" s="330"/>
      <c r="KQ242" s="330"/>
      <c r="KR242" s="330"/>
      <c r="KS242" s="330"/>
      <c r="KT242" s="330"/>
      <c r="KU242" s="330"/>
      <c r="KV242" s="330"/>
      <c r="KW242" s="330"/>
      <c r="KX242" s="330"/>
      <c r="KY242" s="330"/>
      <c r="KZ242" s="330"/>
      <c r="LA242" s="330"/>
      <c r="LB242" s="330"/>
      <c r="LC242" s="330"/>
      <c r="LD242" s="330"/>
      <c r="LE242" s="330"/>
      <c r="LF242" s="330"/>
      <c r="LG242" s="330"/>
      <c r="LH242" s="330"/>
      <c r="LI242" s="330"/>
      <c r="LJ242" s="330"/>
      <c r="LK242" s="330"/>
      <c r="LL242" s="330"/>
      <c r="LM242" s="330"/>
      <c r="LN242" s="330"/>
      <c r="LO242" s="330"/>
      <c r="LP242" s="330"/>
      <c r="LQ242" s="330"/>
      <c r="LR242" s="330"/>
      <c r="LS242" s="330"/>
      <c r="LT242" s="330"/>
      <c r="LU242" s="330"/>
      <c r="LV242" s="331"/>
      <c r="LW242" s="285">
        <f>LT117</f>
        <v>15</v>
      </c>
      <c r="LX242" s="285"/>
      <c r="LY242" s="285"/>
      <c r="LZ242" s="285"/>
      <c r="MA242" s="285"/>
      <c r="MB242" s="285"/>
      <c r="MC242" s="285"/>
      <c r="MD242" s="285"/>
      <c r="ME242" s="285"/>
      <c r="MF242" s="285"/>
      <c r="MG242" s="285"/>
      <c r="MH242" s="286"/>
      <c r="ML242" s="12"/>
      <c r="MM242" s="7"/>
    </row>
    <row r="243" spans="3:351" ht="5.0999999999999996" customHeight="1" x14ac:dyDescent="0.3">
      <c r="C243" s="11"/>
      <c r="D243" s="13"/>
      <c r="JY243" s="332"/>
      <c r="JZ243" s="333"/>
      <c r="KA243" s="333"/>
      <c r="KB243" s="333"/>
      <c r="KC243" s="333"/>
      <c r="KD243" s="333"/>
      <c r="KE243" s="333"/>
      <c r="KF243" s="333"/>
      <c r="KG243" s="333"/>
      <c r="KH243" s="333"/>
      <c r="KI243" s="333"/>
      <c r="KJ243" s="333"/>
      <c r="KK243" s="333"/>
      <c r="KL243" s="333"/>
      <c r="KM243" s="333"/>
      <c r="KN243" s="333"/>
      <c r="KO243" s="333"/>
      <c r="KP243" s="333"/>
      <c r="KQ243" s="333"/>
      <c r="KR243" s="333"/>
      <c r="KS243" s="333"/>
      <c r="KT243" s="333"/>
      <c r="KU243" s="333"/>
      <c r="KV243" s="333"/>
      <c r="KW243" s="333"/>
      <c r="KX243" s="333"/>
      <c r="KY243" s="333"/>
      <c r="KZ243" s="333"/>
      <c r="LA243" s="333"/>
      <c r="LB243" s="333"/>
      <c r="LC243" s="333"/>
      <c r="LD243" s="333"/>
      <c r="LE243" s="333"/>
      <c r="LF243" s="333"/>
      <c r="LG243" s="333"/>
      <c r="LH243" s="333"/>
      <c r="LI243" s="333"/>
      <c r="LJ243" s="333"/>
      <c r="LK243" s="333"/>
      <c r="LL243" s="333"/>
      <c r="LM243" s="333"/>
      <c r="LN243" s="333"/>
      <c r="LO243" s="333"/>
      <c r="LP243" s="333"/>
      <c r="LQ243" s="333"/>
      <c r="LR243" s="333"/>
      <c r="LS243" s="333"/>
      <c r="LT243" s="333"/>
      <c r="LU243" s="333"/>
      <c r="LV243" s="334"/>
      <c r="LW243" s="288"/>
      <c r="LX243" s="288"/>
      <c r="LY243" s="288"/>
      <c r="LZ243" s="288"/>
      <c r="MA243" s="288"/>
      <c r="MB243" s="288"/>
      <c r="MC243" s="288"/>
      <c r="MD243" s="288"/>
      <c r="ME243" s="288"/>
      <c r="MF243" s="288"/>
      <c r="MG243" s="288"/>
      <c r="MH243" s="289"/>
      <c r="ML243" s="12"/>
      <c r="MM243" s="7"/>
    </row>
    <row r="244" spans="3:351" ht="5.0999999999999996" customHeight="1" x14ac:dyDescent="0.3">
      <c r="C244" s="11"/>
      <c r="D244" s="13"/>
      <c r="JY244" s="332"/>
      <c r="JZ244" s="333"/>
      <c r="KA244" s="333"/>
      <c r="KB244" s="333"/>
      <c r="KC244" s="333"/>
      <c r="KD244" s="333"/>
      <c r="KE244" s="333"/>
      <c r="KF244" s="333"/>
      <c r="KG244" s="333"/>
      <c r="KH244" s="333"/>
      <c r="KI244" s="333"/>
      <c r="KJ244" s="333"/>
      <c r="KK244" s="333"/>
      <c r="KL244" s="333"/>
      <c r="KM244" s="333"/>
      <c r="KN244" s="333"/>
      <c r="KO244" s="333"/>
      <c r="KP244" s="333"/>
      <c r="KQ244" s="333"/>
      <c r="KR244" s="333"/>
      <c r="KS244" s="333"/>
      <c r="KT244" s="333"/>
      <c r="KU244" s="333"/>
      <c r="KV244" s="333"/>
      <c r="KW244" s="333"/>
      <c r="KX244" s="333"/>
      <c r="KY244" s="333"/>
      <c r="KZ244" s="333"/>
      <c r="LA244" s="333"/>
      <c r="LB244" s="333"/>
      <c r="LC244" s="333"/>
      <c r="LD244" s="333"/>
      <c r="LE244" s="333"/>
      <c r="LF244" s="333"/>
      <c r="LG244" s="333"/>
      <c r="LH244" s="333"/>
      <c r="LI244" s="333"/>
      <c r="LJ244" s="333"/>
      <c r="LK244" s="333"/>
      <c r="LL244" s="333"/>
      <c r="LM244" s="333"/>
      <c r="LN244" s="333"/>
      <c r="LO244" s="333"/>
      <c r="LP244" s="333"/>
      <c r="LQ244" s="333"/>
      <c r="LR244" s="333"/>
      <c r="LS244" s="333"/>
      <c r="LT244" s="333"/>
      <c r="LU244" s="333"/>
      <c r="LV244" s="334"/>
      <c r="LW244" s="288"/>
      <c r="LX244" s="288"/>
      <c r="LY244" s="288"/>
      <c r="LZ244" s="288"/>
      <c r="MA244" s="288"/>
      <c r="MB244" s="288"/>
      <c r="MC244" s="288"/>
      <c r="MD244" s="288"/>
      <c r="ME244" s="288"/>
      <c r="MF244" s="288"/>
      <c r="MG244" s="288"/>
      <c r="MH244" s="289"/>
      <c r="ML244" s="12"/>
      <c r="MM244" s="7"/>
    </row>
    <row r="245" spans="3:351" ht="4.5" customHeight="1" x14ac:dyDescent="0.3">
      <c r="C245" s="11"/>
      <c r="D245" s="13"/>
      <c r="JY245" s="332"/>
      <c r="JZ245" s="333"/>
      <c r="KA245" s="333"/>
      <c r="KB245" s="333"/>
      <c r="KC245" s="333"/>
      <c r="KD245" s="333"/>
      <c r="KE245" s="333"/>
      <c r="KF245" s="333"/>
      <c r="KG245" s="333"/>
      <c r="KH245" s="333"/>
      <c r="KI245" s="333"/>
      <c r="KJ245" s="333"/>
      <c r="KK245" s="333"/>
      <c r="KL245" s="333"/>
      <c r="KM245" s="333"/>
      <c r="KN245" s="333"/>
      <c r="KO245" s="333"/>
      <c r="KP245" s="333"/>
      <c r="KQ245" s="333"/>
      <c r="KR245" s="333"/>
      <c r="KS245" s="333"/>
      <c r="KT245" s="333"/>
      <c r="KU245" s="333"/>
      <c r="KV245" s="333"/>
      <c r="KW245" s="333"/>
      <c r="KX245" s="333"/>
      <c r="KY245" s="333"/>
      <c r="KZ245" s="333"/>
      <c r="LA245" s="333"/>
      <c r="LB245" s="333"/>
      <c r="LC245" s="333"/>
      <c r="LD245" s="333"/>
      <c r="LE245" s="333"/>
      <c r="LF245" s="333"/>
      <c r="LG245" s="333"/>
      <c r="LH245" s="333"/>
      <c r="LI245" s="333"/>
      <c r="LJ245" s="333"/>
      <c r="LK245" s="333"/>
      <c r="LL245" s="333"/>
      <c r="LM245" s="333"/>
      <c r="LN245" s="333"/>
      <c r="LO245" s="333"/>
      <c r="LP245" s="333"/>
      <c r="LQ245" s="333"/>
      <c r="LR245" s="333"/>
      <c r="LS245" s="333"/>
      <c r="LT245" s="333"/>
      <c r="LU245" s="333"/>
      <c r="LV245" s="334"/>
      <c r="LW245" s="288"/>
      <c r="LX245" s="288"/>
      <c r="LY245" s="288"/>
      <c r="LZ245" s="288"/>
      <c r="MA245" s="288"/>
      <c r="MB245" s="288"/>
      <c r="MC245" s="288"/>
      <c r="MD245" s="288"/>
      <c r="ME245" s="288"/>
      <c r="MF245" s="288"/>
      <c r="MG245" s="288"/>
      <c r="MH245" s="289"/>
      <c r="ML245" s="12"/>
      <c r="MM245" s="7"/>
    </row>
    <row r="246" spans="3:351" ht="5.0999999999999996" customHeight="1" x14ac:dyDescent="0.3">
      <c r="C246" s="11"/>
      <c r="D246" s="13"/>
      <c r="JY246" s="332"/>
      <c r="JZ246" s="333"/>
      <c r="KA246" s="333"/>
      <c r="KB246" s="333"/>
      <c r="KC246" s="333"/>
      <c r="KD246" s="333"/>
      <c r="KE246" s="333"/>
      <c r="KF246" s="333"/>
      <c r="KG246" s="333"/>
      <c r="KH246" s="333"/>
      <c r="KI246" s="333"/>
      <c r="KJ246" s="333"/>
      <c r="KK246" s="333"/>
      <c r="KL246" s="333"/>
      <c r="KM246" s="333"/>
      <c r="KN246" s="333"/>
      <c r="KO246" s="333"/>
      <c r="KP246" s="333"/>
      <c r="KQ246" s="333"/>
      <c r="KR246" s="333"/>
      <c r="KS246" s="333"/>
      <c r="KT246" s="333"/>
      <c r="KU246" s="333"/>
      <c r="KV246" s="333"/>
      <c r="KW246" s="333"/>
      <c r="KX246" s="333"/>
      <c r="KY246" s="333"/>
      <c r="KZ246" s="333"/>
      <c r="LA246" s="333"/>
      <c r="LB246" s="333"/>
      <c r="LC246" s="333"/>
      <c r="LD246" s="333"/>
      <c r="LE246" s="333"/>
      <c r="LF246" s="333"/>
      <c r="LG246" s="333"/>
      <c r="LH246" s="333"/>
      <c r="LI246" s="333"/>
      <c r="LJ246" s="333"/>
      <c r="LK246" s="333"/>
      <c r="LL246" s="333"/>
      <c r="LM246" s="333"/>
      <c r="LN246" s="333"/>
      <c r="LO246" s="333"/>
      <c r="LP246" s="333"/>
      <c r="LQ246" s="333"/>
      <c r="LR246" s="333"/>
      <c r="LS246" s="333"/>
      <c r="LT246" s="333"/>
      <c r="LU246" s="333"/>
      <c r="LV246" s="334"/>
      <c r="LW246" s="288"/>
      <c r="LX246" s="288"/>
      <c r="LY246" s="288"/>
      <c r="LZ246" s="288"/>
      <c r="MA246" s="288"/>
      <c r="MB246" s="288"/>
      <c r="MC246" s="288"/>
      <c r="MD246" s="288"/>
      <c r="ME246" s="288"/>
      <c r="MF246" s="288"/>
      <c r="MG246" s="288"/>
      <c r="MH246" s="289"/>
      <c r="ML246" s="12"/>
      <c r="MM246" s="7"/>
    </row>
    <row r="247" spans="3:351" ht="5.0999999999999996" customHeight="1" x14ac:dyDescent="0.3">
      <c r="C247" s="11"/>
      <c r="D247" s="13"/>
      <c r="JY247" s="332"/>
      <c r="JZ247" s="333"/>
      <c r="KA247" s="333"/>
      <c r="KB247" s="333"/>
      <c r="KC247" s="333"/>
      <c r="KD247" s="333"/>
      <c r="KE247" s="333"/>
      <c r="KF247" s="333"/>
      <c r="KG247" s="333"/>
      <c r="KH247" s="333"/>
      <c r="KI247" s="333"/>
      <c r="KJ247" s="333"/>
      <c r="KK247" s="333"/>
      <c r="KL247" s="333"/>
      <c r="KM247" s="333"/>
      <c r="KN247" s="333"/>
      <c r="KO247" s="333"/>
      <c r="KP247" s="333"/>
      <c r="KQ247" s="333"/>
      <c r="KR247" s="333"/>
      <c r="KS247" s="333"/>
      <c r="KT247" s="333"/>
      <c r="KU247" s="333"/>
      <c r="KV247" s="333"/>
      <c r="KW247" s="333"/>
      <c r="KX247" s="333"/>
      <c r="KY247" s="333"/>
      <c r="KZ247" s="333"/>
      <c r="LA247" s="333"/>
      <c r="LB247" s="333"/>
      <c r="LC247" s="333"/>
      <c r="LD247" s="333"/>
      <c r="LE247" s="333"/>
      <c r="LF247" s="333"/>
      <c r="LG247" s="333"/>
      <c r="LH247" s="333"/>
      <c r="LI247" s="333"/>
      <c r="LJ247" s="333"/>
      <c r="LK247" s="333"/>
      <c r="LL247" s="333"/>
      <c r="LM247" s="333"/>
      <c r="LN247" s="333"/>
      <c r="LO247" s="333"/>
      <c r="LP247" s="333"/>
      <c r="LQ247" s="333"/>
      <c r="LR247" s="333"/>
      <c r="LS247" s="333"/>
      <c r="LT247" s="333"/>
      <c r="LU247" s="333"/>
      <c r="LV247" s="334"/>
      <c r="LW247" s="288"/>
      <c r="LX247" s="288"/>
      <c r="LY247" s="288"/>
      <c r="LZ247" s="288"/>
      <c r="MA247" s="288"/>
      <c r="MB247" s="288"/>
      <c r="MC247" s="288"/>
      <c r="MD247" s="288"/>
      <c r="ME247" s="288"/>
      <c r="MF247" s="288"/>
      <c r="MG247" s="288"/>
      <c r="MH247" s="289"/>
      <c r="ML247" s="12"/>
      <c r="MM247" s="7"/>
    </row>
    <row r="248" spans="3:351" ht="5.0999999999999996" customHeight="1" thickBot="1" x14ac:dyDescent="0.35">
      <c r="C248" s="11"/>
      <c r="D248" s="13"/>
      <c r="JY248" s="335"/>
      <c r="JZ248" s="336"/>
      <c r="KA248" s="336"/>
      <c r="KB248" s="336"/>
      <c r="KC248" s="336"/>
      <c r="KD248" s="336"/>
      <c r="KE248" s="336"/>
      <c r="KF248" s="336"/>
      <c r="KG248" s="336"/>
      <c r="KH248" s="336"/>
      <c r="KI248" s="336"/>
      <c r="KJ248" s="336"/>
      <c r="KK248" s="336"/>
      <c r="KL248" s="336"/>
      <c r="KM248" s="336"/>
      <c r="KN248" s="336"/>
      <c r="KO248" s="336"/>
      <c r="KP248" s="336"/>
      <c r="KQ248" s="336"/>
      <c r="KR248" s="336"/>
      <c r="KS248" s="336"/>
      <c r="KT248" s="336"/>
      <c r="KU248" s="336"/>
      <c r="KV248" s="336"/>
      <c r="KW248" s="336"/>
      <c r="KX248" s="336"/>
      <c r="KY248" s="336"/>
      <c r="KZ248" s="336"/>
      <c r="LA248" s="336"/>
      <c r="LB248" s="336"/>
      <c r="LC248" s="336"/>
      <c r="LD248" s="336"/>
      <c r="LE248" s="336"/>
      <c r="LF248" s="336"/>
      <c r="LG248" s="336"/>
      <c r="LH248" s="336"/>
      <c r="LI248" s="336"/>
      <c r="LJ248" s="336"/>
      <c r="LK248" s="336"/>
      <c r="LL248" s="336"/>
      <c r="LM248" s="336"/>
      <c r="LN248" s="336"/>
      <c r="LO248" s="336"/>
      <c r="LP248" s="336"/>
      <c r="LQ248" s="336"/>
      <c r="LR248" s="336"/>
      <c r="LS248" s="336"/>
      <c r="LT248" s="336"/>
      <c r="LU248" s="336"/>
      <c r="LV248" s="337"/>
      <c r="LW248" s="291"/>
      <c r="LX248" s="291"/>
      <c r="LY248" s="291"/>
      <c r="LZ248" s="291"/>
      <c r="MA248" s="291"/>
      <c r="MB248" s="291"/>
      <c r="MC248" s="291"/>
      <c r="MD248" s="291"/>
      <c r="ME248" s="291"/>
      <c r="MF248" s="291"/>
      <c r="MG248" s="291"/>
      <c r="MH248" s="292"/>
      <c r="ML248" s="12"/>
      <c r="MM248" s="7"/>
    </row>
    <row r="249" spans="3:351" ht="5.0999999999999996" customHeight="1" x14ac:dyDescent="0.3">
      <c r="C249" s="11"/>
      <c r="D249" s="13"/>
      <c r="JY249" s="329" t="s">
        <v>153</v>
      </c>
      <c r="JZ249" s="330"/>
      <c r="KA249" s="330"/>
      <c r="KB249" s="330"/>
      <c r="KC249" s="330"/>
      <c r="KD249" s="330"/>
      <c r="KE249" s="330"/>
      <c r="KF249" s="330"/>
      <c r="KG249" s="330"/>
      <c r="KH249" s="330"/>
      <c r="KI249" s="330"/>
      <c r="KJ249" s="330"/>
      <c r="KK249" s="330"/>
      <c r="KL249" s="330"/>
      <c r="KM249" s="330"/>
      <c r="KN249" s="330"/>
      <c r="KO249" s="330"/>
      <c r="KP249" s="330"/>
      <c r="KQ249" s="330"/>
      <c r="KR249" s="330"/>
      <c r="KS249" s="330"/>
      <c r="KT249" s="330"/>
      <c r="KU249" s="330"/>
      <c r="KV249" s="330"/>
      <c r="KW249" s="330"/>
      <c r="KX249" s="330"/>
      <c r="KY249" s="330"/>
      <c r="KZ249" s="330"/>
      <c r="LA249" s="330"/>
      <c r="LB249" s="330"/>
      <c r="LC249" s="330"/>
      <c r="LD249" s="330"/>
      <c r="LE249" s="330"/>
      <c r="LF249" s="330"/>
      <c r="LG249" s="330"/>
      <c r="LH249" s="330"/>
      <c r="LI249" s="330"/>
      <c r="LJ249" s="330"/>
      <c r="LK249" s="330"/>
      <c r="LL249" s="330"/>
      <c r="LM249" s="330"/>
      <c r="LN249" s="330"/>
      <c r="LO249" s="330"/>
      <c r="LP249" s="330"/>
      <c r="LQ249" s="330"/>
      <c r="LR249" s="330"/>
      <c r="LS249" s="330"/>
      <c r="LT249" s="330"/>
      <c r="LU249" s="330"/>
      <c r="LV249" s="331"/>
      <c r="LW249" s="285">
        <f>SUM(FT18,FT36,BF50,IK37,HM92,HM102,DH97,BF117,FO117,JL161)</f>
        <v>43</v>
      </c>
      <c r="LX249" s="285"/>
      <c r="LY249" s="285"/>
      <c r="LZ249" s="285"/>
      <c r="MA249" s="285"/>
      <c r="MB249" s="285"/>
      <c r="MC249" s="285"/>
      <c r="MD249" s="285"/>
      <c r="ME249" s="285"/>
      <c r="MF249" s="285"/>
      <c r="MG249" s="285"/>
      <c r="MH249" s="286"/>
      <c r="ML249" s="12"/>
      <c r="MM249" s="7"/>
    </row>
    <row r="250" spans="3:351" ht="5.0999999999999996" customHeight="1" x14ac:dyDescent="0.3">
      <c r="C250" s="11"/>
      <c r="D250" s="13"/>
      <c r="JY250" s="332"/>
      <c r="JZ250" s="333"/>
      <c r="KA250" s="333"/>
      <c r="KB250" s="333"/>
      <c r="KC250" s="333"/>
      <c r="KD250" s="333"/>
      <c r="KE250" s="333"/>
      <c r="KF250" s="333"/>
      <c r="KG250" s="333"/>
      <c r="KH250" s="333"/>
      <c r="KI250" s="333"/>
      <c r="KJ250" s="333"/>
      <c r="KK250" s="333"/>
      <c r="KL250" s="333"/>
      <c r="KM250" s="333"/>
      <c r="KN250" s="333"/>
      <c r="KO250" s="333"/>
      <c r="KP250" s="333"/>
      <c r="KQ250" s="333"/>
      <c r="KR250" s="333"/>
      <c r="KS250" s="333"/>
      <c r="KT250" s="333"/>
      <c r="KU250" s="333"/>
      <c r="KV250" s="333"/>
      <c r="KW250" s="333"/>
      <c r="KX250" s="333"/>
      <c r="KY250" s="333"/>
      <c r="KZ250" s="333"/>
      <c r="LA250" s="333"/>
      <c r="LB250" s="333"/>
      <c r="LC250" s="333"/>
      <c r="LD250" s="333"/>
      <c r="LE250" s="333"/>
      <c r="LF250" s="333"/>
      <c r="LG250" s="333"/>
      <c r="LH250" s="333"/>
      <c r="LI250" s="333"/>
      <c r="LJ250" s="333"/>
      <c r="LK250" s="333"/>
      <c r="LL250" s="333"/>
      <c r="LM250" s="333"/>
      <c r="LN250" s="333"/>
      <c r="LO250" s="333"/>
      <c r="LP250" s="333"/>
      <c r="LQ250" s="333"/>
      <c r="LR250" s="333"/>
      <c r="LS250" s="333"/>
      <c r="LT250" s="333"/>
      <c r="LU250" s="333"/>
      <c r="LV250" s="334"/>
      <c r="LW250" s="288"/>
      <c r="LX250" s="288"/>
      <c r="LY250" s="288"/>
      <c r="LZ250" s="288"/>
      <c r="MA250" s="288"/>
      <c r="MB250" s="288"/>
      <c r="MC250" s="288"/>
      <c r="MD250" s="288"/>
      <c r="ME250" s="288"/>
      <c r="MF250" s="288"/>
      <c r="MG250" s="288"/>
      <c r="MH250" s="289"/>
      <c r="ML250" s="12"/>
      <c r="MM250" s="7"/>
    </row>
    <row r="251" spans="3:351" ht="5.0999999999999996" customHeight="1" x14ac:dyDescent="0.3">
      <c r="C251" s="11"/>
      <c r="D251" s="13"/>
      <c r="JY251" s="332"/>
      <c r="JZ251" s="333"/>
      <c r="KA251" s="333"/>
      <c r="KB251" s="333"/>
      <c r="KC251" s="333"/>
      <c r="KD251" s="333"/>
      <c r="KE251" s="333"/>
      <c r="KF251" s="333"/>
      <c r="KG251" s="333"/>
      <c r="KH251" s="333"/>
      <c r="KI251" s="333"/>
      <c r="KJ251" s="333"/>
      <c r="KK251" s="333"/>
      <c r="KL251" s="333"/>
      <c r="KM251" s="333"/>
      <c r="KN251" s="333"/>
      <c r="KO251" s="333"/>
      <c r="KP251" s="333"/>
      <c r="KQ251" s="333"/>
      <c r="KR251" s="333"/>
      <c r="KS251" s="333"/>
      <c r="KT251" s="333"/>
      <c r="KU251" s="333"/>
      <c r="KV251" s="333"/>
      <c r="KW251" s="333"/>
      <c r="KX251" s="333"/>
      <c r="KY251" s="333"/>
      <c r="KZ251" s="333"/>
      <c r="LA251" s="333"/>
      <c r="LB251" s="333"/>
      <c r="LC251" s="333"/>
      <c r="LD251" s="333"/>
      <c r="LE251" s="333"/>
      <c r="LF251" s="333"/>
      <c r="LG251" s="333"/>
      <c r="LH251" s="333"/>
      <c r="LI251" s="333"/>
      <c r="LJ251" s="333"/>
      <c r="LK251" s="333"/>
      <c r="LL251" s="333"/>
      <c r="LM251" s="333"/>
      <c r="LN251" s="333"/>
      <c r="LO251" s="333"/>
      <c r="LP251" s="333"/>
      <c r="LQ251" s="333"/>
      <c r="LR251" s="333"/>
      <c r="LS251" s="333"/>
      <c r="LT251" s="333"/>
      <c r="LU251" s="333"/>
      <c r="LV251" s="334"/>
      <c r="LW251" s="288"/>
      <c r="LX251" s="288"/>
      <c r="LY251" s="288"/>
      <c r="LZ251" s="288"/>
      <c r="MA251" s="288"/>
      <c r="MB251" s="288"/>
      <c r="MC251" s="288"/>
      <c r="MD251" s="288"/>
      <c r="ME251" s="288"/>
      <c r="MF251" s="288"/>
      <c r="MG251" s="288"/>
      <c r="MH251" s="289"/>
      <c r="ML251" s="12"/>
      <c r="MM251" s="7"/>
    </row>
    <row r="252" spans="3:351" ht="5.0999999999999996" customHeight="1" x14ac:dyDescent="0.3">
      <c r="C252" s="11"/>
      <c r="D252" s="13"/>
      <c r="JY252" s="332"/>
      <c r="JZ252" s="333"/>
      <c r="KA252" s="333"/>
      <c r="KB252" s="333"/>
      <c r="KC252" s="333"/>
      <c r="KD252" s="333"/>
      <c r="KE252" s="333"/>
      <c r="KF252" s="333"/>
      <c r="KG252" s="333"/>
      <c r="KH252" s="333"/>
      <c r="KI252" s="333"/>
      <c r="KJ252" s="333"/>
      <c r="KK252" s="333"/>
      <c r="KL252" s="333"/>
      <c r="KM252" s="333"/>
      <c r="KN252" s="333"/>
      <c r="KO252" s="333"/>
      <c r="KP252" s="333"/>
      <c r="KQ252" s="333"/>
      <c r="KR252" s="333"/>
      <c r="KS252" s="333"/>
      <c r="KT252" s="333"/>
      <c r="KU252" s="333"/>
      <c r="KV252" s="333"/>
      <c r="KW252" s="333"/>
      <c r="KX252" s="333"/>
      <c r="KY252" s="333"/>
      <c r="KZ252" s="333"/>
      <c r="LA252" s="333"/>
      <c r="LB252" s="333"/>
      <c r="LC252" s="333"/>
      <c r="LD252" s="333"/>
      <c r="LE252" s="333"/>
      <c r="LF252" s="333"/>
      <c r="LG252" s="333"/>
      <c r="LH252" s="333"/>
      <c r="LI252" s="333"/>
      <c r="LJ252" s="333"/>
      <c r="LK252" s="333"/>
      <c r="LL252" s="333"/>
      <c r="LM252" s="333"/>
      <c r="LN252" s="333"/>
      <c r="LO252" s="333"/>
      <c r="LP252" s="333"/>
      <c r="LQ252" s="333"/>
      <c r="LR252" s="333"/>
      <c r="LS252" s="333"/>
      <c r="LT252" s="333"/>
      <c r="LU252" s="333"/>
      <c r="LV252" s="334"/>
      <c r="LW252" s="288"/>
      <c r="LX252" s="288"/>
      <c r="LY252" s="288"/>
      <c r="LZ252" s="288"/>
      <c r="MA252" s="288"/>
      <c r="MB252" s="288"/>
      <c r="MC252" s="288"/>
      <c r="MD252" s="288"/>
      <c r="ME252" s="288"/>
      <c r="MF252" s="288"/>
      <c r="MG252" s="288"/>
      <c r="MH252" s="289"/>
      <c r="ML252" s="12"/>
      <c r="MM252" s="7"/>
    </row>
    <row r="253" spans="3:351" ht="5.0999999999999996" customHeight="1" x14ac:dyDescent="0.3">
      <c r="C253" s="11"/>
      <c r="D253" s="13"/>
      <c r="JY253" s="332"/>
      <c r="JZ253" s="333"/>
      <c r="KA253" s="333"/>
      <c r="KB253" s="333"/>
      <c r="KC253" s="333"/>
      <c r="KD253" s="333"/>
      <c r="KE253" s="333"/>
      <c r="KF253" s="333"/>
      <c r="KG253" s="333"/>
      <c r="KH253" s="333"/>
      <c r="KI253" s="333"/>
      <c r="KJ253" s="333"/>
      <c r="KK253" s="333"/>
      <c r="KL253" s="333"/>
      <c r="KM253" s="333"/>
      <c r="KN253" s="333"/>
      <c r="KO253" s="333"/>
      <c r="KP253" s="333"/>
      <c r="KQ253" s="333"/>
      <c r="KR253" s="333"/>
      <c r="KS253" s="333"/>
      <c r="KT253" s="333"/>
      <c r="KU253" s="333"/>
      <c r="KV253" s="333"/>
      <c r="KW253" s="333"/>
      <c r="KX253" s="333"/>
      <c r="KY253" s="333"/>
      <c r="KZ253" s="333"/>
      <c r="LA253" s="333"/>
      <c r="LB253" s="333"/>
      <c r="LC253" s="333"/>
      <c r="LD253" s="333"/>
      <c r="LE253" s="333"/>
      <c r="LF253" s="333"/>
      <c r="LG253" s="333"/>
      <c r="LH253" s="333"/>
      <c r="LI253" s="333"/>
      <c r="LJ253" s="333"/>
      <c r="LK253" s="333"/>
      <c r="LL253" s="333"/>
      <c r="LM253" s="333"/>
      <c r="LN253" s="333"/>
      <c r="LO253" s="333"/>
      <c r="LP253" s="333"/>
      <c r="LQ253" s="333"/>
      <c r="LR253" s="333"/>
      <c r="LS253" s="333"/>
      <c r="LT253" s="333"/>
      <c r="LU253" s="333"/>
      <c r="LV253" s="334"/>
      <c r="LW253" s="288"/>
      <c r="LX253" s="288"/>
      <c r="LY253" s="288"/>
      <c r="LZ253" s="288"/>
      <c r="MA253" s="288"/>
      <c r="MB253" s="288"/>
      <c r="MC253" s="288"/>
      <c r="MD253" s="288"/>
      <c r="ME253" s="288"/>
      <c r="MF253" s="288"/>
      <c r="MG253" s="288"/>
      <c r="MH253" s="289"/>
      <c r="ML253" s="12"/>
      <c r="MM253" s="7"/>
    </row>
    <row r="254" spans="3:351" ht="5.0999999999999996" customHeight="1" x14ac:dyDescent="0.3">
      <c r="C254" s="11"/>
      <c r="D254" s="13"/>
      <c r="JY254" s="332"/>
      <c r="JZ254" s="333"/>
      <c r="KA254" s="333"/>
      <c r="KB254" s="333"/>
      <c r="KC254" s="333"/>
      <c r="KD254" s="333"/>
      <c r="KE254" s="333"/>
      <c r="KF254" s="333"/>
      <c r="KG254" s="333"/>
      <c r="KH254" s="333"/>
      <c r="KI254" s="333"/>
      <c r="KJ254" s="333"/>
      <c r="KK254" s="333"/>
      <c r="KL254" s="333"/>
      <c r="KM254" s="333"/>
      <c r="KN254" s="333"/>
      <c r="KO254" s="333"/>
      <c r="KP254" s="333"/>
      <c r="KQ254" s="333"/>
      <c r="KR254" s="333"/>
      <c r="KS254" s="333"/>
      <c r="KT254" s="333"/>
      <c r="KU254" s="333"/>
      <c r="KV254" s="333"/>
      <c r="KW254" s="333"/>
      <c r="KX254" s="333"/>
      <c r="KY254" s="333"/>
      <c r="KZ254" s="333"/>
      <c r="LA254" s="333"/>
      <c r="LB254" s="333"/>
      <c r="LC254" s="333"/>
      <c r="LD254" s="333"/>
      <c r="LE254" s="333"/>
      <c r="LF254" s="333"/>
      <c r="LG254" s="333"/>
      <c r="LH254" s="333"/>
      <c r="LI254" s="333"/>
      <c r="LJ254" s="333"/>
      <c r="LK254" s="333"/>
      <c r="LL254" s="333"/>
      <c r="LM254" s="333"/>
      <c r="LN254" s="333"/>
      <c r="LO254" s="333"/>
      <c r="LP254" s="333"/>
      <c r="LQ254" s="333"/>
      <c r="LR254" s="333"/>
      <c r="LS254" s="333"/>
      <c r="LT254" s="333"/>
      <c r="LU254" s="333"/>
      <c r="LV254" s="334"/>
      <c r="LW254" s="288"/>
      <c r="LX254" s="288"/>
      <c r="LY254" s="288"/>
      <c r="LZ254" s="288"/>
      <c r="MA254" s="288"/>
      <c r="MB254" s="288"/>
      <c r="MC254" s="288"/>
      <c r="MD254" s="288"/>
      <c r="ME254" s="288"/>
      <c r="MF254" s="288"/>
      <c r="MG254" s="288"/>
      <c r="MH254" s="289"/>
      <c r="ML254" s="12"/>
      <c r="MM254" s="7"/>
    </row>
    <row r="255" spans="3:351" ht="5.0999999999999996" customHeight="1" thickBot="1" x14ac:dyDescent="0.35">
      <c r="C255" s="11"/>
      <c r="D255" s="13"/>
      <c r="JY255" s="335"/>
      <c r="JZ255" s="336"/>
      <c r="KA255" s="336"/>
      <c r="KB255" s="336"/>
      <c r="KC255" s="336"/>
      <c r="KD255" s="336"/>
      <c r="KE255" s="336"/>
      <c r="KF255" s="336"/>
      <c r="KG255" s="336"/>
      <c r="KH255" s="336"/>
      <c r="KI255" s="336"/>
      <c r="KJ255" s="336"/>
      <c r="KK255" s="336"/>
      <c r="KL255" s="336"/>
      <c r="KM255" s="336"/>
      <c r="KN255" s="336"/>
      <c r="KO255" s="336"/>
      <c r="KP255" s="336"/>
      <c r="KQ255" s="336"/>
      <c r="KR255" s="336"/>
      <c r="KS255" s="336"/>
      <c r="KT255" s="336"/>
      <c r="KU255" s="336"/>
      <c r="KV255" s="336"/>
      <c r="KW255" s="336"/>
      <c r="KX255" s="336"/>
      <c r="KY255" s="336"/>
      <c r="KZ255" s="336"/>
      <c r="LA255" s="336"/>
      <c r="LB255" s="336"/>
      <c r="LC255" s="336"/>
      <c r="LD255" s="336"/>
      <c r="LE255" s="336"/>
      <c r="LF255" s="336"/>
      <c r="LG255" s="336"/>
      <c r="LH255" s="336"/>
      <c r="LI255" s="336"/>
      <c r="LJ255" s="336"/>
      <c r="LK255" s="336"/>
      <c r="LL255" s="336"/>
      <c r="LM255" s="336"/>
      <c r="LN255" s="336"/>
      <c r="LO255" s="336"/>
      <c r="LP255" s="336"/>
      <c r="LQ255" s="336"/>
      <c r="LR255" s="336"/>
      <c r="LS255" s="336"/>
      <c r="LT255" s="336"/>
      <c r="LU255" s="336"/>
      <c r="LV255" s="337"/>
      <c r="LW255" s="291"/>
      <c r="LX255" s="291"/>
      <c r="LY255" s="291"/>
      <c r="LZ255" s="291"/>
      <c r="MA255" s="291"/>
      <c r="MB255" s="291"/>
      <c r="MC255" s="291"/>
      <c r="MD255" s="291"/>
      <c r="ME255" s="291"/>
      <c r="MF255" s="291"/>
      <c r="MG255" s="291"/>
      <c r="MH255" s="292"/>
      <c r="ML255" s="12"/>
      <c r="MM255" s="7"/>
    </row>
    <row r="256" spans="3:351" ht="5.0999999999999996" customHeight="1" x14ac:dyDescent="0.3">
      <c r="C256" s="11"/>
      <c r="D256" s="13"/>
      <c r="JY256" s="329" t="s">
        <v>2</v>
      </c>
      <c r="JZ256" s="330"/>
      <c r="KA256" s="330"/>
      <c r="KB256" s="330"/>
      <c r="KC256" s="330"/>
      <c r="KD256" s="330"/>
      <c r="KE256" s="330"/>
      <c r="KF256" s="330"/>
      <c r="KG256" s="330"/>
      <c r="KH256" s="330"/>
      <c r="KI256" s="330"/>
      <c r="KJ256" s="330"/>
      <c r="KK256" s="330"/>
      <c r="KL256" s="330"/>
      <c r="KM256" s="330"/>
      <c r="KN256" s="330"/>
      <c r="KO256" s="330"/>
      <c r="KP256" s="330"/>
      <c r="KQ256" s="330"/>
      <c r="KR256" s="330"/>
      <c r="KS256" s="330"/>
      <c r="KT256" s="330"/>
      <c r="KU256" s="330"/>
      <c r="KV256" s="330"/>
      <c r="KW256" s="330"/>
      <c r="KX256" s="330"/>
      <c r="KY256" s="330"/>
      <c r="KZ256" s="330"/>
      <c r="LA256" s="330"/>
      <c r="LB256" s="330"/>
      <c r="LC256" s="330"/>
      <c r="LD256" s="330"/>
      <c r="LE256" s="330"/>
      <c r="LF256" s="330"/>
      <c r="LG256" s="330"/>
      <c r="LH256" s="330"/>
      <c r="LI256" s="330"/>
      <c r="LJ256" s="330"/>
      <c r="LK256" s="330"/>
      <c r="LL256" s="330"/>
      <c r="LM256" s="330"/>
      <c r="LN256" s="330"/>
      <c r="LO256" s="330"/>
      <c r="LP256" s="330"/>
      <c r="LQ256" s="330"/>
      <c r="LR256" s="330"/>
      <c r="LS256" s="330"/>
      <c r="LT256" s="330"/>
      <c r="LU256" s="330"/>
      <c r="LV256" s="331"/>
      <c r="LW256" s="284">
        <f>JL117</f>
        <v>10</v>
      </c>
      <c r="LX256" s="285"/>
      <c r="LY256" s="285"/>
      <c r="LZ256" s="285"/>
      <c r="MA256" s="285"/>
      <c r="MB256" s="285">
        <f>HN109</f>
        <v>0</v>
      </c>
      <c r="MC256" s="285"/>
      <c r="MD256" s="285"/>
      <c r="ME256" s="285"/>
      <c r="MF256" s="285"/>
      <c r="MG256" s="285"/>
      <c r="MH256" s="286"/>
      <c r="ML256" s="12"/>
      <c r="MM256" s="7"/>
    </row>
    <row r="257" spans="3:351" ht="5.0999999999999996" customHeight="1" x14ac:dyDescent="0.3">
      <c r="C257" s="11"/>
      <c r="D257" s="13"/>
      <c r="JY257" s="332"/>
      <c r="JZ257" s="333"/>
      <c r="KA257" s="333"/>
      <c r="KB257" s="333"/>
      <c r="KC257" s="333"/>
      <c r="KD257" s="333"/>
      <c r="KE257" s="333"/>
      <c r="KF257" s="333"/>
      <c r="KG257" s="333"/>
      <c r="KH257" s="333"/>
      <c r="KI257" s="333"/>
      <c r="KJ257" s="333"/>
      <c r="KK257" s="333"/>
      <c r="KL257" s="333"/>
      <c r="KM257" s="333"/>
      <c r="KN257" s="333"/>
      <c r="KO257" s="333"/>
      <c r="KP257" s="333"/>
      <c r="KQ257" s="333"/>
      <c r="KR257" s="333"/>
      <c r="KS257" s="333"/>
      <c r="KT257" s="333"/>
      <c r="KU257" s="333"/>
      <c r="KV257" s="333"/>
      <c r="KW257" s="333"/>
      <c r="KX257" s="333"/>
      <c r="KY257" s="333"/>
      <c r="KZ257" s="333"/>
      <c r="LA257" s="333"/>
      <c r="LB257" s="333"/>
      <c r="LC257" s="333"/>
      <c r="LD257" s="333"/>
      <c r="LE257" s="333"/>
      <c r="LF257" s="333"/>
      <c r="LG257" s="333"/>
      <c r="LH257" s="333"/>
      <c r="LI257" s="333"/>
      <c r="LJ257" s="333"/>
      <c r="LK257" s="333"/>
      <c r="LL257" s="333"/>
      <c r="LM257" s="333"/>
      <c r="LN257" s="333"/>
      <c r="LO257" s="333"/>
      <c r="LP257" s="333"/>
      <c r="LQ257" s="333"/>
      <c r="LR257" s="333"/>
      <c r="LS257" s="333"/>
      <c r="LT257" s="333"/>
      <c r="LU257" s="333"/>
      <c r="LV257" s="334"/>
      <c r="LW257" s="287"/>
      <c r="LX257" s="288"/>
      <c r="LY257" s="288"/>
      <c r="LZ257" s="288"/>
      <c r="MA257" s="288"/>
      <c r="MB257" s="288"/>
      <c r="MC257" s="288"/>
      <c r="MD257" s="288"/>
      <c r="ME257" s="288"/>
      <c r="MF257" s="288"/>
      <c r="MG257" s="288"/>
      <c r="MH257" s="289"/>
      <c r="ML257" s="12"/>
      <c r="MM257" s="7"/>
    </row>
    <row r="258" spans="3:351" ht="5.0999999999999996" customHeight="1" x14ac:dyDescent="0.3">
      <c r="C258" s="11"/>
      <c r="D258" s="13"/>
      <c r="JY258" s="332"/>
      <c r="JZ258" s="333"/>
      <c r="KA258" s="333"/>
      <c r="KB258" s="333"/>
      <c r="KC258" s="333"/>
      <c r="KD258" s="333"/>
      <c r="KE258" s="333"/>
      <c r="KF258" s="333"/>
      <c r="KG258" s="333"/>
      <c r="KH258" s="333"/>
      <c r="KI258" s="333"/>
      <c r="KJ258" s="333"/>
      <c r="KK258" s="333"/>
      <c r="KL258" s="333"/>
      <c r="KM258" s="333"/>
      <c r="KN258" s="333"/>
      <c r="KO258" s="333"/>
      <c r="KP258" s="333"/>
      <c r="KQ258" s="333"/>
      <c r="KR258" s="333"/>
      <c r="KS258" s="333"/>
      <c r="KT258" s="333"/>
      <c r="KU258" s="333"/>
      <c r="KV258" s="333"/>
      <c r="KW258" s="333"/>
      <c r="KX258" s="333"/>
      <c r="KY258" s="333"/>
      <c r="KZ258" s="333"/>
      <c r="LA258" s="333"/>
      <c r="LB258" s="333"/>
      <c r="LC258" s="333"/>
      <c r="LD258" s="333"/>
      <c r="LE258" s="333"/>
      <c r="LF258" s="333"/>
      <c r="LG258" s="333"/>
      <c r="LH258" s="333"/>
      <c r="LI258" s="333"/>
      <c r="LJ258" s="333"/>
      <c r="LK258" s="333"/>
      <c r="LL258" s="333"/>
      <c r="LM258" s="333"/>
      <c r="LN258" s="333"/>
      <c r="LO258" s="333"/>
      <c r="LP258" s="333"/>
      <c r="LQ258" s="333"/>
      <c r="LR258" s="333"/>
      <c r="LS258" s="333"/>
      <c r="LT258" s="333"/>
      <c r="LU258" s="333"/>
      <c r="LV258" s="334"/>
      <c r="LW258" s="287"/>
      <c r="LX258" s="288"/>
      <c r="LY258" s="288"/>
      <c r="LZ258" s="288"/>
      <c r="MA258" s="288"/>
      <c r="MB258" s="288"/>
      <c r="MC258" s="288"/>
      <c r="MD258" s="288"/>
      <c r="ME258" s="288"/>
      <c r="MF258" s="288"/>
      <c r="MG258" s="288"/>
      <c r="MH258" s="289"/>
      <c r="ML258" s="12"/>
      <c r="MM258" s="7"/>
    </row>
    <row r="259" spans="3:351" ht="5.0999999999999996" customHeight="1" x14ac:dyDescent="0.3">
      <c r="C259" s="11"/>
      <c r="D259" s="13"/>
      <c r="JY259" s="332"/>
      <c r="JZ259" s="333"/>
      <c r="KA259" s="333"/>
      <c r="KB259" s="333"/>
      <c r="KC259" s="333"/>
      <c r="KD259" s="333"/>
      <c r="KE259" s="333"/>
      <c r="KF259" s="333"/>
      <c r="KG259" s="333"/>
      <c r="KH259" s="333"/>
      <c r="KI259" s="333"/>
      <c r="KJ259" s="333"/>
      <c r="KK259" s="333"/>
      <c r="KL259" s="333"/>
      <c r="KM259" s="333"/>
      <c r="KN259" s="333"/>
      <c r="KO259" s="333"/>
      <c r="KP259" s="333"/>
      <c r="KQ259" s="333"/>
      <c r="KR259" s="333"/>
      <c r="KS259" s="333"/>
      <c r="KT259" s="333"/>
      <c r="KU259" s="333"/>
      <c r="KV259" s="333"/>
      <c r="KW259" s="333"/>
      <c r="KX259" s="333"/>
      <c r="KY259" s="333"/>
      <c r="KZ259" s="333"/>
      <c r="LA259" s="333"/>
      <c r="LB259" s="333"/>
      <c r="LC259" s="333"/>
      <c r="LD259" s="333"/>
      <c r="LE259" s="333"/>
      <c r="LF259" s="333"/>
      <c r="LG259" s="333"/>
      <c r="LH259" s="333"/>
      <c r="LI259" s="333"/>
      <c r="LJ259" s="333"/>
      <c r="LK259" s="333"/>
      <c r="LL259" s="333"/>
      <c r="LM259" s="333"/>
      <c r="LN259" s="333"/>
      <c r="LO259" s="333"/>
      <c r="LP259" s="333"/>
      <c r="LQ259" s="333"/>
      <c r="LR259" s="333"/>
      <c r="LS259" s="333"/>
      <c r="LT259" s="333"/>
      <c r="LU259" s="333"/>
      <c r="LV259" s="334"/>
      <c r="LW259" s="287"/>
      <c r="LX259" s="288"/>
      <c r="LY259" s="288"/>
      <c r="LZ259" s="288"/>
      <c r="MA259" s="288"/>
      <c r="MB259" s="288"/>
      <c r="MC259" s="288"/>
      <c r="MD259" s="288"/>
      <c r="ME259" s="288"/>
      <c r="MF259" s="288"/>
      <c r="MG259" s="288"/>
      <c r="MH259" s="289"/>
      <c r="ML259" s="12"/>
      <c r="MM259" s="7"/>
    </row>
    <row r="260" spans="3:351" ht="5.0999999999999996" customHeight="1" x14ac:dyDescent="0.3">
      <c r="C260" s="11"/>
      <c r="D260" s="13"/>
      <c r="JY260" s="332"/>
      <c r="JZ260" s="333"/>
      <c r="KA260" s="333"/>
      <c r="KB260" s="333"/>
      <c r="KC260" s="333"/>
      <c r="KD260" s="333"/>
      <c r="KE260" s="333"/>
      <c r="KF260" s="333"/>
      <c r="KG260" s="333"/>
      <c r="KH260" s="333"/>
      <c r="KI260" s="333"/>
      <c r="KJ260" s="333"/>
      <c r="KK260" s="333"/>
      <c r="KL260" s="333"/>
      <c r="KM260" s="333"/>
      <c r="KN260" s="333"/>
      <c r="KO260" s="333"/>
      <c r="KP260" s="333"/>
      <c r="KQ260" s="333"/>
      <c r="KR260" s="333"/>
      <c r="KS260" s="333"/>
      <c r="KT260" s="333"/>
      <c r="KU260" s="333"/>
      <c r="KV260" s="333"/>
      <c r="KW260" s="333"/>
      <c r="KX260" s="333"/>
      <c r="KY260" s="333"/>
      <c r="KZ260" s="333"/>
      <c r="LA260" s="333"/>
      <c r="LB260" s="333"/>
      <c r="LC260" s="333"/>
      <c r="LD260" s="333"/>
      <c r="LE260" s="333"/>
      <c r="LF260" s="333"/>
      <c r="LG260" s="333"/>
      <c r="LH260" s="333"/>
      <c r="LI260" s="333"/>
      <c r="LJ260" s="333"/>
      <c r="LK260" s="333"/>
      <c r="LL260" s="333"/>
      <c r="LM260" s="333"/>
      <c r="LN260" s="333"/>
      <c r="LO260" s="333"/>
      <c r="LP260" s="333"/>
      <c r="LQ260" s="333"/>
      <c r="LR260" s="333"/>
      <c r="LS260" s="333"/>
      <c r="LT260" s="333"/>
      <c r="LU260" s="333"/>
      <c r="LV260" s="334"/>
      <c r="LW260" s="287"/>
      <c r="LX260" s="288"/>
      <c r="LY260" s="288"/>
      <c r="LZ260" s="288"/>
      <c r="MA260" s="288"/>
      <c r="MB260" s="288"/>
      <c r="MC260" s="288"/>
      <c r="MD260" s="288"/>
      <c r="ME260" s="288"/>
      <c r="MF260" s="288"/>
      <c r="MG260" s="288"/>
      <c r="MH260" s="289"/>
      <c r="ML260" s="12"/>
      <c r="MM260" s="7"/>
    </row>
    <row r="261" spans="3:351" ht="5.0999999999999996" customHeight="1" x14ac:dyDescent="0.3">
      <c r="C261" s="11"/>
      <c r="D261" s="13"/>
      <c r="JY261" s="332"/>
      <c r="JZ261" s="333"/>
      <c r="KA261" s="333"/>
      <c r="KB261" s="333"/>
      <c r="KC261" s="333"/>
      <c r="KD261" s="333"/>
      <c r="KE261" s="333"/>
      <c r="KF261" s="333"/>
      <c r="KG261" s="333"/>
      <c r="KH261" s="333"/>
      <c r="KI261" s="333"/>
      <c r="KJ261" s="333"/>
      <c r="KK261" s="333"/>
      <c r="KL261" s="333"/>
      <c r="KM261" s="333"/>
      <c r="KN261" s="333"/>
      <c r="KO261" s="333"/>
      <c r="KP261" s="333"/>
      <c r="KQ261" s="333"/>
      <c r="KR261" s="333"/>
      <c r="KS261" s="333"/>
      <c r="KT261" s="333"/>
      <c r="KU261" s="333"/>
      <c r="KV261" s="333"/>
      <c r="KW261" s="333"/>
      <c r="KX261" s="333"/>
      <c r="KY261" s="333"/>
      <c r="KZ261" s="333"/>
      <c r="LA261" s="333"/>
      <c r="LB261" s="333"/>
      <c r="LC261" s="333"/>
      <c r="LD261" s="333"/>
      <c r="LE261" s="333"/>
      <c r="LF261" s="333"/>
      <c r="LG261" s="333"/>
      <c r="LH261" s="333"/>
      <c r="LI261" s="333"/>
      <c r="LJ261" s="333"/>
      <c r="LK261" s="333"/>
      <c r="LL261" s="333"/>
      <c r="LM261" s="333"/>
      <c r="LN261" s="333"/>
      <c r="LO261" s="333"/>
      <c r="LP261" s="333"/>
      <c r="LQ261" s="333"/>
      <c r="LR261" s="333"/>
      <c r="LS261" s="333"/>
      <c r="LT261" s="333"/>
      <c r="LU261" s="333"/>
      <c r="LV261" s="334"/>
      <c r="LW261" s="287"/>
      <c r="LX261" s="288"/>
      <c r="LY261" s="288"/>
      <c r="LZ261" s="288"/>
      <c r="MA261" s="288"/>
      <c r="MB261" s="288"/>
      <c r="MC261" s="288"/>
      <c r="MD261" s="288"/>
      <c r="ME261" s="288"/>
      <c r="MF261" s="288"/>
      <c r="MG261" s="288"/>
      <c r="MH261" s="289"/>
      <c r="ML261" s="12"/>
      <c r="MM261" s="7"/>
    </row>
    <row r="262" spans="3:351" ht="5.0999999999999996" customHeight="1" thickBot="1" x14ac:dyDescent="0.35">
      <c r="C262" s="11"/>
      <c r="D262" s="13"/>
      <c r="JY262" s="335"/>
      <c r="JZ262" s="336"/>
      <c r="KA262" s="336"/>
      <c r="KB262" s="336"/>
      <c r="KC262" s="336"/>
      <c r="KD262" s="336"/>
      <c r="KE262" s="336"/>
      <c r="KF262" s="336"/>
      <c r="KG262" s="336"/>
      <c r="KH262" s="336"/>
      <c r="KI262" s="336"/>
      <c r="KJ262" s="336"/>
      <c r="KK262" s="336"/>
      <c r="KL262" s="336"/>
      <c r="KM262" s="336"/>
      <c r="KN262" s="336"/>
      <c r="KO262" s="336"/>
      <c r="KP262" s="336"/>
      <c r="KQ262" s="336"/>
      <c r="KR262" s="336"/>
      <c r="KS262" s="336"/>
      <c r="KT262" s="336"/>
      <c r="KU262" s="336"/>
      <c r="KV262" s="336"/>
      <c r="KW262" s="336"/>
      <c r="KX262" s="336"/>
      <c r="KY262" s="336"/>
      <c r="KZ262" s="336"/>
      <c r="LA262" s="336"/>
      <c r="LB262" s="336"/>
      <c r="LC262" s="336"/>
      <c r="LD262" s="336"/>
      <c r="LE262" s="336"/>
      <c r="LF262" s="336"/>
      <c r="LG262" s="336"/>
      <c r="LH262" s="336"/>
      <c r="LI262" s="336"/>
      <c r="LJ262" s="336"/>
      <c r="LK262" s="336"/>
      <c r="LL262" s="336"/>
      <c r="LM262" s="336"/>
      <c r="LN262" s="336"/>
      <c r="LO262" s="336"/>
      <c r="LP262" s="336"/>
      <c r="LQ262" s="336"/>
      <c r="LR262" s="336"/>
      <c r="LS262" s="336"/>
      <c r="LT262" s="336"/>
      <c r="LU262" s="336"/>
      <c r="LV262" s="337"/>
      <c r="LW262" s="290"/>
      <c r="LX262" s="291"/>
      <c r="LY262" s="291"/>
      <c r="LZ262" s="291"/>
      <c r="MA262" s="291"/>
      <c r="MB262" s="291"/>
      <c r="MC262" s="291"/>
      <c r="MD262" s="291"/>
      <c r="ME262" s="291"/>
      <c r="MF262" s="291"/>
      <c r="MG262" s="291"/>
      <c r="MH262" s="292"/>
      <c r="ML262" s="12"/>
      <c r="MM262" s="7"/>
    </row>
    <row r="263" spans="3:351" ht="5.0999999999999996" customHeight="1" x14ac:dyDescent="0.3">
      <c r="C263" s="11"/>
      <c r="D263" s="13"/>
      <c r="JY263" s="329" t="s">
        <v>1</v>
      </c>
      <c r="JZ263" s="330"/>
      <c r="KA263" s="330"/>
      <c r="KB263" s="330"/>
      <c r="KC263" s="330"/>
      <c r="KD263" s="330"/>
      <c r="KE263" s="330"/>
      <c r="KF263" s="330"/>
      <c r="KG263" s="330"/>
      <c r="KH263" s="330"/>
      <c r="KI263" s="330"/>
      <c r="KJ263" s="330"/>
      <c r="KK263" s="330"/>
      <c r="KL263" s="330"/>
      <c r="KM263" s="330"/>
      <c r="KN263" s="330"/>
      <c r="KO263" s="330"/>
      <c r="KP263" s="330"/>
      <c r="KQ263" s="330"/>
      <c r="KR263" s="330"/>
      <c r="KS263" s="330"/>
      <c r="KT263" s="330"/>
      <c r="KU263" s="330"/>
      <c r="KV263" s="330"/>
      <c r="KW263" s="330"/>
      <c r="KX263" s="330"/>
      <c r="KY263" s="330"/>
      <c r="KZ263" s="330"/>
      <c r="LA263" s="330"/>
      <c r="LB263" s="330"/>
      <c r="LC263" s="330"/>
      <c r="LD263" s="330"/>
      <c r="LE263" s="330"/>
      <c r="LF263" s="330"/>
      <c r="LG263" s="330"/>
      <c r="LH263" s="330"/>
      <c r="LI263" s="330"/>
      <c r="LJ263" s="330"/>
      <c r="LK263" s="330"/>
      <c r="LL263" s="330"/>
      <c r="LM263" s="330"/>
      <c r="LN263" s="330"/>
      <c r="LO263" s="330"/>
      <c r="LP263" s="330"/>
      <c r="LQ263" s="330"/>
      <c r="LR263" s="330"/>
      <c r="LS263" s="330"/>
      <c r="LT263" s="330"/>
      <c r="LU263" s="330"/>
      <c r="LV263" s="331"/>
      <c r="LW263" s="284">
        <f>JL139</f>
        <v>32</v>
      </c>
      <c r="LX263" s="285"/>
      <c r="LY263" s="285"/>
      <c r="LZ263" s="285"/>
      <c r="MA263" s="285"/>
      <c r="MB263" s="285">
        <f>HN131</f>
        <v>0</v>
      </c>
      <c r="MC263" s="285"/>
      <c r="MD263" s="285"/>
      <c r="ME263" s="285"/>
      <c r="MF263" s="285"/>
      <c r="MG263" s="285"/>
      <c r="MH263" s="286"/>
      <c r="ML263" s="12"/>
      <c r="MM263" s="7"/>
    </row>
    <row r="264" spans="3:351" ht="5.0999999999999996" customHeight="1" x14ac:dyDescent="0.3">
      <c r="C264" s="11"/>
      <c r="D264" s="13"/>
      <c r="JY264" s="332"/>
      <c r="JZ264" s="333"/>
      <c r="KA264" s="333"/>
      <c r="KB264" s="333"/>
      <c r="KC264" s="333"/>
      <c r="KD264" s="333"/>
      <c r="KE264" s="333"/>
      <c r="KF264" s="333"/>
      <c r="KG264" s="333"/>
      <c r="KH264" s="333"/>
      <c r="KI264" s="333"/>
      <c r="KJ264" s="333"/>
      <c r="KK264" s="333"/>
      <c r="KL264" s="333"/>
      <c r="KM264" s="333"/>
      <c r="KN264" s="333"/>
      <c r="KO264" s="333"/>
      <c r="KP264" s="333"/>
      <c r="KQ264" s="333"/>
      <c r="KR264" s="333"/>
      <c r="KS264" s="333"/>
      <c r="KT264" s="333"/>
      <c r="KU264" s="333"/>
      <c r="KV264" s="333"/>
      <c r="KW264" s="333"/>
      <c r="KX264" s="333"/>
      <c r="KY264" s="333"/>
      <c r="KZ264" s="333"/>
      <c r="LA264" s="333"/>
      <c r="LB264" s="333"/>
      <c r="LC264" s="333"/>
      <c r="LD264" s="333"/>
      <c r="LE264" s="333"/>
      <c r="LF264" s="333"/>
      <c r="LG264" s="333"/>
      <c r="LH264" s="333"/>
      <c r="LI264" s="333"/>
      <c r="LJ264" s="333"/>
      <c r="LK264" s="333"/>
      <c r="LL264" s="333"/>
      <c r="LM264" s="333"/>
      <c r="LN264" s="333"/>
      <c r="LO264" s="333"/>
      <c r="LP264" s="333"/>
      <c r="LQ264" s="333"/>
      <c r="LR264" s="333"/>
      <c r="LS264" s="333"/>
      <c r="LT264" s="333"/>
      <c r="LU264" s="333"/>
      <c r="LV264" s="334"/>
      <c r="LW264" s="287"/>
      <c r="LX264" s="288"/>
      <c r="LY264" s="288"/>
      <c r="LZ264" s="288"/>
      <c r="MA264" s="288"/>
      <c r="MB264" s="288"/>
      <c r="MC264" s="288"/>
      <c r="MD264" s="288"/>
      <c r="ME264" s="288"/>
      <c r="MF264" s="288"/>
      <c r="MG264" s="288"/>
      <c r="MH264" s="289"/>
      <c r="ML264" s="12"/>
      <c r="MM264" s="7"/>
    </row>
    <row r="265" spans="3:351" ht="5.0999999999999996" customHeight="1" x14ac:dyDescent="0.3">
      <c r="C265" s="11"/>
      <c r="D265" s="13"/>
      <c r="JY265" s="332"/>
      <c r="JZ265" s="333"/>
      <c r="KA265" s="333"/>
      <c r="KB265" s="333"/>
      <c r="KC265" s="333"/>
      <c r="KD265" s="333"/>
      <c r="KE265" s="333"/>
      <c r="KF265" s="333"/>
      <c r="KG265" s="333"/>
      <c r="KH265" s="333"/>
      <c r="KI265" s="333"/>
      <c r="KJ265" s="333"/>
      <c r="KK265" s="333"/>
      <c r="KL265" s="333"/>
      <c r="KM265" s="333"/>
      <c r="KN265" s="333"/>
      <c r="KO265" s="333"/>
      <c r="KP265" s="333"/>
      <c r="KQ265" s="333"/>
      <c r="KR265" s="333"/>
      <c r="KS265" s="333"/>
      <c r="KT265" s="333"/>
      <c r="KU265" s="333"/>
      <c r="KV265" s="333"/>
      <c r="KW265" s="333"/>
      <c r="KX265" s="333"/>
      <c r="KY265" s="333"/>
      <c r="KZ265" s="333"/>
      <c r="LA265" s="333"/>
      <c r="LB265" s="333"/>
      <c r="LC265" s="333"/>
      <c r="LD265" s="333"/>
      <c r="LE265" s="333"/>
      <c r="LF265" s="333"/>
      <c r="LG265" s="333"/>
      <c r="LH265" s="333"/>
      <c r="LI265" s="333"/>
      <c r="LJ265" s="333"/>
      <c r="LK265" s="333"/>
      <c r="LL265" s="333"/>
      <c r="LM265" s="333"/>
      <c r="LN265" s="333"/>
      <c r="LO265" s="333"/>
      <c r="LP265" s="333"/>
      <c r="LQ265" s="333"/>
      <c r="LR265" s="333"/>
      <c r="LS265" s="333"/>
      <c r="LT265" s="333"/>
      <c r="LU265" s="333"/>
      <c r="LV265" s="334"/>
      <c r="LW265" s="287"/>
      <c r="LX265" s="288"/>
      <c r="LY265" s="288"/>
      <c r="LZ265" s="288"/>
      <c r="MA265" s="288"/>
      <c r="MB265" s="288"/>
      <c r="MC265" s="288"/>
      <c r="MD265" s="288"/>
      <c r="ME265" s="288"/>
      <c r="MF265" s="288"/>
      <c r="MG265" s="288"/>
      <c r="MH265" s="289"/>
      <c r="ML265" s="12"/>
      <c r="MM265" s="7"/>
    </row>
    <row r="266" spans="3:351" ht="5.0999999999999996" customHeight="1" x14ac:dyDescent="0.3">
      <c r="C266" s="11"/>
      <c r="D266" s="13"/>
      <c r="JY266" s="332"/>
      <c r="JZ266" s="333"/>
      <c r="KA266" s="333"/>
      <c r="KB266" s="333"/>
      <c r="KC266" s="333"/>
      <c r="KD266" s="333"/>
      <c r="KE266" s="333"/>
      <c r="KF266" s="333"/>
      <c r="KG266" s="333"/>
      <c r="KH266" s="333"/>
      <c r="KI266" s="333"/>
      <c r="KJ266" s="333"/>
      <c r="KK266" s="333"/>
      <c r="KL266" s="333"/>
      <c r="KM266" s="333"/>
      <c r="KN266" s="333"/>
      <c r="KO266" s="333"/>
      <c r="KP266" s="333"/>
      <c r="KQ266" s="333"/>
      <c r="KR266" s="333"/>
      <c r="KS266" s="333"/>
      <c r="KT266" s="333"/>
      <c r="KU266" s="333"/>
      <c r="KV266" s="333"/>
      <c r="KW266" s="333"/>
      <c r="KX266" s="333"/>
      <c r="KY266" s="333"/>
      <c r="KZ266" s="333"/>
      <c r="LA266" s="333"/>
      <c r="LB266" s="333"/>
      <c r="LC266" s="333"/>
      <c r="LD266" s="333"/>
      <c r="LE266" s="333"/>
      <c r="LF266" s="333"/>
      <c r="LG266" s="333"/>
      <c r="LH266" s="333"/>
      <c r="LI266" s="333"/>
      <c r="LJ266" s="333"/>
      <c r="LK266" s="333"/>
      <c r="LL266" s="333"/>
      <c r="LM266" s="333"/>
      <c r="LN266" s="333"/>
      <c r="LO266" s="333"/>
      <c r="LP266" s="333"/>
      <c r="LQ266" s="333"/>
      <c r="LR266" s="333"/>
      <c r="LS266" s="333"/>
      <c r="LT266" s="333"/>
      <c r="LU266" s="333"/>
      <c r="LV266" s="334"/>
      <c r="LW266" s="287"/>
      <c r="LX266" s="288"/>
      <c r="LY266" s="288"/>
      <c r="LZ266" s="288"/>
      <c r="MA266" s="288"/>
      <c r="MB266" s="288"/>
      <c r="MC266" s="288"/>
      <c r="MD266" s="288"/>
      <c r="ME266" s="288"/>
      <c r="MF266" s="288"/>
      <c r="MG266" s="288"/>
      <c r="MH266" s="289"/>
      <c r="ML266" s="12"/>
      <c r="MM266" s="7"/>
    </row>
    <row r="267" spans="3:351" ht="5.0999999999999996" customHeight="1" x14ac:dyDescent="0.3">
      <c r="C267" s="11"/>
      <c r="D267" s="13"/>
      <c r="JY267" s="332"/>
      <c r="JZ267" s="333"/>
      <c r="KA267" s="333"/>
      <c r="KB267" s="333"/>
      <c r="KC267" s="333"/>
      <c r="KD267" s="333"/>
      <c r="KE267" s="333"/>
      <c r="KF267" s="333"/>
      <c r="KG267" s="333"/>
      <c r="KH267" s="333"/>
      <c r="KI267" s="333"/>
      <c r="KJ267" s="333"/>
      <c r="KK267" s="333"/>
      <c r="KL267" s="333"/>
      <c r="KM267" s="333"/>
      <c r="KN267" s="333"/>
      <c r="KO267" s="333"/>
      <c r="KP267" s="333"/>
      <c r="KQ267" s="333"/>
      <c r="KR267" s="333"/>
      <c r="KS267" s="333"/>
      <c r="KT267" s="333"/>
      <c r="KU267" s="333"/>
      <c r="KV267" s="333"/>
      <c r="KW267" s="333"/>
      <c r="KX267" s="333"/>
      <c r="KY267" s="333"/>
      <c r="KZ267" s="333"/>
      <c r="LA267" s="333"/>
      <c r="LB267" s="333"/>
      <c r="LC267" s="333"/>
      <c r="LD267" s="333"/>
      <c r="LE267" s="333"/>
      <c r="LF267" s="333"/>
      <c r="LG267" s="333"/>
      <c r="LH267" s="333"/>
      <c r="LI267" s="333"/>
      <c r="LJ267" s="333"/>
      <c r="LK267" s="333"/>
      <c r="LL267" s="333"/>
      <c r="LM267" s="333"/>
      <c r="LN267" s="333"/>
      <c r="LO267" s="333"/>
      <c r="LP267" s="333"/>
      <c r="LQ267" s="333"/>
      <c r="LR267" s="333"/>
      <c r="LS267" s="333"/>
      <c r="LT267" s="333"/>
      <c r="LU267" s="333"/>
      <c r="LV267" s="334"/>
      <c r="LW267" s="287"/>
      <c r="LX267" s="288"/>
      <c r="LY267" s="288"/>
      <c r="LZ267" s="288"/>
      <c r="MA267" s="288"/>
      <c r="MB267" s="288"/>
      <c r="MC267" s="288"/>
      <c r="MD267" s="288"/>
      <c r="ME267" s="288"/>
      <c r="MF267" s="288"/>
      <c r="MG267" s="288"/>
      <c r="MH267" s="289"/>
      <c r="ML267" s="12"/>
      <c r="MM267" s="7"/>
    </row>
    <row r="268" spans="3:351" ht="5.0999999999999996" customHeight="1" x14ac:dyDescent="0.3">
      <c r="C268" s="11"/>
      <c r="D268" s="13"/>
      <c r="JY268" s="332"/>
      <c r="JZ268" s="333"/>
      <c r="KA268" s="333"/>
      <c r="KB268" s="333"/>
      <c r="KC268" s="333"/>
      <c r="KD268" s="333"/>
      <c r="KE268" s="333"/>
      <c r="KF268" s="333"/>
      <c r="KG268" s="333"/>
      <c r="KH268" s="333"/>
      <c r="KI268" s="333"/>
      <c r="KJ268" s="333"/>
      <c r="KK268" s="333"/>
      <c r="KL268" s="333"/>
      <c r="KM268" s="333"/>
      <c r="KN268" s="333"/>
      <c r="KO268" s="333"/>
      <c r="KP268" s="333"/>
      <c r="KQ268" s="333"/>
      <c r="KR268" s="333"/>
      <c r="KS268" s="333"/>
      <c r="KT268" s="333"/>
      <c r="KU268" s="333"/>
      <c r="KV268" s="333"/>
      <c r="KW268" s="333"/>
      <c r="KX268" s="333"/>
      <c r="KY268" s="333"/>
      <c r="KZ268" s="333"/>
      <c r="LA268" s="333"/>
      <c r="LB268" s="333"/>
      <c r="LC268" s="333"/>
      <c r="LD268" s="333"/>
      <c r="LE268" s="333"/>
      <c r="LF268" s="333"/>
      <c r="LG268" s="333"/>
      <c r="LH268" s="333"/>
      <c r="LI268" s="333"/>
      <c r="LJ268" s="333"/>
      <c r="LK268" s="333"/>
      <c r="LL268" s="333"/>
      <c r="LM268" s="333"/>
      <c r="LN268" s="333"/>
      <c r="LO268" s="333"/>
      <c r="LP268" s="333"/>
      <c r="LQ268" s="333"/>
      <c r="LR268" s="333"/>
      <c r="LS268" s="333"/>
      <c r="LT268" s="333"/>
      <c r="LU268" s="333"/>
      <c r="LV268" s="334"/>
      <c r="LW268" s="287"/>
      <c r="LX268" s="288"/>
      <c r="LY268" s="288"/>
      <c r="LZ268" s="288"/>
      <c r="MA268" s="288"/>
      <c r="MB268" s="288"/>
      <c r="MC268" s="288"/>
      <c r="MD268" s="288"/>
      <c r="ME268" s="288"/>
      <c r="MF268" s="288"/>
      <c r="MG268" s="288"/>
      <c r="MH268" s="289"/>
      <c r="ML268" s="12"/>
      <c r="MM268" s="7"/>
    </row>
    <row r="269" spans="3:351" ht="5.0999999999999996" customHeight="1" thickBot="1" x14ac:dyDescent="0.35">
      <c r="C269" s="11"/>
      <c r="D269" s="13"/>
      <c r="JY269" s="335"/>
      <c r="JZ269" s="336"/>
      <c r="KA269" s="336"/>
      <c r="KB269" s="336"/>
      <c r="KC269" s="336"/>
      <c r="KD269" s="336"/>
      <c r="KE269" s="336"/>
      <c r="KF269" s="336"/>
      <c r="KG269" s="336"/>
      <c r="KH269" s="336"/>
      <c r="KI269" s="336"/>
      <c r="KJ269" s="336"/>
      <c r="KK269" s="336"/>
      <c r="KL269" s="336"/>
      <c r="KM269" s="336"/>
      <c r="KN269" s="336"/>
      <c r="KO269" s="336"/>
      <c r="KP269" s="336"/>
      <c r="KQ269" s="336"/>
      <c r="KR269" s="336"/>
      <c r="KS269" s="336"/>
      <c r="KT269" s="336"/>
      <c r="KU269" s="336"/>
      <c r="KV269" s="336"/>
      <c r="KW269" s="336"/>
      <c r="KX269" s="336"/>
      <c r="KY269" s="336"/>
      <c r="KZ269" s="336"/>
      <c r="LA269" s="336"/>
      <c r="LB269" s="336"/>
      <c r="LC269" s="336"/>
      <c r="LD269" s="336"/>
      <c r="LE269" s="336"/>
      <c r="LF269" s="336"/>
      <c r="LG269" s="336"/>
      <c r="LH269" s="336"/>
      <c r="LI269" s="336"/>
      <c r="LJ269" s="336"/>
      <c r="LK269" s="336"/>
      <c r="LL269" s="336"/>
      <c r="LM269" s="336"/>
      <c r="LN269" s="336"/>
      <c r="LO269" s="336"/>
      <c r="LP269" s="336"/>
      <c r="LQ269" s="336"/>
      <c r="LR269" s="336"/>
      <c r="LS269" s="336"/>
      <c r="LT269" s="336"/>
      <c r="LU269" s="336"/>
      <c r="LV269" s="337"/>
      <c r="LW269" s="290"/>
      <c r="LX269" s="291"/>
      <c r="LY269" s="291"/>
      <c r="LZ269" s="291"/>
      <c r="MA269" s="291"/>
      <c r="MB269" s="291"/>
      <c r="MC269" s="291"/>
      <c r="MD269" s="291"/>
      <c r="ME269" s="291"/>
      <c r="MF269" s="291"/>
      <c r="MG269" s="291"/>
      <c r="MH269" s="292"/>
      <c r="ML269" s="12"/>
      <c r="MM269" s="7"/>
    </row>
    <row r="270" spans="3:351" ht="5.0999999999999996" customHeight="1" x14ac:dyDescent="0.3">
      <c r="C270" s="11"/>
      <c r="D270" s="13"/>
      <c r="JY270" s="329" t="s">
        <v>0</v>
      </c>
      <c r="JZ270" s="330"/>
      <c r="KA270" s="330"/>
      <c r="KB270" s="330"/>
      <c r="KC270" s="330"/>
      <c r="KD270" s="330"/>
      <c r="KE270" s="330"/>
      <c r="KF270" s="330"/>
      <c r="KG270" s="330"/>
      <c r="KH270" s="330"/>
      <c r="KI270" s="330"/>
      <c r="KJ270" s="330"/>
      <c r="KK270" s="330"/>
      <c r="KL270" s="330"/>
      <c r="KM270" s="330"/>
      <c r="KN270" s="330"/>
      <c r="KO270" s="330"/>
      <c r="KP270" s="330"/>
      <c r="KQ270" s="330"/>
      <c r="KR270" s="330"/>
      <c r="KS270" s="330"/>
      <c r="KT270" s="330"/>
      <c r="KU270" s="330"/>
      <c r="KV270" s="330"/>
      <c r="KW270" s="330"/>
      <c r="KX270" s="330"/>
      <c r="KY270" s="330"/>
      <c r="KZ270" s="330"/>
      <c r="LA270" s="330"/>
      <c r="LB270" s="330"/>
      <c r="LC270" s="330"/>
      <c r="LD270" s="330"/>
      <c r="LE270" s="330"/>
      <c r="LF270" s="330"/>
      <c r="LG270" s="330"/>
      <c r="LH270" s="330"/>
      <c r="LI270" s="330"/>
      <c r="LJ270" s="330"/>
      <c r="LK270" s="330"/>
      <c r="LL270" s="330"/>
      <c r="LM270" s="330"/>
      <c r="LN270" s="330"/>
      <c r="LO270" s="330"/>
      <c r="LP270" s="330"/>
      <c r="LQ270" s="330"/>
      <c r="LR270" s="330"/>
      <c r="LS270" s="330"/>
      <c r="LT270" s="330"/>
      <c r="LU270" s="330"/>
      <c r="LV270" s="331"/>
      <c r="LW270" s="284">
        <f>SUM(LW249,LW256,LW263)</f>
        <v>85</v>
      </c>
      <c r="LX270" s="285"/>
      <c r="LY270" s="285"/>
      <c r="LZ270" s="285"/>
      <c r="MA270" s="285"/>
      <c r="MB270" s="285">
        <f>SUM(LW249,MB256,MB263)</f>
        <v>43</v>
      </c>
      <c r="MC270" s="285"/>
      <c r="MD270" s="285"/>
      <c r="ME270" s="285"/>
      <c r="MF270" s="285"/>
      <c r="MG270" s="285"/>
      <c r="MH270" s="286"/>
      <c r="ML270" s="12"/>
      <c r="MM270" s="7"/>
    </row>
    <row r="271" spans="3:351" ht="5.0999999999999996" customHeight="1" x14ac:dyDescent="0.3">
      <c r="C271" s="11"/>
      <c r="D271" s="13"/>
      <c r="JY271" s="332"/>
      <c r="JZ271" s="333"/>
      <c r="KA271" s="333"/>
      <c r="KB271" s="333"/>
      <c r="KC271" s="333"/>
      <c r="KD271" s="333"/>
      <c r="KE271" s="333"/>
      <c r="KF271" s="333"/>
      <c r="KG271" s="333"/>
      <c r="KH271" s="333"/>
      <c r="KI271" s="333"/>
      <c r="KJ271" s="333"/>
      <c r="KK271" s="333"/>
      <c r="KL271" s="333"/>
      <c r="KM271" s="333"/>
      <c r="KN271" s="333"/>
      <c r="KO271" s="333"/>
      <c r="KP271" s="333"/>
      <c r="KQ271" s="333"/>
      <c r="KR271" s="333"/>
      <c r="KS271" s="333"/>
      <c r="KT271" s="333"/>
      <c r="KU271" s="333"/>
      <c r="KV271" s="333"/>
      <c r="KW271" s="333"/>
      <c r="KX271" s="333"/>
      <c r="KY271" s="333"/>
      <c r="KZ271" s="333"/>
      <c r="LA271" s="333"/>
      <c r="LB271" s="333"/>
      <c r="LC271" s="333"/>
      <c r="LD271" s="333"/>
      <c r="LE271" s="333"/>
      <c r="LF271" s="333"/>
      <c r="LG271" s="333"/>
      <c r="LH271" s="333"/>
      <c r="LI271" s="333"/>
      <c r="LJ271" s="333"/>
      <c r="LK271" s="333"/>
      <c r="LL271" s="333"/>
      <c r="LM271" s="333"/>
      <c r="LN271" s="333"/>
      <c r="LO271" s="333"/>
      <c r="LP271" s="333"/>
      <c r="LQ271" s="333"/>
      <c r="LR271" s="333"/>
      <c r="LS271" s="333"/>
      <c r="LT271" s="333"/>
      <c r="LU271" s="333"/>
      <c r="LV271" s="334"/>
      <c r="LW271" s="287"/>
      <c r="LX271" s="288"/>
      <c r="LY271" s="288"/>
      <c r="LZ271" s="288"/>
      <c r="MA271" s="288"/>
      <c r="MB271" s="288"/>
      <c r="MC271" s="288"/>
      <c r="MD271" s="288"/>
      <c r="ME271" s="288"/>
      <c r="MF271" s="288"/>
      <c r="MG271" s="288"/>
      <c r="MH271" s="289"/>
      <c r="ML271" s="12"/>
      <c r="MM271" s="7"/>
    </row>
    <row r="272" spans="3:351" ht="5.0999999999999996" customHeight="1" x14ac:dyDescent="0.3">
      <c r="C272" s="11"/>
      <c r="D272" s="13"/>
      <c r="JY272" s="332"/>
      <c r="JZ272" s="333"/>
      <c r="KA272" s="333"/>
      <c r="KB272" s="333"/>
      <c r="KC272" s="333"/>
      <c r="KD272" s="333"/>
      <c r="KE272" s="333"/>
      <c r="KF272" s="333"/>
      <c r="KG272" s="333"/>
      <c r="KH272" s="333"/>
      <c r="KI272" s="333"/>
      <c r="KJ272" s="333"/>
      <c r="KK272" s="333"/>
      <c r="KL272" s="333"/>
      <c r="KM272" s="333"/>
      <c r="KN272" s="333"/>
      <c r="KO272" s="333"/>
      <c r="KP272" s="333"/>
      <c r="KQ272" s="333"/>
      <c r="KR272" s="333"/>
      <c r="KS272" s="333"/>
      <c r="KT272" s="333"/>
      <c r="KU272" s="333"/>
      <c r="KV272" s="333"/>
      <c r="KW272" s="333"/>
      <c r="KX272" s="333"/>
      <c r="KY272" s="333"/>
      <c r="KZ272" s="333"/>
      <c r="LA272" s="333"/>
      <c r="LB272" s="333"/>
      <c r="LC272" s="333"/>
      <c r="LD272" s="333"/>
      <c r="LE272" s="333"/>
      <c r="LF272" s="333"/>
      <c r="LG272" s="333"/>
      <c r="LH272" s="333"/>
      <c r="LI272" s="333"/>
      <c r="LJ272" s="333"/>
      <c r="LK272" s="333"/>
      <c r="LL272" s="333"/>
      <c r="LM272" s="333"/>
      <c r="LN272" s="333"/>
      <c r="LO272" s="333"/>
      <c r="LP272" s="333"/>
      <c r="LQ272" s="333"/>
      <c r="LR272" s="333"/>
      <c r="LS272" s="333"/>
      <c r="LT272" s="333"/>
      <c r="LU272" s="333"/>
      <c r="LV272" s="334"/>
      <c r="LW272" s="287"/>
      <c r="LX272" s="288"/>
      <c r="LY272" s="288"/>
      <c r="LZ272" s="288"/>
      <c r="MA272" s="288"/>
      <c r="MB272" s="288"/>
      <c r="MC272" s="288"/>
      <c r="MD272" s="288"/>
      <c r="ME272" s="288"/>
      <c r="MF272" s="288"/>
      <c r="MG272" s="288"/>
      <c r="MH272" s="289"/>
      <c r="ML272" s="12"/>
      <c r="MM272" s="7"/>
    </row>
    <row r="273" spans="3:351" ht="5.0999999999999996" customHeight="1" thickBot="1" x14ac:dyDescent="0.35">
      <c r="C273" s="11"/>
      <c r="D273" s="13"/>
      <c r="JY273" s="332"/>
      <c r="JZ273" s="333"/>
      <c r="KA273" s="333"/>
      <c r="KB273" s="333"/>
      <c r="KC273" s="333"/>
      <c r="KD273" s="333"/>
      <c r="KE273" s="333"/>
      <c r="KF273" s="333"/>
      <c r="KG273" s="333"/>
      <c r="KH273" s="333"/>
      <c r="KI273" s="333"/>
      <c r="KJ273" s="333"/>
      <c r="KK273" s="333"/>
      <c r="KL273" s="333"/>
      <c r="KM273" s="333"/>
      <c r="KN273" s="333"/>
      <c r="KO273" s="333"/>
      <c r="KP273" s="333"/>
      <c r="KQ273" s="333"/>
      <c r="KR273" s="333"/>
      <c r="KS273" s="333"/>
      <c r="KT273" s="333"/>
      <c r="KU273" s="333"/>
      <c r="KV273" s="333"/>
      <c r="KW273" s="333"/>
      <c r="KX273" s="333"/>
      <c r="KY273" s="333"/>
      <c r="KZ273" s="333"/>
      <c r="LA273" s="333"/>
      <c r="LB273" s="333"/>
      <c r="LC273" s="333"/>
      <c r="LD273" s="333"/>
      <c r="LE273" s="333"/>
      <c r="LF273" s="333"/>
      <c r="LG273" s="333"/>
      <c r="LH273" s="333"/>
      <c r="LI273" s="333"/>
      <c r="LJ273" s="333"/>
      <c r="LK273" s="333"/>
      <c r="LL273" s="333"/>
      <c r="LM273" s="333"/>
      <c r="LN273" s="333"/>
      <c r="LO273" s="333"/>
      <c r="LP273" s="333"/>
      <c r="LQ273" s="333"/>
      <c r="LR273" s="333"/>
      <c r="LS273" s="333"/>
      <c r="LT273" s="333"/>
      <c r="LU273" s="333"/>
      <c r="LV273" s="334"/>
      <c r="LW273" s="287"/>
      <c r="LX273" s="288"/>
      <c r="LY273" s="288"/>
      <c r="LZ273" s="288"/>
      <c r="MA273" s="288"/>
      <c r="MB273" s="288"/>
      <c r="MC273" s="288"/>
      <c r="MD273" s="288"/>
      <c r="ME273" s="288"/>
      <c r="MF273" s="288"/>
      <c r="MG273" s="288"/>
      <c r="MH273" s="289"/>
      <c r="ML273" s="12"/>
      <c r="MM273" s="7"/>
    </row>
    <row r="274" spans="3:351" ht="5.0999999999999996" customHeight="1" x14ac:dyDescent="0.3">
      <c r="C274" s="11"/>
      <c r="D274" s="13"/>
      <c r="E274" s="267" t="s">
        <v>22</v>
      </c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  <c r="AA274" s="268"/>
      <c r="AB274" s="268"/>
      <c r="AC274" s="268"/>
      <c r="AD274" s="268"/>
      <c r="AE274" s="268"/>
      <c r="AF274" s="269"/>
      <c r="AG274" s="267" t="s">
        <v>23</v>
      </c>
      <c r="AH274" s="268"/>
      <c r="AI274" s="268"/>
      <c r="AJ274" s="268"/>
      <c r="AK274" s="268"/>
      <c r="AL274" s="268"/>
      <c r="AM274" s="268"/>
      <c r="AN274" s="268"/>
      <c r="AO274" s="268"/>
      <c r="AP274" s="268"/>
      <c r="AQ274" s="268"/>
      <c r="AR274" s="268"/>
      <c r="AS274" s="268"/>
      <c r="AT274" s="268"/>
      <c r="AU274" s="268"/>
      <c r="AV274" s="268"/>
      <c r="AW274" s="268"/>
      <c r="AX274" s="268"/>
      <c r="AY274" s="268"/>
      <c r="AZ274" s="268"/>
      <c r="BA274" s="268"/>
      <c r="BB274" s="268"/>
      <c r="BC274" s="268"/>
      <c r="BD274" s="268"/>
      <c r="BE274" s="268"/>
      <c r="BF274" s="268"/>
      <c r="BG274" s="268"/>
      <c r="BH274" s="269"/>
      <c r="BI274" s="267" t="s">
        <v>24</v>
      </c>
      <c r="BJ274" s="268"/>
      <c r="BK274" s="268"/>
      <c r="BL274" s="268"/>
      <c r="BM274" s="268"/>
      <c r="BN274" s="268"/>
      <c r="BO274" s="268"/>
      <c r="BP274" s="268"/>
      <c r="BQ274" s="268"/>
      <c r="BR274" s="268"/>
      <c r="BS274" s="268"/>
      <c r="BT274" s="268"/>
      <c r="BU274" s="268"/>
      <c r="BV274" s="268"/>
      <c r="BW274" s="268"/>
      <c r="BX274" s="268"/>
      <c r="BY274" s="268"/>
      <c r="BZ274" s="268"/>
      <c r="CA274" s="268"/>
      <c r="CB274" s="268"/>
      <c r="CC274" s="268"/>
      <c r="CD274" s="268"/>
      <c r="CE274" s="268"/>
      <c r="CF274" s="268"/>
      <c r="CG274" s="268"/>
      <c r="CH274" s="268"/>
      <c r="CI274" s="268"/>
      <c r="CJ274" s="269"/>
      <c r="JY274" s="332"/>
      <c r="JZ274" s="333"/>
      <c r="KA274" s="333"/>
      <c r="KB274" s="333"/>
      <c r="KC274" s="333"/>
      <c r="KD274" s="333"/>
      <c r="KE274" s="333"/>
      <c r="KF274" s="333"/>
      <c r="KG274" s="333"/>
      <c r="KH274" s="333"/>
      <c r="KI274" s="333"/>
      <c r="KJ274" s="333"/>
      <c r="KK274" s="333"/>
      <c r="KL274" s="333"/>
      <c r="KM274" s="333"/>
      <c r="KN274" s="333"/>
      <c r="KO274" s="333"/>
      <c r="KP274" s="333"/>
      <c r="KQ274" s="333"/>
      <c r="KR274" s="333"/>
      <c r="KS274" s="333"/>
      <c r="KT274" s="333"/>
      <c r="KU274" s="333"/>
      <c r="KV274" s="333"/>
      <c r="KW274" s="333"/>
      <c r="KX274" s="333"/>
      <c r="KY274" s="333"/>
      <c r="KZ274" s="333"/>
      <c r="LA274" s="333"/>
      <c r="LB274" s="333"/>
      <c r="LC274" s="333"/>
      <c r="LD274" s="333"/>
      <c r="LE274" s="333"/>
      <c r="LF274" s="333"/>
      <c r="LG274" s="333"/>
      <c r="LH274" s="333"/>
      <c r="LI274" s="333"/>
      <c r="LJ274" s="333"/>
      <c r="LK274" s="333"/>
      <c r="LL274" s="333"/>
      <c r="LM274" s="333"/>
      <c r="LN274" s="333"/>
      <c r="LO274" s="333"/>
      <c r="LP274" s="333"/>
      <c r="LQ274" s="333"/>
      <c r="LR274" s="333"/>
      <c r="LS274" s="333"/>
      <c r="LT274" s="333"/>
      <c r="LU274" s="333"/>
      <c r="LV274" s="334"/>
      <c r="LW274" s="287"/>
      <c r="LX274" s="288"/>
      <c r="LY274" s="288"/>
      <c r="LZ274" s="288"/>
      <c r="MA274" s="288"/>
      <c r="MB274" s="288"/>
      <c r="MC274" s="288"/>
      <c r="MD274" s="288"/>
      <c r="ME274" s="288"/>
      <c r="MF274" s="288"/>
      <c r="MG274" s="288"/>
      <c r="MH274" s="289"/>
      <c r="ML274" s="12"/>
      <c r="MM274" s="7"/>
    </row>
    <row r="275" spans="3:351" ht="5.0999999999999996" customHeight="1" x14ac:dyDescent="0.3">
      <c r="C275" s="11"/>
      <c r="D275" s="13"/>
      <c r="E275" s="2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271"/>
      <c r="AG275" s="270"/>
      <c r="AH275" s="170"/>
      <c r="AI275" s="170"/>
      <c r="AJ275" s="170"/>
      <c r="AK275" s="170"/>
      <c r="AL275" s="170"/>
      <c r="AM275" s="170"/>
      <c r="AN275" s="170"/>
      <c r="AO275" s="170"/>
      <c r="AP275" s="170"/>
      <c r="AQ275" s="170"/>
      <c r="AR275" s="170"/>
      <c r="AS275" s="170"/>
      <c r="AT275" s="170"/>
      <c r="AU275" s="170"/>
      <c r="AV275" s="170"/>
      <c r="AW275" s="170"/>
      <c r="AX275" s="170"/>
      <c r="AY275" s="170"/>
      <c r="AZ275" s="170"/>
      <c r="BA275" s="170"/>
      <c r="BB275" s="170"/>
      <c r="BC275" s="170"/>
      <c r="BD275" s="170"/>
      <c r="BE275" s="170"/>
      <c r="BF275" s="170"/>
      <c r="BG275" s="170"/>
      <c r="BH275" s="271"/>
      <c r="BI275" s="270"/>
      <c r="BJ275" s="170"/>
      <c r="BK275" s="170"/>
      <c r="BL275" s="170"/>
      <c r="BM275" s="170"/>
      <c r="BN275" s="170"/>
      <c r="BO275" s="170"/>
      <c r="BP275" s="170"/>
      <c r="BQ275" s="170"/>
      <c r="BR275" s="170"/>
      <c r="BS275" s="170"/>
      <c r="BT275" s="170"/>
      <c r="BU275" s="170"/>
      <c r="BV275" s="170"/>
      <c r="BW275" s="170"/>
      <c r="BX275" s="170"/>
      <c r="BY275" s="170"/>
      <c r="BZ275" s="170"/>
      <c r="CA275" s="170"/>
      <c r="CB275" s="170"/>
      <c r="CC275" s="170"/>
      <c r="CD275" s="170"/>
      <c r="CE275" s="170"/>
      <c r="CF275" s="170"/>
      <c r="CG275" s="170"/>
      <c r="CH275" s="170"/>
      <c r="CI275" s="170"/>
      <c r="CJ275" s="271"/>
      <c r="JY275" s="332"/>
      <c r="JZ275" s="333"/>
      <c r="KA275" s="333"/>
      <c r="KB275" s="333"/>
      <c r="KC275" s="333"/>
      <c r="KD275" s="333"/>
      <c r="KE275" s="333"/>
      <c r="KF275" s="333"/>
      <c r="KG275" s="333"/>
      <c r="KH275" s="333"/>
      <c r="KI275" s="333"/>
      <c r="KJ275" s="333"/>
      <c r="KK275" s="333"/>
      <c r="KL275" s="333"/>
      <c r="KM275" s="333"/>
      <c r="KN275" s="333"/>
      <c r="KO275" s="333"/>
      <c r="KP275" s="333"/>
      <c r="KQ275" s="333"/>
      <c r="KR275" s="333"/>
      <c r="KS275" s="333"/>
      <c r="KT275" s="333"/>
      <c r="KU275" s="333"/>
      <c r="KV275" s="333"/>
      <c r="KW275" s="333"/>
      <c r="KX275" s="333"/>
      <c r="KY275" s="333"/>
      <c r="KZ275" s="333"/>
      <c r="LA275" s="333"/>
      <c r="LB275" s="333"/>
      <c r="LC275" s="333"/>
      <c r="LD275" s="333"/>
      <c r="LE275" s="333"/>
      <c r="LF275" s="333"/>
      <c r="LG275" s="333"/>
      <c r="LH275" s="333"/>
      <c r="LI275" s="333"/>
      <c r="LJ275" s="333"/>
      <c r="LK275" s="333"/>
      <c r="LL275" s="333"/>
      <c r="LM275" s="333"/>
      <c r="LN275" s="333"/>
      <c r="LO275" s="333"/>
      <c r="LP275" s="333"/>
      <c r="LQ275" s="333"/>
      <c r="LR275" s="333"/>
      <c r="LS275" s="333"/>
      <c r="LT275" s="333"/>
      <c r="LU275" s="333"/>
      <c r="LV275" s="334"/>
      <c r="LW275" s="287"/>
      <c r="LX275" s="288"/>
      <c r="LY275" s="288"/>
      <c r="LZ275" s="288"/>
      <c r="MA275" s="288"/>
      <c r="MB275" s="288"/>
      <c r="MC275" s="288"/>
      <c r="MD275" s="288"/>
      <c r="ME275" s="288"/>
      <c r="MF275" s="288"/>
      <c r="MG275" s="288"/>
      <c r="MH275" s="289"/>
      <c r="ML275" s="12"/>
      <c r="MM275" s="7"/>
    </row>
    <row r="276" spans="3:351" ht="5.0999999999999996" customHeight="1" thickBot="1" x14ac:dyDescent="0.35">
      <c r="C276" s="11"/>
      <c r="D276" s="13"/>
      <c r="E276" s="2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  <c r="AF276" s="271"/>
      <c r="AG276" s="270"/>
      <c r="AH276" s="170"/>
      <c r="AI276" s="170"/>
      <c r="AJ276" s="170"/>
      <c r="AK276" s="170"/>
      <c r="AL276" s="170"/>
      <c r="AM276" s="170"/>
      <c r="AN276" s="170"/>
      <c r="AO276" s="170"/>
      <c r="AP276" s="170"/>
      <c r="AQ276" s="170"/>
      <c r="AR276" s="170"/>
      <c r="AS276" s="170"/>
      <c r="AT276" s="170"/>
      <c r="AU276" s="170"/>
      <c r="AV276" s="170"/>
      <c r="AW276" s="170"/>
      <c r="AX276" s="170"/>
      <c r="AY276" s="170"/>
      <c r="AZ276" s="170"/>
      <c r="BA276" s="170"/>
      <c r="BB276" s="170"/>
      <c r="BC276" s="170"/>
      <c r="BD276" s="170"/>
      <c r="BE276" s="170"/>
      <c r="BF276" s="170"/>
      <c r="BG276" s="170"/>
      <c r="BH276" s="271"/>
      <c r="BI276" s="270"/>
      <c r="BJ276" s="170"/>
      <c r="BK276" s="170"/>
      <c r="BL276" s="170"/>
      <c r="BM276" s="170"/>
      <c r="BN276" s="170"/>
      <c r="BO276" s="170"/>
      <c r="BP276" s="170"/>
      <c r="BQ276" s="170"/>
      <c r="BR276" s="170"/>
      <c r="BS276" s="170"/>
      <c r="BT276" s="170"/>
      <c r="BU276" s="170"/>
      <c r="BV276" s="170"/>
      <c r="BW276" s="170"/>
      <c r="BX276" s="170"/>
      <c r="BY276" s="170"/>
      <c r="BZ276" s="170"/>
      <c r="CA276" s="170"/>
      <c r="CB276" s="170"/>
      <c r="CC276" s="170"/>
      <c r="CD276" s="170"/>
      <c r="CE276" s="170"/>
      <c r="CF276" s="170"/>
      <c r="CG276" s="170"/>
      <c r="CH276" s="170"/>
      <c r="CI276" s="170"/>
      <c r="CJ276" s="271"/>
      <c r="JY276" s="335"/>
      <c r="JZ276" s="336"/>
      <c r="KA276" s="336"/>
      <c r="KB276" s="336"/>
      <c r="KC276" s="336"/>
      <c r="KD276" s="336"/>
      <c r="KE276" s="336"/>
      <c r="KF276" s="336"/>
      <c r="KG276" s="336"/>
      <c r="KH276" s="336"/>
      <c r="KI276" s="336"/>
      <c r="KJ276" s="336"/>
      <c r="KK276" s="336"/>
      <c r="KL276" s="336"/>
      <c r="KM276" s="336"/>
      <c r="KN276" s="336"/>
      <c r="KO276" s="336"/>
      <c r="KP276" s="336"/>
      <c r="KQ276" s="336"/>
      <c r="KR276" s="336"/>
      <c r="KS276" s="336"/>
      <c r="KT276" s="336"/>
      <c r="KU276" s="336"/>
      <c r="KV276" s="336"/>
      <c r="KW276" s="336"/>
      <c r="KX276" s="336"/>
      <c r="KY276" s="336"/>
      <c r="KZ276" s="336"/>
      <c r="LA276" s="336"/>
      <c r="LB276" s="336"/>
      <c r="LC276" s="336"/>
      <c r="LD276" s="336"/>
      <c r="LE276" s="336"/>
      <c r="LF276" s="336"/>
      <c r="LG276" s="336"/>
      <c r="LH276" s="336"/>
      <c r="LI276" s="336"/>
      <c r="LJ276" s="336"/>
      <c r="LK276" s="336"/>
      <c r="LL276" s="336"/>
      <c r="LM276" s="336"/>
      <c r="LN276" s="336"/>
      <c r="LO276" s="336"/>
      <c r="LP276" s="336"/>
      <c r="LQ276" s="336"/>
      <c r="LR276" s="336"/>
      <c r="LS276" s="336"/>
      <c r="LT276" s="336"/>
      <c r="LU276" s="336"/>
      <c r="LV276" s="337"/>
      <c r="LW276" s="290"/>
      <c r="LX276" s="291"/>
      <c r="LY276" s="291"/>
      <c r="LZ276" s="291"/>
      <c r="MA276" s="291"/>
      <c r="MB276" s="291"/>
      <c r="MC276" s="291"/>
      <c r="MD276" s="291"/>
      <c r="ME276" s="291"/>
      <c r="MF276" s="291"/>
      <c r="MG276" s="291"/>
      <c r="MH276" s="292"/>
      <c r="ML276" s="12"/>
      <c r="MM276" s="7"/>
    </row>
    <row r="277" spans="3:351" ht="5.0999999999999996" customHeight="1" x14ac:dyDescent="0.3">
      <c r="C277" s="11"/>
      <c r="D277" s="13"/>
      <c r="E277" s="2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  <c r="AF277" s="271"/>
      <c r="AG277" s="270"/>
      <c r="AH277" s="170"/>
      <c r="AI277" s="170"/>
      <c r="AJ277" s="170"/>
      <c r="AK277" s="170"/>
      <c r="AL277" s="170"/>
      <c r="AM277" s="170"/>
      <c r="AN277" s="170"/>
      <c r="AO277" s="170"/>
      <c r="AP277" s="170"/>
      <c r="AQ277" s="170"/>
      <c r="AR277" s="170"/>
      <c r="AS277" s="170"/>
      <c r="AT277" s="170"/>
      <c r="AU277" s="170"/>
      <c r="AV277" s="170"/>
      <c r="AW277" s="170"/>
      <c r="AX277" s="170"/>
      <c r="AY277" s="170"/>
      <c r="AZ277" s="170"/>
      <c r="BA277" s="170"/>
      <c r="BB277" s="170"/>
      <c r="BC277" s="170"/>
      <c r="BD277" s="170"/>
      <c r="BE277" s="170"/>
      <c r="BF277" s="170"/>
      <c r="BG277" s="170"/>
      <c r="BH277" s="271"/>
      <c r="BI277" s="270"/>
      <c r="BJ277" s="170"/>
      <c r="BK277" s="170"/>
      <c r="BL277" s="170"/>
      <c r="BM277" s="170"/>
      <c r="BN277" s="170"/>
      <c r="BO277" s="170"/>
      <c r="BP277" s="170"/>
      <c r="BQ277" s="170"/>
      <c r="BR277" s="170"/>
      <c r="BS277" s="170"/>
      <c r="BT277" s="170"/>
      <c r="BU277" s="170"/>
      <c r="BV277" s="170"/>
      <c r="BW277" s="170"/>
      <c r="BX277" s="170"/>
      <c r="BY277" s="170"/>
      <c r="BZ277" s="170"/>
      <c r="CA277" s="170"/>
      <c r="CB277" s="170"/>
      <c r="CC277" s="170"/>
      <c r="CD277" s="170"/>
      <c r="CE277" s="170"/>
      <c r="CF277" s="170"/>
      <c r="CG277" s="170"/>
      <c r="CH277" s="170"/>
      <c r="CI277" s="170"/>
      <c r="CJ277" s="271"/>
      <c r="ML277" s="12"/>
      <c r="MM277" s="7"/>
    </row>
    <row r="278" spans="3:351" ht="5.0999999999999996" customHeight="1" thickBot="1" x14ac:dyDescent="0.35">
      <c r="C278" s="11"/>
      <c r="D278" s="13"/>
      <c r="E278" s="272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4"/>
      <c r="AG278" s="272"/>
      <c r="AH278" s="273"/>
      <c r="AI278" s="273"/>
      <c r="AJ278" s="273"/>
      <c r="AK278" s="273"/>
      <c r="AL278" s="273"/>
      <c r="AM278" s="273"/>
      <c r="AN278" s="273"/>
      <c r="AO278" s="273"/>
      <c r="AP278" s="273"/>
      <c r="AQ278" s="273"/>
      <c r="AR278" s="273"/>
      <c r="AS278" s="273"/>
      <c r="AT278" s="273"/>
      <c r="AU278" s="273"/>
      <c r="AV278" s="273"/>
      <c r="AW278" s="273"/>
      <c r="AX278" s="273"/>
      <c r="AY278" s="273"/>
      <c r="AZ278" s="273"/>
      <c r="BA278" s="273"/>
      <c r="BB278" s="273"/>
      <c r="BC278" s="273"/>
      <c r="BD278" s="273"/>
      <c r="BE278" s="273"/>
      <c r="BF278" s="273"/>
      <c r="BG278" s="273"/>
      <c r="BH278" s="274"/>
      <c r="BI278" s="272"/>
      <c r="BJ278" s="273"/>
      <c r="BK278" s="273"/>
      <c r="BL278" s="273"/>
      <c r="BM278" s="273"/>
      <c r="BN278" s="273"/>
      <c r="BO278" s="273"/>
      <c r="BP278" s="273"/>
      <c r="BQ278" s="273"/>
      <c r="BR278" s="273"/>
      <c r="BS278" s="273"/>
      <c r="BT278" s="273"/>
      <c r="BU278" s="273"/>
      <c r="BV278" s="273"/>
      <c r="BW278" s="273"/>
      <c r="BX278" s="273"/>
      <c r="BY278" s="273"/>
      <c r="BZ278" s="273"/>
      <c r="CA278" s="273"/>
      <c r="CB278" s="273"/>
      <c r="CC278" s="273"/>
      <c r="CD278" s="273"/>
      <c r="CE278" s="273"/>
      <c r="CF278" s="273"/>
      <c r="CG278" s="273"/>
      <c r="CH278" s="273"/>
      <c r="CI278" s="273"/>
      <c r="CJ278" s="274"/>
      <c r="ML278" s="12"/>
      <c r="MM278" s="7"/>
    </row>
    <row r="279" spans="3:351" ht="5.0999999999999996" customHeight="1" x14ac:dyDescent="0.3">
      <c r="C279" s="11"/>
      <c r="D279" s="13"/>
      <c r="E279" s="267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  <c r="AA279" s="268"/>
      <c r="AB279" s="268"/>
      <c r="AC279" s="268"/>
      <c r="AD279" s="268"/>
      <c r="AE279" s="268"/>
      <c r="AF279" s="269"/>
      <c r="AG279" s="267"/>
      <c r="AH279" s="268"/>
      <c r="AI279" s="268"/>
      <c r="AJ279" s="268"/>
      <c r="AK279" s="268"/>
      <c r="AL279" s="268"/>
      <c r="AM279" s="268"/>
      <c r="AN279" s="268"/>
      <c r="AO279" s="268"/>
      <c r="AP279" s="268"/>
      <c r="AQ279" s="268"/>
      <c r="AR279" s="268"/>
      <c r="AS279" s="268"/>
      <c r="AT279" s="268"/>
      <c r="AU279" s="268"/>
      <c r="AV279" s="268"/>
      <c r="AW279" s="268"/>
      <c r="AX279" s="268"/>
      <c r="AY279" s="268"/>
      <c r="AZ279" s="268"/>
      <c r="BA279" s="268"/>
      <c r="BB279" s="268"/>
      <c r="BC279" s="268"/>
      <c r="BD279" s="268"/>
      <c r="BE279" s="268"/>
      <c r="BF279" s="268"/>
      <c r="BG279" s="268"/>
      <c r="BH279" s="269"/>
      <c r="BI279" s="267"/>
      <c r="BJ279" s="268"/>
      <c r="BK279" s="268"/>
      <c r="BL279" s="268"/>
      <c r="BM279" s="268"/>
      <c r="BN279" s="268"/>
      <c r="BO279" s="268"/>
      <c r="BP279" s="268"/>
      <c r="BQ279" s="268"/>
      <c r="BR279" s="268"/>
      <c r="BS279" s="268"/>
      <c r="BT279" s="268"/>
      <c r="BU279" s="268"/>
      <c r="BV279" s="268"/>
      <c r="BW279" s="268"/>
      <c r="BX279" s="268"/>
      <c r="BY279" s="268"/>
      <c r="BZ279" s="268"/>
      <c r="CA279" s="268"/>
      <c r="CB279" s="268"/>
      <c r="CC279" s="268"/>
      <c r="CD279" s="268"/>
      <c r="CE279" s="268"/>
      <c r="CF279" s="268"/>
      <c r="CG279" s="268"/>
      <c r="CH279" s="268"/>
      <c r="CI279" s="268"/>
      <c r="CJ279" s="269"/>
      <c r="ML279" s="12"/>
      <c r="MM279" s="7"/>
    </row>
    <row r="280" spans="3:351" ht="5.0999999999999996" customHeight="1" thickBot="1" x14ac:dyDescent="0.35">
      <c r="C280" s="11"/>
      <c r="D280" s="13"/>
      <c r="E280" s="2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  <c r="AF280" s="271"/>
      <c r="AG280" s="270"/>
      <c r="AH280" s="170"/>
      <c r="AI280" s="170"/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70"/>
      <c r="AV280" s="170"/>
      <c r="AW280" s="170"/>
      <c r="AX280" s="170"/>
      <c r="AY280" s="170"/>
      <c r="AZ280" s="170"/>
      <c r="BA280" s="170"/>
      <c r="BB280" s="170"/>
      <c r="BC280" s="170"/>
      <c r="BD280" s="170"/>
      <c r="BE280" s="170"/>
      <c r="BF280" s="170"/>
      <c r="BG280" s="170"/>
      <c r="BH280" s="271"/>
      <c r="BI280" s="270"/>
      <c r="BJ280" s="170"/>
      <c r="BK280" s="170"/>
      <c r="BL280" s="170"/>
      <c r="BM280" s="170"/>
      <c r="BN280" s="170"/>
      <c r="BO280" s="170"/>
      <c r="BP280" s="170"/>
      <c r="BQ280" s="170"/>
      <c r="BR280" s="170"/>
      <c r="BS280" s="170"/>
      <c r="BT280" s="170"/>
      <c r="BU280" s="170"/>
      <c r="BV280" s="170"/>
      <c r="BW280" s="170"/>
      <c r="BX280" s="170"/>
      <c r="BY280" s="170"/>
      <c r="BZ280" s="170"/>
      <c r="CA280" s="170"/>
      <c r="CB280" s="170"/>
      <c r="CC280" s="170"/>
      <c r="CD280" s="170"/>
      <c r="CE280" s="170"/>
      <c r="CF280" s="170"/>
      <c r="CG280" s="170"/>
      <c r="CH280" s="170"/>
      <c r="CI280" s="170"/>
      <c r="CJ280" s="271"/>
      <c r="ML280" s="12"/>
      <c r="MM280" s="7"/>
    </row>
    <row r="281" spans="3:351" ht="5.0999999999999996" customHeight="1" x14ac:dyDescent="0.3">
      <c r="C281" s="11"/>
      <c r="D281" s="13"/>
      <c r="E281" s="2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  <c r="AF281" s="271"/>
      <c r="AG281" s="270"/>
      <c r="AH281" s="170"/>
      <c r="AI281" s="170"/>
      <c r="AJ281" s="170"/>
      <c r="AK281" s="170"/>
      <c r="AL281" s="170"/>
      <c r="AM281" s="170"/>
      <c r="AN281" s="170"/>
      <c r="AO281" s="170"/>
      <c r="AP281" s="170"/>
      <c r="AQ281" s="170"/>
      <c r="AR281" s="170"/>
      <c r="AS281" s="170"/>
      <c r="AT281" s="170"/>
      <c r="AU281" s="170"/>
      <c r="AV281" s="170"/>
      <c r="AW281" s="170"/>
      <c r="AX281" s="170"/>
      <c r="AY281" s="170"/>
      <c r="AZ281" s="170"/>
      <c r="BA281" s="170"/>
      <c r="BB281" s="170"/>
      <c r="BC281" s="170"/>
      <c r="BD281" s="170"/>
      <c r="BE281" s="170"/>
      <c r="BF281" s="170"/>
      <c r="BG281" s="170"/>
      <c r="BH281" s="271"/>
      <c r="BI281" s="270"/>
      <c r="BJ281" s="170"/>
      <c r="BK281" s="170"/>
      <c r="BL281" s="170"/>
      <c r="BM281" s="170"/>
      <c r="BN281" s="170"/>
      <c r="BO281" s="170"/>
      <c r="BP281" s="170"/>
      <c r="BQ281" s="170"/>
      <c r="BR281" s="170"/>
      <c r="BS281" s="170"/>
      <c r="BT281" s="170"/>
      <c r="BU281" s="170"/>
      <c r="BV281" s="170"/>
      <c r="BW281" s="170"/>
      <c r="BX281" s="170"/>
      <c r="BY281" s="170"/>
      <c r="BZ281" s="170"/>
      <c r="CA281" s="170"/>
      <c r="CB281" s="170"/>
      <c r="CC281" s="170"/>
      <c r="CD281" s="170"/>
      <c r="CE281" s="170"/>
      <c r="CF281" s="170"/>
      <c r="CG281" s="170"/>
      <c r="CH281" s="170"/>
      <c r="CI281" s="170"/>
      <c r="CJ281" s="271"/>
      <c r="JC281" s="267" t="s">
        <v>25</v>
      </c>
      <c r="JD281" s="268"/>
      <c r="JE281" s="268"/>
      <c r="JF281" s="268"/>
      <c r="JG281" s="268"/>
      <c r="JH281" s="268"/>
      <c r="JI281" s="268"/>
      <c r="JJ281" s="268"/>
      <c r="JK281" s="268"/>
      <c r="JL281" s="268"/>
      <c r="JM281" s="268"/>
      <c r="JN281" s="268"/>
      <c r="JO281" s="268"/>
      <c r="JP281" s="268"/>
      <c r="JQ281" s="268"/>
      <c r="JR281" s="268"/>
      <c r="JS281" s="268"/>
      <c r="JT281" s="268"/>
      <c r="JU281" s="268"/>
      <c r="JV281" s="268"/>
      <c r="JW281" s="268"/>
      <c r="JX281" s="268"/>
      <c r="JY281" s="268"/>
      <c r="JZ281" s="268"/>
      <c r="KA281" s="268"/>
      <c r="KB281" s="268"/>
      <c r="KC281" s="268"/>
      <c r="KD281" s="269"/>
      <c r="KE281" s="267" t="s">
        <v>151</v>
      </c>
      <c r="KF281" s="268"/>
      <c r="KG281" s="268"/>
      <c r="KH281" s="268"/>
      <c r="KI281" s="268"/>
      <c r="KJ281" s="268"/>
      <c r="KK281" s="268"/>
      <c r="KL281" s="268"/>
      <c r="KM281" s="268"/>
      <c r="KN281" s="268"/>
      <c r="KO281" s="268"/>
      <c r="KP281" s="268"/>
      <c r="KQ281" s="268"/>
      <c r="KR281" s="268"/>
      <c r="KS281" s="268"/>
      <c r="KT281" s="268"/>
      <c r="KU281" s="268"/>
      <c r="KV281" s="268"/>
      <c r="KW281" s="268"/>
      <c r="KX281" s="268"/>
      <c r="KY281" s="268"/>
      <c r="KZ281" s="268"/>
      <c r="LA281" s="268"/>
      <c r="LB281" s="268"/>
      <c r="LC281" s="268"/>
      <c r="LD281" s="268"/>
      <c r="LE281" s="268"/>
      <c r="LF281" s="269"/>
      <c r="LG281" s="267" t="s">
        <v>150</v>
      </c>
      <c r="LH281" s="268"/>
      <c r="LI281" s="268"/>
      <c r="LJ281" s="268"/>
      <c r="LK281" s="268"/>
      <c r="LL281" s="268"/>
      <c r="LM281" s="268"/>
      <c r="LN281" s="268"/>
      <c r="LO281" s="268"/>
      <c r="LP281" s="268"/>
      <c r="LQ281" s="268"/>
      <c r="LR281" s="268"/>
      <c r="LS281" s="268"/>
      <c r="LT281" s="268"/>
      <c r="LU281" s="268"/>
      <c r="LV281" s="268"/>
      <c r="LW281" s="268"/>
      <c r="LX281" s="268"/>
      <c r="LY281" s="268"/>
      <c r="LZ281" s="268"/>
      <c r="MA281" s="268"/>
      <c r="MB281" s="268"/>
      <c r="MC281" s="268"/>
      <c r="MD281" s="268"/>
      <c r="ME281" s="268"/>
      <c r="MF281" s="268"/>
      <c r="MG281" s="268"/>
      <c r="MH281" s="269"/>
      <c r="ML281" s="12"/>
      <c r="MM281" s="7"/>
    </row>
    <row r="282" spans="3:351" ht="5.0999999999999996" customHeight="1" x14ac:dyDescent="0.3">
      <c r="C282" s="11"/>
      <c r="D282" s="13"/>
      <c r="E282" s="2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  <c r="AF282" s="271"/>
      <c r="AG282" s="270"/>
      <c r="AH282" s="170"/>
      <c r="AI282" s="170"/>
      <c r="AJ282" s="170"/>
      <c r="AK282" s="170"/>
      <c r="AL282" s="170"/>
      <c r="AM282" s="170"/>
      <c r="AN282" s="170"/>
      <c r="AO282" s="170"/>
      <c r="AP282" s="170"/>
      <c r="AQ282" s="170"/>
      <c r="AR282" s="170"/>
      <c r="AS282" s="170"/>
      <c r="AT282" s="170"/>
      <c r="AU282" s="170"/>
      <c r="AV282" s="170"/>
      <c r="AW282" s="170"/>
      <c r="AX282" s="170"/>
      <c r="AY282" s="170"/>
      <c r="AZ282" s="170"/>
      <c r="BA282" s="170"/>
      <c r="BB282" s="170"/>
      <c r="BC282" s="170"/>
      <c r="BD282" s="170"/>
      <c r="BE282" s="170"/>
      <c r="BF282" s="170"/>
      <c r="BG282" s="170"/>
      <c r="BH282" s="271"/>
      <c r="BI282" s="270"/>
      <c r="BJ282" s="170"/>
      <c r="BK282" s="170"/>
      <c r="BL282" s="170"/>
      <c r="BM282" s="170"/>
      <c r="BN282" s="170"/>
      <c r="BO282" s="170"/>
      <c r="BP282" s="170"/>
      <c r="BQ282" s="170"/>
      <c r="BR282" s="170"/>
      <c r="BS282" s="170"/>
      <c r="BT282" s="170"/>
      <c r="BU282" s="170"/>
      <c r="BV282" s="170"/>
      <c r="BW282" s="170"/>
      <c r="BX282" s="170"/>
      <c r="BY282" s="170"/>
      <c r="BZ282" s="170"/>
      <c r="CA282" s="170"/>
      <c r="CB282" s="170"/>
      <c r="CC282" s="170"/>
      <c r="CD282" s="170"/>
      <c r="CE282" s="170"/>
      <c r="CF282" s="170"/>
      <c r="CG282" s="170"/>
      <c r="CH282" s="170"/>
      <c r="CI282" s="170"/>
      <c r="CJ282" s="271"/>
      <c r="JC282" s="270"/>
      <c r="JD282" s="170"/>
      <c r="JE282" s="170"/>
      <c r="JF282" s="170"/>
      <c r="JG282" s="170"/>
      <c r="JH282" s="170"/>
      <c r="JI282" s="170"/>
      <c r="JJ282" s="170"/>
      <c r="JK282" s="170"/>
      <c r="JL282" s="170"/>
      <c r="JM282" s="170"/>
      <c r="JN282" s="170"/>
      <c r="JO282" s="170"/>
      <c r="JP282" s="170"/>
      <c r="JQ282" s="170"/>
      <c r="JR282" s="170"/>
      <c r="JS282" s="170"/>
      <c r="JT282" s="170"/>
      <c r="JU282" s="170"/>
      <c r="JV282" s="170"/>
      <c r="JW282" s="170"/>
      <c r="JX282" s="170"/>
      <c r="JY282" s="170"/>
      <c r="JZ282" s="170"/>
      <c r="KA282" s="170"/>
      <c r="KB282" s="170"/>
      <c r="KC282" s="170"/>
      <c r="KD282" s="271"/>
      <c r="KE282" s="270"/>
      <c r="KF282" s="170"/>
      <c r="KG282" s="170"/>
      <c r="KH282" s="170"/>
      <c r="KI282" s="170"/>
      <c r="KJ282" s="170"/>
      <c r="KK282" s="170"/>
      <c r="KL282" s="170"/>
      <c r="KM282" s="170"/>
      <c r="KN282" s="170"/>
      <c r="KO282" s="170"/>
      <c r="KP282" s="170"/>
      <c r="KQ282" s="170"/>
      <c r="KR282" s="170"/>
      <c r="KS282" s="170"/>
      <c r="KT282" s="170"/>
      <c r="KU282" s="170"/>
      <c r="KV282" s="170"/>
      <c r="KW282" s="170"/>
      <c r="KX282" s="170"/>
      <c r="KY282" s="170"/>
      <c r="KZ282" s="170"/>
      <c r="LA282" s="170"/>
      <c r="LB282" s="170"/>
      <c r="LC282" s="170"/>
      <c r="LD282" s="170"/>
      <c r="LE282" s="170"/>
      <c r="LF282" s="271"/>
      <c r="LG282" s="270"/>
      <c r="LH282" s="170"/>
      <c r="LI282" s="170"/>
      <c r="LJ282" s="170"/>
      <c r="LK282" s="170"/>
      <c r="LL282" s="170"/>
      <c r="LM282" s="170"/>
      <c r="LN282" s="170"/>
      <c r="LO282" s="170"/>
      <c r="LP282" s="170"/>
      <c r="LQ282" s="170"/>
      <c r="LR282" s="170"/>
      <c r="LS282" s="170"/>
      <c r="LT282" s="170"/>
      <c r="LU282" s="170"/>
      <c r="LV282" s="170"/>
      <c r="LW282" s="170"/>
      <c r="LX282" s="170"/>
      <c r="LY282" s="170"/>
      <c r="LZ282" s="170"/>
      <c r="MA282" s="170"/>
      <c r="MB282" s="170"/>
      <c r="MC282" s="170"/>
      <c r="MD282" s="170"/>
      <c r="ME282" s="170"/>
      <c r="MF282" s="170"/>
      <c r="MG282" s="170"/>
      <c r="MH282" s="271"/>
      <c r="ML282" s="12"/>
      <c r="MM282" s="7"/>
    </row>
    <row r="283" spans="3:351" ht="5.0999999999999996" customHeight="1" thickBot="1" x14ac:dyDescent="0.35">
      <c r="C283" s="11"/>
      <c r="D283" s="13"/>
      <c r="E283" s="272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74"/>
      <c r="AG283" s="272"/>
      <c r="AH283" s="273"/>
      <c r="AI283" s="273"/>
      <c r="AJ283" s="273"/>
      <c r="AK283" s="273"/>
      <c r="AL283" s="273"/>
      <c r="AM283" s="273"/>
      <c r="AN283" s="273"/>
      <c r="AO283" s="273"/>
      <c r="AP283" s="273"/>
      <c r="AQ283" s="273"/>
      <c r="AR283" s="273"/>
      <c r="AS283" s="273"/>
      <c r="AT283" s="273"/>
      <c r="AU283" s="273"/>
      <c r="AV283" s="273"/>
      <c r="AW283" s="273"/>
      <c r="AX283" s="273"/>
      <c r="AY283" s="273"/>
      <c r="AZ283" s="273"/>
      <c r="BA283" s="273"/>
      <c r="BB283" s="273"/>
      <c r="BC283" s="273"/>
      <c r="BD283" s="273"/>
      <c r="BE283" s="273"/>
      <c r="BF283" s="273"/>
      <c r="BG283" s="273"/>
      <c r="BH283" s="274"/>
      <c r="BI283" s="272"/>
      <c r="BJ283" s="273"/>
      <c r="BK283" s="273"/>
      <c r="BL283" s="273"/>
      <c r="BM283" s="273"/>
      <c r="BN283" s="273"/>
      <c r="BO283" s="273"/>
      <c r="BP283" s="273"/>
      <c r="BQ283" s="273"/>
      <c r="BR283" s="273"/>
      <c r="BS283" s="273"/>
      <c r="BT283" s="273"/>
      <c r="BU283" s="273"/>
      <c r="BV283" s="273"/>
      <c r="BW283" s="273"/>
      <c r="BX283" s="273"/>
      <c r="BY283" s="273"/>
      <c r="BZ283" s="273"/>
      <c r="CA283" s="273"/>
      <c r="CB283" s="273"/>
      <c r="CC283" s="273"/>
      <c r="CD283" s="273"/>
      <c r="CE283" s="273"/>
      <c r="CF283" s="273"/>
      <c r="CG283" s="273"/>
      <c r="CH283" s="273"/>
      <c r="CI283" s="273"/>
      <c r="CJ283" s="274"/>
      <c r="JC283" s="270"/>
      <c r="JD283" s="170"/>
      <c r="JE283" s="170"/>
      <c r="JF283" s="170"/>
      <c r="JG283" s="170"/>
      <c r="JH283" s="170"/>
      <c r="JI283" s="170"/>
      <c r="JJ283" s="170"/>
      <c r="JK283" s="170"/>
      <c r="JL283" s="170"/>
      <c r="JM283" s="170"/>
      <c r="JN283" s="170"/>
      <c r="JO283" s="170"/>
      <c r="JP283" s="170"/>
      <c r="JQ283" s="170"/>
      <c r="JR283" s="170"/>
      <c r="JS283" s="170"/>
      <c r="JT283" s="170"/>
      <c r="JU283" s="170"/>
      <c r="JV283" s="170"/>
      <c r="JW283" s="170"/>
      <c r="JX283" s="170"/>
      <c r="JY283" s="170"/>
      <c r="JZ283" s="170"/>
      <c r="KA283" s="170"/>
      <c r="KB283" s="170"/>
      <c r="KC283" s="170"/>
      <c r="KD283" s="271"/>
      <c r="KE283" s="270"/>
      <c r="KF283" s="170"/>
      <c r="KG283" s="170"/>
      <c r="KH283" s="170"/>
      <c r="KI283" s="170"/>
      <c r="KJ283" s="170"/>
      <c r="KK283" s="170"/>
      <c r="KL283" s="170"/>
      <c r="KM283" s="170"/>
      <c r="KN283" s="170"/>
      <c r="KO283" s="170"/>
      <c r="KP283" s="170"/>
      <c r="KQ283" s="170"/>
      <c r="KR283" s="170"/>
      <c r="KS283" s="170"/>
      <c r="KT283" s="170"/>
      <c r="KU283" s="170"/>
      <c r="KV283" s="170"/>
      <c r="KW283" s="170"/>
      <c r="KX283" s="170"/>
      <c r="KY283" s="170"/>
      <c r="KZ283" s="170"/>
      <c r="LA283" s="170"/>
      <c r="LB283" s="170"/>
      <c r="LC283" s="170"/>
      <c r="LD283" s="170"/>
      <c r="LE283" s="170"/>
      <c r="LF283" s="271"/>
      <c r="LG283" s="270"/>
      <c r="LH283" s="170"/>
      <c r="LI283" s="170"/>
      <c r="LJ283" s="170"/>
      <c r="LK283" s="170"/>
      <c r="LL283" s="170"/>
      <c r="LM283" s="170"/>
      <c r="LN283" s="170"/>
      <c r="LO283" s="170"/>
      <c r="LP283" s="170"/>
      <c r="LQ283" s="170"/>
      <c r="LR283" s="170"/>
      <c r="LS283" s="170"/>
      <c r="LT283" s="170"/>
      <c r="LU283" s="170"/>
      <c r="LV283" s="170"/>
      <c r="LW283" s="170"/>
      <c r="LX283" s="170"/>
      <c r="LY283" s="170"/>
      <c r="LZ283" s="170"/>
      <c r="MA283" s="170"/>
      <c r="MB283" s="170"/>
      <c r="MC283" s="170"/>
      <c r="MD283" s="170"/>
      <c r="ME283" s="170"/>
      <c r="MF283" s="170"/>
      <c r="MG283" s="170"/>
      <c r="MH283" s="271"/>
      <c r="ML283" s="12"/>
      <c r="MM283" s="7"/>
    </row>
    <row r="284" spans="3:351" ht="5.0999999999999996" customHeight="1" x14ac:dyDescent="0.3">
      <c r="C284" s="11"/>
      <c r="D284" s="13"/>
      <c r="E284" s="267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  <c r="AA284" s="268"/>
      <c r="AB284" s="268"/>
      <c r="AC284" s="268"/>
      <c r="AD284" s="268"/>
      <c r="AE284" s="268"/>
      <c r="AF284" s="269"/>
      <c r="AG284" s="267"/>
      <c r="AH284" s="268"/>
      <c r="AI284" s="268"/>
      <c r="AJ284" s="268"/>
      <c r="AK284" s="268"/>
      <c r="AL284" s="268"/>
      <c r="AM284" s="268"/>
      <c r="AN284" s="268"/>
      <c r="AO284" s="268"/>
      <c r="AP284" s="268"/>
      <c r="AQ284" s="268"/>
      <c r="AR284" s="268"/>
      <c r="AS284" s="268"/>
      <c r="AT284" s="268"/>
      <c r="AU284" s="268"/>
      <c r="AV284" s="268"/>
      <c r="AW284" s="268"/>
      <c r="AX284" s="268"/>
      <c r="AY284" s="268"/>
      <c r="AZ284" s="268"/>
      <c r="BA284" s="268"/>
      <c r="BB284" s="268"/>
      <c r="BC284" s="268"/>
      <c r="BD284" s="268"/>
      <c r="BE284" s="268"/>
      <c r="BF284" s="268"/>
      <c r="BG284" s="268"/>
      <c r="BH284" s="269"/>
      <c r="BI284" s="267"/>
      <c r="BJ284" s="268"/>
      <c r="BK284" s="268"/>
      <c r="BL284" s="268"/>
      <c r="BM284" s="268"/>
      <c r="BN284" s="268"/>
      <c r="BO284" s="268"/>
      <c r="BP284" s="268"/>
      <c r="BQ284" s="268"/>
      <c r="BR284" s="268"/>
      <c r="BS284" s="268"/>
      <c r="BT284" s="268"/>
      <c r="BU284" s="268"/>
      <c r="BV284" s="268"/>
      <c r="BW284" s="268"/>
      <c r="BX284" s="268"/>
      <c r="BY284" s="268"/>
      <c r="BZ284" s="268"/>
      <c r="CA284" s="268"/>
      <c r="CB284" s="268"/>
      <c r="CC284" s="268"/>
      <c r="CD284" s="268"/>
      <c r="CE284" s="268"/>
      <c r="CF284" s="268"/>
      <c r="CG284" s="268"/>
      <c r="CH284" s="268"/>
      <c r="CI284" s="268"/>
      <c r="CJ284" s="269"/>
      <c r="JC284" s="270"/>
      <c r="JD284" s="170"/>
      <c r="JE284" s="170"/>
      <c r="JF284" s="170"/>
      <c r="JG284" s="170"/>
      <c r="JH284" s="170"/>
      <c r="JI284" s="170"/>
      <c r="JJ284" s="170"/>
      <c r="JK284" s="170"/>
      <c r="JL284" s="170"/>
      <c r="JM284" s="170"/>
      <c r="JN284" s="170"/>
      <c r="JO284" s="170"/>
      <c r="JP284" s="170"/>
      <c r="JQ284" s="170"/>
      <c r="JR284" s="170"/>
      <c r="JS284" s="170"/>
      <c r="JT284" s="170"/>
      <c r="JU284" s="170"/>
      <c r="JV284" s="170"/>
      <c r="JW284" s="170"/>
      <c r="JX284" s="170"/>
      <c r="JY284" s="170"/>
      <c r="JZ284" s="170"/>
      <c r="KA284" s="170"/>
      <c r="KB284" s="170"/>
      <c r="KC284" s="170"/>
      <c r="KD284" s="271"/>
      <c r="KE284" s="270"/>
      <c r="KF284" s="170"/>
      <c r="KG284" s="170"/>
      <c r="KH284" s="170"/>
      <c r="KI284" s="170"/>
      <c r="KJ284" s="170"/>
      <c r="KK284" s="170"/>
      <c r="KL284" s="170"/>
      <c r="KM284" s="170"/>
      <c r="KN284" s="170"/>
      <c r="KO284" s="170"/>
      <c r="KP284" s="170"/>
      <c r="KQ284" s="170"/>
      <c r="KR284" s="170"/>
      <c r="KS284" s="170"/>
      <c r="KT284" s="170"/>
      <c r="KU284" s="170"/>
      <c r="KV284" s="170"/>
      <c r="KW284" s="170"/>
      <c r="KX284" s="170"/>
      <c r="KY284" s="170"/>
      <c r="KZ284" s="170"/>
      <c r="LA284" s="170"/>
      <c r="LB284" s="170"/>
      <c r="LC284" s="170"/>
      <c r="LD284" s="170"/>
      <c r="LE284" s="170"/>
      <c r="LF284" s="271"/>
      <c r="LG284" s="270"/>
      <c r="LH284" s="170"/>
      <c r="LI284" s="170"/>
      <c r="LJ284" s="170"/>
      <c r="LK284" s="170"/>
      <c r="LL284" s="170"/>
      <c r="LM284" s="170"/>
      <c r="LN284" s="170"/>
      <c r="LO284" s="170"/>
      <c r="LP284" s="170"/>
      <c r="LQ284" s="170"/>
      <c r="LR284" s="170"/>
      <c r="LS284" s="170"/>
      <c r="LT284" s="170"/>
      <c r="LU284" s="170"/>
      <c r="LV284" s="170"/>
      <c r="LW284" s="170"/>
      <c r="LX284" s="170"/>
      <c r="LY284" s="170"/>
      <c r="LZ284" s="170"/>
      <c r="MA284" s="170"/>
      <c r="MB284" s="170"/>
      <c r="MC284" s="170"/>
      <c r="MD284" s="170"/>
      <c r="ME284" s="170"/>
      <c r="MF284" s="170"/>
      <c r="MG284" s="170"/>
      <c r="MH284" s="271"/>
      <c r="ML284" s="12"/>
      <c r="MM284" s="7"/>
    </row>
    <row r="285" spans="3:351" ht="5.0999999999999996" customHeight="1" thickBot="1" x14ac:dyDescent="0.35">
      <c r="C285" s="11"/>
      <c r="D285" s="13"/>
      <c r="E285" s="2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271"/>
      <c r="AG285" s="270"/>
      <c r="AH285" s="170"/>
      <c r="AI285" s="170"/>
      <c r="AJ285" s="170"/>
      <c r="AK285" s="170"/>
      <c r="AL285" s="170"/>
      <c r="AM285" s="170"/>
      <c r="AN285" s="170"/>
      <c r="AO285" s="170"/>
      <c r="AP285" s="170"/>
      <c r="AQ285" s="170"/>
      <c r="AR285" s="170"/>
      <c r="AS285" s="170"/>
      <c r="AT285" s="170"/>
      <c r="AU285" s="170"/>
      <c r="AV285" s="170"/>
      <c r="AW285" s="170"/>
      <c r="AX285" s="170"/>
      <c r="AY285" s="170"/>
      <c r="AZ285" s="170"/>
      <c r="BA285" s="170"/>
      <c r="BB285" s="170"/>
      <c r="BC285" s="170"/>
      <c r="BD285" s="170"/>
      <c r="BE285" s="170"/>
      <c r="BF285" s="170"/>
      <c r="BG285" s="170"/>
      <c r="BH285" s="271"/>
      <c r="BI285" s="270"/>
      <c r="BJ285" s="170"/>
      <c r="BK285" s="170"/>
      <c r="BL285" s="170"/>
      <c r="BM285" s="170"/>
      <c r="BN285" s="170"/>
      <c r="BO285" s="170"/>
      <c r="BP285" s="170"/>
      <c r="BQ285" s="170"/>
      <c r="BR285" s="170"/>
      <c r="BS285" s="170"/>
      <c r="BT285" s="170"/>
      <c r="BU285" s="170"/>
      <c r="BV285" s="170"/>
      <c r="BW285" s="170"/>
      <c r="BX285" s="170"/>
      <c r="BY285" s="170"/>
      <c r="BZ285" s="170"/>
      <c r="CA285" s="170"/>
      <c r="CB285" s="170"/>
      <c r="CC285" s="170"/>
      <c r="CD285" s="170"/>
      <c r="CE285" s="170"/>
      <c r="CF285" s="170"/>
      <c r="CG285" s="170"/>
      <c r="CH285" s="170"/>
      <c r="CI285" s="170"/>
      <c r="CJ285" s="271"/>
      <c r="JC285" s="272"/>
      <c r="JD285" s="273"/>
      <c r="JE285" s="273"/>
      <c r="JF285" s="273"/>
      <c r="JG285" s="273"/>
      <c r="JH285" s="273"/>
      <c r="JI285" s="273"/>
      <c r="JJ285" s="273"/>
      <c r="JK285" s="273"/>
      <c r="JL285" s="273"/>
      <c r="JM285" s="273"/>
      <c r="JN285" s="273"/>
      <c r="JO285" s="273"/>
      <c r="JP285" s="273"/>
      <c r="JQ285" s="273"/>
      <c r="JR285" s="273"/>
      <c r="JS285" s="273"/>
      <c r="JT285" s="273"/>
      <c r="JU285" s="273"/>
      <c r="JV285" s="273"/>
      <c r="JW285" s="273"/>
      <c r="JX285" s="273"/>
      <c r="JY285" s="273"/>
      <c r="JZ285" s="273"/>
      <c r="KA285" s="273"/>
      <c r="KB285" s="273"/>
      <c r="KC285" s="273"/>
      <c r="KD285" s="274"/>
      <c r="KE285" s="272"/>
      <c r="KF285" s="273"/>
      <c r="KG285" s="273"/>
      <c r="KH285" s="273"/>
      <c r="KI285" s="273"/>
      <c r="KJ285" s="273"/>
      <c r="KK285" s="273"/>
      <c r="KL285" s="273"/>
      <c r="KM285" s="273"/>
      <c r="KN285" s="273"/>
      <c r="KO285" s="273"/>
      <c r="KP285" s="273"/>
      <c r="KQ285" s="273"/>
      <c r="KR285" s="273"/>
      <c r="KS285" s="273"/>
      <c r="KT285" s="273"/>
      <c r="KU285" s="273"/>
      <c r="KV285" s="273"/>
      <c r="KW285" s="273"/>
      <c r="KX285" s="273"/>
      <c r="KY285" s="273"/>
      <c r="KZ285" s="273"/>
      <c r="LA285" s="273"/>
      <c r="LB285" s="273"/>
      <c r="LC285" s="273"/>
      <c r="LD285" s="273"/>
      <c r="LE285" s="273"/>
      <c r="LF285" s="274"/>
      <c r="LG285" s="272"/>
      <c r="LH285" s="273"/>
      <c r="LI285" s="273"/>
      <c r="LJ285" s="273"/>
      <c r="LK285" s="273"/>
      <c r="LL285" s="273"/>
      <c r="LM285" s="273"/>
      <c r="LN285" s="273"/>
      <c r="LO285" s="273"/>
      <c r="LP285" s="273"/>
      <c r="LQ285" s="273"/>
      <c r="LR285" s="273"/>
      <c r="LS285" s="273"/>
      <c r="LT285" s="273"/>
      <c r="LU285" s="273"/>
      <c r="LV285" s="273"/>
      <c r="LW285" s="273"/>
      <c r="LX285" s="273"/>
      <c r="LY285" s="273"/>
      <c r="LZ285" s="273"/>
      <c r="MA285" s="273"/>
      <c r="MB285" s="273"/>
      <c r="MC285" s="273"/>
      <c r="MD285" s="273"/>
      <c r="ME285" s="273"/>
      <c r="MF285" s="273"/>
      <c r="MG285" s="273"/>
      <c r="MH285" s="274"/>
      <c r="ML285" s="12"/>
      <c r="MM285" s="7"/>
    </row>
    <row r="286" spans="3:351" ht="5.0999999999999996" customHeight="1" x14ac:dyDescent="0.3">
      <c r="C286" s="11"/>
      <c r="D286" s="13"/>
      <c r="E286" s="2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  <c r="AF286" s="271"/>
      <c r="AG286" s="270"/>
      <c r="AH286" s="170"/>
      <c r="AI286" s="170"/>
      <c r="AJ286" s="170"/>
      <c r="AK286" s="170"/>
      <c r="AL286" s="170"/>
      <c r="AM286" s="170"/>
      <c r="AN286" s="170"/>
      <c r="AO286" s="170"/>
      <c r="AP286" s="170"/>
      <c r="AQ286" s="170"/>
      <c r="AR286" s="170"/>
      <c r="AS286" s="170"/>
      <c r="AT286" s="170"/>
      <c r="AU286" s="170"/>
      <c r="AV286" s="170"/>
      <c r="AW286" s="170"/>
      <c r="AX286" s="170"/>
      <c r="AY286" s="170"/>
      <c r="AZ286" s="170"/>
      <c r="BA286" s="170"/>
      <c r="BB286" s="170"/>
      <c r="BC286" s="170"/>
      <c r="BD286" s="170"/>
      <c r="BE286" s="170"/>
      <c r="BF286" s="170"/>
      <c r="BG286" s="170"/>
      <c r="BH286" s="271"/>
      <c r="BI286" s="270"/>
      <c r="BJ286" s="170"/>
      <c r="BK286" s="170"/>
      <c r="BL286" s="170"/>
      <c r="BM286" s="170"/>
      <c r="BN286" s="170"/>
      <c r="BO286" s="170"/>
      <c r="BP286" s="170"/>
      <c r="BQ286" s="170"/>
      <c r="BR286" s="170"/>
      <c r="BS286" s="170"/>
      <c r="BT286" s="170"/>
      <c r="BU286" s="170"/>
      <c r="BV286" s="170"/>
      <c r="BW286" s="170"/>
      <c r="BX286" s="170"/>
      <c r="BY286" s="170"/>
      <c r="BZ286" s="170"/>
      <c r="CA286" s="170"/>
      <c r="CB286" s="170"/>
      <c r="CC286" s="170"/>
      <c r="CD286" s="170"/>
      <c r="CE286" s="170"/>
      <c r="CF286" s="170"/>
      <c r="CG286" s="170"/>
      <c r="CH286" s="170"/>
      <c r="CI286" s="170"/>
      <c r="CJ286" s="271"/>
      <c r="ML286" s="12"/>
      <c r="MM286" s="7"/>
    </row>
    <row r="287" spans="3:351" ht="5.0999999999999996" customHeight="1" x14ac:dyDescent="0.3">
      <c r="C287" s="11"/>
      <c r="D287" s="13"/>
      <c r="E287" s="2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  <c r="AF287" s="271"/>
      <c r="AG287" s="270"/>
      <c r="AH287" s="170"/>
      <c r="AI287" s="170"/>
      <c r="AJ287" s="170"/>
      <c r="AK287" s="170"/>
      <c r="AL287" s="170"/>
      <c r="AM287" s="170"/>
      <c r="AN287" s="170"/>
      <c r="AO287" s="170"/>
      <c r="AP287" s="170"/>
      <c r="AQ287" s="170"/>
      <c r="AR287" s="170"/>
      <c r="AS287" s="170"/>
      <c r="AT287" s="170"/>
      <c r="AU287" s="170"/>
      <c r="AV287" s="170"/>
      <c r="AW287" s="170"/>
      <c r="AX287" s="170"/>
      <c r="AY287" s="170"/>
      <c r="AZ287" s="170"/>
      <c r="BA287" s="170"/>
      <c r="BB287" s="170"/>
      <c r="BC287" s="170"/>
      <c r="BD287" s="170"/>
      <c r="BE287" s="170"/>
      <c r="BF287" s="170"/>
      <c r="BG287" s="170"/>
      <c r="BH287" s="271"/>
      <c r="BI287" s="270"/>
      <c r="BJ287" s="170"/>
      <c r="BK287" s="170"/>
      <c r="BL287" s="170"/>
      <c r="BM287" s="170"/>
      <c r="BN287" s="170"/>
      <c r="BO287" s="170"/>
      <c r="BP287" s="170"/>
      <c r="BQ287" s="170"/>
      <c r="BR287" s="170"/>
      <c r="BS287" s="170"/>
      <c r="BT287" s="170"/>
      <c r="BU287" s="170"/>
      <c r="BV287" s="170"/>
      <c r="BW287" s="170"/>
      <c r="BX287" s="170"/>
      <c r="BY287" s="170"/>
      <c r="BZ287" s="170"/>
      <c r="CA287" s="170"/>
      <c r="CB287" s="170"/>
      <c r="CC287" s="170"/>
      <c r="CD287" s="170"/>
      <c r="CE287" s="170"/>
      <c r="CF287" s="170"/>
      <c r="CG287" s="170"/>
      <c r="CH287" s="170"/>
      <c r="CI287" s="170"/>
      <c r="CJ287" s="271"/>
      <c r="ML287" s="12"/>
      <c r="MM287" s="7"/>
    </row>
    <row r="288" spans="3:351" ht="5.0999999999999996" customHeight="1" thickBot="1" x14ac:dyDescent="0.35">
      <c r="C288" s="11"/>
      <c r="D288" s="13"/>
      <c r="E288" s="272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4"/>
      <c r="AG288" s="272"/>
      <c r="AH288" s="273"/>
      <c r="AI288" s="273"/>
      <c r="AJ288" s="273"/>
      <c r="AK288" s="273"/>
      <c r="AL288" s="273"/>
      <c r="AM288" s="273"/>
      <c r="AN288" s="273"/>
      <c r="AO288" s="273"/>
      <c r="AP288" s="273"/>
      <c r="AQ288" s="273"/>
      <c r="AR288" s="273"/>
      <c r="AS288" s="273"/>
      <c r="AT288" s="273"/>
      <c r="AU288" s="273"/>
      <c r="AV288" s="273"/>
      <c r="AW288" s="273"/>
      <c r="AX288" s="273"/>
      <c r="AY288" s="273"/>
      <c r="AZ288" s="273"/>
      <c r="BA288" s="273"/>
      <c r="BB288" s="273"/>
      <c r="BC288" s="273"/>
      <c r="BD288" s="273"/>
      <c r="BE288" s="273"/>
      <c r="BF288" s="273"/>
      <c r="BG288" s="273"/>
      <c r="BH288" s="274"/>
      <c r="BI288" s="272"/>
      <c r="BJ288" s="273"/>
      <c r="BK288" s="273"/>
      <c r="BL288" s="273"/>
      <c r="BM288" s="273"/>
      <c r="BN288" s="273"/>
      <c r="BO288" s="273"/>
      <c r="BP288" s="273"/>
      <c r="BQ288" s="273"/>
      <c r="BR288" s="273"/>
      <c r="BS288" s="273"/>
      <c r="BT288" s="273"/>
      <c r="BU288" s="273"/>
      <c r="BV288" s="273"/>
      <c r="BW288" s="273"/>
      <c r="BX288" s="273"/>
      <c r="BY288" s="273"/>
      <c r="BZ288" s="273"/>
      <c r="CA288" s="273"/>
      <c r="CB288" s="273"/>
      <c r="CC288" s="273"/>
      <c r="CD288" s="273"/>
      <c r="CE288" s="273"/>
      <c r="CF288" s="273"/>
      <c r="CG288" s="273"/>
      <c r="CH288" s="273"/>
      <c r="CI288" s="273"/>
      <c r="CJ288" s="274"/>
      <c r="ML288" s="12"/>
      <c r="MM288" s="7"/>
    </row>
    <row r="289" spans="3:375" ht="5.0999999999999996" customHeight="1" x14ac:dyDescent="0.3">
      <c r="C289" s="11"/>
      <c r="D289" s="13"/>
      <c r="ML289" s="12"/>
      <c r="MM289" s="7"/>
    </row>
    <row r="290" spans="3:375" ht="5.0999999999999996" customHeight="1" x14ac:dyDescent="0.3">
      <c r="C290" s="11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9"/>
      <c r="ML290" s="8"/>
      <c r="MM290" s="7"/>
    </row>
    <row r="291" spans="3:375" ht="3" customHeight="1" thickBot="1" x14ac:dyDescent="0.35"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4"/>
    </row>
    <row r="292" spans="3:375" ht="5.0999999999999996" customHeight="1" thickTop="1" x14ac:dyDescent="0.3"/>
    <row r="293" spans="3:375" ht="5.0999999999999996" customHeight="1" x14ac:dyDescent="0.3"/>
    <row r="294" spans="3:375" ht="5.0999999999999996" customHeight="1" x14ac:dyDescent="0.3"/>
    <row r="295" spans="3:375" ht="5.0999999999999996" customHeight="1" x14ac:dyDescent="0.3"/>
    <row r="296" spans="3:375" ht="5.0999999999999996" customHeight="1" x14ac:dyDescent="0.3">
      <c r="N296" s="3"/>
      <c r="O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V296" s="3"/>
      <c r="EW296" s="3"/>
      <c r="EX296" s="3"/>
      <c r="EY296" s="3"/>
      <c r="EZ296" s="3"/>
      <c r="FA296" s="3"/>
      <c r="FB296" s="3"/>
      <c r="FC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MN296" s="3"/>
      <c r="MO296" s="3"/>
      <c r="MP296" s="3"/>
      <c r="MQ296" s="3"/>
      <c r="NF296" s="3"/>
      <c r="NG296" s="3"/>
      <c r="NH296" s="3"/>
      <c r="NI296" s="3"/>
      <c r="NJ296" s="3"/>
    </row>
    <row r="297" spans="3:375" ht="5.0999999999999996" customHeight="1" x14ac:dyDescent="0.3">
      <c r="N297" s="3"/>
      <c r="O297" s="3"/>
      <c r="P297" s="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MN297" s="3"/>
      <c r="MO297" s="3"/>
      <c r="MP297" s="3"/>
      <c r="MQ297" s="3"/>
      <c r="MR297" s="2"/>
      <c r="NF297" s="3"/>
      <c r="NG297" s="3"/>
      <c r="NH297" s="3"/>
      <c r="NI297" s="3"/>
      <c r="NJ297" s="3"/>
      <c r="NK297" s="2"/>
    </row>
    <row r="298" spans="3:375" ht="5.0999999999999996" customHeight="1" x14ac:dyDescent="0.3"/>
    <row r="299" spans="3:375" ht="5.0999999999999996" customHeight="1" x14ac:dyDescent="0.3"/>
    <row r="300" spans="3:375" ht="5.0999999999999996" customHeight="1" x14ac:dyDescent="0.3"/>
    <row r="301" spans="3:375" ht="5.0999999999999996" customHeight="1" x14ac:dyDescent="0.3"/>
    <row r="302" spans="3:375" ht="5.0999999999999996" customHeight="1" x14ac:dyDescent="0.3"/>
    <row r="303" spans="3:375" ht="5.0999999999999996" customHeight="1" x14ac:dyDescent="0.3">
      <c r="N303" s="3"/>
      <c r="O303" s="3"/>
      <c r="P303" s="2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MN303" s="3"/>
      <c r="MO303" s="3"/>
      <c r="MP303" s="3"/>
      <c r="MQ303" s="3"/>
      <c r="MR303" s="2"/>
      <c r="NF303" s="3"/>
      <c r="NG303" s="3"/>
      <c r="NH303" s="3"/>
      <c r="NI303" s="3"/>
      <c r="NJ303" s="3"/>
      <c r="NK303" s="2"/>
    </row>
    <row r="304" spans="3:375" ht="5.0999999999999996" customHeight="1" x14ac:dyDescent="0.3">
      <c r="N304" s="3"/>
      <c r="O304" s="3"/>
      <c r="P304" s="2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MN304" s="3"/>
      <c r="MO304" s="3"/>
      <c r="MP304" s="3"/>
      <c r="MQ304" s="3"/>
      <c r="MR304" s="2"/>
      <c r="NF304" s="3"/>
      <c r="NG304" s="3"/>
      <c r="NH304" s="3"/>
      <c r="NI304" s="3"/>
      <c r="NJ304" s="3"/>
      <c r="NK304" s="2"/>
    </row>
    <row r="305" ht="5.0999999999999996" customHeight="1" x14ac:dyDescent="0.3"/>
    <row r="306" ht="5.0999999999999996" customHeight="1" x14ac:dyDescent="0.3"/>
    <row r="307" ht="5.0999999999999996" customHeight="1" x14ac:dyDescent="0.3"/>
    <row r="308" ht="5.0999999999999996" customHeight="1" x14ac:dyDescent="0.3"/>
    <row r="309" ht="5.0999999999999996" customHeight="1" x14ac:dyDescent="0.3"/>
    <row r="310" ht="5.0999999999999996" customHeight="1" x14ac:dyDescent="0.3"/>
    <row r="311" ht="5.0999999999999996" customHeight="1" x14ac:dyDescent="0.3"/>
  </sheetData>
  <mergeCells count="127">
    <mergeCell ref="LG281:MH285"/>
    <mergeCell ref="E284:AF288"/>
    <mergeCell ref="AG284:BH288"/>
    <mergeCell ref="BI284:CJ288"/>
    <mergeCell ref="LT129:LX138"/>
    <mergeCell ref="LT140:LX149"/>
    <mergeCell ref="KE150:LS159"/>
    <mergeCell ref="LT150:LX159"/>
    <mergeCell ref="KE160:LS169"/>
    <mergeCell ref="LT160:LX169"/>
    <mergeCell ref="JY270:LV276"/>
    <mergeCell ref="LW270:MH276"/>
    <mergeCell ref="E274:AF278"/>
    <mergeCell ref="AG274:BH278"/>
    <mergeCell ref="BI274:CJ278"/>
    <mergeCell ref="E279:AF283"/>
    <mergeCell ref="AG279:BH283"/>
    <mergeCell ref="BI279:CJ283"/>
    <mergeCell ref="JC281:KD285"/>
    <mergeCell ref="KE281:LF285"/>
    <mergeCell ref="JY249:LV255"/>
    <mergeCell ref="LW249:MH255"/>
    <mergeCell ref="JY256:LV262"/>
    <mergeCell ref="LW256:MH262"/>
    <mergeCell ref="JY263:LV269"/>
    <mergeCell ref="LW263:MH269"/>
    <mergeCell ref="Q231:BE240"/>
    <mergeCell ref="BF231:BJ240"/>
    <mergeCell ref="JY242:LV248"/>
    <mergeCell ref="LW242:MH248"/>
    <mergeCell ref="KE223:LS232"/>
    <mergeCell ref="LT223:LX232"/>
    <mergeCell ref="KE190:LS199"/>
    <mergeCell ref="LT190:LX199"/>
    <mergeCell ref="KE200:LS209"/>
    <mergeCell ref="LT200:LX209"/>
    <mergeCell ref="Q201:BE210"/>
    <mergeCell ref="BF201:BJ210"/>
    <mergeCell ref="Q211:BE220"/>
    <mergeCell ref="BF211:BJ220"/>
    <mergeCell ref="KE212:LS221"/>
    <mergeCell ref="Q221:BE230"/>
    <mergeCell ref="BF221:BJ230"/>
    <mergeCell ref="Q181:BE190"/>
    <mergeCell ref="BF181:BJ190"/>
    <mergeCell ref="FY181:HL190"/>
    <mergeCell ref="HM181:HQ190"/>
    <mergeCell ref="Q191:BE200"/>
    <mergeCell ref="BF191:BJ200"/>
    <mergeCell ref="LT212:LX221"/>
    <mergeCell ref="HX171:JK180"/>
    <mergeCell ref="JL171:JQ180"/>
    <mergeCell ref="CD173:DQ182"/>
    <mergeCell ref="DR173:DV182"/>
    <mergeCell ref="KE170:LS179"/>
    <mergeCell ref="LT170:LX179"/>
    <mergeCell ref="KE180:LS189"/>
    <mergeCell ref="LT180:LX189"/>
    <mergeCell ref="HX161:JK170"/>
    <mergeCell ref="JL161:JQ170"/>
    <mergeCell ref="Q171:BE180"/>
    <mergeCell ref="BF171:BJ180"/>
    <mergeCell ref="EB171:FO180"/>
    <mergeCell ref="FP171:FT180"/>
    <mergeCell ref="FY171:HL180"/>
    <mergeCell ref="HM171:HQ180"/>
    <mergeCell ref="Q161:BE170"/>
    <mergeCell ref="BF161:BJ170"/>
    <mergeCell ref="CD161:DQ170"/>
    <mergeCell ref="DR161:DV170"/>
    <mergeCell ref="EB161:FO170"/>
    <mergeCell ref="FP161:FT170"/>
    <mergeCell ref="FY161:HL170"/>
    <mergeCell ref="HM161:HQ170"/>
    <mergeCell ref="FY147:HL156"/>
    <mergeCell ref="HM147:HQ156"/>
    <mergeCell ref="HX149:JK158"/>
    <mergeCell ref="JL149:JQ158"/>
    <mergeCell ref="Q151:BE160"/>
    <mergeCell ref="BF151:BJ160"/>
    <mergeCell ref="HX139:JK148"/>
    <mergeCell ref="JL139:JQ148"/>
    <mergeCell ref="KE140:LS149"/>
    <mergeCell ref="Q141:BE150"/>
    <mergeCell ref="BF141:BJ150"/>
    <mergeCell ref="CD147:DQ156"/>
    <mergeCell ref="DR147:DV156"/>
    <mergeCell ref="EB147:FO156"/>
    <mergeCell ref="FP147:FT156"/>
    <mergeCell ref="KE117:LS126"/>
    <mergeCell ref="LT117:LX126"/>
    <mergeCell ref="HX127:JK136"/>
    <mergeCell ref="JL127:JQ136"/>
    <mergeCell ref="Q129:BE138"/>
    <mergeCell ref="BF129:BJ138"/>
    <mergeCell ref="EB129:FN138"/>
    <mergeCell ref="FO129:FS138"/>
    <mergeCell ref="KE129:LS138"/>
    <mergeCell ref="Q117:BE126"/>
    <mergeCell ref="BF117:BJ126"/>
    <mergeCell ref="EB117:FN126"/>
    <mergeCell ref="FO117:FS126"/>
    <mergeCell ref="HX117:JK126"/>
    <mergeCell ref="JL117:JQ126"/>
    <mergeCell ref="Q72:BE81"/>
    <mergeCell ref="BF72:BJ81"/>
    <mergeCell ref="FY92:HL101"/>
    <mergeCell ref="HM92:HQ101"/>
    <mergeCell ref="BS97:DG106"/>
    <mergeCell ref="DH97:DL106"/>
    <mergeCell ref="FY102:HL111"/>
    <mergeCell ref="HM102:HQ111"/>
    <mergeCell ref="GV48:IJ56"/>
    <mergeCell ref="IK48:IP56"/>
    <mergeCell ref="Q50:BE59"/>
    <mergeCell ref="BF50:BJ59"/>
    <mergeCell ref="Q61:BE70"/>
    <mergeCell ref="BF61:BJ70"/>
    <mergeCell ref="E5:MK8"/>
    <mergeCell ref="E9:MK11"/>
    <mergeCell ref="E12:MK15"/>
    <mergeCell ref="EE18:FS26"/>
    <mergeCell ref="FT18:FW26"/>
    <mergeCell ref="EE36:FS44"/>
    <mergeCell ref="FT36:FW44"/>
    <mergeCell ref="GV37:IJ46"/>
    <mergeCell ref="IK37:IP46"/>
  </mergeCells>
  <printOptions horizontalCentered="1" verticalCentered="1"/>
  <pageMargins left="0" right="0" top="0" bottom="0" header="0.31496062992125984" footer="0.31496062992125984"/>
  <pageSetup paperSize="8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EC03-832B-424F-B457-5156E700E058}">
  <sheetPr>
    <pageSetUpPr fitToPage="1"/>
  </sheetPr>
  <dimension ref="C2:RP328"/>
  <sheetViews>
    <sheetView showGridLines="0" tabSelected="1" topLeftCell="A45" zoomScale="54" zoomScaleNormal="70" zoomScaleSheetLayoutView="50" workbookViewId="0">
      <selection activeCell="FK221" sqref="FK221:HA224"/>
    </sheetView>
  </sheetViews>
  <sheetFormatPr defaultColWidth="0.88671875" defaultRowHeight="5.0999999999999996" customHeight="1" x14ac:dyDescent="0.3"/>
  <cols>
    <col min="1" max="16384" width="0.88671875" style="1"/>
  </cols>
  <sheetData>
    <row r="2" spans="3:484" ht="5.0999999999999996" customHeight="1" thickBot="1" x14ac:dyDescent="0.35"/>
    <row r="3" spans="3:484" s="35" customFormat="1" ht="5.0999999999999996" customHeight="1" thickTop="1" x14ac:dyDescent="0.3">
      <c r="C3" s="47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6"/>
      <c r="MM3" s="46"/>
      <c r="MN3" s="46"/>
      <c r="MO3" s="46"/>
      <c r="MP3" s="46"/>
      <c r="MQ3" s="46"/>
      <c r="MR3" s="46"/>
      <c r="MS3" s="46"/>
      <c r="MT3" s="46"/>
      <c r="MU3" s="46"/>
      <c r="MV3" s="46"/>
      <c r="MW3" s="46"/>
      <c r="MX3" s="46"/>
      <c r="MY3" s="46"/>
      <c r="MZ3" s="46"/>
      <c r="NA3" s="46"/>
      <c r="NB3" s="46"/>
      <c r="NC3" s="46"/>
      <c r="ND3" s="46"/>
      <c r="NE3" s="46"/>
      <c r="NF3" s="46"/>
      <c r="NG3" s="46"/>
      <c r="NH3" s="46"/>
      <c r="NI3" s="46"/>
      <c r="NJ3" s="46"/>
      <c r="NK3" s="46"/>
      <c r="NL3" s="46"/>
      <c r="NM3" s="46"/>
      <c r="NN3" s="46"/>
      <c r="NO3" s="46"/>
      <c r="NP3" s="46"/>
      <c r="NQ3" s="46"/>
      <c r="NR3" s="46"/>
      <c r="NS3" s="46"/>
      <c r="NT3" s="46"/>
      <c r="NU3" s="46"/>
      <c r="NV3" s="46"/>
      <c r="NW3" s="46"/>
      <c r="NX3" s="46"/>
      <c r="NY3" s="46"/>
      <c r="NZ3" s="46"/>
      <c r="OA3" s="46"/>
      <c r="OB3" s="46"/>
      <c r="OC3" s="46"/>
      <c r="OD3" s="46"/>
      <c r="OE3" s="46"/>
      <c r="OF3" s="46"/>
      <c r="OG3" s="46"/>
      <c r="OH3" s="46"/>
      <c r="OI3" s="46"/>
      <c r="OJ3" s="46"/>
      <c r="OK3" s="46"/>
      <c r="OL3" s="46"/>
      <c r="OM3" s="46"/>
      <c r="ON3" s="46"/>
      <c r="OO3" s="46"/>
      <c r="OP3" s="46"/>
      <c r="OQ3" s="46"/>
      <c r="OR3" s="46"/>
      <c r="OS3" s="46"/>
      <c r="OT3" s="46"/>
      <c r="OU3" s="46"/>
      <c r="OV3" s="46"/>
      <c r="OW3" s="46"/>
      <c r="OX3" s="46"/>
      <c r="OY3" s="46"/>
      <c r="OZ3" s="46"/>
      <c r="PA3" s="46"/>
      <c r="PB3" s="46"/>
      <c r="PC3" s="46"/>
      <c r="PD3" s="46"/>
      <c r="PE3" s="46"/>
      <c r="PF3" s="46"/>
      <c r="PG3" s="46"/>
      <c r="PH3" s="46"/>
      <c r="PI3" s="46"/>
      <c r="PJ3" s="46"/>
      <c r="PK3" s="46"/>
      <c r="PL3" s="46"/>
      <c r="PM3" s="46"/>
      <c r="PN3" s="46"/>
      <c r="PO3" s="46"/>
      <c r="PP3" s="46"/>
      <c r="PQ3" s="46"/>
      <c r="PR3" s="46"/>
      <c r="PS3" s="46"/>
      <c r="PT3" s="46"/>
      <c r="PU3" s="46"/>
      <c r="PV3" s="46"/>
      <c r="PW3" s="46"/>
      <c r="PX3" s="46"/>
      <c r="PY3" s="46"/>
      <c r="PZ3" s="46"/>
      <c r="QA3" s="46"/>
      <c r="QB3" s="46"/>
      <c r="QC3" s="46"/>
      <c r="QD3" s="46"/>
      <c r="QE3" s="46"/>
      <c r="QF3" s="46"/>
      <c r="QG3" s="46"/>
      <c r="QH3" s="46"/>
      <c r="QI3" s="46"/>
      <c r="QJ3" s="46"/>
      <c r="QK3" s="46"/>
      <c r="QL3" s="46"/>
      <c r="QM3" s="46"/>
      <c r="QN3" s="46"/>
      <c r="QO3" s="46"/>
      <c r="QP3" s="46"/>
      <c r="QQ3" s="46"/>
      <c r="QR3" s="45"/>
    </row>
    <row r="4" spans="3:484" s="35" customFormat="1" ht="5.0999999999999996" customHeight="1" thickBot="1" x14ac:dyDescent="0.35">
      <c r="C4" s="39"/>
      <c r="D4" s="4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3"/>
      <c r="NI4" s="43"/>
      <c r="NJ4" s="43"/>
      <c r="NK4" s="43"/>
      <c r="NL4" s="43"/>
      <c r="NM4" s="43"/>
      <c r="NN4" s="43"/>
      <c r="NO4" s="43"/>
      <c r="NP4" s="43"/>
      <c r="NQ4" s="43"/>
      <c r="NR4" s="43"/>
      <c r="NS4" s="43"/>
      <c r="NT4" s="43"/>
      <c r="NU4" s="43"/>
      <c r="NV4" s="43"/>
      <c r="NW4" s="43"/>
      <c r="NX4" s="43"/>
      <c r="NY4" s="43"/>
      <c r="NZ4" s="43"/>
      <c r="OA4" s="43"/>
      <c r="OB4" s="43"/>
      <c r="OC4" s="43"/>
      <c r="OD4" s="43"/>
      <c r="OE4" s="43"/>
      <c r="OF4" s="43"/>
      <c r="OG4" s="43"/>
      <c r="OH4" s="43"/>
      <c r="OI4" s="43"/>
      <c r="OJ4" s="43"/>
      <c r="OK4" s="43"/>
      <c r="OL4" s="43"/>
      <c r="OM4" s="43"/>
      <c r="ON4" s="43"/>
      <c r="OO4" s="43"/>
      <c r="OP4" s="43"/>
      <c r="OQ4" s="43"/>
      <c r="OR4" s="43"/>
      <c r="OS4" s="43"/>
      <c r="OT4" s="43"/>
      <c r="OU4" s="43"/>
      <c r="OV4" s="43"/>
      <c r="OW4" s="43"/>
      <c r="OX4" s="43"/>
      <c r="OY4" s="43"/>
      <c r="OZ4" s="43"/>
      <c r="PA4" s="43"/>
      <c r="PB4" s="43"/>
      <c r="PC4" s="43"/>
      <c r="PD4" s="43"/>
      <c r="PE4" s="43"/>
      <c r="PF4" s="43"/>
      <c r="PG4" s="43"/>
      <c r="PH4" s="43"/>
      <c r="PI4" s="43"/>
      <c r="PJ4" s="43"/>
      <c r="PK4" s="43"/>
      <c r="PL4" s="43"/>
      <c r="PM4" s="43"/>
      <c r="PN4" s="43"/>
      <c r="PO4" s="43"/>
      <c r="PP4" s="43"/>
      <c r="PQ4" s="43"/>
      <c r="PR4" s="43"/>
      <c r="PS4" s="43"/>
      <c r="PT4" s="43"/>
      <c r="PU4" s="43"/>
      <c r="PV4" s="43"/>
      <c r="PW4" s="43"/>
      <c r="PX4" s="43"/>
      <c r="PY4" s="43"/>
      <c r="PZ4" s="43"/>
      <c r="QA4" s="43"/>
      <c r="QB4" s="43"/>
      <c r="QC4" s="43"/>
      <c r="QD4" s="43"/>
      <c r="QE4" s="43"/>
      <c r="QF4" s="43"/>
      <c r="QG4" s="43"/>
      <c r="QH4" s="43"/>
      <c r="QI4" s="43"/>
      <c r="QJ4" s="43"/>
      <c r="QK4" s="43"/>
      <c r="QL4" s="43"/>
      <c r="QM4" s="43"/>
      <c r="QN4" s="43"/>
      <c r="QO4" s="43"/>
      <c r="QP4" s="43"/>
      <c r="QQ4" s="42"/>
      <c r="QR4" s="36"/>
    </row>
    <row r="5" spans="3:484" s="35" customFormat="1" ht="9.6" customHeight="1" x14ac:dyDescent="0.3">
      <c r="C5" s="39"/>
      <c r="D5" s="38"/>
      <c r="E5" s="243" t="s">
        <v>167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4"/>
      <c r="DM5" s="244"/>
      <c r="DN5" s="244"/>
      <c r="DO5" s="244"/>
      <c r="DP5" s="244"/>
      <c r="DQ5" s="244"/>
      <c r="DR5" s="244"/>
      <c r="DS5" s="244"/>
      <c r="DT5" s="244"/>
      <c r="DU5" s="244"/>
      <c r="DV5" s="244"/>
      <c r="DW5" s="244"/>
      <c r="DX5" s="244"/>
      <c r="DY5" s="244"/>
      <c r="DZ5" s="244"/>
      <c r="EA5" s="244"/>
      <c r="EB5" s="244"/>
      <c r="EC5" s="244"/>
      <c r="ED5" s="244"/>
      <c r="EE5" s="244"/>
      <c r="EF5" s="244"/>
      <c r="EG5" s="244"/>
      <c r="EH5" s="244"/>
      <c r="EI5" s="244"/>
      <c r="EJ5" s="244"/>
      <c r="EK5" s="244"/>
      <c r="EL5" s="244"/>
      <c r="EM5" s="244"/>
      <c r="EN5" s="244"/>
      <c r="EO5" s="244"/>
      <c r="EP5" s="244"/>
      <c r="EQ5" s="244"/>
      <c r="ER5" s="244"/>
      <c r="ES5" s="244"/>
      <c r="ET5" s="244"/>
      <c r="EU5" s="244"/>
      <c r="EV5" s="244"/>
      <c r="EW5" s="244"/>
      <c r="EX5" s="244"/>
      <c r="EY5" s="244"/>
      <c r="EZ5" s="244"/>
      <c r="FA5" s="244"/>
      <c r="FB5" s="244"/>
      <c r="FC5" s="244"/>
      <c r="FD5" s="244"/>
      <c r="FE5" s="244"/>
      <c r="FF5" s="244"/>
      <c r="FG5" s="244"/>
      <c r="FH5" s="244"/>
      <c r="FI5" s="244"/>
      <c r="FJ5" s="244"/>
      <c r="FK5" s="244"/>
      <c r="FL5" s="244"/>
      <c r="FM5" s="244"/>
      <c r="FN5" s="244"/>
      <c r="FO5" s="244"/>
      <c r="FP5" s="244"/>
      <c r="FQ5" s="244"/>
      <c r="FR5" s="244"/>
      <c r="FS5" s="244"/>
      <c r="FT5" s="244"/>
      <c r="FU5" s="244"/>
      <c r="FV5" s="244"/>
      <c r="FW5" s="244"/>
      <c r="FX5" s="244"/>
      <c r="FY5" s="244"/>
      <c r="FZ5" s="244"/>
      <c r="GA5" s="244"/>
      <c r="GB5" s="244"/>
      <c r="GC5" s="244"/>
      <c r="GD5" s="244"/>
      <c r="GE5" s="244"/>
      <c r="GF5" s="244"/>
      <c r="GG5" s="244"/>
      <c r="GH5" s="244"/>
      <c r="GI5" s="244"/>
      <c r="GJ5" s="244"/>
      <c r="GK5" s="244"/>
      <c r="GL5" s="244"/>
      <c r="GM5" s="244"/>
      <c r="GN5" s="244"/>
      <c r="GO5" s="244"/>
      <c r="GP5" s="244"/>
      <c r="GQ5" s="244"/>
      <c r="GR5" s="244"/>
      <c r="GS5" s="244"/>
      <c r="GT5" s="244"/>
      <c r="GU5" s="244"/>
      <c r="GV5" s="244"/>
      <c r="GW5" s="244"/>
      <c r="GX5" s="244"/>
      <c r="GY5" s="244"/>
      <c r="GZ5" s="244"/>
      <c r="HA5" s="244"/>
      <c r="HB5" s="244"/>
      <c r="HC5" s="244"/>
      <c r="HD5" s="244"/>
      <c r="HE5" s="244"/>
      <c r="HF5" s="244"/>
      <c r="HG5" s="244"/>
      <c r="HH5" s="244"/>
      <c r="HI5" s="244"/>
      <c r="HJ5" s="244"/>
      <c r="HK5" s="244"/>
      <c r="HL5" s="244"/>
      <c r="HM5" s="244"/>
      <c r="HN5" s="244"/>
      <c r="HO5" s="244"/>
      <c r="HP5" s="244"/>
      <c r="HQ5" s="244"/>
      <c r="HR5" s="244"/>
      <c r="HS5" s="244"/>
      <c r="HT5" s="244"/>
      <c r="HU5" s="244"/>
      <c r="HV5" s="244"/>
      <c r="HW5" s="244"/>
      <c r="HX5" s="244"/>
      <c r="HY5" s="244"/>
      <c r="HZ5" s="244"/>
      <c r="IA5" s="244"/>
      <c r="IB5" s="244"/>
      <c r="IC5" s="244"/>
      <c r="ID5" s="244"/>
      <c r="IE5" s="244"/>
      <c r="IF5" s="244"/>
      <c r="IG5" s="244"/>
      <c r="IH5" s="244"/>
      <c r="II5" s="244"/>
      <c r="IJ5" s="244"/>
      <c r="IK5" s="244"/>
      <c r="IL5" s="244"/>
      <c r="IM5" s="244"/>
      <c r="IN5" s="244"/>
      <c r="IO5" s="244"/>
      <c r="IP5" s="244"/>
      <c r="IQ5" s="244"/>
      <c r="IR5" s="244"/>
      <c r="IS5" s="244"/>
      <c r="IT5" s="244"/>
      <c r="IU5" s="244"/>
      <c r="IV5" s="244"/>
      <c r="IW5" s="244"/>
      <c r="IX5" s="244"/>
      <c r="IY5" s="244"/>
      <c r="IZ5" s="244"/>
      <c r="JA5" s="244"/>
      <c r="JB5" s="244"/>
      <c r="JC5" s="244"/>
      <c r="JD5" s="244"/>
      <c r="JE5" s="244"/>
      <c r="JF5" s="244"/>
      <c r="JG5" s="244"/>
      <c r="JH5" s="244"/>
      <c r="JI5" s="244"/>
      <c r="JJ5" s="244"/>
      <c r="JK5" s="244"/>
      <c r="JL5" s="244"/>
      <c r="JM5" s="244"/>
      <c r="JN5" s="244"/>
      <c r="JO5" s="244"/>
      <c r="JP5" s="244"/>
      <c r="JQ5" s="244"/>
      <c r="JR5" s="244"/>
      <c r="JS5" s="244"/>
      <c r="JT5" s="244"/>
      <c r="JU5" s="244"/>
      <c r="JV5" s="244"/>
      <c r="JW5" s="244"/>
      <c r="JX5" s="244"/>
      <c r="JY5" s="244"/>
      <c r="JZ5" s="244"/>
      <c r="KA5" s="244"/>
      <c r="KB5" s="244"/>
      <c r="KC5" s="244"/>
      <c r="KD5" s="244"/>
      <c r="KE5" s="244"/>
      <c r="KF5" s="244"/>
      <c r="KG5" s="244"/>
      <c r="KH5" s="244"/>
      <c r="KI5" s="244"/>
      <c r="KJ5" s="244"/>
      <c r="KK5" s="244"/>
      <c r="KL5" s="244"/>
      <c r="KM5" s="244"/>
      <c r="KN5" s="244"/>
      <c r="KO5" s="244"/>
      <c r="KP5" s="244"/>
      <c r="KQ5" s="244"/>
      <c r="KR5" s="244"/>
      <c r="KS5" s="244"/>
      <c r="KT5" s="244"/>
      <c r="KU5" s="244"/>
      <c r="KV5" s="244"/>
      <c r="KW5" s="244"/>
      <c r="KX5" s="244"/>
      <c r="KY5" s="244"/>
      <c r="KZ5" s="244"/>
      <c r="LA5" s="244"/>
      <c r="LB5" s="244"/>
      <c r="LC5" s="244"/>
      <c r="LD5" s="244"/>
      <c r="LE5" s="244"/>
      <c r="LF5" s="244"/>
      <c r="LG5" s="244"/>
      <c r="LH5" s="244"/>
      <c r="LI5" s="244"/>
      <c r="LJ5" s="244"/>
      <c r="LK5" s="244"/>
      <c r="LL5" s="244"/>
      <c r="LM5" s="244"/>
      <c r="LN5" s="244"/>
      <c r="LO5" s="244"/>
      <c r="LP5" s="244"/>
      <c r="LQ5" s="244"/>
      <c r="LR5" s="244"/>
      <c r="LS5" s="244"/>
      <c r="LT5" s="244"/>
      <c r="LU5" s="244"/>
      <c r="LV5" s="244"/>
      <c r="LW5" s="244"/>
      <c r="LX5" s="244"/>
      <c r="LY5" s="244"/>
      <c r="LZ5" s="244"/>
      <c r="MA5" s="244"/>
      <c r="MB5" s="244"/>
      <c r="MC5" s="244"/>
      <c r="MD5" s="244"/>
      <c r="ME5" s="244"/>
      <c r="MF5" s="244"/>
      <c r="MG5" s="244"/>
      <c r="MH5" s="244"/>
      <c r="MI5" s="244"/>
      <c r="MJ5" s="244"/>
      <c r="MK5" s="244"/>
      <c r="ML5" s="244"/>
      <c r="MM5" s="244"/>
      <c r="MN5" s="244"/>
      <c r="MO5" s="244"/>
      <c r="MP5" s="244"/>
      <c r="MQ5" s="244"/>
      <c r="MR5" s="244"/>
      <c r="MS5" s="244"/>
      <c r="MT5" s="244"/>
      <c r="MU5" s="244"/>
      <c r="MV5" s="244"/>
      <c r="MW5" s="244"/>
      <c r="MX5" s="244"/>
      <c r="MY5" s="244"/>
      <c r="MZ5" s="244"/>
      <c r="NA5" s="244"/>
      <c r="NB5" s="244"/>
      <c r="NC5" s="244"/>
      <c r="ND5" s="244"/>
      <c r="NE5" s="244"/>
      <c r="NF5" s="244"/>
      <c r="NG5" s="244"/>
      <c r="NH5" s="244"/>
      <c r="NI5" s="244"/>
      <c r="NJ5" s="244"/>
      <c r="NK5" s="244"/>
      <c r="NL5" s="244"/>
      <c r="NM5" s="244"/>
      <c r="NN5" s="244"/>
      <c r="NO5" s="244"/>
      <c r="NP5" s="244"/>
      <c r="NQ5" s="244"/>
      <c r="NR5" s="244"/>
      <c r="NS5" s="244"/>
      <c r="NT5" s="244"/>
      <c r="NU5" s="244"/>
      <c r="NV5" s="244"/>
      <c r="NW5" s="244"/>
      <c r="NX5" s="244"/>
      <c r="NY5" s="244"/>
      <c r="NZ5" s="244"/>
      <c r="OA5" s="244"/>
      <c r="OB5" s="244"/>
      <c r="OC5" s="244"/>
      <c r="OD5" s="244"/>
      <c r="OE5" s="244"/>
      <c r="OF5" s="244"/>
      <c r="OG5" s="244"/>
      <c r="OH5" s="244"/>
      <c r="OI5" s="244"/>
      <c r="OJ5" s="244"/>
      <c r="OK5" s="244"/>
      <c r="OL5" s="244"/>
      <c r="OM5" s="244"/>
      <c r="ON5" s="244"/>
      <c r="OO5" s="244"/>
      <c r="OP5" s="244"/>
      <c r="OQ5" s="244"/>
      <c r="OR5" s="244"/>
      <c r="OS5" s="244"/>
      <c r="OT5" s="244"/>
      <c r="OU5" s="244"/>
      <c r="OV5" s="244"/>
      <c r="OW5" s="244"/>
      <c r="OX5" s="244"/>
      <c r="OY5" s="244"/>
      <c r="OZ5" s="244"/>
      <c r="PA5" s="244"/>
      <c r="PB5" s="244"/>
      <c r="PC5" s="244"/>
      <c r="PD5" s="244"/>
      <c r="PE5" s="244"/>
      <c r="PF5" s="244"/>
      <c r="PG5" s="244"/>
      <c r="PH5" s="244"/>
      <c r="PI5" s="244"/>
      <c r="PJ5" s="244"/>
      <c r="PK5" s="244"/>
      <c r="PL5" s="244"/>
      <c r="PM5" s="244"/>
      <c r="PN5" s="244"/>
      <c r="PO5" s="244"/>
      <c r="PP5" s="244"/>
      <c r="PQ5" s="244"/>
      <c r="PR5" s="244"/>
      <c r="PS5" s="244"/>
      <c r="PT5" s="244"/>
      <c r="PU5" s="244"/>
      <c r="PV5" s="244"/>
      <c r="PW5" s="244"/>
      <c r="PX5" s="244"/>
      <c r="PY5" s="244"/>
      <c r="PZ5" s="244"/>
      <c r="QA5" s="244"/>
      <c r="QB5" s="244"/>
      <c r="QC5" s="244"/>
      <c r="QD5" s="244"/>
      <c r="QE5" s="244"/>
      <c r="QF5" s="244"/>
      <c r="QG5" s="244"/>
      <c r="QH5" s="244"/>
      <c r="QI5" s="244"/>
      <c r="QJ5" s="244"/>
      <c r="QK5" s="244"/>
      <c r="QL5" s="244"/>
      <c r="QM5" s="244"/>
      <c r="QN5" s="244"/>
      <c r="QO5" s="244"/>
      <c r="QP5" s="245"/>
      <c r="QQ5" s="37"/>
      <c r="QR5" s="36"/>
    </row>
    <row r="6" spans="3:484" s="35" customFormat="1" ht="9.6" customHeight="1" x14ac:dyDescent="0.3">
      <c r="C6" s="39"/>
      <c r="D6" s="38"/>
      <c r="E6" s="246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7"/>
      <c r="LQ6" s="247"/>
      <c r="LR6" s="247"/>
      <c r="LS6" s="247"/>
      <c r="LT6" s="247"/>
      <c r="LU6" s="247"/>
      <c r="LV6" s="247"/>
      <c r="LW6" s="247"/>
      <c r="LX6" s="247"/>
      <c r="LY6" s="247"/>
      <c r="LZ6" s="247"/>
      <c r="MA6" s="247"/>
      <c r="MB6" s="247"/>
      <c r="MC6" s="247"/>
      <c r="MD6" s="247"/>
      <c r="ME6" s="247"/>
      <c r="MF6" s="247"/>
      <c r="MG6" s="247"/>
      <c r="MH6" s="247"/>
      <c r="MI6" s="247"/>
      <c r="MJ6" s="247"/>
      <c r="MK6" s="247"/>
      <c r="ML6" s="247"/>
      <c r="MM6" s="247"/>
      <c r="MN6" s="247"/>
      <c r="MO6" s="247"/>
      <c r="MP6" s="247"/>
      <c r="MQ6" s="247"/>
      <c r="MR6" s="247"/>
      <c r="MS6" s="247"/>
      <c r="MT6" s="247"/>
      <c r="MU6" s="247"/>
      <c r="MV6" s="247"/>
      <c r="MW6" s="247"/>
      <c r="MX6" s="247"/>
      <c r="MY6" s="247"/>
      <c r="MZ6" s="247"/>
      <c r="NA6" s="247"/>
      <c r="NB6" s="247"/>
      <c r="NC6" s="247"/>
      <c r="ND6" s="247"/>
      <c r="NE6" s="247"/>
      <c r="NF6" s="247"/>
      <c r="NG6" s="247"/>
      <c r="NH6" s="247"/>
      <c r="NI6" s="247"/>
      <c r="NJ6" s="247"/>
      <c r="NK6" s="247"/>
      <c r="NL6" s="247"/>
      <c r="NM6" s="247"/>
      <c r="NN6" s="247"/>
      <c r="NO6" s="247"/>
      <c r="NP6" s="247"/>
      <c r="NQ6" s="247"/>
      <c r="NR6" s="247"/>
      <c r="NS6" s="247"/>
      <c r="NT6" s="247"/>
      <c r="NU6" s="247"/>
      <c r="NV6" s="247"/>
      <c r="NW6" s="247"/>
      <c r="NX6" s="247"/>
      <c r="NY6" s="247"/>
      <c r="NZ6" s="247"/>
      <c r="OA6" s="247"/>
      <c r="OB6" s="247"/>
      <c r="OC6" s="247"/>
      <c r="OD6" s="247"/>
      <c r="OE6" s="247"/>
      <c r="OF6" s="247"/>
      <c r="OG6" s="247"/>
      <c r="OH6" s="247"/>
      <c r="OI6" s="247"/>
      <c r="OJ6" s="247"/>
      <c r="OK6" s="247"/>
      <c r="OL6" s="247"/>
      <c r="OM6" s="247"/>
      <c r="ON6" s="247"/>
      <c r="OO6" s="247"/>
      <c r="OP6" s="247"/>
      <c r="OQ6" s="247"/>
      <c r="OR6" s="247"/>
      <c r="OS6" s="247"/>
      <c r="OT6" s="247"/>
      <c r="OU6" s="247"/>
      <c r="OV6" s="247"/>
      <c r="OW6" s="247"/>
      <c r="OX6" s="247"/>
      <c r="OY6" s="247"/>
      <c r="OZ6" s="247"/>
      <c r="PA6" s="247"/>
      <c r="PB6" s="247"/>
      <c r="PC6" s="247"/>
      <c r="PD6" s="247"/>
      <c r="PE6" s="247"/>
      <c r="PF6" s="247"/>
      <c r="PG6" s="247"/>
      <c r="PH6" s="247"/>
      <c r="PI6" s="247"/>
      <c r="PJ6" s="247"/>
      <c r="PK6" s="247"/>
      <c r="PL6" s="247"/>
      <c r="PM6" s="247"/>
      <c r="PN6" s="247"/>
      <c r="PO6" s="247"/>
      <c r="PP6" s="247"/>
      <c r="PQ6" s="247"/>
      <c r="PR6" s="247"/>
      <c r="PS6" s="247"/>
      <c r="PT6" s="247"/>
      <c r="PU6" s="247"/>
      <c r="PV6" s="247"/>
      <c r="PW6" s="247"/>
      <c r="PX6" s="247"/>
      <c r="PY6" s="247"/>
      <c r="PZ6" s="247"/>
      <c r="QA6" s="247"/>
      <c r="QB6" s="247"/>
      <c r="QC6" s="247"/>
      <c r="QD6" s="247"/>
      <c r="QE6" s="247"/>
      <c r="QF6" s="247"/>
      <c r="QG6" s="247"/>
      <c r="QH6" s="247"/>
      <c r="QI6" s="247"/>
      <c r="QJ6" s="247"/>
      <c r="QK6" s="247"/>
      <c r="QL6" s="247"/>
      <c r="QM6" s="247"/>
      <c r="QN6" s="247"/>
      <c r="QO6" s="247"/>
      <c r="QP6" s="248"/>
      <c r="QQ6" s="37"/>
      <c r="QR6" s="36"/>
    </row>
    <row r="7" spans="3:484" s="35" customFormat="1" ht="9.6" customHeight="1" x14ac:dyDescent="0.3">
      <c r="C7" s="39"/>
      <c r="D7" s="38"/>
      <c r="E7" s="246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7"/>
      <c r="LQ7" s="247"/>
      <c r="LR7" s="247"/>
      <c r="LS7" s="247"/>
      <c r="LT7" s="247"/>
      <c r="LU7" s="247"/>
      <c r="LV7" s="247"/>
      <c r="LW7" s="247"/>
      <c r="LX7" s="247"/>
      <c r="LY7" s="247"/>
      <c r="LZ7" s="247"/>
      <c r="MA7" s="247"/>
      <c r="MB7" s="247"/>
      <c r="MC7" s="247"/>
      <c r="MD7" s="247"/>
      <c r="ME7" s="247"/>
      <c r="MF7" s="247"/>
      <c r="MG7" s="247"/>
      <c r="MH7" s="247"/>
      <c r="MI7" s="247"/>
      <c r="MJ7" s="247"/>
      <c r="MK7" s="247"/>
      <c r="ML7" s="247"/>
      <c r="MM7" s="247"/>
      <c r="MN7" s="247"/>
      <c r="MO7" s="247"/>
      <c r="MP7" s="247"/>
      <c r="MQ7" s="247"/>
      <c r="MR7" s="247"/>
      <c r="MS7" s="247"/>
      <c r="MT7" s="247"/>
      <c r="MU7" s="247"/>
      <c r="MV7" s="247"/>
      <c r="MW7" s="247"/>
      <c r="MX7" s="247"/>
      <c r="MY7" s="247"/>
      <c r="MZ7" s="247"/>
      <c r="NA7" s="247"/>
      <c r="NB7" s="247"/>
      <c r="NC7" s="247"/>
      <c r="ND7" s="247"/>
      <c r="NE7" s="247"/>
      <c r="NF7" s="247"/>
      <c r="NG7" s="247"/>
      <c r="NH7" s="247"/>
      <c r="NI7" s="247"/>
      <c r="NJ7" s="247"/>
      <c r="NK7" s="247"/>
      <c r="NL7" s="247"/>
      <c r="NM7" s="247"/>
      <c r="NN7" s="247"/>
      <c r="NO7" s="247"/>
      <c r="NP7" s="247"/>
      <c r="NQ7" s="247"/>
      <c r="NR7" s="247"/>
      <c r="NS7" s="247"/>
      <c r="NT7" s="247"/>
      <c r="NU7" s="247"/>
      <c r="NV7" s="247"/>
      <c r="NW7" s="247"/>
      <c r="NX7" s="247"/>
      <c r="NY7" s="247"/>
      <c r="NZ7" s="247"/>
      <c r="OA7" s="247"/>
      <c r="OB7" s="247"/>
      <c r="OC7" s="247"/>
      <c r="OD7" s="247"/>
      <c r="OE7" s="247"/>
      <c r="OF7" s="247"/>
      <c r="OG7" s="247"/>
      <c r="OH7" s="247"/>
      <c r="OI7" s="247"/>
      <c r="OJ7" s="247"/>
      <c r="OK7" s="247"/>
      <c r="OL7" s="247"/>
      <c r="OM7" s="247"/>
      <c r="ON7" s="247"/>
      <c r="OO7" s="247"/>
      <c r="OP7" s="247"/>
      <c r="OQ7" s="247"/>
      <c r="OR7" s="247"/>
      <c r="OS7" s="247"/>
      <c r="OT7" s="247"/>
      <c r="OU7" s="247"/>
      <c r="OV7" s="247"/>
      <c r="OW7" s="247"/>
      <c r="OX7" s="247"/>
      <c r="OY7" s="247"/>
      <c r="OZ7" s="247"/>
      <c r="PA7" s="247"/>
      <c r="PB7" s="247"/>
      <c r="PC7" s="247"/>
      <c r="PD7" s="247"/>
      <c r="PE7" s="247"/>
      <c r="PF7" s="247"/>
      <c r="PG7" s="247"/>
      <c r="PH7" s="247"/>
      <c r="PI7" s="247"/>
      <c r="PJ7" s="247"/>
      <c r="PK7" s="247"/>
      <c r="PL7" s="247"/>
      <c r="PM7" s="247"/>
      <c r="PN7" s="247"/>
      <c r="PO7" s="247"/>
      <c r="PP7" s="247"/>
      <c r="PQ7" s="247"/>
      <c r="PR7" s="247"/>
      <c r="PS7" s="247"/>
      <c r="PT7" s="247"/>
      <c r="PU7" s="247"/>
      <c r="PV7" s="247"/>
      <c r="PW7" s="247"/>
      <c r="PX7" s="247"/>
      <c r="PY7" s="247"/>
      <c r="PZ7" s="247"/>
      <c r="QA7" s="247"/>
      <c r="QB7" s="247"/>
      <c r="QC7" s="247"/>
      <c r="QD7" s="247"/>
      <c r="QE7" s="247"/>
      <c r="QF7" s="247"/>
      <c r="QG7" s="247"/>
      <c r="QH7" s="247"/>
      <c r="QI7" s="247"/>
      <c r="QJ7" s="247"/>
      <c r="QK7" s="247"/>
      <c r="QL7" s="247"/>
      <c r="QM7" s="247"/>
      <c r="QN7" s="247"/>
      <c r="QO7" s="247"/>
      <c r="QP7" s="248"/>
      <c r="QQ7" s="37"/>
      <c r="QR7" s="36"/>
    </row>
    <row r="8" spans="3:484" s="35" customFormat="1" ht="9.6" customHeight="1" x14ac:dyDescent="0.3">
      <c r="C8" s="39"/>
      <c r="D8" s="38"/>
      <c r="E8" s="24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7"/>
      <c r="LW8" s="247"/>
      <c r="LX8" s="247"/>
      <c r="LY8" s="247"/>
      <c r="LZ8" s="247"/>
      <c r="MA8" s="247"/>
      <c r="MB8" s="247"/>
      <c r="MC8" s="247"/>
      <c r="MD8" s="247"/>
      <c r="ME8" s="247"/>
      <c r="MF8" s="247"/>
      <c r="MG8" s="247"/>
      <c r="MH8" s="247"/>
      <c r="MI8" s="247"/>
      <c r="MJ8" s="247"/>
      <c r="MK8" s="247"/>
      <c r="ML8" s="247"/>
      <c r="MM8" s="247"/>
      <c r="MN8" s="247"/>
      <c r="MO8" s="247"/>
      <c r="MP8" s="247"/>
      <c r="MQ8" s="247"/>
      <c r="MR8" s="247"/>
      <c r="MS8" s="247"/>
      <c r="MT8" s="247"/>
      <c r="MU8" s="247"/>
      <c r="MV8" s="247"/>
      <c r="MW8" s="247"/>
      <c r="MX8" s="247"/>
      <c r="MY8" s="247"/>
      <c r="MZ8" s="247"/>
      <c r="NA8" s="247"/>
      <c r="NB8" s="247"/>
      <c r="NC8" s="247"/>
      <c r="ND8" s="247"/>
      <c r="NE8" s="247"/>
      <c r="NF8" s="247"/>
      <c r="NG8" s="247"/>
      <c r="NH8" s="247"/>
      <c r="NI8" s="247"/>
      <c r="NJ8" s="247"/>
      <c r="NK8" s="247"/>
      <c r="NL8" s="247"/>
      <c r="NM8" s="247"/>
      <c r="NN8" s="247"/>
      <c r="NO8" s="247"/>
      <c r="NP8" s="247"/>
      <c r="NQ8" s="247"/>
      <c r="NR8" s="247"/>
      <c r="NS8" s="247"/>
      <c r="NT8" s="247"/>
      <c r="NU8" s="247"/>
      <c r="NV8" s="247"/>
      <c r="NW8" s="247"/>
      <c r="NX8" s="247"/>
      <c r="NY8" s="247"/>
      <c r="NZ8" s="247"/>
      <c r="OA8" s="247"/>
      <c r="OB8" s="247"/>
      <c r="OC8" s="247"/>
      <c r="OD8" s="247"/>
      <c r="OE8" s="247"/>
      <c r="OF8" s="247"/>
      <c r="OG8" s="247"/>
      <c r="OH8" s="247"/>
      <c r="OI8" s="247"/>
      <c r="OJ8" s="247"/>
      <c r="OK8" s="247"/>
      <c r="OL8" s="247"/>
      <c r="OM8" s="247"/>
      <c r="ON8" s="247"/>
      <c r="OO8" s="247"/>
      <c r="OP8" s="247"/>
      <c r="OQ8" s="247"/>
      <c r="OR8" s="247"/>
      <c r="OS8" s="247"/>
      <c r="OT8" s="247"/>
      <c r="OU8" s="247"/>
      <c r="OV8" s="247"/>
      <c r="OW8" s="247"/>
      <c r="OX8" s="247"/>
      <c r="OY8" s="247"/>
      <c r="OZ8" s="247"/>
      <c r="PA8" s="247"/>
      <c r="PB8" s="247"/>
      <c r="PC8" s="247"/>
      <c r="PD8" s="247"/>
      <c r="PE8" s="247"/>
      <c r="PF8" s="247"/>
      <c r="PG8" s="247"/>
      <c r="PH8" s="247"/>
      <c r="PI8" s="247"/>
      <c r="PJ8" s="247"/>
      <c r="PK8" s="247"/>
      <c r="PL8" s="247"/>
      <c r="PM8" s="247"/>
      <c r="PN8" s="247"/>
      <c r="PO8" s="247"/>
      <c r="PP8" s="247"/>
      <c r="PQ8" s="247"/>
      <c r="PR8" s="247"/>
      <c r="PS8" s="247"/>
      <c r="PT8" s="247"/>
      <c r="PU8" s="247"/>
      <c r="PV8" s="247"/>
      <c r="PW8" s="247"/>
      <c r="PX8" s="247"/>
      <c r="PY8" s="247"/>
      <c r="PZ8" s="247"/>
      <c r="QA8" s="247"/>
      <c r="QB8" s="247"/>
      <c r="QC8" s="247"/>
      <c r="QD8" s="247"/>
      <c r="QE8" s="247"/>
      <c r="QF8" s="247"/>
      <c r="QG8" s="247"/>
      <c r="QH8" s="247"/>
      <c r="QI8" s="247"/>
      <c r="QJ8" s="247"/>
      <c r="QK8" s="247"/>
      <c r="QL8" s="247"/>
      <c r="QM8" s="247"/>
      <c r="QN8" s="247"/>
      <c r="QO8" s="247"/>
      <c r="QP8" s="248"/>
      <c r="QQ8" s="37"/>
      <c r="QR8" s="36"/>
      <c r="QS8" s="41"/>
      <c r="QT8" s="41"/>
      <c r="QU8" s="41"/>
      <c r="QV8" s="41"/>
      <c r="RK8" s="41"/>
      <c r="RL8" s="41"/>
      <c r="RM8" s="41"/>
      <c r="RN8" s="41"/>
      <c r="RO8" s="41"/>
    </row>
    <row r="9" spans="3:484" s="35" customFormat="1" ht="9.6" customHeight="1" x14ac:dyDescent="0.3">
      <c r="C9" s="39"/>
      <c r="D9" s="38"/>
      <c r="E9" s="246" t="s">
        <v>18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7"/>
      <c r="LW9" s="247"/>
      <c r="LX9" s="247"/>
      <c r="LY9" s="247"/>
      <c r="LZ9" s="247"/>
      <c r="MA9" s="247"/>
      <c r="MB9" s="247"/>
      <c r="MC9" s="247"/>
      <c r="MD9" s="247"/>
      <c r="ME9" s="247"/>
      <c r="MF9" s="247"/>
      <c r="MG9" s="247"/>
      <c r="MH9" s="247"/>
      <c r="MI9" s="247"/>
      <c r="MJ9" s="247"/>
      <c r="MK9" s="247"/>
      <c r="ML9" s="247"/>
      <c r="MM9" s="247"/>
      <c r="MN9" s="247"/>
      <c r="MO9" s="247"/>
      <c r="MP9" s="247"/>
      <c r="MQ9" s="247"/>
      <c r="MR9" s="247"/>
      <c r="MS9" s="247"/>
      <c r="MT9" s="247"/>
      <c r="MU9" s="247"/>
      <c r="MV9" s="247"/>
      <c r="MW9" s="247"/>
      <c r="MX9" s="247"/>
      <c r="MY9" s="247"/>
      <c r="MZ9" s="247"/>
      <c r="NA9" s="247"/>
      <c r="NB9" s="247"/>
      <c r="NC9" s="247"/>
      <c r="ND9" s="247"/>
      <c r="NE9" s="247"/>
      <c r="NF9" s="247"/>
      <c r="NG9" s="247"/>
      <c r="NH9" s="247"/>
      <c r="NI9" s="247"/>
      <c r="NJ9" s="247"/>
      <c r="NK9" s="247"/>
      <c r="NL9" s="247"/>
      <c r="NM9" s="247"/>
      <c r="NN9" s="247"/>
      <c r="NO9" s="247"/>
      <c r="NP9" s="247"/>
      <c r="NQ9" s="247"/>
      <c r="NR9" s="247"/>
      <c r="NS9" s="247"/>
      <c r="NT9" s="247"/>
      <c r="NU9" s="247"/>
      <c r="NV9" s="247"/>
      <c r="NW9" s="247"/>
      <c r="NX9" s="247"/>
      <c r="NY9" s="247"/>
      <c r="NZ9" s="247"/>
      <c r="OA9" s="247"/>
      <c r="OB9" s="247"/>
      <c r="OC9" s="247"/>
      <c r="OD9" s="247"/>
      <c r="OE9" s="247"/>
      <c r="OF9" s="247"/>
      <c r="OG9" s="247"/>
      <c r="OH9" s="247"/>
      <c r="OI9" s="247"/>
      <c r="OJ9" s="247"/>
      <c r="OK9" s="247"/>
      <c r="OL9" s="247"/>
      <c r="OM9" s="247"/>
      <c r="ON9" s="247"/>
      <c r="OO9" s="247"/>
      <c r="OP9" s="247"/>
      <c r="OQ9" s="247"/>
      <c r="OR9" s="247"/>
      <c r="OS9" s="247"/>
      <c r="OT9" s="247"/>
      <c r="OU9" s="247"/>
      <c r="OV9" s="247"/>
      <c r="OW9" s="247"/>
      <c r="OX9" s="247"/>
      <c r="OY9" s="247"/>
      <c r="OZ9" s="247"/>
      <c r="PA9" s="247"/>
      <c r="PB9" s="247"/>
      <c r="PC9" s="247"/>
      <c r="PD9" s="247"/>
      <c r="PE9" s="247"/>
      <c r="PF9" s="247"/>
      <c r="PG9" s="247"/>
      <c r="PH9" s="247"/>
      <c r="PI9" s="247"/>
      <c r="PJ9" s="247"/>
      <c r="PK9" s="247"/>
      <c r="PL9" s="247"/>
      <c r="PM9" s="247"/>
      <c r="PN9" s="247"/>
      <c r="PO9" s="247"/>
      <c r="PP9" s="247"/>
      <c r="PQ9" s="247"/>
      <c r="PR9" s="247"/>
      <c r="PS9" s="247"/>
      <c r="PT9" s="247"/>
      <c r="PU9" s="247"/>
      <c r="PV9" s="247"/>
      <c r="PW9" s="247"/>
      <c r="PX9" s="247"/>
      <c r="PY9" s="247"/>
      <c r="PZ9" s="247"/>
      <c r="QA9" s="247"/>
      <c r="QB9" s="247"/>
      <c r="QC9" s="247"/>
      <c r="QD9" s="247"/>
      <c r="QE9" s="247"/>
      <c r="QF9" s="247"/>
      <c r="QG9" s="247"/>
      <c r="QH9" s="247"/>
      <c r="QI9" s="247"/>
      <c r="QJ9" s="247"/>
      <c r="QK9" s="247"/>
      <c r="QL9" s="247"/>
      <c r="QM9" s="247"/>
      <c r="QN9" s="247"/>
      <c r="QO9" s="247"/>
      <c r="QP9" s="248"/>
      <c r="QQ9" s="37"/>
      <c r="QR9" s="36"/>
      <c r="QS9" s="41"/>
      <c r="QT9" s="41"/>
      <c r="QU9" s="41"/>
      <c r="QV9" s="41"/>
      <c r="QW9" s="40"/>
      <c r="RK9" s="41"/>
      <c r="RL9" s="41"/>
      <c r="RM9" s="41"/>
      <c r="RN9" s="41"/>
      <c r="RO9" s="41"/>
      <c r="RP9" s="40"/>
    </row>
    <row r="10" spans="3:484" s="35" customFormat="1" ht="9.6" customHeight="1" x14ac:dyDescent="0.3">
      <c r="C10" s="39"/>
      <c r="D10" s="38"/>
      <c r="E10" s="24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7"/>
      <c r="LQ10" s="247"/>
      <c r="LR10" s="247"/>
      <c r="LS10" s="247"/>
      <c r="LT10" s="247"/>
      <c r="LU10" s="247"/>
      <c r="LV10" s="247"/>
      <c r="LW10" s="247"/>
      <c r="LX10" s="247"/>
      <c r="LY10" s="247"/>
      <c r="LZ10" s="247"/>
      <c r="MA10" s="247"/>
      <c r="MB10" s="247"/>
      <c r="MC10" s="247"/>
      <c r="MD10" s="247"/>
      <c r="ME10" s="247"/>
      <c r="MF10" s="247"/>
      <c r="MG10" s="247"/>
      <c r="MH10" s="247"/>
      <c r="MI10" s="247"/>
      <c r="MJ10" s="247"/>
      <c r="MK10" s="247"/>
      <c r="ML10" s="247"/>
      <c r="MM10" s="247"/>
      <c r="MN10" s="247"/>
      <c r="MO10" s="247"/>
      <c r="MP10" s="247"/>
      <c r="MQ10" s="247"/>
      <c r="MR10" s="247"/>
      <c r="MS10" s="247"/>
      <c r="MT10" s="247"/>
      <c r="MU10" s="247"/>
      <c r="MV10" s="247"/>
      <c r="MW10" s="247"/>
      <c r="MX10" s="247"/>
      <c r="MY10" s="247"/>
      <c r="MZ10" s="247"/>
      <c r="NA10" s="247"/>
      <c r="NB10" s="247"/>
      <c r="NC10" s="247"/>
      <c r="ND10" s="247"/>
      <c r="NE10" s="247"/>
      <c r="NF10" s="247"/>
      <c r="NG10" s="247"/>
      <c r="NH10" s="247"/>
      <c r="NI10" s="247"/>
      <c r="NJ10" s="247"/>
      <c r="NK10" s="247"/>
      <c r="NL10" s="247"/>
      <c r="NM10" s="247"/>
      <c r="NN10" s="247"/>
      <c r="NO10" s="247"/>
      <c r="NP10" s="247"/>
      <c r="NQ10" s="247"/>
      <c r="NR10" s="247"/>
      <c r="NS10" s="247"/>
      <c r="NT10" s="247"/>
      <c r="NU10" s="247"/>
      <c r="NV10" s="247"/>
      <c r="NW10" s="247"/>
      <c r="NX10" s="247"/>
      <c r="NY10" s="247"/>
      <c r="NZ10" s="247"/>
      <c r="OA10" s="247"/>
      <c r="OB10" s="247"/>
      <c r="OC10" s="247"/>
      <c r="OD10" s="247"/>
      <c r="OE10" s="247"/>
      <c r="OF10" s="247"/>
      <c r="OG10" s="247"/>
      <c r="OH10" s="247"/>
      <c r="OI10" s="247"/>
      <c r="OJ10" s="247"/>
      <c r="OK10" s="247"/>
      <c r="OL10" s="247"/>
      <c r="OM10" s="247"/>
      <c r="ON10" s="247"/>
      <c r="OO10" s="247"/>
      <c r="OP10" s="247"/>
      <c r="OQ10" s="247"/>
      <c r="OR10" s="247"/>
      <c r="OS10" s="247"/>
      <c r="OT10" s="247"/>
      <c r="OU10" s="247"/>
      <c r="OV10" s="247"/>
      <c r="OW10" s="247"/>
      <c r="OX10" s="247"/>
      <c r="OY10" s="247"/>
      <c r="OZ10" s="247"/>
      <c r="PA10" s="247"/>
      <c r="PB10" s="247"/>
      <c r="PC10" s="247"/>
      <c r="PD10" s="247"/>
      <c r="PE10" s="247"/>
      <c r="PF10" s="247"/>
      <c r="PG10" s="247"/>
      <c r="PH10" s="247"/>
      <c r="PI10" s="247"/>
      <c r="PJ10" s="247"/>
      <c r="PK10" s="247"/>
      <c r="PL10" s="247"/>
      <c r="PM10" s="247"/>
      <c r="PN10" s="247"/>
      <c r="PO10" s="247"/>
      <c r="PP10" s="247"/>
      <c r="PQ10" s="247"/>
      <c r="PR10" s="247"/>
      <c r="PS10" s="247"/>
      <c r="PT10" s="247"/>
      <c r="PU10" s="247"/>
      <c r="PV10" s="247"/>
      <c r="PW10" s="247"/>
      <c r="PX10" s="247"/>
      <c r="PY10" s="247"/>
      <c r="PZ10" s="247"/>
      <c r="QA10" s="247"/>
      <c r="QB10" s="247"/>
      <c r="QC10" s="247"/>
      <c r="QD10" s="247"/>
      <c r="QE10" s="247"/>
      <c r="QF10" s="247"/>
      <c r="QG10" s="247"/>
      <c r="QH10" s="247"/>
      <c r="QI10" s="247"/>
      <c r="QJ10" s="247"/>
      <c r="QK10" s="247"/>
      <c r="QL10" s="247"/>
      <c r="QM10" s="247"/>
      <c r="QN10" s="247"/>
      <c r="QO10" s="247"/>
      <c r="QP10" s="248"/>
      <c r="QQ10" s="37"/>
      <c r="QR10" s="36"/>
      <c r="QS10" s="41"/>
      <c r="QT10" s="41"/>
      <c r="QU10" s="41"/>
      <c r="QV10" s="41"/>
      <c r="QW10" s="40"/>
      <c r="RK10" s="41"/>
      <c r="RL10" s="41"/>
      <c r="RM10" s="41"/>
      <c r="RN10" s="41"/>
      <c r="RO10" s="41"/>
      <c r="RP10" s="40"/>
    </row>
    <row r="11" spans="3:484" s="35" customFormat="1" ht="9.6" customHeight="1" x14ac:dyDescent="0.3">
      <c r="C11" s="39"/>
      <c r="D11" s="38"/>
      <c r="E11" s="246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7"/>
      <c r="LQ11" s="247"/>
      <c r="LR11" s="247"/>
      <c r="LS11" s="247"/>
      <c r="LT11" s="247"/>
      <c r="LU11" s="247"/>
      <c r="LV11" s="247"/>
      <c r="LW11" s="247"/>
      <c r="LX11" s="247"/>
      <c r="LY11" s="247"/>
      <c r="LZ11" s="247"/>
      <c r="MA11" s="247"/>
      <c r="MB11" s="247"/>
      <c r="MC11" s="247"/>
      <c r="MD11" s="247"/>
      <c r="ME11" s="247"/>
      <c r="MF11" s="247"/>
      <c r="MG11" s="247"/>
      <c r="MH11" s="247"/>
      <c r="MI11" s="247"/>
      <c r="MJ11" s="247"/>
      <c r="MK11" s="247"/>
      <c r="ML11" s="247"/>
      <c r="MM11" s="247"/>
      <c r="MN11" s="247"/>
      <c r="MO11" s="247"/>
      <c r="MP11" s="247"/>
      <c r="MQ11" s="247"/>
      <c r="MR11" s="247"/>
      <c r="MS11" s="247"/>
      <c r="MT11" s="247"/>
      <c r="MU11" s="247"/>
      <c r="MV11" s="247"/>
      <c r="MW11" s="247"/>
      <c r="MX11" s="247"/>
      <c r="MY11" s="247"/>
      <c r="MZ11" s="247"/>
      <c r="NA11" s="247"/>
      <c r="NB11" s="247"/>
      <c r="NC11" s="247"/>
      <c r="ND11" s="247"/>
      <c r="NE11" s="247"/>
      <c r="NF11" s="247"/>
      <c r="NG11" s="247"/>
      <c r="NH11" s="247"/>
      <c r="NI11" s="247"/>
      <c r="NJ11" s="247"/>
      <c r="NK11" s="247"/>
      <c r="NL11" s="247"/>
      <c r="NM11" s="247"/>
      <c r="NN11" s="247"/>
      <c r="NO11" s="247"/>
      <c r="NP11" s="247"/>
      <c r="NQ11" s="247"/>
      <c r="NR11" s="247"/>
      <c r="NS11" s="247"/>
      <c r="NT11" s="247"/>
      <c r="NU11" s="247"/>
      <c r="NV11" s="247"/>
      <c r="NW11" s="247"/>
      <c r="NX11" s="247"/>
      <c r="NY11" s="247"/>
      <c r="NZ11" s="247"/>
      <c r="OA11" s="247"/>
      <c r="OB11" s="247"/>
      <c r="OC11" s="247"/>
      <c r="OD11" s="247"/>
      <c r="OE11" s="247"/>
      <c r="OF11" s="247"/>
      <c r="OG11" s="247"/>
      <c r="OH11" s="247"/>
      <c r="OI11" s="247"/>
      <c r="OJ11" s="247"/>
      <c r="OK11" s="247"/>
      <c r="OL11" s="247"/>
      <c r="OM11" s="247"/>
      <c r="ON11" s="247"/>
      <c r="OO11" s="247"/>
      <c r="OP11" s="247"/>
      <c r="OQ11" s="247"/>
      <c r="OR11" s="247"/>
      <c r="OS11" s="247"/>
      <c r="OT11" s="247"/>
      <c r="OU11" s="247"/>
      <c r="OV11" s="247"/>
      <c r="OW11" s="247"/>
      <c r="OX11" s="247"/>
      <c r="OY11" s="247"/>
      <c r="OZ11" s="247"/>
      <c r="PA11" s="247"/>
      <c r="PB11" s="247"/>
      <c r="PC11" s="247"/>
      <c r="PD11" s="247"/>
      <c r="PE11" s="247"/>
      <c r="PF11" s="247"/>
      <c r="PG11" s="247"/>
      <c r="PH11" s="247"/>
      <c r="PI11" s="247"/>
      <c r="PJ11" s="247"/>
      <c r="PK11" s="247"/>
      <c r="PL11" s="247"/>
      <c r="PM11" s="247"/>
      <c r="PN11" s="247"/>
      <c r="PO11" s="247"/>
      <c r="PP11" s="247"/>
      <c r="PQ11" s="247"/>
      <c r="PR11" s="247"/>
      <c r="PS11" s="247"/>
      <c r="PT11" s="247"/>
      <c r="PU11" s="247"/>
      <c r="PV11" s="247"/>
      <c r="PW11" s="247"/>
      <c r="PX11" s="247"/>
      <c r="PY11" s="247"/>
      <c r="PZ11" s="247"/>
      <c r="QA11" s="247"/>
      <c r="QB11" s="247"/>
      <c r="QC11" s="247"/>
      <c r="QD11" s="247"/>
      <c r="QE11" s="247"/>
      <c r="QF11" s="247"/>
      <c r="QG11" s="247"/>
      <c r="QH11" s="247"/>
      <c r="QI11" s="247"/>
      <c r="QJ11" s="247"/>
      <c r="QK11" s="247"/>
      <c r="QL11" s="247"/>
      <c r="QM11" s="247"/>
      <c r="QN11" s="247"/>
      <c r="QO11" s="247"/>
      <c r="QP11" s="248"/>
      <c r="QQ11" s="37"/>
      <c r="QR11" s="36"/>
    </row>
    <row r="12" spans="3:484" s="35" customFormat="1" ht="9.6" customHeight="1" x14ac:dyDescent="0.3">
      <c r="C12" s="39"/>
      <c r="D12" s="38"/>
      <c r="E12" s="246" t="s">
        <v>17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7"/>
      <c r="LQ12" s="247"/>
      <c r="LR12" s="247"/>
      <c r="LS12" s="247"/>
      <c r="LT12" s="247"/>
      <c r="LU12" s="247"/>
      <c r="LV12" s="247"/>
      <c r="LW12" s="247"/>
      <c r="LX12" s="247"/>
      <c r="LY12" s="247"/>
      <c r="LZ12" s="247"/>
      <c r="MA12" s="247"/>
      <c r="MB12" s="247"/>
      <c r="MC12" s="247"/>
      <c r="MD12" s="247"/>
      <c r="ME12" s="247"/>
      <c r="MF12" s="247"/>
      <c r="MG12" s="247"/>
      <c r="MH12" s="247"/>
      <c r="MI12" s="247"/>
      <c r="MJ12" s="247"/>
      <c r="MK12" s="247"/>
      <c r="ML12" s="247"/>
      <c r="MM12" s="247"/>
      <c r="MN12" s="247"/>
      <c r="MO12" s="247"/>
      <c r="MP12" s="247"/>
      <c r="MQ12" s="247"/>
      <c r="MR12" s="247"/>
      <c r="MS12" s="247"/>
      <c r="MT12" s="247"/>
      <c r="MU12" s="247"/>
      <c r="MV12" s="247"/>
      <c r="MW12" s="247"/>
      <c r="MX12" s="247"/>
      <c r="MY12" s="247"/>
      <c r="MZ12" s="247"/>
      <c r="NA12" s="247"/>
      <c r="NB12" s="247"/>
      <c r="NC12" s="247"/>
      <c r="ND12" s="247"/>
      <c r="NE12" s="247"/>
      <c r="NF12" s="247"/>
      <c r="NG12" s="247"/>
      <c r="NH12" s="247"/>
      <c r="NI12" s="247"/>
      <c r="NJ12" s="247"/>
      <c r="NK12" s="247"/>
      <c r="NL12" s="247"/>
      <c r="NM12" s="247"/>
      <c r="NN12" s="247"/>
      <c r="NO12" s="247"/>
      <c r="NP12" s="247"/>
      <c r="NQ12" s="247"/>
      <c r="NR12" s="247"/>
      <c r="NS12" s="247"/>
      <c r="NT12" s="247"/>
      <c r="NU12" s="247"/>
      <c r="NV12" s="247"/>
      <c r="NW12" s="247"/>
      <c r="NX12" s="247"/>
      <c r="NY12" s="247"/>
      <c r="NZ12" s="247"/>
      <c r="OA12" s="247"/>
      <c r="OB12" s="247"/>
      <c r="OC12" s="247"/>
      <c r="OD12" s="247"/>
      <c r="OE12" s="247"/>
      <c r="OF12" s="247"/>
      <c r="OG12" s="247"/>
      <c r="OH12" s="247"/>
      <c r="OI12" s="247"/>
      <c r="OJ12" s="247"/>
      <c r="OK12" s="247"/>
      <c r="OL12" s="247"/>
      <c r="OM12" s="247"/>
      <c r="ON12" s="247"/>
      <c r="OO12" s="247"/>
      <c r="OP12" s="247"/>
      <c r="OQ12" s="247"/>
      <c r="OR12" s="247"/>
      <c r="OS12" s="247"/>
      <c r="OT12" s="247"/>
      <c r="OU12" s="247"/>
      <c r="OV12" s="247"/>
      <c r="OW12" s="247"/>
      <c r="OX12" s="247"/>
      <c r="OY12" s="247"/>
      <c r="OZ12" s="247"/>
      <c r="PA12" s="247"/>
      <c r="PB12" s="247"/>
      <c r="PC12" s="247"/>
      <c r="PD12" s="247"/>
      <c r="PE12" s="247"/>
      <c r="PF12" s="247"/>
      <c r="PG12" s="247"/>
      <c r="PH12" s="247"/>
      <c r="PI12" s="247"/>
      <c r="PJ12" s="247"/>
      <c r="PK12" s="247"/>
      <c r="PL12" s="247"/>
      <c r="PM12" s="247"/>
      <c r="PN12" s="247"/>
      <c r="PO12" s="247"/>
      <c r="PP12" s="247"/>
      <c r="PQ12" s="247"/>
      <c r="PR12" s="247"/>
      <c r="PS12" s="247"/>
      <c r="PT12" s="247"/>
      <c r="PU12" s="247"/>
      <c r="PV12" s="247"/>
      <c r="PW12" s="247"/>
      <c r="PX12" s="247"/>
      <c r="PY12" s="247"/>
      <c r="PZ12" s="247"/>
      <c r="QA12" s="247"/>
      <c r="QB12" s="247"/>
      <c r="QC12" s="247"/>
      <c r="QD12" s="247"/>
      <c r="QE12" s="247"/>
      <c r="QF12" s="247"/>
      <c r="QG12" s="247"/>
      <c r="QH12" s="247"/>
      <c r="QI12" s="247"/>
      <c r="QJ12" s="247"/>
      <c r="QK12" s="247"/>
      <c r="QL12" s="247"/>
      <c r="QM12" s="247"/>
      <c r="QN12" s="247"/>
      <c r="QO12" s="247"/>
      <c r="QP12" s="248"/>
      <c r="QQ12" s="37"/>
      <c r="QR12" s="36"/>
    </row>
    <row r="13" spans="3:484" s="35" customFormat="1" ht="9.6" customHeight="1" x14ac:dyDescent="0.3">
      <c r="C13" s="39"/>
      <c r="D13" s="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7"/>
      <c r="LQ13" s="247"/>
      <c r="LR13" s="247"/>
      <c r="LS13" s="247"/>
      <c r="LT13" s="247"/>
      <c r="LU13" s="247"/>
      <c r="LV13" s="247"/>
      <c r="LW13" s="247"/>
      <c r="LX13" s="247"/>
      <c r="LY13" s="247"/>
      <c r="LZ13" s="247"/>
      <c r="MA13" s="247"/>
      <c r="MB13" s="247"/>
      <c r="MC13" s="247"/>
      <c r="MD13" s="247"/>
      <c r="ME13" s="247"/>
      <c r="MF13" s="247"/>
      <c r="MG13" s="247"/>
      <c r="MH13" s="247"/>
      <c r="MI13" s="247"/>
      <c r="MJ13" s="247"/>
      <c r="MK13" s="247"/>
      <c r="ML13" s="247"/>
      <c r="MM13" s="247"/>
      <c r="MN13" s="247"/>
      <c r="MO13" s="247"/>
      <c r="MP13" s="247"/>
      <c r="MQ13" s="247"/>
      <c r="MR13" s="247"/>
      <c r="MS13" s="247"/>
      <c r="MT13" s="247"/>
      <c r="MU13" s="247"/>
      <c r="MV13" s="247"/>
      <c r="MW13" s="247"/>
      <c r="MX13" s="247"/>
      <c r="MY13" s="247"/>
      <c r="MZ13" s="247"/>
      <c r="NA13" s="247"/>
      <c r="NB13" s="247"/>
      <c r="NC13" s="247"/>
      <c r="ND13" s="247"/>
      <c r="NE13" s="247"/>
      <c r="NF13" s="247"/>
      <c r="NG13" s="247"/>
      <c r="NH13" s="247"/>
      <c r="NI13" s="247"/>
      <c r="NJ13" s="247"/>
      <c r="NK13" s="247"/>
      <c r="NL13" s="247"/>
      <c r="NM13" s="247"/>
      <c r="NN13" s="247"/>
      <c r="NO13" s="247"/>
      <c r="NP13" s="247"/>
      <c r="NQ13" s="247"/>
      <c r="NR13" s="247"/>
      <c r="NS13" s="247"/>
      <c r="NT13" s="247"/>
      <c r="NU13" s="247"/>
      <c r="NV13" s="247"/>
      <c r="NW13" s="247"/>
      <c r="NX13" s="247"/>
      <c r="NY13" s="247"/>
      <c r="NZ13" s="247"/>
      <c r="OA13" s="247"/>
      <c r="OB13" s="247"/>
      <c r="OC13" s="247"/>
      <c r="OD13" s="247"/>
      <c r="OE13" s="247"/>
      <c r="OF13" s="247"/>
      <c r="OG13" s="247"/>
      <c r="OH13" s="247"/>
      <c r="OI13" s="247"/>
      <c r="OJ13" s="247"/>
      <c r="OK13" s="247"/>
      <c r="OL13" s="247"/>
      <c r="OM13" s="247"/>
      <c r="ON13" s="247"/>
      <c r="OO13" s="247"/>
      <c r="OP13" s="247"/>
      <c r="OQ13" s="247"/>
      <c r="OR13" s="247"/>
      <c r="OS13" s="247"/>
      <c r="OT13" s="247"/>
      <c r="OU13" s="247"/>
      <c r="OV13" s="247"/>
      <c r="OW13" s="247"/>
      <c r="OX13" s="247"/>
      <c r="OY13" s="247"/>
      <c r="OZ13" s="247"/>
      <c r="PA13" s="247"/>
      <c r="PB13" s="247"/>
      <c r="PC13" s="247"/>
      <c r="PD13" s="247"/>
      <c r="PE13" s="247"/>
      <c r="PF13" s="247"/>
      <c r="PG13" s="247"/>
      <c r="PH13" s="247"/>
      <c r="PI13" s="247"/>
      <c r="PJ13" s="247"/>
      <c r="PK13" s="247"/>
      <c r="PL13" s="247"/>
      <c r="PM13" s="247"/>
      <c r="PN13" s="247"/>
      <c r="PO13" s="247"/>
      <c r="PP13" s="247"/>
      <c r="PQ13" s="247"/>
      <c r="PR13" s="247"/>
      <c r="PS13" s="247"/>
      <c r="PT13" s="247"/>
      <c r="PU13" s="247"/>
      <c r="PV13" s="247"/>
      <c r="PW13" s="247"/>
      <c r="PX13" s="247"/>
      <c r="PY13" s="247"/>
      <c r="PZ13" s="247"/>
      <c r="QA13" s="247"/>
      <c r="QB13" s="247"/>
      <c r="QC13" s="247"/>
      <c r="QD13" s="247"/>
      <c r="QE13" s="247"/>
      <c r="QF13" s="247"/>
      <c r="QG13" s="247"/>
      <c r="QH13" s="247"/>
      <c r="QI13" s="247"/>
      <c r="QJ13" s="247"/>
      <c r="QK13" s="247"/>
      <c r="QL13" s="247"/>
      <c r="QM13" s="247"/>
      <c r="QN13" s="247"/>
      <c r="QO13" s="247"/>
      <c r="QP13" s="248"/>
      <c r="QQ13" s="37"/>
      <c r="QR13" s="36"/>
    </row>
    <row r="14" spans="3:484" s="35" customFormat="1" ht="9.6" customHeight="1" x14ac:dyDescent="0.3">
      <c r="C14" s="39"/>
      <c r="D14" s="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7"/>
      <c r="LQ14" s="247"/>
      <c r="LR14" s="247"/>
      <c r="LS14" s="247"/>
      <c r="LT14" s="247"/>
      <c r="LU14" s="247"/>
      <c r="LV14" s="247"/>
      <c r="LW14" s="247"/>
      <c r="LX14" s="247"/>
      <c r="LY14" s="247"/>
      <c r="LZ14" s="247"/>
      <c r="MA14" s="247"/>
      <c r="MB14" s="247"/>
      <c r="MC14" s="247"/>
      <c r="MD14" s="247"/>
      <c r="ME14" s="247"/>
      <c r="MF14" s="247"/>
      <c r="MG14" s="247"/>
      <c r="MH14" s="247"/>
      <c r="MI14" s="247"/>
      <c r="MJ14" s="247"/>
      <c r="MK14" s="247"/>
      <c r="ML14" s="247"/>
      <c r="MM14" s="247"/>
      <c r="MN14" s="247"/>
      <c r="MO14" s="247"/>
      <c r="MP14" s="247"/>
      <c r="MQ14" s="247"/>
      <c r="MR14" s="247"/>
      <c r="MS14" s="247"/>
      <c r="MT14" s="247"/>
      <c r="MU14" s="247"/>
      <c r="MV14" s="247"/>
      <c r="MW14" s="247"/>
      <c r="MX14" s="247"/>
      <c r="MY14" s="247"/>
      <c r="MZ14" s="247"/>
      <c r="NA14" s="247"/>
      <c r="NB14" s="247"/>
      <c r="NC14" s="247"/>
      <c r="ND14" s="247"/>
      <c r="NE14" s="247"/>
      <c r="NF14" s="247"/>
      <c r="NG14" s="247"/>
      <c r="NH14" s="247"/>
      <c r="NI14" s="247"/>
      <c r="NJ14" s="247"/>
      <c r="NK14" s="247"/>
      <c r="NL14" s="247"/>
      <c r="NM14" s="247"/>
      <c r="NN14" s="247"/>
      <c r="NO14" s="247"/>
      <c r="NP14" s="247"/>
      <c r="NQ14" s="247"/>
      <c r="NR14" s="247"/>
      <c r="NS14" s="247"/>
      <c r="NT14" s="247"/>
      <c r="NU14" s="247"/>
      <c r="NV14" s="247"/>
      <c r="NW14" s="247"/>
      <c r="NX14" s="247"/>
      <c r="NY14" s="247"/>
      <c r="NZ14" s="247"/>
      <c r="OA14" s="247"/>
      <c r="OB14" s="247"/>
      <c r="OC14" s="247"/>
      <c r="OD14" s="247"/>
      <c r="OE14" s="247"/>
      <c r="OF14" s="247"/>
      <c r="OG14" s="247"/>
      <c r="OH14" s="247"/>
      <c r="OI14" s="247"/>
      <c r="OJ14" s="247"/>
      <c r="OK14" s="247"/>
      <c r="OL14" s="247"/>
      <c r="OM14" s="247"/>
      <c r="ON14" s="247"/>
      <c r="OO14" s="247"/>
      <c r="OP14" s="247"/>
      <c r="OQ14" s="247"/>
      <c r="OR14" s="247"/>
      <c r="OS14" s="247"/>
      <c r="OT14" s="247"/>
      <c r="OU14" s="247"/>
      <c r="OV14" s="247"/>
      <c r="OW14" s="247"/>
      <c r="OX14" s="247"/>
      <c r="OY14" s="247"/>
      <c r="OZ14" s="247"/>
      <c r="PA14" s="247"/>
      <c r="PB14" s="247"/>
      <c r="PC14" s="247"/>
      <c r="PD14" s="247"/>
      <c r="PE14" s="247"/>
      <c r="PF14" s="247"/>
      <c r="PG14" s="247"/>
      <c r="PH14" s="247"/>
      <c r="PI14" s="247"/>
      <c r="PJ14" s="247"/>
      <c r="PK14" s="247"/>
      <c r="PL14" s="247"/>
      <c r="PM14" s="247"/>
      <c r="PN14" s="247"/>
      <c r="PO14" s="247"/>
      <c r="PP14" s="247"/>
      <c r="PQ14" s="247"/>
      <c r="PR14" s="247"/>
      <c r="PS14" s="247"/>
      <c r="PT14" s="247"/>
      <c r="PU14" s="247"/>
      <c r="PV14" s="247"/>
      <c r="PW14" s="247"/>
      <c r="PX14" s="247"/>
      <c r="PY14" s="247"/>
      <c r="PZ14" s="247"/>
      <c r="QA14" s="247"/>
      <c r="QB14" s="247"/>
      <c r="QC14" s="247"/>
      <c r="QD14" s="247"/>
      <c r="QE14" s="247"/>
      <c r="QF14" s="247"/>
      <c r="QG14" s="247"/>
      <c r="QH14" s="247"/>
      <c r="QI14" s="247"/>
      <c r="QJ14" s="247"/>
      <c r="QK14" s="247"/>
      <c r="QL14" s="247"/>
      <c r="QM14" s="247"/>
      <c r="QN14" s="247"/>
      <c r="QO14" s="247"/>
      <c r="QP14" s="248"/>
      <c r="QQ14" s="37"/>
      <c r="QR14" s="36"/>
    </row>
    <row r="15" spans="3:484" s="35" customFormat="1" ht="9.6" customHeight="1" thickBot="1" x14ac:dyDescent="0.35">
      <c r="C15" s="39"/>
      <c r="D15" s="38"/>
      <c r="E15" s="249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  <c r="HK15" s="250"/>
      <c r="HL15" s="250"/>
      <c r="HM15" s="250"/>
      <c r="HN15" s="250"/>
      <c r="HO15" s="250"/>
      <c r="HP15" s="250"/>
      <c r="HQ15" s="250"/>
      <c r="HR15" s="250"/>
      <c r="HS15" s="250"/>
      <c r="HT15" s="250"/>
      <c r="HU15" s="250"/>
      <c r="HV15" s="250"/>
      <c r="HW15" s="250"/>
      <c r="HX15" s="250"/>
      <c r="HY15" s="250"/>
      <c r="HZ15" s="250"/>
      <c r="IA15" s="250"/>
      <c r="IB15" s="250"/>
      <c r="IC15" s="250"/>
      <c r="ID15" s="250"/>
      <c r="IE15" s="250"/>
      <c r="IF15" s="250"/>
      <c r="IG15" s="250"/>
      <c r="IH15" s="250"/>
      <c r="II15" s="250"/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F15" s="250"/>
      <c r="KG15" s="250"/>
      <c r="KH15" s="250"/>
      <c r="KI15" s="250"/>
      <c r="KJ15" s="250"/>
      <c r="KK15" s="250"/>
      <c r="KL15" s="250"/>
      <c r="KM15" s="250"/>
      <c r="KN15" s="250"/>
      <c r="KO15" s="250"/>
      <c r="KP15" s="250"/>
      <c r="KQ15" s="250"/>
      <c r="KR15" s="250"/>
      <c r="KS15" s="250"/>
      <c r="KT15" s="250"/>
      <c r="KU15" s="250"/>
      <c r="KV15" s="250"/>
      <c r="KW15" s="250"/>
      <c r="KX15" s="250"/>
      <c r="KY15" s="250"/>
      <c r="KZ15" s="250"/>
      <c r="LA15" s="250"/>
      <c r="LB15" s="250"/>
      <c r="LC15" s="250"/>
      <c r="LD15" s="250"/>
      <c r="LE15" s="250"/>
      <c r="LF15" s="250"/>
      <c r="LG15" s="250"/>
      <c r="LH15" s="250"/>
      <c r="LI15" s="250"/>
      <c r="LJ15" s="250"/>
      <c r="LK15" s="250"/>
      <c r="LL15" s="250"/>
      <c r="LM15" s="250"/>
      <c r="LN15" s="250"/>
      <c r="LO15" s="250"/>
      <c r="LP15" s="250"/>
      <c r="LQ15" s="250"/>
      <c r="LR15" s="250"/>
      <c r="LS15" s="250"/>
      <c r="LT15" s="250"/>
      <c r="LU15" s="250"/>
      <c r="LV15" s="250"/>
      <c r="LW15" s="250"/>
      <c r="LX15" s="250"/>
      <c r="LY15" s="250"/>
      <c r="LZ15" s="250"/>
      <c r="MA15" s="250"/>
      <c r="MB15" s="250"/>
      <c r="MC15" s="250"/>
      <c r="MD15" s="250"/>
      <c r="ME15" s="250"/>
      <c r="MF15" s="250"/>
      <c r="MG15" s="250"/>
      <c r="MH15" s="250"/>
      <c r="MI15" s="250"/>
      <c r="MJ15" s="250"/>
      <c r="MK15" s="250"/>
      <c r="ML15" s="250"/>
      <c r="MM15" s="250"/>
      <c r="MN15" s="250"/>
      <c r="MO15" s="250"/>
      <c r="MP15" s="250"/>
      <c r="MQ15" s="250"/>
      <c r="MR15" s="250"/>
      <c r="MS15" s="250"/>
      <c r="MT15" s="250"/>
      <c r="MU15" s="250"/>
      <c r="MV15" s="250"/>
      <c r="MW15" s="250"/>
      <c r="MX15" s="250"/>
      <c r="MY15" s="250"/>
      <c r="MZ15" s="250"/>
      <c r="NA15" s="250"/>
      <c r="NB15" s="250"/>
      <c r="NC15" s="250"/>
      <c r="ND15" s="250"/>
      <c r="NE15" s="250"/>
      <c r="NF15" s="250"/>
      <c r="NG15" s="250"/>
      <c r="NH15" s="250"/>
      <c r="NI15" s="250"/>
      <c r="NJ15" s="250"/>
      <c r="NK15" s="250"/>
      <c r="NL15" s="250"/>
      <c r="NM15" s="250"/>
      <c r="NN15" s="250"/>
      <c r="NO15" s="250"/>
      <c r="NP15" s="250"/>
      <c r="NQ15" s="250"/>
      <c r="NR15" s="250"/>
      <c r="NS15" s="250"/>
      <c r="NT15" s="250"/>
      <c r="NU15" s="250"/>
      <c r="NV15" s="250"/>
      <c r="NW15" s="250"/>
      <c r="NX15" s="250"/>
      <c r="NY15" s="250"/>
      <c r="NZ15" s="250"/>
      <c r="OA15" s="250"/>
      <c r="OB15" s="250"/>
      <c r="OC15" s="250"/>
      <c r="OD15" s="250"/>
      <c r="OE15" s="250"/>
      <c r="OF15" s="250"/>
      <c r="OG15" s="250"/>
      <c r="OH15" s="250"/>
      <c r="OI15" s="250"/>
      <c r="OJ15" s="250"/>
      <c r="OK15" s="250"/>
      <c r="OL15" s="250"/>
      <c r="OM15" s="250"/>
      <c r="ON15" s="250"/>
      <c r="OO15" s="250"/>
      <c r="OP15" s="250"/>
      <c r="OQ15" s="250"/>
      <c r="OR15" s="250"/>
      <c r="OS15" s="250"/>
      <c r="OT15" s="250"/>
      <c r="OU15" s="250"/>
      <c r="OV15" s="250"/>
      <c r="OW15" s="250"/>
      <c r="OX15" s="250"/>
      <c r="OY15" s="250"/>
      <c r="OZ15" s="250"/>
      <c r="PA15" s="250"/>
      <c r="PB15" s="250"/>
      <c r="PC15" s="250"/>
      <c r="PD15" s="250"/>
      <c r="PE15" s="250"/>
      <c r="PF15" s="250"/>
      <c r="PG15" s="250"/>
      <c r="PH15" s="250"/>
      <c r="PI15" s="250"/>
      <c r="PJ15" s="250"/>
      <c r="PK15" s="250"/>
      <c r="PL15" s="250"/>
      <c r="PM15" s="250"/>
      <c r="PN15" s="250"/>
      <c r="PO15" s="250"/>
      <c r="PP15" s="250"/>
      <c r="PQ15" s="250"/>
      <c r="PR15" s="250"/>
      <c r="PS15" s="250"/>
      <c r="PT15" s="250"/>
      <c r="PU15" s="250"/>
      <c r="PV15" s="250"/>
      <c r="PW15" s="250"/>
      <c r="PX15" s="250"/>
      <c r="PY15" s="250"/>
      <c r="PZ15" s="250"/>
      <c r="QA15" s="250"/>
      <c r="QB15" s="250"/>
      <c r="QC15" s="250"/>
      <c r="QD15" s="250"/>
      <c r="QE15" s="250"/>
      <c r="QF15" s="250"/>
      <c r="QG15" s="250"/>
      <c r="QH15" s="250"/>
      <c r="QI15" s="250"/>
      <c r="QJ15" s="250"/>
      <c r="QK15" s="250"/>
      <c r="QL15" s="250"/>
      <c r="QM15" s="250"/>
      <c r="QN15" s="250"/>
      <c r="QO15" s="250"/>
      <c r="QP15" s="251"/>
      <c r="QQ15" s="37"/>
      <c r="QR15" s="36"/>
    </row>
    <row r="16" spans="3:484" ht="5.0999999999999996" customHeight="1" x14ac:dyDescent="0.3">
      <c r="C16" s="11"/>
      <c r="D16" s="1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12"/>
      <c r="QR16" s="7"/>
    </row>
    <row r="17" spans="3:460" ht="5.0999999999999996" customHeight="1" x14ac:dyDescent="0.3">
      <c r="C17" s="11"/>
      <c r="D17" s="1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12"/>
      <c r="QR17" s="7"/>
    </row>
    <row r="18" spans="3:460" ht="5.0999999999999996" customHeight="1" x14ac:dyDescent="0.3">
      <c r="C18" s="11"/>
      <c r="D18" s="1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QK18" s="33"/>
      <c r="QL18" s="33"/>
      <c r="QM18" s="33"/>
      <c r="QN18" s="33"/>
      <c r="QO18" s="33"/>
      <c r="QP18" s="33"/>
      <c r="QQ18" s="12"/>
      <c r="QR18" s="7"/>
    </row>
    <row r="19" spans="3:460" ht="5.0999999999999996" customHeight="1" x14ac:dyDescent="0.3">
      <c r="C19" s="11"/>
      <c r="D19" s="1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C19" s="216" t="s">
        <v>173</v>
      </c>
      <c r="HD19" s="217"/>
      <c r="HE19" s="217"/>
      <c r="HF19" s="217"/>
      <c r="HG19" s="217"/>
      <c r="HH19" s="217"/>
      <c r="HI19" s="217"/>
      <c r="HJ19" s="217"/>
      <c r="HK19" s="217"/>
      <c r="HL19" s="217"/>
      <c r="HM19" s="217"/>
      <c r="HN19" s="217"/>
      <c r="HO19" s="217"/>
      <c r="HP19" s="217"/>
      <c r="HQ19" s="217"/>
      <c r="HR19" s="217"/>
      <c r="HS19" s="217"/>
      <c r="HT19" s="217"/>
      <c r="HU19" s="217"/>
      <c r="HV19" s="217"/>
      <c r="HW19" s="217"/>
      <c r="HX19" s="217"/>
      <c r="HY19" s="217"/>
      <c r="HZ19" s="217"/>
      <c r="IA19" s="217"/>
      <c r="IB19" s="217"/>
      <c r="IC19" s="217"/>
      <c r="ID19" s="217"/>
      <c r="IE19" s="217"/>
      <c r="IF19" s="217"/>
      <c r="IG19" s="217"/>
      <c r="IH19" s="217"/>
      <c r="II19" s="217"/>
      <c r="IJ19" s="217"/>
      <c r="IK19" s="217"/>
      <c r="IL19" s="217"/>
      <c r="IM19" s="217"/>
      <c r="IN19" s="217"/>
      <c r="IO19" s="217"/>
      <c r="IP19" s="217"/>
      <c r="IQ19" s="252"/>
      <c r="IR19" s="255">
        <v>1</v>
      </c>
      <c r="IS19" s="255"/>
      <c r="IT19" s="255"/>
      <c r="IU19" s="255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QK19" s="33"/>
      <c r="QL19" s="33"/>
      <c r="QM19" s="33"/>
      <c r="QN19" s="33"/>
      <c r="QO19" s="33"/>
      <c r="QP19" s="33"/>
      <c r="QQ19" s="12"/>
      <c r="QR19" s="7"/>
    </row>
    <row r="20" spans="3:460" ht="5.0999999999999996" customHeight="1" x14ac:dyDescent="0.3">
      <c r="C20" s="11"/>
      <c r="D20" s="1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C20" s="219"/>
      <c r="HD20" s="220"/>
      <c r="HE20" s="220"/>
      <c r="HF20" s="220"/>
      <c r="HG20" s="220"/>
      <c r="HH20" s="220"/>
      <c r="HI20" s="220"/>
      <c r="HJ20" s="220"/>
      <c r="HK20" s="220"/>
      <c r="HL20" s="220"/>
      <c r="HM20" s="220"/>
      <c r="HN20" s="220"/>
      <c r="HO20" s="220"/>
      <c r="HP20" s="220"/>
      <c r="HQ20" s="220"/>
      <c r="HR20" s="220"/>
      <c r="HS20" s="220"/>
      <c r="HT20" s="220"/>
      <c r="HU20" s="220"/>
      <c r="HV20" s="220"/>
      <c r="HW20" s="220"/>
      <c r="HX20" s="220"/>
      <c r="HY20" s="220"/>
      <c r="HZ20" s="220"/>
      <c r="IA20" s="220"/>
      <c r="IB20" s="220"/>
      <c r="IC20" s="220"/>
      <c r="ID20" s="220"/>
      <c r="IE20" s="220"/>
      <c r="IF20" s="220"/>
      <c r="IG20" s="220"/>
      <c r="IH20" s="220"/>
      <c r="II20" s="220"/>
      <c r="IJ20" s="220"/>
      <c r="IK20" s="220"/>
      <c r="IL20" s="220"/>
      <c r="IM20" s="220"/>
      <c r="IN20" s="220"/>
      <c r="IO20" s="220"/>
      <c r="IP20" s="220"/>
      <c r="IQ20" s="253"/>
      <c r="IR20" s="255"/>
      <c r="IS20" s="255"/>
      <c r="IT20" s="255"/>
      <c r="IU20" s="255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QK20" s="33"/>
      <c r="QL20" s="33"/>
      <c r="QM20" s="33"/>
      <c r="QN20" s="33"/>
      <c r="QO20" s="33"/>
      <c r="QP20" s="33"/>
      <c r="QQ20" s="12"/>
      <c r="QR20" s="7"/>
    </row>
    <row r="21" spans="3:460" ht="5.0999999999999996" customHeight="1" x14ac:dyDescent="0.3">
      <c r="C21" s="11"/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C21" s="219"/>
      <c r="HD21" s="220"/>
      <c r="HE21" s="220"/>
      <c r="HF21" s="220"/>
      <c r="HG21" s="220"/>
      <c r="HH21" s="220"/>
      <c r="HI21" s="220"/>
      <c r="HJ21" s="220"/>
      <c r="HK21" s="220"/>
      <c r="HL21" s="220"/>
      <c r="HM21" s="220"/>
      <c r="HN21" s="220"/>
      <c r="HO21" s="220"/>
      <c r="HP21" s="220"/>
      <c r="HQ21" s="220"/>
      <c r="HR21" s="220"/>
      <c r="HS21" s="220"/>
      <c r="HT21" s="220"/>
      <c r="HU21" s="220"/>
      <c r="HV21" s="220"/>
      <c r="HW21" s="220"/>
      <c r="HX21" s="220"/>
      <c r="HY21" s="220"/>
      <c r="HZ21" s="220"/>
      <c r="IA21" s="220"/>
      <c r="IB21" s="220"/>
      <c r="IC21" s="220"/>
      <c r="ID21" s="220"/>
      <c r="IE21" s="220"/>
      <c r="IF21" s="220"/>
      <c r="IG21" s="220"/>
      <c r="IH21" s="220"/>
      <c r="II21" s="220"/>
      <c r="IJ21" s="220"/>
      <c r="IK21" s="220"/>
      <c r="IL21" s="220"/>
      <c r="IM21" s="220"/>
      <c r="IN21" s="220"/>
      <c r="IO21" s="220"/>
      <c r="IP21" s="220"/>
      <c r="IQ21" s="253"/>
      <c r="IR21" s="255"/>
      <c r="IS21" s="255"/>
      <c r="IT21" s="255"/>
      <c r="IU21" s="255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QK21" s="33"/>
      <c r="QL21" s="33"/>
      <c r="QM21" s="33"/>
      <c r="QN21" s="33"/>
      <c r="QO21" s="33"/>
      <c r="QP21" s="33"/>
      <c r="QQ21" s="12"/>
      <c r="QR21" s="7"/>
    </row>
    <row r="22" spans="3:460" ht="5.0999999999999996" customHeight="1" x14ac:dyDescent="0.3">
      <c r="C22" s="11"/>
      <c r="D22" s="1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C22" s="219"/>
      <c r="HD22" s="220"/>
      <c r="HE22" s="220"/>
      <c r="HF22" s="220"/>
      <c r="HG22" s="220"/>
      <c r="HH22" s="220"/>
      <c r="HI22" s="220"/>
      <c r="HJ22" s="220"/>
      <c r="HK22" s="220"/>
      <c r="HL22" s="220"/>
      <c r="HM22" s="220"/>
      <c r="HN22" s="220"/>
      <c r="HO22" s="220"/>
      <c r="HP22" s="220"/>
      <c r="HQ22" s="220"/>
      <c r="HR22" s="220"/>
      <c r="HS22" s="220"/>
      <c r="HT22" s="220"/>
      <c r="HU22" s="220"/>
      <c r="HV22" s="220"/>
      <c r="HW22" s="220"/>
      <c r="HX22" s="220"/>
      <c r="HY22" s="220"/>
      <c r="HZ22" s="220"/>
      <c r="IA22" s="220"/>
      <c r="IB22" s="220"/>
      <c r="IC22" s="220"/>
      <c r="ID22" s="220"/>
      <c r="IE22" s="220"/>
      <c r="IF22" s="220"/>
      <c r="IG22" s="220"/>
      <c r="IH22" s="220"/>
      <c r="II22" s="220"/>
      <c r="IJ22" s="220"/>
      <c r="IK22" s="220"/>
      <c r="IL22" s="220"/>
      <c r="IM22" s="220"/>
      <c r="IN22" s="220"/>
      <c r="IO22" s="220"/>
      <c r="IP22" s="220"/>
      <c r="IQ22" s="253"/>
      <c r="IR22" s="255"/>
      <c r="IS22" s="255"/>
      <c r="IT22" s="255"/>
      <c r="IU22" s="255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QK22" s="33"/>
      <c r="QL22" s="33"/>
      <c r="QM22" s="33"/>
      <c r="QN22" s="33"/>
      <c r="QO22" s="33"/>
      <c r="QP22" s="33"/>
      <c r="QQ22" s="12"/>
      <c r="QR22" s="7"/>
    </row>
    <row r="23" spans="3:460" ht="5.0999999999999996" customHeight="1" x14ac:dyDescent="0.3">
      <c r="C23" s="11"/>
      <c r="D23" s="1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C23" s="219"/>
      <c r="HD23" s="220"/>
      <c r="HE23" s="220"/>
      <c r="HF23" s="220"/>
      <c r="HG23" s="220"/>
      <c r="HH23" s="220"/>
      <c r="HI23" s="220"/>
      <c r="HJ23" s="220"/>
      <c r="HK23" s="220"/>
      <c r="HL23" s="220"/>
      <c r="HM23" s="220"/>
      <c r="HN23" s="220"/>
      <c r="HO23" s="220"/>
      <c r="HP23" s="220"/>
      <c r="HQ23" s="220"/>
      <c r="HR23" s="220"/>
      <c r="HS23" s="220"/>
      <c r="HT23" s="220"/>
      <c r="HU23" s="220"/>
      <c r="HV23" s="220"/>
      <c r="HW23" s="220"/>
      <c r="HX23" s="220"/>
      <c r="HY23" s="220"/>
      <c r="HZ23" s="220"/>
      <c r="IA23" s="220"/>
      <c r="IB23" s="220"/>
      <c r="IC23" s="220"/>
      <c r="ID23" s="220"/>
      <c r="IE23" s="220"/>
      <c r="IF23" s="220"/>
      <c r="IG23" s="220"/>
      <c r="IH23" s="220"/>
      <c r="II23" s="220"/>
      <c r="IJ23" s="220"/>
      <c r="IK23" s="220"/>
      <c r="IL23" s="220"/>
      <c r="IM23" s="220"/>
      <c r="IN23" s="220"/>
      <c r="IO23" s="220"/>
      <c r="IP23" s="220"/>
      <c r="IQ23" s="253"/>
      <c r="IR23" s="255"/>
      <c r="IS23" s="255"/>
      <c r="IT23" s="255"/>
      <c r="IU23" s="255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QK23" s="33"/>
      <c r="QL23" s="33"/>
      <c r="QM23" s="33"/>
      <c r="QN23" s="33"/>
      <c r="QO23" s="33"/>
      <c r="QP23" s="33"/>
      <c r="QQ23" s="12"/>
      <c r="QR23" s="7"/>
    </row>
    <row r="24" spans="3:460" ht="5.0999999999999996" customHeight="1" x14ac:dyDescent="0.3">
      <c r="C24" s="11"/>
      <c r="D24" s="1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C24" s="219"/>
      <c r="HD24" s="220"/>
      <c r="HE24" s="220"/>
      <c r="HF24" s="220"/>
      <c r="HG24" s="220"/>
      <c r="HH24" s="220"/>
      <c r="HI24" s="220"/>
      <c r="HJ24" s="220"/>
      <c r="HK24" s="220"/>
      <c r="HL24" s="220"/>
      <c r="HM24" s="220"/>
      <c r="HN24" s="220"/>
      <c r="HO24" s="220"/>
      <c r="HP24" s="220"/>
      <c r="HQ24" s="220"/>
      <c r="HR24" s="220"/>
      <c r="HS24" s="220"/>
      <c r="HT24" s="220"/>
      <c r="HU24" s="220"/>
      <c r="HV24" s="220"/>
      <c r="HW24" s="220"/>
      <c r="HX24" s="220"/>
      <c r="HY24" s="220"/>
      <c r="HZ24" s="220"/>
      <c r="IA24" s="220"/>
      <c r="IB24" s="220"/>
      <c r="IC24" s="220"/>
      <c r="ID24" s="220"/>
      <c r="IE24" s="220"/>
      <c r="IF24" s="220"/>
      <c r="IG24" s="220"/>
      <c r="IH24" s="220"/>
      <c r="II24" s="220"/>
      <c r="IJ24" s="220"/>
      <c r="IK24" s="220"/>
      <c r="IL24" s="220"/>
      <c r="IM24" s="220"/>
      <c r="IN24" s="220"/>
      <c r="IO24" s="220"/>
      <c r="IP24" s="220"/>
      <c r="IQ24" s="253"/>
      <c r="IR24" s="255"/>
      <c r="IS24" s="255"/>
      <c r="IT24" s="255"/>
      <c r="IU24" s="255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QK24" s="33"/>
      <c r="QL24" s="33"/>
      <c r="QM24" s="33"/>
      <c r="QN24" s="33"/>
      <c r="QO24" s="33"/>
      <c r="QP24" s="33"/>
      <c r="QQ24" s="12"/>
      <c r="QR24" s="7"/>
    </row>
    <row r="25" spans="3:460" ht="5.0999999999999996" customHeight="1" x14ac:dyDescent="0.3">
      <c r="C25" s="11"/>
      <c r="D25" s="1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C25" s="219"/>
      <c r="HD25" s="220"/>
      <c r="HE25" s="220"/>
      <c r="HF25" s="220"/>
      <c r="HG25" s="220"/>
      <c r="HH25" s="220"/>
      <c r="HI25" s="220"/>
      <c r="HJ25" s="220"/>
      <c r="HK25" s="220"/>
      <c r="HL25" s="220"/>
      <c r="HM25" s="220"/>
      <c r="HN25" s="220"/>
      <c r="HO25" s="220"/>
      <c r="HP25" s="220"/>
      <c r="HQ25" s="220"/>
      <c r="HR25" s="220"/>
      <c r="HS25" s="220"/>
      <c r="HT25" s="220"/>
      <c r="HU25" s="220"/>
      <c r="HV25" s="220"/>
      <c r="HW25" s="220"/>
      <c r="HX25" s="220"/>
      <c r="HY25" s="220"/>
      <c r="HZ25" s="220"/>
      <c r="IA25" s="220"/>
      <c r="IB25" s="220"/>
      <c r="IC25" s="220"/>
      <c r="ID25" s="220"/>
      <c r="IE25" s="220"/>
      <c r="IF25" s="220"/>
      <c r="IG25" s="220"/>
      <c r="IH25" s="220"/>
      <c r="II25" s="220"/>
      <c r="IJ25" s="220"/>
      <c r="IK25" s="220"/>
      <c r="IL25" s="220"/>
      <c r="IM25" s="220"/>
      <c r="IN25" s="220"/>
      <c r="IO25" s="220"/>
      <c r="IP25" s="220"/>
      <c r="IQ25" s="253"/>
      <c r="IR25" s="255"/>
      <c r="IS25" s="255"/>
      <c r="IT25" s="255"/>
      <c r="IU25" s="255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QK25" s="33"/>
      <c r="QL25" s="33"/>
      <c r="QM25" s="33"/>
      <c r="QN25" s="33"/>
      <c r="QO25" s="33"/>
      <c r="QP25" s="33"/>
      <c r="QQ25" s="12"/>
      <c r="QR25" s="7"/>
    </row>
    <row r="26" spans="3:460" ht="5.0999999999999996" customHeight="1" x14ac:dyDescent="0.3">
      <c r="C26" s="11"/>
      <c r="D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HC26" s="219"/>
      <c r="HD26" s="220"/>
      <c r="HE26" s="220"/>
      <c r="HF26" s="220"/>
      <c r="HG26" s="220"/>
      <c r="HH26" s="220"/>
      <c r="HI26" s="220"/>
      <c r="HJ26" s="220"/>
      <c r="HK26" s="220"/>
      <c r="HL26" s="220"/>
      <c r="HM26" s="220"/>
      <c r="HN26" s="220"/>
      <c r="HO26" s="220"/>
      <c r="HP26" s="220"/>
      <c r="HQ26" s="220"/>
      <c r="HR26" s="220"/>
      <c r="HS26" s="220"/>
      <c r="HT26" s="220"/>
      <c r="HU26" s="220"/>
      <c r="HV26" s="220"/>
      <c r="HW26" s="220"/>
      <c r="HX26" s="220"/>
      <c r="HY26" s="220"/>
      <c r="HZ26" s="220"/>
      <c r="IA26" s="220"/>
      <c r="IB26" s="220"/>
      <c r="IC26" s="220"/>
      <c r="ID26" s="220"/>
      <c r="IE26" s="220"/>
      <c r="IF26" s="220"/>
      <c r="IG26" s="220"/>
      <c r="IH26" s="220"/>
      <c r="II26" s="220"/>
      <c r="IJ26" s="220"/>
      <c r="IK26" s="220"/>
      <c r="IL26" s="220"/>
      <c r="IM26" s="220"/>
      <c r="IN26" s="220"/>
      <c r="IO26" s="220"/>
      <c r="IP26" s="220"/>
      <c r="IQ26" s="253"/>
      <c r="IR26" s="255"/>
      <c r="IS26" s="255"/>
      <c r="IT26" s="255"/>
      <c r="IU26" s="255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QK26" s="33"/>
      <c r="QL26" s="33"/>
      <c r="QM26" s="33"/>
      <c r="QN26" s="33"/>
      <c r="QO26" s="33"/>
      <c r="QP26" s="33"/>
      <c r="QQ26" s="12"/>
      <c r="QR26" s="7"/>
    </row>
    <row r="27" spans="3:460" ht="5.0999999999999996" customHeight="1" x14ac:dyDescent="0.3">
      <c r="C27" s="11"/>
      <c r="D27" s="1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HC27" s="222"/>
      <c r="HD27" s="223"/>
      <c r="HE27" s="223"/>
      <c r="HF27" s="223"/>
      <c r="HG27" s="223"/>
      <c r="HH27" s="223"/>
      <c r="HI27" s="223"/>
      <c r="HJ27" s="223"/>
      <c r="HK27" s="223"/>
      <c r="HL27" s="223"/>
      <c r="HM27" s="223"/>
      <c r="HN27" s="223"/>
      <c r="HO27" s="223"/>
      <c r="HP27" s="223"/>
      <c r="HQ27" s="223"/>
      <c r="HR27" s="223"/>
      <c r="HS27" s="223"/>
      <c r="HT27" s="223"/>
      <c r="HU27" s="223"/>
      <c r="HV27" s="223"/>
      <c r="HW27" s="223"/>
      <c r="HX27" s="223"/>
      <c r="HY27" s="223"/>
      <c r="HZ27" s="223"/>
      <c r="IA27" s="223"/>
      <c r="IB27" s="223"/>
      <c r="IC27" s="223"/>
      <c r="ID27" s="223"/>
      <c r="IE27" s="223"/>
      <c r="IF27" s="223"/>
      <c r="IG27" s="223"/>
      <c r="IH27" s="223"/>
      <c r="II27" s="223"/>
      <c r="IJ27" s="223"/>
      <c r="IK27" s="223"/>
      <c r="IL27" s="223"/>
      <c r="IM27" s="223"/>
      <c r="IN27" s="223"/>
      <c r="IO27" s="223"/>
      <c r="IP27" s="223"/>
      <c r="IQ27" s="254"/>
      <c r="IR27" s="255"/>
      <c r="IS27" s="255"/>
      <c r="IT27" s="255"/>
      <c r="IU27" s="255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QK27" s="33"/>
      <c r="QL27" s="33"/>
      <c r="QM27" s="33"/>
      <c r="QN27" s="33"/>
      <c r="QO27" s="33"/>
      <c r="QP27" s="33"/>
      <c r="QQ27" s="12"/>
      <c r="QR27" s="7"/>
    </row>
    <row r="28" spans="3:460" ht="5.0999999999999996" customHeight="1" x14ac:dyDescent="0.3">
      <c r="C28" s="11"/>
      <c r="D28" s="1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4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QK28" s="33"/>
      <c r="QL28" s="33"/>
      <c r="QM28" s="33"/>
      <c r="QN28" s="33"/>
      <c r="QO28" s="33"/>
      <c r="QP28" s="33"/>
      <c r="QQ28" s="12"/>
      <c r="QR28" s="7"/>
    </row>
    <row r="29" spans="3:460" ht="5.0999999999999996" customHeight="1" x14ac:dyDescent="0.3">
      <c r="C29" s="11"/>
      <c r="D29" s="13"/>
      <c r="F29" s="33"/>
      <c r="G29" s="33"/>
      <c r="H29" s="33"/>
      <c r="I29" s="33"/>
      <c r="J29" s="33"/>
      <c r="K29" s="33"/>
      <c r="L29" s="33"/>
      <c r="M29" s="33"/>
      <c r="N29" s="33"/>
      <c r="O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4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QQ29" s="12"/>
      <c r="QR29" s="7"/>
    </row>
    <row r="30" spans="3:460" ht="5.0999999999999996" customHeight="1" x14ac:dyDescent="0.3">
      <c r="C30" s="11"/>
      <c r="D30" s="13"/>
      <c r="F30" s="33"/>
      <c r="G30" s="33"/>
      <c r="H30" s="33"/>
      <c r="I30" s="33"/>
      <c r="J30" s="33"/>
      <c r="K30" s="33"/>
      <c r="L30" s="33"/>
      <c r="M30" s="33"/>
      <c r="N30" s="33"/>
      <c r="O30" s="33"/>
      <c r="HW30" s="16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J30" s="32"/>
      <c r="JK30" s="32"/>
      <c r="QQ30" s="12"/>
      <c r="QR30" s="7"/>
    </row>
    <row r="31" spans="3:460" ht="5.0999999999999996" customHeight="1" x14ac:dyDescent="0.3">
      <c r="C31" s="11"/>
      <c r="D31" s="13"/>
      <c r="F31" s="33"/>
      <c r="G31" s="33"/>
      <c r="H31" s="33"/>
      <c r="I31" s="33"/>
      <c r="J31" s="33"/>
      <c r="K31" s="33"/>
      <c r="L31" s="33"/>
      <c r="M31" s="33"/>
      <c r="N31" s="33"/>
      <c r="O31" s="33"/>
      <c r="HW31" s="16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J31" s="32"/>
      <c r="JK31" s="32"/>
      <c r="QQ31" s="12"/>
      <c r="QR31" s="7"/>
    </row>
    <row r="32" spans="3:460" ht="5.0999999999999996" customHeight="1" x14ac:dyDescent="0.3">
      <c r="C32" s="11"/>
      <c r="D32" s="13"/>
      <c r="F32" s="33"/>
      <c r="G32" s="33"/>
      <c r="H32" s="33"/>
      <c r="I32" s="33"/>
      <c r="J32" s="33"/>
      <c r="K32" s="33"/>
      <c r="L32" s="33"/>
      <c r="M32" s="33"/>
      <c r="N32" s="33"/>
      <c r="O32" s="33"/>
      <c r="HW32" s="16"/>
      <c r="QQ32" s="12"/>
      <c r="QR32" s="7"/>
    </row>
    <row r="33" spans="3:460" ht="5.0999999999999996" customHeight="1" thickBot="1" x14ac:dyDescent="0.35">
      <c r="C33" s="11"/>
      <c r="D33" s="13"/>
      <c r="F33" s="33"/>
      <c r="G33" s="33"/>
      <c r="H33" s="33"/>
      <c r="I33" s="33"/>
      <c r="J33" s="33"/>
      <c r="K33" s="33"/>
      <c r="L33" s="33"/>
      <c r="M33" s="33"/>
      <c r="N33" s="33"/>
      <c r="O33" s="33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V33" s="19"/>
      <c r="HW33" s="16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QQ33" s="12"/>
      <c r="QR33" s="7"/>
    </row>
    <row r="34" spans="3:460" ht="5.0999999999999996" customHeight="1" x14ac:dyDescent="0.3">
      <c r="C34" s="11"/>
      <c r="D34" s="13"/>
      <c r="F34" s="33"/>
      <c r="G34" s="33"/>
      <c r="H34" s="33"/>
      <c r="I34" s="33"/>
      <c r="J34" s="33"/>
      <c r="K34" s="33"/>
      <c r="L34" s="33"/>
      <c r="M34" s="33"/>
      <c r="N34" s="33"/>
      <c r="O34" s="33"/>
      <c r="AF34" s="22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O34" s="22"/>
      <c r="EP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2"/>
      <c r="LQ34" s="21"/>
      <c r="LR34" s="21"/>
      <c r="LS34" s="21"/>
      <c r="LT34" s="21"/>
      <c r="LU34" s="21"/>
      <c r="LV34" s="21"/>
      <c r="LW34" s="21"/>
      <c r="LX34" s="161"/>
      <c r="LY34" s="161"/>
      <c r="LZ34" s="161"/>
      <c r="MA34" s="161"/>
      <c r="MB34" s="161"/>
      <c r="MC34" s="161"/>
      <c r="MD34" s="16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0"/>
      <c r="QQ34" s="12"/>
      <c r="QR34" s="7"/>
    </row>
    <row r="35" spans="3:460" ht="5.0999999999999996" customHeight="1" x14ac:dyDescent="0.3">
      <c r="C35" s="11"/>
      <c r="D35" s="13"/>
      <c r="F35" s="33"/>
      <c r="G35" s="33"/>
      <c r="H35" s="33"/>
      <c r="I35" s="33"/>
      <c r="J35" s="33"/>
      <c r="K35" s="33"/>
      <c r="L35" s="33"/>
      <c r="M35" s="33"/>
      <c r="N35" s="33"/>
      <c r="O35" s="33"/>
      <c r="W35" s="33"/>
      <c r="AC35" s="33"/>
      <c r="AD35" s="33"/>
      <c r="AF35" s="16"/>
      <c r="EO35" s="16"/>
      <c r="LP35" s="16"/>
      <c r="PN35" s="19"/>
      <c r="QQ35" s="12"/>
      <c r="QR35" s="7"/>
    </row>
    <row r="36" spans="3:460" ht="5.0999999999999996" customHeight="1" x14ac:dyDescent="0.3">
      <c r="C36" s="11"/>
      <c r="D36" s="1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AC36" s="33"/>
      <c r="AD36" s="33"/>
      <c r="AE36" s="33"/>
      <c r="AF36" s="162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I36" s="33"/>
      <c r="BJ36" s="33"/>
      <c r="EO36" s="16"/>
      <c r="LP36" s="16"/>
      <c r="PN36" s="19"/>
      <c r="QQ36" s="12"/>
      <c r="QR36" s="7"/>
    </row>
    <row r="37" spans="3:460" ht="5.0999999999999996" customHeight="1" x14ac:dyDescent="0.3">
      <c r="C37" s="11"/>
      <c r="D37" s="13"/>
      <c r="F37" s="33"/>
      <c r="G37" s="33"/>
      <c r="H37" s="33"/>
      <c r="I37" s="255" t="s">
        <v>16</v>
      </c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>
        <f>SUM(AX48:BB87)</f>
        <v>9</v>
      </c>
      <c r="AY37" s="255"/>
      <c r="AZ37" s="255"/>
      <c r="BA37" s="255"/>
      <c r="BB37" s="255"/>
      <c r="BC37" s="33"/>
      <c r="BD37" s="33"/>
      <c r="BI37" s="33"/>
      <c r="BJ37" s="33"/>
      <c r="BK37" s="33"/>
      <c r="BL37" s="33"/>
      <c r="BM37" s="33"/>
      <c r="CA37" s="1" t="s">
        <v>126</v>
      </c>
      <c r="EO37" s="16"/>
      <c r="LP37" s="16"/>
      <c r="PN37" s="19"/>
      <c r="QQ37" s="12"/>
      <c r="QR37" s="7"/>
    </row>
    <row r="38" spans="3:460" ht="5.0999999999999996" customHeight="1" x14ac:dyDescent="0.3">
      <c r="C38" s="11"/>
      <c r="D38" s="13"/>
      <c r="F38" s="33"/>
      <c r="G38" s="33"/>
      <c r="H38" s="33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33"/>
      <c r="BD38" s="33"/>
      <c r="BI38" s="33"/>
      <c r="BJ38" s="33"/>
      <c r="BK38" s="33"/>
      <c r="BL38" s="33"/>
      <c r="BM38" s="33"/>
      <c r="EO38" s="16"/>
      <c r="LP38" s="16"/>
      <c r="OQ38" s="256" t="s">
        <v>15</v>
      </c>
      <c r="OR38" s="257"/>
      <c r="OS38" s="257"/>
      <c r="OT38" s="257"/>
      <c r="OU38" s="257"/>
      <c r="OV38" s="257"/>
      <c r="OW38" s="257"/>
      <c r="OX38" s="257"/>
      <c r="OY38" s="257"/>
      <c r="OZ38" s="257"/>
      <c r="PA38" s="257"/>
      <c r="PB38" s="257"/>
      <c r="PC38" s="257"/>
      <c r="PD38" s="257"/>
      <c r="PE38" s="257"/>
      <c r="PF38" s="257"/>
      <c r="PG38" s="257"/>
      <c r="PH38" s="257"/>
      <c r="PI38" s="257"/>
      <c r="PJ38" s="257"/>
      <c r="PK38" s="257"/>
      <c r="PL38" s="257"/>
      <c r="PM38" s="257"/>
      <c r="PN38" s="257"/>
      <c r="PO38" s="257"/>
      <c r="PP38" s="257"/>
      <c r="PQ38" s="257"/>
      <c r="PR38" s="257"/>
      <c r="PS38" s="257"/>
      <c r="PT38" s="257"/>
      <c r="PU38" s="257"/>
      <c r="PV38" s="257"/>
      <c r="PW38" s="257"/>
      <c r="PX38" s="257"/>
      <c r="PY38" s="257"/>
      <c r="PZ38" s="257"/>
      <c r="QA38" s="257"/>
      <c r="QB38" s="257"/>
      <c r="QC38" s="257"/>
      <c r="QD38" s="257"/>
      <c r="QE38" s="258"/>
      <c r="QF38" s="256">
        <f>SUM(QF49,QG63)</f>
        <v>2</v>
      </c>
      <c r="QG38" s="257"/>
      <c r="QH38" s="257"/>
      <c r="QI38" s="257"/>
      <c r="QJ38" s="257"/>
      <c r="QK38" s="258"/>
      <c r="QQ38" s="12"/>
      <c r="QR38" s="7"/>
    </row>
    <row r="39" spans="3:460" ht="5.0999999999999996" customHeight="1" x14ac:dyDescent="0.3">
      <c r="C39" s="11"/>
      <c r="D39" s="13"/>
      <c r="F39" s="33"/>
      <c r="G39" s="33"/>
      <c r="H39" s="33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  <c r="AX39" s="255"/>
      <c r="AY39" s="255"/>
      <c r="AZ39" s="255"/>
      <c r="BA39" s="255"/>
      <c r="BB39" s="255"/>
      <c r="BC39" s="33"/>
      <c r="BD39" s="33"/>
      <c r="BI39" s="33"/>
      <c r="BJ39" s="33"/>
      <c r="BK39" s="33"/>
      <c r="BL39" s="33"/>
      <c r="BM39" s="33"/>
      <c r="CK39" s="33"/>
      <c r="CL39" s="33"/>
      <c r="CM39" s="33"/>
      <c r="CN39" s="33"/>
      <c r="CO39" s="33"/>
      <c r="EO39" s="16"/>
      <c r="LP39" s="16"/>
      <c r="OQ39" s="259"/>
      <c r="OR39" s="220"/>
      <c r="OS39" s="220"/>
      <c r="OT39" s="220"/>
      <c r="OU39" s="220"/>
      <c r="OV39" s="220"/>
      <c r="OW39" s="220"/>
      <c r="OX39" s="220"/>
      <c r="OY39" s="220"/>
      <c r="OZ39" s="220"/>
      <c r="PA39" s="220"/>
      <c r="PB39" s="220"/>
      <c r="PC39" s="220"/>
      <c r="PD39" s="220"/>
      <c r="PE39" s="220"/>
      <c r="PF39" s="220"/>
      <c r="PG39" s="220"/>
      <c r="PH39" s="220"/>
      <c r="PI39" s="220"/>
      <c r="PJ39" s="220"/>
      <c r="PK39" s="220"/>
      <c r="PL39" s="220"/>
      <c r="PM39" s="220"/>
      <c r="PN39" s="220"/>
      <c r="PO39" s="220"/>
      <c r="PP39" s="220"/>
      <c r="PQ39" s="220"/>
      <c r="PR39" s="220"/>
      <c r="PS39" s="220"/>
      <c r="PT39" s="220"/>
      <c r="PU39" s="220"/>
      <c r="PV39" s="220"/>
      <c r="PW39" s="220"/>
      <c r="PX39" s="220"/>
      <c r="PY39" s="220"/>
      <c r="PZ39" s="220"/>
      <c r="QA39" s="220"/>
      <c r="QB39" s="220"/>
      <c r="QC39" s="220"/>
      <c r="QD39" s="220"/>
      <c r="QE39" s="253"/>
      <c r="QF39" s="259"/>
      <c r="QG39" s="220"/>
      <c r="QH39" s="220"/>
      <c r="QI39" s="220"/>
      <c r="QJ39" s="220"/>
      <c r="QK39" s="253"/>
      <c r="QQ39" s="12"/>
      <c r="QR39" s="7"/>
    </row>
    <row r="40" spans="3:460" ht="5.0999999999999996" customHeight="1" x14ac:dyDescent="0.3">
      <c r="C40" s="11"/>
      <c r="D40" s="13"/>
      <c r="F40" s="33"/>
      <c r="G40" s="33"/>
      <c r="H40" s="33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255"/>
      <c r="AN40" s="255"/>
      <c r="AO40" s="255"/>
      <c r="AP40" s="255"/>
      <c r="AQ40" s="255"/>
      <c r="AR40" s="255"/>
      <c r="AS40" s="255"/>
      <c r="AT40" s="255"/>
      <c r="AU40" s="255"/>
      <c r="AV40" s="255"/>
      <c r="AW40" s="255"/>
      <c r="AX40" s="255"/>
      <c r="AY40" s="255"/>
      <c r="AZ40" s="255"/>
      <c r="BA40" s="255"/>
      <c r="BB40" s="255"/>
      <c r="BC40" s="33"/>
      <c r="BD40" s="33"/>
      <c r="CK40" s="33"/>
      <c r="CL40" s="33"/>
      <c r="CM40" s="33"/>
      <c r="CN40" s="33"/>
      <c r="CO40" s="33"/>
      <c r="EO40" s="16"/>
      <c r="LP40" s="16"/>
      <c r="OQ40" s="259"/>
      <c r="OR40" s="220"/>
      <c r="OS40" s="220"/>
      <c r="OT40" s="220"/>
      <c r="OU40" s="220"/>
      <c r="OV40" s="220"/>
      <c r="OW40" s="220"/>
      <c r="OX40" s="220"/>
      <c r="OY40" s="220"/>
      <c r="OZ40" s="220"/>
      <c r="PA40" s="220"/>
      <c r="PB40" s="220"/>
      <c r="PC40" s="220"/>
      <c r="PD40" s="220"/>
      <c r="PE40" s="220"/>
      <c r="PF40" s="220"/>
      <c r="PG40" s="220"/>
      <c r="PH40" s="220"/>
      <c r="PI40" s="220"/>
      <c r="PJ40" s="220"/>
      <c r="PK40" s="220"/>
      <c r="PL40" s="220"/>
      <c r="PM40" s="220"/>
      <c r="PN40" s="220"/>
      <c r="PO40" s="220"/>
      <c r="PP40" s="220"/>
      <c r="PQ40" s="220"/>
      <c r="PR40" s="220"/>
      <c r="PS40" s="220"/>
      <c r="PT40" s="220"/>
      <c r="PU40" s="220"/>
      <c r="PV40" s="220"/>
      <c r="PW40" s="220"/>
      <c r="PX40" s="220"/>
      <c r="PY40" s="220"/>
      <c r="PZ40" s="220"/>
      <c r="QA40" s="220"/>
      <c r="QB40" s="220"/>
      <c r="QC40" s="220"/>
      <c r="QD40" s="220"/>
      <c r="QE40" s="253"/>
      <c r="QF40" s="259"/>
      <c r="QG40" s="220"/>
      <c r="QH40" s="220"/>
      <c r="QI40" s="220"/>
      <c r="QJ40" s="220"/>
      <c r="QK40" s="253"/>
      <c r="QQ40" s="12"/>
      <c r="QR40" s="7"/>
    </row>
    <row r="41" spans="3:460" ht="5.0999999999999996" customHeight="1" x14ac:dyDescent="0.3">
      <c r="C41" s="11"/>
      <c r="D41" s="13"/>
      <c r="F41" s="33"/>
      <c r="G41" s="33"/>
      <c r="H41" s="33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  <c r="AD41" s="255"/>
      <c r="AE41" s="255"/>
      <c r="AF41" s="255"/>
      <c r="AG41" s="255"/>
      <c r="AH41" s="255"/>
      <c r="AI41" s="255"/>
      <c r="AJ41" s="255"/>
      <c r="AK41" s="255"/>
      <c r="AL41" s="255"/>
      <c r="AM41" s="255"/>
      <c r="AN41" s="255"/>
      <c r="AO41" s="255"/>
      <c r="AP41" s="255"/>
      <c r="AQ41" s="255"/>
      <c r="AR41" s="255"/>
      <c r="AS41" s="255"/>
      <c r="AT41" s="255"/>
      <c r="AU41" s="255"/>
      <c r="AV41" s="255"/>
      <c r="AW41" s="255"/>
      <c r="AX41" s="255"/>
      <c r="AY41" s="255"/>
      <c r="AZ41" s="255"/>
      <c r="BA41" s="255"/>
      <c r="BB41" s="255"/>
      <c r="BC41" s="33"/>
      <c r="BD41" s="33"/>
      <c r="CK41" s="33"/>
      <c r="CL41" s="33"/>
      <c r="CM41" s="33"/>
      <c r="CN41" s="33"/>
      <c r="CO41" s="33"/>
      <c r="EO41" s="16"/>
      <c r="LP41" s="16"/>
      <c r="OQ41" s="259"/>
      <c r="OR41" s="220"/>
      <c r="OS41" s="220"/>
      <c r="OT41" s="220"/>
      <c r="OU41" s="220"/>
      <c r="OV41" s="220"/>
      <c r="OW41" s="220"/>
      <c r="OX41" s="220"/>
      <c r="OY41" s="220"/>
      <c r="OZ41" s="220"/>
      <c r="PA41" s="220"/>
      <c r="PB41" s="220"/>
      <c r="PC41" s="220"/>
      <c r="PD41" s="220"/>
      <c r="PE41" s="220"/>
      <c r="PF41" s="220"/>
      <c r="PG41" s="220"/>
      <c r="PH41" s="220"/>
      <c r="PI41" s="220"/>
      <c r="PJ41" s="220"/>
      <c r="PK41" s="220"/>
      <c r="PL41" s="220"/>
      <c r="PM41" s="220"/>
      <c r="PN41" s="220"/>
      <c r="PO41" s="220"/>
      <c r="PP41" s="220"/>
      <c r="PQ41" s="220"/>
      <c r="PR41" s="220"/>
      <c r="PS41" s="220"/>
      <c r="PT41" s="220"/>
      <c r="PU41" s="220"/>
      <c r="PV41" s="220"/>
      <c r="PW41" s="220"/>
      <c r="PX41" s="220"/>
      <c r="PY41" s="220"/>
      <c r="PZ41" s="220"/>
      <c r="QA41" s="220"/>
      <c r="QB41" s="220"/>
      <c r="QC41" s="220"/>
      <c r="QD41" s="220"/>
      <c r="QE41" s="253"/>
      <c r="QF41" s="259"/>
      <c r="QG41" s="220"/>
      <c r="QH41" s="220"/>
      <c r="QI41" s="220"/>
      <c r="QJ41" s="220"/>
      <c r="QK41" s="253"/>
      <c r="QQ41" s="12"/>
      <c r="QR41" s="7"/>
    </row>
    <row r="42" spans="3:460" ht="5.0999999999999996" customHeight="1" x14ac:dyDescent="0.3">
      <c r="C42" s="11"/>
      <c r="D42" s="13"/>
      <c r="F42" s="33"/>
      <c r="G42" s="33"/>
      <c r="H42" s="33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  <c r="AB42" s="255"/>
      <c r="AC42" s="255"/>
      <c r="AD42" s="255"/>
      <c r="AE42" s="255"/>
      <c r="AF42" s="255"/>
      <c r="AG42" s="255"/>
      <c r="AH42" s="255"/>
      <c r="AI42" s="255"/>
      <c r="AJ42" s="255"/>
      <c r="AK42" s="255"/>
      <c r="AL42" s="255"/>
      <c r="AM42" s="255"/>
      <c r="AN42" s="255"/>
      <c r="AO42" s="255"/>
      <c r="AP42" s="255"/>
      <c r="AQ42" s="255"/>
      <c r="AR42" s="255"/>
      <c r="AS42" s="255"/>
      <c r="AT42" s="255"/>
      <c r="AU42" s="255"/>
      <c r="AV42" s="255"/>
      <c r="AW42" s="255"/>
      <c r="AX42" s="255"/>
      <c r="AY42" s="255"/>
      <c r="AZ42" s="255"/>
      <c r="BA42" s="255"/>
      <c r="BB42" s="255"/>
      <c r="BC42" s="33"/>
      <c r="BD42" s="33"/>
      <c r="CK42" s="33"/>
      <c r="CL42" s="33"/>
      <c r="CM42" s="33"/>
      <c r="CN42" s="33"/>
      <c r="CO42" s="33"/>
      <c r="EO42" s="15"/>
      <c r="LP42" s="16"/>
      <c r="OQ42" s="259"/>
      <c r="OR42" s="220"/>
      <c r="OS42" s="220"/>
      <c r="OT42" s="220"/>
      <c r="OU42" s="220"/>
      <c r="OV42" s="220"/>
      <c r="OW42" s="220"/>
      <c r="OX42" s="220"/>
      <c r="OY42" s="220"/>
      <c r="OZ42" s="220"/>
      <c r="PA42" s="220"/>
      <c r="PB42" s="220"/>
      <c r="PC42" s="220"/>
      <c r="PD42" s="220"/>
      <c r="PE42" s="220"/>
      <c r="PF42" s="220"/>
      <c r="PG42" s="220"/>
      <c r="PH42" s="220"/>
      <c r="PI42" s="220"/>
      <c r="PJ42" s="220"/>
      <c r="PK42" s="220"/>
      <c r="PL42" s="220"/>
      <c r="PM42" s="220"/>
      <c r="PN42" s="220"/>
      <c r="PO42" s="220"/>
      <c r="PP42" s="220"/>
      <c r="PQ42" s="220"/>
      <c r="PR42" s="220"/>
      <c r="PS42" s="220"/>
      <c r="PT42" s="220"/>
      <c r="PU42" s="220"/>
      <c r="PV42" s="220"/>
      <c r="PW42" s="220"/>
      <c r="PX42" s="220"/>
      <c r="PY42" s="220"/>
      <c r="PZ42" s="220"/>
      <c r="QA42" s="220"/>
      <c r="QB42" s="220"/>
      <c r="QC42" s="220"/>
      <c r="QD42" s="220"/>
      <c r="QE42" s="253"/>
      <c r="QF42" s="259"/>
      <c r="QG42" s="220"/>
      <c r="QH42" s="220"/>
      <c r="QI42" s="220"/>
      <c r="QJ42" s="220"/>
      <c r="QK42" s="253"/>
      <c r="QQ42" s="12"/>
      <c r="QR42" s="7"/>
    </row>
    <row r="43" spans="3:460" ht="5.0999999999999996" customHeight="1" x14ac:dyDescent="0.3">
      <c r="C43" s="11"/>
      <c r="D43" s="13"/>
      <c r="F43" s="33"/>
      <c r="G43" s="33"/>
      <c r="H43" s="33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  <c r="AI43" s="255"/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255"/>
      <c r="AU43" s="255"/>
      <c r="AV43" s="255"/>
      <c r="AW43" s="255"/>
      <c r="AX43" s="255"/>
      <c r="AY43" s="255"/>
      <c r="AZ43" s="255"/>
      <c r="BA43" s="255"/>
      <c r="BB43" s="255"/>
      <c r="BC43" s="33"/>
      <c r="BD43" s="33"/>
      <c r="CK43" s="33"/>
      <c r="CL43" s="33"/>
      <c r="CM43" s="33"/>
      <c r="CN43" s="33"/>
      <c r="CO43" s="33"/>
      <c r="DR43" s="184" t="s">
        <v>177</v>
      </c>
      <c r="DS43" s="185"/>
      <c r="DT43" s="185"/>
      <c r="DU43" s="185"/>
      <c r="DV43" s="185"/>
      <c r="DW43" s="185"/>
      <c r="DX43" s="185"/>
      <c r="DY43" s="185"/>
      <c r="DZ43" s="185"/>
      <c r="EA43" s="185"/>
      <c r="EB43" s="185"/>
      <c r="EC43" s="185"/>
      <c r="ED43" s="185"/>
      <c r="EE43" s="185"/>
      <c r="EF43" s="185"/>
      <c r="EG43" s="185"/>
      <c r="EH43" s="185"/>
      <c r="EI43" s="185"/>
      <c r="EJ43" s="185"/>
      <c r="EK43" s="185"/>
      <c r="EL43" s="185"/>
      <c r="EM43" s="185"/>
      <c r="EN43" s="185"/>
      <c r="EO43" s="185"/>
      <c r="EP43" s="185"/>
      <c r="EQ43" s="185"/>
      <c r="ER43" s="185"/>
      <c r="ES43" s="185"/>
      <c r="ET43" s="185"/>
      <c r="EU43" s="185"/>
      <c r="EV43" s="185"/>
      <c r="EW43" s="185"/>
      <c r="EX43" s="185"/>
      <c r="EY43" s="185"/>
      <c r="EZ43" s="185"/>
      <c r="FA43" s="185"/>
      <c r="FB43" s="185"/>
      <c r="FC43" s="185"/>
      <c r="FD43" s="185"/>
      <c r="FE43" s="185"/>
      <c r="FF43" s="263"/>
      <c r="FG43" s="242">
        <v>1</v>
      </c>
      <c r="FH43" s="242"/>
      <c r="FI43" s="242"/>
      <c r="FJ43" s="242"/>
      <c r="LP43" s="16"/>
      <c r="OQ43" s="259"/>
      <c r="OR43" s="220"/>
      <c r="OS43" s="220"/>
      <c r="OT43" s="220"/>
      <c r="OU43" s="220"/>
      <c r="OV43" s="220"/>
      <c r="OW43" s="220"/>
      <c r="OX43" s="220"/>
      <c r="OY43" s="220"/>
      <c r="OZ43" s="220"/>
      <c r="PA43" s="220"/>
      <c r="PB43" s="220"/>
      <c r="PC43" s="220"/>
      <c r="PD43" s="220"/>
      <c r="PE43" s="220"/>
      <c r="PF43" s="220"/>
      <c r="PG43" s="220"/>
      <c r="PH43" s="220"/>
      <c r="PI43" s="220"/>
      <c r="PJ43" s="220"/>
      <c r="PK43" s="220"/>
      <c r="PL43" s="220"/>
      <c r="PM43" s="220"/>
      <c r="PN43" s="220"/>
      <c r="PO43" s="220"/>
      <c r="PP43" s="220"/>
      <c r="PQ43" s="220"/>
      <c r="PR43" s="220"/>
      <c r="PS43" s="220"/>
      <c r="PT43" s="220"/>
      <c r="PU43" s="220"/>
      <c r="PV43" s="220"/>
      <c r="PW43" s="220"/>
      <c r="PX43" s="220"/>
      <c r="PY43" s="220"/>
      <c r="PZ43" s="220"/>
      <c r="QA43" s="220"/>
      <c r="QB43" s="220"/>
      <c r="QC43" s="220"/>
      <c r="QD43" s="220"/>
      <c r="QE43" s="253"/>
      <c r="QF43" s="259"/>
      <c r="QG43" s="220"/>
      <c r="QH43" s="220"/>
      <c r="QI43" s="220"/>
      <c r="QJ43" s="220"/>
      <c r="QK43" s="253"/>
      <c r="QQ43" s="12"/>
      <c r="QR43" s="7"/>
    </row>
    <row r="44" spans="3:460" ht="5.0999999999999996" customHeight="1" x14ac:dyDescent="0.3">
      <c r="C44" s="11"/>
      <c r="D44" s="13"/>
      <c r="F44" s="33"/>
      <c r="G44" s="33"/>
      <c r="H44" s="33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255"/>
      <c r="AN44" s="255"/>
      <c r="AO44" s="255"/>
      <c r="AP44" s="255"/>
      <c r="AQ44" s="255"/>
      <c r="AR44" s="255"/>
      <c r="AS44" s="255"/>
      <c r="AT44" s="255"/>
      <c r="AU44" s="255"/>
      <c r="AV44" s="255"/>
      <c r="AW44" s="255"/>
      <c r="AX44" s="255"/>
      <c r="AY44" s="255"/>
      <c r="AZ44" s="255"/>
      <c r="BA44" s="255"/>
      <c r="BB44" s="255"/>
      <c r="BC44" s="33"/>
      <c r="BD44" s="33"/>
      <c r="DR44" s="187"/>
      <c r="DS44" s="188"/>
      <c r="DT44" s="188"/>
      <c r="DU44" s="188"/>
      <c r="DV44" s="188"/>
      <c r="DW44" s="188"/>
      <c r="DX44" s="188"/>
      <c r="DY44" s="188"/>
      <c r="DZ44" s="188"/>
      <c r="EA44" s="188"/>
      <c r="EB44" s="188"/>
      <c r="EC44" s="188"/>
      <c r="ED44" s="188"/>
      <c r="EE44" s="188"/>
      <c r="EF44" s="188"/>
      <c r="EG44" s="188"/>
      <c r="EH44" s="188"/>
      <c r="EI44" s="188"/>
      <c r="EJ44" s="188"/>
      <c r="EK44" s="188"/>
      <c r="EL44" s="188"/>
      <c r="EM44" s="188"/>
      <c r="EN44" s="188"/>
      <c r="EO44" s="188"/>
      <c r="EP44" s="188"/>
      <c r="EQ44" s="188"/>
      <c r="ER44" s="188"/>
      <c r="ES44" s="188"/>
      <c r="ET44" s="188"/>
      <c r="EU44" s="188"/>
      <c r="EV44" s="188"/>
      <c r="EW44" s="188"/>
      <c r="EX44" s="188"/>
      <c r="EY44" s="188"/>
      <c r="EZ44" s="188"/>
      <c r="FA44" s="188"/>
      <c r="FB44" s="188"/>
      <c r="FC44" s="188"/>
      <c r="FD44" s="188"/>
      <c r="FE44" s="188"/>
      <c r="FF44" s="238"/>
      <c r="FG44" s="242"/>
      <c r="FH44" s="242"/>
      <c r="FI44" s="242"/>
      <c r="FJ44" s="242"/>
      <c r="LP44" s="16"/>
      <c r="OQ44" s="259"/>
      <c r="OR44" s="220"/>
      <c r="OS44" s="220"/>
      <c r="OT44" s="220"/>
      <c r="OU44" s="220"/>
      <c r="OV44" s="220"/>
      <c r="OW44" s="220"/>
      <c r="OX44" s="220"/>
      <c r="OY44" s="220"/>
      <c r="OZ44" s="220"/>
      <c r="PA44" s="220"/>
      <c r="PB44" s="220"/>
      <c r="PC44" s="220"/>
      <c r="PD44" s="220"/>
      <c r="PE44" s="220"/>
      <c r="PF44" s="220"/>
      <c r="PG44" s="220"/>
      <c r="PH44" s="220"/>
      <c r="PI44" s="220"/>
      <c r="PJ44" s="220"/>
      <c r="PK44" s="220"/>
      <c r="PL44" s="220"/>
      <c r="PM44" s="220"/>
      <c r="PN44" s="220"/>
      <c r="PO44" s="220"/>
      <c r="PP44" s="220"/>
      <c r="PQ44" s="220"/>
      <c r="PR44" s="220"/>
      <c r="PS44" s="220"/>
      <c r="PT44" s="220"/>
      <c r="PU44" s="220"/>
      <c r="PV44" s="220"/>
      <c r="PW44" s="220"/>
      <c r="PX44" s="220"/>
      <c r="PY44" s="220"/>
      <c r="PZ44" s="220"/>
      <c r="QA44" s="220"/>
      <c r="QB44" s="220"/>
      <c r="QC44" s="220"/>
      <c r="QD44" s="220"/>
      <c r="QE44" s="253"/>
      <c r="QF44" s="259"/>
      <c r="QG44" s="220"/>
      <c r="QH44" s="220"/>
      <c r="QI44" s="220"/>
      <c r="QJ44" s="220"/>
      <c r="QK44" s="253"/>
      <c r="QQ44" s="12"/>
      <c r="QR44" s="7"/>
    </row>
    <row r="45" spans="3:460" ht="5.0999999999999996" customHeight="1" x14ac:dyDescent="0.3">
      <c r="C45" s="11"/>
      <c r="D45" s="13"/>
      <c r="F45" s="33"/>
      <c r="G45" s="33"/>
      <c r="H45" s="33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255"/>
      <c r="AN45" s="255"/>
      <c r="AO45" s="255"/>
      <c r="AP45" s="255"/>
      <c r="AQ45" s="255"/>
      <c r="AR45" s="255"/>
      <c r="AS45" s="255"/>
      <c r="AT45" s="255"/>
      <c r="AU45" s="255"/>
      <c r="AV45" s="255"/>
      <c r="AW45" s="255"/>
      <c r="AX45" s="255"/>
      <c r="AY45" s="255"/>
      <c r="AZ45" s="255"/>
      <c r="BA45" s="255"/>
      <c r="BB45" s="255"/>
      <c r="DR45" s="187"/>
      <c r="DS45" s="188"/>
      <c r="DT45" s="188"/>
      <c r="DU45" s="188"/>
      <c r="DV45" s="188"/>
      <c r="DW45" s="188"/>
      <c r="DX45" s="188"/>
      <c r="DY45" s="188"/>
      <c r="DZ45" s="188"/>
      <c r="EA45" s="188"/>
      <c r="EB45" s="188"/>
      <c r="EC45" s="188"/>
      <c r="ED45" s="188"/>
      <c r="EE45" s="188"/>
      <c r="EF45" s="188"/>
      <c r="EG45" s="188"/>
      <c r="EH45" s="188"/>
      <c r="EI45" s="188"/>
      <c r="EJ45" s="188"/>
      <c r="EK45" s="188"/>
      <c r="EL45" s="188"/>
      <c r="EM45" s="188"/>
      <c r="EN45" s="188"/>
      <c r="EO45" s="188"/>
      <c r="EP45" s="188"/>
      <c r="EQ45" s="188"/>
      <c r="ER45" s="188"/>
      <c r="ES45" s="188"/>
      <c r="ET45" s="188"/>
      <c r="EU45" s="188"/>
      <c r="EV45" s="188"/>
      <c r="EW45" s="188"/>
      <c r="EX45" s="188"/>
      <c r="EY45" s="188"/>
      <c r="EZ45" s="188"/>
      <c r="FA45" s="188"/>
      <c r="FB45" s="188"/>
      <c r="FC45" s="188"/>
      <c r="FD45" s="188"/>
      <c r="FE45" s="188"/>
      <c r="FF45" s="238"/>
      <c r="FG45" s="242"/>
      <c r="FH45" s="242"/>
      <c r="FI45" s="242"/>
      <c r="FJ45" s="242"/>
      <c r="LP45" s="16"/>
      <c r="OQ45" s="259"/>
      <c r="OR45" s="220"/>
      <c r="OS45" s="220"/>
      <c r="OT45" s="220"/>
      <c r="OU45" s="220"/>
      <c r="OV45" s="220"/>
      <c r="OW45" s="220"/>
      <c r="OX45" s="220"/>
      <c r="OY45" s="220"/>
      <c r="OZ45" s="220"/>
      <c r="PA45" s="220"/>
      <c r="PB45" s="220"/>
      <c r="PC45" s="220"/>
      <c r="PD45" s="220"/>
      <c r="PE45" s="220"/>
      <c r="PF45" s="220"/>
      <c r="PG45" s="220"/>
      <c r="PH45" s="220"/>
      <c r="PI45" s="220"/>
      <c r="PJ45" s="220"/>
      <c r="PK45" s="220"/>
      <c r="PL45" s="220"/>
      <c r="PM45" s="220"/>
      <c r="PN45" s="220"/>
      <c r="PO45" s="220"/>
      <c r="PP45" s="220"/>
      <c r="PQ45" s="220"/>
      <c r="PR45" s="220"/>
      <c r="PS45" s="220"/>
      <c r="PT45" s="220"/>
      <c r="PU45" s="220"/>
      <c r="PV45" s="220"/>
      <c r="PW45" s="220"/>
      <c r="PX45" s="220"/>
      <c r="PY45" s="220"/>
      <c r="PZ45" s="220"/>
      <c r="QA45" s="220"/>
      <c r="QB45" s="220"/>
      <c r="QC45" s="220"/>
      <c r="QD45" s="220"/>
      <c r="QE45" s="253"/>
      <c r="QF45" s="259"/>
      <c r="QG45" s="220"/>
      <c r="QH45" s="220"/>
      <c r="QI45" s="220"/>
      <c r="QJ45" s="220"/>
      <c r="QK45" s="253"/>
      <c r="QQ45" s="12"/>
      <c r="QR45" s="7"/>
    </row>
    <row r="46" spans="3:460" ht="5.0999999999999996" customHeight="1" x14ac:dyDescent="0.3">
      <c r="C46" s="11"/>
      <c r="D46" s="13"/>
      <c r="F46" s="33"/>
      <c r="G46" s="33"/>
      <c r="H46" s="33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255"/>
      <c r="AG46" s="255"/>
      <c r="AH46" s="255"/>
      <c r="AI46" s="255"/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5"/>
      <c r="AV46" s="255"/>
      <c r="AW46" s="255"/>
      <c r="AX46" s="255"/>
      <c r="AY46" s="255"/>
      <c r="AZ46" s="255"/>
      <c r="BA46" s="255"/>
      <c r="BB46" s="255"/>
      <c r="DR46" s="187"/>
      <c r="DS46" s="188"/>
      <c r="DT46" s="188"/>
      <c r="DU46" s="188"/>
      <c r="DV46" s="188"/>
      <c r="DW46" s="188"/>
      <c r="DX46" s="188"/>
      <c r="DY46" s="188"/>
      <c r="DZ46" s="188"/>
      <c r="EA46" s="188"/>
      <c r="EB46" s="188"/>
      <c r="EC46" s="188"/>
      <c r="ED46" s="188"/>
      <c r="EE46" s="188"/>
      <c r="EF46" s="188"/>
      <c r="EG46" s="188"/>
      <c r="EH46" s="188"/>
      <c r="EI46" s="188"/>
      <c r="EJ46" s="188"/>
      <c r="EK46" s="188"/>
      <c r="EL46" s="188"/>
      <c r="EM46" s="188"/>
      <c r="EN46" s="188"/>
      <c r="EO46" s="188"/>
      <c r="EP46" s="188"/>
      <c r="EQ46" s="188"/>
      <c r="ER46" s="188"/>
      <c r="ES46" s="188"/>
      <c r="ET46" s="188"/>
      <c r="EU46" s="188"/>
      <c r="EV46" s="188"/>
      <c r="EW46" s="188"/>
      <c r="EX46" s="188"/>
      <c r="EY46" s="188"/>
      <c r="EZ46" s="188"/>
      <c r="FA46" s="188"/>
      <c r="FB46" s="188"/>
      <c r="FC46" s="188"/>
      <c r="FD46" s="188"/>
      <c r="FE46" s="188"/>
      <c r="FF46" s="238"/>
      <c r="FG46" s="242"/>
      <c r="FH46" s="242"/>
      <c r="FI46" s="242"/>
      <c r="FJ46" s="242"/>
      <c r="LP46" s="16"/>
      <c r="OQ46" s="259"/>
      <c r="OR46" s="220"/>
      <c r="OS46" s="220"/>
      <c r="OT46" s="220"/>
      <c r="OU46" s="220"/>
      <c r="OV46" s="220"/>
      <c r="OW46" s="220"/>
      <c r="OX46" s="220"/>
      <c r="OY46" s="220"/>
      <c r="OZ46" s="220"/>
      <c r="PA46" s="220"/>
      <c r="PB46" s="220"/>
      <c r="PC46" s="220"/>
      <c r="PD46" s="220"/>
      <c r="PE46" s="220"/>
      <c r="PF46" s="220"/>
      <c r="PG46" s="220"/>
      <c r="PH46" s="220"/>
      <c r="PI46" s="220"/>
      <c r="PJ46" s="220"/>
      <c r="PK46" s="220"/>
      <c r="PL46" s="220"/>
      <c r="PM46" s="220"/>
      <c r="PN46" s="220"/>
      <c r="PO46" s="220"/>
      <c r="PP46" s="220"/>
      <c r="PQ46" s="220"/>
      <c r="PR46" s="220"/>
      <c r="PS46" s="220"/>
      <c r="PT46" s="220"/>
      <c r="PU46" s="220"/>
      <c r="PV46" s="220"/>
      <c r="PW46" s="220"/>
      <c r="PX46" s="220"/>
      <c r="PY46" s="220"/>
      <c r="PZ46" s="220"/>
      <c r="QA46" s="220"/>
      <c r="QB46" s="220"/>
      <c r="QC46" s="220"/>
      <c r="QD46" s="220"/>
      <c r="QE46" s="253"/>
      <c r="QF46" s="259"/>
      <c r="QG46" s="220"/>
      <c r="QH46" s="220"/>
      <c r="QI46" s="220"/>
      <c r="QJ46" s="220"/>
      <c r="QK46" s="253"/>
      <c r="QQ46" s="12"/>
      <c r="QR46" s="7"/>
    </row>
    <row r="47" spans="3:460" ht="5.0999999999999996" customHeight="1" x14ac:dyDescent="0.3">
      <c r="C47" s="11"/>
      <c r="D47" s="13"/>
      <c r="F47" s="33"/>
      <c r="G47" s="33"/>
      <c r="H47" s="33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163"/>
      <c r="DR47" s="187"/>
      <c r="DS47" s="188"/>
      <c r="DT47" s="188"/>
      <c r="DU47" s="188"/>
      <c r="DV47" s="188"/>
      <c r="DW47" s="188"/>
      <c r="DX47" s="188"/>
      <c r="DY47" s="188"/>
      <c r="DZ47" s="188"/>
      <c r="EA47" s="188"/>
      <c r="EB47" s="188"/>
      <c r="EC47" s="188"/>
      <c r="ED47" s="188"/>
      <c r="EE47" s="188"/>
      <c r="EF47" s="188"/>
      <c r="EG47" s="188"/>
      <c r="EH47" s="188"/>
      <c r="EI47" s="188"/>
      <c r="EJ47" s="188"/>
      <c r="EK47" s="188"/>
      <c r="EL47" s="188"/>
      <c r="EM47" s="188"/>
      <c r="EN47" s="188"/>
      <c r="EO47" s="188"/>
      <c r="EP47" s="188"/>
      <c r="EQ47" s="188"/>
      <c r="ER47" s="188"/>
      <c r="ES47" s="188"/>
      <c r="ET47" s="188"/>
      <c r="EU47" s="188"/>
      <c r="EV47" s="188"/>
      <c r="EW47" s="188"/>
      <c r="EX47" s="188"/>
      <c r="EY47" s="188"/>
      <c r="EZ47" s="188"/>
      <c r="FA47" s="188"/>
      <c r="FB47" s="188"/>
      <c r="FC47" s="188"/>
      <c r="FD47" s="188"/>
      <c r="FE47" s="188"/>
      <c r="FF47" s="238"/>
      <c r="FG47" s="242"/>
      <c r="FH47" s="242"/>
      <c r="FI47" s="242"/>
      <c r="FJ47" s="242"/>
      <c r="LP47" s="16"/>
      <c r="OQ47" s="260"/>
      <c r="OR47" s="261"/>
      <c r="OS47" s="261"/>
      <c r="OT47" s="261"/>
      <c r="OU47" s="261"/>
      <c r="OV47" s="261"/>
      <c r="OW47" s="261"/>
      <c r="OX47" s="261"/>
      <c r="OY47" s="261"/>
      <c r="OZ47" s="261"/>
      <c r="PA47" s="261"/>
      <c r="PB47" s="261"/>
      <c r="PC47" s="261"/>
      <c r="PD47" s="261"/>
      <c r="PE47" s="261"/>
      <c r="PF47" s="261"/>
      <c r="PG47" s="261"/>
      <c r="PH47" s="261"/>
      <c r="PI47" s="261"/>
      <c r="PJ47" s="261"/>
      <c r="PK47" s="261"/>
      <c r="PL47" s="261"/>
      <c r="PM47" s="261"/>
      <c r="PN47" s="261"/>
      <c r="PO47" s="261"/>
      <c r="PP47" s="261"/>
      <c r="PQ47" s="261"/>
      <c r="PR47" s="261"/>
      <c r="PS47" s="261"/>
      <c r="PT47" s="261"/>
      <c r="PU47" s="261"/>
      <c r="PV47" s="261"/>
      <c r="PW47" s="261"/>
      <c r="PX47" s="261"/>
      <c r="PY47" s="261"/>
      <c r="PZ47" s="261"/>
      <c r="QA47" s="261"/>
      <c r="QB47" s="261"/>
      <c r="QC47" s="261"/>
      <c r="QD47" s="261"/>
      <c r="QE47" s="262"/>
      <c r="QF47" s="260"/>
      <c r="QG47" s="261"/>
      <c r="QH47" s="261"/>
      <c r="QI47" s="261"/>
      <c r="QJ47" s="261"/>
      <c r="QK47" s="262"/>
      <c r="QQ47" s="12"/>
      <c r="QR47" s="7"/>
    </row>
    <row r="48" spans="3:460" ht="5.0999999999999996" customHeight="1" x14ac:dyDescent="0.3">
      <c r="C48" s="11"/>
      <c r="D48" s="13"/>
      <c r="F48" s="33"/>
      <c r="G48" s="33"/>
      <c r="H48" s="33"/>
      <c r="I48" s="184" t="s">
        <v>180</v>
      </c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6"/>
      <c r="AX48" s="225">
        <v>2</v>
      </c>
      <c r="AY48" s="226"/>
      <c r="AZ48" s="226"/>
      <c r="BA48" s="226"/>
      <c r="BB48" s="227"/>
      <c r="DR48" s="187"/>
      <c r="DS48" s="188"/>
      <c r="DT48" s="188"/>
      <c r="DU48" s="188"/>
      <c r="DV48" s="188"/>
      <c r="DW48" s="188"/>
      <c r="DX48" s="188"/>
      <c r="DY48" s="188"/>
      <c r="DZ48" s="188"/>
      <c r="EA48" s="188"/>
      <c r="EB48" s="188"/>
      <c r="EC48" s="188"/>
      <c r="ED48" s="188"/>
      <c r="EE48" s="188"/>
      <c r="EF48" s="188"/>
      <c r="EG48" s="188"/>
      <c r="EH48" s="188"/>
      <c r="EI48" s="188"/>
      <c r="EJ48" s="188"/>
      <c r="EK48" s="188"/>
      <c r="EL48" s="188"/>
      <c r="EM48" s="188"/>
      <c r="EN48" s="188"/>
      <c r="EO48" s="188"/>
      <c r="EP48" s="188"/>
      <c r="EQ48" s="188"/>
      <c r="ER48" s="188"/>
      <c r="ES48" s="188"/>
      <c r="ET48" s="188"/>
      <c r="EU48" s="188"/>
      <c r="EV48" s="188"/>
      <c r="EW48" s="188"/>
      <c r="EX48" s="188"/>
      <c r="EY48" s="188"/>
      <c r="EZ48" s="188"/>
      <c r="FA48" s="188"/>
      <c r="FB48" s="188"/>
      <c r="FC48" s="188"/>
      <c r="FD48" s="188"/>
      <c r="FE48" s="188"/>
      <c r="FF48" s="238"/>
      <c r="FG48" s="242"/>
      <c r="FH48" s="242"/>
      <c r="FI48" s="242"/>
      <c r="FJ48" s="242"/>
      <c r="LP48" s="16"/>
      <c r="PO48" s="28"/>
      <c r="QQ48" s="12"/>
      <c r="QR48" s="7"/>
    </row>
    <row r="49" spans="3:465" ht="5.0999999999999996" customHeight="1" x14ac:dyDescent="0.3">
      <c r="C49" s="11"/>
      <c r="D49" s="13"/>
      <c r="F49" s="33"/>
      <c r="G49" s="33"/>
      <c r="H49" s="33"/>
      <c r="I49" s="187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9"/>
      <c r="AX49" s="228"/>
      <c r="AY49" s="229"/>
      <c r="AZ49" s="229"/>
      <c r="BA49" s="229"/>
      <c r="BB49" s="230"/>
      <c r="DR49" s="187"/>
      <c r="DS49" s="188"/>
      <c r="DT49" s="188"/>
      <c r="DU49" s="188"/>
      <c r="DV49" s="188"/>
      <c r="DW49" s="188"/>
      <c r="DX49" s="188"/>
      <c r="DY49" s="188"/>
      <c r="DZ49" s="188"/>
      <c r="EA49" s="188"/>
      <c r="EB49" s="188"/>
      <c r="EC49" s="188"/>
      <c r="ED49" s="188"/>
      <c r="EE49" s="188"/>
      <c r="EF49" s="188"/>
      <c r="EG49" s="188"/>
      <c r="EH49" s="188"/>
      <c r="EI49" s="188"/>
      <c r="EJ49" s="188"/>
      <c r="EK49" s="188"/>
      <c r="EL49" s="188"/>
      <c r="EM49" s="188"/>
      <c r="EN49" s="188"/>
      <c r="EO49" s="188"/>
      <c r="EP49" s="188"/>
      <c r="EQ49" s="188"/>
      <c r="ER49" s="188"/>
      <c r="ES49" s="188"/>
      <c r="ET49" s="188"/>
      <c r="EU49" s="188"/>
      <c r="EV49" s="188"/>
      <c r="EW49" s="188"/>
      <c r="EX49" s="188"/>
      <c r="EY49" s="188"/>
      <c r="EZ49" s="188"/>
      <c r="FA49" s="188"/>
      <c r="FB49" s="188"/>
      <c r="FC49" s="188"/>
      <c r="FD49" s="188"/>
      <c r="FE49" s="188"/>
      <c r="FF49" s="238"/>
      <c r="FG49" s="242"/>
      <c r="FH49" s="242"/>
      <c r="FI49" s="242"/>
      <c r="FJ49" s="242"/>
      <c r="LP49" s="16"/>
      <c r="OQ49" s="234" t="s">
        <v>176</v>
      </c>
      <c r="OR49" s="235"/>
      <c r="OS49" s="235"/>
      <c r="OT49" s="235"/>
      <c r="OU49" s="235"/>
      <c r="OV49" s="235"/>
      <c r="OW49" s="235"/>
      <c r="OX49" s="235"/>
      <c r="OY49" s="235"/>
      <c r="OZ49" s="235"/>
      <c r="PA49" s="235"/>
      <c r="PB49" s="235"/>
      <c r="PC49" s="235"/>
      <c r="PD49" s="235"/>
      <c r="PE49" s="235"/>
      <c r="PF49" s="235"/>
      <c r="PG49" s="235"/>
      <c r="PH49" s="235"/>
      <c r="PI49" s="235"/>
      <c r="PJ49" s="235"/>
      <c r="PK49" s="235"/>
      <c r="PL49" s="235"/>
      <c r="PM49" s="235"/>
      <c r="PN49" s="235"/>
      <c r="PO49" s="235"/>
      <c r="PP49" s="235"/>
      <c r="PQ49" s="235"/>
      <c r="PR49" s="235"/>
      <c r="PS49" s="235"/>
      <c r="PT49" s="235"/>
      <c r="PU49" s="235"/>
      <c r="PV49" s="235"/>
      <c r="PW49" s="235"/>
      <c r="PX49" s="235"/>
      <c r="PY49" s="235"/>
      <c r="PZ49" s="235"/>
      <c r="QA49" s="235"/>
      <c r="QB49" s="235"/>
      <c r="QC49" s="235"/>
      <c r="QD49" s="235"/>
      <c r="QE49" s="236"/>
      <c r="QF49" s="242">
        <v>1</v>
      </c>
      <c r="QG49" s="242"/>
      <c r="QH49" s="242"/>
      <c r="QI49" s="242"/>
      <c r="QJ49" s="242"/>
      <c r="QK49" s="242"/>
      <c r="QQ49" s="12"/>
      <c r="QR49" s="7"/>
    </row>
    <row r="50" spans="3:465" ht="5.0999999999999996" customHeight="1" x14ac:dyDescent="0.3">
      <c r="C50" s="11"/>
      <c r="D50" s="13"/>
      <c r="I50" s="187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9"/>
      <c r="AX50" s="228"/>
      <c r="AY50" s="229"/>
      <c r="AZ50" s="229"/>
      <c r="BA50" s="229"/>
      <c r="BB50" s="230"/>
      <c r="DR50" s="187"/>
      <c r="DS50" s="188"/>
      <c r="DT50" s="188"/>
      <c r="DU50" s="188"/>
      <c r="DV50" s="188"/>
      <c r="DW50" s="188"/>
      <c r="DX50" s="188"/>
      <c r="DY50" s="188"/>
      <c r="DZ50" s="188"/>
      <c r="EA50" s="188"/>
      <c r="EB50" s="188"/>
      <c r="EC50" s="188"/>
      <c r="ED50" s="188"/>
      <c r="EE50" s="188"/>
      <c r="EF50" s="188"/>
      <c r="EG50" s="188"/>
      <c r="EH50" s="188"/>
      <c r="EI50" s="188"/>
      <c r="EJ50" s="188"/>
      <c r="EK50" s="188"/>
      <c r="EL50" s="188"/>
      <c r="EM50" s="188"/>
      <c r="EN50" s="188"/>
      <c r="EO50" s="188"/>
      <c r="EP50" s="188"/>
      <c r="EQ50" s="188"/>
      <c r="ER50" s="188"/>
      <c r="ES50" s="188"/>
      <c r="ET50" s="188"/>
      <c r="EU50" s="188"/>
      <c r="EV50" s="188"/>
      <c r="EW50" s="188"/>
      <c r="EX50" s="188"/>
      <c r="EY50" s="188"/>
      <c r="EZ50" s="188"/>
      <c r="FA50" s="188"/>
      <c r="FB50" s="188"/>
      <c r="FC50" s="188"/>
      <c r="FD50" s="188"/>
      <c r="FE50" s="188"/>
      <c r="FF50" s="238"/>
      <c r="FG50" s="242"/>
      <c r="FH50" s="242"/>
      <c r="FI50" s="242"/>
      <c r="FJ50" s="242"/>
      <c r="LP50" s="16"/>
      <c r="OQ50" s="237"/>
      <c r="OR50" s="188"/>
      <c r="OS50" s="188"/>
      <c r="OT50" s="188"/>
      <c r="OU50" s="188"/>
      <c r="OV50" s="188"/>
      <c r="OW50" s="188"/>
      <c r="OX50" s="188"/>
      <c r="OY50" s="188"/>
      <c r="OZ50" s="188"/>
      <c r="PA50" s="188"/>
      <c r="PB50" s="188"/>
      <c r="PC50" s="188"/>
      <c r="PD50" s="188"/>
      <c r="PE50" s="188"/>
      <c r="PF50" s="188"/>
      <c r="PG50" s="188"/>
      <c r="PH50" s="188"/>
      <c r="PI50" s="188"/>
      <c r="PJ50" s="188"/>
      <c r="PK50" s="188"/>
      <c r="PL50" s="188"/>
      <c r="PM50" s="188"/>
      <c r="PN50" s="188"/>
      <c r="PO50" s="188"/>
      <c r="PP50" s="188"/>
      <c r="PQ50" s="188"/>
      <c r="PR50" s="188"/>
      <c r="PS50" s="188"/>
      <c r="PT50" s="188"/>
      <c r="PU50" s="188"/>
      <c r="PV50" s="188"/>
      <c r="PW50" s="188"/>
      <c r="PX50" s="188"/>
      <c r="PY50" s="188"/>
      <c r="PZ50" s="188"/>
      <c r="QA50" s="188"/>
      <c r="QB50" s="188"/>
      <c r="QC50" s="188"/>
      <c r="QD50" s="188"/>
      <c r="QE50" s="238"/>
      <c r="QF50" s="242"/>
      <c r="QG50" s="242"/>
      <c r="QH50" s="242"/>
      <c r="QI50" s="242"/>
      <c r="QJ50" s="242"/>
      <c r="QK50" s="242"/>
      <c r="QQ50" s="12"/>
      <c r="QR50" s="7"/>
    </row>
    <row r="51" spans="3:465" ht="5.0999999999999996" customHeight="1" x14ac:dyDescent="0.3">
      <c r="C51" s="11"/>
      <c r="D51" s="13"/>
      <c r="I51" s="187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9"/>
      <c r="AX51" s="228"/>
      <c r="AY51" s="229"/>
      <c r="AZ51" s="229"/>
      <c r="BA51" s="229"/>
      <c r="BB51" s="230"/>
      <c r="DR51" s="190"/>
      <c r="DS51" s="191"/>
      <c r="DT51" s="191"/>
      <c r="DU51" s="191"/>
      <c r="DV51" s="191"/>
      <c r="DW51" s="191"/>
      <c r="DX51" s="191"/>
      <c r="DY51" s="191"/>
      <c r="DZ51" s="191"/>
      <c r="EA51" s="191"/>
      <c r="EB51" s="191"/>
      <c r="EC51" s="191"/>
      <c r="ED51" s="191"/>
      <c r="EE51" s="191"/>
      <c r="EF51" s="191"/>
      <c r="EG51" s="191"/>
      <c r="EH51" s="191"/>
      <c r="EI51" s="191"/>
      <c r="EJ51" s="191"/>
      <c r="EK51" s="191"/>
      <c r="EL51" s="191"/>
      <c r="EM51" s="191"/>
      <c r="EN51" s="191"/>
      <c r="EO51" s="191"/>
      <c r="EP51" s="191"/>
      <c r="EQ51" s="191"/>
      <c r="ER51" s="191"/>
      <c r="ES51" s="191"/>
      <c r="ET51" s="191"/>
      <c r="EU51" s="191"/>
      <c r="EV51" s="191"/>
      <c r="EW51" s="191"/>
      <c r="EX51" s="191"/>
      <c r="EY51" s="191"/>
      <c r="EZ51" s="191"/>
      <c r="FA51" s="191"/>
      <c r="FB51" s="191"/>
      <c r="FC51" s="191"/>
      <c r="FD51" s="191"/>
      <c r="FE51" s="191"/>
      <c r="FF51" s="264"/>
      <c r="FG51" s="242"/>
      <c r="FH51" s="242"/>
      <c r="FI51" s="242"/>
      <c r="FJ51" s="242"/>
      <c r="LP51" s="16"/>
      <c r="OQ51" s="237"/>
      <c r="OR51" s="188"/>
      <c r="OS51" s="188"/>
      <c r="OT51" s="188"/>
      <c r="OU51" s="188"/>
      <c r="OV51" s="188"/>
      <c r="OW51" s="188"/>
      <c r="OX51" s="188"/>
      <c r="OY51" s="188"/>
      <c r="OZ51" s="188"/>
      <c r="PA51" s="188"/>
      <c r="PB51" s="188"/>
      <c r="PC51" s="188"/>
      <c r="PD51" s="188"/>
      <c r="PE51" s="188"/>
      <c r="PF51" s="188"/>
      <c r="PG51" s="188"/>
      <c r="PH51" s="188"/>
      <c r="PI51" s="188"/>
      <c r="PJ51" s="188"/>
      <c r="PK51" s="188"/>
      <c r="PL51" s="188"/>
      <c r="PM51" s="188"/>
      <c r="PN51" s="188"/>
      <c r="PO51" s="188"/>
      <c r="PP51" s="188"/>
      <c r="PQ51" s="188"/>
      <c r="PR51" s="188"/>
      <c r="PS51" s="188"/>
      <c r="PT51" s="188"/>
      <c r="PU51" s="188"/>
      <c r="PV51" s="188"/>
      <c r="PW51" s="188"/>
      <c r="PX51" s="188"/>
      <c r="PY51" s="188"/>
      <c r="PZ51" s="188"/>
      <c r="QA51" s="188"/>
      <c r="QB51" s="188"/>
      <c r="QC51" s="188"/>
      <c r="QD51" s="188"/>
      <c r="QE51" s="238"/>
      <c r="QF51" s="242"/>
      <c r="QG51" s="242"/>
      <c r="QH51" s="242"/>
      <c r="QI51" s="242"/>
      <c r="QJ51" s="242"/>
      <c r="QK51" s="242"/>
      <c r="QQ51" s="12"/>
      <c r="QR51" s="7"/>
    </row>
    <row r="52" spans="3:465" ht="5.0999999999999996" customHeight="1" x14ac:dyDescent="0.3">
      <c r="C52" s="11"/>
      <c r="D52" s="13"/>
      <c r="I52" s="187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9"/>
      <c r="AX52" s="228"/>
      <c r="AY52" s="229"/>
      <c r="AZ52" s="229"/>
      <c r="BA52" s="229"/>
      <c r="BB52" s="230"/>
      <c r="EN52" s="17"/>
      <c r="EO52" s="18"/>
      <c r="EP52" s="18"/>
      <c r="EQ52" s="18"/>
      <c r="ER52" s="18"/>
      <c r="ES52" s="18"/>
      <c r="ET52" s="18"/>
      <c r="EU52" s="18"/>
      <c r="LP52" s="16"/>
      <c r="OQ52" s="237"/>
      <c r="OR52" s="188"/>
      <c r="OS52" s="188"/>
      <c r="OT52" s="188"/>
      <c r="OU52" s="188"/>
      <c r="OV52" s="188"/>
      <c r="OW52" s="188"/>
      <c r="OX52" s="188"/>
      <c r="OY52" s="188"/>
      <c r="OZ52" s="188"/>
      <c r="PA52" s="188"/>
      <c r="PB52" s="188"/>
      <c r="PC52" s="188"/>
      <c r="PD52" s="188"/>
      <c r="PE52" s="188"/>
      <c r="PF52" s="188"/>
      <c r="PG52" s="188"/>
      <c r="PH52" s="188"/>
      <c r="PI52" s="188"/>
      <c r="PJ52" s="188"/>
      <c r="PK52" s="188"/>
      <c r="PL52" s="188"/>
      <c r="PM52" s="188"/>
      <c r="PN52" s="188"/>
      <c r="PO52" s="188"/>
      <c r="PP52" s="188"/>
      <c r="PQ52" s="188"/>
      <c r="PR52" s="188"/>
      <c r="PS52" s="188"/>
      <c r="PT52" s="188"/>
      <c r="PU52" s="188"/>
      <c r="PV52" s="188"/>
      <c r="PW52" s="188"/>
      <c r="PX52" s="188"/>
      <c r="PY52" s="188"/>
      <c r="PZ52" s="188"/>
      <c r="QA52" s="188"/>
      <c r="QB52" s="188"/>
      <c r="QC52" s="188"/>
      <c r="QD52" s="188"/>
      <c r="QE52" s="238"/>
      <c r="QF52" s="242"/>
      <c r="QG52" s="242"/>
      <c r="QH52" s="242"/>
      <c r="QI52" s="242"/>
      <c r="QJ52" s="242"/>
      <c r="QK52" s="242"/>
      <c r="QQ52" s="12"/>
      <c r="QR52" s="7"/>
    </row>
    <row r="53" spans="3:465" ht="5.0999999999999996" customHeight="1" x14ac:dyDescent="0.3">
      <c r="C53" s="11"/>
      <c r="D53" s="13"/>
      <c r="I53" s="187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9"/>
      <c r="AX53" s="228"/>
      <c r="AY53" s="229"/>
      <c r="AZ53" s="229"/>
      <c r="BA53" s="229"/>
      <c r="BB53" s="230"/>
      <c r="EN53" s="16"/>
      <c r="LP53" s="16"/>
      <c r="OQ53" s="237"/>
      <c r="OR53" s="188"/>
      <c r="OS53" s="188"/>
      <c r="OT53" s="188"/>
      <c r="OU53" s="188"/>
      <c r="OV53" s="188"/>
      <c r="OW53" s="188"/>
      <c r="OX53" s="188"/>
      <c r="OY53" s="188"/>
      <c r="OZ53" s="188"/>
      <c r="PA53" s="188"/>
      <c r="PB53" s="188"/>
      <c r="PC53" s="188"/>
      <c r="PD53" s="188"/>
      <c r="PE53" s="188"/>
      <c r="PF53" s="188"/>
      <c r="PG53" s="188"/>
      <c r="PH53" s="188"/>
      <c r="PI53" s="188"/>
      <c r="PJ53" s="188"/>
      <c r="PK53" s="188"/>
      <c r="PL53" s="188"/>
      <c r="PM53" s="188"/>
      <c r="PN53" s="188"/>
      <c r="PO53" s="188"/>
      <c r="PP53" s="188"/>
      <c r="PQ53" s="188"/>
      <c r="PR53" s="188"/>
      <c r="PS53" s="188"/>
      <c r="PT53" s="188"/>
      <c r="PU53" s="188"/>
      <c r="PV53" s="188"/>
      <c r="PW53" s="188"/>
      <c r="PX53" s="188"/>
      <c r="PY53" s="188"/>
      <c r="PZ53" s="188"/>
      <c r="QA53" s="188"/>
      <c r="QB53" s="188"/>
      <c r="QC53" s="188"/>
      <c r="QD53" s="188"/>
      <c r="QE53" s="238"/>
      <c r="QF53" s="242"/>
      <c r="QG53" s="242"/>
      <c r="QH53" s="242"/>
      <c r="QI53" s="242"/>
      <c r="QJ53" s="242"/>
      <c r="QK53" s="242"/>
      <c r="QQ53" s="12"/>
      <c r="QR53" s="7"/>
    </row>
    <row r="54" spans="3:465" ht="5.0999999999999996" customHeight="1" x14ac:dyDescent="0.3">
      <c r="C54" s="11"/>
      <c r="D54" s="13"/>
      <c r="I54" s="187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9"/>
      <c r="AX54" s="228"/>
      <c r="AY54" s="229"/>
      <c r="AZ54" s="229"/>
      <c r="BA54" s="229"/>
      <c r="BB54" s="230"/>
      <c r="EN54" s="16"/>
      <c r="LP54" s="16"/>
      <c r="OQ54" s="237"/>
      <c r="OR54" s="188"/>
      <c r="OS54" s="188"/>
      <c r="OT54" s="188"/>
      <c r="OU54" s="188"/>
      <c r="OV54" s="188"/>
      <c r="OW54" s="188"/>
      <c r="OX54" s="188"/>
      <c r="OY54" s="188"/>
      <c r="OZ54" s="188"/>
      <c r="PA54" s="188"/>
      <c r="PB54" s="188"/>
      <c r="PC54" s="188"/>
      <c r="PD54" s="188"/>
      <c r="PE54" s="188"/>
      <c r="PF54" s="188"/>
      <c r="PG54" s="188"/>
      <c r="PH54" s="188"/>
      <c r="PI54" s="188"/>
      <c r="PJ54" s="188"/>
      <c r="PK54" s="188"/>
      <c r="PL54" s="188"/>
      <c r="PM54" s="188"/>
      <c r="PN54" s="188"/>
      <c r="PO54" s="188"/>
      <c r="PP54" s="188"/>
      <c r="PQ54" s="188"/>
      <c r="PR54" s="188"/>
      <c r="PS54" s="188"/>
      <c r="PT54" s="188"/>
      <c r="PU54" s="188"/>
      <c r="PV54" s="188"/>
      <c r="PW54" s="188"/>
      <c r="PX54" s="188"/>
      <c r="PY54" s="188"/>
      <c r="PZ54" s="188"/>
      <c r="QA54" s="188"/>
      <c r="QB54" s="188"/>
      <c r="QC54" s="188"/>
      <c r="QD54" s="188"/>
      <c r="QE54" s="238"/>
      <c r="QF54" s="242"/>
      <c r="QG54" s="242"/>
      <c r="QH54" s="242"/>
      <c r="QI54" s="242"/>
      <c r="QJ54" s="242"/>
      <c r="QK54" s="242"/>
      <c r="QQ54" s="12"/>
      <c r="QR54" s="7"/>
    </row>
    <row r="55" spans="3:465" ht="5.0999999999999996" customHeight="1" x14ac:dyDescent="0.3">
      <c r="C55" s="11"/>
      <c r="D55" s="13"/>
      <c r="I55" s="187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9"/>
      <c r="AX55" s="228"/>
      <c r="AY55" s="229"/>
      <c r="AZ55" s="229"/>
      <c r="BA55" s="229"/>
      <c r="BB55" s="230"/>
      <c r="EN55" s="16"/>
      <c r="LP55" s="16"/>
      <c r="OQ55" s="237"/>
      <c r="OR55" s="188"/>
      <c r="OS55" s="188"/>
      <c r="OT55" s="188"/>
      <c r="OU55" s="188"/>
      <c r="OV55" s="188"/>
      <c r="OW55" s="188"/>
      <c r="OX55" s="188"/>
      <c r="OY55" s="188"/>
      <c r="OZ55" s="188"/>
      <c r="PA55" s="188"/>
      <c r="PB55" s="188"/>
      <c r="PC55" s="188"/>
      <c r="PD55" s="188"/>
      <c r="PE55" s="188"/>
      <c r="PF55" s="188"/>
      <c r="PG55" s="188"/>
      <c r="PH55" s="188"/>
      <c r="PI55" s="188"/>
      <c r="PJ55" s="188"/>
      <c r="PK55" s="188"/>
      <c r="PL55" s="188"/>
      <c r="PM55" s="188"/>
      <c r="PN55" s="188"/>
      <c r="PO55" s="188"/>
      <c r="PP55" s="188"/>
      <c r="PQ55" s="188"/>
      <c r="PR55" s="188"/>
      <c r="PS55" s="188"/>
      <c r="PT55" s="188"/>
      <c r="PU55" s="188"/>
      <c r="PV55" s="188"/>
      <c r="PW55" s="188"/>
      <c r="PX55" s="188"/>
      <c r="PY55" s="188"/>
      <c r="PZ55" s="188"/>
      <c r="QA55" s="188"/>
      <c r="QB55" s="188"/>
      <c r="QC55" s="188"/>
      <c r="QD55" s="188"/>
      <c r="QE55" s="238"/>
      <c r="QF55" s="242"/>
      <c r="QG55" s="242"/>
      <c r="QH55" s="242"/>
      <c r="QI55" s="242"/>
      <c r="QJ55" s="242"/>
      <c r="QK55" s="242"/>
      <c r="QQ55" s="12"/>
      <c r="QR55" s="7"/>
    </row>
    <row r="56" spans="3:465" ht="5.0999999999999996" customHeight="1" x14ac:dyDescent="0.3">
      <c r="C56" s="11"/>
      <c r="D56" s="13"/>
      <c r="I56" s="187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9"/>
      <c r="AX56" s="228"/>
      <c r="AY56" s="229"/>
      <c r="AZ56" s="229"/>
      <c r="BA56" s="229"/>
      <c r="BB56" s="230"/>
      <c r="EN56" s="16"/>
      <c r="LP56" s="16"/>
      <c r="OQ56" s="237"/>
      <c r="OR56" s="188"/>
      <c r="OS56" s="188"/>
      <c r="OT56" s="188"/>
      <c r="OU56" s="188"/>
      <c r="OV56" s="188"/>
      <c r="OW56" s="188"/>
      <c r="OX56" s="188"/>
      <c r="OY56" s="188"/>
      <c r="OZ56" s="188"/>
      <c r="PA56" s="188"/>
      <c r="PB56" s="188"/>
      <c r="PC56" s="188"/>
      <c r="PD56" s="188"/>
      <c r="PE56" s="188"/>
      <c r="PF56" s="188"/>
      <c r="PG56" s="188"/>
      <c r="PH56" s="188"/>
      <c r="PI56" s="188"/>
      <c r="PJ56" s="188"/>
      <c r="PK56" s="188"/>
      <c r="PL56" s="188"/>
      <c r="PM56" s="188"/>
      <c r="PN56" s="188"/>
      <c r="PO56" s="188"/>
      <c r="PP56" s="188"/>
      <c r="PQ56" s="188"/>
      <c r="PR56" s="188"/>
      <c r="PS56" s="188"/>
      <c r="PT56" s="188"/>
      <c r="PU56" s="188"/>
      <c r="PV56" s="188"/>
      <c r="PW56" s="188"/>
      <c r="PX56" s="188"/>
      <c r="PY56" s="188"/>
      <c r="PZ56" s="188"/>
      <c r="QA56" s="188"/>
      <c r="QB56" s="188"/>
      <c r="QC56" s="188"/>
      <c r="QD56" s="188"/>
      <c r="QE56" s="238"/>
      <c r="QF56" s="242"/>
      <c r="QG56" s="242"/>
      <c r="QH56" s="242"/>
      <c r="QI56" s="242"/>
      <c r="QJ56" s="242"/>
      <c r="QK56" s="242"/>
      <c r="QQ56" s="12"/>
      <c r="QR56" s="7"/>
    </row>
    <row r="57" spans="3:465" ht="5.0999999999999996" customHeight="1" x14ac:dyDescent="0.3">
      <c r="C57" s="11"/>
      <c r="D57" s="13"/>
      <c r="I57" s="190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2"/>
      <c r="AX57" s="231"/>
      <c r="AY57" s="232"/>
      <c r="AZ57" s="232"/>
      <c r="BA57" s="232"/>
      <c r="BB57" s="233"/>
      <c r="EN57" s="16"/>
      <c r="LP57" s="16"/>
      <c r="OQ57" s="239"/>
      <c r="OR57" s="240"/>
      <c r="OS57" s="240"/>
      <c r="OT57" s="240"/>
      <c r="OU57" s="240"/>
      <c r="OV57" s="240"/>
      <c r="OW57" s="240"/>
      <c r="OX57" s="240"/>
      <c r="OY57" s="240"/>
      <c r="OZ57" s="240"/>
      <c r="PA57" s="240"/>
      <c r="PB57" s="240"/>
      <c r="PC57" s="240"/>
      <c r="PD57" s="240"/>
      <c r="PE57" s="240"/>
      <c r="PF57" s="240"/>
      <c r="PG57" s="240"/>
      <c r="PH57" s="240"/>
      <c r="PI57" s="240"/>
      <c r="PJ57" s="240"/>
      <c r="PK57" s="240"/>
      <c r="PL57" s="240"/>
      <c r="PM57" s="240"/>
      <c r="PN57" s="240"/>
      <c r="PO57" s="240"/>
      <c r="PP57" s="240"/>
      <c r="PQ57" s="240"/>
      <c r="PR57" s="240"/>
      <c r="PS57" s="240"/>
      <c r="PT57" s="240"/>
      <c r="PU57" s="240"/>
      <c r="PV57" s="240"/>
      <c r="PW57" s="240"/>
      <c r="PX57" s="240"/>
      <c r="PY57" s="240"/>
      <c r="PZ57" s="240"/>
      <c r="QA57" s="240"/>
      <c r="QB57" s="240"/>
      <c r="QC57" s="240"/>
      <c r="QD57" s="240"/>
      <c r="QE57" s="241"/>
      <c r="QF57" s="242"/>
      <c r="QG57" s="242"/>
      <c r="QH57" s="242"/>
      <c r="QI57" s="242"/>
      <c r="QJ57" s="242"/>
      <c r="QK57" s="242"/>
      <c r="QQ57" s="12"/>
      <c r="QR57" s="7"/>
    </row>
    <row r="58" spans="3:465" ht="5.0999999999999996" customHeight="1" x14ac:dyDescent="0.3">
      <c r="C58" s="11"/>
      <c r="D58" s="13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163"/>
      <c r="EN58" s="16"/>
      <c r="LP58" s="16"/>
      <c r="PN58" s="164"/>
      <c r="QQ58" s="12"/>
      <c r="QR58" s="7"/>
    </row>
    <row r="59" spans="3:465" ht="5.0999999999999996" customHeight="1" x14ac:dyDescent="0.3">
      <c r="C59" s="11"/>
      <c r="D59" s="13"/>
      <c r="I59" s="184" t="s">
        <v>174</v>
      </c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185"/>
      <c r="AT59" s="185"/>
      <c r="AU59" s="185"/>
      <c r="AV59" s="185"/>
      <c r="AW59" s="186"/>
      <c r="AX59" s="225">
        <v>1</v>
      </c>
      <c r="AY59" s="226"/>
      <c r="AZ59" s="226"/>
      <c r="BA59" s="226"/>
      <c r="BB59" s="227"/>
      <c r="EN59" s="16"/>
      <c r="LP59" s="16"/>
      <c r="OQ59" s="1" t="s">
        <v>168</v>
      </c>
      <c r="PN59" s="28"/>
      <c r="QF59" s="1">
        <v>1</v>
      </c>
      <c r="QQ59" s="12"/>
      <c r="QR59" s="7"/>
      <c r="QT59" s="3"/>
      <c r="QU59" s="3"/>
      <c r="QV59" s="3"/>
      <c r="QW59" s="2"/>
    </row>
    <row r="60" spans="3:465" ht="5.0999999999999996" customHeight="1" x14ac:dyDescent="0.3">
      <c r="C60" s="11"/>
      <c r="D60" s="13"/>
      <c r="I60" s="187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9"/>
      <c r="AX60" s="228"/>
      <c r="AY60" s="229"/>
      <c r="AZ60" s="229"/>
      <c r="BA60" s="229"/>
      <c r="BB60" s="230"/>
      <c r="EN60" s="16"/>
      <c r="LP60" s="16"/>
      <c r="PN60" s="28"/>
      <c r="QQ60" s="12"/>
      <c r="QR60" s="7"/>
    </row>
    <row r="61" spans="3:465" ht="5.0999999999999996" customHeight="1" x14ac:dyDescent="0.3">
      <c r="C61" s="11"/>
      <c r="D61" s="13"/>
      <c r="I61" s="187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9"/>
      <c r="AX61" s="228"/>
      <c r="AY61" s="229"/>
      <c r="AZ61" s="229"/>
      <c r="BA61" s="229"/>
      <c r="BB61" s="230"/>
      <c r="EN61" s="16"/>
      <c r="LP61" s="16"/>
      <c r="PN61" s="28"/>
      <c r="QQ61" s="12"/>
      <c r="QR61" s="7"/>
    </row>
    <row r="62" spans="3:465" ht="5.0999999999999996" customHeight="1" x14ac:dyDescent="0.3">
      <c r="C62" s="11"/>
      <c r="D62" s="13"/>
      <c r="I62" s="187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9"/>
      <c r="AX62" s="228"/>
      <c r="AY62" s="229"/>
      <c r="AZ62" s="229"/>
      <c r="BA62" s="229"/>
      <c r="BB62" s="230"/>
      <c r="EN62" s="16"/>
      <c r="LP62" s="16"/>
      <c r="PN62" s="165"/>
      <c r="QQ62" s="12"/>
      <c r="QR62" s="7"/>
    </row>
    <row r="63" spans="3:465" ht="5.0999999999999996" customHeight="1" x14ac:dyDescent="0.3">
      <c r="C63" s="11"/>
      <c r="D63" s="13"/>
      <c r="I63" s="187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9"/>
      <c r="AX63" s="228"/>
      <c r="AY63" s="229"/>
      <c r="AZ63" s="229"/>
      <c r="BA63" s="229"/>
      <c r="BB63" s="230"/>
      <c r="EN63" s="16"/>
      <c r="LP63" s="16"/>
      <c r="OR63" s="234" t="s">
        <v>181</v>
      </c>
      <c r="OS63" s="235"/>
      <c r="OT63" s="235"/>
      <c r="OU63" s="235"/>
      <c r="OV63" s="235"/>
      <c r="OW63" s="235"/>
      <c r="OX63" s="235"/>
      <c r="OY63" s="235"/>
      <c r="OZ63" s="235"/>
      <c r="PA63" s="235"/>
      <c r="PB63" s="235"/>
      <c r="PC63" s="235"/>
      <c r="PD63" s="235"/>
      <c r="PE63" s="235"/>
      <c r="PF63" s="235"/>
      <c r="PG63" s="235"/>
      <c r="PH63" s="235"/>
      <c r="PI63" s="235"/>
      <c r="PJ63" s="235"/>
      <c r="PK63" s="235"/>
      <c r="PL63" s="235"/>
      <c r="PM63" s="235"/>
      <c r="PN63" s="235"/>
      <c r="PO63" s="235"/>
      <c r="PP63" s="235"/>
      <c r="PQ63" s="235"/>
      <c r="PR63" s="235"/>
      <c r="PS63" s="235"/>
      <c r="PT63" s="235"/>
      <c r="PU63" s="235"/>
      <c r="PV63" s="235"/>
      <c r="PW63" s="235"/>
      <c r="PX63" s="235"/>
      <c r="PY63" s="235"/>
      <c r="PZ63" s="235"/>
      <c r="QA63" s="235"/>
      <c r="QB63" s="235"/>
      <c r="QC63" s="235"/>
      <c r="QD63" s="235"/>
      <c r="QE63" s="235"/>
      <c r="QF63" s="236"/>
      <c r="QG63" s="242">
        <v>1</v>
      </c>
      <c r="QH63" s="242"/>
      <c r="QI63" s="242"/>
      <c r="QJ63" s="242"/>
      <c r="QK63" s="242"/>
      <c r="QL63" s="242"/>
      <c r="QQ63" s="12"/>
      <c r="QR63" s="7"/>
    </row>
    <row r="64" spans="3:465" ht="5.0999999999999996" customHeight="1" x14ac:dyDescent="0.3">
      <c r="C64" s="11"/>
      <c r="D64" s="13"/>
      <c r="I64" s="187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9"/>
      <c r="AX64" s="228"/>
      <c r="AY64" s="229"/>
      <c r="AZ64" s="229"/>
      <c r="BA64" s="229"/>
      <c r="BB64" s="230"/>
      <c r="EN64" s="16"/>
      <c r="KS64" s="265" t="s">
        <v>12</v>
      </c>
      <c r="KT64" s="265"/>
      <c r="KU64" s="265"/>
      <c r="KV64" s="265"/>
      <c r="KW64" s="265"/>
      <c r="KX64" s="265"/>
      <c r="KY64" s="265"/>
      <c r="KZ64" s="265"/>
      <c r="LA64" s="265"/>
      <c r="LB64" s="265"/>
      <c r="LC64" s="265"/>
      <c r="LD64" s="265"/>
      <c r="LE64" s="265"/>
      <c r="LF64" s="265"/>
      <c r="LG64" s="265"/>
      <c r="LH64" s="265"/>
      <c r="LI64" s="265"/>
      <c r="LJ64" s="265"/>
      <c r="LK64" s="265"/>
      <c r="LL64" s="265"/>
      <c r="LM64" s="265"/>
      <c r="LN64" s="265"/>
      <c r="LO64" s="265"/>
      <c r="LP64" s="265"/>
      <c r="LQ64" s="265"/>
      <c r="LR64" s="265"/>
      <c r="LS64" s="265"/>
      <c r="LT64" s="265"/>
      <c r="LU64" s="265"/>
      <c r="LV64" s="265"/>
      <c r="LW64" s="265"/>
      <c r="LX64" s="265"/>
      <c r="LY64" s="265"/>
      <c r="LZ64" s="265"/>
      <c r="MA64" s="265"/>
      <c r="MB64" s="265"/>
      <c r="MC64" s="265"/>
      <c r="MD64" s="265"/>
      <c r="ME64" s="265"/>
      <c r="MF64" s="266">
        <f>SUM(MF76,KG93,ME93,OB93)</f>
        <v>51</v>
      </c>
      <c r="MG64" s="266"/>
      <c r="MH64" s="266"/>
      <c r="MI64" s="266"/>
      <c r="MJ64" s="266"/>
      <c r="OR64" s="237"/>
      <c r="OS64" s="188"/>
      <c r="OT64" s="188"/>
      <c r="OU64" s="188"/>
      <c r="OV64" s="188"/>
      <c r="OW64" s="188"/>
      <c r="OX64" s="188"/>
      <c r="OY64" s="188"/>
      <c r="OZ64" s="188"/>
      <c r="PA64" s="188"/>
      <c r="PB64" s="188"/>
      <c r="PC64" s="188"/>
      <c r="PD64" s="188"/>
      <c r="PE64" s="188"/>
      <c r="PF64" s="188"/>
      <c r="PG64" s="188"/>
      <c r="PH64" s="188"/>
      <c r="PI64" s="188"/>
      <c r="PJ64" s="188"/>
      <c r="PK64" s="188"/>
      <c r="PL64" s="188"/>
      <c r="PM64" s="188"/>
      <c r="PN64" s="188"/>
      <c r="PO64" s="188"/>
      <c r="PP64" s="188"/>
      <c r="PQ64" s="188"/>
      <c r="PR64" s="188"/>
      <c r="PS64" s="188"/>
      <c r="PT64" s="188"/>
      <c r="PU64" s="188"/>
      <c r="PV64" s="188"/>
      <c r="PW64" s="188"/>
      <c r="PX64" s="188"/>
      <c r="PY64" s="188"/>
      <c r="PZ64" s="188"/>
      <c r="QA64" s="188"/>
      <c r="QB64" s="188"/>
      <c r="QC64" s="188"/>
      <c r="QD64" s="188"/>
      <c r="QE64" s="188"/>
      <c r="QF64" s="238"/>
      <c r="QG64" s="242"/>
      <c r="QH64" s="242"/>
      <c r="QI64" s="242"/>
      <c r="QJ64" s="242"/>
      <c r="QK64" s="242"/>
      <c r="QL64" s="242"/>
      <c r="QQ64" s="12"/>
      <c r="QR64" s="7"/>
    </row>
    <row r="65" spans="3:465" ht="5.0999999999999996" customHeight="1" x14ac:dyDescent="0.3">
      <c r="C65" s="11"/>
      <c r="D65" s="13"/>
      <c r="I65" s="187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9"/>
      <c r="AX65" s="228"/>
      <c r="AY65" s="229"/>
      <c r="AZ65" s="229"/>
      <c r="BA65" s="229"/>
      <c r="BB65" s="230"/>
      <c r="EN65" s="16"/>
      <c r="KS65" s="265"/>
      <c r="KT65" s="265"/>
      <c r="KU65" s="265"/>
      <c r="KV65" s="265"/>
      <c r="KW65" s="265"/>
      <c r="KX65" s="265"/>
      <c r="KY65" s="265"/>
      <c r="KZ65" s="265"/>
      <c r="LA65" s="265"/>
      <c r="LB65" s="265"/>
      <c r="LC65" s="265"/>
      <c r="LD65" s="265"/>
      <c r="LE65" s="265"/>
      <c r="LF65" s="265"/>
      <c r="LG65" s="265"/>
      <c r="LH65" s="265"/>
      <c r="LI65" s="265"/>
      <c r="LJ65" s="265"/>
      <c r="LK65" s="265"/>
      <c r="LL65" s="265"/>
      <c r="LM65" s="265"/>
      <c r="LN65" s="265"/>
      <c r="LO65" s="265"/>
      <c r="LP65" s="265"/>
      <c r="LQ65" s="265"/>
      <c r="LR65" s="265"/>
      <c r="LS65" s="265"/>
      <c r="LT65" s="265"/>
      <c r="LU65" s="265"/>
      <c r="LV65" s="265"/>
      <c r="LW65" s="265"/>
      <c r="LX65" s="265"/>
      <c r="LY65" s="265"/>
      <c r="LZ65" s="265"/>
      <c r="MA65" s="265"/>
      <c r="MB65" s="265"/>
      <c r="MC65" s="265"/>
      <c r="MD65" s="265"/>
      <c r="ME65" s="265"/>
      <c r="MF65" s="266"/>
      <c r="MG65" s="266"/>
      <c r="MH65" s="266"/>
      <c r="MI65" s="266"/>
      <c r="MJ65" s="266"/>
      <c r="OR65" s="237"/>
      <c r="OS65" s="188"/>
      <c r="OT65" s="188"/>
      <c r="OU65" s="188"/>
      <c r="OV65" s="188"/>
      <c r="OW65" s="188"/>
      <c r="OX65" s="188"/>
      <c r="OY65" s="188"/>
      <c r="OZ65" s="188"/>
      <c r="PA65" s="188"/>
      <c r="PB65" s="188"/>
      <c r="PC65" s="188"/>
      <c r="PD65" s="188"/>
      <c r="PE65" s="188"/>
      <c r="PF65" s="188"/>
      <c r="PG65" s="188"/>
      <c r="PH65" s="188"/>
      <c r="PI65" s="188"/>
      <c r="PJ65" s="188"/>
      <c r="PK65" s="188"/>
      <c r="PL65" s="188"/>
      <c r="PM65" s="188"/>
      <c r="PN65" s="188"/>
      <c r="PO65" s="188"/>
      <c r="PP65" s="188"/>
      <c r="PQ65" s="188"/>
      <c r="PR65" s="188"/>
      <c r="PS65" s="188"/>
      <c r="PT65" s="188"/>
      <c r="PU65" s="188"/>
      <c r="PV65" s="188"/>
      <c r="PW65" s="188"/>
      <c r="PX65" s="188"/>
      <c r="PY65" s="188"/>
      <c r="PZ65" s="188"/>
      <c r="QA65" s="188"/>
      <c r="QB65" s="188"/>
      <c r="QC65" s="188"/>
      <c r="QD65" s="188"/>
      <c r="QE65" s="188"/>
      <c r="QF65" s="238"/>
      <c r="QG65" s="242"/>
      <c r="QH65" s="242"/>
      <c r="QI65" s="242"/>
      <c r="QJ65" s="242"/>
      <c r="QK65" s="242"/>
      <c r="QL65" s="242"/>
      <c r="QQ65" s="12"/>
      <c r="QR65" s="7"/>
    </row>
    <row r="66" spans="3:465" ht="5.0999999999999996" customHeight="1" x14ac:dyDescent="0.3">
      <c r="C66" s="11"/>
      <c r="D66" s="13"/>
      <c r="I66" s="187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9"/>
      <c r="AX66" s="228"/>
      <c r="AY66" s="229"/>
      <c r="AZ66" s="229"/>
      <c r="BA66" s="229"/>
      <c r="BB66" s="230"/>
      <c r="EN66" s="16"/>
      <c r="KS66" s="265"/>
      <c r="KT66" s="265"/>
      <c r="KU66" s="265"/>
      <c r="KV66" s="265"/>
      <c r="KW66" s="265"/>
      <c r="KX66" s="265"/>
      <c r="KY66" s="265"/>
      <c r="KZ66" s="265"/>
      <c r="LA66" s="265"/>
      <c r="LB66" s="265"/>
      <c r="LC66" s="265"/>
      <c r="LD66" s="265"/>
      <c r="LE66" s="265"/>
      <c r="LF66" s="265"/>
      <c r="LG66" s="265"/>
      <c r="LH66" s="265"/>
      <c r="LI66" s="265"/>
      <c r="LJ66" s="265"/>
      <c r="LK66" s="265"/>
      <c r="LL66" s="265"/>
      <c r="LM66" s="265"/>
      <c r="LN66" s="265"/>
      <c r="LO66" s="265"/>
      <c r="LP66" s="265"/>
      <c r="LQ66" s="265"/>
      <c r="LR66" s="265"/>
      <c r="LS66" s="265"/>
      <c r="LT66" s="265"/>
      <c r="LU66" s="265"/>
      <c r="LV66" s="265"/>
      <c r="LW66" s="265"/>
      <c r="LX66" s="265"/>
      <c r="LY66" s="265"/>
      <c r="LZ66" s="265"/>
      <c r="MA66" s="265"/>
      <c r="MB66" s="265"/>
      <c r="MC66" s="265"/>
      <c r="MD66" s="265"/>
      <c r="ME66" s="265"/>
      <c r="MF66" s="266"/>
      <c r="MG66" s="266"/>
      <c r="MH66" s="266"/>
      <c r="MI66" s="266"/>
      <c r="MJ66" s="266"/>
      <c r="OR66" s="237"/>
      <c r="OS66" s="188"/>
      <c r="OT66" s="188"/>
      <c r="OU66" s="188"/>
      <c r="OV66" s="188"/>
      <c r="OW66" s="188"/>
      <c r="OX66" s="188"/>
      <c r="OY66" s="188"/>
      <c r="OZ66" s="188"/>
      <c r="PA66" s="188"/>
      <c r="PB66" s="188"/>
      <c r="PC66" s="188"/>
      <c r="PD66" s="188"/>
      <c r="PE66" s="188"/>
      <c r="PF66" s="188"/>
      <c r="PG66" s="188"/>
      <c r="PH66" s="188"/>
      <c r="PI66" s="188"/>
      <c r="PJ66" s="188"/>
      <c r="PK66" s="188"/>
      <c r="PL66" s="188"/>
      <c r="PM66" s="188"/>
      <c r="PN66" s="188"/>
      <c r="PO66" s="188"/>
      <c r="PP66" s="188"/>
      <c r="PQ66" s="188"/>
      <c r="PR66" s="188"/>
      <c r="PS66" s="188"/>
      <c r="PT66" s="188"/>
      <c r="PU66" s="188"/>
      <c r="PV66" s="188"/>
      <c r="PW66" s="188"/>
      <c r="PX66" s="188"/>
      <c r="PY66" s="188"/>
      <c r="PZ66" s="188"/>
      <c r="QA66" s="188"/>
      <c r="QB66" s="188"/>
      <c r="QC66" s="188"/>
      <c r="QD66" s="188"/>
      <c r="QE66" s="188"/>
      <c r="QF66" s="238"/>
      <c r="QG66" s="242"/>
      <c r="QH66" s="242"/>
      <c r="QI66" s="242"/>
      <c r="QJ66" s="242"/>
      <c r="QK66" s="242"/>
      <c r="QL66" s="242"/>
      <c r="QQ66" s="12"/>
      <c r="QR66" s="7"/>
    </row>
    <row r="67" spans="3:465" ht="5.0999999999999996" customHeight="1" x14ac:dyDescent="0.3">
      <c r="C67" s="11"/>
      <c r="D67" s="13"/>
      <c r="I67" s="187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9"/>
      <c r="AX67" s="228"/>
      <c r="AY67" s="229"/>
      <c r="AZ67" s="229"/>
      <c r="BA67" s="229"/>
      <c r="BB67" s="230"/>
      <c r="EN67" s="16"/>
      <c r="KS67" s="265"/>
      <c r="KT67" s="265"/>
      <c r="KU67" s="265"/>
      <c r="KV67" s="265"/>
      <c r="KW67" s="265"/>
      <c r="KX67" s="265"/>
      <c r="KY67" s="265"/>
      <c r="KZ67" s="265"/>
      <c r="LA67" s="265"/>
      <c r="LB67" s="265"/>
      <c r="LC67" s="265"/>
      <c r="LD67" s="265"/>
      <c r="LE67" s="265"/>
      <c r="LF67" s="265"/>
      <c r="LG67" s="265"/>
      <c r="LH67" s="265"/>
      <c r="LI67" s="265"/>
      <c r="LJ67" s="265"/>
      <c r="LK67" s="265"/>
      <c r="LL67" s="265"/>
      <c r="LM67" s="265"/>
      <c r="LN67" s="265"/>
      <c r="LO67" s="265"/>
      <c r="LP67" s="265"/>
      <c r="LQ67" s="265"/>
      <c r="LR67" s="265"/>
      <c r="LS67" s="265"/>
      <c r="LT67" s="265"/>
      <c r="LU67" s="265"/>
      <c r="LV67" s="265"/>
      <c r="LW67" s="265"/>
      <c r="LX67" s="265"/>
      <c r="LY67" s="265"/>
      <c r="LZ67" s="265"/>
      <c r="MA67" s="265"/>
      <c r="MB67" s="265"/>
      <c r="MC67" s="265"/>
      <c r="MD67" s="265"/>
      <c r="ME67" s="265"/>
      <c r="MF67" s="266"/>
      <c r="MG67" s="266"/>
      <c r="MH67" s="266"/>
      <c r="MI67" s="266"/>
      <c r="MJ67" s="266"/>
      <c r="OR67" s="237"/>
      <c r="OS67" s="188"/>
      <c r="OT67" s="188"/>
      <c r="OU67" s="188"/>
      <c r="OV67" s="188"/>
      <c r="OW67" s="188"/>
      <c r="OX67" s="188"/>
      <c r="OY67" s="188"/>
      <c r="OZ67" s="188"/>
      <c r="PA67" s="188"/>
      <c r="PB67" s="188"/>
      <c r="PC67" s="188"/>
      <c r="PD67" s="188"/>
      <c r="PE67" s="188"/>
      <c r="PF67" s="188"/>
      <c r="PG67" s="188"/>
      <c r="PH67" s="188"/>
      <c r="PI67" s="188"/>
      <c r="PJ67" s="188"/>
      <c r="PK67" s="188"/>
      <c r="PL67" s="188"/>
      <c r="PM67" s="188"/>
      <c r="PN67" s="188"/>
      <c r="PO67" s="188"/>
      <c r="PP67" s="188"/>
      <c r="PQ67" s="188"/>
      <c r="PR67" s="188"/>
      <c r="PS67" s="188"/>
      <c r="PT67" s="188"/>
      <c r="PU67" s="188"/>
      <c r="PV67" s="188"/>
      <c r="PW67" s="188"/>
      <c r="PX67" s="188"/>
      <c r="PY67" s="188"/>
      <c r="PZ67" s="188"/>
      <c r="QA67" s="188"/>
      <c r="QB67" s="188"/>
      <c r="QC67" s="188"/>
      <c r="QD67" s="188"/>
      <c r="QE67" s="188"/>
      <c r="QF67" s="238"/>
      <c r="QG67" s="242"/>
      <c r="QH67" s="242"/>
      <c r="QI67" s="242"/>
      <c r="QJ67" s="242"/>
      <c r="QK67" s="242"/>
      <c r="QL67" s="242"/>
      <c r="QQ67" s="12"/>
      <c r="QR67" s="7"/>
    </row>
    <row r="68" spans="3:465" ht="5.0999999999999996" customHeight="1" x14ac:dyDescent="0.3">
      <c r="C68" s="11"/>
      <c r="D68" s="13"/>
      <c r="I68" s="190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2"/>
      <c r="AX68" s="231"/>
      <c r="AY68" s="232"/>
      <c r="AZ68" s="232"/>
      <c r="BA68" s="232"/>
      <c r="BB68" s="233"/>
      <c r="EN68" s="16"/>
      <c r="FM68" s="215" t="s">
        <v>182</v>
      </c>
      <c r="FN68" s="215"/>
      <c r="FO68" s="215"/>
      <c r="FP68" s="215"/>
      <c r="FQ68" s="215"/>
      <c r="FR68" s="215"/>
      <c r="FS68" s="215"/>
      <c r="FT68" s="215"/>
      <c r="FU68" s="215"/>
      <c r="FV68" s="215"/>
      <c r="FW68" s="215"/>
      <c r="FX68" s="215"/>
      <c r="FY68" s="215"/>
      <c r="FZ68" s="215"/>
      <c r="GA68" s="215"/>
      <c r="GB68" s="215"/>
      <c r="GC68" s="215"/>
      <c r="GD68" s="215"/>
      <c r="GE68" s="215"/>
      <c r="GF68" s="215"/>
      <c r="GG68" s="215"/>
      <c r="GH68" s="215"/>
      <c r="GI68" s="215"/>
      <c r="GJ68" s="215"/>
      <c r="GK68" s="215"/>
      <c r="GL68" s="215"/>
      <c r="GM68" s="215"/>
      <c r="GN68" s="215"/>
      <c r="GO68" s="215"/>
      <c r="GP68" s="215"/>
      <c r="GQ68" s="215"/>
      <c r="GR68" s="215"/>
      <c r="GS68" s="215"/>
      <c r="GT68" s="215"/>
      <c r="GU68" s="215"/>
      <c r="GV68" s="215"/>
      <c r="GW68" s="215"/>
      <c r="GX68" s="215"/>
      <c r="GY68" s="215"/>
      <c r="GZ68" s="215"/>
      <c r="HA68" s="215">
        <v>2</v>
      </c>
      <c r="HB68" s="215"/>
      <c r="HC68" s="215"/>
      <c r="HD68" s="215"/>
      <c r="HE68" s="215"/>
      <c r="HF68" s="215"/>
      <c r="KS68" s="265"/>
      <c r="KT68" s="265"/>
      <c r="KU68" s="265"/>
      <c r="KV68" s="265"/>
      <c r="KW68" s="265"/>
      <c r="KX68" s="265"/>
      <c r="KY68" s="265"/>
      <c r="KZ68" s="265"/>
      <c r="LA68" s="265"/>
      <c r="LB68" s="265"/>
      <c r="LC68" s="265"/>
      <c r="LD68" s="265"/>
      <c r="LE68" s="265"/>
      <c r="LF68" s="265"/>
      <c r="LG68" s="265"/>
      <c r="LH68" s="265"/>
      <c r="LI68" s="265"/>
      <c r="LJ68" s="265"/>
      <c r="LK68" s="265"/>
      <c r="LL68" s="265"/>
      <c r="LM68" s="265"/>
      <c r="LN68" s="265"/>
      <c r="LO68" s="265"/>
      <c r="LP68" s="265"/>
      <c r="LQ68" s="265"/>
      <c r="LR68" s="265"/>
      <c r="LS68" s="265"/>
      <c r="LT68" s="265"/>
      <c r="LU68" s="265"/>
      <c r="LV68" s="265"/>
      <c r="LW68" s="265"/>
      <c r="LX68" s="265"/>
      <c r="LY68" s="265"/>
      <c r="LZ68" s="265"/>
      <c r="MA68" s="265"/>
      <c r="MB68" s="265"/>
      <c r="MC68" s="265"/>
      <c r="MD68" s="265"/>
      <c r="ME68" s="265"/>
      <c r="MF68" s="266"/>
      <c r="MG68" s="266"/>
      <c r="MH68" s="266"/>
      <c r="MI68" s="266"/>
      <c r="MJ68" s="266"/>
      <c r="MM68" s="33"/>
      <c r="MN68" s="33"/>
      <c r="MO68" s="33"/>
      <c r="OR68" s="237"/>
      <c r="OS68" s="188"/>
      <c r="OT68" s="188"/>
      <c r="OU68" s="188"/>
      <c r="OV68" s="188"/>
      <c r="OW68" s="188"/>
      <c r="OX68" s="188"/>
      <c r="OY68" s="188"/>
      <c r="OZ68" s="188"/>
      <c r="PA68" s="188"/>
      <c r="PB68" s="188"/>
      <c r="PC68" s="188"/>
      <c r="PD68" s="188"/>
      <c r="PE68" s="188"/>
      <c r="PF68" s="188"/>
      <c r="PG68" s="188"/>
      <c r="PH68" s="188"/>
      <c r="PI68" s="188"/>
      <c r="PJ68" s="188"/>
      <c r="PK68" s="188"/>
      <c r="PL68" s="188"/>
      <c r="PM68" s="188"/>
      <c r="PN68" s="188"/>
      <c r="PO68" s="188"/>
      <c r="PP68" s="188"/>
      <c r="PQ68" s="188"/>
      <c r="PR68" s="188"/>
      <c r="PS68" s="188"/>
      <c r="PT68" s="188"/>
      <c r="PU68" s="188"/>
      <c r="PV68" s="188"/>
      <c r="PW68" s="188"/>
      <c r="PX68" s="188"/>
      <c r="PY68" s="188"/>
      <c r="PZ68" s="188"/>
      <c r="QA68" s="188"/>
      <c r="QB68" s="188"/>
      <c r="QC68" s="188"/>
      <c r="QD68" s="188"/>
      <c r="QE68" s="188"/>
      <c r="QF68" s="238"/>
      <c r="QG68" s="242"/>
      <c r="QH68" s="242"/>
      <c r="QI68" s="242"/>
      <c r="QJ68" s="242"/>
      <c r="QK68" s="242"/>
      <c r="QL68" s="242"/>
      <c r="QQ68" s="12"/>
      <c r="QR68" s="7"/>
    </row>
    <row r="69" spans="3:465" ht="5.0999999999999996" customHeight="1" x14ac:dyDescent="0.3">
      <c r="C69" s="11"/>
      <c r="D69" s="13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163"/>
      <c r="CJ69" s="215" t="s">
        <v>183</v>
      </c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5"/>
      <c r="DG69" s="215"/>
      <c r="DH69" s="215"/>
      <c r="DI69" s="215"/>
      <c r="DJ69" s="215"/>
      <c r="DK69" s="215"/>
      <c r="DL69" s="215"/>
      <c r="DM69" s="215"/>
      <c r="DN69" s="215"/>
      <c r="DO69" s="215"/>
      <c r="DP69" s="215"/>
      <c r="DQ69" s="215"/>
      <c r="DR69" s="215"/>
      <c r="DS69" s="215"/>
      <c r="DT69" s="215"/>
      <c r="DU69" s="215"/>
      <c r="DV69" s="215"/>
      <c r="DW69" s="215"/>
      <c r="DX69" s="215">
        <v>1</v>
      </c>
      <c r="DY69" s="215"/>
      <c r="DZ69" s="215"/>
      <c r="EA69" s="215"/>
      <c r="EB69" s="215"/>
      <c r="EC69" s="215"/>
      <c r="EN69" s="16"/>
      <c r="FM69" s="215"/>
      <c r="FN69" s="215"/>
      <c r="FO69" s="215"/>
      <c r="FP69" s="215"/>
      <c r="FQ69" s="215"/>
      <c r="FR69" s="215"/>
      <c r="FS69" s="215"/>
      <c r="FT69" s="215"/>
      <c r="FU69" s="215"/>
      <c r="FV69" s="215"/>
      <c r="FW69" s="215"/>
      <c r="FX69" s="215"/>
      <c r="FY69" s="215"/>
      <c r="FZ69" s="215"/>
      <c r="GA69" s="215"/>
      <c r="GB69" s="215"/>
      <c r="GC69" s="215"/>
      <c r="GD69" s="215"/>
      <c r="GE69" s="215"/>
      <c r="GF69" s="215"/>
      <c r="GG69" s="215"/>
      <c r="GH69" s="215"/>
      <c r="GI69" s="215"/>
      <c r="GJ69" s="215"/>
      <c r="GK69" s="215"/>
      <c r="GL69" s="215"/>
      <c r="GM69" s="215"/>
      <c r="GN69" s="215"/>
      <c r="GO69" s="215"/>
      <c r="GP69" s="215"/>
      <c r="GQ69" s="215"/>
      <c r="GR69" s="215"/>
      <c r="GS69" s="215"/>
      <c r="GT69" s="215"/>
      <c r="GU69" s="215"/>
      <c r="GV69" s="215"/>
      <c r="GW69" s="215"/>
      <c r="GX69" s="215"/>
      <c r="GY69" s="215"/>
      <c r="GZ69" s="215"/>
      <c r="HA69" s="215"/>
      <c r="HB69" s="215"/>
      <c r="HC69" s="215"/>
      <c r="HD69" s="215"/>
      <c r="HE69" s="215"/>
      <c r="HF69" s="215"/>
      <c r="KS69" s="265"/>
      <c r="KT69" s="265"/>
      <c r="KU69" s="265"/>
      <c r="KV69" s="265"/>
      <c r="KW69" s="265"/>
      <c r="KX69" s="265"/>
      <c r="KY69" s="265"/>
      <c r="KZ69" s="265"/>
      <c r="LA69" s="265"/>
      <c r="LB69" s="265"/>
      <c r="LC69" s="265"/>
      <c r="LD69" s="265"/>
      <c r="LE69" s="265"/>
      <c r="LF69" s="265"/>
      <c r="LG69" s="265"/>
      <c r="LH69" s="265"/>
      <c r="LI69" s="265"/>
      <c r="LJ69" s="265"/>
      <c r="LK69" s="265"/>
      <c r="LL69" s="265"/>
      <c r="LM69" s="265"/>
      <c r="LN69" s="265"/>
      <c r="LO69" s="265"/>
      <c r="LP69" s="265"/>
      <c r="LQ69" s="265"/>
      <c r="LR69" s="265"/>
      <c r="LS69" s="265"/>
      <c r="LT69" s="265"/>
      <c r="LU69" s="265"/>
      <c r="LV69" s="265"/>
      <c r="LW69" s="265"/>
      <c r="LX69" s="265"/>
      <c r="LY69" s="265"/>
      <c r="LZ69" s="265"/>
      <c r="MA69" s="265"/>
      <c r="MB69" s="265"/>
      <c r="MC69" s="265"/>
      <c r="MD69" s="265"/>
      <c r="ME69" s="265"/>
      <c r="MF69" s="266"/>
      <c r="MG69" s="266"/>
      <c r="MH69" s="266"/>
      <c r="MI69" s="266"/>
      <c r="MJ69" s="266"/>
      <c r="MM69" s="33"/>
      <c r="MN69" s="33"/>
      <c r="MO69" s="33"/>
      <c r="OR69" s="237"/>
      <c r="OS69" s="188"/>
      <c r="OT69" s="188"/>
      <c r="OU69" s="188"/>
      <c r="OV69" s="188"/>
      <c r="OW69" s="188"/>
      <c r="OX69" s="188"/>
      <c r="OY69" s="188"/>
      <c r="OZ69" s="188"/>
      <c r="PA69" s="188"/>
      <c r="PB69" s="188"/>
      <c r="PC69" s="188"/>
      <c r="PD69" s="188"/>
      <c r="PE69" s="188"/>
      <c r="PF69" s="188"/>
      <c r="PG69" s="188"/>
      <c r="PH69" s="188"/>
      <c r="PI69" s="188"/>
      <c r="PJ69" s="188"/>
      <c r="PK69" s="188"/>
      <c r="PL69" s="188"/>
      <c r="PM69" s="188"/>
      <c r="PN69" s="188"/>
      <c r="PO69" s="188"/>
      <c r="PP69" s="188"/>
      <c r="PQ69" s="188"/>
      <c r="PR69" s="188"/>
      <c r="PS69" s="188"/>
      <c r="PT69" s="188"/>
      <c r="PU69" s="188"/>
      <c r="PV69" s="188"/>
      <c r="PW69" s="188"/>
      <c r="PX69" s="188"/>
      <c r="PY69" s="188"/>
      <c r="PZ69" s="188"/>
      <c r="QA69" s="188"/>
      <c r="QB69" s="188"/>
      <c r="QC69" s="188"/>
      <c r="QD69" s="188"/>
      <c r="QE69" s="188"/>
      <c r="QF69" s="238"/>
      <c r="QG69" s="242"/>
      <c r="QH69" s="242"/>
      <c r="QI69" s="242"/>
      <c r="QJ69" s="242"/>
      <c r="QK69" s="242"/>
      <c r="QL69" s="242"/>
      <c r="QM69" s="33"/>
      <c r="QN69" s="33"/>
      <c r="QQ69" s="12"/>
      <c r="QR69" s="7"/>
      <c r="QT69" s="3"/>
      <c r="QU69" s="3"/>
      <c r="QV69" s="3"/>
      <c r="QW69" s="2"/>
    </row>
    <row r="70" spans="3:465" ht="5.0999999999999996" customHeight="1" x14ac:dyDescent="0.3">
      <c r="C70" s="11"/>
      <c r="D70" s="13"/>
      <c r="I70" s="184" t="s">
        <v>3</v>
      </c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6"/>
      <c r="AX70" s="225">
        <v>2</v>
      </c>
      <c r="AY70" s="226"/>
      <c r="AZ70" s="226"/>
      <c r="BA70" s="226"/>
      <c r="BB70" s="227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15"/>
      <c r="DJ70" s="215"/>
      <c r="DK70" s="215"/>
      <c r="DL70" s="215"/>
      <c r="DM70" s="215"/>
      <c r="DN70" s="215"/>
      <c r="DO70" s="215"/>
      <c r="DP70" s="215"/>
      <c r="DQ70" s="215"/>
      <c r="DR70" s="215"/>
      <c r="DS70" s="215"/>
      <c r="DT70" s="215"/>
      <c r="DU70" s="215"/>
      <c r="DV70" s="215"/>
      <c r="DW70" s="215"/>
      <c r="DX70" s="215"/>
      <c r="DY70" s="215"/>
      <c r="DZ70" s="215"/>
      <c r="EA70" s="215"/>
      <c r="EB70" s="215"/>
      <c r="EC70" s="215"/>
      <c r="EN70" s="16"/>
      <c r="FM70" s="215"/>
      <c r="FN70" s="215"/>
      <c r="FO70" s="215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15"/>
      <c r="GI70" s="215"/>
      <c r="GJ70" s="215"/>
      <c r="GK70" s="215"/>
      <c r="GL70" s="215"/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5"/>
      <c r="HB70" s="215"/>
      <c r="HC70" s="215"/>
      <c r="HD70" s="215"/>
      <c r="HE70" s="215"/>
      <c r="HF70" s="215"/>
      <c r="KS70" s="265"/>
      <c r="KT70" s="265"/>
      <c r="KU70" s="265"/>
      <c r="KV70" s="265"/>
      <c r="KW70" s="265"/>
      <c r="KX70" s="265"/>
      <c r="KY70" s="265"/>
      <c r="KZ70" s="265"/>
      <c r="LA70" s="265"/>
      <c r="LB70" s="265"/>
      <c r="LC70" s="265"/>
      <c r="LD70" s="265"/>
      <c r="LE70" s="265"/>
      <c r="LF70" s="265"/>
      <c r="LG70" s="265"/>
      <c r="LH70" s="265"/>
      <c r="LI70" s="265"/>
      <c r="LJ70" s="265"/>
      <c r="LK70" s="265"/>
      <c r="LL70" s="265"/>
      <c r="LM70" s="265"/>
      <c r="LN70" s="265"/>
      <c r="LO70" s="265"/>
      <c r="LP70" s="265"/>
      <c r="LQ70" s="265"/>
      <c r="LR70" s="265"/>
      <c r="LS70" s="265"/>
      <c r="LT70" s="265"/>
      <c r="LU70" s="265"/>
      <c r="LV70" s="265"/>
      <c r="LW70" s="265"/>
      <c r="LX70" s="265"/>
      <c r="LY70" s="265"/>
      <c r="LZ70" s="265"/>
      <c r="MA70" s="265"/>
      <c r="MB70" s="265"/>
      <c r="MC70" s="265"/>
      <c r="MD70" s="265"/>
      <c r="ME70" s="265"/>
      <c r="MF70" s="266"/>
      <c r="MG70" s="266"/>
      <c r="MH70" s="266"/>
      <c r="MI70" s="266"/>
      <c r="MJ70" s="266"/>
      <c r="MM70" s="33"/>
      <c r="MN70" s="33"/>
      <c r="MO70" s="33"/>
      <c r="OR70" s="237"/>
      <c r="OS70" s="188"/>
      <c r="OT70" s="188"/>
      <c r="OU70" s="188"/>
      <c r="OV70" s="188"/>
      <c r="OW70" s="188"/>
      <c r="OX70" s="188"/>
      <c r="OY70" s="188"/>
      <c r="OZ70" s="188"/>
      <c r="PA70" s="188"/>
      <c r="PB70" s="188"/>
      <c r="PC70" s="188"/>
      <c r="PD70" s="188"/>
      <c r="PE70" s="188"/>
      <c r="PF70" s="188"/>
      <c r="PG70" s="188"/>
      <c r="PH70" s="188"/>
      <c r="PI70" s="188"/>
      <c r="PJ70" s="188"/>
      <c r="PK70" s="188"/>
      <c r="PL70" s="188"/>
      <c r="PM70" s="188"/>
      <c r="PN70" s="188"/>
      <c r="PO70" s="188"/>
      <c r="PP70" s="188"/>
      <c r="PQ70" s="188"/>
      <c r="PR70" s="188"/>
      <c r="PS70" s="188"/>
      <c r="PT70" s="188"/>
      <c r="PU70" s="188"/>
      <c r="PV70" s="188"/>
      <c r="PW70" s="188"/>
      <c r="PX70" s="188"/>
      <c r="PY70" s="188"/>
      <c r="PZ70" s="188"/>
      <c r="QA70" s="188"/>
      <c r="QB70" s="188"/>
      <c r="QC70" s="188"/>
      <c r="QD70" s="188"/>
      <c r="QE70" s="188"/>
      <c r="QF70" s="238"/>
      <c r="QG70" s="242"/>
      <c r="QH70" s="242"/>
      <c r="QI70" s="242"/>
      <c r="QJ70" s="242"/>
      <c r="QK70" s="242"/>
      <c r="QL70" s="242"/>
      <c r="QM70" s="33"/>
      <c r="QN70" s="33"/>
      <c r="QQ70" s="12"/>
      <c r="QR70" s="7"/>
    </row>
    <row r="71" spans="3:465" ht="5.0999999999999996" customHeight="1" x14ac:dyDescent="0.3">
      <c r="C71" s="11"/>
      <c r="D71" s="13"/>
      <c r="I71" s="187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9"/>
      <c r="AX71" s="228"/>
      <c r="AY71" s="229"/>
      <c r="AZ71" s="229"/>
      <c r="BA71" s="229"/>
      <c r="BB71" s="230"/>
      <c r="CJ71" s="215"/>
      <c r="CK71" s="215"/>
      <c r="CL71" s="215"/>
      <c r="CM71" s="215"/>
      <c r="CN71" s="215"/>
      <c r="CO71" s="215"/>
      <c r="CP71" s="215"/>
      <c r="CQ71" s="215"/>
      <c r="CR71" s="215"/>
      <c r="CS71" s="215"/>
      <c r="CT71" s="215"/>
      <c r="CU71" s="215"/>
      <c r="CV71" s="215"/>
      <c r="CW71" s="215"/>
      <c r="CX71" s="215"/>
      <c r="CY71" s="215"/>
      <c r="CZ71" s="215"/>
      <c r="DA71" s="215"/>
      <c r="DB71" s="215"/>
      <c r="DC71" s="215"/>
      <c r="DD71" s="215"/>
      <c r="DE71" s="215"/>
      <c r="DF71" s="215"/>
      <c r="DG71" s="215"/>
      <c r="DH71" s="215"/>
      <c r="DI71" s="215"/>
      <c r="DJ71" s="215"/>
      <c r="DK71" s="215"/>
      <c r="DL71" s="215"/>
      <c r="DM71" s="215"/>
      <c r="DN71" s="215"/>
      <c r="DO71" s="215"/>
      <c r="DP71" s="215"/>
      <c r="DQ71" s="215"/>
      <c r="DR71" s="215"/>
      <c r="DS71" s="215"/>
      <c r="DT71" s="215"/>
      <c r="DU71" s="215"/>
      <c r="DV71" s="215"/>
      <c r="DW71" s="215"/>
      <c r="DX71" s="215"/>
      <c r="DY71" s="215"/>
      <c r="DZ71" s="215"/>
      <c r="EA71" s="215"/>
      <c r="EB71" s="215"/>
      <c r="EC71" s="215"/>
      <c r="EN71" s="16"/>
      <c r="FM71" s="215"/>
      <c r="FN71" s="215"/>
      <c r="FO71" s="215"/>
      <c r="FP71" s="215"/>
      <c r="FQ71" s="215"/>
      <c r="FR71" s="215"/>
      <c r="FS71" s="215"/>
      <c r="FT71" s="215"/>
      <c r="FU71" s="215"/>
      <c r="FV71" s="215"/>
      <c r="FW71" s="215"/>
      <c r="FX71" s="215"/>
      <c r="FY71" s="215"/>
      <c r="FZ71" s="215"/>
      <c r="GA71" s="215"/>
      <c r="GB71" s="215"/>
      <c r="GC71" s="215"/>
      <c r="GD71" s="215"/>
      <c r="GE71" s="215"/>
      <c r="GF71" s="215"/>
      <c r="GG71" s="215"/>
      <c r="GH71" s="215"/>
      <c r="GI71" s="215"/>
      <c r="GJ71" s="215"/>
      <c r="GK71" s="215"/>
      <c r="GL71" s="215"/>
      <c r="GM71" s="215"/>
      <c r="GN71" s="215"/>
      <c r="GO71" s="215"/>
      <c r="GP71" s="215"/>
      <c r="GQ71" s="215"/>
      <c r="GR71" s="215"/>
      <c r="GS71" s="215"/>
      <c r="GT71" s="215"/>
      <c r="GU71" s="215"/>
      <c r="GV71" s="215"/>
      <c r="GW71" s="215"/>
      <c r="GX71" s="215"/>
      <c r="GY71" s="215"/>
      <c r="GZ71" s="215"/>
      <c r="HA71" s="215"/>
      <c r="HB71" s="215"/>
      <c r="HC71" s="215"/>
      <c r="HD71" s="215"/>
      <c r="HE71" s="215"/>
      <c r="HF71" s="215"/>
      <c r="KS71" s="265"/>
      <c r="KT71" s="265"/>
      <c r="KU71" s="265"/>
      <c r="KV71" s="265"/>
      <c r="KW71" s="265"/>
      <c r="KX71" s="265"/>
      <c r="KY71" s="265"/>
      <c r="KZ71" s="265"/>
      <c r="LA71" s="265"/>
      <c r="LB71" s="265"/>
      <c r="LC71" s="265"/>
      <c r="LD71" s="265"/>
      <c r="LE71" s="265"/>
      <c r="LF71" s="265"/>
      <c r="LG71" s="265"/>
      <c r="LH71" s="265"/>
      <c r="LI71" s="265"/>
      <c r="LJ71" s="265"/>
      <c r="LK71" s="265"/>
      <c r="LL71" s="265"/>
      <c r="LM71" s="265"/>
      <c r="LN71" s="265"/>
      <c r="LO71" s="265"/>
      <c r="LP71" s="265"/>
      <c r="LQ71" s="265"/>
      <c r="LR71" s="265"/>
      <c r="LS71" s="265"/>
      <c r="LT71" s="265"/>
      <c r="LU71" s="265"/>
      <c r="LV71" s="265"/>
      <c r="LW71" s="265"/>
      <c r="LX71" s="265"/>
      <c r="LY71" s="265"/>
      <c r="LZ71" s="265"/>
      <c r="MA71" s="265"/>
      <c r="MB71" s="265"/>
      <c r="MC71" s="265"/>
      <c r="MD71" s="265"/>
      <c r="ME71" s="265"/>
      <c r="MF71" s="266"/>
      <c r="MG71" s="266"/>
      <c r="MH71" s="266"/>
      <c r="MI71" s="266"/>
      <c r="MJ71" s="266"/>
      <c r="MM71" s="33"/>
      <c r="MN71" s="33"/>
      <c r="MO71" s="33"/>
      <c r="OR71" s="239"/>
      <c r="OS71" s="240"/>
      <c r="OT71" s="240"/>
      <c r="OU71" s="240"/>
      <c r="OV71" s="240"/>
      <c r="OW71" s="240"/>
      <c r="OX71" s="240"/>
      <c r="OY71" s="240"/>
      <c r="OZ71" s="240"/>
      <c r="PA71" s="240"/>
      <c r="PB71" s="240"/>
      <c r="PC71" s="240"/>
      <c r="PD71" s="240"/>
      <c r="PE71" s="240"/>
      <c r="PF71" s="240"/>
      <c r="PG71" s="240"/>
      <c r="PH71" s="240"/>
      <c r="PI71" s="240"/>
      <c r="PJ71" s="240"/>
      <c r="PK71" s="240"/>
      <c r="PL71" s="240"/>
      <c r="PM71" s="240"/>
      <c r="PN71" s="240"/>
      <c r="PO71" s="240"/>
      <c r="PP71" s="240"/>
      <c r="PQ71" s="240"/>
      <c r="PR71" s="240"/>
      <c r="PS71" s="240"/>
      <c r="PT71" s="240"/>
      <c r="PU71" s="240"/>
      <c r="PV71" s="240"/>
      <c r="PW71" s="240"/>
      <c r="PX71" s="240"/>
      <c r="PY71" s="240"/>
      <c r="PZ71" s="240"/>
      <c r="QA71" s="240"/>
      <c r="QB71" s="240"/>
      <c r="QC71" s="240"/>
      <c r="QD71" s="240"/>
      <c r="QE71" s="240"/>
      <c r="QF71" s="241"/>
      <c r="QG71" s="242"/>
      <c r="QH71" s="242"/>
      <c r="QI71" s="242"/>
      <c r="QJ71" s="242"/>
      <c r="QK71" s="242"/>
      <c r="QL71" s="242"/>
      <c r="QM71" s="33"/>
      <c r="QN71" s="33"/>
      <c r="QQ71" s="12"/>
      <c r="QR71" s="7"/>
    </row>
    <row r="72" spans="3:465" ht="5.0999999999999996" customHeight="1" thickBot="1" x14ac:dyDescent="0.35">
      <c r="C72" s="11"/>
      <c r="D72" s="13"/>
      <c r="I72" s="187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9"/>
      <c r="AX72" s="228"/>
      <c r="AY72" s="229"/>
      <c r="AZ72" s="229"/>
      <c r="BA72" s="229"/>
      <c r="BB72" s="230"/>
      <c r="CJ72" s="215"/>
      <c r="CK72" s="215"/>
      <c r="CL72" s="215"/>
      <c r="CM72" s="215"/>
      <c r="CN72" s="215"/>
      <c r="CO72" s="215"/>
      <c r="CP72" s="215"/>
      <c r="CQ72" s="215"/>
      <c r="CR72" s="215"/>
      <c r="CS72" s="215"/>
      <c r="CT72" s="215"/>
      <c r="CU72" s="215"/>
      <c r="CV72" s="215"/>
      <c r="CW72" s="215"/>
      <c r="CX72" s="215"/>
      <c r="CY72" s="215"/>
      <c r="CZ72" s="215"/>
      <c r="DA72" s="215"/>
      <c r="DB72" s="215"/>
      <c r="DC72" s="215"/>
      <c r="DD72" s="215"/>
      <c r="DE72" s="215"/>
      <c r="DF72" s="215"/>
      <c r="DG72" s="215"/>
      <c r="DH72" s="215"/>
      <c r="DI72" s="215"/>
      <c r="DJ72" s="215"/>
      <c r="DK72" s="215"/>
      <c r="DL72" s="215"/>
      <c r="DM72" s="215"/>
      <c r="DN72" s="215"/>
      <c r="DO72" s="215"/>
      <c r="DP72" s="215"/>
      <c r="DQ72" s="215"/>
      <c r="DR72" s="215"/>
      <c r="DS72" s="215"/>
      <c r="DT72" s="215"/>
      <c r="DU72" s="215"/>
      <c r="DV72" s="215"/>
      <c r="DW72" s="215"/>
      <c r="DX72" s="215"/>
      <c r="DY72" s="215"/>
      <c r="DZ72" s="215"/>
      <c r="EA72" s="215"/>
      <c r="EB72" s="215"/>
      <c r="EC72" s="215"/>
      <c r="EN72" s="16"/>
      <c r="FM72" s="215"/>
      <c r="FN72" s="215"/>
      <c r="FO72" s="215"/>
      <c r="FP72" s="215"/>
      <c r="FQ72" s="215"/>
      <c r="FR72" s="215"/>
      <c r="FS72" s="215"/>
      <c r="FT72" s="215"/>
      <c r="FU72" s="215"/>
      <c r="FV72" s="215"/>
      <c r="FW72" s="215"/>
      <c r="FX72" s="215"/>
      <c r="FY72" s="215"/>
      <c r="FZ72" s="215"/>
      <c r="GA72" s="215"/>
      <c r="GB72" s="215"/>
      <c r="GC72" s="215"/>
      <c r="GD72" s="215"/>
      <c r="GE72" s="215"/>
      <c r="GF72" s="215"/>
      <c r="GG72" s="215"/>
      <c r="GH72" s="215"/>
      <c r="GI72" s="215"/>
      <c r="GJ72" s="215"/>
      <c r="GK72" s="215"/>
      <c r="GL72" s="215"/>
      <c r="GM72" s="215"/>
      <c r="GN72" s="215"/>
      <c r="GO72" s="215"/>
      <c r="GP72" s="215"/>
      <c r="GQ72" s="215"/>
      <c r="GR72" s="215"/>
      <c r="GS72" s="215"/>
      <c r="GT72" s="215"/>
      <c r="GU72" s="215"/>
      <c r="GV72" s="215"/>
      <c r="GW72" s="215"/>
      <c r="GX72" s="215"/>
      <c r="GY72" s="215"/>
      <c r="GZ72" s="215"/>
      <c r="HA72" s="215"/>
      <c r="HB72" s="215"/>
      <c r="HC72" s="215"/>
      <c r="HD72" s="215"/>
      <c r="HE72" s="215"/>
      <c r="HF72" s="215"/>
      <c r="KS72" s="265"/>
      <c r="KT72" s="265"/>
      <c r="KU72" s="265"/>
      <c r="KV72" s="265"/>
      <c r="KW72" s="265"/>
      <c r="KX72" s="265"/>
      <c r="KY72" s="265"/>
      <c r="KZ72" s="265"/>
      <c r="LA72" s="265"/>
      <c r="LB72" s="265"/>
      <c r="LC72" s="265"/>
      <c r="LD72" s="265"/>
      <c r="LE72" s="265"/>
      <c r="LF72" s="265"/>
      <c r="LG72" s="265"/>
      <c r="LH72" s="265"/>
      <c r="LI72" s="265"/>
      <c r="LJ72" s="265"/>
      <c r="LK72" s="265"/>
      <c r="LL72" s="265"/>
      <c r="LM72" s="265"/>
      <c r="LN72" s="265"/>
      <c r="LO72" s="265"/>
      <c r="LP72" s="265"/>
      <c r="LQ72" s="265"/>
      <c r="LR72" s="265"/>
      <c r="LS72" s="265"/>
      <c r="LT72" s="265"/>
      <c r="LU72" s="265"/>
      <c r="LV72" s="265"/>
      <c r="LW72" s="265"/>
      <c r="LX72" s="265"/>
      <c r="LY72" s="265"/>
      <c r="LZ72" s="265"/>
      <c r="MA72" s="265"/>
      <c r="MB72" s="265"/>
      <c r="MC72" s="265"/>
      <c r="MD72" s="265"/>
      <c r="ME72" s="265"/>
      <c r="MF72" s="266"/>
      <c r="MG72" s="266"/>
      <c r="MH72" s="266"/>
      <c r="MI72" s="266"/>
      <c r="MJ72" s="266"/>
      <c r="MM72" s="33"/>
      <c r="MN72" s="33"/>
      <c r="MO72" s="33"/>
      <c r="QK72" s="33"/>
      <c r="QL72" s="33"/>
      <c r="QM72" s="33"/>
      <c r="QN72" s="33"/>
      <c r="QQ72" s="12"/>
      <c r="QR72" s="7"/>
    </row>
    <row r="73" spans="3:465" ht="5.0999999999999996" customHeight="1" x14ac:dyDescent="0.3">
      <c r="C73" s="11"/>
      <c r="D73" s="13"/>
      <c r="I73" s="187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9"/>
      <c r="AX73" s="228"/>
      <c r="AY73" s="229"/>
      <c r="AZ73" s="229"/>
      <c r="BA73" s="229"/>
      <c r="BB73" s="230"/>
      <c r="CJ73" s="215"/>
      <c r="CK73" s="215"/>
      <c r="CL73" s="215"/>
      <c r="CM73" s="215"/>
      <c r="CN73" s="215"/>
      <c r="CO73" s="215"/>
      <c r="CP73" s="215"/>
      <c r="CQ73" s="215"/>
      <c r="CR73" s="215"/>
      <c r="CS73" s="215"/>
      <c r="CT73" s="215"/>
      <c r="CU73" s="215"/>
      <c r="CV73" s="215"/>
      <c r="CW73" s="215"/>
      <c r="CX73" s="215"/>
      <c r="CY73" s="215"/>
      <c r="CZ73" s="215"/>
      <c r="DA73" s="215"/>
      <c r="DB73" s="215"/>
      <c r="DC73" s="215"/>
      <c r="DD73" s="215"/>
      <c r="DE73" s="215"/>
      <c r="DF73" s="215"/>
      <c r="DG73" s="215"/>
      <c r="DH73" s="215"/>
      <c r="DI73" s="215"/>
      <c r="DJ73" s="215"/>
      <c r="DK73" s="215"/>
      <c r="DL73" s="215"/>
      <c r="DM73" s="215"/>
      <c r="DN73" s="215"/>
      <c r="DO73" s="215"/>
      <c r="DP73" s="215"/>
      <c r="DQ73" s="215"/>
      <c r="DR73" s="215"/>
      <c r="DS73" s="215"/>
      <c r="DT73" s="215"/>
      <c r="DU73" s="215"/>
      <c r="DV73" s="215"/>
      <c r="DW73" s="215"/>
      <c r="DX73" s="215"/>
      <c r="DY73" s="215"/>
      <c r="DZ73" s="215"/>
      <c r="EA73" s="215"/>
      <c r="EB73" s="215"/>
      <c r="EC73" s="215"/>
      <c r="ED73" s="51"/>
      <c r="EE73" s="21"/>
      <c r="EF73" s="21"/>
      <c r="EG73" s="21"/>
      <c r="EH73" s="21"/>
      <c r="EI73" s="21"/>
      <c r="EJ73" s="21"/>
      <c r="EK73" s="21"/>
      <c r="EL73" s="21"/>
      <c r="EM73" s="21"/>
      <c r="EN73" s="22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48"/>
      <c r="FM73" s="215"/>
      <c r="FN73" s="215"/>
      <c r="FO73" s="215"/>
      <c r="FP73" s="215"/>
      <c r="FQ73" s="215"/>
      <c r="FR73" s="215"/>
      <c r="FS73" s="215"/>
      <c r="FT73" s="215"/>
      <c r="FU73" s="215"/>
      <c r="FV73" s="215"/>
      <c r="FW73" s="215"/>
      <c r="FX73" s="215"/>
      <c r="FY73" s="215"/>
      <c r="FZ73" s="215"/>
      <c r="GA73" s="215"/>
      <c r="GB73" s="215"/>
      <c r="GC73" s="215"/>
      <c r="GD73" s="215"/>
      <c r="GE73" s="215"/>
      <c r="GF73" s="215"/>
      <c r="GG73" s="215"/>
      <c r="GH73" s="215"/>
      <c r="GI73" s="215"/>
      <c r="GJ73" s="215"/>
      <c r="GK73" s="215"/>
      <c r="GL73" s="215"/>
      <c r="GM73" s="215"/>
      <c r="GN73" s="215"/>
      <c r="GO73" s="215"/>
      <c r="GP73" s="215"/>
      <c r="GQ73" s="215"/>
      <c r="GR73" s="215"/>
      <c r="GS73" s="215"/>
      <c r="GT73" s="215"/>
      <c r="GU73" s="215"/>
      <c r="GV73" s="215"/>
      <c r="GW73" s="215"/>
      <c r="GX73" s="215"/>
      <c r="GY73" s="215"/>
      <c r="GZ73" s="215"/>
      <c r="HA73" s="215"/>
      <c r="HB73" s="215"/>
      <c r="HC73" s="215"/>
      <c r="HD73" s="215"/>
      <c r="HE73" s="215"/>
      <c r="HF73" s="215"/>
      <c r="KS73" s="265"/>
      <c r="KT73" s="265"/>
      <c r="KU73" s="265"/>
      <c r="KV73" s="265"/>
      <c r="KW73" s="265"/>
      <c r="KX73" s="265"/>
      <c r="KY73" s="265"/>
      <c r="KZ73" s="265"/>
      <c r="LA73" s="265"/>
      <c r="LB73" s="265"/>
      <c r="LC73" s="265"/>
      <c r="LD73" s="265"/>
      <c r="LE73" s="265"/>
      <c r="LF73" s="265"/>
      <c r="LG73" s="265"/>
      <c r="LH73" s="265"/>
      <c r="LI73" s="265"/>
      <c r="LJ73" s="265"/>
      <c r="LK73" s="265"/>
      <c r="LL73" s="265"/>
      <c r="LM73" s="265"/>
      <c r="LN73" s="265"/>
      <c r="LO73" s="265"/>
      <c r="LP73" s="265"/>
      <c r="LQ73" s="265"/>
      <c r="LR73" s="265"/>
      <c r="LS73" s="265"/>
      <c r="LT73" s="265"/>
      <c r="LU73" s="265"/>
      <c r="LV73" s="265"/>
      <c r="LW73" s="265"/>
      <c r="LX73" s="265"/>
      <c r="LY73" s="265"/>
      <c r="LZ73" s="265"/>
      <c r="MA73" s="265"/>
      <c r="MB73" s="265"/>
      <c r="MC73" s="265"/>
      <c r="MD73" s="265"/>
      <c r="ME73" s="265"/>
      <c r="MF73" s="266"/>
      <c r="MG73" s="266"/>
      <c r="MH73" s="266"/>
      <c r="MI73" s="266"/>
      <c r="MJ73" s="266"/>
      <c r="MM73" s="33"/>
      <c r="MN73" s="33"/>
      <c r="MO73" s="33"/>
      <c r="QK73" s="33"/>
      <c r="QL73" s="33"/>
      <c r="QM73" s="33"/>
      <c r="QN73" s="33"/>
      <c r="QQ73" s="12"/>
      <c r="QR73" s="7"/>
    </row>
    <row r="74" spans="3:465" ht="5.0999999999999996" customHeight="1" x14ac:dyDescent="0.3">
      <c r="C74" s="11"/>
      <c r="D74" s="13"/>
      <c r="I74" s="187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9"/>
      <c r="AX74" s="228"/>
      <c r="AY74" s="229"/>
      <c r="AZ74" s="229"/>
      <c r="BA74" s="229"/>
      <c r="BB74" s="230"/>
      <c r="CJ74" s="215"/>
      <c r="CK74" s="215"/>
      <c r="CL74" s="215"/>
      <c r="CM74" s="215"/>
      <c r="CN74" s="215"/>
      <c r="CO74" s="215"/>
      <c r="CP74" s="215"/>
      <c r="CQ74" s="215"/>
      <c r="CR74" s="215"/>
      <c r="CS74" s="215"/>
      <c r="CT74" s="215"/>
      <c r="CU74" s="215"/>
      <c r="CV74" s="215"/>
      <c r="CW74" s="215"/>
      <c r="CX74" s="215"/>
      <c r="CY74" s="215"/>
      <c r="CZ74" s="215"/>
      <c r="DA74" s="215"/>
      <c r="DB74" s="215"/>
      <c r="DC74" s="215"/>
      <c r="DD74" s="215"/>
      <c r="DE74" s="215"/>
      <c r="DF74" s="215"/>
      <c r="DG74" s="215"/>
      <c r="DH74" s="215"/>
      <c r="DI74" s="215"/>
      <c r="DJ74" s="215"/>
      <c r="DK74" s="215"/>
      <c r="DL74" s="215"/>
      <c r="DM74" s="215"/>
      <c r="DN74" s="215"/>
      <c r="DO74" s="215"/>
      <c r="DP74" s="215"/>
      <c r="DQ74" s="215"/>
      <c r="DR74" s="215"/>
      <c r="DS74" s="215"/>
      <c r="DT74" s="215"/>
      <c r="DU74" s="215"/>
      <c r="DV74" s="215"/>
      <c r="DW74" s="215"/>
      <c r="DX74" s="215"/>
      <c r="DY74" s="215"/>
      <c r="DZ74" s="215"/>
      <c r="EA74" s="215"/>
      <c r="EB74" s="215"/>
      <c r="EC74" s="215"/>
      <c r="ED74" s="13"/>
      <c r="EN74" s="16"/>
      <c r="FL74" s="12"/>
      <c r="FM74" s="215"/>
      <c r="FN74" s="215"/>
      <c r="FO74" s="215"/>
      <c r="FP74" s="215"/>
      <c r="FQ74" s="215"/>
      <c r="FR74" s="215"/>
      <c r="FS74" s="215"/>
      <c r="FT74" s="215"/>
      <c r="FU74" s="215"/>
      <c r="FV74" s="215"/>
      <c r="FW74" s="215"/>
      <c r="FX74" s="215"/>
      <c r="FY74" s="215"/>
      <c r="FZ74" s="215"/>
      <c r="GA74" s="215"/>
      <c r="GB74" s="215"/>
      <c r="GC74" s="215"/>
      <c r="GD74" s="215"/>
      <c r="GE74" s="215"/>
      <c r="GF74" s="215"/>
      <c r="GG74" s="215"/>
      <c r="GH74" s="215"/>
      <c r="GI74" s="215"/>
      <c r="GJ74" s="215"/>
      <c r="GK74" s="215"/>
      <c r="GL74" s="215"/>
      <c r="GM74" s="215"/>
      <c r="GN74" s="215"/>
      <c r="GO74" s="215"/>
      <c r="GP74" s="215"/>
      <c r="GQ74" s="215"/>
      <c r="GR74" s="215"/>
      <c r="GS74" s="215"/>
      <c r="GT74" s="215"/>
      <c r="GU74" s="215"/>
      <c r="GV74" s="215"/>
      <c r="GW74" s="215"/>
      <c r="GX74" s="215"/>
      <c r="GY74" s="215"/>
      <c r="GZ74" s="215"/>
      <c r="HA74" s="215"/>
      <c r="HB74" s="215"/>
      <c r="HC74" s="215"/>
      <c r="HD74" s="215"/>
      <c r="HE74" s="215"/>
      <c r="HF74" s="215"/>
      <c r="LP74" s="16"/>
      <c r="MM74" s="33"/>
      <c r="MN74" s="33"/>
      <c r="MO74" s="33"/>
      <c r="QK74" s="33"/>
      <c r="QL74" s="33"/>
      <c r="QM74" s="33"/>
      <c r="QN74" s="33"/>
      <c r="QQ74" s="12"/>
      <c r="QR74" s="7"/>
    </row>
    <row r="75" spans="3:465" ht="5.0999999999999996" customHeight="1" x14ac:dyDescent="0.3">
      <c r="C75" s="11"/>
      <c r="D75" s="13"/>
      <c r="I75" s="187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9"/>
      <c r="AX75" s="228"/>
      <c r="AY75" s="229"/>
      <c r="AZ75" s="229"/>
      <c r="BA75" s="229"/>
      <c r="BB75" s="230"/>
      <c r="CJ75" s="215"/>
      <c r="CK75" s="215"/>
      <c r="CL75" s="215"/>
      <c r="CM75" s="215"/>
      <c r="CN75" s="215"/>
      <c r="CO75" s="215"/>
      <c r="CP75" s="215"/>
      <c r="CQ75" s="215"/>
      <c r="CR75" s="215"/>
      <c r="CS75" s="215"/>
      <c r="CT75" s="215"/>
      <c r="CU75" s="215"/>
      <c r="CV75" s="215"/>
      <c r="CW75" s="215"/>
      <c r="CX75" s="215"/>
      <c r="CY75" s="215"/>
      <c r="CZ75" s="215"/>
      <c r="DA75" s="215"/>
      <c r="DB75" s="215"/>
      <c r="DC75" s="215"/>
      <c r="DD75" s="215"/>
      <c r="DE75" s="215"/>
      <c r="DF75" s="215"/>
      <c r="DG75" s="215"/>
      <c r="DH75" s="215"/>
      <c r="DI75" s="215"/>
      <c r="DJ75" s="215"/>
      <c r="DK75" s="215"/>
      <c r="DL75" s="215"/>
      <c r="DM75" s="215"/>
      <c r="DN75" s="215"/>
      <c r="DO75" s="215"/>
      <c r="DP75" s="215"/>
      <c r="DQ75" s="215"/>
      <c r="DR75" s="215"/>
      <c r="DS75" s="215"/>
      <c r="DT75" s="215"/>
      <c r="DU75" s="215"/>
      <c r="DV75" s="215"/>
      <c r="DW75" s="215"/>
      <c r="DX75" s="215"/>
      <c r="DY75" s="215"/>
      <c r="DZ75" s="215"/>
      <c r="EA75" s="215"/>
      <c r="EB75" s="215"/>
      <c r="EC75" s="215"/>
      <c r="EN75" s="16"/>
      <c r="FM75" s="215"/>
      <c r="FN75" s="215"/>
      <c r="FO75" s="215"/>
      <c r="FP75" s="215"/>
      <c r="FQ75" s="215"/>
      <c r="FR75" s="215"/>
      <c r="FS75" s="215"/>
      <c r="FT75" s="215"/>
      <c r="FU75" s="215"/>
      <c r="FV75" s="215"/>
      <c r="FW75" s="215"/>
      <c r="FX75" s="215"/>
      <c r="FY75" s="215"/>
      <c r="FZ75" s="215"/>
      <c r="GA75" s="215"/>
      <c r="GB75" s="215"/>
      <c r="GC75" s="215"/>
      <c r="GD75" s="215"/>
      <c r="GE75" s="215"/>
      <c r="GF75" s="215"/>
      <c r="GG75" s="215"/>
      <c r="GH75" s="215"/>
      <c r="GI75" s="215"/>
      <c r="GJ75" s="215"/>
      <c r="GK75" s="215"/>
      <c r="GL75" s="215"/>
      <c r="GM75" s="215"/>
      <c r="GN75" s="215"/>
      <c r="GO75" s="215"/>
      <c r="GP75" s="215"/>
      <c r="GQ75" s="215"/>
      <c r="GR75" s="215"/>
      <c r="GS75" s="215"/>
      <c r="GT75" s="215"/>
      <c r="GU75" s="215"/>
      <c r="GV75" s="215"/>
      <c r="GW75" s="215"/>
      <c r="GX75" s="215"/>
      <c r="GY75" s="215"/>
      <c r="GZ75" s="215"/>
      <c r="HA75" s="215"/>
      <c r="HB75" s="215"/>
      <c r="HC75" s="215"/>
      <c r="HD75" s="215"/>
      <c r="HE75" s="215"/>
      <c r="HF75" s="215"/>
      <c r="LP75" s="16"/>
      <c r="MM75" s="33"/>
      <c r="MN75" s="33"/>
      <c r="MO75" s="33"/>
      <c r="QK75" s="33"/>
      <c r="QL75" s="33"/>
      <c r="QM75" s="33"/>
      <c r="QN75" s="33"/>
      <c r="QQ75" s="12"/>
      <c r="QR75" s="7"/>
    </row>
    <row r="76" spans="3:465" ht="5.0999999999999996" customHeight="1" x14ac:dyDescent="0.3">
      <c r="C76" s="11"/>
      <c r="D76" s="13"/>
      <c r="I76" s="187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9"/>
      <c r="AX76" s="228"/>
      <c r="AY76" s="229"/>
      <c r="AZ76" s="229"/>
      <c r="BA76" s="229"/>
      <c r="BB76" s="230"/>
      <c r="CJ76" s="215"/>
      <c r="CK76" s="215"/>
      <c r="CL76" s="215"/>
      <c r="CM76" s="215"/>
      <c r="CN76" s="215"/>
      <c r="CO76" s="215"/>
      <c r="CP76" s="215"/>
      <c r="CQ76" s="215"/>
      <c r="CR76" s="215"/>
      <c r="CS76" s="215"/>
      <c r="CT76" s="215"/>
      <c r="CU76" s="215"/>
      <c r="CV76" s="215"/>
      <c r="CW76" s="215"/>
      <c r="CX76" s="215"/>
      <c r="CY76" s="215"/>
      <c r="CZ76" s="215"/>
      <c r="DA76" s="215"/>
      <c r="DB76" s="215"/>
      <c r="DC76" s="215"/>
      <c r="DD76" s="215"/>
      <c r="DE76" s="215"/>
      <c r="DF76" s="215"/>
      <c r="DG76" s="215"/>
      <c r="DH76" s="215"/>
      <c r="DI76" s="215"/>
      <c r="DJ76" s="215"/>
      <c r="DK76" s="215"/>
      <c r="DL76" s="215"/>
      <c r="DM76" s="215"/>
      <c r="DN76" s="215"/>
      <c r="DO76" s="215"/>
      <c r="DP76" s="215"/>
      <c r="DQ76" s="215"/>
      <c r="DR76" s="215"/>
      <c r="DS76" s="215"/>
      <c r="DT76" s="215"/>
      <c r="DU76" s="215"/>
      <c r="DV76" s="215"/>
      <c r="DW76" s="215"/>
      <c r="DX76" s="215"/>
      <c r="DY76" s="215"/>
      <c r="DZ76" s="215"/>
      <c r="EA76" s="215"/>
      <c r="EB76" s="215"/>
      <c r="EC76" s="215"/>
      <c r="EN76" s="16"/>
      <c r="FM76" s="215"/>
      <c r="FN76" s="215"/>
      <c r="FO76" s="215"/>
      <c r="FP76" s="215"/>
      <c r="FQ76" s="215"/>
      <c r="FR76" s="215"/>
      <c r="FS76" s="215"/>
      <c r="FT76" s="215"/>
      <c r="FU76" s="215"/>
      <c r="FV76" s="215"/>
      <c r="FW76" s="215"/>
      <c r="FX76" s="215"/>
      <c r="FY76" s="215"/>
      <c r="FZ76" s="215"/>
      <c r="GA76" s="215"/>
      <c r="GB76" s="215"/>
      <c r="GC76" s="215"/>
      <c r="GD76" s="215"/>
      <c r="GE76" s="215"/>
      <c r="GF76" s="215"/>
      <c r="GG76" s="215"/>
      <c r="GH76" s="215"/>
      <c r="GI76" s="215"/>
      <c r="GJ76" s="215"/>
      <c r="GK76" s="215"/>
      <c r="GL76" s="215"/>
      <c r="GM76" s="215"/>
      <c r="GN76" s="215"/>
      <c r="GO76" s="215"/>
      <c r="GP76" s="215"/>
      <c r="GQ76" s="215"/>
      <c r="GR76" s="215"/>
      <c r="GS76" s="215"/>
      <c r="GT76" s="215"/>
      <c r="GU76" s="215"/>
      <c r="GV76" s="215"/>
      <c r="GW76" s="215"/>
      <c r="GX76" s="215"/>
      <c r="GY76" s="215"/>
      <c r="GZ76" s="215"/>
      <c r="HA76" s="215"/>
      <c r="HB76" s="215"/>
      <c r="HC76" s="215"/>
      <c r="HD76" s="215"/>
      <c r="HE76" s="215"/>
      <c r="HF76" s="215"/>
      <c r="KS76" s="215" t="s">
        <v>184</v>
      </c>
      <c r="KT76" s="215"/>
      <c r="KU76" s="215"/>
      <c r="KV76" s="215"/>
      <c r="KW76" s="215"/>
      <c r="KX76" s="215"/>
      <c r="KY76" s="215"/>
      <c r="KZ76" s="215"/>
      <c r="LA76" s="215"/>
      <c r="LB76" s="215"/>
      <c r="LC76" s="215"/>
      <c r="LD76" s="215"/>
      <c r="LE76" s="215"/>
      <c r="LF76" s="215"/>
      <c r="LG76" s="215"/>
      <c r="LH76" s="215"/>
      <c r="LI76" s="215"/>
      <c r="LJ76" s="215"/>
      <c r="LK76" s="215"/>
      <c r="LL76" s="215"/>
      <c r="LM76" s="215"/>
      <c r="LN76" s="215"/>
      <c r="LO76" s="215"/>
      <c r="LP76" s="215"/>
      <c r="LQ76" s="215"/>
      <c r="LR76" s="215"/>
      <c r="LS76" s="215"/>
      <c r="LT76" s="215"/>
      <c r="LU76" s="215"/>
      <c r="LV76" s="215"/>
      <c r="LW76" s="215"/>
      <c r="LX76" s="215"/>
      <c r="LY76" s="215"/>
      <c r="LZ76" s="215"/>
      <c r="MA76" s="215"/>
      <c r="MB76" s="215"/>
      <c r="MC76" s="215"/>
      <c r="MD76" s="215"/>
      <c r="ME76" s="215"/>
      <c r="MF76" s="215">
        <v>2</v>
      </c>
      <c r="MG76" s="215"/>
      <c r="MH76" s="215"/>
      <c r="MI76" s="215"/>
      <c r="MJ76" s="215"/>
      <c r="MM76" s="33"/>
      <c r="MN76" s="33"/>
      <c r="MO76" s="33"/>
      <c r="QK76" s="33"/>
      <c r="QL76" s="33"/>
      <c r="QM76" s="33"/>
      <c r="QN76" s="33"/>
      <c r="QQ76" s="12"/>
      <c r="QR76" s="7"/>
    </row>
    <row r="77" spans="3:465" ht="5.0999999999999996" customHeight="1" x14ac:dyDescent="0.3">
      <c r="C77" s="11"/>
      <c r="D77" s="13"/>
      <c r="I77" s="187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9"/>
      <c r="AX77" s="228"/>
      <c r="AY77" s="229"/>
      <c r="AZ77" s="229"/>
      <c r="BA77" s="229"/>
      <c r="BB77" s="230"/>
      <c r="CJ77" s="215"/>
      <c r="CK77" s="215"/>
      <c r="CL77" s="215"/>
      <c r="CM77" s="215"/>
      <c r="CN77" s="215"/>
      <c r="CO77" s="215"/>
      <c r="CP77" s="215"/>
      <c r="CQ77" s="215"/>
      <c r="CR77" s="215"/>
      <c r="CS77" s="215"/>
      <c r="CT77" s="215"/>
      <c r="CU77" s="215"/>
      <c r="CV77" s="215"/>
      <c r="CW77" s="215"/>
      <c r="CX77" s="215"/>
      <c r="CY77" s="215"/>
      <c r="CZ77" s="215"/>
      <c r="DA77" s="215"/>
      <c r="DB77" s="215"/>
      <c r="DC77" s="215"/>
      <c r="DD77" s="215"/>
      <c r="DE77" s="215"/>
      <c r="DF77" s="215"/>
      <c r="DG77" s="215"/>
      <c r="DH77" s="215"/>
      <c r="DI77" s="215"/>
      <c r="DJ77" s="215"/>
      <c r="DK77" s="215"/>
      <c r="DL77" s="215"/>
      <c r="DM77" s="215"/>
      <c r="DN77" s="215"/>
      <c r="DO77" s="215"/>
      <c r="DP77" s="215"/>
      <c r="DQ77" s="215"/>
      <c r="DR77" s="215"/>
      <c r="DS77" s="215"/>
      <c r="DT77" s="215"/>
      <c r="DU77" s="215"/>
      <c r="DV77" s="215"/>
      <c r="DW77" s="215"/>
      <c r="DX77" s="215"/>
      <c r="DY77" s="215"/>
      <c r="DZ77" s="215"/>
      <c r="EA77" s="215"/>
      <c r="EB77" s="215"/>
      <c r="EC77" s="215"/>
      <c r="EN77" s="16"/>
      <c r="FM77" s="215"/>
      <c r="FN77" s="215"/>
      <c r="FO77" s="215"/>
      <c r="FP77" s="215"/>
      <c r="FQ77" s="215"/>
      <c r="FR77" s="215"/>
      <c r="FS77" s="215"/>
      <c r="FT77" s="215"/>
      <c r="FU77" s="215"/>
      <c r="FV77" s="215"/>
      <c r="FW77" s="215"/>
      <c r="FX77" s="215"/>
      <c r="FY77" s="215"/>
      <c r="FZ77" s="215"/>
      <c r="GA77" s="215"/>
      <c r="GB77" s="215"/>
      <c r="GC77" s="215"/>
      <c r="GD77" s="215"/>
      <c r="GE77" s="215"/>
      <c r="GF77" s="215"/>
      <c r="GG77" s="215"/>
      <c r="GH77" s="215"/>
      <c r="GI77" s="215"/>
      <c r="GJ77" s="215"/>
      <c r="GK77" s="215"/>
      <c r="GL77" s="215"/>
      <c r="GM77" s="215"/>
      <c r="GN77" s="215"/>
      <c r="GO77" s="215"/>
      <c r="GP77" s="215"/>
      <c r="GQ77" s="215"/>
      <c r="GR77" s="215"/>
      <c r="GS77" s="215"/>
      <c r="GT77" s="215"/>
      <c r="GU77" s="215"/>
      <c r="GV77" s="215"/>
      <c r="GW77" s="215"/>
      <c r="GX77" s="215"/>
      <c r="GY77" s="215"/>
      <c r="GZ77" s="215"/>
      <c r="HA77" s="215"/>
      <c r="HB77" s="215"/>
      <c r="HC77" s="215"/>
      <c r="HD77" s="215"/>
      <c r="HE77" s="215"/>
      <c r="HF77" s="215"/>
      <c r="KS77" s="215"/>
      <c r="KT77" s="215"/>
      <c r="KU77" s="215"/>
      <c r="KV77" s="215"/>
      <c r="KW77" s="215"/>
      <c r="KX77" s="215"/>
      <c r="KY77" s="215"/>
      <c r="KZ77" s="215"/>
      <c r="LA77" s="215"/>
      <c r="LB77" s="215"/>
      <c r="LC77" s="215"/>
      <c r="LD77" s="215"/>
      <c r="LE77" s="215"/>
      <c r="LF77" s="215"/>
      <c r="LG77" s="215"/>
      <c r="LH77" s="215"/>
      <c r="LI77" s="215"/>
      <c r="LJ77" s="215"/>
      <c r="LK77" s="215"/>
      <c r="LL77" s="215"/>
      <c r="LM77" s="215"/>
      <c r="LN77" s="215"/>
      <c r="LO77" s="215"/>
      <c r="LP77" s="215"/>
      <c r="LQ77" s="215"/>
      <c r="LR77" s="215"/>
      <c r="LS77" s="215"/>
      <c r="LT77" s="215"/>
      <c r="LU77" s="215"/>
      <c r="LV77" s="215"/>
      <c r="LW77" s="215"/>
      <c r="LX77" s="215"/>
      <c r="LY77" s="215"/>
      <c r="LZ77" s="215"/>
      <c r="MA77" s="215"/>
      <c r="MB77" s="215"/>
      <c r="MC77" s="215"/>
      <c r="MD77" s="215"/>
      <c r="ME77" s="215"/>
      <c r="MF77" s="215"/>
      <c r="MG77" s="215"/>
      <c r="MH77" s="215"/>
      <c r="MI77" s="215"/>
      <c r="MJ77" s="215"/>
      <c r="MM77" s="33"/>
      <c r="MN77" s="33"/>
      <c r="MO77" s="33"/>
      <c r="QK77" s="33"/>
      <c r="QL77" s="33"/>
      <c r="QM77" s="33"/>
      <c r="QN77" s="33"/>
      <c r="QQ77" s="12"/>
      <c r="QR77" s="7"/>
    </row>
    <row r="78" spans="3:465" ht="5.0999999999999996" customHeight="1" x14ac:dyDescent="0.3">
      <c r="C78" s="11"/>
      <c r="D78" s="13"/>
      <c r="I78" s="190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2"/>
      <c r="AX78" s="231"/>
      <c r="AY78" s="232"/>
      <c r="AZ78" s="232"/>
      <c r="BA78" s="232"/>
      <c r="BB78" s="233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5"/>
      <c r="DG78" s="215"/>
      <c r="DH78" s="215"/>
      <c r="DI78" s="215"/>
      <c r="DJ78" s="215"/>
      <c r="DK78" s="215"/>
      <c r="DL78" s="215"/>
      <c r="DM78" s="215"/>
      <c r="DN78" s="215"/>
      <c r="DO78" s="215"/>
      <c r="DP78" s="215"/>
      <c r="DQ78" s="215"/>
      <c r="DR78" s="215"/>
      <c r="DS78" s="215"/>
      <c r="DT78" s="215"/>
      <c r="DU78" s="215"/>
      <c r="DV78" s="215"/>
      <c r="DW78" s="215"/>
      <c r="DX78" s="215"/>
      <c r="DY78" s="215"/>
      <c r="DZ78" s="215"/>
      <c r="EA78" s="215"/>
      <c r="EB78" s="215"/>
      <c r="EC78" s="215"/>
      <c r="EN78" s="16"/>
      <c r="KS78" s="215"/>
      <c r="KT78" s="215"/>
      <c r="KU78" s="215"/>
      <c r="KV78" s="215"/>
      <c r="KW78" s="215"/>
      <c r="KX78" s="215"/>
      <c r="KY78" s="215"/>
      <c r="KZ78" s="215"/>
      <c r="LA78" s="215"/>
      <c r="LB78" s="215"/>
      <c r="LC78" s="215"/>
      <c r="LD78" s="215"/>
      <c r="LE78" s="215"/>
      <c r="LF78" s="215"/>
      <c r="LG78" s="215"/>
      <c r="LH78" s="215"/>
      <c r="LI78" s="215"/>
      <c r="LJ78" s="215"/>
      <c r="LK78" s="215"/>
      <c r="LL78" s="215"/>
      <c r="LM78" s="215"/>
      <c r="LN78" s="215"/>
      <c r="LO78" s="215"/>
      <c r="LP78" s="215"/>
      <c r="LQ78" s="215"/>
      <c r="LR78" s="215"/>
      <c r="LS78" s="215"/>
      <c r="LT78" s="215"/>
      <c r="LU78" s="215"/>
      <c r="LV78" s="215"/>
      <c r="LW78" s="215"/>
      <c r="LX78" s="215"/>
      <c r="LY78" s="215"/>
      <c r="LZ78" s="215"/>
      <c r="MA78" s="215"/>
      <c r="MB78" s="215"/>
      <c r="MC78" s="215"/>
      <c r="MD78" s="215"/>
      <c r="ME78" s="215"/>
      <c r="MF78" s="215"/>
      <c r="MG78" s="215"/>
      <c r="MH78" s="215"/>
      <c r="MI78" s="215"/>
      <c r="MJ78" s="215"/>
      <c r="MM78" s="33"/>
      <c r="MN78" s="33"/>
      <c r="MO78" s="33"/>
      <c r="QK78" s="33"/>
      <c r="QL78" s="33"/>
      <c r="QM78" s="33"/>
      <c r="QN78" s="33"/>
      <c r="QQ78" s="12"/>
      <c r="QR78" s="7"/>
    </row>
    <row r="79" spans="3:465" ht="5.0999999999999996" customHeight="1" x14ac:dyDescent="0.3">
      <c r="C79" s="11"/>
      <c r="D79" s="13"/>
      <c r="I79" s="184" t="s">
        <v>58</v>
      </c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6"/>
      <c r="AX79" s="225">
        <v>4</v>
      </c>
      <c r="AY79" s="226"/>
      <c r="AZ79" s="226"/>
      <c r="BA79" s="226"/>
      <c r="BB79" s="227"/>
      <c r="EN79" s="16"/>
      <c r="KS79" s="215"/>
      <c r="KT79" s="215"/>
      <c r="KU79" s="215"/>
      <c r="KV79" s="215"/>
      <c r="KW79" s="215"/>
      <c r="KX79" s="215"/>
      <c r="KY79" s="215"/>
      <c r="KZ79" s="215"/>
      <c r="LA79" s="215"/>
      <c r="LB79" s="215"/>
      <c r="LC79" s="215"/>
      <c r="LD79" s="215"/>
      <c r="LE79" s="215"/>
      <c r="LF79" s="215"/>
      <c r="LG79" s="215"/>
      <c r="LH79" s="215"/>
      <c r="LI79" s="215"/>
      <c r="LJ79" s="215"/>
      <c r="LK79" s="215"/>
      <c r="LL79" s="215"/>
      <c r="LM79" s="215"/>
      <c r="LN79" s="215"/>
      <c r="LO79" s="215"/>
      <c r="LP79" s="215"/>
      <c r="LQ79" s="215"/>
      <c r="LR79" s="215"/>
      <c r="LS79" s="215"/>
      <c r="LT79" s="215"/>
      <c r="LU79" s="215"/>
      <c r="LV79" s="215"/>
      <c r="LW79" s="215"/>
      <c r="LX79" s="215"/>
      <c r="LY79" s="215"/>
      <c r="LZ79" s="215"/>
      <c r="MA79" s="215"/>
      <c r="MB79" s="215"/>
      <c r="MC79" s="215"/>
      <c r="MD79" s="215"/>
      <c r="ME79" s="215"/>
      <c r="MF79" s="215"/>
      <c r="MG79" s="215"/>
      <c r="MH79" s="215"/>
      <c r="MI79" s="215"/>
      <c r="MJ79" s="215"/>
      <c r="QK79" s="33"/>
      <c r="QL79" s="33"/>
      <c r="QM79" s="33"/>
      <c r="QN79" s="33"/>
      <c r="QQ79" s="12"/>
      <c r="QR79" s="7"/>
    </row>
    <row r="80" spans="3:465" ht="5.0999999999999996" customHeight="1" x14ac:dyDescent="0.3">
      <c r="C80" s="11"/>
      <c r="D80" s="13"/>
      <c r="I80" s="187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9"/>
      <c r="AX80" s="228"/>
      <c r="AY80" s="229"/>
      <c r="AZ80" s="229"/>
      <c r="BA80" s="229"/>
      <c r="BB80" s="230"/>
      <c r="EN80" s="16"/>
      <c r="KS80" s="215"/>
      <c r="KT80" s="215"/>
      <c r="KU80" s="215"/>
      <c r="KV80" s="215"/>
      <c r="KW80" s="215"/>
      <c r="KX80" s="215"/>
      <c r="KY80" s="215"/>
      <c r="KZ80" s="215"/>
      <c r="LA80" s="215"/>
      <c r="LB80" s="215"/>
      <c r="LC80" s="215"/>
      <c r="LD80" s="215"/>
      <c r="LE80" s="215"/>
      <c r="LF80" s="215"/>
      <c r="LG80" s="215"/>
      <c r="LH80" s="215"/>
      <c r="LI80" s="215"/>
      <c r="LJ80" s="215"/>
      <c r="LK80" s="215"/>
      <c r="LL80" s="215"/>
      <c r="LM80" s="215"/>
      <c r="LN80" s="215"/>
      <c r="LO80" s="215"/>
      <c r="LP80" s="215"/>
      <c r="LQ80" s="215"/>
      <c r="LR80" s="215"/>
      <c r="LS80" s="215"/>
      <c r="LT80" s="215"/>
      <c r="LU80" s="215"/>
      <c r="LV80" s="215"/>
      <c r="LW80" s="215"/>
      <c r="LX80" s="215"/>
      <c r="LY80" s="215"/>
      <c r="LZ80" s="215"/>
      <c r="MA80" s="215"/>
      <c r="MB80" s="215"/>
      <c r="MC80" s="215"/>
      <c r="MD80" s="215"/>
      <c r="ME80" s="215"/>
      <c r="MF80" s="215"/>
      <c r="MG80" s="215"/>
      <c r="MH80" s="215"/>
      <c r="MI80" s="215"/>
      <c r="MJ80" s="215"/>
      <c r="QK80" s="33"/>
      <c r="QL80" s="33"/>
      <c r="QM80" s="33"/>
      <c r="QN80" s="33"/>
      <c r="QQ80" s="12"/>
      <c r="QR80" s="7"/>
    </row>
    <row r="81" spans="3:460" ht="5.0999999999999996" customHeight="1" x14ac:dyDescent="0.3">
      <c r="C81" s="11"/>
      <c r="D81" s="13"/>
      <c r="I81" s="187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9"/>
      <c r="AX81" s="228"/>
      <c r="AY81" s="229"/>
      <c r="AZ81" s="229"/>
      <c r="BA81" s="229"/>
      <c r="BB81" s="230"/>
      <c r="EN81" s="16"/>
      <c r="KS81" s="215"/>
      <c r="KT81" s="215"/>
      <c r="KU81" s="215"/>
      <c r="KV81" s="215"/>
      <c r="KW81" s="215"/>
      <c r="KX81" s="215"/>
      <c r="KY81" s="215"/>
      <c r="KZ81" s="215"/>
      <c r="LA81" s="215"/>
      <c r="LB81" s="215"/>
      <c r="LC81" s="215"/>
      <c r="LD81" s="215"/>
      <c r="LE81" s="215"/>
      <c r="LF81" s="215"/>
      <c r="LG81" s="215"/>
      <c r="LH81" s="215"/>
      <c r="LI81" s="215"/>
      <c r="LJ81" s="215"/>
      <c r="LK81" s="215"/>
      <c r="LL81" s="215"/>
      <c r="LM81" s="215"/>
      <c r="LN81" s="215"/>
      <c r="LO81" s="215"/>
      <c r="LP81" s="215"/>
      <c r="LQ81" s="215"/>
      <c r="LR81" s="215"/>
      <c r="LS81" s="215"/>
      <c r="LT81" s="215"/>
      <c r="LU81" s="215"/>
      <c r="LV81" s="215"/>
      <c r="LW81" s="215"/>
      <c r="LX81" s="215"/>
      <c r="LY81" s="215"/>
      <c r="LZ81" s="215"/>
      <c r="MA81" s="215"/>
      <c r="MB81" s="215"/>
      <c r="MC81" s="215"/>
      <c r="MD81" s="215"/>
      <c r="ME81" s="215"/>
      <c r="MF81" s="215"/>
      <c r="MG81" s="215"/>
      <c r="MH81" s="215"/>
      <c r="MI81" s="215"/>
      <c r="MJ81" s="215"/>
      <c r="QK81" s="33"/>
      <c r="QL81" s="33"/>
      <c r="QM81" s="33"/>
      <c r="QN81" s="33"/>
      <c r="QQ81" s="12"/>
      <c r="QR81" s="7"/>
    </row>
    <row r="82" spans="3:460" ht="5.0999999999999996" customHeight="1" x14ac:dyDescent="0.3">
      <c r="C82" s="11"/>
      <c r="D82" s="13"/>
      <c r="I82" s="187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9"/>
      <c r="AX82" s="228"/>
      <c r="AY82" s="229"/>
      <c r="AZ82" s="229"/>
      <c r="BA82" s="229"/>
      <c r="BB82" s="230"/>
      <c r="EN82" s="16"/>
      <c r="KS82" s="215"/>
      <c r="KT82" s="215"/>
      <c r="KU82" s="215"/>
      <c r="KV82" s="215"/>
      <c r="KW82" s="215"/>
      <c r="KX82" s="215"/>
      <c r="KY82" s="215"/>
      <c r="KZ82" s="215"/>
      <c r="LA82" s="215"/>
      <c r="LB82" s="215"/>
      <c r="LC82" s="215"/>
      <c r="LD82" s="215"/>
      <c r="LE82" s="215"/>
      <c r="LF82" s="215"/>
      <c r="LG82" s="215"/>
      <c r="LH82" s="215"/>
      <c r="LI82" s="215"/>
      <c r="LJ82" s="215"/>
      <c r="LK82" s="215"/>
      <c r="LL82" s="215"/>
      <c r="LM82" s="215"/>
      <c r="LN82" s="215"/>
      <c r="LO82" s="215"/>
      <c r="LP82" s="215"/>
      <c r="LQ82" s="215"/>
      <c r="LR82" s="215"/>
      <c r="LS82" s="215"/>
      <c r="LT82" s="215"/>
      <c r="LU82" s="215"/>
      <c r="LV82" s="215"/>
      <c r="LW82" s="215"/>
      <c r="LX82" s="215"/>
      <c r="LY82" s="215"/>
      <c r="LZ82" s="215"/>
      <c r="MA82" s="215"/>
      <c r="MB82" s="215"/>
      <c r="MC82" s="215"/>
      <c r="MD82" s="215"/>
      <c r="ME82" s="215"/>
      <c r="MF82" s="215"/>
      <c r="MG82" s="215"/>
      <c r="MH82" s="215"/>
      <c r="MI82" s="215"/>
      <c r="MJ82" s="215"/>
      <c r="QK82" s="33"/>
      <c r="QL82" s="33"/>
      <c r="QM82" s="33"/>
      <c r="QN82" s="33"/>
      <c r="QQ82" s="12"/>
      <c r="QR82" s="7"/>
    </row>
    <row r="83" spans="3:460" ht="5.0999999999999996" customHeight="1" x14ac:dyDescent="0.3">
      <c r="C83" s="11"/>
      <c r="D83" s="13"/>
      <c r="I83" s="187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9"/>
      <c r="AX83" s="228"/>
      <c r="AY83" s="229"/>
      <c r="AZ83" s="229"/>
      <c r="BA83" s="229"/>
      <c r="BB83" s="230"/>
      <c r="EN83" s="16"/>
      <c r="KS83" s="215"/>
      <c r="KT83" s="215"/>
      <c r="KU83" s="215"/>
      <c r="KV83" s="215"/>
      <c r="KW83" s="215"/>
      <c r="KX83" s="215"/>
      <c r="KY83" s="215"/>
      <c r="KZ83" s="215"/>
      <c r="LA83" s="215"/>
      <c r="LB83" s="215"/>
      <c r="LC83" s="215"/>
      <c r="LD83" s="215"/>
      <c r="LE83" s="215"/>
      <c r="LF83" s="215"/>
      <c r="LG83" s="215"/>
      <c r="LH83" s="215"/>
      <c r="LI83" s="215"/>
      <c r="LJ83" s="215"/>
      <c r="LK83" s="215"/>
      <c r="LL83" s="215"/>
      <c r="LM83" s="215"/>
      <c r="LN83" s="215"/>
      <c r="LO83" s="215"/>
      <c r="LP83" s="215"/>
      <c r="LQ83" s="215"/>
      <c r="LR83" s="215"/>
      <c r="LS83" s="215"/>
      <c r="LT83" s="215"/>
      <c r="LU83" s="215"/>
      <c r="LV83" s="215"/>
      <c r="LW83" s="215"/>
      <c r="LX83" s="215"/>
      <c r="LY83" s="215"/>
      <c r="LZ83" s="215"/>
      <c r="MA83" s="215"/>
      <c r="MB83" s="215"/>
      <c r="MC83" s="215"/>
      <c r="MD83" s="215"/>
      <c r="ME83" s="215"/>
      <c r="MF83" s="215"/>
      <c r="MG83" s="215"/>
      <c r="MH83" s="215"/>
      <c r="MI83" s="215"/>
      <c r="MJ83" s="215"/>
      <c r="QK83" s="33"/>
      <c r="QL83" s="33"/>
      <c r="QM83" s="33"/>
      <c r="QN83" s="33"/>
      <c r="QQ83" s="12"/>
      <c r="QR83" s="7"/>
    </row>
    <row r="84" spans="3:460" ht="5.0999999999999996" customHeight="1" x14ac:dyDescent="0.3">
      <c r="C84" s="11"/>
      <c r="D84" s="13"/>
      <c r="I84" s="187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9"/>
      <c r="AX84" s="228"/>
      <c r="AY84" s="229"/>
      <c r="AZ84" s="229"/>
      <c r="BA84" s="229"/>
      <c r="BB84" s="230"/>
      <c r="EN84" s="16"/>
      <c r="KS84" s="215"/>
      <c r="KT84" s="215"/>
      <c r="KU84" s="215"/>
      <c r="KV84" s="215"/>
      <c r="KW84" s="215"/>
      <c r="KX84" s="215"/>
      <c r="KY84" s="215"/>
      <c r="KZ84" s="215"/>
      <c r="LA84" s="215"/>
      <c r="LB84" s="215"/>
      <c r="LC84" s="215"/>
      <c r="LD84" s="215"/>
      <c r="LE84" s="215"/>
      <c r="LF84" s="215"/>
      <c r="LG84" s="215"/>
      <c r="LH84" s="215"/>
      <c r="LI84" s="215"/>
      <c r="LJ84" s="215"/>
      <c r="LK84" s="215"/>
      <c r="LL84" s="215"/>
      <c r="LM84" s="215"/>
      <c r="LN84" s="215"/>
      <c r="LO84" s="215"/>
      <c r="LP84" s="215"/>
      <c r="LQ84" s="215"/>
      <c r="LR84" s="215"/>
      <c r="LS84" s="215"/>
      <c r="LT84" s="215"/>
      <c r="LU84" s="215"/>
      <c r="LV84" s="215"/>
      <c r="LW84" s="215"/>
      <c r="LX84" s="215"/>
      <c r="LY84" s="215"/>
      <c r="LZ84" s="215"/>
      <c r="MA84" s="215"/>
      <c r="MB84" s="215"/>
      <c r="MC84" s="215"/>
      <c r="MD84" s="215"/>
      <c r="ME84" s="215"/>
      <c r="MF84" s="215"/>
      <c r="MG84" s="215"/>
      <c r="MH84" s="215"/>
      <c r="MI84" s="215"/>
      <c r="MJ84" s="215"/>
      <c r="QK84" s="33"/>
      <c r="QL84" s="33"/>
      <c r="QM84" s="33"/>
      <c r="QN84" s="33"/>
      <c r="QQ84" s="12"/>
      <c r="QR84" s="7"/>
    </row>
    <row r="85" spans="3:460" ht="5.0999999999999996" customHeight="1" x14ac:dyDescent="0.3">
      <c r="C85" s="11"/>
      <c r="D85" s="13"/>
      <c r="I85" s="187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9"/>
      <c r="AX85" s="228"/>
      <c r="AY85" s="229"/>
      <c r="AZ85" s="229"/>
      <c r="BA85" s="229"/>
      <c r="BB85" s="230"/>
      <c r="EN85" s="16"/>
      <c r="KS85" s="215"/>
      <c r="KT85" s="215"/>
      <c r="KU85" s="215"/>
      <c r="KV85" s="215"/>
      <c r="KW85" s="215"/>
      <c r="KX85" s="215"/>
      <c r="KY85" s="215"/>
      <c r="KZ85" s="215"/>
      <c r="LA85" s="215"/>
      <c r="LB85" s="215"/>
      <c r="LC85" s="215"/>
      <c r="LD85" s="215"/>
      <c r="LE85" s="215"/>
      <c r="LF85" s="215"/>
      <c r="LG85" s="215"/>
      <c r="LH85" s="215"/>
      <c r="LI85" s="215"/>
      <c r="LJ85" s="215"/>
      <c r="LK85" s="215"/>
      <c r="LL85" s="215"/>
      <c r="LM85" s="215"/>
      <c r="LN85" s="215"/>
      <c r="LO85" s="215"/>
      <c r="LP85" s="215"/>
      <c r="LQ85" s="215"/>
      <c r="LR85" s="215"/>
      <c r="LS85" s="215"/>
      <c r="LT85" s="215"/>
      <c r="LU85" s="215"/>
      <c r="LV85" s="215"/>
      <c r="LW85" s="215"/>
      <c r="LX85" s="215"/>
      <c r="LY85" s="215"/>
      <c r="LZ85" s="215"/>
      <c r="MA85" s="215"/>
      <c r="MB85" s="215"/>
      <c r="MC85" s="215"/>
      <c r="MD85" s="215"/>
      <c r="ME85" s="215"/>
      <c r="MF85" s="215"/>
      <c r="MG85" s="215"/>
      <c r="MH85" s="215"/>
      <c r="MI85" s="215"/>
      <c r="MJ85" s="215"/>
      <c r="QK85" s="33"/>
      <c r="QL85" s="33"/>
      <c r="QM85" s="33"/>
      <c r="QN85" s="33"/>
      <c r="QQ85" s="12"/>
      <c r="QR85" s="7"/>
    </row>
    <row r="86" spans="3:460" ht="5.0999999999999996" customHeight="1" x14ac:dyDescent="0.3">
      <c r="C86" s="11"/>
      <c r="D86" s="13"/>
      <c r="I86" s="187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9"/>
      <c r="AX86" s="228"/>
      <c r="AY86" s="229"/>
      <c r="AZ86" s="229"/>
      <c r="BA86" s="229"/>
      <c r="BB86" s="230"/>
      <c r="EN86" s="16"/>
      <c r="LN86" s="16"/>
      <c r="QK86" s="33"/>
      <c r="QL86" s="33"/>
      <c r="QM86" s="33"/>
      <c r="QN86" s="33"/>
      <c r="QQ86" s="12"/>
      <c r="QR86" s="7"/>
    </row>
    <row r="87" spans="3:460" ht="5.0999999999999996" customHeight="1" x14ac:dyDescent="0.3">
      <c r="C87" s="11"/>
      <c r="D87" s="13"/>
      <c r="I87" s="190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2"/>
      <c r="AX87" s="231"/>
      <c r="AY87" s="232"/>
      <c r="AZ87" s="232"/>
      <c r="BA87" s="232"/>
      <c r="BB87" s="233"/>
      <c r="EN87" s="16"/>
      <c r="LN87" s="16"/>
      <c r="QK87" s="33"/>
      <c r="QL87" s="33"/>
      <c r="QM87" s="33"/>
      <c r="QN87" s="33"/>
      <c r="QQ87" s="12"/>
      <c r="QR87" s="7"/>
    </row>
    <row r="88" spans="3:460" ht="5.0999999999999996" customHeight="1" x14ac:dyDescent="0.3">
      <c r="C88" s="11"/>
      <c r="D88" s="13"/>
      <c r="EN88" s="16"/>
      <c r="LN88" s="16"/>
      <c r="ML88" s="49"/>
      <c r="MM88" s="49"/>
      <c r="MN88" s="49"/>
      <c r="QK88" s="33"/>
      <c r="QL88" s="33"/>
      <c r="QM88" s="33"/>
      <c r="QN88" s="33"/>
      <c r="QQ88" s="12"/>
      <c r="QR88" s="7"/>
    </row>
    <row r="89" spans="3:460" ht="5.0999999999999996" customHeight="1" x14ac:dyDescent="0.3">
      <c r="C89" s="11"/>
      <c r="D89" s="13"/>
      <c r="EN89" s="16"/>
      <c r="LN89" s="16"/>
      <c r="MM89" s="49"/>
      <c r="MN89" s="49"/>
      <c r="MO89" s="49"/>
      <c r="QQ89" s="12"/>
      <c r="QR89" s="7"/>
    </row>
    <row r="90" spans="3:460" ht="5.0999999999999996" customHeight="1" thickBot="1" x14ac:dyDescent="0.35">
      <c r="C90" s="11"/>
      <c r="D90" s="13"/>
      <c r="EN90" s="16"/>
      <c r="LN90" s="23"/>
      <c r="MM90" s="49"/>
      <c r="MN90" s="49"/>
      <c r="MO90" s="49"/>
      <c r="QQ90" s="12"/>
      <c r="QR90" s="7"/>
    </row>
    <row r="91" spans="3:460" ht="5.0999999999999996" customHeight="1" x14ac:dyDescent="0.3">
      <c r="C91" s="11"/>
      <c r="D91" s="13"/>
      <c r="EN91" s="16"/>
      <c r="JN91" s="22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0"/>
      <c r="LN91" s="22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0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1"/>
      <c r="OX91" s="21"/>
      <c r="OY91" s="21"/>
      <c r="OZ91" s="21"/>
      <c r="PA91" s="21"/>
      <c r="PB91" s="21"/>
      <c r="PC91" s="21"/>
      <c r="PD91" s="21"/>
      <c r="PE91" s="21"/>
      <c r="PF91" s="21"/>
      <c r="PG91" s="21"/>
      <c r="PH91" s="21"/>
      <c r="PI91" s="21"/>
      <c r="PJ91" s="21"/>
      <c r="PK91" s="20"/>
      <c r="QQ91" s="12"/>
      <c r="QR91" s="7"/>
    </row>
    <row r="92" spans="3:460" ht="5.0999999999999996" customHeight="1" x14ac:dyDescent="0.3">
      <c r="C92" s="11"/>
      <c r="D92" s="13"/>
      <c r="EN92" s="16"/>
      <c r="JN92" s="16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19"/>
      <c r="LN92" s="15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50"/>
      <c r="PK92" s="19"/>
      <c r="QQ92" s="12"/>
      <c r="QR92" s="7"/>
    </row>
    <row r="93" spans="3:460" ht="5.0999999999999996" customHeight="1" x14ac:dyDescent="0.3">
      <c r="C93" s="11"/>
      <c r="D93" s="13"/>
      <c r="EN93" s="16"/>
      <c r="IS93" s="216" t="s">
        <v>171</v>
      </c>
      <c r="IT93" s="217"/>
      <c r="IU93" s="217"/>
      <c r="IV93" s="217"/>
      <c r="IW93" s="217"/>
      <c r="IX93" s="217"/>
      <c r="IY93" s="217"/>
      <c r="IZ93" s="217"/>
      <c r="JA93" s="217"/>
      <c r="JB93" s="217"/>
      <c r="JC93" s="217"/>
      <c r="JD93" s="217"/>
      <c r="JE93" s="217"/>
      <c r="JF93" s="217"/>
      <c r="JG93" s="217"/>
      <c r="JH93" s="217"/>
      <c r="JI93" s="217"/>
      <c r="JJ93" s="217"/>
      <c r="JK93" s="217"/>
      <c r="JL93" s="217"/>
      <c r="JM93" s="217"/>
      <c r="JN93" s="217"/>
      <c r="JO93" s="217"/>
      <c r="JP93" s="217"/>
      <c r="JQ93" s="217"/>
      <c r="JR93" s="217"/>
      <c r="JS93" s="217"/>
      <c r="JT93" s="217"/>
      <c r="JU93" s="217"/>
      <c r="JV93" s="217"/>
      <c r="JW93" s="217"/>
      <c r="JX93" s="217"/>
      <c r="JY93" s="217"/>
      <c r="JZ93" s="217"/>
      <c r="KA93" s="217"/>
      <c r="KB93" s="217"/>
      <c r="KC93" s="217"/>
      <c r="KD93" s="217"/>
      <c r="KE93" s="217"/>
      <c r="KF93" s="218"/>
      <c r="KG93" s="216">
        <f>SUM(KG107,KG119,KG129)</f>
        <v>19</v>
      </c>
      <c r="KH93" s="217"/>
      <c r="KI93" s="217"/>
      <c r="KJ93" s="217"/>
      <c r="KK93" s="218"/>
      <c r="KQ93" s="216" t="s">
        <v>170</v>
      </c>
      <c r="KR93" s="217"/>
      <c r="KS93" s="217"/>
      <c r="KT93" s="217"/>
      <c r="KU93" s="217"/>
      <c r="KV93" s="217"/>
      <c r="KW93" s="217"/>
      <c r="KX93" s="217"/>
      <c r="KY93" s="217"/>
      <c r="KZ93" s="217"/>
      <c r="LA93" s="217"/>
      <c r="LB93" s="217"/>
      <c r="LC93" s="217"/>
      <c r="LD93" s="217"/>
      <c r="LE93" s="217"/>
      <c r="LF93" s="217"/>
      <c r="LG93" s="217"/>
      <c r="LH93" s="217"/>
      <c r="LI93" s="217"/>
      <c r="LJ93" s="217"/>
      <c r="LK93" s="217"/>
      <c r="LL93" s="217"/>
      <c r="LM93" s="217"/>
      <c r="LN93" s="217"/>
      <c r="LO93" s="217"/>
      <c r="LP93" s="217"/>
      <c r="LQ93" s="217"/>
      <c r="LR93" s="217"/>
      <c r="LS93" s="217"/>
      <c r="LT93" s="217"/>
      <c r="LU93" s="217"/>
      <c r="LV93" s="217"/>
      <c r="LW93" s="217"/>
      <c r="LX93" s="217"/>
      <c r="LY93" s="217"/>
      <c r="LZ93" s="217"/>
      <c r="MA93" s="217"/>
      <c r="MB93" s="217"/>
      <c r="MC93" s="217"/>
      <c r="MD93" s="218"/>
      <c r="ME93" s="216">
        <f>SUM(ME107,ME117,ME127,ME137)</f>
        <v>23</v>
      </c>
      <c r="MF93" s="217"/>
      <c r="MG93" s="217"/>
      <c r="MH93" s="217"/>
      <c r="MI93" s="218"/>
      <c r="MN93" s="216" t="s">
        <v>196</v>
      </c>
      <c r="MO93" s="217"/>
      <c r="MP93" s="217"/>
      <c r="MQ93" s="217"/>
      <c r="MR93" s="217"/>
      <c r="MS93" s="217"/>
      <c r="MT93" s="217"/>
      <c r="MU93" s="217"/>
      <c r="MV93" s="217"/>
      <c r="MW93" s="217"/>
      <c r="MX93" s="217"/>
      <c r="MY93" s="217"/>
      <c r="MZ93" s="217"/>
      <c r="NA93" s="217"/>
      <c r="NB93" s="217"/>
      <c r="NC93" s="217"/>
      <c r="ND93" s="217"/>
      <c r="NE93" s="217"/>
      <c r="NF93" s="217"/>
      <c r="NG93" s="217"/>
      <c r="NH93" s="217"/>
      <c r="NI93" s="217"/>
      <c r="NJ93" s="217"/>
      <c r="NK93" s="217"/>
      <c r="NL93" s="217"/>
      <c r="NM93" s="217"/>
      <c r="NN93" s="217"/>
      <c r="NO93" s="217"/>
      <c r="NP93" s="217"/>
      <c r="NQ93" s="217"/>
      <c r="NR93" s="217"/>
      <c r="NS93" s="217"/>
      <c r="NT93" s="217"/>
      <c r="NU93" s="217"/>
      <c r="NV93" s="217"/>
      <c r="NW93" s="217"/>
      <c r="NX93" s="217"/>
      <c r="NY93" s="217"/>
      <c r="NZ93" s="217"/>
      <c r="OA93" s="218"/>
      <c r="OB93" s="216">
        <f>SUM(OB107:OF157)</f>
        <v>7</v>
      </c>
      <c r="OC93" s="217"/>
      <c r="OD93" s="217"/>
      <c r="OE93" s="217"/>
      <c r="OF93" s="218"/>
      <c r="OL93" s="205" t="s">
        <v>185</v>
      </c>
      <c r="OM93" s="205"/>
      <c r="ON93" s="205"/>
      <c r="OO93" s="205"/>
      <c r="OP93" s="205"/>
      <c r="OQ93" s="205"/>
      <c r="OR93" s="205"/>
      <c r="OS93" s="205"/>
      <c r="OT93" s="205"/>
      <c r="OU93" s="205"/>
      <c r="OV93" s="205"/>
      <c r="OW93" s="205"/>
      <c r="OX93" s="205"/>
      <c r="OY93" s="205"/>
      <c r="OZ93" s="205"/>
      <c r="PA93" s="205"/>
      <c r="PB93" s="205"/>
      <c r="PC93" s="205"/>
      <c r="PD93" s="205"/>
      <c r="PE93" s="205"/>
      <c r="PF93" s="205"/>
      <c r="PG93" s="205"/>
      <c r="PH93" s="205"/>
      <c r="PI93" s="205"/>
      <c r="PJ93" s="205"/>
      <c r="PK93" s="205"/>
      <c r="PL93" s="205"/>
      <c r="PM93" s="205"/>
      <c r="PN93" s="205"/>
      <c r="PO93" s="205"/>
      <c r="PP93" s="205"/>
      <c r="PQ93" s="205"/>
      <c r="PR93" s="205"/>
      <c r="PS93" s="205"/>
      <c r="PT93" s="205"/>
      <c r="PU93" s="205"/>
      <c r="PV93" s="205"/>
      <c r="PW93" s="205"/>
      <c r="PX93" s="205"/>
      <c r="PY93" s="205"/>
      <c r="PZ93" s="205">
        <f>SUM(QA107:QF126)</f>
        <v>2</v>
      </c>
      <c r="QA93" s="205"/>
      <c r="QB93" s="205"/>
      <c r="QC93" s="205"/>
      <c r="QD93" s="205"/>
      <c r="QE93" s="205"/>
      <c r="QQ93" s="12"/>
      <c r="QR93" s="7"/>
    </row>
    <row r="94" spans="3:460" ht="5.0999999999999996" customHeight="1" x14ac:dyDescent="0.3">
      <c r="C94" s="11"/>
      <c r="D94" s="13"/>
      <c r="EN94" s="16"/>
      <c r="IS94" s="219"/>
      <c r="IT94" s="220"/>
      <c r="IU94" s="220"/>
      <c r="IV94" s="220"/>
      <c r="IW94" s="220"/>
      <c r="IX94" s="220"/>
      <c r="IY94" s="220"/>
      <c r="IZ94" s="220"/>
      <c r="JA94" s="220"/>
      <c r="JB94" s="220"/>
      <c r="JC94" s="220"/>
      <c r="JD94" s="220"/>
      <c r="JE94" s="220"/>
      <c r="JF94" s="220"/>
      <c r="JG94" s="220"/>
      <c r="JH94" s="220"/>
      <c r="JI94" s="220"/>
      <c r="JJ94" s="220"/>
      <c r="JK94" s="220"/>
      <c r="JL94" s="220"/>
      <c r="JM94" s="220"/>
      <c r="JN94" s="220"/>
      <c r="JO94" s="220"/>
      <c r="JP94" s="220"/>
      <c r="JQ94" s="220"/>
      <c r="JR94" s="220"/>
      <c r="JS94" s="220"/>
      <c r="JT94" s="220"/>
      <c r="JU94" s="220"/>
      <c r="JV94" s="220"/>
      <c r="JW94" s="220"/>
      <c r="JX94" s="220"/>
      <c r="JY94" s="220"/>
      <c r="JZ94" s="220"/>
      <c r="KA94" s="220"/>
      <c r="KB94" s="220"/>
      <c r="KC94" s="220"/>
      <c r="KD94" s="220"/>
      <c r="KE94" s="220"/>
      <c r="KF94" s="221"/>
      <c r="KG94" s="219"/>
      <c r="KH94" s="220"/>
      <c r="KI94" s="220"/>
      <c r="KJ94" s="220"/>
      <c r="KK94" s="221"/>
      <c r="KQ94" s="219"/>
      <c r="KR94" s="220"/>
      <c r="KS94" s="220"/>
      <c r="KT94" s="220"/>
      <c r="KU94" s="220"/>
      <c r="KV94" s="220"/>
      <c r="KW94" s="220"/>
      <c r="KX94" s="220"/>
      <c r="KY94" s="220"/>
      <c r="KZ94" s="220"/>
      <c r="LA94" s="220"/>
      <c r="LB94" s="220"/>
      <c r="LC94" s="220"/>
      <c r="LD94" s="220"/>
      <c r="LE94" s="220"/>
      <c r="LF94" s="220"/>
      <c r="LG94" s="220"/>
      <c r="LH94" s="220"/>
      <c r="LI94" s="220"/>
      <c r="LJ94" s="220"/>
      <c r="LK94" s="220"/>
      <c r="LL94" s="220"/>
      <c r="LM94" s="220"/>
      <c r="LN94" s="220"/>
      <c r="LO94" s="220"/>
      <c r="LP94" s="220"/>
      <c r="LQ94" s="220"/>
      <c r="LR94" s="220"/>
      <c r="LS94" s="220"/>
      <c r="LT94" s="220"/>
      <c r="LU94" s="220"/>
      <c r="LV94" s="220"/>
      <c r="LW94" s="220"/>
      <c r="LX94" s="220"/>
      <c r="LY94" s="220"/>
      <c r="LZ94" s="220"/>
      <c r="MA94" s="220"/>
      <c r="MB94" s="220"/>
      <c r="MC94" s="220"/>
      <c r="MD94" s="221"/>
      <c r="ME94" s="219"/>
      <c r="MF94" s="220"/>
      <c r="MG94" s="220"/>
      <c r="MH94" s="220"/>
      <c r="MI94" s="221"/>
      <c r="MN94" s="219"/>
      <c r="MO94" s="220"/>
      <c r="MP94" s="220"/>
      <c r="MQ94" s="220"/>
      <c r="MR94" s="220"/>
      <c r="MS94" s="220"/>
      <c r="MT94" s="220"/>
      <c r="MU94" s="220"/>
      <c r="MV94" s="220"/>
      <c r="MW94" s="220"/>
      <c r="MX94" s="220"/>
      <c r="MY94" s="220"/>
      <c r="MZ94" s="220"/>
      <c r="NA94" s="220"/>
      <c r="NB94" s="220"/>
      <c r="NC94" s="220"/>
      <c r="ND94" s="220"/>
      <c r="NE94" s="220"/>
      <c r="NF94" s="220"/>
      <c r="NG94" s="220"/>
      <c r="NH94" s="220"/>
      <c r="NI94" s="220"/>
      <c r="NJ94" s="220"/>
      <c r="NK94" s="220"/>
      <c r="NL94" s="220"/>
      <c r="NM94" s="220"/>
      <c r="NN94" s="220"/>
      <c r="NO94" s="220"/>
      <c r="NP94" s="220"/>
      <c r="NQ94" s="220"/>
      <c r="NR94" s="220"/>
      <c r="NS94" s="220"/>
      <c r="NT94" s="220"/>
      <c r="NU94" s="220"/>
      <c r="NV94" s="220"/>
      <c r="NW94" s="220"/>
      <c r="NX94" s="220"/>
      <c r="NY94" s="220"/>
      <c r="NZ94" s="220"/>
      <c r="OA94" s="221"/>
      <c r="OB94" s="219"/>
      <c r="OC94" s="220"/>
      <c r="OD94" s="220"/>
      <c r="OE94" s="220"/>
      <c r="OF94" s="221"/>
      <c r="OL94" s="205"/>
      <c r="OM94" s="205"/>
      <c r="ON94" s="205"/>
      <c r="OO94" s="205"/>
      <c r="OP94" s="205"/>
      <c r="OQ94" s="205"/>
      <c r="OR94" s="205"/>
      <c r="OS94" s="205"/>
      <c r="OT94" s="205"/>
      <c r="OU94" s="205"/>
      <c r="OV94" s="205"/>
      <c r="OW94" s="205"/>
      <c r="OX94" s="205"/>
      <c r="OY94" s="205"/>
      <c r="OZ94" s="205"/>
      <c r="PA94" s="205"/>
      <c r="PB94" s="205"/>
      <c r="PC94" s="205"/>
      <c r="PD94" s="205"/>
      <c r="PE94" s="205"/>
      <c r="PF94" s="205"/>
      <c r="PG94" s="205"/>
      <c r="PH94" s="205"/>
      <c r="PI94" s="205"/>
      <c r="PJ94" s="205"/>
      <c r="PK94" s="205"/>
      <c r="PL94" s="205"/>
      <c r="PM94" s="205"/>
      <c r="PN94" s="205"/>
      <c r="PO94" s="205"/>
      <c r="PP94" s="205"/>
      <c r="PQ94" s="205"/>
      <c r="PR94" s="205"/>
      <c r="PS94" s="205"/>
      <c r="PT94" s="205"/>
      <c r="PU94" s="205"/>
      <c r="PV94" s="205"/>
      <c r="PW94" s="205"/>
      <c r="PX94" s="205"/>
      <c r="PY94" s="205"/>
      <c r="PZ94" s="205"/>
      <c r="QA94" s="205"/>
      <c r="QB94" s="205"/>
      <c r="QC94" s="205"/>
      <c r="QD94" s="205"/>
      <c r="QE94" s="205"/>
      <c r="QQ94" s="12"/>
      <c r="QR94" s="7"/>
    </row>
    <row r="95" spans="3:460" ht="5.0999999999999996" customHeight="1" x14ac:dyDescent="0.3">
      <c r="C95" s="11"/>
      <c r="D95" s="13"/>
      <c r="EN95" s="16"/>
      <c r="IS95" s="219"/>
      <c r="IT95" s="220"/>
      <c r="IU95" s="220"/>
      <c r="IV95" s="220"/>
      <c r="IW95" s="220"/>
      <c r="IX95" s="220"/>
      <c r="IY95" s="220"/>
      <c r="IZ95" s="220"/>
      <c r="JA95" s="220"/>
      <c r="JB95" s="220"/>
      <c r="JC95" s="220"/>
      <c r="JD95" s="220"/>
      <c r="JE95" s="220"/>
      <c r="JF95" s="220"/>
      <c r="JG95" s="220"/>
      <c r="JH95" s="220"/>
      <c r="JI95" s="220"/>
      <c r="JJ95" s="220"/>
      <c r="JK95" s="220"/>
      <c r="JL95" s="220"/>
      <c r="JM95" s="220"/>
      <c r="JN95" s="220"/>
      <c r="JO95" s="220"/>
      <c r="JP95" s="220"/>
      <c r="JQ95" s="220"/>
      <c r="JR95" s="220"/>
      <c r="JS95" s="220"/>
      <c r="JT95" s="220"/>
      <c r="JU95" s="220"/>
      <c r="JV95" s="220"/>
      <c r="JW95" s="220"/>
      <c r="JX95" s="220"/>
      <c r="JY95" s="220"/>
      <c r="JZ95" s="220"/>
      <c r="KA95" s="220"/>
      <c r="KB95" s="220"/>
      <c r="KC95" s="220"/>
      <c r="KD95" s="220"/>
      <c r="KE95" s="220"/>
      <c r="KF95" s="221"/>
      <c r="KG95" s="219"/>
      <c r="KH95" s="220"/>
      <c r="KI95" s="220"/>
      <c r="KJ95" s="220"/>
      <c r="KK95" s="221"/>
      <c r="KQ95" s="219"/>
      <c r="KR95" s="220"/>
      <c r="KS95" s="220"/>
      <c r="KT95" s="220"/>
      <c r="KU95" s="220"/>
      <c r="KV95" s="220"/>
      <c r="KW95" s="220"/>
      <c r="KX95" s="220"/>
      <c r="KY95" s="220"/>
      <c r="KZ95" s="220"/>
      <c r="LA95" s="220"/>
      <c r="LB95" s="220"/>
      <c r="LC95" s="220"/>
      <c r="LD95" s="220"/>
      <c r="LE95" s="220"/>
      <c r="LF95" s="220"/>
      <c r="LG95" s="220"/>
      <c r="LH95" s="220"/>
      <c r="LI95" s="220"/>
      <c r="LJ95" s="220"/>
      <c r="LK95" s="220"/>
      <c r="LL95" s="220"/>
      <c r="LM95" s="220"/>
      <c r="LN95" s="220"/>
      <c r="LO95" s="220"/>
      <c r="LP95" s="220"/>
      <c r="LQ95" s="220"/>
      <c r="LR95" s="220"/>
      <c r="LS95" s="220"/>
      <c r="LT95" s="220"/>
      <c r="LU95" s="220"/>
      <c r="LV95" s="220"/>
      <c r="LW95" s="220"/>
      <c r="LX95" s="220"/>
      <c r="LY95" s="220"/>
      <c r="LZ95" s="220"/>
      <c r="MA95" s="220"/>
      <c r="MB95" s="220"/>
      <c r="MC95" s="220"/>
      <c r="MD95" s="221"/>
      <c r="ME95" s="219"/>
      <c r="MF95" s="220"/>
      <c r="MG95" s="220"/>
      <c r="MH95" s="220"/>
      <c r="MI95" s="221"/>
      <c r="MN95" s="219"/>
      <c r="MO95" s="220"/>
      <c r="MP95" s="220"/>
      <c r="MQ95" s="220"/>
      <c r="MR95" s="220"/>
      <c r="MS95" s="220"/>
      <c r="MT95" s="220"/>
      <c r="MU95" s="220"/>
      <c r="MV95" s="220"/>
      <c r="MW95" s="220"/>
      <c r="MX95" s="220"/>
      <c r="MY95" s="220"/>
      <c r="MZ95" s="220"/>
      <c r="NA95" s="220"/>
      <c r="NB95" s="220"/>
      <c r="NC95" s="220"/>
      <c r="ND95" s="220"/>
      <c r="NE95" s="220"/>
      <c r="NF95" s="220"/>
      <c r="NG95" s="220"/>
      <c r="NH95" s="220"/>
      <c r="NI95" s="220"/>
      <c r="NJ95" s="220"/>
      <c r="NK95" s="220"/>
      <c r="NL95" s="220"/>
      <c r="NM95" s="220"/>
      <c r="NN95" s="220"/>
      <c r="NO95" s="220"/>
      <c r="NP95" s="220"/>
      <c r="NQ95" s="220"/>
      <c r="NR95" s="220"/>
      <c r="NS95" s="220"/>
      <c r="NT95" s="220"/>
      <c r="NU95" s="220"/>
      <c r="NV95" s="220"/>
      <c r="NW95" s="220"/>
      <c r="NX95" s="220"/>
      <c r="NY95" s="220"/>
      <c r="NZ95" s="220"/>
      <c r="OA95" s="221"/>
      <c r="OB95" s="219"/>
      <c r="OC95" s="220"/>
      <c r="OD95" s="220"/>
      <c r="OE95" s="220"/>
      <c r="OF95" s="221"/>
      <c r="OL95" s="205"/>
      <c r="OM95" s="205"/>
      <c r="ON95" s="205"/>
      <c r="OO95" s="205"/>
      <c r="OP95" s="205"/>
      <c r="OQ95" s="205"/>
      <c r="OR95" s="205"/>
      <c r="OS95" s="205"/>
      <c r="OT95" s="205"/>
      <c r="OU95" s="205"/>
      <c r="OV95" s="205"/>
      <c r="OW95" s="205"/>
      <c r="OX95" s="205"/>
      <c r="OY95" s="205"/>
      <c r="OZ95" s="205"/>
      <c r="PA95" s="205"/>
      <c r="PB95" s="205"/>
      <c r="PC95" s="205"/>
      <c r="PD95" s="205"/>
      <c r="PE95" s="205"/>
      <c r="PF95" s="205"/>
      <c r="PG95" s="205"/>
      <c r="PH95" s="205"/>
      <c r="PI95" s="205"/>
      <c r="PJ95" s="205"/>
      <c r="PK95" s="205"/>
      <c r="PL95" s="205"/>
      <c r="PM95" s="205"/>
      <c r="PN95" s="205"/>
      <c r="PO95" s="205"/>
      <c r="PP95" s="205"/>
      <c r="PQ95" s="205"/>
      <c r="PR95" s="205"/>
      <c r="PS95" s="205"/>
      <c r="PT95" s="205"/>
      <c r="PU95" s="205"/>
      <c r="PV95" s="205"/>
      <c r="PW95" s="205"/>
      <c r="PX95" s="205"/>
      <c r="PY95" s="205"/>
      <c r="PZ95" s="205"/>
      <c r="QA95" s="205"/>
      <c r="QB95" s="205"/>
      <c r="QC95" s="205"/>
      <c r="QD95" s="205"/>
      <c r="QE95" s="205"/>
      <c r="QQ95" s="12"/>
      <c r="QR95" s="7"/>
    </row>
    <row r="96" spans="3:460" ht="5.0999999999999996" customHeight="1" x14ac:dyDescent="0.3">
      <c r="C96" s="11"/>
      <c r="D96" s="13"/>
      <c r="EN96" s="16"/>
      <c r="IS96" s="219"/>
      <c r="IT96" s="220"/>
      <c r="IU96" s="220"/>
      <c r="IV96" s="220"/>
      <c r="IW96" s="220"/>
      <c r="IX96" s="220"/>
      <c r="IY96" s="220"/>
      <c r="IZ96" s="220"/>
      <c r="JA96" s="220"/>
      <c r="JB96" s="220"/>
      <c r="JC96" s="220"/>
      <c r="JD96" s="220"/>
      <c r="JE96" s="220"/>
      <c r="JF96" s="220"/>
      <c r="JG96" s="220"/>
      <c r="JH96" s="220"/>
      <c r="JI96" s="220"/>
      <c r="JJ96" s="220"/>
      <c r="JK96" s="220"/>
      <c r="JL96" s="220"/>
      <c r="JM96" s="220"/>
      <c r="JN96" s="220"/>
      <c r="JO96" s="220"/>
      <c r="JP96" s="220"/>
      <c r="JQ96" s="220"/>
      <c r="JR96" s="220"/>
      <c r="JS96" s="220"/>
      <c r="JT96" s="220"/>
      <c r="JU96" s="220"/>
      <c r="JV96" s="220"/>
      <c r="JW96" s="220"/>
      <c r="JX96" s="220"/>
      <c r="JY96" s="220"/>
      <c r="JZ96" s="220"/>
      <c r="KA96" s="220"/>
      <c r="KB96" s="220"/>
      <c r="KC96" s="220"/>
      <c r="KD96" s="220"/>
      <c r="KE96" s="220"/>
      <c r="KF96" s="221"/>
      <c r="KG96" s="219"/>
      <c r="KH96" s="220"/>
      <c r="KI96" s="220"/>
      <c r="KJ96" s="220"/>
      <c r="KK96" s="221"/>
      <c r="KQ96" s="219"/>
      <c r="KR96" s="220"/>
      <c r="KS96" s="220"/>
      <c r="KT96" s="220"/>
      <c r="KU96" s="220"/>
      <c r="KV96" s="220"/>
      <c r="KW96" s="220"/>
      <c r="KX96" s="220"/>
      <c r="KY96" s="220"/>
      <c r="KZ96" s="220"/>
      <c r="LA96" s="220"/>
      <c r="LB96" s="220"/>
      <c r="LC96" s="220"/>
      <c r="LD96" s="220"/>
      <c r="LE96" s="220"/>
      <c r="LF96" s="220"/>
      <c r="LG96" s="220"/>
      <c r="LH96" s="220"/>
      <c r="LI96" s="220"/>
      <c r="LJ96" s="220"/>
      <c r="LK96" s="220"/>
      <c r="LL96" s="220"/>
      <c r="LM96" s="220"/>
      <c r="LN96" s="220"/>
      <c r="LO96" s="220"/>
      <c r="LP96" s="220"/>
      <c r="LQ96" s="220"/>
      <c r="LR96" s="220"/>
      <c r="LS96" s="220"/>
      <c r="LT96" s="220"/>
      <c r="LU96" s="220"/>
      <c r="LV96" s="220"/>
      <c r="LW96" s="220"/>
      <c r="LX96" s="220"/>
      <c r="LY96" s="220"/>
      <c r="LZ96" s="220"/>
      <c r="MA96" s="220"/>
      <c r="MB96" s="220"/>
      <c r="MC96" s="220"/>
      <c r="MD96" s="221"/>
      <c r="ME96" s="219"/>
      <c r="MF96" s="220"/>
      <c r="MG96" s="220"/>
      <c r="MH96" s="220"/>
      <c r="MI96" s="221"/>
      <c r="MN96" s="219"/>
      <c r="MO96" s="220"/>
      <c r="MP96" s="220"/>
      <c r="MQ96" s="220"/>
      <c r="MR96" s="220"/>
      <c r="MS96" s="220"/>
      <c r="MT96" s="220"/>
      <c r="MU96" s="220"/>
      <c r="MV96" s="220"/>
      <c r="MW96" s="220"/>
      <c r="MX96" s="220"/>
      <c r="MY96" s="220"/>
      <c r="MZ96" s="220"/>
      <c r="NA96" s="220"/>
      <c r="NB96" s="220"/>
      <c r="NC96" s="220"/>
      <c r="ND96" s="220"/>
      <c r="NE96" s="220"/>
      <c r="NF96" s="220"/>
      <c r="NG96" s="220"/>
      <c r="NH96" s="220"/>
      <c r="NI96" s="220"/>
      <c r="NJ96" s="220"/>
      <c r="NK96" s="220"/>
      <c r="NL96" s="220"/>
      <c r="NM96" s="220"/>
      <c r="NN96" s="220"/>
      <c r="NO96" s="220"/>
      <c r="NP96" s="220"/>
      <c r="NQ96" s="220"/>
      <c r="NR96" s="220"/>
      <c r="NS96" s="220"/>
      <c r="NT96" s="220"/>
      <c r="NU96" s="220"/>
      <c r="NV96" s="220"/>
      <c r="NW96" s="220"/>
      <c r="NX96" s="220"/>
      <c r="NY96" s="220"/>
      <c r="NZ96" s="220"/>
      <c r="OA96" s="221"/>
      <c r="OB96" s="219"/>
      <c r="OC96" s="220"/>
      <c r="OD96" s="220"/>
      <c r="OE96" s="220"/>
      <c r="OF96" s="221"/>
      <c r="OL96" s="205"/>
      <c r="OM96" s="205"/>
      <c r="ON96" s="205"/>
      <c r="OO96" s="205"/>
      <c r="OP96" s="205"/>
      <c r="OQ96" s="205"/>
      <c r="OR96" s="205"/>
      <c r="OS96" s="205"/>
      <c r="OT96" s="205"/>
      <c r="OU96" s="205"/>
      <c r="OV96" s="205"/>
      <c r="OW96" s="205"/>
      <c r="OX96" s="205"/>
      <c r="OY96" s="205"/>
      <c r="OZ96" s="205"/>
      <c r="PA96" s="205"/>
      <c r="PB96" s="205"/>
      <c r="PC96" s="205"/>
      <c r="PD96" s="205"/>
      <c r="PE96" s="205"/>
      <c r="PF96" s="205"/>
      <c r="PG96" s="205"/>
      <c r="PH96" s="205"/>
      <c r="PI96" s="205"/>
      <c r="PJ96" s="205"/>
      <c r="PK96" s="205"/>
      <c r="PL96" s="205"/>
      <c r="PM96" s="205"/>
      <c r="PN96" s="205"/>
      <c r="PO96" s="205"/>
      <c r="PP96" s="205"/>
      <c r="PQ96" s="205"/>
      <c r="PR96" s="205"/>
      <c r="PS96" s="205"/>
      <c r="PT96" s="205"/>
      <c r="PU96" s="205"/>
      <c r="PV96" s="205"/>
      <c r="PW96" s="205"/>
      <c r="PX96" s="205"/>
      <c r="PY96" s="205"/>
      <c r="PZ96" s="205"/>
      <c r="QA96" s="205"/>
      <c r="QB96" s="205"/>
      <c r="QC96" s="205"/>
      <c r="QD96" s="205"/>
      <c r="QE96" s="205"/>
      <c r="QQ96" s="12"/>
      <c r="QR96" s="7"/>
    </row>
    <row r="97" spans="3:465" ht="5.0999999999999996" customHeight="1" x14ac:dyDescent="0.3">
      <c r="C97" s="11"/>
      <c r="D97" s="13"/>
      <c r="EN97" s="16"/>
      <c r="IS97" s="219"/>
      <c r="IT97" s="220"/>
      <c r="IU97" s="220"/>
      <c r="IV97" s="220"/>
      <c r="IW97" s="220"/>
      <c r="IX97" s="220"/>
      <c r="IY97" s="220"/>
      <c r="IZ97" s="220"/>
      <c r="JA97" s="220"/>
      <c r="JB97" s="220"/>
      <c r="JC97" s="220"/>
      <c r="JD97" s="220"/>
      <c r="JE97" s="220"/>
      <c r="JF97" s="220"/>
      <c r="JG97" s="220"/>
      <c r="JH97" s="220"/>
      <c r="JI97" s="220"/>
      <c r="JJ97" s="220"/>
      <c r="JK97" s="220"/>
      <c r="JL97" s="220"/>
      <c r="JM97" s="220"/>
      <c r="JN97" s="220"/>
      <c r="JO97" s="220"/>
      <c r="JP97" s="220"/>
      <c r="JQ97" s="220"/>
      <c r="JR97" s="220"/>
      <c r="JS97" s="220"/>
      <c r="JT97" s="220"/>
      <c r="JU97" s="220"/>
      <c r="JV97" s="220"/>
      <c r="JW97" s="220"/>
      <c r="JX97" s="220"/>
      <c r="JY97" s="220"/>
      <c r="JZ97" s="220"/>
      <c r="KA97" s="220"/>
      <c r="KB97" s="220"/>
      <c r="KC97" s="220"/>
      <c r="KD97" s="220"/>
      <c r="KE97" s="220"/>
      <c r="KF97" s="221"/>
      <c r="KG97" s="219"/>
      <c r="KH97" s="220"/>
      <c r="KI97" s="220"/>
      <c r="KJ97" s="220"/>
      <c r="KK97" s="221"/>
      <c r="KQ97" s="219"/>
      <c r="KR97" s="220"/>
      <c r="KS97" s="220"/>
      <c r="KT97" s="220"/>
      <c r="KU97" s="220"/>
      <c r="KV97" s="220"/>
      <c r="KW97" s="220"/>
      <c r="KX97" s="220"/>
      <c r="KY97" s="220"/>
      <c r="KZ97" s="220"/>
      <c r="LA97" s="220"/>
      <c r="LB97" s="220"/>
      <c r="LC97" s="220"/>
      <c r="LD97" s="220"/>
      <c r="LE97" s="220"/>
      <c r="LF97" s="220"/>
      <c r="LG97" s="220"/>
      <c r="LH97" s="220"/>
      <c r="LI97" s="220"/>
      <c r="LJ97" s="220"/>
      <c r="LK97" s="220"/>
      <c r="LL97" s="220"/>
      <c r="LM97" s="220"/>
      <c r="LN97" s="220"/>
      <c r="LO97" s="220"/>
      <c r="LP97" s="220"/>
      <c r="LQ97" s="220"/>
      <c r="LR97" s="220"/>
      <c r="LS97" s="220"/>
      <c r="LT97" s="220"/>
      <c r="LU97" s="220"/>
      <c r="LV97" s="220"/>
      <c r="LW97" s="220"/>
      <c r="LX97" s="220"/>
      <c r="LY97" s="220"/>
      <c r="LZ97" s="220"/>
      <c r="MA97" s="220"/>
      <c r="MB97" s="220"/>
      <c r="MC97" s="220"/>
      <c r="MD97" s="221"/>
      <c r="ME97" s="219"/>
      <c r="MF97" s="220"/>
      <c r="MG97" s="220"/>
      <c r="MH97" s="220"/>
      <c r="MI97" s="221"/>
      <c r="MN97" s="219"/>
      <c r="MO97" s="220"/>
      <c r="MP97" s="220"/>
      <c r="MQ97" s="220"/>
      <c r="MR97" s="220"/>
      <c r="MS97" s="220"/>
      <c r="MT97" s="220"/>
      <c r="MU97" s="220"/>
      <c r="MV97" s="220"/>
      <c r="MW97" s="220"/>
      <c r="MX97" s="220"/>
      <c r="MY97" s="220"/>
      <c r="MZ97" s="220"/>
      <c r="NA97" s="220"/>
      <c r="NB97" s="220"/>
      <c r="NC97" s="220"/>
      <c r="ND97" s="220"/>
      <c r="NE97" s="220"/>
      <c r="NF97" s="220"/>
      <c r="NG97" s="220"/>
      <c r="NH97" s="220"/>
      <c r="NI97" s="220"/>
      <c r="NJ97" s="220"/>
      <c r="NK97" s="220"/>
      <c r="NL97" s="220"/>
      <c r="NM97" s="220"/>
      <c r="NN97" s="220"/>
      <c r="NO97" s="220"/>
      <c r="NP97" s="220"/>
      <c r="NQ97" s="220"/>
      <c r="NR97" s="220"/>
      <c r="NS97" s="220"/>
      <c r="NT97" s="220"/>
      <c r="NU97" s="220"/>
      <c r="NV97" s="220"/>
      <c r="NW97" s="220"/>
      <c r="NX97" s="220"/>
      <c r="NY97" s="220"/>
      <c r="NZ97" s="220"/>
      <c r="OA97" s="221"/>
      <c r="OB97" s="219"/>
      <c r="OC97" s="220"/>
      <c r="OD97" s="220"/>
      <c r="OE97" s="220"/>
      <c r="OF97" s="221"/>
      <c r="OL97" s="205"/>
      <c r="OM97" s="205"/>
      <c r="ON97" s="205"/>
      <c r="OO97" s="205"/>
      <c r="OP97" s="205"/>
      <c r="OQ97" s="205"/>
      <c r="OR97" s="205"/>
      <c r="OS97" s="205"/>
      <c r="OT97" s="205"/>
      <c r="OU97" s="205"/>
      <c r="OV97" s="205"/>
      <c r="OW97" s="205"/>
      <c r="OX97" s="205"/>
      <c r="OY97" s="205"/>
      <c r="OZ97" s="205"/>
      <c r="PA97" s="205"/>
      <c r="PB97" s="205"/>
      <c r="PC97" s="205"/>
      <c r="PD97" s="205"/>
      <c r="PE97" s="205"/>
      <c r="PF97" s="205"/>
      <c r="PG97" s="205"/>
      <c r="PH97" s="205"/>
      <c r="PI97" s="205"/>
      <c r="PJ97" s="205"/>
      <c r="PK97" s="205"/>
      <c r="PL97" s="205"/>
      <c r="PM97" s="205"/>
      <c r="PN97" s="205"/>
      <c r="PO97" s="205"/>
      <c r="PP97" s="205"/>
      <c r="PQ97" s="205"/>
      <c r="PR97" s="205"/>
      <c r="PS97" s="205"/>
      <c r="PT97" s="205"/>
      <c r="PU97" s="205"/>
      <c r="PV97" s="205"/>
      <c r="PW97" s="205"/>
      <c r="PX97" s="205"/>
      <c r="PY97" s="205"/>
      <c r="PZ97" s="205"/>
      <c r="QA97" s="205"/>
      <c r="QB97" s="205"/>
      <c r="QC97" s="205"/>
      <c r="QD97" s="205"/>
      <c r="QE97" s="205"/>
      <c r="QQ97" s="12"/>
      <c r="QR97" s="7"/>
    </row>
    <row r="98" spans="3:465" ht="5.0999999999999996" customHeight="1" x14ac:dyDescent="0.3">
      <c r="C98" s="11"/>
      <c r="D98" s="13"/>
      <c r="EN98" s="16"/>
      <c r="IS98" s="219"/>
      <c r="IT98" s="220"/>
      <c r="IU98" s="220"/>
      <c r="IV98" s="220"/>
      <c r="IW98" s="220"/>
      <c r="IX98" s="220"/>
      <c r="IY98" s="220"/>
      <c r="IZ98" s="220"/>
      <c r="JA98" s="220"/>
      <c r="JB98" s="220"/>
      <c r="JC98" s="220"/>
      <c r="JD98" s="220"/>
      <c r="JE98" s="220"/>
      <c r="JF98" s="220"/>
      <c r="JG98" s="220"/>
      <c r="JH98" s="220"/>
      <c r="JI98" s="220"/>
      <c r="JJ98" s="220"/>
      <c r="JK98" s="220"/>
      <c r="JL98" s="220"/>
      <c r="JM98" s="220"/>
      <c r="JN98" s="220"/>
      <c r="JO98" s="220"/>
      <c r="JP98" s="220"/>
      <c r="JQ98" s="220"/>
      <c r="JR98" s="220"/>
      <c r="JS98" s="220"/>
      <c r="JT98" s="220"/>
      <c r="JU98" s="220"/>
      <c r="JV98" s="220"/>
      <c r="JW98" s="220"/>
      <c r="JX98" s="220"/>
      <c r="JY98" s="220"/>
      <c r="JZ98" s="220"/>
      <c r="KA98" s="220"/>
      <c r="KB98" s="220"/>
      <c r="KC98" s="220"/>
      <c r="KD98" s="220"/>
      <c r="KE98" s="220"/>
      <c r="KF98" s="221"/>
      <c r="KG98" s="219"/>
      <c r="KH98" s="220"/>
      <c r="KI98" s="220"/>
      <c r="KJ98" s="220"/>
      <c r="KK98" s="221"/>
      <c r="KQ98" s="219"/>
      <c r="KR98" s="220"/>
      <c r="KS98" s="220"/>
      <c r="KT98" s="220"/>
      <c r="KU98" s="220"/>
      <c r="KV98" s="220"/>
      <c r="KW98" s="220"/>
      <c r="KX98" s="220"/>
      <c r="KY98" s="220"/>
      <c r="KZ98" s="220"/>
      <c r="LA98" s="220"/>
      <c r="LB98" s="220"/>
      <c r="LC98" s="220"/>
      <c r="LD98" s="220"/>
      <c r="LE98" s="220"/>
      <c r="LF98" s="220"/>
      <c r="LG98" s="220"/>
      <c r="LH98" s="220"/>
      <c r="LI98" s="220"/>
      <c r="LJ98" s="220"/>
      <c r="LK98" s="220"/>
      <c r="LL98" s="220"/>
      <c r="LM98" s="220"/>
      <c r="LN98" s="220"/>
      <c r="LO98" s="220"/>
      <c r="LP98" s="220"/>
      <c r="LQ98" s="220"/>
      <c r="LR98" s="220"/>
      <c r="LS98" s="220"/>
      <c r="LT98" s="220"/>
      <c r="LU98" s="220"/>
      <c r="LV98" s="220"/>
      <c r="LW98" s="220"/>
      <c r="LX98" s="220"/>
      <c r="LY98" s="220"/>
      <c r="LZ98" s="220"/>
      <c r="MA98" s="220"/>
      <c r="MB98" s="220"/>
      <c r="MC98" s="220"/>
      <c r="MD98" s="221"/>
      <c r="ME98" s="219"/>
      <c r="MF98" s="220"/>
      <c r="MG98" s="220"/>
      <c r="MH98" s="220"/>
      <c r="MI98" s="221"/>
      <c r="MN98" s="219"/>
      <c r="MO98" s="220"/>
      <c r="MP98" s="220"/>
      <c r="MQ98" s="220"/>
      <c r="MR98" s="220"/>
      <c r="MS98" s="220"/>
      <c r="MT98" s="220"/>
      <c r="MU98" s="220"/>
      <c r="MV98" s="220"/>
      <c r="MW98" s="220"/>
      <c r="MX98" s="220"/>
      <c r="MY98" s="220"/>
      <c r="MZ98" s="220"/>
      <c r="NA98" s="220"/>
      <c r="NB98" s="220"/>
      <c r="NC98" s="220"/>
      <c r="ND98" s="220"/>
      <c r="NE98" s="220"/>
      <c r="NF98" s="220"/>
      <c r="NG98" s="220"/>
      <c r="NH98" s="220"/>
      <c r="NI98" s="220"/>
      <c r="NJ98" s="220"/>
      <c r="NK98" s="220"/>
      <c r="NL98" s="220"/>
      <c r="NM98" s="220"/>
      <c r="NN98" s="220"/>
      <c r="NO98" s="220"/>
      <c r="NP98" s="220"/>
      <c r="NQ98" s="220"/>
      <c r="NR98" s="220"/>
      <c r="NS98" s="220"/>
      <c r="NT98" s="220"/>
      <c r="NU98" s="220"/>
      <c r="NV98" s="220"/>
      <c r="NW98" s="220"/>
      <c r="NX98" s="220"/>
      <c r="NY98" s="220"/>
      <c r="NZ98" s="220"/>
      <c r="OA98" s="221"/>
      <c r="OB98" s="219"/>
      <c r="OC98" s="220"/>
      <c r="OD98" s="220"/>
      <c r="OE98" s="220"/>
      <c r="OF98" s="221"/>
      <c r="OL98" s="205"/>
      <c r="OM98" s="205"/>
      <c r="ON98" s="205"/>
      <c r="OO98" s="205"/>
      <c r="OP98" s="205"/>
      <c r="OQ98" s="205"/>
      <c r="OR98" s="205"/>
      <c r="OS98" s="205"/>
      <c r="OT98" s="205"/>
      <c r="OU98" s="205"/>
      <c r="OV98" s="205"/>
      <c r="OW98" s="205"/>
      <c r="OX98" s="205"/>
      <c r="OY98" s="205"/>
      <c r="OZ98" s="205"/>
      <c r="PA98" s="205"/>
      <c r="PB98" s="205"/>
      <c r="PC98" s="205"/>
      <c r="PD98" s="205"/>
      <c r="PE98" s="205"/>
      <c r="PF98" s="205"/>
      <c r="PG98" s="205"/>
      <c r="PH98" s="205"/>
      <c r="PI98" s="205"/>
      <c r="PJ98" s="205"/>
      <c r="PK98" s="205"/>
      <c r="PL98" s="205"/>
      <c r="PM98" s="205"/>
      <c r="PN98" s="205"/>
      <c r="PO98" s="205"/>
      <c r="PP98" s="205"/>
      <c r="PQ98" s="205"/>
      <c r="PR98" s="205"/>
      <c r="PS98" s="205"/>
      <c r="PT98" s="205"/>
      <c r="PU98" s="205"/>
      <c r="PV98" s="205"/>
      <c r="PW98" s="205"/>
      <c r="PX98" s="205"/>
      <c r="PY98" s="205"/>
      <c r="PZ98" s="205"/>
      <c r="QA98" s="205"/>
      <c r="QB98" s="205"/>
      <c r="QC98" s="205"/>
      <c r="QD98" s="205"/>
      <c r="QE98" s="205"/>
      <c r="QQ98" s="12"/>
      <c r="QR98" s="7"/>
    </row>
    <row r="99" spans="3:465" ht="5.0999999999999996" customHeight="1" x14ac:dyDescent="0.3">
      <c r="C99" s="11"/>
      <c r="D99" s="13"/>
      <c r="EN99" s="16"/>
      <c r="IS99" s="219"/>
      <c r="IT99" s="220"/>
      <c r="IU99" s="220"/>
      <c r="IV99" s="220"/>
      <c r="IW99" s="220"/>
      <c r="IX99" s="220"/>
      <c r="IY99" s="220"/>
      <c r="IZ99" s="220"/>
      <c r="JA99" s="220"/>
      <c r="JB99" s="220"/>
      <c r="JC99" s="220"/>
      <c r="JD99" s="220"/>
      <c r="JE99" s="220"/>
      <c r="JF99" s="220"/>
      <c r="JG99" s="220"/>
      <c r="JH99" s="220"/>
      <c r="JI99" s="220"/>
      <c r="JJ99" s="220"/>
      <c r="JK99" s="220"/>
      <c r="JL99" s="220"/>
      <c r="JM99" s="220"/>
      <c r="JN99" s="220"/>
      <c r="JO99" s="220"/>
      <c r="JP99" s="220"/>
      <c r="JQ99" s="220"/>
      <c r="JR99" s="220"/>
      <c r="JS99" s="220"/>
      <c r="JT99" s="220"/>
      <c r="JU99" s="220"/>
      <c r="JV99" s="220"/>
      <c r="JW99" s="220"/>
      <c r="JX99" s="220"/>
      <c r="JY99" s="220"/>
      <c r="JZ99" s="220"/>
      <c r="KA99" s="220"/>
      <c r="KB99" s="220"/>
      <c r="KC99" s="220"/>
      <c r="KD99" s="220"/>
      <c r="KE99" s="220"/>
      <c r="KF99" s="221"/>
      <c r="KG99" s="219"/>
      <c r="KH99" s="220"/>
      <c r="KI99" s="220"/>
      <c r="KJ99" s="220"/>
      <c r="KK99" s="221"/>
      <c r="KQ99" s="219"/>
      <c r="KR99" s="220"/>
      <c r="KS99" s="220"/>
      <c r="KT99" s="220"/>
      <c r="KU99" s="220"/>
      <c r="KV99" s="220"/>
      <c r="KW99" s="220"/>
      <c r="KX99" s="220"/>
      <c r="KY99" s="220"/>
      <c r="KZ99" s="220"/>
      <c r="LA99" s="220"/>
      <c r="LB99" s="220"/>
      <c r="LC99" s="220"/>
      <c r="LD99" s="220"/>
      <c r="LE99" s="220"/>
      <c r="LF99" s="220"/>
      <c r="LG99" s="220"/>
      <c r="LH99" s="220"/>
      <c r="LI99" s="220"/>
      <c r="LJ99" s="220"/>
      <c r="LK99" s="220"/>
      <c r="LL99" s="220"/>
      <c r="LM99" s="220"/>
      <c r="LN99" s="220"/>
      <c r="LO99" s="220"/>
      <c r="LP99" s="220"/>
      <c r="LQ99" s="220"/>
      <c r="LR99" s="220"/>
      <c r="LS99" s="220"/>
      <c r="LT99" s="220"/>
      <c r="LU99" s="220"/>
      <c r="LV99" s="220"/>
      <c r="LW99" s="220"/>
      <c r="LX99" s="220"/>
      <c r="LY99" s="220"/>
      <c r="LZ99" s="220"/>
      <c r="MA99" s="220"/>
      <c r="MB99" s="220"/>
      <c r="MC99" s="220"/>
      <c r="MD99" s="221"/>
      <c r="ME99" s="219"/>
      <c r="MF99" s="220"/>
      <c r="MG99" s="220"/>
      <c r="MH99" s="220"/>
      <c r="MI99" s="221"/>
      <c r="MN99" s="219"/>
      <c r="MO99" s="220"/>
      <c r="MP99" s="220"/>
      <c r="MQ99" s="220"/>
      <c r="MR99" s="220"/>
      <c r="MS99" s="220"/>
      <c r="MT99" s="220"/>
      <c r="MU99" s="220"/>
      <c r="MV99" s="220"/>
      <c r="MW99" s="220"/>
      <c r="MX99" s="220"/>
      <c r="MY99" s="220"/>
      <c r="MZ99" s="220"/>
      <c r="NA99" s="220"/>
      <c r="NB99" s="220"/>
      <c r="NC99" s="220"/>
      <c r="ND99" s="220"/>
      <c r="NE99" s="220"/>
      <c r="NF99" s="220"/>
      <c r="NG99" s="220"/>
      <c r="NH99" s="220"/>
      <c r="NI99" s="220"/>
      <c r="NJ99" s="220"/>
      <c r="NK99" s="220"/>
      <c r="NL99" s="220"/>
      <c r="NM99" s="220"/>
      <c r="NN99" s="220"/>
      <c r="NO99" s="220"/>
      <c r="NP99" s="220"/>
      <c r="NQ99" s="220"/>
      <c r="NR99" s="220"/>
      <c r="NS99" s="220"/>
      <c r="NT99" s="220"/>
      <c r="NU99" s="220"/>
      <c r="NV99" s="220"/>
      <c r="NW99" s="220"/>
      <c r="NX99" s="220"/>
      <c r="NY99" s="220"/>
      <c r="NZ99" s="220"/>
      <c r="OA99" s="221"/>
      <c r="OB99" s="219"/>
      <c r="OC99" s="220"/>
      <c r="OD99" s="220"/>
      <c r="OE99" s="220"/>
      <c r="OF99" s="221"/>
      <c r="OL99" s="205"/>
      <c r="OM99" s="205"/>
      <c r="ON99" s="205"/>
      <c r="OO99" s="205"/>
      <c r="OP99" s="205"/>
      <c r="OQ99" s="205"/>
      <c r="OR99" s="205"/>
      <c r="OS99" s="205"/>
      <c r="OT99" s="205"/>
      <c r="OU99" s="205"/>
      <c r="OV99" s="205"/>
      <c r="OW99" s="205"/>
      <c r="OX99" s="205"/>
      <c r="OY99" s="205"/>
      <c r="OZ99" s="205"/>
      <c r="PA99" s="205"/>
      <c r="PB99" s="205"/>
      <c r="PC99" s="205"/>
      <c r="PD99" s="205"/>
      <c r="PE99" s="205"/>
      <c r="PF99" s="205"/>
      <c r="PG99" s="205"/>
      <c r="PH99" s="205"/>
      <c r="PI99" s="205"/>
      <c r="PJ99" s="205"/>
      <c r="PK99" s="205"/>
      <c r="PL99" s="205"/>
      <c r="PM99" s="205"/>
      <c r="PN99" s="205"/>
      <c r="PO99" s="205"/>
      <c r="PP99" s="205"/>
      <c r="PQ99" s="205"/>
      <c r="PR99" s="205"/>
      <c r="PS99" s="205"/>
      <c r="PT99" s="205"/>
      <c r="PU99" s="205"/>
      <c r="PV99" s="205"/>
      <c r="PW99" s="205"/>
      <c r="PX99" s="205"/>
      <c r="PY99" s="205"/>
      <c r="PZ99" s="205"/>
      <c r="QA99" s="205"/>
      <c r="QB99" s="205"/>
      <c r="QC99" s="205"/>
      <c r="QD99" s="205"/>
      <c r="QE99" s="205"/>
      <c r="QQ99" s="12"/>
      <c r="QR99" s="7"/>
    </row>
    <row r="100" spans="3:465" ht="5.0999999999999996" customHeight="1" x14ac:dyDescent="0.3">
      <c r="C100" s="11"/>
      <c r="D100" s="13"/>
      <c r="EN100" s="16"/>
      <c r="IS100" s="219"/>
      <c r="IT100" s="220"/>
      <c r="IU100" s="220"/>
      <c r="IV100" s="220"/>
      <c r="IW100" s="220"/>
      <c r="IX100" s="220"/>
      <c r="IY100" s="220"/>
      <c r="IZ100" s="220"/>
      <c r="JA100" s="220"/>
      <c r="JB100" s="220"/>
      <c r="JC100" s="220"/>
      <c r="JD100" s="220"/>
      <c r="JE100" s="220"/>
      <c r="JF100" s="220"/>
      <c r="JG100" s="220"/>
      <c r="JH100" s="220"/>
      <c r="JI100" s="220"/>
      <c r="JJ100" s="220"/>
      <c r="JK100" s="220"/>
      <c r="JL100" s="220"/>
      <c r="JM100" s="220"/>
      <c r="JN100" s="220"/>
      <c r="JO100" s="220"/>
      <c r="JP100" s="220"/>
      <c r="JQ100" s="220"/>
      <c r="JR100" s="220"/>
      <c r="JS100" s="220"/>
      <c r="JT100" s="220"/>
      <c r="JU100" s="220"/>
      <c r="JV100" s="220"/>
      <c r="JW100" s="220"/>
      <c r="JX100" s="220"/>
      <c r="JY100" s="220"/>
      <c r="JZ100" s="220"/>
      <c r="KA100" s="220"/>
      <c r="KB100" s="220"/>
      <c r="KC100" s="220"/>
      <c r="KD100" s="220"/>
      <c r="KE100" s="220"/>
      <c r="KF100" s="221"/>
      <c r="KG100" s="219"/>
      <c r="KH100" s="220"/>
      <c r="KI100" s="220"/>
      <c r="KJ100" s="220"/>
      <c r="KK100" s="221"/>
      <c r="KQ100" s="219"/>
      <c r="KR100" s="220"/>
      <c r="KS100" s="220"/>
      <c r="KT100" s="220"/>
      <c r="KU100" s="220"/>
      <c r="KV100" s="220"/>
      <c r="KW100" s="220"/>
      <c r="KX100" s="220"/>
      <c r="KY100" s="220"/>
      <c r="KZ100" s="220"/>
      <c r="LA100" s="220"/>
      <c r="LB100" s="220"/>
      <c r="LC100" s="220"/>
      <c r="LD100" s="220"/>
      <c r="LE100" s="220"/>
      <c r="LF100" s="220"/>
      <c r="LG100" s="220"/>
      <c r="LH100" s="220"/>
      <c r="LI100" s="220"/>
      <c r="LJ100" s="220"/>
      <c r="LK100" s="220"/>
      <c r="LL100" s="220"/>
      <c r="LM100" s="220"/>
      <c r="LN100" s="220"/>
      <c r="LO100" s="220"/>
      <c r="LP100" s="220"/>
      <c r="LQ100" s="220"/>
      <c r="LR100" s="220"/>
      <c r="LS100" s="220"/>
      <c r="LT100" s="220"/>
      <c r="LU100" s="220"/>
      <c r="LV100" s="220"/>
      <c r="LW100" s="220"/>
      <c r="LX100" s="220"/>
      <c r="LY100" s="220"/>
      <c r="LZ100" s="220"/>
      <c r="MA100" s="220"/>
      <c r="MB100" s="220"/>
      <c r="MC100" s="220"/>
      <c r="MD100" s="221"/>
      <c r="ME100" s="219"/>
      <c r="MF100" s="220"/>
      <c r="MG100" s="220"/>
      <c r="MH100" s="220"/>
      <c r="MI100" s="221"/>
      <c r="MN100" s="219"/>
      <c r="MO100" s="220"/>
      <c r="MP100" s="220"/>
      <c r="MQ100" s="220"/>
      <c r="MR100" s="220"/>
      <c r="MS100" s="220"/>
      <c r="MT100" s="220"/>
      <c r="MU100" s="220"/>
      <c r="MV100" s="220"/>
      <c r="MW100" s="220"/>
      <c r="MX100" s="220"/>
      <c r="MY100" s="220"/>
      <c r="MZ100" s="220"/>
      <c r="NA100" s="220"/>
      <c r="NB100" s="220"/>
      <c r="NC100" s="220"/>
      <c r="ND100" s="220"/>
      <c r="NE100" s="220"/>
      <c r="NF100" s="220"/>
      <c r="NG100" s="220"/>
      <c r="NH100" s="220"/>
      <c r="NI100" s="220"/>
      <c r="NJ100" s="220"/>
      <c r="NK100" s="220"/>
      <c r="NL100" s="220"/>
      <c r="NM100" s="220"/>
      <c r="NN100" s="220"/>
      <c r="NO100" s="220"/>
      <c r="NP100" s="220"/>
      <c r="NQ100" s="220"/>
      <c r="NR100" s="220"/>
      <c r="NS100" s="220"/>
      <c r="NT100" s="220"/>
      <c r="NU100" s="220"/>
      <c r="NV100" s="220"/>
      <c r="NW100" s="220"/>
      <c r="NX100" s="220"/>
      <c r="NY100" s="220"/>
      <c r="NZ100" s="220"/>
      <c r="OA100" s="221"/>
      <c r="OB100" s="219"/>
      <c r="OC100" s="220"/>
      <c r="OD100" s="220"/>
      <c r="OE100" s="220"/>
      <c r="OF100" s="221"/>
      <c r="OL100" s="205"/>
      <c r="OM100" s="205"/>
      <c r="ON100" s="205"/>
      <c r="OO100" s="205"/>
      <c r="OP100" s="205"/>
      <c r="OQ100" s="205"/>
      <c r="OR100" s="205"/>
      <c r="OS100" s="205"/>
      <c r="OT100" s="205"/>
      <c r="OU100" s="205"/>
      <c r="OV100" s="205"/>
      <c r="OW100" s="205"/>
      <c r="OX100" s="205"/>
      <c r="OY100" s="205"/>
      <c r="OZ100" s="205"/>
      <c r="PA100" s="205"/>
      <c r="PB100" s="205"/>
      <c r="PC100" s="205"/>
      <c r="PD100" s="205"/>
      <c r="PE100" s="205"/>
      <c r="PF100" s="205"/>
      <c r="PG100" s="205"/>
      <c r="PH100" s="205"/>
      <c r="PI100" s="205"/>
      <c r="PJ100" s="205"/>
      <c r="PK100" s="205"/>
      <c r="PL100" s="205"/>
      <c r="PM100" s="205"/>
      <c r="PN100" s="205"/>
      <c r="PO100" s="205"/>
      <c r="PP100" s="205"/>
      <c r="PQ100" s="205"/>
      <c r="PR100" s="205"/>
      <c r="PS100" s="205"/>
      <c r="PT100" s="205"/>
      <c r="PU100" s="205"/>
      <c r="PV100" s="205"/>
      <c r="PW100" s="205"/>
      <c r="PX100" s="205"/>
      <c r="PY100" s="205"/>
      <c r="PZ100" s="205"/>
      <c r="QA100" s="205"/>
      <c r="QB100" s="205"/>
      <c r="QC100" s="205"/>
      <c r="QD100" s="205"/>
      <c r="QE100" s="205"/>
      <c r="QQ100" s="12"/>
      <c r="QR100" s="7"/>
    </row>
    <row r="101" spans="3:465" ht="5.0999999999999996" customHeight="1" thickBot="1" x14ac:dyDescent="0.35">
      <c r="C101" s="11"/>
      <c r="D101" s="13"/>
      <c r="DL101" s="23"/>
      <c r="DM101" s="31"/>
      <c r="EN101" s="23"/>
      <c r="EO101" s="31"/>
      <c r="EP101" s="31"/>
      <c r="IS101" s="219"/>
      <c r="IT101" s="220"/>
      <c r="IU101" s="220"/>
      <c r="IV101" s="220"/>
      <c r="IW101" s="220"/>
      <c r="IX101" s="220"/>
      <c r="IY101" s="220"/>
      <c r="IZ101" s="220"/>
      <c r="JA101" s="220"/>
      <c r="JB101" s="220"/>
      <c r="JC101" s="220"/>
      <c r="JD101" s="220"/>
      <c r="JE101" s="220"/>
      <c r="JF101" s="220"/>
      <c r="JG101" s="220"/>
      <c r="JH101" s="220"/>
      <c r="JI101" s="220"/>
      <c r="JJ101" s="220"/>
      <c r="JK101" s="220"/>
      <c r="JL101" s="220"/>
      <c r="JM101" s="220"/>
      <c r="JN101" s="220"/>
      <c r="JO101" s="220"/>
      <c r="JP101" s="220"/>
      <c r="JQ101" s="220"/>
      <c r="JR101" s="220"/>
      <c r="JS101" s="220"/>
      <c r="JT101" s="220"/>
      <c r="JU101" s="220"/>
      <c r="JV101" s="220"/>
      <c r="JW101" s="220"/>
      <c r="JX101" s="220"/>
      <c r="JY101" s="220"/>
      <c r="JZ101" s="220"/>
      <c r="KA101" s="220"/>
      <c r="KB101" s="220"/>
      <c r="KC101" s="220"/>
      <c r="KD101" s="220"/>
      <c r="KE101" s="220"/>
      <c r="KF101" s="221"/>
      <c r="KG101" s="219"/>
      <c r="KH101" s="220"/>
      <c r="KI101" s="220"/>
      <c r="KJ101" s="220"/>
      <c r="KK101" s="221"/>
      <c r="KQ101" s="219"/>
      <c r="KR101" s="220"/>
      <c r="KS101" s="220"/>
      <c r="KT101" s="220"/>
      <c r="KU101" s="220"/>
      <c r="KV101" s="220"/>
      <c r="KW101" s="220"/>
      <c r="KX101" s="220"/>
      <c r="KY101" s="220"/>
      <c r="KZ101" s="220"/>
      <c r="LA101" s="220"/>
      <c r="LB101" s="220"/>
      <c r="LC101" s="220"/>
      <c r="LD101" s="220"/>
      <c r="LE101" s="220"/>
      <c r="LF101" s="220"/>
      <c r="LG101" s="220"/>
      <c r="LH101" s="220"/>
      <c r="LI101" s="220"/>
      <c r="LJ101" s="220"/>
      <c r="LK101" s="220"/>
      <c r="LL101" s="220"/>
      <c r="LM101" s="220"/>
      <c r="LN101" s="220"/>
      <c r="LO101" s="220"/>
      <c r="LP101" s="220"/>
      <c r="LQ101" s="220"/>
      <c r="LR101" s="220"/>
      <c r="LS101" s="220"/>
      <c r="LT101" s="220"/>
      <c r="LU101" s="220"/>
      <c r="LV101" s="220"/>
      <c r="LW101" s="220"/>
      <c r="LX101" s="220"/>
      <c r="LY101" s="220"/>
      <c r="LZ101" s="220"/>
      <c r="MA101" s="220"/>
      <c r="MB101" s="220"/>
      <c r="MC101" s="220"/>
      <c r="MD101" s="221"/>
      <c r="ME101" s="219"/>
      <c r="MF101" s="220"/>
      <c r="MG101" s="220"/>
      <c r="MH101" s="220"/>
      <c r="MI101" s="221"/>
      <c r="MN101" s="219"/>
      <c r="MO101" s="220"/>
      <c r="MP101" s="220"/>
      <c r="MQ101" s="220"/>
      <c r="MR101" s="220"/>
      <c r="MS101" s="220"/>
      <c r="MT101" s="220"/>
      <c r="MU101" s="220"/>
      <c r="MV101" s="220"/>
      <c r="MW101" s="220"/>
      <c r="MX101" s="220"/>
      <c r="MY101" s="220"/>
      <c r="MZ101" s="220"/>
      <c r="NA101" s="220"/>
      <c r="NB101" s="220"/>
      <c r="NC101" s="220"/>
      <c r="ND101" s="220"/>
      <c r="NE101" s="220"/>
      <c r="NF101" s="220"/>
      <c r="NG101" s="220"/>
      <c r="NH101" s="220"/>
      <c r="NI101" s="220"/>
      <c r="NJ101" s="220"/>
      <c r="NK101" s="220"/>
      <c r="NL101" s="220"/>
      <c r="NM101" s="220"/>
      <c r="NN101" s="220"/>
      <c r="NO101" s="220"/>
      <c r="NP101" s="220"/>
      <c r="NQ101" s="220"/>
      <c r="NR101" s="220"/>
      <c r="NS101" s="220"/>
      <c r="NT101" s="220"/>
      <c r="NU101" s="220"/>
      <c r="NV101" s="220"/>
      <c r="NW101" s="220"/>
      <c r="NX101" s="220"/>
      <c r="NY101" s="220"/>
      <c r="NZ101" s="220"/>
      <c r="OA101" s="221"/>
      <c r="OB101" s="219"/>
      <c r="OC101" s="220"/>
      <c r="OD101" s="220"/>
      <c r="OE101" s="220"/>
      <c r="OF101" s="221"/>
      <c r="OL101" s="205"/>
      <c r="OM101" s="205"/>
      <c r="ON101" s="205"/>
      <c r="OO101" s="205"/>
      <c r="OP101" s="205"/>
      <c r="OQ101" s="205"/>
      <c r="OR101" s="205"/>
      <c r="OS101" s="205"/>
      <c r="OT101" s="205"/>
      <c r="OU101" s="205"/>
      <c r="OV101" s="205"/>
      <c r="OW101" s="205"/>
      <c r="OX101" s="205"/>
      <c r="OY101" s="205"/>
      <c r="OZ101" s="205"/>
      <c r="PA101" s="205"/>
      <c r="PB101" s="205"/>
      <c r="PC101" s="205"/>
      <c r="PD101" s="205"/>
      <c r="PE101" s="205"/>
      <c r="PF101" s="205"/>
      <c r="PG101" s="205"/>
      <c r="PH101" s="205"/>
      <c r="PI101" s="205"/>
      <c r="PJ101" s="205"/>
      <c r="PK101" s="205"/>
      <c r="PL101" s="205"/>
      <c r="PM101" s="205"/>
      <c r="PN101" s="205"/>
      <c r="PO101" s="205"/>
      <c r="PP101" s="205"/>
      <c r="PQ101" s="205"/>
      <c r="PR101" s="205"/>
      <c r="PS101" s="205"/>
      <c r="PT101" s="205"/>
      <c r="PU101" s="205"/>
      <c r="PV101" s="205"/>
      <c r="PW101" s="205"/>
      <c r="PX101" s="205"/>
      <c r="PY101" s="205"/>
      <c r="PZ101" s="205"/>
      <c r="QA101" s="205"/>
      <c r="QB101" s="205"/>
      <c r="QC101" s="205"/>
      <c r="QD101" s="205"/>
      <c r="QE101" s="205"/>
      <c r="QQ101" s="12"/>
      <c r="QR101" s="7"/>
    </row>
    <row r="102" spans="3:465" ht="5.0999999999999996" customHeight="1" x14ac:dyDescent="0.3">
      <c r="C102" s="11"/>
      <c r="D102" s="13"/>
      <c r="AD102" s="22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2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2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2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0"/>
      <c r="HN102" s="16"/>
      <c r="IS102" s="222"/>
      <c r="IT102" s="223"/>
      <c r="IU102" s="223"/>
      <c r="IV102" s="223"/>
      <c r="IW102" s="223"/>
      <c r="IX102" s="223"/>
      <c r="IY102" s="223"/>
      <c r="IZ102" s="223"/>
      <c r="JA102" s="223"/>
      <c r="JB102" s="223"/>
      <c r="JC102" s="223"/>
      <c r="JD102" s="223"/>
      <c r="JE102" s="223"/>
      <c r="JF102" s="223"/>
      <c r="JG102" s="223"/>
      <c r="JH102" s="223"/>
      <c r="JI102" s="223"/>
      <c r="JJ102" s="223"/>
      <c r="JK102" s="223"/>
      <c r="JL102" s="223"/>
      <c r="JM102" s="223"/>
      <c r="JN102" s="223"/>
      <c r="JO102" s="223"/>
      <c r="JP102" s="223"/>
      <c r="JQ102" s="223"/>
      <c r="JR102" s="223"/>
      <c r="JS102" s="223"/>
      <c r="JT102" s="223"/>
      <c r="JU102" s="223"/>
      <c r="JV102" s="223"/>
      <c r="JW102" s="223"/>
      <c r="JX102" s="223"/>
      <c r="JY102" s="223"/>
      <c r="JZ102" s="223"/>
      <c r="KA102" s="223"/>
      <c r="KB102" s="223"/>
      <c r="KC102" s="223"/>
      <c r="KD102" s="223"/>
      <c r="KE102" s="223"/>
      <c r="KF102" s="224"/>
      <c r="KG102" s="222"/>
      <c r="KH102" s="223"/>
      <c r="KI102" s="223"/>
      <c r="KJ102" s="223"/>
      <c r="KK102" s="224"/>
      <c r="KQ102" s="222"/>
      <c r="KR102" s="223"/>
      <c r="KS102" s="223"/>
      <c r="KT102" s="223"/>
      <c r="KU102" s="223"/>
      <c r="KV102" s="223"/>
      <c r="KW102" s="223"/>
      <c r="KX102" s="223"/>
      <c r="KY102" s="223"/>
      <c r="KZ102" s="223"/>
      <c r="LA102" s="223"/>
      <c r="LB102" s="223"/>
      <c r="LC102" s="223"/>
      <c r="LD102" s="223"/>
      <c r="LE102" s="223"/>
      <c r="LF102" s="223"/>
      <c r="LG102" s="223"/>
      <c r="LH102" s="223"/>
      <c r="LI102" s="223"/>
      <c r="LJ102" s="223"/>
      <c r="LK102" s="223"/>
      <c r="LL102" s="223"/>
      <c r="LM102" s="223"/>
      <c r="LN102" s="223"/>
      <c r="LO102" s="223"/>
      <c r="LP102" s="223"/>
      <c r="LQ102" s="223"/>
      <c r="LR102" s="223"/>
      <c r="LS102" s="223"/>
      <c r="LT102" s="223"/>
      <c r="LU102" s="223"/>
      <c r="LV102" s="223"/>
      <c r="LW102" s="223"/>
      <c r="LX102" s="223"/>
      <c r="LY102" s="223"/>
      <c r="LZ102" s="223"/>
      <c r="MA102" s="223"/>
      <c r="MB102" s="223"/>
      <c r="MC102" s="223"/>
      <c r="MD102" s="224"/>
      <c r="ME102" s="222"/>
      <c r="MF102" s="223"/>
      <c r="MG102" s="223"/>
      <c r="MH102" s="223"/>
      <c r="MI102" s="224"/>
      <c r="MN102" s="222"/>
      <c r="MO102" s="223"/>
      <c r="MP102" s="223"/>
      <c r="MQ102" s="223"/>
      <c r="MR102" s="223"/>
      <c r="MS102" s="223"/>
      <c r="MT102" s="223"/>
      <c r="MU102" s="223"/>
      <c r="MV102" s="223"/>
      <c r="MW102" s="223"/>
      <c r="MX102" s="223"/>
      <c r="MY102" s="223"/>
      <c r="MZ102" s="223"/>
      <c r="NA102" s="223"/>
      <c r="NB102" s="223"/>
      <c r="NC102" s="223"/>
      <c r="ND102" s="223"/>
      <c r="NE102" s="223"/>
      <c r="NF102" s="223"/>
      <c r="NG102" s="223"/>
      <c r="NH102" s="223"/>
      <c r="NI102" s="223"/>
      <c r="NJ102" s="223"/>
      <c r="NK102" s="223"/>
      <c r="NL102" s="223"/>
      <c r="NM102" s="223"/>
      <c r="NN102" s="223"/>
      <c r="NO102" s="223"/>
      <c r="NP102" s="223"/>
      <c r="NQ102" s="223"/>
      <c r="NR102" s="223"/>
      <c r="NS102" s="223"/>
      <c r="NT102" s="223"/>
      <c r="NU102" s="223"/>
      <c r="NV102" s="223"/>
      <c r="NW102" s="223"/>
      <c r="NX102" s="223"/>
      <c r="NY102" s="223"/>
      <c r="NZ102" s="223"/>
      <c r="OA102" s="224"/>
      <c r="OB102" s="222"/>
      <c r="OC102" s="223"/>
      <c r="OD102" s="223"/>
      <c r="OE102" s="223"/>
      <c r="OF102" s="224"/>
      <c r="OL102" s="205"/>
      <c r="OM102" s="205"/>
      <c r="ON102" s="205"/>
      <c r="OO102" s="205"/>
      <c r="OP102" s="205"/>
      <c r="OQ102" s="205"/>
      <c r="OR102" s="205"/>
      <c r="OS102" s="205"/>
      <c r="OT102" s="205"/>
      <c r="OU102" s="205"/>
      <c r="OV102" s="205"/>
      <c r="OW102" s="205"/>
      <c r="OX102" s="205"/>
      <c r="OY102" s="205"/>
      <c r="OZ102" s="205"/>
      <c r="PA102" s="205"/>
      <c r="PB102" s="205"/>
      <c r="PC102" s="205"/>
      <c r="PD102" s="205"/>
      <c r="PE102" s="205"/>
      <c r="PF102" s="205"/>
      <c r="PG102" s="205"/>
      <c r="PH102" s="205"/>
      <c r="PI102" s="205"/>
      <c r="PJ102" s="205"/>
      <c r="PK102" s="205"/>
      <c r="PL102" s="205"/>
      <c r="PM102" s="205"/>
      <c r="PN102" s="205"/>
      <c r="PO102" s="205"/>
      <c r="PP102" s="205"/>
      <c r="PQ102" s="205"/>
      <c r="PR102" s="205"/>
      <c r="PS102" s="205"/>
      <c r="PT102" s="205"/>
      <c r="PU102" s="205"/>
      <c r="PV102" s="205"/>
      <c r="PW102" s="205"/>
      <c r="PX102" s="205"/>
      <c r="PY102" s="205"/>
      <c r="PZ102" s="205"/>
      <c r="QA102" s="205"/>
      <c r="QB102" s="205"/>
      <c r="QC102" s="205"/>
      <c r="QD102" s="205"/>
      <c r="QE102" s="205"/>
      <c r="QQ102" s="12"/>
      <c r="QR102" s="7"/>
    </row>
    <row r="103" spans="3:465" ht="5.0999999999999996" customHeight="1" x14ac:dyDescent="0.3">
      <c r="C103" s="11"/>
      <c r="D103" s="13"/>
      <c r="X103" s="9"/>
      <c r="Y103" s="9"/>
      <c r="Z103" s="9"/>
      <c r="AA103" s="9"/>
      <c r="AB103" s="9"/>
      <c r="AC103" s="9"/>
      <c r="AD103" s="15"/>
      <c r="AE103" s="9"/>
      <c r="AF103" s="9"/>
      <c r="BT103" s="9"/>
      <c r="BU103" s="9"/>
      <c r="BV103" s="9"/>
      <c r="BW103" s="9"/>
      <c r="BX103" s="9"/>
      <c r="BY103" s="9"/>
      <c r="BZ103" s="15"/>
      <c r="CA103" s="9"/>
      <c r="CB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15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15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50"/>
      <c r="HN103" s="15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JP103" s="17"/>
      <c r="JQ103" s="18"/>
      <c r="LN103" s="17"/>
      <c r="LO103" s="18"/>
      <c r="NK103" s="17"/>
      <c r="PK103" s="17"/>
      <c r="QQ103" s="12"/>
      <c r="QR103" s="7"/>
    </row>
    <row r="104" spans="3:465" ht="5.0999999999999996" customHeight="1" x14ac:dyDescent="0.3">
      <c r="C104" s="11"/>
      <c r="D104" s="13"/>
      <c r="G104" s="206" t="s">
        <v>161</v>
      </c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  <c r="AM104" s="207"/>
      <c r="AN104" s="207"/>
      <c r="AO104" s="207"/>
      <c r="AP104" s="207"/>
      <c r="AQ104" s="207"/>
      <c r="AR104" s="207"/>
      <c r="AS104" s="207"/>
      <c r="AT104" s="207"/>
      <c r="AU104" s="208"/>
      <c r="AV104" s="206">
        <f>SUM(AV116,AV128,AV148,AV138,AV158)</f>
        <v>11</v>
      </c>
      <c r="AW104" s="207"/>
      <c r="AX104" s="207"/>
      <c r="AY104" s="207"/>
      <c r="AZ104" s="208"/>
      <c r="BC104" s="206" t="s">
        <v>163</v>
      </c>
      <c r="BD104" s="207"/>
      <c r="BE104" s="207"/>
      <c r="BF104" s="207"/>
      <c r="BG104" s="207"/>
      <c r="BH104" s="207"/>
      <c r="BI104" s="207"/>
      <c r="BJ104" s="207"/>
      <c r="BK104" s="207"/>
      <c r="BL104" s="207"/>
      <c r="BM104" s="207"/>
      <c r="BN104" s="207"/>
      <c r="BO104" s="207"/>
      <c r="BP104" s="207"/>
      <c r="BQ104" s="207"/>
      <c r="BR104" s="207"/>
      <c r="BS104" s="207"/>
      <c r="BT104" s="207"/>
      <c r="BU104" s="207"/>
      <c r="BV104" s="207"/>
      <c r="BW104" s="207"/>
      <c r="BX104" s="207"/>
      <c r="BY104" s="207"/>
      <c r="BZ104" s="207"/>
      <c r="CA104" s="207"/>
      <c r="CB104" s="207"/>
      <c r="CC104" s="207"/>
      <c r="CD104" s="207"/>
      <c r="CE104" s="207"/>
      <c r="CF104" s="207"/>
      <c r="CG104" s="207"/>
      <c r="CH104" s="207"/>
      <c r="CI104" s="207"/>
      <c r="CJ104" s="207"/>
      <c r="CK104" s="207"/>
      <c r="CL104" s="207"/>
      <c r="CM104" s="207"/>
      <c r="CN104" s="207"/>
      <c r="CO104" s="207"/>
      <c r="CP104" s="207"/>
      <c r="CQ104" s="208"/>
      <c r="CR104" s="206">
        <f>SUM(CR116,CR128)</f>
        <v>5</v>
      </c>
      <c r="CS104" s="207"/>
      <c r="CT104" s="207"/>
      <c r="CU104" s="207"/>
      <c r="CV104" s="208"/>
      <c r="CY104" s="206" t="s">
        <v>160</v>
      </c>
      <c r="CZ104" s="207"/>
      <c r="DA104" s="207"/>
      <c r="DB104" s="207"/>
      <c r="DC104" s="207"/>
      <c r="DD104" s="207"/>
      <c r="DE104" s="207"/>
      <c r="DF104" s="207"/>
      <c r="DG104" s="207"/>
      <c r="DH104" s="207"/>
      <c r="DI104" s="207"/>
      <c r="DJ104" s="207"/>
      <c r="DK104" s="207"/>
      <c r="DL104" s="207"/>
      <c r="DM104" s="207"/>
      <c r="DN104" s="207"/>
      <c r="DO104" s="207"/>
      <c r="DP104" s="207"/>
      <c r="DQ104" s="207"/>
      <c r="DR104" s="207"/>
      <c r="DS104" s="207"/>
      <c r="DT104" s="207"/>
      <c r="DU104" s="207"/>
      <c r="DV104" s="207"/>
      <c r="DW104" s="207"/>
      <c r="DX104" s="207"/>
      <c r="DY104" s="207"/>
      <c r="DZ104" s="207"/>
      <c r="EA104" s="207"/>
      <c r="EB104" s="207"/>
      <c r="EC104" s="207"/>
      <c r="ED104" s="207"/>
      <c r="EE104" s="207"/>
      <c r="EF104" s="207"/>
      <c r="EG104" s="207"/>
      <c r="EH104" s="207"/>
      <c r="EI104" s="207"/>
      <c r="EJ104" s="207"/>
      <c r="EK104" s="207"/>
      <c r="EL104" s="207"/>
      <c r="EM104" s="208"/>
      <c r="EN104" s="206">
        <f>SUM(EN116,EN128,EN138)</f>
        <v>5</v>
      </c>
      <c r="EO104" s="207"/>
      <c r="EP104" s="207"/>
      <c r="EQ104" s="207"/>
      <c r="ER104" s="208"/>
      <c r="EU104" s="206" t="s">
        <v>162</v>
      </c>
      <c r="EV104" s="207"/>
      <c r="EW104" s="207"/>
      <c r="EX104" s="207"/>
      <c r="EY104" s="207"/>
      <c r="EZ104" s="207"/>
      <c r="FA104" s="207"/>
      <c r="FB104" s="207"/>
      <c r="FC104" s="207"/>
      <c r="FD104" s="207"/>
      <c r="FE104" s="207"/>
      <c r="FF104" s="207"/>
      <c r="FG104" s="207"/>
      <c r="FH104" s="207"/>
      <c r="FI104" s="207"/>
      <c r="FJ104" s="207"/>
      <c r="FK104" s="207"/>
      <c r="FL104" s="207"/>
      <c r="FM104" s="207"/>
      <c r="FN104" s="207"/>
      <c r="FO104" s="207"/>
      <c r="FP104" s="207"/>
      <c r="FQ104" s="207"/>
      <c r="FR104" s="207"/>
      <c r="FS104" s="207"/>
      <c r="FT104" s="207"/>
      <c r="FU104" s="207"/>
      <c r="FV104" s="207"/>
      <c r="FW104" s="207"/>
      <c r="FX104" s="207"/>
      <c r="FY104" s="207"/>
      <c r="FZ104" s="207"/>
      <c r="GA104" s="207"/>
      <c r="GB104" s="207"/>
      <c r="GC104" s="207"/>
      <c r="GD104" s="207"/>
      <c r="GE104" s="207"/>
      <c r="GF104" s="207"/>
      <c r="GG104" s="207"/>
      <c r="GH104" s="207"/>
      <c r="GI104" s="208"/>
      <c r="GJ104" s="206">
        <f>SUM(GJ116,GJ128)</f>
        <v>4</v>
      </c>
      <c r="GK104" s="207"/>
      <c r="GL104" s="207"/>
      <c r="GM104" s="207"/>
      <c r="GN104" s="208"/>
      <c r="GQ104" s="206" t="s">
        <v>164</v>
      </c>
      <c r="GR104" s="207"/>
      <c r="GS104" s="207"/>
      <c r="GT104" s="207"/>
      <c r="GU104" s="207"/>
      <c r="GV104" s="207"/>
      <c r="GW104" s="207"/>
      <c r="GX104" s="207"/>
      <c r="GY104" s="207"/>
      <c r="GZ104" s="207"/>
      <c r="HA104" s="207"/>
      <c r="HB104" s="207"/>
      <c r="HC104" s="207"/>
      <c r="HD104" s="207"/>
      <c r="HE104" s="207"/>
      <c r="HF104" s="207"/>
      <c r="HG104" s="207"/>
      <c r="HH104" s="207"/>
      <c r="HI104" s="207"/>
      <c r="HJ104" s="207"/>
      <c r="HK104" s="207"/>
      <c r="HL104" s="207"/>
      <c r="HM104" s="207"/>
      <c r="HN104" s="207"/>
      <c r="HO104" s="207"/>
      <c r="HP104" s="207"/>
      <c r="HQ104" s="207"/>
      <c r="HR104" s="207"/>
      <c r="HS104" s="207"/>
      <c r="HT104" s="207"/>
      <c r="HU104" s="207"/>
      <c r="HV104" s="207"/>
      <c r="HW104" s="207"/>
      <c r="HX104" s="207"/>
      <c r="HY104" s="207"/>
      <c r="HZ104" s="207"/>
      <c r="IA104" s="207"/>
      <c r="IB104" s="207"/>
      <c r="IC104" s="207"/>
      <c r="ID104" s="207"/>
      <c r="IE104" s="208"/>
      <c r="IF104" s="206">
        <f>SUM(IF116,IF128)</f>
        <v>4</v>
      </c>
      <c r="IG104" s="207"/>
      <c r="IH104" s="207"/>
      <c r="II104" s="207"/>
      <c r="IJ104" s="208"/>
      <c r="JP104" s="16"/>
      <c r="LN104" s="16"/>
      <c r="NK104" s="16"/>
      <c r="PK104" s="16"/>
      <c r="QQ104" s="12"/>
      <c r="QR104" s="7"/>
    </row>
    <row r="105" spans="3:465" ht="5.0999999999999996" customHeight="1" x14ac:dyDescent="0.3">
      <c r="C105" s="11"/>
      <c r="D105" s="13"/>
      <c r="G105" s="209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  <c r="AG105" s="210"/>
      <c r="AH105" s="210"/>
      <c r="AI105" s="210"/>
      <c r="AJ105" s="210"/>
      <c r="AK105" s="210"/>
      <c r="AL105" s="210"/>
      <c r="AM105" s="210"/>
      <c r="AN105" s="210"/>
      <c r="AO105" s="210"/>
      <c r="AP105" s="210"/>
      <c r="AQ105" s="210"/>
      <c r="AR105" s="210"/>
      <c r="AS105" s="210"/>
      <c r="AT105" s="210"/>
      <c r="AU105" s="211"/>
      <c r="AV105" s="209"/>
      <c r="AW105" s="210"/>
      <c r="AX105" s="210"/>
      <c r="AY105" s="210"/>
      <c r="AZ105" s="211"/>
      <c r="BC105" s="209"/>
      <c r="BD105" s="210"/>
      <c r="BE105" s="210"/>
      <c r="BF105" s="210"/>
      <c r="BG105" s="210"/>
      <c r="BH105" s="210"/>
      <c r="BI105" s="210"/>
      <c r="BJ105" s="210"/>
      <c r="BK105" s="210"/>
      <c r="BL105" s="210"/>
      <c r="BM105" s="210"/>
      <c r="BN105" s="210"/>
      <c r="BO105" s="210"/>
      <c r="BP105" s="210"/>
      <c r="BQ105" s="210"/>
      <c r="BR105" s="210"/>
      <c r="BS105" s="210"/>
      <c r="BT105" s="210"/>
      <c r="BU105" s="210"/>
      <c r="BV105" s="210"/>
      <c r="BW105" s="210"/>
      <c r="BX105" s="210"/>
      <c r="BY105" s="210"/>
      <c r="BZ105" s="210"/>
      <c r="CA105" s="210"/>
      <c r="CB105" s="210"/>
      <c r="CC105" s="210"/>
      <c r="CD105" s="210"/>
      <c r="CE105" s="210"/>
      <c r="CF105" s="210"/>
      <c r="CG105" s="210"/>
      <c r="CH105" s="210"/>
      <c r="CI105" s="210"/>
      <c r="CJ105" s="210"/>
      <c r="CK105" s="210"/>
      <c r="CL105" s="210"/>
      <c r="CM105" s="210"/>
      <c r="CN105" s="210"/>
      <c r="CO105" s="210"/>
      <c r="CP105" s="210"/>
      <c r="CQ105" s="211"/>
      <c r="CR105" s="209"/>
      <c r="CS105" s="210"/>
      <c r="CT105" s="210"/>
      <c r="CU105" s="210"/>
      <c r="CV105" s="211"/>
      <c r="CY105" s="209"/>
      <c r="CZ105" s="210"/>
      <c r="DA105" s="210"/>
      <c r="DB105" s="210"/>
      <c r="DC105" s="210"/>
      <c r="DD105" s="210"/>
      <c r="DE105" s="210"/>
      <c r="DF105" s="210"/>
      <c r="DG105" s="210"/>
      <c r="DH105" s="210"/>
      <c r="DI105" s="210"/>
      <c r="DJ105" s="210"/>
      <c r="DK105" s="210"/>
      <c r="DL105" s="210"/>
      <c r="DM105" s="210"/>
      <c r="DN105" s="210"/>
      <c r="DO105" s="210"/>
      <c r="DP105" s="210"/>
      <c r="DQ105" s="210"/>
      <c r="DR105" s="210"/>
      <c r="DS105" s="210"/>
      <c r="DT105" s="210"/>
      <c r="DU105" s="210"/>
      <c r="DV105" s="210"/>
      <c r="DW105" s="210"/>
      <c r="DX105" s="210"/>
      <c r="DY105" s="210"/>
      <c r="DZ105" s="210"/>
      <c r="EA105" s="210"/>
      <c r="EB105" s="210"/>
      <c r="EC105" s="210"/>
      <c r="ED105" s="210"/>
      <c r="EE105" s="210"/>
      <c r="EF105" s="210"/>
      <c r="EG105" s="210"/>
      <c r="EH105" s="210"/>
      <c r="EI105" s="210"/>
      <c r="EJ105" s="210"/>
      <c r="EK105" s="210"/>
      <c r="EL105" s="210"/>
      <c r="EM105" s="211"/>
      <c r="EN105" s="209"/>
      <c r="EO105" s="210"/>
      <c r="EP105" s="210"/>
      <c r="EQ105" s="210"/>
      <c r="ER105" s="211"/>
      <c r="EU105" s="209"/>
      <c r="EV105" s="210"/>
      <c r="EW105" s="210"/>
      <c r="EX105" s="210"/>
      <c r="EY105" s="210"/>
      <c r="EZ105" s="210"/>
      <c r="FA105" s="210"/>
      <c r="FB105" s="210"/>
      <c r="FC105" s="210"/>
      <c r="FD105" s="210"/>
      <c r="FE105" s="210"/>
      <c r="FF105" s="210"/>
      <c r="FG105" s="210"/>
      <c r="FH105" s="210"/>
      <c r="FI105" s="210"/>
      <c r="FJ105" s="210"/>
      <c r="FK105" s="210"/>
      <c r="FL105" s="210"/>
      <c r="FM105" s="210"/>
      <c r="FN105" s="210"/>
      <c r="FO105" s="210"/>
      <c r="FP105" s="210"/>
      <c r="FQ105" s="210"/>
      <c r="FR105" s="210"/>
      <c r="FS105" s="210"/>
      <c r="FT105" s="210"/>
      <c r="FU105" s="210"/>
      <c r="FV105" s="210"/>
      <c r="FW105" s="210"/>
      <c r="FX105" s="210"/>
      <c r="FY105" s="210"/>
      <c r="FZ105" s="210"/>
      <c r="GA105" s="210"/>
      <c r="GB105" s="210"/>
      <c r="GC105" s="210"/>
      <c r="GD105" s="210"/>
      <c r="GE105" s="210"/>
      <c r="GF105" s="210"/>
      <c r="GG105" s="210"/>
      <c r="GH105" s="210"/>
      <c r="GI105" s="211"/>
      <c r="GJ105" s="209"/>
      <c r="GK105" s="210"/>
      <c r="GL105" s="210"/>
      <c r="GM105" s="210"/>
      <c r="GN105" s="211"/>
      <c r="GQ105" s="209"/>
      <c r="GR105" s="210"/>
      <c r="GS105" s="210"/>
      <c r="GT105" s="210"/>
      <c r="GU105" s="210"/>
      <c r="GV105" s="210"/>
      <c r="GW105" s="210"/>
      <c r="GX105" s="210"/>
      <c r="GY105" s="210"/>
      <c r="GZ105" s="210"/>
      <c r="HA105" s="210"/>
      <c r="HB105" s="210"/>
      <c r="HC105" s="210"/>
      <c r="HD105" s="210"/>
      <c r="HE105" s="210"/>
      <c r="HF105" s="210"/>
      <c r="HG105" s="210"/>
      <c r="HH105" s="210"/>
      <c r="HI105" s="210"/>
      <c r="HJ105" s="210"/>
      <c r="HK105" s="210"/>
      <c r="HL105" s="210"/>
      <c r="HM105" s="210"/>
      <c r="HN105" s="210"/>
      <c r="HO105" s="210"/>
      <c r="HP105" s="210"/>
      <c r="HQ105" s="210"/>
      <c r="HR105" s="210"/>
      <c r="HS105" s="210"/>
      <c r="HT105" s="210"/>
      <c r="HU105" s="210"/>
      <c r="HV105" s="210"/>
      <c r="HW105" s="210"/>
      <c r="HX105" s="210"/>
      <c r="HY105" s="210"/>
      <c r="HZ105" s="210"/>
      <c r="IA105" s="210"/>
      <c r="IB105" s="210"/>
      <c r="IC105" s="210"/>
      <c r="ID105" s="210"/>
      <c r="IE105" s="211"/>
      <c r="IF105" s="209"/>
      <c r="IG105" s="210"/>
      <c r="IH105" s="210"/>
      <c r="II105" s="210"/>
      <c r="IJ105" s="211"/>
      <c r="JP105" s="16"/>
      <c r="LN105" s="16"/>
      <c r="NK105" s="16"/>
      <c r="PK105" s="16"/>
      <c r="QQ105" s="12"/>
      <c r="QR105" s="7"/>
    </row>
    <row r="106" spans="3:465" ht="5.0999999999999996" customHeight="1" x14ac:dyDescent="0.3">
      <c r="C106" s="11"/>
      <c r="D106" s="13"/>
      <c r="G106" s="209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0"/>
      <c r="AN106" s="210"/>
      <c r="AO106" s="210"/>
      <c r="AP106" s="210"/>
      <c r="AQ106" s="210"/>
      <c r="AR106" s="210"/>
      <c r="AS106" s="210"/>
      <c r="AT106" s="210"/>
      <c r="AU106" s="211"/>
      <c r="AV106" s="209"/>
      <c r="AW106" s="210"/>
      <c r="AX106" s="210"/>
      <c r="AY106" s="210"/>
      <c r="AZ106" s="211"/>
      <c r="BC106" s="209"/>
      <c r="BD106" s="210"/>
      <c r="BE106" s="210"/>
      <c r="BF106" s="210"/>
      <c r="BG106" s="210"/>
      <c r="BH106" s="210"/>
      <c r="BI106" s="210"/>
      <c r="BJ106" s="210"/>
      <c r="BK106" s="210"/>
      <c r="BL106" s="210"/>
      <c r="BM106" s="210"/>
      <c r="BN106" s="210"/>
      <c r="BO106" s="210"/>
      <c r="BP106" s="210"/>
      <c r="BQ106" s="210"/>
      <c r="BR106" s="210"/>
      <c r="BS106" s="210"/>
      <c r="BT106" s="210"/>
      <c r="BU106" s="210"/>
      <c r="BV106" s="210"/>
      <c r="BW106" s="210"/>
      <c r="BX106" s="210"/>
      <c r="BY106" s="210"/>
      <c r="BZ106" s="210"/>
      <c r="CA106" s="210"/>
      <c r="CB106" s="210"/>
      <c r="CC106" s="210"/>
      <c r="CD106" s="210"/>
      <c r="CE106" s="210"/>
      <c r="CF106" s="210"/>
      <c r="CG106" s="210"/>
      <c r="CH106" s="210"/>
      <c r="CI106" s="210"/>
      <c r="CJ106" s="210"/>
      <c r="CK106" s="210"/>
      <c r="CL106" s="210"/>
      <c r="CM106" s="210"/>
      <c r="CN106" s="210"/>
      <c r="CO106" s="210"/>
      <c r="CP106" s="210"/>
      <c r="CQ106" s="211"/>
      <c r="CR106" s="209"/>
      <c r="CS106" s="210"/>
      <c r="CT106" s="210"/>
      <c r="CU106" s="210"/>
      <c r="CV106" s="211"/>
      <c r="CY106" s="209"/>
      <c r="CZ106" s="210"/>
      <c r="DA106" s="210"/>
      <c r="DB106" s="210"/>
      <c r="DC106" s="210"/>
      <c r="DD106" s="210"/>
      <c r="DE106" s="210"/>
      <c r="DF106" s="210"/>
      <c r="DG106" s="210"/>
      <c r="DH106" s="210"/>
      <c r="DI106" s="210"/>
      <c r="DJ106" s="210"/>
      <c r="DK106" s="210"/>
      <c r="DL106" s="210"/>
      <c r="DM106" s="210"/>
      <c r="DN106" s="210"/>
      <c r="DO106" s="210"/>
      <c r="DP106" s="210"/>
      <c r="DQ106" s="210"/>
      <c r="DR106" s="210"/>
      <c r="DS106" s="210"/>
      <c r="DT106" s="210"/>
      <c r="DU106" s="210"/>
      <c r="DV106" s="210"/>
      <c r="DW106" s="210"/>
      <c r="DX106" s="210"/>
      <c r="DY106" s="210"/>
      <c r="DZ106" s="210"/>
      <c r="EA106" s="210"/>
      <c r="EB106" s="210"/>
      <c r="EC106" s="210"/>
      <c r="ED106" s="210"/>
      <c r="EE106" s="210"/>
      <c r="EF106" s="210"/>
      <c r="EG106" s="210"/>
      <c r="EH106" s="210"/>
      <c r="EI106" s="210"/>
      <c r="EJ106" s="210"/>
      <c r="EK106" s="210"/>
      <c r="EL106" s="210"/>
      <c r="EM106" s="211"/>
      <c r="EN106" s="209"/>
      <c r="EO106" s="210"/>
      <c r="EP106" s="210"/>
      <c r="EQ106" s="210"/>
      <c r="ER106" s="211"/>
      <c r="EU106" s="209"/>
      <c r="EV106" s="210"/>
      <c r="EW106" s="210"/>
      <c r="EX106" s="210"/>
      <c r="EY106" s="210"/>
      <c r="EZ106" s="210"/>
      <c r="FA106" s="210"/>
      <c r="FB106" s="210"/>
      <c r="FC106" s="210"/>
      <c r="FD106" s="210"/>
      <c r="FE106" s="210"/>
      <c r="FF106" s="210"/>
      <c r="FG106" s="210"/>
      <c r="FH106" s="210"/>
      <c r="FI106" s="210"/>
      <c r="FJ106" s="210"/>
      <c r="FK106" s="210"/>
      <c r="FL106" s="210"/>
      <c r="FM106" s="210"/>
      <c r="FN106" s="210"/>
      <c r="FO106" s="210"/>
      <c r="FP106" s="210"/>
      <c r="FQ106" s="210"/>
      <c r="FR106" s="210"/>
      <c r="FS106" s="210"/>
      <c r="FT106" s="210"/>
      <c r="FU106" s="210"/>
      <c r="FV106" s="210"/>
      <c r="FW106" s="210"/>
      <c r="FX106" s="210"/>
      <c r="FY106" s="210"/>
      <c r="FZ106" s="210"/>
      <c r="GA106" s="210"/>
      <c r="GB106" s="210"/>
      <c r="GC106" s="210"/>
      <c r="GD106" s="210"/>
      <c r="GE106" s="210"/>
      <c r="GF106" s="210"/>
      <c r="GG106" s="210"/>
      <c r="GH106" s="210"/>
      <c r="GI106" s="211"/>
      <c r="GJ106" s="209"/>
      <c r="GK106" s="210"/>
      <c r="GL106" s="210"/>
      <c r="GM106" s="210"/>
      <c r="GN106" s="211"/>
      <c r="GQ106" s="209"/>
      <c r="GR106" s="210"/>
      <c r="GS106" s="210"/>
      <c r="GT106" s="210"/>
      <c r="GU106" s="210"/>
      <c r="GV106" s="210"/>
      <c r="GW106" s="210"/>
      <c r="GX106" s="210"/>
      <c r="GY106" s="210"/>
      <c r="GZ106" s="210"/>
      <c r="HA106" s="210"/>
      <c r="HB106" s="210"/>
      <c r="HC106" s="210"/>
      <c r="HD106" s="210"/>
      <c r="HE106" s="210"/>
      <c r="HF106" s="210"/>
      <c r="HG106" s="210"/>
      <c r="HH106" s="210"/>
      <c r="HI106" s="210"/>
      <c r="HJ106" s="210"/>
      <c r="HK106" s="210"/>
      <c r="HL106" s="210"/>
      <c r="HM106" s="210"/>
      <c r="HN106" s="210"/>
      <c r="HO106" s="210"/>
      <c r="HP106" s="210"/>
      <c r="HQ106" s="210"/>
      <c r="HR106" s="210"/>
      <c r="HS106" s="210"/>
      <c r="HT106" s="210"/>
      <c r="HU106" s="210"/>
      <c r="HV106" s="210"/>
      <c r="HW106" s="210"/>
      <c r="HX106" s="210"/>
      <c r="HY106" s="210"/>
      <c r="HZ106" s="210"/>
      <c r="IA106" s="210"/>
      <c r="IB106" s="210"/>
      <c r="IC106" s="210"/>
      <c r="ID106" s="210"/>
      <c r="IE106" s="211"/>
      <c r="IF106" s="209"/>
      <c r="IG106" s="210"/>
      <c r="IH106" s="210"/>
      <c r="II106" s="210"/>
      <c r="IJ106" s="211"/>
      <c r="JP106" s="15"/>
      <c r="JQ106" s="9"/>
      <c r="LN106" s="15"/>
      <c r="LO106" s="9"/>
      <c r="NK106" s="15"/>
      <c r="PK106" s="15"/>
      <c r="QQ106" s="12"/>
      <c r="QR106" s="7"/>
    </row>
    <row r="107" spans="3:465" ht="5.0999999999999996" customHeight="1" x14ac:dyDescent="0.3">
      <c r="C107" s="11"/>
      <c r="D107" s="13"/>
      <c r="G107" s="209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 s="210"/>
      <c r="AK107" s="210"/>
      <c r="AL107" s="210"/>
      <c r="AM107" s="210"/>
      <c r="AN107" s="210"/>
      <c r="AO107" s="210"/>
      <c r="AP107" s="210"/>
      <c r="AQ107" s="210"/>
      <c r="AR107" s="210"/>
      <c r="AS107" s="210"/>
      <c r="AT107" s="210"/>
      <c r="AU107" s="211"/>
      <c r="AV107" s="209"/>
      <c r="AW107" s="210"/>
      <c r="AX107" s="210"/>
      <c r="AY107" s="210"/>
      <c r="AZ107" s="211"/>
      <c r="BC107" s="209"/>
      <c r="BD107" s="210"/>
      <c r="BE107" s="210"/>
      <c r="BF107" s="210"/>
      <c r="BG107" s="210"/>
      <c r="BH107" s="210"/>
      <c r="BI107" s="210"/>
      <c r="BJ107" s="210"/>
      <c r="BK107" s="210"/>
      <c r="BL107" s="210"/>
      <c r="BM107" s="210"/>
      <c r="BN107" s="210"/>
      <c r="BO107" s="210"/>
      <c r="BP107" s="210"/>
      <c r="BQ107" s="210"/>
      <c r="BR107" s="210"/>
      <c r="BS107" s="210"/>
      <c r="BT107" s="210"/>
      <c r="BU107" s="210"/>
      <c r="BV107" s="210"/>
      <c r="BW107" s="210"/>
      <c r="BX107" s="210"/>
      <c r="BY107" s="210"/>
      <c r="BZ107" s="210"/>
      <c r="CA107" s="210"/>
      <c r="CB107" s="210"/>
      <c r="CC107" s="210"/>
      <c r="CD107" s="210"/>
      <c r="CE107" s="210"/>
      <c r="CF107" s="210"/>
      <c r="CG107" s="210"/>
      <c r="CH107" s="210"/>
      <c r="CI107" s="210"/>
      <c r="CJ107" s="210"/>
      <c r="CK107" s="210"/>
      <c r="CL107" s="210"/>
      <c r="CM107" s="210"/>
      <c r="CN107" s="210"/>
      <c r="CO107" s="210"/>
      <c r="CP107" s="210"/>
      <c r="CQ107" s="211"/>
      <c r="CR107" s="209"/>
      <c r="CS107" s="210"/>
      <c r="CT107" s="210"/>
      <c r="CU107" s="210"/>
      <c r="CV107" s="211"/>
      <c r="CY107" s="209"/>
      <c r="CZ107" s="210"/>
      <c r="DA107" s="210"/>
      <c r="DB107" s="210"/>
      <c r="DC107" s="210"/>
      <c r="DD107" s="210"/>
      <c r="DE107" s="210"/>
      <c r="DF107" s="210"/>
      <c r="DG107" s="210"/>
      <c r="DH107" s="210"/>
      <c r="DI107" s="210"/>
      <c r="DJ107" s="210"/>
      <c r="DK107" s="210"/>
      <c r="DL107" s="210"/>
      <c r="DM107" s="210"/>
      <c r="DN107" s="210"/>
      <c r="DO107" s="210"/>
      <c r="DP107" s="210"/>
      <c r="DQ107" s="210"/>
      <c r="DR107" s="210"/>
      <c r="DS107" s="210"/>
      <c r="DT107" s="210"/>
      <c r="DU107" s="210"/>
      <c r="DV107" s="210"/>
      <c r="DW107" s="210"/>
      <c r="DX107" s="210"/>
      <c r="DY107" s="210"/>
      <c r="DZ107" s="210"/>
      <c r="EA107" s="210"/>
      <c r="EB107" s="210"/>
      <c r="EC107" s="210"/>
      <c r="ED107" s="210"/>
      <c r="EE107" s="210"/>
      <c r="EF107" s="210"/>
      <c r="EG107" s="210"/>
      <c r="EH107" s="210"/>
      <c r="EI107" s="210"/>
      <c r="EJ107" s="210"/>
      <c r="EK107" s="210"/>
      <c r="EL107" s="210"/>
      <c r="EM107" s="211"/>
      <c r="EN107" s="209"/>
      <c r="EO107" s="210"/>
      <c r="EP107" s="210"/>
      <c r="EQ107" s="210"/>
      <c r="ER107" s="211"/>
      <c r="EU107" s="209"/>
      <c r="EV107" s="210"/>
      <c r="EW107" s="210"/>
      <c r="EX107" s="210"/>
      <c r="EY107" s="210"/>
      <c r="EZ107" s="210"/>
      <c r="FA107" s="210"/>
      <c r="FB107" s="210"/>
      <c r="FC107" s="210"/>
      <c r="FD107" s="210"/>
      <c r="FE107" s="210"/>
      <c r="FF107" s="210"/>
      <c r="FG107" s="210"/>
      <c r="FH107" s="210"/>
      <c r="FI107" s="210"/>
      <c r="FJ107" s="210"/>
      <c r="FK107" s="210"/>
      <c r="FL107" s="210"/>
      <c r="FM107" s="210"/>
      <c r="FN107" s="210"/>
      <c r="FO107" s="210"/>
      <c r="FP107" s="210"/>
      <c r="FQ107" s="210"/>
      <c r="FR107" s="210"/>
      <c r="FS107" s="210"/>
      <c r="FT107" s="210"/>
      <c r="FU107" s="210"/>
      <c r="FV107" s="210"/>
      <c r="FW107" s="210"/>
      <c r="FX107" s="210"/>
      <c r="FY107" s="210"/>
      <c r="FZ107" s="210"/>
      <c r="GA107" s="210"/>
      <c r="GB107" s="210"/>
      <c r="GC107" s="210"/>
      <c r="GD107" s="210"/>
      <c r="GE107" s="210"/>
      <c r="GF107" s="210"/>
      <c r="GG107" s="210"/>
      <c r="GH107" s="210"/>
      <c r="GI107" s="211"/>
      <c r="GJ107" s="209"/>
      <c r="GK107" s="210"/>
      <c r="GL107" s="210"/>
      <c r="GM107" s="210"/>
      <c r="GN107" s="211"/>
      <c r="GQ107" s="209"/>
      <c r="GR107" s="210"/>
      <c r="GS107" s="210"/>
      <c r="GT107" s="210"/>
      <c r="GU107" s="210"/>
      <c r="GV107" s="210"/>
      <c r="GW107" s="210"/>
      <c r="GX107" s="210"/>
      <c r="GY107" s="210"/>
      <c r="GZ107" s="210"/>
      <c r="HA107" s="210"/>
      <c r="HB107" s="210"/>
      <c r="HC107" s="210"/>
      <c r="HD107" s="210"/>
      <c r="HE107" s="210"/>
      <c r="HF107" s="210"/>
      <c r="HG107" s="210"/>
      <c r="HH107" s="210"/>
      <c r="HI107" s="210"/>
      <c r="HJ107" s="210"/>
      <c r="HK107" s="210"/>
      <c r="HL107" s="210"/>
      <c r="HM107" s="210"/>
      <c r="HN107" s="210"/>
      <c r="HO107" s="210"/>
      <c r="HP107" s="210"/>
      <c r="HQ107" s="210"/>
      <c r="HR107" s="210"/>
      <c r="HS107" s="210"/>
      <c r="HT107" s="210"/>
      <c r="HU107" s="210"/>
      <c r="HV107" s="210"/>
      <c r="HW107" s="210"/>
      <c r="HX107" s="210"/>
      <c r="HY107" s="210"/>
      <c r="HZ107" s="210"/>
      <c r="IA107" s="210"/>
      <c r="IB107" s="210"/>
      <c r="IC107" s="210"/>
      <c r="ID107" s="210"/>
      <c r="IE107" s="211"/>
      <c r="IF107" s="209"/>
      <c r="IG107" s="210"/>
      <c r="IH107" s="210"/>
      <c r="II107" s="210"/>
      <c r="IJ107" s="211"/>
      <c r="IS107" s="184" t="s">
        <v>66</v>
      </c>
      <c r="IT107" s="185"/>
      <c r="IU107" s="185"/>
      <c r="IV107" s="185"/>
      <c r="IW107" s="185"/>
      <c r="IX107" s="185"/>
      <c r="IY107" s="185"/>
      <c r="IZ107" s="185"/>
      <c r="JA107" s="185"/>
      <c r="JB107" s="185"/>
      <c r="JC107" s="185"/>
      <c r="JD107" s="185"/>
      <c r="JE107" s="185"/>
      <c r="JF107" s="185"/>
      <c r="JG107" s="185"/>
      <c r="JH107" s="185"/>
      <c r="JI107" s="185"/>
      <c r="JJ107" s="185"/>
      <c r="JK107" s="185"/>
      <c r="JL107" s="185"/>
      <c r="JM107" s="185"/>
      <c r="JN107" s="185"/>
      <c r="JO107" s="185"/>
      <c r="JP107" s="185"/>
      <c r="JQ107" s="185"/>
      <c r="JR107" s="185"/>
      <c r="JS107" s="185"/>
      <c r="JT107" s="185"/>
      <c r="JU107" s="185"/>
      <c r="JV107" s="185"/>
      <c r="JW107" s="185"/>
      <c r="JX107" s="185"/>
      <c r="JY107" s="185"/>
      <c r="JZ107" s="185"/>
      <c r="KA107" s="185"/>
      <c r="KB107" s="185"/>
      <c r="KC107" s="185"/>
      <c r="KD107" s="185"/>
      <c r="KE107" s="185">
        <v>4</v>
      </c>
      <c r="KF107" s="186"/>
      <c r="KG107" s="184">
        <v>3</v>
      </c>
      <c r="KH107" s="185"/>
      <c r="KI107" s="185"/>
      <c r="KJ107" s="185"/>
      <c r="KK107" s="186"/>
      <c r="KQ107" s="184" t="s">
        <v>51</v>
      </c>
      <c r="KR107" s="185"/>
      <c r="KS107" s="185"/>
      <c r="KT107" s="185"/>
      <c r="KU107" s="185"/>
      <c r="KV107" s="185"/>
      <c r="KW107" s="185"/>
      <c r="KX107" s="185"/>
      <c r="KY107" s="185"/>
      <c r="KZ107" s="185"/>
      <c r="LA107" s="185"/>
      <c r="LB107" s="185"/>
      <c r="LC107" s="185"/>
      <c r="LD107" s="185"/>
      <c r="LE107" s="185"/>
      <c r="LF107" s="185"/>
      <c r="LG107" s="185"/>
      <c r="LH107" s="185"/>
      <c r="LI107" s="185"/>
      <c r="LJ107" s="185"/>
      <c r="LK107" s="185"/>
      <c r="LL107" s="185"/>
      <c r="LM107" s="185"/>
      <c r="LN107" s="185"/>
      <c r="LO107" s="185"/>
      <c r="LP107" s="185"/>
      <c r="LQ107" s="185"/>
      <c r="LR107" s="185"/>
      <c r="LS107" s="185"/>
      <c r="LT107" s="185"/>
      <c r="LU107" s="185"/>
      <c r="LV107" s="185"/>
      <c r="LW107" s="185"/>
      <c r="LX107" s="185"/>
      <c r="LY107" s="185"/>
      <c r="LZ107" s="185"/>
      <c r="MA107" s="185"/>
      <c r="MB107" s="185"/>
      <c r="MC107" s="185">
        <v>1</v>
      </c>
      <c r="MD107" s="186"/>
      <c r="ME107" s="184">
        <v>6</v>
      </c>
      <c r="MF107" s="185"/>
      <c r="MG107" s="185"/>
      <c r="MH107" s="185"/>
      <c r="MI107" s="186"/>
      <c r="MN107" s="184" t="s">
        <v>53</v>
      </c>
      <c r="MO107" s="185"/>
      <c r="MP107" s="185"/>
      <c r="MQ107" s="185"/>
      <c r="MR107" s="185"/>
      <c r="MS107" s="185"/>
      <c r="MT107" s="185"/>
      <c r="MU107" s="185"/>
      <c r="MV107" s="185"/>
      <c r="MW107" s="185"/>
      <c r="MX107" s="185"/>
      <c r="MY107" s="185"/>
      <c r="MZ107" s="185"/>
      <c r="NA107" s="185"/>
      <c r="NB107" s="185"/>
      <c r="NC107" s="185"/>
      <c r="ND107" s="185"/>
      <c r="NE107" s="185"/>
      <c r="NF107" s="185"/>
      <c r="NG107" s="185"/>
      <c r="NH107" s="185"/>
      <c r="NI107" s="185"/>
      <c r="NJ107" s="185"/>
      <c r="NK107" s="185"/>
      <c r="NL107" s="185"/>
      <c r="NM107" s="185"/>
      <c r="NN107" s="185"/>
      <c r="NO107" s="185"/>
      <c r="NP107" s="185"/>
      <c r="NQ107" s="185"/>
      <c r="NR107" s="185"/>
      <c r="NS107" s="185"/>
      <c r="NT107" s="185"/>
      <c r="NU107" s="185"/>
      <c r="NV107" s="185"/>
      <c r="NW107" s="185"/>
      <c r="NX107" s="185"/>
      <c r="NY107" s="185"/>
      <c r="NZ107" s="185"/>
      <c r="OA107" s="186"/>
      <c r="OB107" s="184">
        <v>2</v>
      </c>
      <c r="OC107" s="185"/>
      <c r="OD107" s="185"/>
      <c r="OE107" s="185"/>
      <c r="OF107" s="186"/>
      <c r="OM107" s="215" t="s">
        <v>175</v>
      </c>
      <c r="ON107" s="215"/>
      <c r="OO107" s="215"/>
      <c r="OP107" s="215"/>
      <c r="OQ107" s="215"/>
      <c r="OR107" s="215"/>
      <c r="OS107" s="215"/>
      <c r="OT107" s="215"/>
      <c r="OU107" s="215"/>
      <c r="OV107" s="215"/>
      <c r="OW107" s="215"/>
      <c r="OX107" s="215"/>
      <c r="OY107" s="215"/>
      <c r="OZ107" s="215"/>
      <c r="PA107" s="215"/>
      <c r="PB107" s="215"/>
      <c r="PC107" s="215"/>
      <c r="PD107" s="215"/>
      <c r="PE107" s="215"/>
      <c r="PF107" s="215"/>
      <c r="PG107" s="215"/>
      <c r="PH107" s="215"/>
      <c r="PI107" s="215"/>
      <c r="PJ107" s="215"/>
      <c r="PK107" s="215"/>
      <c r="PL107" s="215"/>
      <c r="PM107" s="215"/>
      <c r="PN107" s="215"/>
      <c r="PO107" s="215"/>
      <c r="PP107" s="215"/>
      <c r="PQ107" s="215"/>
      <c r="PR107" s="215"/>
      <c r="PS107" s="215"/>
      <c r="PT107" s="215"/>
      <c r="PU107" s="215"/>
      <c r="PV107" s="215"/>
      <c r="PW107" s="215"/>
      <c r="PX107" s="215"/>
      <c r="PY107" s="215"/>
      <c r="PZ107" s="215"/>
      <c r="QA107" s="215">
        <v>2</v>
      </c>
      <c r="QB107" s="215"/>
      <c r="QC107" s="215"/>
      <c r="QD107" s="215"/>
      <c r="QE107" s="215"/>
      <c r="QF107" s="215"/>
      <c r="QQ107" s="12"/>
      <c r="QR107" s="7"/>
    </row>
    <row r="108" spans="3:465" ht="5.0999999999999996" customHeight="1" x14ac:dyDescent="0.3">
      <c r="C108" s="11"/>
      <c r="D108" s="13"/>
      <c r="G108" s="209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  <c r="AG108" s="210"/>
      <c r="AH108" s="210"/>
      <c r="AI108" s="210"/>
      <c r="AJ108" s="210"/>
      <c r="AK108" s="210"/>
      <c r="AL108" s="210"/>
      <c r="AM108" s="210"/>
      <c r="AN108" s="210"/>
      <c r="AO108" s="210"/>
      <c r="AP108" s="210"/>
      <c r="AQ108" s="210"/>
      <c r="AR108" s="210"/>
      <c r="AS108" s="210"/>
      <c r="AT108" s="210"/>
      <c r="AU108" s="211"/>
      <c r="AV108" s="209"/>
      <c r="AW108" s="210"/>
      <c r="AX108" s="210"/>
      <c r="AY108" s="210"/>
      <c r="AZ108" s="211"/>
      <c r="BC108" s="209"/>
      <c r="BD108" s="210"/>
      <c r="BE108" s="210"/>
      <c r="BF108" s="210"/>
      <c r="BG108" s="210"/>
      <c r="BH108" s="210"/>
      <c r="BI108" s="210"/>
      <c r="BJ108" s="210"/>
      <c r="BK108" s="210"/>
      <c r="BL108" s="210"/>
      <c r="BM108" s="210"/>
      <c r="BN108" s="210"/>
      <c r="BO108" s="210"/>
      <c r="BP108" s="210"/>
      <c r="BQ108" s="210"/>
      <c r="BR108" s="210"/>
      <c r="BS108" s="210"/>
      <c r="BT108" s="210"/>
      <c r="BU108" s="210"/>
      <c r="BV108" s="210"/>
      <c r="BW108" s="210"/>
      <c r="BX108" s="210"/>
      <c r="BY108" s="210"/>
      <c r="BZ108" s="210"/>
      <c r="CA108" s="210"/>
      <c r="CB108" s="210"/>
      <c r="CC108" s="210"/>
      <c r="CD108" s="210"/>
      <c r="CE108" s="210"/>
      <c r="CF108" s="210"/>
      <c r="CG108" s="210"/>
      <c r="CH108" s="210"/>
      <c r="CI108" s="210"/>
      <c r="CJ108" s="210"/>
      <c r="CK108" s="210"/>
      <c r="CL108" s="210"/>
      <c r="CM108" s="210"/>
      <c r="CN108" s="210"/>
      <c r="CO108" s="210"/>
      <c r="CP108" s="210"/>
      <c r="CQ108" s="211"/>
      <c r="CR108" s="209"/>
      <c r="CS108" s="210"/>
      <c r="CT108" s="210"/>
      <c r="CU108" s="210"/>
      <c r="CV108" s="211"/>
      <c r="CY108" s="209"/>
      <c r="CZ108" s="210"/>
      <c r="DA108" s="210"/>
      <c r="DB108" s="210"/>
      <c r="DC108" s="210"/>
      <c r="DD108" s="210"/>
      <c r="DE108" s="210"/>
      <c r="DF108" s="210"/>
      <c r="DG108" s="210"/>
      <c r="DH108" s="210"/>
      <c r="DI108" s="210"/>
      <c r="DJ108" s="210"/>
      <c r="DK108" s="210"/>
      <c r="DL108" s="210"/>
      <c r="DM108" s="210"/>
      <c r="DN108" s="210"/>
      <c r="DO108" s="210"/>
      <c r="DP108" s="210"/>
      <c r="DQ108" s="210"/>
      <c r="DR108" s="210"/>
      <c r="DS108" s="210"/>
      <c r="DT108" s="210"/>
      <c r="DU108" s="210"/>
      <c r="DV108" s="210"/>
      <c r="DW108" s="210"/>
      <c r="DX108" s="210"/>
      <c r="DY108" s="210"/>
      <c r="DZ108" s="210"/>
      <c r="EA108" s="210"/>
      <c r="EB108" s="210"/>
      <c r="EC108" s="210"/>
      <c r="ED108" s="210"/>
      <c r="EE108" s="210"/>
      <c r="EF108" s="210"/>
      <c r="EG108" s="210"/>
      <c r="EH108" s="210"/>
      <c r="EI108" s="210"/>
      <c r="EJ108" s="210"/>
      <c r="EK108" s="210"/>
      <c r="EL108" s="210"/>
      <c r="EM108" s="211"/>
      <c r="EN108" s="209"/>
      <c r="EO108" s="210"/>
      <c r="EP108" s="210"/>
      <c r="EQ108" s="210"/>
      <c r="ER108" s="211"/>
      <c r="EU108" s="209"/>
      <c r="EV108" s="210"/>
      <c r="EW108" s="210"/>
      <c r="EX108" s="210"/>
      <c r="EY108" s="210"/>
      <c r="EZ108" s="210"/>
      <c r="FA108" s="210"/>
      <c r="FB108" s="210"/>
      <c r="FC108" s="210"/>
      <c r="FD108" s="210"/>
      <c r="FE108" s="210"/>
      <c r="FF108" s="210"/>
      <c r="FG108" s="210"/>
      <c r="FH108" s="210"/>
      <c r="FI108" s="210"/>
      <c r="FJ108" s="210"/>
      <c r="FK108" s="210"/>
      <c r="FL108" s="210"/>
      <c r="FM108" s="210"/>
      <c r="FN108" s="210"/>
      <c r="FO108" s="210"/>
      <c r="FP108" s="210"/>
      <c r="FQ108" s="210"/>
      <c r="FR108" s="210"/>
      <c r="FS108" s="210"/>
      <c r="FT108" s="210"/>
      <c r="FU108" s="210"/>
      <c r="FV108" s="210"/>
      <c r="FW108" s="210"/>
      <c r="FX108" s="210"/>
      <c r="FY108" s="210"/>
      <c r="FZ108" s="210"/>
      <c r="GA108" s="210"/>
      <c r="GB108" s="210"/>
      <c r="GC108" s="210"/>
      <c r="GD108" s="210"/>
      <c r="GE108" s="210"/>
      <c r="GF108" s="210"/>
      <c r="GG108" s="210"/>
      <c r="GH108" s="210"/>
      <c r="GI108" s="211"/>
      <c r="GJ108" s="209"/>
      <c r="GK108" s="210"/>
      <c r="GL108" s="210"/>
      <c r="GM108" s="210"/>
      <c r="GN108" s="211"/>
      <c r="GQ108" s="209"/>
      <c r="GR108" s="210"/>
      <c r="GS108" s="210"/>
      <c r="GT108" s="210"/>
      <c r="GU108" s="210"/>
      <c r="GV108" s="210"/>
      <c r="GW108" s="210"/>
      <c r="GX108" s="210"/>
      <c r="GY108" s="210"/>
      <c r="GZ108" s="210"/>
      <c r="HA108" s="210"/>
      <c r="HB108" s="210"/>
      <c r="HC108" s="210"/>
      <c r="HD108" s="210"/>
      <c r="HE108" s="210"/>
      <c r="HF108" s="210"/>
      <c r="HG108" s="210"/>
      <c r="HH108" s="210"/>
      <c r="HI108" s="210"/>
      <c r="HJ108" s="210"/>
      <c r="HK108" s="210"/>
      <c r="HL108" s="210"/>
      <c r="HM108" s="210"/>
      <c r="HN108" s="210"/>
      <c r="HO108" s="210"/>
      <c r="HP108" s="210"/>
      <c r="HQ108" s="210"/>
      <c r="HR108" s="210"/>
      <c r="HS108" s="210"/>
      <c r="HT108" s="210"/>
      <c r="HU108" s="210"/>
      <c r="HV108" s="210"/>
      <c r="HW108" s="210"/>
      <c r="HX108" s="210"/>
      <c r="HY108" s="210"/>
      <c r="HZ108" s="210"/>
      <c r="IA108" s="210"/>
      <c r="IB108" s="210"/>
      <c r="IC108" s="210"/>
      <c r="ID108" s="210"/>
      <c r="IE108" s="211"/>
      <c r="IF108" s="209"/>
      <c r="IG108" s="210"/>
      <c r="IH108" s="210"/>
      <c r="II108" s="210"/>
      <c r="IJ108" s="211"/>
      <c r="IS108" s="187"/>
      <c r="IT108" s="188"/>
      <c r="IU108" s="188"/>
      <c r="IV108" s="188"/>
      <c r="IW108" s="188"/>
      <c r="IX108" s="188"/>
      <c r="IY108" s="188"/>
      <c r="IZ108" s="188"/>
      <c r="JA108" s="188"/>
      <c r="JB108" s="188"/>
      <c r="JC108" s="188"/>
      <c r="JD108" s="188"/>
      <c r="JE108" s="188"/>
      <c r="JF108" s="188"/>
      <c r="JG108" s="188"/>
      <c r="JH108" s="188"/>
      <c r="JI108" s="188"/>
      <c r="JJ108" s="188"/>
      <c r="JK108" s="188"/>
      <c r="JL108" s="188"/>
      <c r="JM108" s="188"/>
      <c r="JN108" s="188"/>
      <c r="JO108" s="188"/>
      <c r="JP108" s="188"/>
      <c r="JQ108" s="188"/>
      <c r="JR108" s="188"/>
      <c r="JS108" s="188"/>
      <c r="JT108" s="188"/>
      <c r="JU108" s="188"/>
      <c r="JV108" s="188"/>
      <c r="JW108" s="188"/>
      <c r="JX108" s="188"/>
      <c r="JY108" s="188"/>
      <c r="JZ108" s="188"/>
      <c r="KA108" s="188"/>
      <c r="KB108" s="188"/>
      <c r="KC108" s="188"/>
      <c r="KD108" s="188"/>
      <c r="KE108" s="188"/>
      <c r="KF108" s="189"/>
      <c r="KG108" s="187"/>
      <c r="KH108" s="188"/>
      <c r="KI108" s="188"/>
      <c r="KJ108" s="188"/>
      <c r="KK108" s="189"/>
      <c r="KQ108" s="187"/>
      <c r="KR108" s="188"/>
      <c r="KS108" s="188"/>
      <c r="KT108" s="188"/>
      <c r="KU108" s="188"/>
      <c r="KV108" s="188"/>
      <c r="KW108" s="188"/>
      <c r="KX108" s="188"/>
      <c r="KY108" s="188"/>
      <c r="KZ108" s="188"/>
      <c r="LA108" s="188"/>
      <c r="LB108" s="188"/>
      <c r="LC108" s="188"/>
      <c r="LD108" s="188"/>
      <c r="LE108" s="188"/>
      <c r="LF108" s="188"/>
      <c r="LG108" s="188"/>
      <c r="LH108" s="188"/>
      <c r="LI108" s="188"/>
      <c r="LJ108" s="188"/>
      <c r="LK108" s="188"/>
      <c r="LL108" s="188"/>
      <c r="LM108" s="188"/>
      <c r="LN108" s="188"/>
      <c r="LO108" s="188"/>
      <c r="LP108" s="188"/>
      <c r="LQ108" s="188"/>
      <c r="LR108" s="188"/>
      <c r="LS108" s="188"/>
      <c r="LT108" s="188"/>
      <c r="LU108" s="188"/>
      <c r="LV108" s="188"/>
      <c r="LW108" s="188"/>
      <c r="LX108" s="188"/>
      <c r="LY108" s="188"/>
      <c r="LZ108" s="188"/>
      <c r="MA108" s="188"/>
      <c r="MB108" s="188"/>
      <c r="MC108" s="188"/>
      <c r="MD108" s="189"/>
      <c r="ME108" s="187"/>
      <c r="MF108" s="188"/>
      <c r="MG108" s="188"/>
      <c r="MH108" s="188"/>
      <c r="MI108" s="189"/>
      <c r="MN108" s="187"/>
      <c r="MO108" s="188"/>
      <c r="MP108" s="188"/>
      <c r="MQ108" s="188"/>
      <c r="MR108" s="188"/>
      <c r="MS108" s="188"/>
      <c r="MT108" s="188"/>
      <c r="MU108" s="188"/>
      <c r="MV108" s="188"/>
      <c r="MW108" s="188"/>
      <c r="MX108" s="188"/>
      <c r="MY108" s="188"/>
      <c r="MZ108" s="188"/>
      <c r="NA108" s="188"/>
      <c r="NB108" s="188"/>
      <c r="NC108" s="188"/>
      <c r="ND108" s="188"/>
      <c r="NE108" s="188"/>
      <c r="NF108" s="188"/>
      <c r="NG108" s="188"/>
      <c r="NH108" s="188"/>
      <c r="NI108" s="188"/>
      <c r="NJ108" s="188"/>
      <c r="NK108" s="188"/>
      <c r="NL108" s="188"/>
      <c r="NM108" s="188"/>
      <c r="NN108" s="188"/>
      <c r="NO108" s="188"/>
      <c r="NP108" s="188"/>
      <c r="NQ108" s="188"/>
      <c r="NR108" s="188"/>
      <c r="NS108" s="188"/>
      <c r="NT108" s="188"/>
      <c r="NU108" s="188"/>
      <c r="NV108" s="188"/>
      <c r="NW108" s="188"/>
      <c r="NX108" s="188"/>
      <c r="NY108" s="188"/>
      <c r="NZ108" s="188"/>
      <c r="OA108" s="189"/>
      <c r="OB108" s="187"/>
      <c r="OC108" s="188"/>
      <c r="OD108" s="188"/>
      <c r="OE108" s="188"/>
      <c r="OF108" s="189"/>
      <c r="OM108" s="215"/>
      <c r="ON108" s="215"/>
      <c r="OO108" s="215"/>
      <c r="OP108" s="215"/>
      <c r="OQ108" s="215"/>
      <c r="OR108" s="215"/>
      <c r="OS108" s="215"/>
      <c r="OT108" s="215"/>
      <c r="OU108" s="215"/>
      <c r="OV108" s="215"/>
      <c r="OW108" s="215"/>
      <c r="OX108" s="215"/>
      <c r="OY108" s="215"/>
      <c r="OZ108" s="215"/>
      <c r="PA108" s="215"/>
      <c r="PB108" s="215"/>
      <c r="PC108" s="215"/>
      <c r="PD108" s="215"/>
      <c r="PE108" s="215"/>
      <c r="PF108" s="215"/>
      <c r="PG108" s="215"/>
      <c r="PH108" s="215"/>
      <c r="PI108" s="215"/>
      <c r="PJ108" s="215"/>
      <c r="PK108" s="215"/>
      <c r="PL108" s="215"/>
      <c r="PM108" s="215"/>
      <c r="PN108" s="215"/>
      <c r="PO108" s="215"/>
      <c r="PP108" s="215"/>
      <c r="PQ108" s="215"/>
      <c r="PR108" s="215"/>
      <c r="PS108" s="215"/>
      <c r="PT108" s="215"/>
      <c r="PU108" s="215"/>
      <c r="PV108" s="215"/>
      <c r="PW108" s="215"/>
      <c r="PX108" s="215"/>
      <c r="PY108" s="215"/>
      <c r="PZ108" s="215"/>
      <c r="QA108" s="215"/>
      <c r="QB108" s="215"/>
      <c r="QC108" s="215"/>
      <c r="QD108" s="215"/>
      <c r="QE108" s="215"/>
      <c r="QF108" s="215"/>
      <c r="QQ108" s="12"/>
      <c r="QR108" s="7"/>
    </row>
    <row r="109" spans="3:465" ht="5.0999999999999996" customHeight="1" x14ac:dyDescent="0.3">
      <c r="C109" s="11"/>
      <c r="D109" s="13"/>
      <c r="G109" s="209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/>
      <c r="AG109" s="210"/>
      <c r="AH109" s="210"/>
      <c r="AI109" s="210"/>
      <c r="AJ109" s="210"/>
      <c r="AK109" s="210"/>
      <c r="AL109" s="210"/>
      <c r="AM109" s="210"/>
      <c r="AN109" s="210"/>
      <c r="AO109" s="210"/>
      <c r="AP109" s="210"/>
      <c r="AQ109" s="210"/>
      <c r="AR109" s="210"/>
      <c r="AS109" s="210"/>
      <c r="AT109" s="210"/>
      <c r="AU109" s="211"/>
      <c r="AV109" s="209"/>
      <c r="AW109" s="210"/>
      <c r="AX109" s="210"/>
      <c r="AY109" s="210"/>
      <c r="AZ109" s="211"/>
      <c r="BC109" s="209"/>
      <c r="BD109" s="210"/>
      <c r="BE109" s="210"/>
      <c r="BF109" s="210"/>
      <c r="BG109" s="210"/>
      <c r="BH109" s="210"/>
      <c r="BI109" s="210"/>
      <c r="BJ109" s="210"/>
      <c r="BK109" s="210"/>
      <c r="BL109" s="210"/>
      <c r="BM109" s="210"/>
      <c r="BN109" s="210"/>
      <c r="BO109" s="210"/>
      <c r="BP109" s="210"/>
      <c r="BQ109" s="210"/>
      <c r="BR109" s="210"/>
      <c r="BS109" s="210"/>
      <c r="BT109" s="210"/>
      <c r="BU109" s="210"/>
      <c r="BV109" s="210"/>
      <c r="BW109" s="210"/>
      <c r="BX109" s="210"/>
      <c r="BY109" s="210"/>
      <c r="BZ109" s="210"/>
      <c r="CA109" s="210"/>
      <c r="CB109" s="210"/>
      <c r="CC109" s="210"/>
      <c r="CD109" s="210"/>
      <c r="CE109" s="210"/>
      <c r="CF109" s="210"/>
      <c r="CG109" s="210"/>
      <c r="CH109" s="210"/>
      <c r="CI109" s="210"/>
      <c r="CJ109" s="210"/>
      <c r="CK109" s="210"/>
      <c r="CL109" s="210"/>
      <c r="CM109" s="210"/>
      <c r="CN109" s="210"/>
      <c r="CO109" s="210"/>
      <c r="CP109" s="210"/>
      <c r="CQ109" s="211"/>
      <c r="CR109" s="209"/>
      <c r="CS109" s="210"/>
      <c r="CT109" s="210"/>
      <c r="CU109" s="210"/>
      <c r="CV109" s="211"/>
      <c r="CY109" s="209"/>
      <c r="CZ109" s="210"/>
      <c r="DA109" s="210"/>
      <c r="DB109" s="210"/>
      <c r="DC109" s="210"/>
      <c r="DD109" s="210"/>
      <c r="DE109" s="210"/>
      <c r="DF109" s="210"/>
      <c r="DG109" s="210"/>
      <c r="DH109" s="210"/>
      <c r="DI109" s="210"/>
      <c r="DJ109" s="210"/>
      <c r="DK109" s="210"/>
      <c r="DL109" s="210"/>
      <c r="DM109" s="210"/>
      <c r="DN109" s="210"/>
      <c r="DO109" s="210"/>
      <c r="DP109" s="210"/>
      <c r="DQ109" s="210"/>
      <c r="DR109" s="210"/>
      <c r="DS109" s="210"/>
      <c r="DT109" s="210"/>
      <c r="DU109" s="210"/>
      <c r="DV109" s="210"/>
      <c r="DW109" s="210"/>
      <c r="DX109" s="210"/>
      <c r="DY109" s="210"/>
      <c r="DZ109" s="210"/>
      <c r="EA109" s="210"/>
      <c r="EB109" s="210"/>
      <c r="EC109" s="210"/>
      <c r="ED109" s="210"/>
      <c r="EE109" s="210"/>
      <c r="EF109" s="210"/>
      <c r="EG109" s="210"/>
      <c r="EH109" s="210"/>
      <c r="EI109" s="210"/>
      <c r="EJ109" s="210"/>
      <c r="EK109" s="210"/>
      <c r="EL109" s="210"/>
      <c r="EM109" s="211"/>
      <c r="EN109" s="209"/>
      <c r="EO109" s="210"/>
      <c r="EP109" s="210"/>
      <c r="EQ109" s="210"/>
      <c r="ER109" s="211"/>
      <c r="EU109" s="209"/>
      <c r="EV109" s="210"/>
      <c r="EW109" s="210"/>
      <c r="EX109" s="210"/>
      <c r="EY109" s="210"/>
      <c r="EZ109" s="210"/>
      <c r="FA109" s="210"/>
      <c r="FB109" s="210"/>
      <c r="FC109" s="210"/>
      <c r="FD109" s="210"/>
      <c r="FE109" s="210"/>
      <c r="FF109" s="210"/>
      <c r="FG109" s="210"/>
      <c r="FH109" s="210"/>
      <c r="FI109" s="210"/>
      <c r="FJ109" s="210"/>
      <c r="FK109" s="210"/>
      <c r="FL109" s="210"/>
      <c r="FM109" s="210"/>
      <c r="FN109" s="210"/>
      <c r="FO109" s="210"/>
      <c r="FP109" s="210"/>
      <c r="FQ109" s="210"/>
      <c r="FR109" s="210"/>
      <c r="FS109" s="210"/>
      <c r="FT109" s="210"/>
      <c r="FU109" s="210"/>
      <c r="FV109" s="210"/>
      <c r="FW109" s="210"/>
      <c r="FX109" s="210"/>
      <c r="FY109" s="210"/>
      <c r="FZ109" s="210"/>
      <c r="GA109" s="210"/>
      <c r="GB109" s="210"/>
      <c r="GC109" s="210"/>
      <c r="GD109" s="210"/>
      <c r="GE109" s="210"/>
      <c r="GF109" s="210"/>
      <c r="GG109" s="210"/>
      <c r="GH109" s="210"/>
      <c r="GI109" s="211"/>
      <c r="GJ109" s="209"/>
      <c r="GK109" s="210"/>
      <c r="GL109" s="210"/>
      <c r="GM109" s="210"/>
      <c r="GN109" s="211"/>
      <c r="GQ109" s="209"/>
      <c r="GR109" s="210"/>
      <c r="GS109" s="210"/>
      <c r="GT109" s="210"/>
      <c r="GU109" s="210"/>
      <c r="GV109" s="210"/>
      <c r="GW109" s="210"/>
      <c r="GX109" s="210"/>
      <c r="GY109" s="210"/>
      <c r="GZ109" s="210"/>
      <c r="HA109" s="210"/>
      <c r="HB109" s="210"/>
      <c r="HC109" s="210"/>
      <c r="HD109" s="210"/>
      <c r="HE109" s="210"/>
      <c r="HF109" s="210"/>
      <c r="HG109" s="210"/>
      <c r="HH109" s="210"/>
      <c r="HI109" s="210"/>
      <c r="HJ109" s="210"/>
      <c r="HK109" s="210"/>
      <c r="HL109" s="210"/>
      <c r="HM109" s="210"/>
      <c r="HN109" s="210"/>
      <c r="HO109" s="210"/>
      <c r="HP109" s="210"/>
      <c r="HQ109" s="210"/>
      <c r="HR109" s="210"/>
      <c r="HS109" s="210"/>
      <c r="HT109" s="210"/>
      <c r="HU109" s="210"/>
      <c r="HV109" s="210"/>
      <c r="HW109" s="210"/>
      <c r="HX109" s="210"/>
      <c r="HY109" s="210"/>
      <c r="HZ109" s="210"/>
      <c r="IA109" s="210"/>
      <c r="IB109" s="210"/>
      <c r="IC109" s="210"/>
      <c r="ID109" s="210"/>
      <c r="IE109" s="211"/>
      <c r="IF109" s="209"/>
      <c r="IG109" s="210"/>
      <c r="IH109" s="210"/>
      <c r="II109" s="210"/>
      <c r="IJ109" s="211"/>
      <c r="IS109" s="187"/>
      <c r="IT109" s="188"/>
      <c r="IU109" s="188"/>
      <c r="IV109" s="188"/>
      <c r="IW109" s="188"/>
      <c r="IX109" s="188"/>
      <c r="IY109" s="188"/>
      <c r="IZ109" s="188"/>
      <c r="JA109" s="188"/>
      <c r="JB109" s="188"/>
      <c r="JC109" s="188"/>
      <c r="JD109" s="188"/>
      <c r="JE109" s="188"/>
      <c r="JF109" s="188"/>
      <c r="JG109" s="188"/>
      <c r="JH109" s="188"/>
      <c r="JI109" s="188"/>
      <c r="JJ109" s="188"/>
      <c r="JK109" s="188"/>
      <c r="JL109" s="188"/>
      <c r="JM109" s="188"/>
      <c r="JN109" s="188"/>
      <c r="JO109" s="188"/>
      <c r="JP109" s="188"/>
      <c r="JQ109" s="188"/>
      <c r="JR109" s="188"/>
      <c r="JS109" s="188"/>
      <c r="JT109" s="188"/>
      <c r="JU109" s="188"/>
      <c r="JV109" s="188"/>
      <c r="JW109" s="188"/>
      <c r="JX109" s="188"/>
      <c r="JY109" s="188"/>
      <c r="JZ109" s="188"/>
      <c r="KA109" s="188"/>
      <c r="KB109" s="188"/>
      <c r="KC109" s="188"/>
      <c r="KD109" s="188"/>
      <c r="KE109" s="188"/>
      <c r="KF109" s="189"/>
      <c r="KG109" s="187"/>
      <c r="KH109" s="188"/>
      <c r="KI109" s="188"/>
      <c r="KJ109" s="188"/>
      <c r="KK109" s="189"/>
      <c r="KQ109" s="187"/>
      <c r="KR109" s="188"/>
      <c r="KS109" s="188"/>
      <c r="KT109" s="188"/>
      <c r="KU109" s="188"/>
      <c r="KV109" s="188"/>
      <c r="KW109" s="188"/>
      <c r="KX109" s="188"/>
      <c r="KY109" s="188"/>
      <c r="KZ109" s="188"/>
      <c r="LA109" s="188"/>
      <c r="LB109" s="188"/>
      <c r="LC109" s="188"/>
      <c r="LD109" s="188"/>
      <c r="LE109" s="188"/>
      <c r="LF109" s="188"/>
      <c r="LG109" s="188"/>
      <c r="LH109" s="188"/>
      <c r="LI109" s="188"/>
      <c r="LJ109" s="188"/>
      <c r="LK109" s="188"/>
      <c r="LL109" s="188"/>
      <c r="LM109" s="188"/>
      <c r="LN109" s="188"/>
      <c r="LO109" s="188"/>
      <c r="LP109" s="188"/>
      <c r="LQ109" s="188"/>
      <c r="LR109" s="188"/>
      <c r="LS109" s="188"/>
      <c r="LT109" s="188"/>
      <c r="LU109" s="188"/>
      <c r="LV109" s="188"/>
      <c r="LW109" s="188"/>
      <c r="LX109" s="188"/>
      <c r="LY109" s="188"/>
      <c r="LZ109" s="188"/>
      <c r="MA109" s="188"/>
      <c r="MB109" s="188"/>
      <c r="MC109" s="188"/>
      <c r="MD109" s="189"/>
      <c r="ME109" s="187"/>
      <c r="MF109" s="188"/>
      <c r="MG109" s="188"/>
      <c r="MH109" s="188"/>
      <c r="MI109" s="189"/>
      <c r="MN109" s="187"/>
      <c r="MO109" s="188"/>
      <c r="MP109" s="188"/>
      <c r="MQ109" s="188"/>
      <c r="MR109" s="188"/>
      <c r="MS109" s="188"/>
      <c r="MT109" s="188"/>
      <c r="MU109" s="188"/>
      <c r="MV109" s="188"/>
      <c r="MW109" s="188"/>
      <c r="MX109" s="188"/>
      <c r="MY109" s="188"/>
      <c r="MZ109" s="188"/>
      <c r="NA109" s="188"/>
      <c r="NB109" s="188"/>
      <c r="NC109" s="188"/>
      <c r="ND109" s="188"/>
      <c r="NE109" s="188"/>
      <c r="NF109" s="188"/>
      <c r="NG109" s="188"/>
      <c r="NH109" s="188"/>
      <c r="NI109" s="188"/>
      <c r="NJ109" s="188"/>
      <c r="NK109" s="188"/>
      <c r="NL109" s="188"/>
      <c r="NM109" s="188"/>
      <c r="NN109" s="188"/>
      <c r="NO109" s="188"/>
      <c r="NP109" s="188"/>
      <c r="NQ109" s="188"/>
      <c r="NR109" s="188"/>
      <c r="NS109" s="188"/>
      <c r="NT109" s="188"/>
      <c r="NU109" s="188"/>
      <c r="NV109" s="188"/>
      <c r="NW109" s="188"/>
      <c r="NX109" s="188"/>
      <c r="NY109" s="188"/>
      <c r="NZ109" s="188"/>
      <c r="OA109" s="189"/>
      <c r="OB109" s="187"/>
      <c r="OC109" s="188"/>
      <c r="OD109" s="188"/>
      <c r="OE109" s="188"/>
      <c r="OF109" s="189"/>
      <c r="OM109" s="215"/>
      <c r="ON109" s="215"/>
      <c r="OO109" s="215"/>
      <c r="OP109" s="215"/>
      <c r="OQ109" s="215"/>
      <c r="OR109" s="215"/>
      <c r="OS109" s="215"/>
      <c r="OT109" s="215"/>
      <c r="OU109" s="215"/>
      <c r="OV109" s="215"/>
      <c r="OW109" s="215"/>
      <c r="OX109" s="215"/>
      <c r="OY109" s="215"/>
      <c r="OZ109" s="215"/>
      <c r="PA109" s="215"/>
      <c r="PB109" s="215"/>
      <c r="PC109" s="215"/>
      <c r="PD109" s="215"/>
      <c r="PE109" s="215"/>
      <c r="PF109" s="215"/>
      <c r="PG109" s="215"/>
      <c r="PH109" s="215"/>
      <c r="PI109" s="215"/>
      <c r="PJ109" s="215"/>
      <c r="PK109" s="215"/>
      <c r="PL109" s="215"/>
      <c r="PM109" s="215"/>
      <c r="PN109" s="215"/>
      <c r="PO109" s="215"/>
      <c r="PP109" s="215"/>
      <c r="PQ109" s="215"/>
      <c r="PR109" s="215"/>
      <c r="PS109" s="215"/>
      <c r="PT109" s="215"/>
      <c r="PU109" s="215"/>
      <c r="PV109" s="215"/>
      <c r="PW109" s="215"/>
      <c r="PX109" s="215"/>
      <c r="PY109" s="215"/>
      <c r="PZ109" s="215"/>
      <c r="QA109" s="215"/>
      <c r="QB109" s="215"/>
      <c r="QC109" s="215"/>
      <c r="QD109" s="215"/>
      <c r="QE109" s="215"/>
      <c r="QF109" s="215"/>
      <c r="QQ109" s="12"/>
      <c r="QR109" s="7"/>
    </row>
    <row r="110" spans="3:465" ht="5.0999999999999996" customHeight="1" x14ac:dyDescent="0.3">
      <c r="C110" s="11"/>
      <c r="D110" s="13"/>
      <c r="G110" s="209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  <c r="AG110" s="210"/>
      <c r="AH110" s="210"/>
      <c r="AI110" s="210"/>
      <c r="AJ110" s="210"/>
      <c r="AK110" s="210"/>
      <c r="AL110" s="210"/>
      <c r="AM110" s="210"/>
      <c r="AN110" s="210"/>
      <c r="AO110" s="210"/>
      <c r="AP110" s="210"/>
      <c r="AQ110" s="210"/>
      <c r="AR110" s="210"/>
      <c r="AS110" s="210"/>
      <c r="AT110" s="210"/>
      <c r="AU110" s="211"/>
      <c r="AV110" s="209"/>
      <c r="AW110" s="210"/>
      <c r="AX110" s="210"/>
      <c r="AY110" s="210"/>
      <c r="AZ110" s="211"/>
      <c r="BC110" s="209"/>
      <c r="BD110" s="210"/>
      <c r="BE110" s="210"/>
      <c r="BF110" s="210"/>
      <c r="BG110" s="210"/>
      <c r="BH110" s="210"/>
      <c r="BI110" s="210"/>
      <c r="BJ110" s="210"/>
      <c r="BK110" s="210"/>
      <c r="BL110" s="210"/>
      <c r="BM110" s="210"/>
      <c r="BN110" s="210"/>
      <c r="BO110" s="210"/>
      <c r="BP110" s="210"/>
      <c r="BQ110" s="210"/>
      <c r="BR110" s="210"/>
      <c r="BS110" s="210"/>
      <c r="BT110" s="210"/>
      <c r="BU110" s="210"/>
      <c r="BV110" s="210"/>
      <c r="BW110" s="210"/>
      <c r="BX110" s="210"/>
      <c r="BY110" s="210"/>
      <c r="BZ110" s="210"/>
      <c r="CA110" s="210"/>
      <c r="CB110" s="210"/>
      <c r="CC110" s="210"/>
      <c r="CD110" s="210"/>
      <c r="CE110" s="210"/>
      <c r="CF110" s="210"/>
      <c r="CG110" s="210"/>
      <c r="CH110" s="210"/>
      <c r="CI110" s="210"/>
      <c r="CJ110" s="210"/>
      <c r="CK110" s="210"/>
      <c r="CL110" s="210"/>
      <c r="CM110" s="210"/>
      <c r="CN110" s="210"/>
      <c r="CO110" s="210"/>
      <c r="CP110" s="210"/>
      <c r="CQ110" s="211"/>
      <c r="CR110" s="209"/>
      <c r="CS110" s="210"/>
      <c r="CT110" s="210"/>
      <c r="CU110" s="210"/>
      <c r="CV110" s="211"/>
      <c r="CY110" s="209"/>
      <c r="CZ110" s="210"/>
      <c r="DA110" s="210"/>
      <c r="DB110" s="210"/>
      <c r="DC110" s="210"/>
      <c r="DD110" s="210"/>
      <c r="DE110" s="210"/>
      <c r="DF110" s="210"/>
      <c r="DG110" s="210"/>
      <c r="DH110" s="210"/>
      <c r="DI110" s="210"/>
      <c r="DJ110" s="210"/>
      <c r="DK110" s="210"/>
      <c r="DL110" s="210"/>
      <c r="DM110" s="210"/>
      <c r="DN110" s="210"/>
      <c r="DO110" s="210"/>
      <c r="DP110" s="210"/>
      <c r="DQ110" s="210"/>
      <c r="DR110" s="210"/>
      <c r="DS110" s="210"/>
      <c r="DT110" s="210"/>
      <c r="DU110" s="210"/>
      <c r="DV110" s="210"/>
      <c r="DW110" s="210"/>
      <c r="DX110" s="210"/>
      <c r="DY110" s="210"/>
      <c r="DZ110" s="210"/>
      <c r="EA110" s="210"/>
      <c r="EB110" s="210"/>
      <c r="EC110" s="210"/>
      <c r="ED110" s="210"/>
      <c r="EE110" s="210"/>
      <c r="EF110" s="210"/>
      <c r="EG110" s="210"/>
      <c r="EH110" s="210"/>
      <c r="EI110" s="210"/>
      <c r="EJ110" s="210"/>
      <c r="EK110" s="210"/>
      <c r="EL110" s="210"/>
      <c r="EM110" s="211"/>
      <c r="EN110" s="209"/>
      <c r="EO110" s="210"/>
      <c r="EP110" s="210"/>
      <c r="EQ110" s="210"/>
      <c r="ER110" s="211"/>
      <c r="EU110" s="209"/>
      <c r="EV110" s="210"/>
      <c r="EW110" s="210"/>
      <c r="EX110" s="210"/>
      <c r="EY110" s="210"/>
      <c r="EZ110" s="210"/>
      <c r="FA110" s="210"/>
      <c r="FB110" s="210"/>
      <c r="FC110" s="210"/>
      <c r="FD110" s="210"/>
      <c r="FE110" s="210"/>
      <c r="FF110" s="210"/>
      <c r="FG110" s="210"/>
      <c r="FH110" s="210"/>
      <c r="FI110" s="210"/>
      <c r="FJ110" s="210"/>
      <c r="FK110" s="210"/>
      <c r="FL110" s="210"/>
      <c r="FM110" s="210"/>
      <c r="FN110" s="210"/>
      <c r="FO110" s="210"/>
      <c r="FP110" s="210"/>
      <c r="FQ110" s="210"/>
      <c r="FR110" s="210"/>
      <c r="FS110" s="210"/>
      <c r="FT110" s="210"/>
      <c r="FU110" s="210"/>
      <c r="FV110" s="210"/>
      <c r="FW110" s="210"/>
      <c r="FX110" s="210"/>
      <c r="FY110" s="210"/>
      <c r="FZ110" s="210"/>
      <c r="GA110" s="210"/>
      <c r="GB110" s="210"/>
      <c r="GC110" s="210"/>
      <c r="GD110" s="210"/>
      <c r="GE110" s="210"/>
      <c r="GF110" s="210"/>
      <c r="GG110" s="210"/>
      <c r="GH110" s="210"/>
      <c r="GI110" s="211"/>
      <c r="GJ110" s="209"/>
      <c r="GK110" s="210"/>
      <c r="GL110" s="210"/>
      <c r="GM110" s="210"/>
      <c r="GN110" s="211"/>
      <c r="GQ110" s="209"/>
      <c r="GR110" s="210"/>
      <c r="GS110" s="210"/>
      <c r="GT110" s="210"/>
      <c r="GU110" s="210"/>
      <c r="GV110" s="210"/>
      <c r="GW110" s="210"/>
      <c r="GX110" s="210"/>
      <c r="GY110" s="210"/>
      <c r="GZ110" s="210"/>
      <c r="HA110" s="210"/>
      <c r="HB110" s="210"/>
      <c r="HC110" s="210"/>
      <c r="HD110" s="210"/>
      <c r="HE110" s="210"/>
      <c r="HF110" s="210"/>
      <c r="HG110" s="210"/>
      <c r="HH110" s="210"/>
      <c r="HI110" s="210"/>
      <c r="HJ110" s="210"/>
      <c r="HK110" s="210"/>
      <c r="HL110" s="210"/>
      <c r="HM110" s="210"/>
      <c r="HN110" s="210"/>
      <c r="HO110" s="210"/>
      <c r="HP110" s="210"/>
      <c r="HQ110" s="210"/>
      <c r="HR110" s="210"/>
      <c r="HS110" s="210"/>
      <c r="HT110" s="210"/>
      <c r="HU110" s="210"/>
      <c r="HV110" s="210"/>
      <c r="HW110" s="210"/>
      <c r="HX110" s="210"/>
      <c r="HY110" s="210"/>
      <c r="HZ110" s="210"/>
      <c r="IA110" s="210"/>
      <c r="IB110" s="210"/>
      <c r="IC110" s="210"/>
      <c r="ID110" s="210"/>
      <c r="IE110" s="211"/>
      <c r="IF110" s="209"/>
      <c r="IG110" s="210"/>
      <c r="IH110" s="210"/>
      <c r="II110" s="210"/>
      <c r="IJ110" s="211"/>
      <c r="IS110" s="187"/>
      <c r="IT110" s="188"/>
      <c r="IU110" s="188"/>
      <c r="IV110" s="188"/>
      <c r="IW110" s="188"/>
      <c r="IX110" s="188"/>
      <c r="IY110" s="188"/>
      <c r="IZ110" s="188"/>
      <c r="JA110" s="188"/>
      <c r="JB110" s="188"/>
      <c r="JC110" s="188"/>
      <c r="JD110" s="188"/>
      <c r="JE110" s="188"/>
      <c r="JF110" s="188"/>
      <c r="JG110" s="188"/>
      <c r="JH110" s="188"/>
      <c r="JI110" s="188"/>
      <c r="JJ110" s="188"/>
      <c r="JK110" s="188"/>
      <c r="JL110" s="188"/>
      <c r="JM110" s="188"/>
      <c r="JN110" s="188"/>
      <c r="JO110" s="188"/>
      <c r="JP110" s="188"/>
      <c r="JQ110" s="188"/>
      <c r="JR110" s="188"/>
      <c r="JS110" s="188"/>
      <c r="JT110" s="188"/>
      <c r="JU110" s="188"/>
      <c r="JV110" s="188"/>
      <c r="JW110" s="188"/>
      <c r="JX110" s="188"/>
      <c r="JY110" s="188"/>
      <c r="JZ110" s="188"/>
      <c r="KA110" s="188"/>
      <c r="KB110" s="188"/>
      <c r="KC110" s="188"/>
      <c r="KD110" s="188"/>
      <c r="KE110" s="188"/>
      <c r="KF110" s="189"/>
      <c r="KG110" s="187"/>
      <c r="KH110" s="188"/>
      <c r="KI110" s="188"/>
      <c r="KJ110" s="188"/>
      <c r="KK110" s="189"/>
      <c r="KQ110" s="187"/>
      <c r="KR110" s="188"/>
      <c r="KS110" s="188"/>
      <c r="KT110" s="188"/>
      <c r="KU110" s="188"/>
      <c r="KV110" s="188"/>
      <c r="KW110" s="188"/>
      <c r="KX110" s="188"/>
      <c r="KY110" s="188"/>
      <c r="KZ110" s="188"/>
      <c r="LA110" s="188"/>
      <c r="LB110" s="188"/>
      <c r="LC110" s="188"/>
      <c r="LD110" s="188"/>
      <c r="LE110" s="188"/>
      <c r="LF110" s="188"/>
      <c r="LG110" s="188"/>
      <c r="LH110" s="188"/>
      <c r="LI110" s="188"/>
      <c r="LJ110" s="188"/>
      <c r="LK110" s="188"/>
      <c r="LL110" s="188"/>
      <c r="LM110" s="188"/>
      <c r="LN110" s="188"/>
      <c r="LO110" s="188"/>
      <c r="LP110" s="188"/>
      <c r="LQ110" s="188"/>
      <c r="LR110" s="188"/>
      <c r="LS110" s="188"/>
      <c r="LT110" s="188"/>
      <c r="LU110" s="188"/>
      <c r="LV110" s="188"/>
      <c r="LW110" s="188"/>
      <c r="LX110" s="188"/>
      <c r="LY110" s="188"/>
      <c r="LZ110" s="188"/>
      <c r="MA110" s="188"/>
      <c r="MB110" s="188"/>
      <c r="MC110" s="188"/>
      <c r="MD110" s="189"/>
      <c r="ME110" s="187"/>
      <c r="MF110" s="188"/>
      <c r="MG110" s="188"/>
      <c r="MH110" s="188"/>
      <c r="MI110" s="189"/>
      <c r="MN110" s="187"/>
      <c r="MO110" s="188"/>
      <c r="MP110" s="188"/>
      <c r="MQ110" s="188"/>
      <c r="MR110" s="188"/>
      <c r="MS110" s="188"/>
      <c r="MT110" s="188"/>
      <c r="MU110" s="188"/>
      <c r="MV110" s="188"/>
      <c r="MW110" s="188"/>
      <c r="MX110" s="188"/>
      <c r="MY110" s="188"/>
      <c r="MZ110" s="188"/>
      <c r="NA110" s="188"/>
      <c r="NB110" s="188"/>
      <c r="NC110" s="188"/>
      <c r="ND110" s="188"/>
      <c r="NE110" s="188"/>
      <c r="NF110" s="188"/>
      <c r="NG110" s="188"/>
      <c r="NH110" s="188"/>
      <c r="NI110" s="188"/>
      <c r="NJ110" s="188"/>
      <c r="NK110" s="188"/>
      <c r="NL110" s="188"/>
      <c r="NM110" s="188"/>
      <c r="NN110" s="188"/>
      <c r="NO110" s="188"/>
      <c r="NP110" s="188"/>
      <c r="NQ110" s="188"/>
      <c r="NR110" s="188"/>
      <c r="NS110" s="188"/>
      <c r="NT110" s="188"/>
      <c r="NU110" s="188"/>
      <c r="NV110" s="188"/>
      <c r="NW110" s="188"/>
      <c r="NX110" s="188"/>
      <c r="NY110" s="188"/>
      <c r="NZ110" s="188"/>
      <c r="OA110" s="189"/>
      <c r="OB110" s="187"/>
      <c r="OC110" s="188"/>
      <c r="OD110" s="188"/>
      <c r="OE110" s="188"/>
      <c r="OF110" s="189"/>
      <c r="OM110" s="215"/>
      <c r="ON110" s="215"/>
      <c r="OO110" s="215"/>
      <c r="OP110" s="215"/>
      <c r="OQ110" s="215"/>
      <c r="OR110" s="215"/>
      <c r="OS110" s="215"/>
      <c r="OT110" s="215"/>
      <c r="OU110" s="215"/>
      <c r="OV110" s="215"/>
      <c r="OW110" s="215"/>
      <c r="OX110" s="215"/>
      <c r="OY110" s="215"/>
      <c r="OZ110" s="215"/>
      <c r="PA110" s="215"/>
      <c r="PB110" s="215"/>
      <c r="PC110" s="215"/>
      <c r="PD110" s="215"/>
      <c r="PE110" s="215"/>
      <c r="PF110" s="215"/>
      <c r="PG110" s="215"/>
      <c r="PH110" s="215"/>
      <c r="PI110" s="215"/>
      <c r="PJ110" s="215"/>
      <c r="PK110" s="215"/>
      <c r="PL110" s="215"/>
      <c r="PM110" s="215"/>
      <c r="PN110" s="215"/>
      <c r="PO110" s="215"/>
      <c r="PP110" s="215"/>
      <c r="PQ110" s="215"/>
      <c r="PR110" s="215"/>
      <c r="PS110" s="215"/>
      <c r="PT110" s="215"/>
      <c r="PU110" s="215"/>
      <c r="PV110" s="215"/>
      <c r="PW110" s="215"/>
      <c r="PX110" s="215"/>
      <c r="PY110" s="215"/>
      <c r="PZ110" s="215"/>
      <c r="QA110" s="215"/>
      <c r="QB110" s="215"/>
      <c r="QC110" s="215"/>
      <c r="QD110" s="215"/>
      <c r="QE110" s="215"/>
      <c r="QF110" s="215"/>
      <c r="QQ110" s="12"/>
      <c r="QR110" s="7"/>
    </row>
    <row r="111" spans="3:465" ht="5.0999999999999996" customHeight="1" x14ac:dyDescent="0.3">
      <c r="C111" s="11"/>
      <c r="D111" s="13"/>
      <c r="G111" s="209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 s="210"/>
      <c r="AK111" s="210"/>
      <c r="AL111" s="210"/>
      <c r="AM111" s="210"/>
      <c r="AN111" s="210"/>
      <c r="AO111" s="210"/>
      <c r="AP111" s="210"/>
      <c r="AQ111" s="210"/>
      <c r="AR111" s="210"/>
      <c r="AS111" s="210"/>
      <c r="AT111" s="210"/>
      <c r="AU111" s="211"/>
      <c r="AV111" s="209"/>
      <c r="AW111" s="210"/>
      <c r="AX111" s="210"/>
      <c r="AY111" s="210"/>
      <c r="AZ111" s="211"/>
      <c r="BC111" s="209"/>
      <c r="BD111" s="210"/>
      <c r="BE111" s="210"/>
      <c r="BF111" s="210"/>
      <c r="BG111" s="210"/>
      <c r="BH111" s="210"/>
      <c r="BI111" s="210"/>
      <c r="BJ111" s="210"/>
      <c r="BK111" s="210"/>
      <c r="BL111" s="210"/>
      <c r="BM111" s="210"/>
      <c r="BN111" s="210"/>
      <c r="BO111" s="210"/>
      <c r="BP111" s="210"/>
      <c r="BQ111" s="210"/>
      <c r="BR111" s="210"/>
      <c r="BS111" s="210"/>
      <c r="BT111" s="210"/>
      <c r="BU111" s="210"/>
      <c r="BV111" s="210"/>
      <c r="BW111" s="210"/>
      <c r="BX111" s="210"/>
      <c r="BY111" s="210"/>
      <c r="BZ111" s="210"/>
      <c r="CA111" s="210"/>
      <c r="CB111" s="210"/>
      <c r="CC111" s="210"/>
      <c r="CD111" s="210"/>
      <c r="CE111" s="210"/>
      <c r="CF111" s="210"/>
      <c r="CG111" s="210"/>
      <c r="CH111" s="210"/>
      <c r="CI111" s="210"/>
      <c r="CJ111" s="210"/>
      <c r="CK111" s="210"/>
      <c r="CL111" s="210"/>
      <c r="CM111" s="210"/>
      <c r="CN111" s="210"/>
      <c r="CO111" s="210"/>
      <c r="CP111" s="210"/>
      <c r="CQ111" s="211"/>
      <c r="CR111" s="209"/>
      <c r="CS111" s="210"/>
      <c r="CT111" s="210"/>
      <c r="CU111" s="210"/>
      <c r="CV111" s="211"/>
      <c r="CY111" s="209"/>
      <c r="CZ111" s="210"/>
      <c r="DA111" s="210"/>
      <c r="DB111" s="210"/>
      <c r="DC111" s="210"/>
      <c r="DD111" s="210"/>
      <c r="DE111" s="210"/>
      <c r="DF111" s="210"/>
      <c r="DG111" s="210"/>
      <c r="DH111" s="210"/>
      <c r="DI111" s="210"/>
      <c r="DJ111" s="210"/>
      <c r="DK111" s="210"/>
      <c r="DL111" s="210"/>
      <c r="DM111" s="210"/>
      <c r="DN111" s="210"/>
      <c r="DO111" s="210"/>
      <c r="DP111" s="210"/>
      <c r="DQ111" s="210"/>
      <c r="DR111" s="210"/>
      <c r="DS111" s="210"/>
      <c r="DT111" s="210"/>
      <c r="DU111" s="210"/>
      <c r="DV111" s="210"/>
      <c r="DW111" s="210"/>
      <c r="DX111" s="210"/>
      <c r="DY111" s="210"/>
      <c r="DZ111" s="210"/>
      <c r="EA111" s="210"/>
      <c r="EB111" s="210"/>
      <c r="EC111" s="210"/>
      <c r="ED111" s="210"/>
      <c r="EE111" s="210"/>
      <c r="EF111" s="210"/>
      <c r="EG111" s="210"/>
      <c r="EH111" s="210"/>
      <c r="EI111" s="210"/>
      <c r="EJ111" s="210"/>
      <c r="EK111" s="210"/>
      <c r="EL111" s="210"/>
      <c r="EM111" s="211"/>
      <c r="EN111" s="209"/>
      <c r="EO111" s="210"/>
      <c r="EP111" s="210"/>
      <c r="EQ111" s="210"/>
      <c r="ER111" s="211"/>
      <c r="EU111" s="209"/>
      <c r="EV111" s="210"/>
      <c r="EW111" s="210"/>
      <c r="EX111" s="210"/>
      <c r="EY111" s="210"/>
      <c r="EZ111" s="210"/>
      <c r="FA111" s="210"/>
      <c r="FB111" s="210"/>
      <c r="FC111" s="210"/>
      <c r="FD111" s="210"/>
      <c r="FE111" s="210"/>
      <c r="FF111" s="210"/>
      <c r="FG111" s="210"/>
      <c r="FH111" s="210"/>
      <c r="FI111" s="210"/>
      <c r="FJ111" s="210"/>
      <c r="FK111" s="210"/>
      <c r="FL111" s="210"/>
      <c r="FM111" s="210"/>
      <c r="FN111" s="210"/>
      <c r="FO111" s="210"/>
      <c r="FP111" s="210"/>
      <c r="FQ111" s="210"/>
      <c r="FR111" s="210"/>
      <c r="FS111" s="210"/>
      <c r="FT111" s="210"/>
      <c r="FU111" s="210"/>
      <c r="FV111" s="210"/>
      <c r="FW111" s="210"/>
      <c r="FX111" s="210"/>
      <c r="FY111" s="210"/>
      <c r="FZ111" s="210"/>
      <c r="GA111" s="210"/>
      <c r="GB111" s="210"/>
      <c r="GC111" s="210"/>
      <c r="GD111" s="210"/>
      <c r="GE111" s="210"/>
      <c r="GF111" s="210"/>
      <c r="GG111" s="210"/>
      <c r="GH111" s="210"/>
      <c r="GI111" s="211"/>
      <c r="GJ111" s="209"/>
      <c r="GK111" s="210"/>
      <c r="GL111" s="210"/>
      <c r="GM111" s="210"/>
      <c r="GN111" s="211"/>
      <c r="GQ111" s="209"/>
      <c r="GR111" s="210"/>
      <c r="GS111" s="210"/>
      <c r="GT111" s="210"/>
      <c r="GU111" s="210"/>
      <c r="GV111" s="210"/>
      <c r="GW111" s="210"/>
      <c r="GX111" s="210"/>
      <c r="GY111" s="210"/>
      <c r="GZ111" s="210"/>
      <c r="HA111" s="210"/>
      <c r="HB111" s="210"/>
      <c r="HC111" s="210"/>
      <c r="HD111" s="210"/>
      <c r="HE111" s="210"/>
      <c r="HF111" s="210"/>
      <c r="HG111" s="210"/>
      <c r="HH111" s="210"/>
      <c r="HI111" s="210"/>
      <c r="HJ111" s="210"/>
      <c r="HK111" s="210"/>
      <c r="HL111" s="210"/>
      <c r="HM111" s="210"/>
      <c r="HN111" s="210"/>
      <c r="HO111" s="210"/>
      <c r="HP111" s="210"/>
      <c r="HQ111" s="210"/>
      <c r="HR111" s="210"/>
      <c r="HS111" s="210"/>
      <c r="HT111" s="210"/>
      <c r="HU111" s="210"/>
      <c r="HV111" s="210"/>
      <c r="HW111" s="210"/>
      <c r="HX111" s="210"/>
      <c r="HY111" s="210"/>
      <c r="HZ111" s="210"/>
      <c r="IA111" s="210"/>
      <c r="IB111" s="210"/>
      <c r="IC111" s="210"/>
      <c r="ID111" s="210"/>
      <c r="IE111" s="211"/>
      <c r="IF111" s="209"/>
      <c r="IG111" s="210"/>
      <c r="IH111" s="210"/>
      <c r="II111" s="210"/>
      <c r="IJ111" s="211"/>
      <c r="IS111" s="187"/>
      <c r="IT111" s="188"/>
      <c r="IU111" s="188"/>
      <c r="IV111" s="188"/>
      <c r="IW111" s="188"/>
      <c r="IX111" s="188"/>
      <c r="IY111" s="188"/>
      <c r="IZ111" s="188"/>
      <c r="JA111" s="188"/>
      <c r="JB111" s="188"/>
      <c r="JC111" s="188"/>
      <c r="JD111" s="188"/>
      <c r="JE111" s="188"/>
      <c r="JF111" s="188"/>
      <c r="JG111" s="188"/>
      <c r="JH111" s="188"/>
      <c r="JI111" s="188"/>
      <c r="JJ111" s="188"/>
      <c r="JK111" s="188"/>
      <c r="JL111" s="188"/>
      <c r="JM111" s="188"/>
      <c r="JN111" s="188"/>
      <c r="JO111" s="188"/>
      <c r="JP111" s="188"/>
      <c r="JQ111" s="188"/>
      <c r="JR111" s="188"/>
      <c r="JS111" s="188"/>
      <c r="JT111" s="188"/>
      <c r="JU111" s="188"/>
      <c r="JV111" s="188"/>
      <c r="JW111" s="188"/>
      <c r="JX111" s="188"/>
      <c r="JY111" s="188"/>
      <c r="JZ111" s="188"/>
      <c r="KA111" s="188"/>
      <c r="KB111" s="188"/>
      <c r="KC111" s="188"/>
      <c r="KD111" s="188"/>
      <c r="KE111" s="188"/>
      <c r="KF111" s="189"/>
      <c r="KG111" s="187"/>
      <c r="KH111" s="188"/>
      <c r="KI111" s="188"/>
      <c r="KJ111" s="188"/>
      <c r="KK111" s="189"/>
      <c r="KQ111" s="187"/>
      <c r="KR111" s="188"/>
      <c r="KS111" s="188"/>
      <c r="KT111" s="188"/>
      <c r="KU111" s="188"/>
      <c r="KV111" s="188"/>
      <c r="KW111" s="188"/>
      <c r="KX111" s="188"/>
      <c r="KY111" s="188"/>
      <c r="KZ111" s="188"/>
      <c r="LA111" s="188"/>
      <c r="LB111" s="188"/>
      <c r="LC111" s="188"/>
      <c r="LD111" s="188"/>
      <c r="LE111" s="188"/>
      <c r="LF111" s="188"/>
      <c r="LG111" s="188"/>
      <c r="LH111" s="188"/>
      <c r="LI111" s="188"/>
      <c r="LJ111" s="188"/>
      <c r="LK111" s="188"/>
      <c r="LL111" s="188"/>
      <c r="LM111" s="188"/>
      <c r="LN111" s="188"/>
      <c r="LO111" s="188"/>
      <c r="LP111" s="188"/>
      <c r="LQ111" s="188"/>
      <c r="LR111" s="188"/>
      <c r="LS111" s="188"/>
      <c r="LT111" s="188"/>
      <c r="LU111" s="188"/>
      <c r="LV111" s="188"/>
      <c r="LW111" s="188"/>
      <c r="LX111" s="188"/>
      <c r="LY111" s="188"/>
      <c r="LZ111" s="188"/>
      <c r="MA111" s="188"/>
      <c r="MB111" s="188"/>
      <c r="MC111" s="188"/>
      <c r="MD111" s="189"/>
      <c r="ME111" s="187"/>
      <c r="MF111" s="188"/>
      <c r="MG111" s="188"/>
      <c r="MH111" s="188"/>
      <c r="MI111" s="189"/>
      <c r="MN111" s="187"/>
      <c r="MO111" s="188"/>
      <c r="MP111" s="188"/>
      <c r="MQ111" s="188"/>
      <c r="MR111" s="188"/>
      <c r="MS111" s="188"/>
      <c r="MT111" s="188"/>
      <c r="MU111" s="188"/>
      <c r="MV111" s="188"/>
      <c r="MW111" s="188"/>
      <c r="MX111" s="188"/>
      <c r="MY111" s="188"/>
      <c r="MZ111" s="188"/>
      <c r="NA111" s="188"/>
      <c r="NB111" s="188"/>
      <c r="NC111" s="188"/>
      <c r="ND111" s="188"/>
      <c r="NE111" s="188"/>
      <c r="NF111" s="188"/>
      <c r="NG111" s="188"/>
      <c r="NH111" s="188"/>
      <c r="NI111" s="188"/>
      <c r="NJ111" s="188"/>
      <c r="NK111" s="188"/>
      <c r="NL111" s="188"/>
      <c r="NM111" s="188"/>
      <c r="NN111" s="188"/>
      <c r="NO111" s="188"/>
      <c r="NP111" s="188"/>
      <c r="NQ111" s="188"/>
      <c r="NR111" s="188"/>
      <c r="NS111" s="188"/>
      <c r="NT111" s="188"/>
      <c r="NU111" s="188"/>
      <c r="NV111" s="188"/>
      <c r="NW111" s="188"/>
      <c r="NX111" s="188"/>
      <c r="NY111" s="188"/>
      <c r="NZ111" s="188"/>
      <c r="OA111" s="189"/>
      <c r="OB111" s="187"/>
      <c r="OC111" s="188"/>
      <c r="OD111" s="188"/>
      <c r="OE111" s="188"/>
      <c r="OF111" s="189"/>
      <c r="OM111" s="215"/>
      <c r="ON111" s="215"/>
      <c r="OO111" s="215"/>
      <c r="OP111" s="215"/>
      <c r="OQ111" s="215"/>
      <c r="OR111" s="215"/>
      <c r="OS111" s="215"/>
      <c r="OT111" s="215"/>
      <c r="OU111" s="215"/>
      <c r="OV111" s="215"/>
      <c r="OW111" s="215"/>
      <c r="OX111" s="215"/>
      <c r="OY111" s="215"/>
      <c r="OZ111" s="215"/>
      <c r="PA111" s="215"/>
      <c r="PB111" s="215"/>
      <c r="PC111" s="215"/>
      <c r="PD111" s="215"/>
      <c r="PE111" s="215"/>
      <c r="PF111" s="215"/>
      <c r="PG111" s="215"/>
      <c r="PH111" s="215"/>
      <c r="PI111" s="215"/>
      <c r="PJ111" s="215"/>
      <c r="PK111" s="215"/>
      <c r="PL111" s="215"/>
      <c r="PM111" s="215"/>
      <c r="PN111" s="215"/>
      <c r="PO111" s="215"/>
      <c r="PP111" s="215"/>
      <c r="PQ111" s="215"/>
      <c r="PR111" s="215"/>
      <c r="PS111" s="215"/>
      <c r="PT111" s="215"/>
      <c r="PU111" s="215"/>
      <c r="PV111" s="215"/>
      <c r="PW111" s="215"/>
      <c r="PX111" s="215"/>
      <c r="PY111" s="215"/>
      <c r="PZ111" s="215"/>
      <c r="QA111" s="215"/>
      <c r="QB111" s="215"/>
      <c r="QC111" s="215"/>
      <c r="QD111" s="215"/>
      <c r="QE111" s="215"/>
      <c r="QF111" s="215"/>
      <c r="QQ111" s="12"/>
      <c r="QR111" s="7"/>
    </row>
    <row r="112" spans="3:465" ht="5.0999999999999996" customHeight="1" x14ac:dyDescent="0.3">
      <c r="C112" s="11"/>
      <c r="D112" s="13"/>
      <c r="G112" s="209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210"/>
      <c r="AI112" s="210"/>
      <c r="AJ112" s="210"/>
      <c r="AK112" s="210"/>
      <c r="AL112" s="210"/>
      <c r="AM112" s="210"/>
      <c r="AN112" s="210"/>
      <c r="AO112" s="210"/>
      <c r="AP112" s="210"/>
      <c r="AQ112" s="210"/>
      <c r="AR112" s="210"/>
      <c r="AS112" s="210"/>
      <c r="AT112" s="210"/>
      <c r="AU112" s="211"/>
      <c r="AV112" s="209"/>
      <c r="AW112" s="210"/>
      <c r="AX112" s="210"/>
      <c r="AY112" s="210"/>
      <c r="AZ112" s="211"/>
      <c r="BC112" s="209"/>
      <c r="BD112" s="210"/>
      <c r="BE112" s="210"/>
      <c r="BF112" s="210"/>
      <c r="BG112" s="210"/>
      <c r="BH112" s="210"/>
      <c r="BI112" s="210"/>
      <c r="BJ112" s="210"/>
      <c r="BK112" s="210"/>
      <c r="BL112" s="210"/>
      <c r="BM112" s="210"/>
      <c r="BN112" s="210"/>
      <c r="BO112" s="210"/>
      <c r="BP112" s="210"/>
      <c r="BQ112" s="210"/>
      <c r="BR112" s="210"/>
      <c r="BS112" s="210"/>
      <c r="BT112" s="210"/>
      <c r="BU112" s="210"/>
      <c r="BV112" s="210"/>
      <c r="BW112" s="210"/>
      <c r="BX112" s="210"/>
      <c r="BY112" s="210"/>
      <c r="BZ112" s="210"/>
      <c r="CA112" s="210"/>
      <c r="CB112" s="210"/>
      <c r="CC112" s="210"/>
      <c r="CD112" s="210"/>
      <c r="CE112" s="210"/>
      <c r="CF112" s="210"/>
      <c r="CG112" s="210"/>
      <c r="CH112" s="210"/>
      <c r="CI112" s="210"/>
      <c r="CJ112" s="210"/>
      <c r="CK112" s="210"/>
      <c r="CL112" s="210"/>
      <c r="CM112" s="210"/>
      <c r="CN112" s="210"/>
      <c r="CO112" s="210"/>
      <c r="CP112" s="210"/>
      <c r="CQ112" s="211"/>
      <c r="CR112" s="209"/>
      <c r="CS112" s="210"/>
      <c r="CT112" s="210"/>
      <c r="CU112" s="210"/>
      <c r="CV112" s="211"/>
      <c r="CY112" s="209"/>
      <c r="CZ112" s="210"/>
      <c r="DA112" s="210"/>
      <c r="DB112" s="210"/>
      <c r="DC112" s="210"/>
      <c r="DD112" s="210"/>
      <c r="DE112" s="210"/>
      <c r="DF112" s="210"/>
      <c r="DG112" s="210"/>
      <c r="DH112" s="210"/>
      <c r="DI112" s="210"/>
      <c r="DJ112" s="210"/>
      <c r="DK112" s="210"/>
      <c r="DL112" s="210"/>
      <c r="DM112" s="210"/>
      <c r="DN112" s="210"/>
      <c r="DO112" s="210"/>
      <c r="DP112" s="210"/>
      <c r="DQ112" s="210"/>
      <c r="DR112" s="210"/>
      <c r="DS112" s="210"/>
      <c r="DT112" s="210"/>
      <c r="DU112" s="210"/>
      <c r="DV112" s="210"/>
      <c r="DW112" s="210"/>
      <c r="DX112" s="210"/>
      <c r="DY112" s="210"/>
      <c r="DZ112" s="210"/>
      <c r="EA112" s="210"/>
      <c r="EB112" s="210"/>
      <c r="EC112" s="210"/>
      <c r="ED112" s="210"/>
      <c r="EE112" s="210"/>
      <c r="EF112" s="210"/>
      <c r="EG112" s="210"/>
      <c r="EH112" s="210"/>
      <c r="EI112" s="210"/>
      <c r="EJ112" s="210"/>
      <c r="EK112" s="210"/>
      <c r="EL112" s="210"/>
      <c r="EM112" s="211"/>
      <c r="EN112" s="209"/>
      <c r="EO112" s="210"/>
      <c r="EP112" s="210"/>
      <c r="EQ112" s="210"/>
      <c r="ER112" s="211"/>
      <c r="EU112" s="209"/>
      <c r="EV112" s="210"/>
      <c r="EW112" s="210"/>
      <c r="EX112" s="210"/>
      <c r="EY112" s="210"/>
      <c r="EZ112" s="210"/>
      <c r="FA112" s="210"/>
      <c r="FB112" s="210"/>
      <c r="FC112" s="210"/>
      <c r="FD112" s="210"/>
      <c r="FE112" s="210"/>
      <c r="FF112" s="210"/>
      <c r="FG112" s="210"/>
      <c r="FH112" s="210"/>
      <c r="FI112" s="210"/>
      <c r="FJ112" s="210"/>
      <c r="FK112" s="210"/>
      <c r="FL112" s="210"/>
      <c r="FM112" s="210"/>
      <c r="FN112" s="210"/>
      <c r="FO112" s="210"/>
      <c r="FP112" s="210"/>
      <c r="FQ112" s="210"/>
      <c r="FR112" s="210"/>
      <c r="FS112" s="210"/>
      <c r="FT112" s="210"/>
      <c r="FU112" s="210"/>
      <c r="FV112" s="210"/>
      <c r="FW112" s="210"/>
      <c r="FX112" s="210"/>
      <c r="FY112" s="210"/>
      <c r="FZ112" s="210"/>
      <c r="GA112" s="210"/>
      <c r="GB112" s="210"/>
      <c r="GC112" s="210"/>
      <c r="GD112" s="210"/>
      <c r="GE112" s="210"/>
      <c r="GF112" s="210"/>
      <c r="GG112" s="210"/>
      <c r="GH112" s="210"/>
      <c r="GI112" s="211"/>
      <c r="GJ112" s="209"/>
      <c r="GK112" s="210"/>
      <c r="GL112" s="210"/>
      <c r="GM112" s="210"/>
      <c r="GN112" s="211"/>
      <c r="GQ112" s="209"/>
      <c r="GR112" s="210"/>
      <c r="GS112" s="210"/>
      <c r="GT112" s="210"/>
      <c r="GU112" s="210"/>
      <c r="GV112" s="210"/>
      <c r="GW112" s="210"/>
      <c r="GX112" s="210"/>
      <c r="GY112" s="210"/>
      <c r="GZ112" s="210"/>
      <c r="HA112" s="210"/>
      <c r="HB112" s="210"/>
      <c r="HC112" s="210"/>
      <c r="HD112" s="210"/>
      <c r="HE112" s="210"/>
      <c r="HF112" s="210"/>
      <c r="HG112" s="210"/>
      <c r="HH112" s="210"/>
      <c r="HI112" s="210"/>
      <c r="HJ112" s="210"/>
      <c r="HK112" s="210"/>
      <c r="HL112" s="210"/>
      <c r="HM112" s="210"/>
      <c r="HN112" s="210"/>
      <c r="HO112" s="210"/>
      <c r="HP112" s="210"/>
      <c r="HQ112" s="210"/>
      <c r="HR112" s="210"/>
      <c r="HS112" s="210"/>
      <c r="HT112" s="210"/>
      <c r="HU112" s="210"/>
      <c r="HV112" s="210"/>
      <c r="HW112" s="210"/>
      <c r="HX112" s="210"/>
      <c r="HY112" s="210"/>
      <c r="HZ112" s="210"/>
      <c r="IA112" s="210"/>
      <c r="IB112" s="210"/>
      <c r="IC112" s="210"/>
      <c r="ID112" s="210"/>
      <c r="IE112" s="211"/>
      <c r="IF112" s="209"/>
      <c r="IG112" s="210"/>
      <c r="IH112" s="210"/>
      <c r="II112" s="210"/>
      <c r="IJ112" s="211"/>
      <c r="IS112" s="187"/>
      <c r="IT112" s="188"/>
      <c r="IU112" s="188"/>
      <c r="IV112" s="188"/>
      <c r="IW112" s="188"/>
      <c r="IX112" s="188"/>
      <c r="IY112" s="188"/>
      <c r="IZ112" s="188"/>
      <c r="JA112" s="188"/>
      <c r="JB112" s="188"/>
      <c r="JC112" s="188"/>
      <c r="JD112" s="188"/>
      <c r="JE112" s="188"/>
      <c r="JF112" s="188"/>
      <c r="JG112" s="188"/>
      <c r="JH112" s="188"/>
      <c r="JI112" s="188"/>
      <c r="JJ112" s="188"/>
      <c r="JK112" s="188"/>
      <c r="JL112" s="188"/>
      <c r="JM112" s="188"/>
      <c r="JN112" s="188"/>
      <c r="JO112" s="188"/>
      <c r="JP112" s="188"/>
      <c r="JQ112" s="188"/>
      <c r="JR112" s="188"/>
      <c r="JS112" s="188"/>
      <c r="JT112" s="188"/>
      <c r="JU112" s="188"/>
      <c r="JV112" s="188"/>
      <c r="JW112" s="188"/>
      <c r="JX112" s="188"/>
      <c r="JY112" s="188"/>
      <c r="JZ112" s="188"/>
      <c r="KA112" s="188"/>
      <c r="KB112" s="188"/>
      <c r="KC112" s="188"/>
      <c r="KD112" s="188"/>
      <c r="KE112" s="188"/>
      <c r="KF112" s="189"/>
      <c r="KG112" s="187"/>
      <c r="KH112" s="188"/>
      <c r="KI112" s="188"/>
      <c r="KJ112" s="188"/>
      <c r="KK112" s="189"/>
      <c r="KQ112" s="187"/>
      <c r="KR112" s="188"/>
      <c r="KS112" s="188"/>
      <c r="KT112" s="188"/>
      <c r="KU112" s="188"/>
      <c r="KV112" s="188"/>
      <c r="KW112" s="188"/>
      <c r="KX112" s="188"/>
      <c r="KY112" s="188"/>
      <c r="KZ112" s="188"/>
      <c r="LA112" s="188"/>
      <c r="LB112" s="188"/>
      <c r="LC112" s="188"/>
      <c r="LD112" s="188"/>
      <c r="LE112" s="188"/>
      <c r="LF112" s="188"/>
      <c r="LG112" s="188"/>
      <c r="LH112" s="188"/>
      <c r="LI112" s="188"/>
      <c r="LJ112" s="188"/>
      <c r="LK112" s="188"/>
      <c r="LL112" s="188"/>
      <c r="LM112" s="188"/>
      <c r="LN112" s="188"/>
      <c r="LO112" s="188"/>
      <c r="LP112" s="188"/>
      <c r="LQ112" s="188"/>
      <c r="LR112" s="188"/>
      <c r="LS112" s="188"/>
      <c r="LT112" s="188"/>
      <c r="LU112" s="188"/>
      <c r="LV112" s="188"/>
      <c r="LW112" s="188"/>
      <c r="LX112" s="188"/>
      <c r="LY112" s="188"/>
      <c r="LZ112" s="188"/>
      <c r="MA112" s="188"/>
      <c r="MB112" s="188"/>
      <c r="MC112" s="188"/>
      <c r="MD112" s="189"/>
      <c r="ME112" s="187"/>
      <c r="MF112" s="188"/>
      <c r="MG112" s="188"/>
      <c r="MH112" s="188"/>
      <c r="MI112" s="189"/>
      <c r="MN112" s="187"/>
      <c r="MO112" s="188"/>
      <c r="MP112" s="188"/>
      <c r="MQ112" s="188"/>
      <c r="MR112" s="188"/>
      <c r="MS112" s="188"/>
      <c r="MT112" s="188"/>
      <c r="MU112" s="188"/>
      <c r="MV112" s="188"/>
      <c r="MW112" s="188"/>
      <c r="MX112" s="188"/>
      <c r="MY112" s="188"/>
      <c r="MZ112" s="188"/>
      <c r="NA112" s="188"/>
      <c r="NB112" s="188"/>
      <c r="NC112" s="188"/>
      <c r="ND112" s="188"/>
      <c r="NE112" s="188"/>
      <c r="NF112" s="188"/>
      <c r="NG112" s="188"/>
      <c r="NH112" s="188"/>
      <c r="NI112" s="188"/>
      <c r="NJ112" s="188"/>
      <c r="NK112" s="188"/>
      <c r="NL112" s="188"/>
      <c r="NM112" s="188"/>
      <c r="NN112" s="188"/>
      <c r="NO112" s="188"/>
      <c r="NP112" s="188"/>
      <c r="NQ112" s="188"/>
      <c r="NR112" s="188"/>
      <c r="NS112" s="188"/>
      <c r="NT112" s="188"/>
      <c r="NU112" s="188"/>
      <c r="NV112" s="188"/>
      <c r="NW112" s="188"/>
      <c r="NX112" s="188"/>
      <c r="NY112" s="188"/>
      <c r="NZ112" s="188"/>
      <c r="OA112" s="189"/>
      <c r="OB112" s="187"/>
      <c r="OC112" s="188"/>
      <c r="OD112" s="188"/>
      <c r="OE112" s="188"/>
      <c r="OF112" s="189"/>
      <c r="OM112" s="215"/>
      <c r="ON112" s="215"/>
      <c r="OO112" s="215"/>
      <c r="OP112" s="215"/>
      <c r="OQ112" s="215"/>
      <c r="OR112" s="215"/>
      <c r="OS112" s="215"/>
      <c r="OT112" s="215"/>
      <c r="OU112" s="215"/>
      <c r="OV112" s="215"/>
      <c r="OW112" s="215"/>
      <c r="OX112" s="215"/>
      <c r="OY112" s="215"/>
      <c r="OZ112" s="215"/>
      <c r="PA112" s="215"/>
      <c r="PB112" s="215"/>
      <c r="PC112" s="215"/>
      <c r="PD112" s="215"/>
      <c r="PE112" s="215"/>
      <c r="PF112" s="215"/>
      <c r="PG112" s="215"/>
      <c r="PH112" s="215"/>
      <c r="PI112" s="215"/>
      <c r="PJ112" s="215"/>
      <c r="PK112" s="215"/>
      <c r="PL112" s="215"/>
      <c r="PM112" s="215"/>
      <c r="PN112" s="215"/>
      <c r="PO112" s="215"/>
      <c r="PP112" s="215"/>
      <c r="PQ112" s="215"/>
      <c r="PR112" s="215"/>
      <c r="PS112" s="215"/>
      <c r="PT112" s="215"/>
      <c r="PU112" s="215"/>
      <c r="PV112" s="215"/>
      <c r="PW112" s="215"/>
      <c r="PX112" s="215"/>
      <c r="PY112" s="215"/>
      <c r="PZ112" s="215"/>
      <c r="QA112" s="215"/>
      <c r="QB112" s="215"/>
      <c r="QC112" s="215"/>
      <c r="QD112" s="215"/>
      <c r="QE112" s="215"/>
      <c r="QF112" s="215"/>
      <c r="QQ112" s="12"/>
      <c r="QR112" s="7"/>
      <c r="QS112" s="3"/>
      <c r="QT112" s="3"/>
      <c r="QU112" s="3"/>
      <c r="QV112" s="3"/>
      <c r="QW112" s="2"/>
    </row>
    <row r="113" spans="3:465" ht="5.0999999999999996" customHeight="1" x14ac:dyDescent="0.3">
      <c r="C113" s="11"/>
      <c r="D113" s="13"/>
      <c r="G113" s="212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4"/>
      <c r="AV113" s="212"/>
      <c r="AW113" s="213"/>
      <c r="AX113" s="213"/>
      <c r="AY113" s="213"/>
      <c r="AZ113" s="214"/>
      <c r="BC113" s="212"/>
      <c r="BD113" s="213"/>
      <c r="BE113" s="213"/>
      <c r="BF113" s="213"/>
      <c r="BG113" s="213"/>
      <c r="BH113" s="213"/>
      <c r="BI113" s="213"/>
      <c r="BJ113" s="213"/>
      <c r="BK113" s="213"/>
      <c r="BL113" s="213"/>
      <c r="BM113" s="213"/>
      <c r="BN113" s="213"/>
      <c r="BO113" s="213"/>
      <c r="BP113" s="213"/>
      <c r="BQ113" s="213"/>
      <c r="BR113" s="213"/>
      <c r="BS113" s="213"/>
      <c r="BT113" s="213"/>
      <c r="BU113" s="213"/>
      <c r="BV113" s="213"/>
      <c r="BW113" s="213"/>
      <c r="BX113" s="213"/>
      <c r="BY113" s="213"/>
      <c r="BZ113" s="213"/>
      <c r="CA113" s="213"/>
      <c r="CB113" s="213"/>
      <c r="CC113" s="213"/>
      <c r="CD113" s="213"/>
      <c r="CE113" s="213"/>
      <c r="CF113" s="213"/>
      <c r="CG113" s="213"/>
      <c r="CH113" s="213"/>
      <c r="CI113" s="213"/>
      <c r="CJ113" s="213"/>
      <c r="CK113" s="213"/>
      <c r="CL113" s="213"/>
      <c r="CM113" s="213"/>
      <c r="CN113" s="213"/>
      <c r="CO113" s="213"/>
      <c r="CP113" s="213"/>
      <c r="CQ113" s="214"/>
      <c r="CR113" s="212"/>
      <c r="CS113" s="213"/>
      <c r="CT113" s="213"/>
      <c r="CU113" s="213"/>
      <c r="CV113" s="214"/>
      <c r="CY113" s="212"/>
      <c r="CZ113" s="213"/>
      <c r="DA113" s="213"/>
      <c r="DB113" s="213"/>
      <c r="DC113" s="213"/>
      <c r="DD113" s="213"/>
      <c r="DE113" s="213"/>
      <c r="DF113" s="213"/>
      <c r="DG113" s="213"/>
      <c r="DH113" s="213"/>
      <c r="DI113" s="213"/>
      <c r="DJ113" s="213"/>
      <c r="DK113" s="213"/>
      <c r="DL113" s="213"/>
      <c r="DM113" s="213"/>
      <c r="DN113" s="213"/>
      <c r="DO113" s="213"/>
      <c r="DP113" s="213"/>
      <c r="DQ113" s="213"/>
      <c r="DR113" s="213"/>
      <c r="DS113" s="213"/>
      <c r="DT113" s="213"/>
      <c r="DU113" s="213"/>
      <c r="DV113" s="213"/>
      <c r="DW113" s="213"/>
      <c r="DX113" s="213"/>
      <c r="DY113" s="213"/>
      <c r="DZ113" s="213"/>
      <c r="EA113" s="213"/>
      <c r="EB113" s="213"/>
      <c r="EC113" s="213"/>
      <c r="ED113" s="213"/>
      <c r="EE113" s="213"/>
      <c r="EF113" s="213"/>
      <c r="EG113" s="213"/>
      <c r="EH113" s="213"/>
      <c r="EI113" s="213"/>
      <c r="EJ113" s="213"/>
      <c r="EK113" s="213"/>
      <c r="EL113" s="213"/>
      <c r="EM113" s="214"/>
      <c r="EN113" s="212"/>
      <c r="EO113" s="213"/>
      <c r="EP113" s="213"/>
      <c r="EQ113" s="213"/>
      <c r="ER113" s="214"/>
      <c r="EU113" s="212"/>
      <c r="EV113" s="213"/>
      <c r="EW113" s="213"/>
      <c r="EX113" s="213"/>
      <c r="EY113" s="213"/>
      <c r="EZ113" s="213"/>
      <c r="FA113" s="213"/>
      <c r="FB113" s="213"/>
      <c r="FC113" s="213"/>
      <c r="FD113" s="213"/>
      <c r="FE113" s="213"/>
      <c r="FF113" s="213"/>
      <c r="FG113" s="213"/>
      <c r="FH113" s="213"/>
      <c r="FI113" s="213"/>
      <c r="FJ113" s="213"/>
      <c r="FK113" s="213"/>
      <c r="FL113" s="213"/>
      <c r="FM113" s="213"/>
      <c r="FN113" s="213"/>
      <c r="FO113" s="213"/>
      <c r="FP113" s="213"/>
      <c r="FQ113" s="213"/>
      <c r="FR113" s="213"/>
      <c r="FS113" s="213"/>
      <c r="FT113" s="213"/>
      <c r="FU113" s="213"/>
      <c r="FV113" s="213"/>
      <c r="FW113" s="213"/>
      <c r="FX113" s="213"/>
      <c r="FY113" s="213"/>
      <c r="FZ113" s="213"/>
      <c r="GA113" s="213"/>
      <c r="GB113" s="213"/>
      <c r="GC113" s="213"/>
      <c r="GD113" s="213"/>
      <c r="GE113" s="213"/>
      <c r="GF113" s="213"/>
      <c r="GG113" s="213"/>
      <c r="GH113" s="213"/>
      <c r="GI113" s="214"/>
      <c r="GJ113" s="212"/>
      <c r="GK113" s="213"/>
      <c r="GL113" s="213"/>
      <c r="GM113" s="213"/>
      <c r="GN113" s="214"/>
      <c r="GQ113" s="212"/>
      <c r="GR113" s="213"/>
      <c r="GS113" s="213"/>
      <c r="GT113" s="213"/>
      <c r="GU113" s="213"/>
      <c r="GV113" s="213"/>
      <c r="GW113" s="213"/>
      <c r="GX113" s="213"/>
      <c r="GY113" s="213"/>
      <c r="GZ113" s="213"/>
      <c r="HA113" s="213"/>
      <c r="HB113" s="213"/>
      <c r="HC113" s="213"/>
      <c r="HD113" s="213"/>
      <c r="HE113" s="213"/>
      <c r="HF113" s="213"/>
      <c r="HG113" s="213"/>
      <c r="HH113" s="213"/>
      <c r="HI113" s="213"/>
      <c r="HJ113" s="213"/>
      <c r="HK113" s="213"/>
      <c r="HL113" s="213"/>
      <c r="HM113" s="213"/>
      <c r="HN113" s="213"/>
      <c r="HO113" s="213"/>
      <c r="HP113" s="213"/>
      <c r="HQ113" s="213"/>
      <c r="HR113" s="213"/>
      <c r="HS113" s="213"/>
      <c r="HT113" s="213"/>
      <c r="HU113" s="213"/>
      <c r="HV113" s="213"/>
      <c r="HW113" s="213"/>
      <c r="HX113" s="213"/>
      <c r="HY113" s="213"/>
      <c r="HZ113" s="213"/>
      <c r="IA113" s="213"/>
      <c r="IB113" s="213"/>
      <c r="IC113" s="213"/>
      <c r="ID113" s="213"/>
      <c r="IE113" s="214"/>
      <c r="IF113" s="212"/>
      <c r="IG113" s="213"/>
      <c r="IH113" s="213"/>
      <c r="II113" s="213"/>
      <c r="IJ113" s="214"/>
      <c r="IS113" s="187"/>
      <c r="IT113" s="188"/>
      <c r="IU113" s="188"/>
      <c r="IV113" s="188"/>
      <c r="IW113" s="188"/>
      <c r="IX113" s="188"/>
      <c r="IY113" s="188"/>
      <c r="IZ113" s="188"/>
      <c r="JA113" s="188"/>
      <c r="JB113" s="188"/>
      <c r="JC113" s="188"/>
      <c r="JD113" s="188"/>
      <c r="JE113" s="188"/>
      <c r="JF113" s="188"/>
      <c r="JG113" s="188"/>
      <c r="JH113" s="188"/>
      <c r="JI113" s="188"/>
      <c r="JJ113" s="188"/>
      <c r="JK113" s="188"/>
      <c r="JL113" s="188"/>
      <c r="JM113" s="188"/>
      <c r="JN113" s="188"/>
      <c r="JO113" s="188"/>
      <c r="JP113" s="188"/>
      <c r="JQ113" s="188"/>
      <c r="JR113" s="188"/>
      <c r="JS113" s="188"/>
      <c r="JT113" s="188"/>
      <c r="JU113" s="188"/>
      <c r="JV113" s="188"/>
      <c r="JW113" s="188"/>
      <c r="JX113" s="188"/>
      <c r="JY113" s="188"/>
      <c r="JZ113" s="188"/>
      <c r="KA113" s="188"/>
      <c r="KB113" s="188"/>
      <c r="KC113" s="188"/>
      <c r="KD113" s="188"/>
      <c r="KE113" s="188"/>
      <c r="KF113" s="189"/>
      <c r="KG113" s="187"/>
      <c r="KH113" s="188"/>
      <c r="KI113" s="188"/>
      <c r="KJ113" s="188"/>
      <c r="KK113" s="189"/>
      <c r="KQ113" s="187"/>
      <c r="KR113" s="188"/>
      <c r="KS113" s="188"/>
      <c r="KT113" s="188"/>
      <c r="KU113" s="188"/>
      <c r="KV113" s="188"/>
      <c r="KW113" s="188"/>
      <c r="KX113" s="188"/>
      <c r="KY113" s="188"/>
      <c r="KZ113" s="188"/>
      <c r="LA113" s="188"/>
      <c r="LB113" s="188"/>
      <c r="LC113" s="188"/>
      <c r="LD113" s="188"/>
      <c r="LE113" s="188"/>
      <c r="LF113" s="188"/>
      <c r="LG113" s="188"/>
      <c r="LH113" s="188"/>
      <c r="LI113" s="188"/>
      <c r="LJ113" s="188"/>
      <c r="LK113" s="188"/>
      <c r="LL113" s="188"/>
      <c r="LM113" s="188"/>
      <c r="LN113" s="188"/>
      <c r="LO113" s="188"/>
      <c r="LP113" s="188"/>
      <c r="LQ113" s="188"/>
      <c r="LR113" s="188"/>
      <c r="LS113" s="188"/>
      <c r="LT113" s="188"/>
      <c r="LU113" s="188"/>
      <c r="LV113" s="188"/>
      <c r="LW113" s="188"/>
      <c r="LX113" s="188"/>
      <c r="LY113" s="188"/>
      <c r="LZ113" s="188"/>
      <c r="MA113" s="188"/>
      <c r="MB113" s="188"/>
      <c r="MC113" s="188"/>
      <c r="MD113" s="189"/>
      <c r="ME113" s="187"/>
      <c r="MF113" s="188"/>
      <c r="MG113" s="188"/>
      <c r="MH113" s="188"/>
      <c r="MI113" s="189"/>
      <c r="MN113" s="187"/>
      <c r="MO113" s="188"/>
      <c r="MP113" s="188"/>
      <c r="MQ113" s="188"/>
      <c r="MR113" s="188"/>
      <c r="MS113" s="188"/>
      <c r="MT113" s="188"/>
      <c r="MU113" s="188"/>
      <c r="MV113" s="188"/>
      <c r="MW113" s="188"/>
      <c r="MX113" s="188"/>
      <c r="MY113" s="188"/>
      <c r="MZ113" s="188"/>
      <c r="NA113" s="188"/>
      <c r="NB113" s="188"/>
      <c r="NC113" s="188"/>
      <c r="ND113" s="188"/>
      <c r="NE113" s="188"/>
      <c r="NF113" s="188"/>
      <c r="NG113" s="188"/>
      <c r="NH113" s="188"/>
      <c r="NI113" s="188"/>
      <c r="NJ113" s="188"/>
      <c r="NK113" s="188"/>
      <c r="NL113" s="188"/>
      <c r="NM113" s="188"/>
      <c r="NN113" s="188"/>
      <c r="NO113" s="188"/>
      <c r="NP113" s="188"/>
      <c r="NQ113" s="188"/>
      <c r="NR113" s="188"/>
      <c r="NS113" s="188"/>
      <c r="NT113" s="188"/>
      <c r="NU113" s="188"/>
      <c r="NV113" s="188"/>
      <c r="NW113" s="188"/>
      <c r="NX113" s="188"/>
      <c r="NY113" s="188"/>
      <c r="NZ113" s="188"/>
      <c r="OA113" s="189"/>
      <c r="OB113" s="187"/>
      <c r="OC113" s="188"/>
      <c r="OD113" s="188"/>
      <c r="OE113" s="188"/>
      <c r="OF113" s="189"/>
      <c r="OM113" s="215"/>
      <c r="ON113" s="215"/>
      <c r="OO113" s="215"/>
      <c r="OP113" s="215"/>
      <c r="OQ113" s="215"/>
      <c r="OR113" s="215"/>
      <c r="OS113" s="215"/>
      <c r="OT113" s="215"/>
      <c r="OU113" s="215"/>
      <c r="OV113" s="215"/>
      <c r="OW113" s="215"/>
      <c r="OX113" s="215"/>
      <c r="OY113" s="215"/>
      <c r="OZ113" s="215"/>
      <c r="PA113" s="215"/>
      <c r="PB113" s="215"/>
      <c r="PC113" s="215"/>
      <c r="PD113" s="215"/>
      <c r="PE113" s="215"/>
      <c r="PF113" s="215"/>
      <c r="PG113" s="215"/>
      <c r="PH113" s="215"/>
      <c r="PI113" s="215"/>
      <c r="PJ113" s="215"/>
      <c r="PK113" s="215"/>
      <c r="PL113" s="215"/>
      <c r="PM113" s="215"/>
      <c r="PN113" s="215"/>
      <c r="PO113" s="215"/>
      <c r="PP113" s="215"/>
      <c r="PQ113" s="215"/>
      <c r="PR113" s="215"/>
      <c r="PS113" s="215"/>
      <c r="PT113" s="215"/>
      <c r="PU113" s="215"/>
      <c r="PV113" s="215"/>
      <c r="PW113" s="215"/>
      <c r="PX113" s="215"/>
      <c r="PY113" s="215"/>
      <c r="PZ113" s="215"/>
      <c r="QA113" s="215"/>
      <c r="QB113" s="215"/>
      <c r="QC113" s="215"/>
      <c r="QD113" s="215"/>
      <c r="QE113" s="215"/>
      <c r="QF113" s="215"/>
      <c r="QQ113" s="12"/>
      <c r="QR113" s="7"/>
      <c r="QS113" s="3"/>
      <c r="QT113" s="3"/>
      <c r="QU113" s="3"/>
      <c r="QV113" s="3"/>
      <c r="QW113" s="2"/>
    </row>
    <row r="114" spans="3:465" ht="5.0999999999999996" customHeight="1" x14ac:dyDescent="0.3">
      <c r="C114" s="11"/>
      <c r="D114" s="13"/>
      <c r="AD114" s="25"/>
      <c r="BZ114" s="25"/>
      <c r="DV114" s="25"/>
      <c r="FR114" s="16"/>
      <c r="HN114" s="16"/>
      <c r="IS114" s="187"/>
      <c r="IT114" s="188"/>
      <c r="IU114" s="188"/>
      <c r="IV114" s="188"/>
      <c r="IW114" s="188"/>
      <c r="IX114" s="188"/>
      <c r="IY114" s="188"/>
      <c r="IZ114" s="188"/>
      <c r="JA114" s="188"/>
      <c r="JB114" s="188"/>
      <c r="JC114" s="188"/>
      <c r="JD114" s="188"/>
      <c r="JE114" s="188"/>
      <c r="JF114" s="188"/>
      <c r="JG114" s="188"/>
      <c r="JH114" s="188"/>
      <c r="JI114" s="188"/>
      <c r="JJ114" s="188"/>
      <c r="JK114" s="188"/>
      <c r="JL114" s="188"/>
      <c r="JM114" s="188"/>
      <c r="JN114" s="188"/>
      <c r="JO114" s="188"/>
      <c r="JP114" s="188"/>
      <c r="JQ114" s="188"/>
      <c r="JR114" s="188"/>
      <c r="JS114" s="188"/>
      <c r="JT114" s="188"/>
      <c r="JU114" s="188"/>
      <c r="JV114" s="188"/>
      <c r="JW114" s="188"/>
      <c r="JX114" s="188"/>
      <c r="JY114" s="188"/>
      <c r="JZ114" s="188"/>
      <c r="KA114" s="188"/>
      <c r="KB114" s="188"/>
      <c r="KC114" s="188"/>
      <c r="KD114" s="188"/>
      <c r="KE114" s="188"/>
      <c r="KF114" s="189"/>
      <c r="KG114" s="187"/>
      <c r="KH114" s="188"/>
      <c r="KI114" s="188"/>
      <c r="KJ114" s="188"/>
      <c r="KK114" s="189"/>
      <c r="KQ114" s="187"/>
      <c r="KR114" s="188"/>
      <c r="KS114" s="188"/>
      <c r="KT114" s="188"/>
      <c r="KU114" s="188"/>
      <c r="KV114" s="188"/>
      <c r="KW114" s="188"/>
      <c r="KX114" s="188"/>
      <c r="KY114" s="188"/>
      <c r="KZ114" s="188"/>
      <c r="LA114" s="188"/>
      <c r="LB114" s="188"/>
      <c r="LC114" s="188"/>
      <c r="LD114" s="188"/>
      <c r="LE114" s="188"/>
      <c r="LF114" s="188"/>
      <c r="LG114" s="188"/>
      <c r="LH114" s="188"/>
      <c r="LI114" s="188"/>
      <c r="LJ114" s="188"/>
      <c r="LK114" s="188"/>
      <c r="LL114" s="188"/>
      <c r="LM114" s="188"/>
      <c r="LN114" s="188"/>
      <c r="LO114" s="188"/>
      <c r="LP114" s="188"/>
      <c r="LQ114" s="188"/>
      <c r="LR114" s="188"/>
      <c r="LS114" s="188"/>
      <c r="LT114" s="188"/>
      <c r="LU114" s="188"/>
      <c r="LV114" s="188"/>
      <c r="LW114" s="188"/>
      <c r="LX114" s="188"/>
      <c r="LY114" s="188"/>
      <c r="LZ114" s="188"/>
      <c r="MA114" s="188"/>
      <c r="MB114" s="188"/>
      <c r="MC114" s="188"/>
      <c r="MD114" s="189"/>
      <c r="ME114" s="187"/>
      <c r="MF114" s="188"/>
      <c r="MG114" s="188"/>
      <c r="MH114" s="188"/>
      <c r="MI114" s="189"/>
      <c r="MN114" s="187"/>
      <c r="MO114" s="188"/>
      <c r="MP114" s="188"/>
      <c r="MQ114" s="188"/>
      <c r="MR114" s="188"/>
      <c r="MS114" s="188"/>
      <c r="MT114" s="188"/>
      <c r="MU114" s="188"/>
      <c r="MV114" s="188"/>
      <c r="MW114" s="188"/>
      <c r="MX114" s="188"/>
      <c r="MY114" s="188"/>
      <c r="MZ114" s="188"/>
      <c r="NA114" s="188"/>
      <c r="NB114" s="188"/>
      <c r="NC114" s="188"/>
      <c r="ND114" s="188"/>
      <c r="NE114" s="188"/>
      <c r="NF114" s="188"/>
      <c r="NG114" s="188"/>
      <c r="NH114" s="188"/>
      <c r="NI114" s="188"/>
      <c r="NJ114" s="188"/>
      <c r="NK114" s="188"/>
      <c r="NL114" s="188"/>
      <c r="NM114" s="188"/>
      <c r="NN114" s="188"/>
      <c r="NO114" s="188"/>
      <c r="NP114" s="188"/>
      <c r="NQ114" s="188"/>
      <c r="NR114" s="188"/>
      <c r="NS114" s="188"/>
      <c r="NT114" s="188"/>
      <c r="NU114" s="188"/>
      <c r="NV114" s="188"/>
      <c r="NW114" s="188"/>
      <c r="NX114" s="188"/>
      <c r="NY114" s="188"/>
      <c r="NZ114" s="188"/>
      <c r="OA114" s="189"/>
      <c r="OB114" s="187"/>
      <c r="OC114" s="188"/>
      <c r="OD114" s="188"/>
      <c r="OE114" s="188"/>
      <c r="OF114" s="189"/>
      <c r="OM114" s="215"/>
      <c r="ON114" s="215"/>
      <c r="OO114" s="215"/>
      <c r="OP114" s="215"/>
      <c r="OQ114" s="215"/>
      <c r="OR114" s="215"/>
      <c r="OS114" s="215"/>
      <c r="OT114" s="215"/>
      <c r="OU114" s="215"/>
      <c r="OV114" s="215"/>
      <c r="OW114" s="215"/>
      <c r="OX114" s="215"/>
      <c r="OY114" s="215"/>
      <c r="OZ114" s="215"/>
      <c r="PA114" s="215"/>
      <c r="PB114" s="215"/>
      <c r="PC114" s="215"/>
      <c r="PD114" s="215"/>
      <c r="PE114" s="215"/>
      <c r="PF114" s="215"/>
      <c r="PG114" s="215"/>
      <c r="PH114" s="215"/>
      <c r="PI114" s="215"/>
      <c r="PJ114" s="215"/>
      <c r="PK114" s="215"/>
      <c r="PL114" s="215"/>
      <c r="PM114" s="215"/>
      <c r="PN114" s="215"/>
      <c r="PO114" s="215"/>
      <c r="PP114" s="215"/>
      <c r="PQ114" s="215"/>
      <c r="PR114" s="215"/>
      <c r="PS114" s="215"/>
      <c r="PT114" s="215"/>
      <c r="PU114" s="215"/>
      <c r="PV114" s="215"/>
      <c r="PW114" s="215"/>
      <c r="PX114" s="215"/>
      <c r="PY114" s="215"/>
      <c r="PZ114" s="215"/>
      <c r="QA114" s="215"/>
      <c r="QB114" s="215"/>
      <c r="QC114" s="215"/>
      <c r="QD114" s="215"/>
      <c r="QE114" s="215"/>
      <c r="QF114" s="215"/>
      <c r="QQ114" s="12"/>
      <c r="QR114" s="7"/>
      <c r="QS114" s="3"/>
      <c r="QT114" s="3"/>
      <c r="QU114" s="3"/>
      <c r="QV114" s="3"/>
      <c r="QW114" s="2"/>
    </row>
    <row r="115" spans="3:465" ht="5.0999999999999996" customHeight="1" x14ac:dyDescent="0.3">
      <c r="C115" s="11"/>
      <c r="D115" s="13"/>
      <c r="AD115" s="24"/>
      <c r="BZ115" s="24"/>
      <c r="DV115" s="24"/>
      <c r="FR115" s="15"/>
      <c r="FS115" s="9"/>
      <c r="HN115" s="15"/>
      <c r="HO115" s="9"/>
      <c r="IS115" s="187"/>
      <c r="IT115" s="188"/>
      <c r="IU115" s="188"/>
      <c r="IV115" s="188"/>
      <c r="IW115" s="188"/>
      <c r="IX115" s="188"/>
      <c r="IY115" s="188"/>
      <c r="IZ115" s="188"/>
      <c r="JA115" s="188"/>
      <c r="JB115" s="188"/>
      <c r="JC115" s="188"/>
      <c r="JD115" s="188"/>
      <c r="JE115" s="188"/>
      <c r="JF115" s="188"/>
      <c r="JG115" s="188"/>
      <c r="JH115" s="188"/>
      <c r="JI115" s="188"/>
      <c r="JJ115" s="188"/>
      <c r="JK115" s="188"/>
      <c r="JL115" s="188"/>
      <c r="JM115" s="188"/>
      <c r="JN115" s="188"/>
      <c r="JO115" s="188"/>
      <c r="JP115" s="188"/>
      <c r="JQ115" s="188"/>
      <c r="JR115" s="188"/>
      <c r="JS115" s="188"/>
      <c r="JT115" s="188"/>
      <c r="JU115" s="188"/>
      <c r="JV115" s="188"/>
      <c r="JW115" s="188"/>
      <c r="JX115" s="188"/>
      <c r="JY115" s="188"/>
      <c r="JZ115" s="188"/>
      <c r="KA115" s="188"/>
      <c r="KB115" s="188"/>
      <c r="KC115" s="188"/>
      <c r="KD115" s="188"/>
      <c r="KE115" s="188"/>
      <c r="KF115" s="189"/>
      <c r="KG115" s="187"/>
      <c r="KH115" s="188"/>
      <c r="KI115" s="188"/>
      <c r="KJ115" s="188"/>
      <c r="KK115" s="189"/>
      <c r="KQ115" s="187"/>
      <c r="KR115" s="188"/>
      <c r="KS115" s="188"/>
      <c r="KT115" s="188"/>
      <c r="KU115" s="188"/>
      <c r="KV115" s="188"/>
      <c r="KW115" s="188"/>
      <c r="KX115" s="188"/>
      <c r="KY115" s="188"/>
      <c r="KZ115" s="188"/>
      <c r="LA115" s="188"/>
      <c r="LB115" s="188"/>
      <c r="LC115" s="188"/>
      <c r="LD115" s="188"/>
      <c r="LE115" s="188"/>
      <c r="LF115" s="188"/>
      <c r="LG115" s="188"/>
      <c r="LH115" s="188"/>
      <c r="LI115" s="188"/>
      <c r="LJ115" s="188"/>
      <c r="LK115" s="188"/>
      <c r="LL115" s="188"/>
      <c r="LM115" s="188"/>
      <c r="LN115" s="188"/>
      <c r="LO115" s="188"/>
      <c r="LP115" s="188"/>
      <c r="LQ115" s="188"/>
      <c r="LR115" s="188"/>
      <c r="LS115" s="188"/>
      <c r="LT115" s="188"/>
      <c r="LU115" s="188"/>
      <c r="LV115" s="188"/>
      <c r="LW115" s="188"/>
      <c r="LX115" s="188"/>
      <c r="LY115" s="188"/>
      <c r="LZ115" s="188"/>
      <c r="MA115" s="188"/>
      <c r="MB115" s="188"/>
      <c r="MC115" s="188"/>
      <c r="MD115" s="189"/>
      <c r="ME115" s="187"/>
      <c r="MF115" s="188"/>
      <c r="MG115" s="188"/>
      <c r="MH115" s="188"/>
      <c r="MI115" s="189"/>
      <c r="MN115" s="187"/>
      <c r="MO115" s="188"/>
      <c r="MP115" s="188"/>
      <c r="MQ115" s="188"/>
      <c r="MR115" s="188"/>
      <c r="MS115" s="188"/>
      <c r="MT115" s="188"/>
      <c r="MU115" s="188"/>
      <c r="MV115" s="188"/>
      <c r="MW115" s="188"/>
      <c r="MX115" s="188"/>
      <c r="MY115" s="188"/>
      <c r="MZ115" s="188"/>
      <c r="NA115" s="188"/>
      <c r="NB115" s="188"/>
      <c r="NC115" s="188"/>
      <c r="ND115" s="188"/>
      <c r="NE115" s="188"/>
      <c r="NF115" s="188"/>
      <c r="NG115" s="188"/>
      <c r="NH115" s="188"/>
      <c r="NI115" s="188"/>
      <c r="NJ115" s="188"/>
      <c r="NK115" s="188"/>
      <c r="NL115" s="188"/>
      <c r="NM115" s="188"/>
      <c r="NN115" s="188"/>
      <c r="NO115" s="188"/>
      <c r="NP115" s="188"/>
      <c r="NQ115" s="188"/>
      <c r="NR115" s="188"/>
      <c r="NS115" s="188"/>
      <c r="NT115" s="188"/>
      <c r="NU115" s="188"/>
      <c r="NV115" s="188"/>
      <c r="NW115" s="188"/>
      <c r="NX115" s="188"/>
      <c r="NY115" s="188"/>
      <c r="NZ115" s="188"/>
      <c r="OA115" s="189"/>
      <c r="OB115" s="187"/>
      <c r="OC115" s="188"/>
      <c r="OD115" s="188"/>
      <c r="OE115" s="188"/>
      <c r="OF115" s="189"/>
      <c r="OM115" s="215"/>
      <c r="ON115" s="215"/>
      <c r="OO115" s="215"/>
      <c r="OP115" s="215"/>
      <c r="OQ115" s="215"/>
      <c r="OR115" s="215"/>
      <c r="OS115" s="215"/>
      <c r="OT115" s="215"/>
      <c r="OU115" s="215"/>
      <c r="OV115" s="215"/>
      <c r="OW115" s="215"/>
      <c r="OX115" s="215"/>
      <c r="OY115" s="215"/>
      <c r="OZ115" s="215"/>
      <c r="PA115" s="215"/>
      <c r="PB115" s="215"/>
      <c r="PC115" s="215"/>
      <c r="PD115" s="215"/>
      <c r="PE115" s="215"/>
      <c r="PF115" s="215"/>
      <c r="PG115" s="215"/>
      <c r="PH115" s="215"/>
      <c r="PI115" s="215"/>
      <c r="PJ115" s="215"/>
      <c r="PK115" s="215"/>
      <c r="PL115" s="215"/>
      <c r="PM115" s="215"/>
      <c r="PN115" s="215"/>
      <c r="PO115" s="215"/>
      <c r="PP115" s="215"/>
      <c r="PQ115" s="215"/>
      <c r="PR115" s="215"/>
      <c r="PS115" s="215"/>
      <c r="PT115" s="215"/>
      <c r="PU115" s="215"/>
      <c r="PV115" s="215"/>
      <c r="PW115" s="215"/>
      <c r="PX115" s="215"/>
      <c r="PY115" s="215"/>
      <c r="PZ115" s="215"/>
      <c r="QA115" s="215"/>
      <c r="QB115" s="215"/>
      <c r="QC115" s="215"/>
      <c r="QD115" s="215"/>
      <c r="QE115" s="215"/>
      <c r="QF115" s="215"/>
      <c r="QQ115" s="12"/>
      <c r="QR115" s="7"/>
      <c r="QS115" s="3"/>
      <c r="QT115" s="3"/>
      <c r="QU115" s="3"/>
      <c r="QV115" s="3"/>
      <c r="QW115" s="2"/>
    </row>
    <row r="116" spans="3:465" ht="5.0999999999999996" customHeight="1" x14ac:dyDescent="0.3">
      <c r="C116" s="11"/>
      <c r="D116" s="13"/>
      <c r="G116" s="184" t="s">
        <v>178</v>
      </c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6"/>
      <c r="AV116" s="184">
        <v>1</v>
      </c>
      <c r="AW116" s="185"/>
      <c r="AX116" s="185"/>
      <c r="AY116" s="185"/>
      <c r="AZ116" s="186"/>
      <c r="BC116" s="184" t="s">
        <v>186</v>
      </c>
      <c r="BD116" s="185"/>
      <c r="BE116" s="185"/>
      <c r="BF116" s="185"/>
      <c r="BG116" s="185"/>
      <c r="BH116" s="185"/>
      <c r="BI116" s="185"/>
      <c r="BJ116" s="185"/>
      <c r="BK116" s="185"/>
      <c r="BL116" s="185"/>
      <c r="BM116" s="185"/>
      <c r="BN116" s="185"/>
      <c r="BO116" s="185"/>
      <c r="BP116" s="185"/>
      <c r="BQ116" s="185"/>
      <c r="BR116" s="185"/>
      <c r="BS116" s="185"/>
      <c r="BT116" s="185"/>
      <c r="BU116" s="185"/>
      <c r="BV116" s="185"/>
      <c r="BW116" s="185"/>
      <c r="BX116" s="185"/>
      <c r="BY116" s="185"/>
      <c r="BZ116" s="185"/>
      <c r="CA116" s="185"/>
      <c r="CB116" s="185"/>
      <c r="CC116" s="185"/>
      <c r="CD116" s="185"/>
      <c r="CE116" s="185"/>
      <c r="CF116" s="185"/>
      <c r="CG116" s="185"/>
      <c r="CH116" s="185"/>
      <c r="CI116" s="185"/>
      <c r="CJ116" s="185"/>
      <c r="CK116" s="185"/>
      <c r="CL116" s="185"/>
      <c r="CM116" s="185"/>
      <c r="CN116" s="185"/>
      <c r="CO116" s="185"/>
      <c r="CP116" s="185"/>
      <c r="CQ116" s="186"/>
      <c r="CR116" s="184">
        <v>1</v>
      </c>
      <c r="CS116" s="185"/>
      <c r="CT116" s="185"/>
      <c r="CU116" s="185"/>
      <c r="CV116" s="186"/>
      <c r="CY116" s="184" t="s">
        <v>187</v>
      </c>
      <c r="CZ116" s="185"/>
      <c r="DA116" s="185"/>
      <c r="DB116" s="185"/>
      <c r="DC116" s="185"/>
      <c r="DD116" s="185"/>
      <c r="DE116" s="185"/>
      <c r="DF116" s="185"/>
      <c r="DG116" s="185"/>
      <c r="DH116" s="185"/>
      <c r="DI116" s="185"/>
      <c r="DJ116" s="185"/>
      <c r="DK116" s="185"/>
      <c r="DL116" s="185"/>
      <c r="DM116" s="185"/>
      <c r="DN116" s="185"/>
      <c r="DO116" s="185"/>
      <c r="DP116" s="185"/>
      <c r="DQ116" s="185"/>
      <c r="DR116" s="185"/>
      <c r="DS116" s="185"/>
      <c r="DT116" s="185"/>
      <c r="DU116" s="185"/>
      <c r="DV116" s="185"/>
      <c r="DW116" s="185"/>
      <c r="DX116" s="185"/>
      <c r="DY116" s="185"/>
      <c r="DZ116" s="185"/>
      <c r="EA116" s="185"/>
      <c r="EB116" s="185"/>
      <c r="EC116" s="185"/>
      <c r="ED116" s="185"/>
      <c r="EE116" s="185"/>
      <c r="EF116" s="185"/>
      <c r="EG116" s="185"/>
      <c r="EH116" s="185"/>
      <c r="EI116" s="185"/>
      <c r="EJ116" s="185"/>
      <c r="EK116" s="185"/>
      <c r="EL116" s="185"/>
      <c r="EM116" s="186"/>
      <c r="EN116" s="184">
        <v>1</v>
      </c>
      <c r="EO116" s="185"/>
      <c r="EP116" s="185"/>
      <c r="EQ116" s="185"/>
      <c r="ER116" s="186"/>
      <c r="EU116" s="184" t="s">
        <v>179</v>
      </c>
      <c r="EV116" s="185"/>
      <c r="EW116" s="185"/>
      <c r="EX116" s="185"/>
      <c r="EY116" s="185"/>
      <c r="EZ116" s="185"/>
      <c r="FA116" s="185"/>
      <c r="FB116" s="185"/>
      <c r="FC116" s="185"/>
      <c r="FD116" s="185"/>
      <c r="FE116" s="185"/>
      <c r="FF116" s="185"/>
      <c r="FG116" s="185"/>
      <c r="FH116" s="185"/>
      <c r="FI116" s="185"/>
      <c r="FJ116" s="185"/>
      <c r="FK116" s="185"/>
      <c r="FL116" s="185"/>
      <c r="FM116" s="185"/>
      <c r="FN116" s="185"/>
      <c r="FO116" s="185"/>
      <c r="FP116" s="185"/>
      <c r="FQ116" s="185"/>
      <c r="FR116" s="185"/>
      <c r="FS116" s="185"/>
      <c r="FT116" s="185"/>
      <c r="FU116" s="185"/>
      <c r="FV116" s="185"/>
      <c r="FW116" s="185"/>
      <c r="FX116" s="185"/>
      <c r="FY116" s="185"/>
      <c r="FZ116" s="185"/>
      <c r="GA116" s="185"/>
      <c r="GB116" s="185"/>
      <c r="GC116" s="185"/>
      <c r="GD116" s="185"/>
      <c r="GE116" s="185"/>
      <c r="GF116" s="185"/>
      <c r="GG116" s="185"/>
      <c r="GH116" s="185"/>
      <c r="GI116" s="186"/>
      <c r="GJ116" s="184">
        <v>1</v>
      </c>
      <c r="GK116" s="185"/>
      <c r="GL116" s="185"/>
      <c r="GM116" s="185"/>
      <c r="GN116" s="186"/>
      <c r="GQ116" s="215" t="s">
        <v>200</v>
      </c>
      <c r="GR116" s="215"/>
      <c r="GS116" s="215"/>
      <c r="GT116" s="215"/>
      <c r="GU116" s="215"/>
      <c r="GV116" s="215"/>
      <c r="GW116" s="215"/>
      <c r="GX116" s="215"/>
      <c r="GY116" s="215"/>
      <c r="GZ116" s="215"/>
      <c r="HA116" s="215"/>
      <c r="HB116" s="215"/>
      <c r="HC116" s="215"/>
      <c r="HD116" s="215"/>
      <c r="HE116" s="215"/>
      <c r="HF116" s="215"/>
      <c r="HG116" s="215"/>
      <c r="HH116" s="215"/>
      <c r="HI116" s="215"/>
      <c r="HJ116" s="215"/>
      <c r="HK116" s="215"/>
      <c r="HL116" s="215"/>
      <c r="HM116" s="215"/>
      <c r="HN116" s="215"/>
      <c r="HO116" s="215"/>
      <c r="HP116" s="215"/>
      <c r="HQ116" s="215"/>
      <c r="HR116" s="215"/>
      <c r="HS116" s="215"/>
      <c r="HT116" s="215"/>
      <c r="HU116" s="215"/>
      <c r="HV116" s="215"/>
      <c r="HW116" s="215"/>
      <c r="HX116" s="215"/>
      <c r="HY116" s="215"/>
      <c r="HZ116" s="215"/>
      <c r="IA116" s="215"/>
      <c r="IB116" s="215"/>
      <c r="IC116" s="215"/>
      <c r="ID116" s="215"/>
      <c r="IE116" s="215"/>
      <c r="IF116" s="215">
        <v>1</v>
      </c>
      <c r="IG116" s="215"/>
      <c r="IH116" s="215"/>
      <c r="II116" s="215"/>
      <c r="IJ116" s="215"/>
      <c r="IS116" s="190"/>
      <c r="IT116" s="191"/>
      <c r="IU116" s="191"/>
      <c r="IV116" s="191"/>
      <c r="IW116" s="191"/>
      <c r="IX116" s="191"/>
      <c r="IY116" s="191"/>
      <c r="IZ116" s="191"/>
      <c r="JA116" s="191"/>
      <c r="JB116" s="191"/>
      <c r="JC116" s="191"/>
      <c r="JD116" s="191"/>
      <c r="JE116" s="191"/>
      <c r="JF116" s="191"/>
      <c r="JG116" s="191"/>
      <c r="JH116" s="191"/>
      <c r="JI116" s="191"/>
      <c r="JJ116" s="191"/>
      <c r="JK116" s="191"/>
      <c r="JL116" s="191"/>
      <c r="JM116" s="191"/>
      <c r="JN116" s="191"/>
      <c r="JO116" s="191"/>
      <c r="JP116" s="191"/>
      <c r="JQ116" s="191"/>
      <c r="JR116" s="191"/>
      <c r="JS116" s="191"/>
      <c r="JT116" s="191"/>
      <c r="JU116" s="191"/>
      <c r="JV116" s="191"/>
      <c r="JW116" s="191"/>
      <c r="JX116" s="191"/>
      <c r="JY116" s="191"/>
      <c r="JZ116" s="191"/>
      <c r="KA116" s="191"/>
      <c r="KB116" s="191"/>
      <c r="KC116" s="191"/>
      <c r="KD116" s="191"/>
      <c r="KE116" s="191"/>
      <c r="KF116" s="192"/>
      <c r="KG116" s="190"/>
      <c r="KH116" s="191"/>
      <c r="KI116" s="191"/>
      <c r="KJ116" s="191"/>
      <c r="KK116" s="192"/>
      <c r="KQ116" s="190"/>
      <c r="KR116" s="191"/>
      <c r="KS116" s="191"/>
      <c r="KT116" s="191"/>
      <c r="KU116" s="191"/>
      <c r="KV116" s="191"/>
      <c r="KW116" s="191"/>
      <c r="KX116" s="191"/>
      <c r="KY116" s="191"/>
      <c r="KZ116" s="191"/>
      <c r="LA116" s="191"/>
      <c r="LB116" s="191"/>
      <c r="LC116" s="191"/>
      <c r="LD116" s="191"/>
      <c r="LE116" s="191"/>
      <c r="LF116" s="191"/>
      <c r="LG116" s="191"/>
      <c r="LH116" s="191"/>
      <c r="LI116" s="191"/>
      <c r="LJ116" s="191"/>
      <c r="LK116" s="191"/>
      <c r="LL116" s="191"/>
      <c r="LM116" s="191"/>
      <c r="LN116" s="191"/>
      <c r="LO116" s="191"/>
      <c r="LP116" s="191"/>
      <c r="LQ116" s="191"/>
      <c r="LR116" s="191"/>
      <c r="LS116" s="191"/>
      <c r="LT116" s="191"/>
      <c r="LU116" s="191"/>
      <c r="LV116" s="191"/>
      <c r="LW116" s="191"/>
      <c r="LX116" s="191"/>
      <c r="LY116" s="191"/>
      <c r="LZ116" s="191"/>
      <c r="MA116" s="191"/>
      <c r="MB116" s="191"/>
      <c r="MC116" s="191"/>
      <c r="MD116" s="192"/>
      <c r="ME116" s="190"/>
      <c r="MF116" s="191"/>
      <c r="MG116" s="191"/>
      <c r="MH116" s="191"/>
      <c r="MI116" s="192"/>
      <c r="MN116" s="190"/>
      <c r="MO116" s="191"/>
      <c r="MP116" s="191"/>
      <c r="MQ116" s="191"/>
      <c r="MR116" s="191"/>
      <c r="MS116" s="191"/>
      <c r="MT116" s="191"/>
      <c r="MU116" s="191"/>
      <c r="MV116" s="191"/>
      <c r="MW116" s="191"/>
      <c r="MX116" s="191"/>
      <c r="MY116" s="191"/>
      <c r="MZ116" s="191"/>
      <c r="NA116" s="191"/>
      <c r="NB116" s="191"/>
      <c r="NC116" s="191"/>
      <c r="ND116" s="191"/>
      <c r="NE116" s="191"/>
      <c r="NF116" s="191"/>
      <c r="NG116" s="191"/>
      <c r="NH116" s="191"/>
      <c r="NI116" s="191"/>
      <c r="NJ116" s="191"/>
      <c r="NK116" s="191"/>
      <c r="NL116" s="191"/>
      <c r="NM116" s="191"/>
      <c r="NN116" s="191"/>
      <c r="NO116" s="191"/>
      <c r="NP116" s="191"/>
      <c r="NQ116" s="191"/>
      <c r="NR116" s="191"/>
      <c r="NS116" s="191"/>
      <c r="NT116" s="191"/>
      <c r="NU116" s="191"/>
      <c r="NV116" s="191"/>
      <c r="NW116" s="191"/>
      <c r="NX116" s="191"/>
      <c r="NY116" s="191"/>
      <c r="NZ116" s="191"/>
      <c r="OA116" s="192"/>
      <c r="OB116" s="190"/>
      <c r="OC116" s="191"/>
      <c r="OD116" s="191"/>
      <c r="OE116" s="191"/>
      <c r="OF116" s="192"/>
      <c r="OM116" s="215"/>
      <c r="ON116" s="215"/>
      <c r="OO116" s="215"/>
      <c r="OP116" s="215"/>
      <c r="OQ116" s="215"/>
      <c r="OR116" s="215"/>
      <c r="OS116" s="215"/>
      <c r="OT116" s="215"/>
      <c r="OU116" s="215"/>
      <c r="OV116" s="215"/>
      <c r="OW116" s="215"/>
      <c r="OX116" s="215"/>
      <c r="OY116" s="215"/>
      <c r="OZ116" s="215"/>
      <c r="PA116" s="215"/>
      <c r="PB116" s="215"/>
      <c r="PC116" s="215"/>
      <c r="PD116" s="215"/>
      <c r="PE116" s="215"/>
      <c r="PF116" s="215"/>
      <c r="PG116" s="215"/>
      <c r="PH116" s="215"/>
      <c r="PI116" s="215"/>
      <c r="PJ116" s="215"/>
      <c r="PK116" s="215"/>
      <c r="PL116" s="215"/>
      <c r="PM116" s="215"/>
      <c r="PN116" s="215"/>
      <c r="PO116" s="215"/>
      <c r="PP116" s="215"/>
      <c r="PQ116" s="215"/>
      <c r="PR116" s="215"/>
      <c r="PS116" s="215"/>
      <c r="PT116" s="215"/>
      <c r="PU116" s="215"/>
      <c r="PV116" s="215"/>
      <c r="PW116" s="215"/>
      <c r="PX116" s="215"/>
      <c r="PY116" s="215"/>
      <c r="PZ116" s="215"/>
      <c r="QA116" s="215"/>
      <c r="QB116" s="215"/>
      <c r="QC116" s="215"/>
      <c r="QD116" s="215"/>
      <c r="QE116" s="215"/>
      <c r="QF116" s="215"/>
      <c r="QQ116" s="12"/>
      <c r="QR116" s="7"/>
      <c r="QS116" s="3"/>
      <c r="QT116" s="3"/>
      <c r="QU116" s="3"/>
      <c r="QV116" s="3"/>
      <c r="QW116" s="2"/>
    </row>
    <row r="117" spans="3:465" ht="5.0999999999999996" customHeight="1" x14ac:dyDescent="0.3">
      <c r="C117" s="11"/>
      <c r="D117" s="13"/>
      <c r="G117" s="187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9"/>
      <c r="AV117" s="187"/>
      <c r="AW117" s="188"/>
      <c r="AX117" s="188"/>
      <c r="AY117" s="188"/>
      <c r="AZ117" s="189"/>
      <c r="BC117" s="187"/>
      <c r="BD117" s="188"/>
      <c r="BE117" s="188"/>
      <c r="BF117" s="188"/>
      <c r="BG117" s="188"/>
      <c r="BH117" s="188"/>
      <c r="BI117" s="188"/>
      <c r="BJ117" s="188"/>
      <c r="BK117" s="188"/>
      <c r="BL117" s="188"/>
      <c r="BM117" s="188"/>
      <c r="BN117" s="188"/>
      <c r="BO117" s="188"/>
      <c r="BP117" s="188"/>
      <c r="BQ117" s="188"/>
      <c r="BR117" s="188"/>
      <c r="BS117" s="188"/>
      <c r="BT117" s="188"/>
      <c r="BU117" s="188"/>
      <c r="BV117" s="188"/>
      <c r="BW117" s="188"/>
      <c r="BX117" s="188"/>
      <c r="BY117" s="188"/>
      <c r="BZ117" s="188"/>
      <c r="CA117" s="188"/>
      <c r="CB117" s="188"/>
      <c r="CC117" s="188"/>
      <c r="CD117" s="188"/>
      <c r="CE117" s="188"/>
      <c r="CF117" s="188"/>
      <c r="CG117" s="188"/>
      <c r="CH117" s="188"/>
      <c r="CI117" s="188"/>
      <c r="CJ117" s="188"/>
      <c r="CK117" s="188"/>
      <c r="CL117" s="188"/>
      <c r="CM117" s="188"/>
      <c r="CN117" s="188"/>
      <c r="CO117" s="188"/>
      <c r="CP117" s="188"/>
      <c r="CQ117" s="189"/>
      <c r="CR117" s="187"/>
      <c r="CS117" s="188"/>
      <c r="CT117" s="188"/>
      <c r="CU117" s="188"/>
      <c r="CV117" s="189"/>
      <c r="CY117" s="187"/>
      <c r="CZ117" s="188"/>
      <c r="DA117" s="188"/>
      <c r="DB117" s="188"/>
      <c r="DC117" s="188"/>
      <c r="DD117" s="188"/>
      <c r="DE117" s="188"/>
      <c r="DF117" s="188"/>
      <c r="DG117" s="188"/>
      <c r="DH117" s="188"/>
      <c r="DI117" s="188"/>
      <c r="DJ117" s="188"/>
      <c r="DK117" s="188"/>
      <c r="DL117" s="188"/>
      <c r="DM117" s="188"/>
      <c r="DN117" s="188"/>
      <c r="DO117" s="188"/>
      <c r="DP117" s="188"/>
      <c r="DQ117" s="188"/>
      <c r="DR117" s="188"/>
      <c r="DS117" s="188"/>
      <c r="DT117" s="188"/>
      <c r="DU117" s="188"/>
      <c r="DV117" s="188"/>
      <c r="DW117" s="188"/>
      <c r="DX117" s="188"/>
      <c r="DY117" s="188"/>
      <c r="DZ117" s="188"/>
      <c r="EA117" s="188"/>
      <c r="EB117" s="188"/>
      <c r="EC117" s="188"/>
      <c r="ED117" s="188"/>
      <c r="EE117" s="188"/>
      <c r="EF117" s="188"/>
      <c r="EG117" s="188"/>
      <c r="EH117" s="188"/>
      <c r="EI117" s="188"/>
      <c r="EJ117" s="188"/>
      <c r="EK117" s="188"/>
      <c r="EL117" s="188"/>
      <c r="EM117" s="189"/>
      <c r="EN117" s="187"/>
      <c r="EO117" s="188"/>
      <c r="EP117" s="188"/>
      <c r="EQ117" s="188"/>
      <c r="ER117" s="189"/>
      <c r="EU117" s="187"/>
      <c r="EV117" s="188"/>
      <c r="EW117" s="188"/>
      <c r="EX117" s="188"/>
      <c r="EY117" s="188"/>
      <c r="EZ117" s="188"/>
      <c r="FA117" s="188"/>
      <c r="FB117" s="188"/>
      <c r="FC117" s="188"/>
      <c r="FD117" s="188"/>
      <c r="FE117" s="188"/>
      <c r="FF117" s="188"/>
      <c r="FG117" s="188"/>
      <c r="FH117" s="188"/>
      <c r="FI117" s="188"/>
      <c r="FJ117" s="188"/>
      <c r="FK117" s="188"/>
      <c r="FL117" s="188"/>
      <c r="FM117" s="188"/>
      <c r="FN117" s="188"/>
      <c r="FO117" s="188"/>
      <c r="FP117" s="188"/>
      <c r="FQ117" s="188"/>
      <c r="FR117" s="188"/>
      <c r="FS117" s="188"/>
      <c r="FT117" s="188"/>
      <c r="FU117" s="188"/>
      <c r="FV117" s="188"/>
      <c r="FW117" s="188"/>
      <c r="FX117" s="188"/>
      <c r="FY117" s="188"/>
      <c r="FZ117" s="188"/>
      <c r="GA117" s="188"/>
      <c r="GB117" s="188"/>
      <c r="GC117" s="188"/>
      <c r="GD117" s="188"/>
      <c r="GE117" s="188"/>
      <c r="GF117" s="188"/>
      <c r="GG117" s="188"/>
      <c r="GH117" s="188"/>
      <c r="GI117" s="189"/>
      <c r="GJ117" s="187"/>
      <c r="GK117" s="188"/>
      <c r="GL117" s="188"/>
      <c r="GM117" s="188"/>
      <c r="GN117" s="189"/>
      <c r="GQ117" s="215"/>
      <c r="GR117" s="215"/>
      <c r="GS117" s="215"/>
      <c r="GT117" s="215"/>
      <c r="GU117" s="215"/>
      <c r="GV117" s="215"/>
      <c r="GW117" s="215"/>
      <c r="GX117" s="215"/>
      <c r="GY117" s="215"/>
      <c r="GZ117" s="215"/>
      <c r="HA117" s="215"/>
      <c r="HB117" s="215"/>
      <c r="HC117" s="215"/>
      <c r="HD117" s="215"/>
      <c r="HE117" s="215"/>
      <c r="HF117" s="215"/>
      <c r="HG117" s="215"/>
      <c r="HH117" s="215"/>
      <c r="HI117" s="215"/>
      <c r="HJ117" s="215"/>
      <c r="HK117" s="215"/>
      <c r="HL117" s="215"/>
      <c r="HM117" s="215"/>
      <c r="HN117" s="215"/>
      <c r="HO117" s="215"/>
      <c r="HP117" s="215"/>
      <c r="HQ117" s="215"/>
      <c r="HR117" s="215"/>
      <c r="HS117" s="215"/>
      <c r="HT117" s="215"/>
      <c r="HU117" s="215"/>
      <c r="HV117" s="215"/>
      <c r="HW117" s="215"/>
      <c r="HX117" s="215"/>
      <c r="HY117" s="215"/>
      <c r="HZ117" s="215"/>
      <c r="IA117" s="215"/>
      <c r="IB117" s="215"/>
      <c r="IC117" s="215"/>
      <c r="ID117" s="215"/>
      <c r="IE117" s="215"/>
      <c r="IF117" s="215"/>
      <c r="IG117" s="215"/>
      <c r="IH117" s="215"/>
      <c r="II117" s="215"/>
      <c r="IJ117" s="215"/>
      <c r="JO117" s="54"/>
      <c r="JP117" s="18"/>
      <c r="KQ117" s="184" t="s">
        <v>202</v>
      </c>
      <c r="KR117" s="185"/>
      <c r="KS117" s="185"/>
      <c r="KT117" s="185"/>
      <c r="KU117" s="185"/>
      <c r="KV117" s="185"/>
      <c r="KW117" s="185"/>
      <c r="KX117" s="185"/>
      <c r="KY117" s="185"/>
      <c r="KZ117" s="185"/>
      <c r="LA117" s="185"/>
      <c r="LB117" s="185"/>
      <c r="LC117" s="185"/>
      <c r="LD117" s="185"/>
      <c r="LE117" s="185"/>
      <c r="LF117" s="185"/>
      <c r="LG117" s="185"/>
      <c r="LH117" s="185"/>
      <c r="LI117" s="185"/>
      <c r="LJ117" s="185"/>
      <c r="LK117" s="185"/>
      <c r="LL117" s="185"/>
      <c r="LM117" s="185"/>
      <c r="LN117" s="185"/>
      <c r="LO117" s="185"/>
      <c r="LP117" s="185"/>
      <c r="LQ117" s="185"/>
      <c r="LR117" s="185"/>
      <c r="LS117" s="185"/>
      <c r="LT117" s="185"/>
      <c r="LU117" s="185"/>
      <c r="LV117" s="185"/>
      <c r="LW117" s="185"/>
      <c r="LX117" s="185"/>
      <c r="LY117" s="185"/>
      <c r="LZ117" s="185"/>
      <c r="MA117" s="185"/>
      <c r="MB117" s="185"/>
      <c r="MC117" s="185">
        <v>1</v>
      </c>
      <c r="MD117" s="186"/>
      <c r="ME117" s="184">
        <v>13</v>
      </c>
      <c r="MF117" s="185"/>
      <c r="MG117" s="185"/>
      <c r="MH117" s="185"/>
      <c r="MI117" s="186"/>
      <c r="MN117" s="184" t="s">
        <v>68</v>
      </c>
      <c r="MO117" s="185"/>
      <c r="MP117" s="185"/>
      <c r="MQ117" s="185"/>
      <c r="MR117" s="185"/>
      <c r="MS117" s="185"/>
      <c r="MT117" s="185"/>
      <c r="MU117" s="185"/>
      <c r="MV117" s="185"/>
      <c r="MW117" s="185"/>
      <c r="MX117" s="185"/>
      <c r="MY117" s="185"/>
      <c r="MZ117" s="185"/>
      <c r="NA117" s="185"/>
      <c r="NB117" s="185"/>
      <c r="NC117" s="185"/>
      <c r="ND117" s="185"/>
      <c r="NE117" s="185"/>
      <c r="NF117" s="185"/>
      <c r="NG117" s="185"/>
      <c r="NH117" s="185"/>
      <c r="NI117" s="185"/>
      <c r="NJ117" s="185"/>
      <c r="NK117" s="185"/>
      <c r="NL117" s="185"/>
      <c r="NM117" s="185"/>
      <c r="NN117" s="185"/>
      <c r="NO117" s="185"/>
      <c r="NP117" s="185"/>
      <c r="NQ117" s="185"/>
      <c r="NR117" s="185"/>
      <c r="NS117" s="185"/>
      <c r="NT117" s="185"/>
      <c r="NU117" s="185"/>
      <c r="NV117" s="185"/>
      <c r="NW117" s="185"/>
      <c r="NX117" s="185"/>
      <c r="NY117" s="185"/>
      <c r="NZ117" s="185"/>
      <c r="OA117" s="186"/>
      <c r="OB117" s="184">
        <v>0</v>
      </c>
      <c r="OC117" s="185"/>
      <c r="OD117" s="185"/>
      <c r="OE117" s="185"/>
      <c r="OF117" s="186"/>
      <c r="QQ117" s="12"/>
      <c r="QR117" s="7"/>
      <c r="QS117" s="3"/>
      <c r="QT117" s="3"/>
      <c r="QU117" s="3"/>
      <c r="QV117" s="3"/>
      <c r="QW117" s="2"/>
    </row>
    <row r="118" spans="3:465" ht="5.0999999999999996" customHeight="1" x14ac:dyDescent="0.3">
      <c r="C118" s="11"/>
      <c r="D118" s="13"/>
      <c r="G118" s="187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9"/>
      <c r="AV118" s="187"/>
      <c r="AW118" s="188"/>
      <c r="AX118" s="188"/>
      <c r="AY118" s="188"/>
      <c r="AZ118" s="189"/>
      <c r="BC118" s="187"/>
      <c r="BD118" s="188"/>
      <c r="BE118" s="188"/>
      <c r="BF118" s="188"/>
      <c r="BG118" s="188"/>
      <c r="BH118" s="188"/>
      <c r="BI118" s="188"/>
      <c r="BJ118" s="188"/>
      <c r="BK118" s="188"/>
      <c r="BL118" s="188"/>
      <c r="BM118" s="188"/>
      <c r="BN118" s="188"/>
      <c r="BO118" s="188"/>
      <c r="BP118" s="188"/>
      <c r="BQ118" s="188"/>
      <c r="BR118" s="188"/>
      <c r="BS118" s="188"/>
      <c r="BT118" s="188"/>
      <c r="BU118" s="188"/>
      <c r="BV118" s="188"/>
      <c r="BW118" s="188"/>
      <c r="BX118" s="188"/>
      <c r="BY118" s="188"/>
      <c r="BZ118" s="188"/>
      <c r="CA118" s="188"/>
      <c r="CB118" s="188"/>
      <c r="CC118" s="188"/>
      <c r="CD118" s="188"/>
      <c r="CE118" s="188"/>
      <c r="CF118" s="188"/>
      <c r="CG118" s="188"/>
      <c r="CH118" s="188"/>
      <c r="CI118" s="188"/>
      <c r="CJ118" s="188"/>
      <c r="CK118" s="188"/>
      <c r="CL118" s="188"/>
      <c r="CM118" s="188"/>
      <c r="CN118" s="188"/>
      <c r="CO118" s="188"/>
      <c r="CP118" s="188"/>
      <c r="CQ118" s="189"/>
      <c r="CR118" s="187"/>
      <c r="CS118" s="188"/>
      <c r="CT118" s="188"/>
      <c r="CU118" s="188"/>
      <c r="CV118" s="189"/>
      <c r="CY118" s="187"/>
      <c r="CZ118" s="188"/>
      <c r="DA118" s="188"/>
      <c r="DB118" s="188"/>
      <c r="DC118" s="188"/>
      <c r="DD118" s="188"/>
      <c r="DE118" s="188"/>
      <c r="DF118" s="188"/>
      <c r="DG118" s="188"/>
      <c r="DH118" s="188"/>
      <c r="DI118" s="188"/>
      <c r="DJ118" s="188"/>
      <c r="DK118" s="188"/>
      <c r="DL118" s="188"/>
      <c r="DM118" s="188"/>
      <c r="DN118" s="188"/>
      <c r="DO118" s="188"/>
      <c r="DP118" s="188"/>
      <c r="DQ118" s="188"/>
      <c r="DR118" s="188"/>
      <c r="DS118" s="188"/>
      <c r="DT118" s="188"/>
      <c r="DU118" s="188"/>
      <c r="DV118" s="188"/>
      <c r="DW118" s="188"/>
      <c r="DX118" s="188"/>
      <c r="DY118" s="188"/>
      <c r="DZ118" s="188"/>
      <c r="EA118" s="188"/>
      <c r="EB118" s="188"/>
      <c r="EC118" s="188"/>
      <c r="ED118" s="188"/>
      <c r="EE118" s="188"/>
      <c r="EF118" s="188"/>
      <c r="EG118" s="188"/>
      <c r="EH118" s="188"/>
      <c r="EI118" s="188"/>
      <c r="EJ118" s="188"/>
      <c r="EK118" s="188"/>
      <c r="EL118" s="188"/>
      <c r="EM118" s="189"/>
      <c r="EN118" s="187"/>
      <c r="EO118" s="188"/>
      <c r="EP118" s="188"/>
      <c r="EQ118" s="188"/>
      <c r="ER118" s="189"/>
      <c r="EU118" s="187"/>
      <c r="EV118" s="188"/>
      <c r="EW118" s="188"/>
      <c r="EX118" s="188"/>
      <c r="EY118" s="188"/>
      <c r="EZ118" s="188"/>
      <c r="FA118" s="188"/>
      <c r="FB118" s="188"/>
      <c r="FC118" s="188"/>
      <c r="FD118" s="188"/>
      <c r="FE118" s="188"/>
      <c r="FF118" s="188"/>
      <c r="FG118" s="188"/>
      <c r="FH118" s="188"/>
      <c r="FI118" s="188"/>
      <c r="FJ118" s="188"/>
      <c r="FK118" s="188"/>
      <c r="FL118" s="188"/>
      <c r="FM118" s="188"/>
      <c r="FN118" s="188"/>
      <c r="FO118" s="188"/>
      <c r="FP118" s="188"/>
      <c r="FQ118" s="188"/>
      <c r="FR118" s="188"/>
      <c r="FS118" s="188"/>
      <c r="FT118" s="188"/>
      <c r="FU118" s="188"/>
      <c r="FV118" s="188"/>
      <c r="FW118" s="188"/>
      <c r="FX118" s="188"/>
      <c r="FY118" s="188"/>
      <c r="FZ118" s="188"/>
      <c r="GA118" s="188"/>
      <c r="GB118" s="188"/>
      <c r="GC118" s="188"/>
      <c r="GD118" s="188"/>
      <c r="GE118" s="188"/>
      <c r="GF118" s="188"/>
      <c r="GG118" s="188"/>
      <c r="GH118" s="188"/>
      <c r="GI118" s="189"/>
      <c r="GJ118" s="187"/>
      <c r="GK118" s="188"/>
      <c r="GL118" s="188"/>
      <c r="GM118" s="188"/>
      <c r="GN118" s="189"/>
      <c r="GQ118" s="215"/>
      <c r="GR118" s="215"/>
      <c r="GS118" s="215"/>
      <c r="GT118" s="215"/>
      <c r="GU118" s="215"/>
      <c r="GV118" s="215"/>
      <c r="GW118" s="215"/>
      <c r="GX118" s="215"/>
      <c r="GY118" s="215"/>
      <c r="GZ118" s="215"/>
      <c r="HA118" s="215"/>
      <c r="HB118" s="215"/>
      <c r="HC118" s="215"/>
      <c r="HD118" s="215"/>
      <c r="HE118" s="215"/>
      <c r="HF118" s="215"/>
      <c r="HG118" s="215"/>
      <c r="HH118" s="215"/>
      <c r="HI118" s="215"/>
      <c r="HJ118" s="215"/>
      <c r="HK118" s="215"/>
      <c r="HL118" s="215"/>
      <c r="HM118" s="215"/>
      <c r="HN118" s="215"/>
      <c r="HO118" s="215"/>
      <c r="HP118" s="215"/>
      <c r="HQ118" s="215"/>
      <c r="HR118" s="215"/>
      <c r="HS118" s="215"/>
      <c r="HT118" s="215"/>
      <c r="HU118" s="215"/>
      <c r="HV118" s="215"/>
      <c r="HW118" s="215"/>
      <c r="HX118" s="215"/>
      <c r="HY118" s="215"/>
      <c r="HZ118" s="215"/>
      <c r="IA118" s="215"/>
      <c r="IB118" s="215"/>
      <c r="IC118" s="215"/>
      <c r="ID118" s="215"/>
      <c r="IE118" s="215"/>
      <c r="IF118" s="215"/>
      <c r="IG118" s="215"/>
      <c r="IH118" s="215"/>
      <c r="II118" s="215"/>
      <c r="IJ118" s="215"/>
      <c r="JO118" s="19"/>
      <c r="KQ118" s="187"/>
      <c r="KR118" s="188"/>
      <c r="KS118" s="188"/>
      <c r="KT118" s="188"/>
      <c r="KU118" s="188"/>
      <c r="KV118" s="188"/>
      <c r="KW118" s="188"/>
      <c r="KX118" s="188"/>
      <c r="KY118" s="188"/>
      <c r="KZ118" s="188"/>
      <c r="LA118" s="188"/>
      <c r="LB118" s="188"/>
      <c r="LC118" s="188"/>
      <c r="LD118" s="188"/>
      <c r="LE118" s="188"/>
      <c r="LF118" s="188"/>
      <c r="LG118" s="188"/>
      <c r="LH118" s="188"/>
      <c r="LI118" s="188"/>
      <c r="LJ118" s="188"/>
      <c r="LK118" s="188"/>
      <c r="LL118" s="188"/>
      <c r="LM118" s="188"/>
      <c r="LN118" s="188"/>
      <c r="LO118" s="188"/>
      <c r="LP118" s="188"/>
      <c r="LQ118" s="188"/>
      <c r="LR118" s="188"/>
      <c r="LS118" s="188"/>
      <c r="LT118" s="188"/>
      <c r="LU118" s="188"/>
      <c r="LV118" s="188"/>
      <c r="LW118" s="188"/>
      <c r="LX118" s="188"/>
      <c r="LY118" s="188"/>
      <c r="LZ118" s="188"/>
      <c r="MA118" s="188"/>
      <c r="MB118" s="188"/>
      <c r="MC118" s="188"/>
      <c r="MD118" s="189"/>
      <c r="ME118" s="187"/>
      <c r="MF118" s="188"/>
      <c r="MG118" s="188"/>
      <c r="MH118" s="188"/>
      <c r="MI118" s="189"/>
      <c r="MN118" s="187"/>
      <c r="MO118" s="188"/>
      <c r="MP118" s="188"/>
      <c r="MQ118" s="188"/>
      <c r="MR118" s="188"/>
      <c r="MS118" s="188"/>
      <c r="MT118" s="188"/>
      <c r="MU118" s="188"/>
      <c r="MV118" s="188"/>
      <c r="MW118" s="188"/>
      <c r="MX118" s="188"/>
      <c r="MY118" s="188"/>
      <c r="MZ118" s="188"/>
      <c r="NA118" s="188"/>
      <c r="NB118" s="188"/>
      <c r="NC118" s="188"/>
      <c r="ND118" s="188"/>
      <c r="NE118" s="188"/>
      <c r="NF118" s="188"/>
      <c r="NG118" s="188"/>
      <c r="NH118" s="188"/>
      <c r="NI118" s="188"/>
      <c r="NJ118" s="188"/>
      <c r="NK118" s="188"/>
      <c r="NL118" s="188"/>
      <c r="NM118" s="188"/>
      <c r="NN118" s="188"/>
      <c r="NO118" s="188"/>
      <c r="NP118" s="188"/>
      <c r="NQ118" s="188"/>
      <c r="NR118" s="188"/>
      <c r="NS118" s="188"/>
      <c r="NT118" s="188"/>
      <c r="NU118" s="188"/>
      <c r="NV118" s="188"/>
      <c r="NW118" s="188"/>
      <c r="NX118" s="188"/>
      <c r="NY118" s="188"/>
      <c r="NZ118" s="188"/>
      <c r="OA118" s="189"/>
      <c r="OB118" s="187"/>
      <c r="OC118" s="188"/>
      <c r="OD118" s="188"/>
      <c r="OE118" s="188"/>
      <c r="OF118" s="189"/>
      <c r="QQ118" s="12"/>
      <c r="QR118" s="7"/>
      <c r="QS118" s="3"/>
      <c r="QT118" s="3"/>
      <c r="QU118" s="3"/>
      <c r="QV118" s="3"/>
      <c r="QW118" s="2"/>
    </row>
    <row r="119" spans="3:465" ht="5.0999999999999996" customHeight="1" x14ac:dyDescent="0.3">
      <c r="C119" s="11"/>
      <c r="D119" s="13"/>
      <c r="G119" s="187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9"/>
      <c r="AV119" s="187"/>
      <c r="AW119" s="188"/>
      <c r="AX119" s="188"/>
      <c r="AY119" s="188"/>
      <c r="AZ119" s="189"/>
      <c r="BC119" s="187"/>
      <c r="BD119" s="188"/>
      <c r="BE119" s="188"/>
      <c r="BF119" s="188"/>
      <c r="BG119" s="188"/>
      <c r="BH119" s="188"/>
      <c r="BI119" s="188"/>
      <c r="BJ119" s="188"/>
      <c r="BK119" s="188"/>
      <c r="BL119" s="188"/>
      <c r="BM119" s="188"/>
      <c r="BN119" s="188"/>
      <c r="BO119" s="188"/>
      <c r="BP119" s="188"/>
      <c r="BQ119" s="188"/>
      <c r="BR119" s="188"/>
      <c r="BS119" s="188"/>
      <c r="BT119" s="188"/>
      <c r="BU119" s="188"/>
      <c r="BV119" s="188"/>
      <c r="BW119" s="188"/>
      <c r="BX119" s="188"/>
      <c r="BY119" s="188"/>
      <c r="BZ119" s="188"/>
      <c r="CA119" s="188"/>
      <c r="CB119" s="188"/>
      <c r="CC119" s="188"/>
      <c r="CD119" s="188"/>
      <c r="CE119" s="188"/>
      <c r="CF119" s="188"/>
      <c r="CG119" s="188"/>
      <c r="CH119" s="188"/>
      <c r="CI119" s="188"/>
      <c r="CJ119" s="188"/>
      <c r="CK119" s="188"/>
      <c r="CL119" s="188"/>
      <c r="CM119" s="188"/>
      <c r="CN119" s="188"/>
      <c r="CO119" s="188"/>
      <c r="CP119" s="188"/>
      <c r="CQ119" s="189"/>
      <c r="CR119" s="187"/>
      <c r="CS119" s="188"/>
      <c r="CT119" s="188"/>
      <c r="CU119" s="188"/>
      <c r="CV119" s="189"/>
      <c r="CY119" s="187"/>
      <c r="CZ119" s="188"/>
      <c r="DA119" s="188"/>
      <c r="DB119" s="188"/>
      <c r="DC119" s="188"/>
      <c r="DD119" s="188"/>
      <c r="DE119" s="188"/>
      <c r="DF119" s="188"/>
      <c r="DG119" s="188"/>
      <c r="DH119" s="188"/>
      <c r="DI119" s="188"/>
      <c r="DJ119" s="188"/>
      <c r="DK119" s="188"/>
      <c r="DL119" s="188"/>
      <c r="DM119" s="188"/>
      <c r="DN119" s="188"/>
      <c r="DO119" s="188"/>
      <c r="DP119" s="188"/>
      <c r="DQ119" s="188"/>
      <c r="DR119" s="188"/>
      <c r="DS119" s="188"/>
      <c r="DT119" s="188"/>
      <c r="DU119" s="188"/>
      <c r="DV119" s="188"/>
      <c r="DW119" s="188"/>
      <c r="DX119" s="188"/>
      <c r="DY119" s="188"/>
      <c r="DZ119" s="188"/>
      <c r="EA119" s="188"/>
      <c r="EB119" s="188"/>
      <c r="EC119" s="188"/>
      <c r="ED119" s="188"/>
      <c r="EE119" s="188"/>
      <c r="EF119" s="188"/>
      <c r="EG119" s="188"/>
      <c r="EH119" s="188"/>
      <c r="EI119" s="188"/>
      <c r="EJ119" s="188"/>
      <c r="EK119" s="188"/>
      <c r="EL119" s="188"/>
      <c r="EM119" s="189"/>
      <c r="EN119" s="187"/>
      <c r="EO119" s="188"/>
      <c r="EP119" s="188"/>
      <c r="EQ119" s="188"/>
      <c r="ER119" s="189"/>
      <c r="EU119" s="187"/>
      <c r="EV119" s="188"/>
      <c r="EW119" s="188"/>
      <c r="EX119" s="188"/>
      <c r="EY119" s="188"/>
      <c r="EZ119" s="188"/>
      <c r="FA119" s="188"/>
      <c r="FB119" s="188"/>
      <c r="FC119" s="188"/>
      <c r="FD119" s="188"/>
      <c r="FE119" s="188"/>
      <c r="FF119" s="188"/>
      <c r="FG119" s="188"/>
      <c r="FH119" s="188"/>
      <c r="FI119" s="188"/>
      <c r="FJ119" s="188"/>
      <c r="FK119" s="188"/>
      <c r="FL119" s="188"/>
      <c r="FM119" s="188"/>
      <c r="FN119" s="188"/>
      <c r="FO119" s="188"/>
      <c r="FP119" s="188"/>
      <c r="FQ119" s="188"/>
      <c r="FR119" s="188"/>
      <c r="FS119" s="188"/>
      <c r="FT119" s="188"/>
      <c r="FU119" s="188"/>
      <c r="FV119" s="188"/>
      <c r="FW119" s="188"/>
      <c r="FX119" s="188"/>
      <c r="FY119" s="188"/>
      <c r="FZ119" s="188"/>
      <c r="GA119" s="188"/>
      <c r="GB119" s="188"/>
      <c r="GC119" s="188"/>
      <c r="GD119" s="188"/>
      <c r="GE119" s="188"/>
      <c r="GF119" s="188"/>
      <c r="GG119" s="188"/>
      <c r="GH119" s="188"/>
      <c r="GI119" s="189"/>
      <c r="GJ119" s="187"/>
      <c r="GK119" s="188"/>
      <c r="GL119" s="188"/>
      <c r="GM119" s="188"/>
      <c r="GN119" s="189"/>
      <c r="GQ119" s="215"/>
      <c r="GR119" s="215"/>
      <c r="GS119" s="215"/>
      <c r="GT119" s="215"/>
      <c r="GU119" s="215"/>
      <c r="GV119" s="215"/>
      <c r="GW119" s="215"/>
      <c r="GX119" s="215"/>
      <c r="GY119" s="215"/>
      <c r="GZ119" s="215"/>
      <c r="HA119" s="215"/>
      <c r="HB119" s="215"/>
      <c r="HC119" s="215"/>
      <c r="HD119" s="215"/>
      <c r="HE119" s="215"/>
      <c r="HF119" s="215"/>
      <c r="HG119" s="215"/>
      <c r="HH119" s="215"/>
      <c r="HI119" s="215"/>
      <c r="HJ119" s="215"/>
      <c r="HK119" s="215"/>
      <c r="HL119" s="215"/>
      <c r="HM119" s="215"/>
      <c r="HN119" s="215"/>
      <c r="HO119" s="215"/>
      <c r="HP119" s="215"/>
      <c r="HQ119" s="215"/>
      <c r="HR119" s="215"/>
      <c r="HS119" s="215"/>
      <c r="HT119" s="215"/>
      <c r="HU119" s="215"/>
      <c r="HV119" s="215"/>
      <c r="HW119" s="215"/>
      <c r="HX119" s="215"/>
      <c r="HY119" s="215"/>
      <c r="HZ119" s="215"/>
      <c r="IA119" s="215"/>
      <c r="IB119" s="215"/>
      <c r="IC119" s="215"/>
      <c r="ID119" s="215"/>
      <c r="IE119" s="215"/>
      <c r="IF119" s="215"/>
      <c r="IG119" s="215"/>
      <c r="IH119" s="215"/>
      <c r="II119" s="215"/>
      <c r="IJ119" s="215"/>
      <c r="IS119" s="184" t="s">
        <v>49</v>
      </c>
      <c r="IT119" s="185"/>
      <c r="IU119" s="185"/>
      <c r="IV119" s="185"/>
      <c r="IW119" s="185"/>
      <c r="IX119" s="185"/>
      <c r="IY119" s="185"/>
      <c r="IZ119" s="185"/>
      <c r="JA119" s="185"/>
      <c r="JB119" s="185"/>
      <c r="JC119" s="185"/>
      <c r="JD119" s="185"/>
      <c r="JE119" s="185"/>
      <c r="JF119" s="185"/>
      <c r="JG119" s="185"/>
      <c r="JH119" s="185"/>
      <c r="JI119" s="185"/>
      <c r="JJ119" s="185"/>
      <c r="JK119" s="185"/>
      <c r="JL119" s="185"/>
      <c r="JM119" s="185"/>
      <c r="JN119" s="185"/>
      <c r="JO119" s="185"/>
      <c r="JP119" s="185"/>
      <c r="JQ119" s="185"/>
      <c r="JR119" s="185"/>
      <c r="JS119" s="185"/>
      <c r="JT119" s="185"/>
      <c r="JU119" s="185"/>
      <c r="JV119" s="185"/>
      <c r="JW119" s="185"/>
      <c r="JX119" s="185"/>
      <c r="JY119" s="185"/>
      <c r="JZ119" s="185"/>
      <c r="KA119" s="185"/>
      <c r="KB119" s="185"/>
      <c r="KC119" s="185"/>
      <c r="KD119" s="185"/>
      <c r="KE119" s="185">
        <v>1</v>
      </c>
      <c r="KF119" s="186"/>
      <c r="KG119" s="184">
        <v>12</v>
      </c>
      <c r="KH119" s="185"/>
      <c r="KI119" s="185"/>
      <c r="KJ119" s="185"/>
      <c r="KK119" s="186"/>
      <c r="KQ119" s="187"/>
      <c r="KR119" s="188"/>
      <c r="KS119" s="188"/>
      <c r="KT119" s="188"/>
      <c r="KU119" s="188"/>
      <c r="KV119" s="188"/>
      <c r="KW119" s="188"/>
      <c r="KX119" s="188"/>
      <c r="KY119" s="188"/>
      <c r="KZ119" s="188"/>
      <c r="LA119" s="188"/>
      <c r="LB119" s="188"/>
      <c r="LC119" s="188"/>
      <c r="LD119" s="188"/>
      <c r="LE119" s="188"/>
      <c r="LF119" s="188"/>
      <c r="LG119" s="188"/>
      <c r="LH119" s="188"/>
      <c r="LI119" s="188"/>
      <c r="LJ119" s="188"/>
      <c r="LK119" s="188"/>
      <c r="LL119" s="188"/>
      <c r="LM119" s="188"/>
      <c r="LN119" s="188"/>
      <c r="LO119" s="188"/>
      <c r="LP119" s="188"/>
      <c r="LQ119" s="188"/>
      <c r="LR119" s="188"/>
      <c r="LS119" s="188"/>
      <c r="LT119" s="188"/>
      <c r="LU119" s="188"/>
      <c r="LV119" s="188"/>
      <c r="LW119" s="188"/>
      <c r="LX119" s="188"/>
      <c r="LY119" s="188"/>
      <c r="LZ119" s="188"/>
      <c r="MA119" s="188"/>
      <c r="MB119" s="188"/>
      <c r="MC119" s="188"/>
      <c r="MD119" s="189"/>
      <c r="ME119" s="187"/>
      <c r="MF119" s="188"/>
      <c r="MG119" s="188"/>
      <c r="MH119" s="188"/>
      <c r="MI119" s="189"/>
      <c r="MN119" s="187"/>
      <c r="MO119" s="188"/>
      <c r="MP119" s="188"/>
      <c r="MQ119" s="188"/>
      <c r="MR119" s="188"/>
      <c r="MS119" s="188"/>
      <c r="MT119" s="188"/>
      <c r="MU119" s="188"/>
      <c r="MV119" s="188"/>
      <c r="MW119" s="188"/>
      <c r="MX119" s="188"/>
      <c r="MY119" s="188"/>
      <c r="MZ119" s="188"/>
      <c r="NA119" s="188"/>
      <c r="NB119" s="188"/>
      <c r="NC119" s="188"/>
      <c r="ND119" s="188"/>
      <c r="NE119" s="188"/>
      <c r="NF119" s="188"/>
      <c r="NG119" s="188"/>
      <c r="NH119" s="188"/>
      <c r="NI119" s="188"/>
      <c r="NJ119" s="188"/>
      <c r="NK119" s="188"/>
      <c r="NL119" s="188"/>
      <c r="NM119" s="188"/>
      <c r="NN119" s="188"/>
      <c r="NO119" s="188"/>
      <c r="NP119" s="188"/>
      <c r="NQ119" s="188"/>
      <c r="NR119" s="188"/>
      <c r="NS119" s="188"/>
      <c r="NT119" s="188"/>
      <c r="NU119" s="188"/>
      <c r="NV119" s="188"/>
      <c r="NW119" s="188"/>
      <c r="NX119" s="188"/>
      <c r="NY119" s="188"/>
      <c r="NZ119" s="188"/>
      <c r="OA119" s="189"/>
      <c r="OB119" s="187"/>
      <c r="OC119" s="188"/>
      <c r="OD119" s="188"/>
      <c r="OE119" s="188"/>
      <c r="OF119" s="189"/>
      <c r="QQ119" s="12"/>
      <c r="QR119" s="7"/>
      <c r="QS119" s="3"/>
      <c r="QT119" s="3"/>
      <c r="QU119" s="3"/>
      <c r="QV119" s="3"/>
      <c r="QW119" s="2"/>
    </row>
    <row r="120" spans="3:465" ht="5.0999999999999996" customHeight="1" x14ac:dyDescent="0.3">
      <c r="C120" s="11"/>
      <c r="D120" s="13"/>
      <c r="G120" s="187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9"/>
      <c r="AV120" s="187"/>
      <c r="AW120" s="188"/>
      <c r="AX120" s="188"/>
      <c r="AY120" s="188"/>
      <c r="AZ120" s="189"/>
      <c r="BC120" s="187"/>
      <c r="BD120" s="188"/>
      <c r="BE120" s="188"/>
      <c r="BF120" s="188"/>
      <c r="BG120" s="188"/>
      <c r="BH120" s="188"/>
      <c r="BI120" s="188"/>
      <c r="BJ120" s="188"/>
      <c r="BK120" s="188"/>
      <c r="BL120" s="188"/>
      <c r="BM120" s="188"/>
      <c r="BN120" s="188"/>
      <c r="BO120" s="188"/>
      <c r="BP120" s="188"/>
      <c r="BQ120" s="188"/>
      <c r="BR120" s="188"/>
      <c r="BS120" s="188"/>
      <c r="BT120" s="188"/>
      <c r="BU120" s="188"/>
      <c r="BV120" s="188"/>
      <c r="BW120" s="188"/>
      <c r="BX120" s="188"/>
      <c r="BY120" s="188"/>
      <c r="BZ120" s="188"/>
      <c r="CA120" s="188"/>
      <c r="CB120" s="188"/>
      <c r="CC120" s="188"/>
      <c r="CD120" s="188"/>
      <c r="CE120" s="188"/>
      <c r="CF120" s="188"/>
      <c r="CG120" s="188"/>
      <c r="CH120" s="188"/>
      <c r="CI120" s="188"/>
      <c r="CJ120" s="188"/>
      <c r="CK120" s="188"/>
      <c r="CL120" s="188"/>
      <c r="CM120" s="188"/>
      <c r="CN120" s="188"/>
      <c r="CO120" s="188"/>
      <c r="CP120" s="188"/>
      <c r="CQ120" s="189"/>
      <c r="CR120" s="187"/>
      <c r="CS120" s="188"/>
      <c r="CT120" s="188"/>
      <c r="CU120" s="188"/>
      <c r="CV120" s="189"/>
      <c r="CY120" s="187"/>
      <c r="CZ120" s="188"/>
      <c r="DA120" s="188"/>
      <c r="DB120" s="188"/>
      <c r="DC120" s="188"/>
      <c r="DD120" s="188"/>
      <c r="DE120" s="188"/>
      <c r="DF120" s="188"/>
      <c r="DG120" s="188"/>
      <c r="DH120" s="188"/>
      <c r="DI120" s="188"/>
      <c r="DJ120" s="188"/>
      <c r="DK120" s="188"/>
      <c r="DL120" s="188"/>
      <c r="DM120" s="188"/>
      <c r="DN120" s="188"/>
      <c r="DO120" s="188"/>
      <c r="DP120" s="188"/>
      <c r="DQ120" s="188"/>
      <c r="DR120" s="188"/>
      <c r="DS120" s="188"/>
      <c r="DT120" s="188"/>
      <c r="DU120" s="188"/>
      <c r="DV120" s="188"/>
      <c r="DW120" s="188"/>
      <c r="DX120" s="188"/>
      <c r="DY120" s="188"/>
      <c r="DZ120" s="188"/>
      <c r="EA120" s="188"/>
      <c r="EB120" s="188"/>
      <c r="EC120" s="188"/>
      <c r="ED120" s="188"/>
      <c r="EE120" s="188"/>
      <c r="EF120" s="188"/>
      <c r="EG120" s="188"/>
      <c r="EH120" s="188"/>
      <c r="EI120" s="188"/>
      <c r="EJ120" s="188"/>
      <c r="EK120" s="188"/>
      <c r="EL120" s="188"/>
      <c r="EM120" s="189"/>
      <c r="EN120" s="187"/>
      <c r="EO120" s="188"/>
      <c r="EP120" s="188"/>
      <c r="EQ120" s="188"/>
      <c r="ER120" s="189"/>
      <c r="EU120" s="187"/>
      <c r="EV120" s="188"/>
      <c r="EW120" s="188"/>
      <c r="EX120" s="188"/>
      <c r="EY120" s="188"/>
      <c r="EZ120" s="188"/>
      <c r="FA120" s="188"/>
      <c r="FB120" s="188"/>
      <c r="FC120" s="188"/>
      <c r="FD120" s="188"/>
      <c r="FE120" s="188"/>
      <c r="FF120" s="188"/>
      <c r="FG120" s="188"/>
      <c r="FH120" s="188"/>
      <c r="FI120" s="188"/>
      <c r="FJ120" s="188"/>
      <c r="FK120" s="188"/>
      <c r="FL120" s="188"/>
      <c r="FM120" s="188"/>
      <c r="FN120" s="188"/>
      <c r="FO120" s="188"/>
      <c r="FP120" s="188"/>
      <c r="FQ120" s="188"/>
      <c r="FR120" s="188"/>
      <c r="FS120" s="188"/>
      <c r="FT120" s="188"/>
      <c r="FU120" s="188"/>
      <c r="FV120" s="188"/>
      <c r="FW120" s="188"/>
      <c r="FX120" s="188"/>
      <c r="FY120" s="188"/>
      <c r="FZ120" s="188"/>
      <c r="GA120" s="188"/>
      <c r="GB120" s="188"/>
      <c r="GC120" s="188"/>
      <c r="GD120" s="188"/>
      <c r="GE120" s="188"/>
      <c r="GF120" s="188"/>
      <c r="GG120" s="188"/>
      <c r="GH120" s="188"/>
      <c r="GI120" s="189"/>
      <c r="GJ120" s="187"/>
      <c r="GK120" s="188"/>
      <c r="GL120" s="188"/>
      <c r="GM120" s="188"/>
      <c r="GN120" s="189"/>
      <c r="GQ120" s="215"/>
      <c r="GR120" s="215"/>
      <c r="GS120" s="215"/>
      <c r="GT120" s="215"/>
      <c r="GU120" s="215"/>
      <c r="GV120" s="215"/>
      <c r="GW120" s="215"/>
      <c r="GX120" s="215"/>
      <c r="GY120" s="215"/>
      <c r="GZ120" s="215"/>
      <c r="HA120" s="215"/>
      <c r="HB120" s="215"/>
      <c r="HC120" s="215"/>
      <c r="HD120" s="215"/>
      <c r="HE120" s="215"/>
      <c r="HF120" s="215"/>
      <c r="HG120" s="215"/>
      <c r="HH120" s="215"/>
      <c r="HI120" s="215"/>
      <c r="HJ120" s="215"/>
      <c r="HK120" s="215"/>
      <c r="HL120" s="215"/>
      <c r="HM120" s="215"/>
      <c r="HN120" s="215"/>
      <c r="HO120" s="215"/>
      <c r="HP120" s="215"/>
      <c r="HQ120" s="215"/>
      <c r="HR120" s="215"/>
      <c r="HS120" s="215"/>
      <c r="HT120" s="215"/>
      <c r="HU120" s="215"/>
      <c r="HV120" s="215"/>
      <c r="HW120" s="215"/>
      <c r="HX120" s="215"/>
      <c r="HY120" s="215"/>
      <c r="HZ120" s="215"/>
      <c r="IA120" s="215"/>
      <c r="IB120" s="215"/>
      <c r="IC120" s="215"/>
      <c r="ID120" s="215"/>
      <c r="IE120" s="215"/>
      <c r="IF120" s="215"/>
      <c r="IG120" s="215"/>
      <c r="IH120" s="215"/>
      <c r="II120" s="215"/>
      <c r="IJ120" s="215"/>
      <c r="IS120" s="187"/>
      <c r="IT120" s="188"/>
      <c r="IU120" s="188"/>
      <c r="IV120" s="188"/>
      <c r="IW120" s="188"/>
      <c r="IX120" s="188"/>
      <c r="IY120" s="188"/>
      <c r="IZ120" s="188"/>
      <c r="JA120" s="188"/>
      <c r="JB120" s="188"/>
      <c r="JC120" s="188"/>
      <c r="JD120" s="188"/>
      <c r="JE120" s="188"/>
      <c r="JF120" s="188"/>
      <c r="JG120" s="188"/>
      <c r="JH120" s="188"/>
      <c r="JI120" s="188"/>
      <c r="JJ120" s="188"/>
      <c r="JK120" s="188"/>
      <c r="JL120" s="188"/>
      <c r="JM120" s="188"/>
      <c r="JN120" s="188"/>
      <c r="JO120" s="188"/>
      <c r="JP120" s="188"/>
      <c r="JQ120" s="188"/>
      <c r="JR120" s="188"/>
      <c r="JS120" s="188"/>
      <c r="JT120" s="188"/>
      <c r="JU120" s="188"/>
      <c r="JV120" s="188"/>
      <c r="JW120" s="188"/>
      <c r="JX120" s="188"/>
      <c r="JY120" s="188"/>
      <c r="JZ120" s="188"/>
      <c r="KA120" s="188"/>
      <c r="KB120" s="188"/>
      <c r="KC120" s="188"/>
      <c r="KD120" s="188"/>
      <c r="KE120" s="188"/>
      <c r="KF120" s="189"/>
      <c r="KG120" s="187"/>
      <c r="KH120" s="188"/>
      <c r="KI120" s="188"/>
      <c r="KJ120" s="188"/>
      <c r="KK120" s="189"/>
      <c r="KQ120" s="187"/>
      <c r="KR120" s="188"/>
      <c r="KS120" s="188"/>
      <c r="KT120" s="188"/>
      <c r="KU120" s="188"/>
      <c r="KV120" s="188"/>
      <c r="KW120" s="188"/>
      <c r="KX120" s="188"/>
      <c r="KY120" s="188"/>
      <c r="KZ120" s="188"/>
      <c r="LA120" s="188"/>
      <c r="LB120" s="188"/>
      <c r="LC120" s="188"/>
      <c r="LD120" s="188"/>
      <c r="LE120" s="188"/>
      <c r="LF120" s="188"/>
      <c r="LG120" s="188"/>
      <c r="LH120" s="188"/>
      <c r="LI120" s="188"/>
      <c r="LJ120" s="188"/>
      <c r="LK120" s="188"/>
      <c r="LL120" s="188"/>
      <c r="LM120" s="188"/>
      <c r="LN120" s="188"/>
      <c r="LO120" s="188"/>
      <c r="LP120" s="188"/>
      <c r="LQ120" s="188"/>
      <c r="LR120" s="188"/>
      <c r="LS120" s="188"/>
      <c r="LT120" s="188"/>
      <c r="LU120" s="188"/>
      <c r="LV120" s="188"/>
      <c r="LW120" s="188"/>
      <c r="LX120" s="188"/>
      <c r="LY120" s="188"/>
      <c r="LZ120" s="188"/>
      <c r="MA120" s="188"/>
      <c r="MB120" s="188"/>
      <c r="MC120" s="188"/>
      <c r="MD120" s="189"/>
      <c r="ME120" s="187"/>
      <c r="MF120" s="188"/>
      <c r="MG120" s="188"/>
      <c r="MH120" s="188"/>
      <c r="MI120" s="189"/>
      <c r="MN120" s="187"/>
      <c r="MO120" s="188"/>
      <c r="MP120" s="188"/>
      <c r="MQ120" s="188"/>
      <c r="MR120" s="188"/>
      <c r="MS120" s="188"/>
      <c r="MT120" s="188"/>
      <c r="MU120" s="188"/>
      <c r="MV120" s="188"/>
      <c r="MW120" s="188"/>
      <c r="MX120" s="188"/>
      <c r="MY120" s="188"/>
      <c r="MZ120" s="188"/>
      <c r="NA120" s="188"/>
      <c r="NB120" s="188"/>
      <c r="NC120" s="188"/>
      <c r="ND120" s="188"/>
      <c r="NE120" s="188"/>
      <c r="NF120" s="188"/>
      <c r="NG120" s="188"/>
      <c r="NH120" s="188"/>
      <c r="NI120" s="188"/>
      <c r="NJ120" s="188"/>
      <c r="NK120" s="188"/>
      <c r="NL120" s="188"/>
      <c r="NM120" s="188"/>
      <c r="NN120" s="188"/>
      <c r="NO120" s="188"/>
      <c r="NP120" s="188"/>
      <c r="NQ120" s="188"/>
      <c r="NR120" s="188"/>
      <c r="NS120" s="188"/>
      <c r="NT120" s="188"/>
      <c r="NU120" s="188"/>
      <c r="NV120" s="188"/>
      <c r="NW120" s="188"/>
      <c r="NX120" s="188"/>
      <c r="NY120" s="188"/>
      <c r="NZ120" s="188"/>
      <c r="OA120" s="189"/>
      <c r="OB120" s="187"/>
      <c r="OC120" s="188"/>
      <c r="OD120" s="188"/>
      <c r="OE120" s="188"/>
      <c r="OF120" s="189"/>
      <c r="QQ120" s="12"/>
      <c r="QR120" s="7"/>
      <c r="QS120" s="3"/>
      <c r="QT120" s="3"/>
      <c r="QU120" s="3"/>
      <c r="QV120" s="3"/>
      <c r="QW120" s="2"/>
    </row>
    <row r="121" spans="3:465" ht="5.0999999999999996" customHeight="1" x14ac:dyDescent="0.3">
      <c r="C121" s="11"/>
      <c r="D121" s="13"/>
      <c r="G121" s="187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9"/>
      <c r="AV121" s="187"/>
      <c r="AW121" s="188"/>
      <c r="AX121" s="188"/>
      <c r="AY121" s="188"/>
      <c r="AZ121" s="189"/>
      <c r="BC121" s="187"/>
      <c r="BD121" s="188"/>
      <c r="BE121" s="188"/>
      <c r="BF121" s="188"/>
      <c r="BG121" s="188"/>
      <c r="BH121" s="188"/>
      <c r="BI121" s="188"/>
      <c r="BJ121" s="188"/>
      <c r="BK121" s="188"/>
      <c r="BL121" s="188"/>
      <c r="BM121" s="188"/>
      <c r="BN121" s="188"/>
      <c r="BO121" s="188"/>
      <c r="BP121" s="188"/>
      <c r="BQ121" s="188"/>
      <c r="BR121" s="188"/>
      <c r="BS121" s="188"/>
      <c r="BT121" s="188"/>
      <c r="BU121" s="188"/>
      <c r="BV121" s="188"/>
      <c r="BW121" s="188"/>
      <c r="BX121" s="188"/>
      <c r="BY121" s="188"/>
      <c r="BZ121" s="188"/>
      <c r="CA121" s="188"/>
      <c r="CB121" s="188"/>
      <c r="CC121" s="188"/>
      <c r="CD121" s="188"/>
      <c r="CE121" s="188"/>
      <c r="CF121" s="188"/>
      <c r="CG121" s="188"/>
      <c r="CH121" s="188"/>
      <c r="CI121" s="188"/>
      <c r="CJ121" s="188"/>
      <c r="CK121" s="188"/>
      <c r="CL121" s="188"/>
      <c r="CM121" s="188"/>
      <c r="CN121" s="188"/>
      <c r="CO121" s="188"/>
      <c r="CP121" s="188"/>
      <c r="CQ121" s="189"/>
      <c r="CR121" s="187"/>
      <c r="CS121" s="188"/>
      <c r="CT121" s="188"/>
      <c r="CU121" s="188"/>
      <c r="CV121" s="189"/>
      <c r="CY121" s="187"/>
      <c r="CZ121" s="188"/>
      <c r="DA121" s="188"/>
      <c r="DB121" s="188"/>
      <c r="DC121" s="188"/>
      <c r="DD121" s="188"/>
      <c r="DE121" s="188"/>
      <c r="DF121" s="188"/>
      <c r="DG121" s="188"/>
      <c r="DH121" s="188"/>
      <c r="DI121" s="188"/>
      <c r="DJ121" s="188"/>
      <c r="DK121" s="188"/>
      <c r="DL121" s="188"/>
      <c r="DM121" s="188"/>
      <c r="DN121" s="188"/>
      <c r="DO121" s="188"/>
      <c r="DP121" s="188"/>
      <c r="DQ121" s="188"/>
      <c r="DR121" s="188"/>
      <c r="DS121" s="188"/>
      <c r="DT121" s="188"/>
      <c r="DU121" s="188"/>
      <c r="DV121" s="188"/>
      <c r="DW121" s="188"/>
      <c r="DX121" s="188"/>
      <c r="DY121" s="188"/>
      <c r="DZ121" s="188"/>
      <c r="EA121" s="188"/>
      <c r="EB121" s="188"/>
      <c r="EC121" s="188"/>
      <c r="ED121" s="188"/>
      <c r="EE121" s="188"/>
      <c r="EF121" s="188"/>
      <c r="EG121" s="188"/>
      <c r="EH121" s="188"/>
      <c r="EI121" s="188"/>
      <c r="EJ121" s="188"/>
      <c r="EK121" s="188"/>
      <c r="EL121" s="188"/>
      <c r="EM121" s="189"/>
      <c r="EN121" s="187"/>
      <c r="EO121" s="188"/>
      <c r="EP121" s="188"/>
      <c r="EQ121" s="188"/>
      <c r="ER121" s="189"/>
      <c r="EU121" s="187"/>
      <c r="EV121" s="188"/>
      <c r="EW121" s="188"/>
      <c r="EX121" s="188"/>
      <c r="EY121" s="188"/>
      <c r="EZ121" s="188"/>
      <c r="FA121" s="188"/>
      <c r="FB121" s="188"/>
      <c r="FC121" s="188"/>
      <c r="FD121" s="188"/>
      <c r="FE121" s="188"/>
      <c r="FF121" s="188"/>
      <c r="FG121" s="188"/>
      <c r="FH121" s="188"/>
      <c r="FI121" s="188"/>
      <c r="FJ121" s="188"/>
      <c r="FK121" s="188"/>
      <c r="FL121" s="188"/>
      <c r="FM121" s="188"/>
      <c r="FN121" s="188"/>
      <c r="FO121" s="188"/>
      <c r="FP121" s="188"/>
      <c r="FQ121" s="188"/>
      <c r="FR121" s="188"/>
      <c r="FS121" s="188"/>
      <c r="FT121" s="188"/>
      <c r="FU121" s="188"/>
      <c r="FV121" s="188"/>
      <c r="FW121" s="188"/>
      <c r="FX121" s="188"/>
      <c r="FY121" s="188"/>
      <c r="FZ121" s="188"/>
      <c r="GA121" s="188"/>
      <c r="GB121" s="188"/>
      <c r="GC121" s="188"/>
      <c r="GD121" s="188"/>
      <c r="GE121" s="188"/>
      <c r="GF121" s="188"/>
      <c r="GG121" s="188"/>
      <c r="GH121" s="188"/>
      <c r="GI121" s="189"/>
      <c r="GJ121" s="187"/>
      <c r="GK121" s="188"/>
      <c r="GL121" s="188"/>
      <c r="GM121" s="188"/>
      <c r="GN121" s="189"/>
      <c r="GQ121" s="215"/>
      <c r="GR121" s="215"/>
      <c r="GS121" s="215"/>
      <c r="GT121" s="215"/>
      <c r="GU121" s="215"/>
      <c r="GV121" s="215"/>
      <c r="GW121" s="215"/>
      <c r="GX121" s="215"/>
      <c r="GY121" s="215"/>
      <c r="GZ121" s="215"/>
      <c r="HA121" s="215"/>
      <c r="HB121" s="215"/>
      <c r="HC121" s="215"/>
      <c r="HD121" s="215"/>
      <c r="HE121" s="215"/>
      <c r="HF121" s="215"/>
      <c r="HG121" s="215"/>
      <c r="HH121" s="215"/>
      <c r="HI121" s="215"/>
      <c r="HJ121" s="215"/>
      <c r="HK121" s="215"/>
      <c r="HL121" s="215"/>
      <c r="HM121" s="215"/>
      <c r="HN121" s="215"/>
      <c r="HO121" s="215"/>
      <c r="HP121" s="215"/>
      <c r="HQ121" s="215"/>
      <c r="HR121" s="215"/>
      <c r="HS121" s="215"/>
      <c r="HT121" s="215"/>
      <c r="HU121" s="215"/>
      <c r="HV121" s="215"/>
      <c r="HW121" s="215"/>
      <c r="HX121" s="215"/>
      <c r="HY121" s="215"/>
      <c r="HZ121" s="215"/>
      <c r="IA121" s="215"/>
      <c r="IB121" s="215"/>
      <c r="IC121" s="215"/>
      <c r="ID121" s="215"/>
      <c r="IE121" s="215"/>
      <c r="IF121" s="215"/>
      <c r="IG121" s="215"/>
      <c r="IH121" s="215"/>
      <c r="II121" s="215"/>
      <c r="IJ121" s="215"/>
      <c r="IS121" s="187"/>
      <c r="IT121" s="188"/>
      <c r="IU121" s="188"/>
      <c r="IV121" s="188"/>
      <c r="IW121" s="188"/>
      <c r="IX121" s="188"/>
      <c r="IY121" s="188"/>
      <c r="IZ121" s="188"/>
      <c r="JA121" s="188"/>
      <c r="JB121" s="188"/>
      <c r="JC121" s="188"/>
      <c r="JD121" s="188"/>
      <c r="JE121" s="188"/>
      <c r="JF121" s="188"/>
      <c r="JG121" s="188"/>
      <c r="JH121" s="188"/>
      <c r="JI121" s="188"/>
      <c r="JJ121" s="188"/>
      <c r="JK121" s="188"/>
      <c r="JL121" s="188"/>
      <c r="JM121" s="188"/>
      <c r="JN121" s="188"/>
      <c r="JO121" s="188"/>
      <c r="JP121" s="188"/>
      <c r="JQ121" s="188"/>
      <c r="JR121" s="188"/>
      <c r="JS121" s="188"/>
      <c r="JT121" s="188"/>
      <c r="JU121" s="188"/>
      <c r="JV121" s="188"/>
      <c r="JW121" s="188"/>
      <c r="JX121" s="188"/>
      <c r="JY121" s="188"/>
      <c r="JZ121" s="188"/>
      <c r="KA121" s="188"/>
      <c r="KB121" s="188"/>
      <c r="KC121" s="188"/>
      <c r="KD121" s="188"/>
      <c r="KE121" s="188"/>
      <c r="KF121" s="189"/>
      <c r="KG121" s="187"/>
      <c r="KH121" s="188"/>
      <c r="KI121" s="188"/>
      <c r="KJ121" s="188"/>
      <c r="KK121" s="189"/>
      <c r="KQ121" s="187"/>
      <c r="KR121" s="188"/>
      <c r="KS121" s="188"/>
      <c r="KT121" s="188"/>
      <c r="KU121" s="188"/>
      <c r="KV121" s="188"/>
      <c r="KW121" s="188"/>
      <c r="KX121" s="188"/>
      <c r="KY121" s="188"/>
      <c r="KZ121" s="188"/>
      <c r="LA121" s="188"/>
      <c r="LB121" s="188"/>
      <c r="LC121" s="188"/>
      <c r="LD121" s="188"/>
      <c r="LE121" s="188"/>
      <c r="LF121" s="188"/>
      <c r="LG121" s="188"/>
      <c r="LH121" s="188"/>
      <c r="LI121" s="188"/>
      <c r="LJ121" s="188"/>
      <c r="LK121" s="188"/>
      <c r="LL121" s="188"/>
      <c r="LM121" s="188"/>
      <c r="LN121" s="188"/>
      <c r="LO121" s="188"/>
      <c r="LP121" s="188"/>
      <c r="LQ121" s="188"/>
      <c r="LR121" s="188"/>
      <c r="LS121" s="188"/>
      <c r="LT121" s="188"/>
      <c r="LU121" s="188"/>
      <c r="LV121" s="188"/>
      <c r="LW121" s="188"/>
      <c r="LX121" s="188"/>
      <c r="LY121" s="188"/>
      <c r="LZ121" s="188"/>
      <c r="MA121" s="188"/>
      <c r="MB121" s="188"/>
      <c r="MC121" s="188"/>
      <c r="MD121" s="189"/>
      <c r="ME121" s="187"/>
      <c r="MF121" s="188"/>
      <c r="MG121" s="188"/>
      <c r="MH121" s="188"/>
      <c r="MI121" s="189"/>
      <c r="MN121" s="187"/>
      <c r="MO121" s="188"/>
      <c r="MP121" s="188"/>
      <c r="MQ121" s="188"/>
      <c r="MR121" s="188"/>
      <c r="MS121" s="188"/>
      <c r="MT121" s="188"/>
      <c r="MU121" s="188"/>
      <c r="MV121" s="188"/>
      <c r="MW121" s="188"/>
      <c r="MX121" s="188"/>
      <c r="MY121" s="188"/>
      <c r="MZ121" s="188"/>
      <c r="NA121" s="188"/>
      <c r="NB121" s="188"/>
      <c r="NC121" s="188"/>
      <c r="ND121" s="188"/>
      <c r="NE121" s="188"/>
      <c r="NF121" s="188"/>
      <c r="NG121" s="188"/>
      <c r="NH121" s="188"/>
      <c r="NI121" s="188"/>
      <c r="NJ121" s="188"/>
      <c r="NK121" s="188"/>
      <c r="NL121" s="188"/>
      <c r="NM121" s="188"/>
      <c r="NN121" s="188"/>
      <c r="NO121" s="188"/>
      <c r="NP121" s="188"/>
      <c r="NQ121" s="188"/>
      <c r="NR121" s="188"/>
      <c r="NS121" s="188"/>
      <c r="NT121" s="188"/>
      <c r="NU121" s="188"/>
      <c r="NV121" s="188"/>
      <c r="NW121" s="188"/>
      <c r="NX121" s="188"/>
      <c r="NY121" s="188"/>
      <c r="NZ121" s="188"/>
      <c r="OA121" s="189"/>
      <c r="OB121" s="187"/>
      <c r="OC121" s="188"/>
      <c r="OD121" s="188"/>
      <c r="OE121" s="188"/>
      <c r="OF121" s="189"/>
      <c r="QQ121" s="12"/>
      <c r="QR121" s="7"/>
      <c r="QS121" s="3"/>
      <c r="QT121" s="3"/>
      <c r="QU121" s="3"/>
      <c r="QV121" s="3"/>
      <c r="QW121" s="2"/>
    </row>
    <row r="122" spans="3:465" ht="5.0999999999999996" customHeight="1" x14ac:dyDescent="0.3">
      <c r="C122" s="11"/>
      <c r="D122" s="13"/>
      <c r="G122" s="187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9"/>
      <c r="AV122" s="187"/>
      <c r="AW122" s="188"/>
      <c r="AX122" s="188"/>
      <c r="AY122" s="188"/>
      <c r="AZ122" s="189"/>
      <c r="BC122" s="187"/>
      <c r="BD122" s="188"/>
      <c r="BE122" s="188"/>
      <c r="BF122" s="188"/>
      <c r="BG122" s="188"/>
      <c r="BH122" s="188"/>
      <c r="BI122" s="188"/>
      <c r="BJ122" s="188"/>
      <c r="BK122" s="188"/>
      <c r="BL122" s="188"/>
      <c r="BM122" s="188"/>
      <c r="BN122" s="188"/>
      <c r="BO122" s="188"/>
      <c r="BP122" s="188"/>
      <c r="BQ122" s="188"/>
      <c r="BR122" s="188"/>
      <c r="BS122" s="188"/>
      <c r="BT122" s="188"/>
      <c r="BU122" s="188"/>
      <c r="BV122" s="188"/>
      <c r="BW122" s="188"/>
      <c r="BX122" s="188"/>
      <c r="BY122" s="188"/>
      <c r="BZ122" s="188"/>
      <c r="CA122" s="188"/>
      <c r="CB122" s="188"/>
      <c r="CC122" s="188"/>
      <c r="CD122" s="188"/>
      <c r="CE122" s="188"/>
      <c r="CF122" s="188"/>
      <c r="CG122" s="188"/>
      <c r="CH122" s="188"/>
      <c r="CI122" s="188"/>
      <c r="CJ122" s="188"/>
      <c r="CK122" s="188"/>
      <c r="CL122" s="188"/>
      <c r="CM122" s="188"/>
      <c r="CN122" s="188"/>
      <c r="CO122" s="188"/>
      <c r="CP122" s="188"/>
      <c r="CQ122" s="189"/>
      <c r="CR122" s="187"/>
      <c r="CS122" s="188"/>
      <c r="CT122" s="188"/>
      <c r="CU122" s="188"/>
      <c r="CV122" s="189"/>
      <c r="CY122" s="187"/>
      <c r="CZ122" s="188"/>
      <c r="DA122" s="188"/>
      <c r="DB122" s="188"/>
      <c r="DC122" s="188"/>
      <c r="DD122" s="188"/>
      <c r="DE122" s="188"/>
      <c r="DF122" s="188"/>
      <c r="DG122" s="188"/>
      <c r="DH122" s="188"/>
      <c r="DI122" s="188"/>
      <c r="DJ122" s="188"/>
      <c r="DK122" s="188"/>
      <c r="DL122" s="188"/>
      <c r="DM122" s="188"/>
      <c r="DN122" s="188"/>
      <c r="DO122" s="188"/>
      <c r="DP122" s="188"/>
      <c r="DQ122" s="188"/>
      <c r="DR122" s="188"/>
      <c r="DS122" s="188"/>
      <c r="DT122" s="188"/>
      <c r="DU122" s="188"/>
      <c r="DV122" s="188"/>
      <c r="DW122" s="188"/>
      <c r="DX122" s="188"/>
      <c r="DY122" s="188"/>
      <c r="DZ122" s="188"/>
      <c r="EA122" s="188"/>
      <c r="EB122" s="188"/>
      <c r="EC122" s="188"/>
      <c r="ED122" s="188"/>
      <c r="EE122" s="188"/>
      <c r="EF122" s="188"/>
      <c r="EG122" s="188"/>
      <c r="EH122" s="188"/>
      <c r="EI122" s="188"/>
      <c r="EJ122" s="188"/>
      <c r="EK122" s="188"/>
      <c r="EL122" s="188"/>
      <c r="EM122" s="189"/>
      <c r="EN122" s="187"/>
      <c r="EO122" s="188"/>
      <c r="EP122" s="188"/>
      <c r="EQ122" s="188"/>
      <c r="ER122" s="189"/>
      <c r="EU122" s="187"/>
      <c r="EV122" s="188"/>
      <c r="EW122" s="188"/>
      <c r="EX122" s="188"/>
      <c r="EY122" s="188"/>
      <c r="EZ122" s="188"/>
      <c r="FA122" s="188"/>
      <c r="FB122" s="188"/>
      <c r="FC122" s="188"/>
      <c r="FD122" s="188"/>
      <c r="FE122" s="188"/>
      <c r="FF122" s="188"/>
      <c r="FG122" s="188"/>
      <c r="FH122" s="188"/>
      <c r="FI122" s="188"/>
      <c r="FJ122" s="188"/>
      <c r="FK122" s="188"/>
      <c r="FL122" s="188"/>
      <c r="FM122" s="188"/>
      <c r="FN122" s="188"/>
      <c r="FO122" s="188"/>
      <c r="FP122" s="188"/>
      <c r="FQ122" s="188"/>
      <c r="FR122" s="188"/>
      <c r="FS122" s="188"/>
      <c r="FT122" s="188"/>
      <c r="FU122" s="188"/>
      <c r="FV122" s="188"/>
      <c r="FW122" s="188"/>
      <c r="FX122" s="188"/>
      <c r="FY122" s="188"/>
      <c r="FZ122" s="188"/>
      <c r="GA122" s="188"/>
      <c r="GB122" s="188"/>
      <c r="GC122" s="188"/>
      <c r="GD122" s="188"/>
      <c r="GE122" s="188"/>
      <c r="GF122" s="188"/>
      <c r="GG122" s="188"/>
      <c r="GH122" s="188"/>
      <c r="GI122" s="189"/>
      <c r="GJ122" s="187"/>
      <c r="GK122" s="188"/>
      <c r="GL122" s="188"/>
      <c r="GM122" s="188"/>
      <c r="GN122" s="189"/>
      <c r="GQ122" s="215"/>
      <c r="GR122" s="215"/>
      <c r="GS122" s="215"/>
      <c r="GT122" s="215"/>
      <c r="GU122" s="215"/>
      <c r="GV122" s="215"/>
      <c r="GW122" s="215"/>
      <c r="GX122" s="215"/>
      <c r="GY122" s="215"/>
      <c r="GZ122" s="215"/>
      <c r="HA122" s="215"/>
      <c r="HB122" s="215"/>
      <c r="HC122" s="215"/>
      <c r="HD122" s="215"/>
      <c r="HE122" s="215"/>
      <c r="HF122" s="215"/>
      <c r="HG122" s="215"/>
      <c r="HH122" s="215"/>
      <c r="HI122" s="215"/>
      <c r="HJ122" s="215"/>
      <c r="HK122" s="215"/>
      <c r="HL122" s="215"/>
      <c r="HM122" s="215"/>
      <c r="HN122" s="215"/>
      <c r="HO122" s="215"/>
      <c r="HP122" s="215"/>
      <c r="HQ122" s="215"/>
      <c r="HR122" s="215"/>
      <c r="HS122" s="215"/>
      <c r="HT122" s="215"/>
      <c r="HU122" s="215"/>
      <c r="HV122" s="215"/>
      <c r="HW122" s="215"/>
      <c r="HX122" s="215"/>
      <c r="HY122" s="215"/>
      <c r="HZ122" s="215"/>
      <c r="IA122" s="215"/>
      <c r="IB122" s="215"/>
      <c r="IC122" s="215"/>
      <c r="ID122" s="215"/>
      <c r="IE122" s="215"/>
      <c r="IF122" s="215"/>
      <c r="IG122" s="215"/>
      <c r="IH122" s="215"/>
      <c r="II122" s="215"/>
      <c r="IJ122" s="215"/>
      <c r="IS122" s="187"/>
      <c r="IT122" s="188"/>
      <c r="IU122" s="188"/>
      <c r="IV122" s="188"/>
      <c r="IW122" s="188"/>
      <c r="IX122" s="188"/>
      <c r="IY122" s="188"/>
      <c r="IZ122" s="188"/>
      <c r="JA122" s="188"/>
      <c r="JB122" s="188"/>
      <c r="JC122" s="188"/>
      <c r="JD122" s="188"/>
      <c r="JE122" s="188"/>
      <c r="JF122" s="188"/>
      <c r="JG122" s="188"/>
      <c r="JH122" s="188"/>
      <c r="JI122" s="188"/>
      <c r="JJ122" s="188"/>
      <c r="JK122" s="188"/>
      <c r="JL122" s="188"/>
      <c r="JM122" s="188"/>
      <c r="JN122" s="188"/>
      <c r="JO122" s="188"/>
      <c r="JP122" s="188"/>
      <c r="JQ122" s="188"/>
      <c r="JR122" s="188"/>
      <c r="JS122" s="188"/>
      <c r="JT122" s="188"/>
      <c r="JU122" s="188"/>
      <c r="JV122" s="188"/>
      <c r="JW122" s="188"/>
      <c r="JX122" s="188"/>
      <c r="JY122" s="188"/>
      <c r="JZ122" s="188"/>
      <c r="KA122" s="188"/>
      <c r="KB122" s="188"/>
      <c r="KC122" s="188"/>
      <c r="KD122" s="188"/>
      <c r="KE122" s="188"/>
      <c r="KF122" s="189"/>
      <c r="KG122" s="187"/>
      <c r="KH122" s="188"/>
      <c r="KI122" s="188"/>
      <c r="KJ122" s="188"/>
      <c r="KK122" s="189"/>
      <c r="KQ122" s="187"/>
      <c r="KR122" s="188"/>
      <c r="KS122" s="188"/>
      <c r="KT122" s="188"/>
      <c r="KU122" s="188"/>
      <c r="KV122" s="188"/>
      <c r="KW122" s="188"/>
      <c r="KX122" s="188"/>
      <c r="KY122" s="188"/>
      <c r="KZ122" s="188"/>
      <c r="LA122" s="188"/>
      <c r="LB122" s="188"/>
      <c r="LC122" s="188"/>
      <c r="LD122" s="188"/>
      <c r="LE122" s="188"/>
      <c r="LF122" s="188"/>
      <c r="LG122" s="188"/>
      <c r="LH122" s="188"/>
      <c r="LI122" s="188"/>
      <c r="LJ122" s="188"/>
      <c r="LK122" s="188"/>
      <c r="LL122" s="188"/>
      <c r="LM122" s="188"/>
      <c r="LN122" s="188"/>
      <c r="LO122" s="188"/>
      <c r="LP122" s="188"/>
      <c r="LQ122" s="188"/>
      <c r="LR122" s="188"/>
      <c r="LS122" s="188"/>
      <c r="LT122" s="188"/>
      <c r="LU122" s="188"/>
      <c r="LV122" s="188"/>
      <c r="LW122" s="188"/>
      <c r="LX122" s="188"/>
      <c r="LY122" s="188"/>
      <c r="LZ122" s="188"/>
      <c r="MA122" s="188"/>
      <c r="MB122" s="188"/>
      <c r="MC122" s="188"/>
      <c r="MD122" s="189"/>
      <c r="ME122" s="187"/>
      <c r="MF122" s="188"/>
      <c r="MG122" s="188"/>
      <c r="MH122" s="188"/>
      <c r="MI122" s="189"/>
      <c r="MN122" s="187"/>
      <c r="MO122" s="188"/>
      <c r="MP122" s="188"/>
      <c r="MQ122" s="188"/>
      <c r="MR122" s="188"/>
      <c r="MS122" s="188"/>
      <c r="MT122" s="188"/>
      <c r="MU122" s="188"/>
      <c r="MV122" s="188"/>
      <c r="MW122" s="188"/>
      <c r="MX122" s="188"/>
      <c r="MY122" s="188"/>
      <c r="MZ122" s="188"/>
      <c r="NA122" s="188"/>
      <c r="NB122" s="188"/>
      <c r="NC122" s="188"/>
      <c r="ND122" s="188"/>
      <c r="NE122" s="188"/>
      <c r="NF122" s="188"/>
      <c r="NG122" s="188"/>
      <c r="NH122" s="188"/>
      <c r="NI122" s="188"/>
      <c r="NJ122" s="188"/>
      <c r="NK122" s="188"/>
      <c r="NL122" s="188"/>
      <c r="NM122" s="188"/>
      <c r="NN122" s="188"/>
      <c r="NO122" s="188"/>
      <c r="NP122" s="188"/>
      <c r="NQ122" s="188"/>
      <c r="NR122" s="188"/>
      <c r="NS122" s="188"/>
      <c r="NT122" s="188"/>
      <c r="NU122" s="188"/>
      <c r="NV122" s="188"/>
      <c r="NW122" s="188"/>
      <c r="NX122" s="188"/>
      <c r="NY122" s="188"/>
      <c r="NZ122" s="188"/>
      <c r="OA122" s="189"/>
      <c r="OB122" s="187"/>
      <c r="OC122" s="188"/>
      <c r="OD122" s="188"/>
      <c r="OE122" s="188"/>
      <c r="OF122" s="189"/>
      <c r="QQ122" s="12"/>
      <c r="QR122" s="7"/>
      <c r="QS122" s="3"/>
      <c r="QT122" s="3"/>
      <c r="QU122" s="3"/>
      <c r="QV122" s="3"/>
      <c r="QW122" s="2"/>
    </row>
    <row r="123" spans="3:465" ht="5.0999999999999996" customHeight="1" x14ac:dyDescent="0.3">
      <c r="C123" s="11"/>
      <c r="D123" s="13"/>
      <c r="G123" s="187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9"/>
      <c r="AV123" s="187"/>
      <c r="AW123" s="188"/>
      <c r="AX123" s="188"/>
      <c r="AY123" s="188"/>
      <c r="AZ123" s="189"/>
      <c r="BC123" s="187"/>
      <c r="BD123" s="188"/>
      <c r="BE123" s="188"/>
      <c r="BF123" s="188"/>
      <c r="BG123" s="188"/>
      <c r="BH123" s="188"/>
      <c r="BI123" s="188"/>
      <c r="BJ123" s="188"/>
      <c r="BK123" s="188"/>
      <c r="BL123" s="188"/>
      <c r="BM123" s="188"/>
      <c r="BN123" s="188"/>
      <c r="BO123" s="188"/>
      <c r="BP123" s="188"/>
      <c r="BQ123" s="188"/>
      <c r="BR123" s="188"/>
      <c r="BS123" s="188"/>
      <c r="BT123" s="188"/>
      <c r="BU123" s="188"/>
      <c r="BV123" s="188"/>
      <c r="BW123" s="188"/>
      <c r="BX123" s="188"/>
      <c r="BY123" s="188"/>
      <c r="BZ123" s="188"/>
      <c r="CA123" s="188"/>
      <c r="CB123" s="188"/>
      <c r="CC123" s="188"/>
      <c r="CD123" s="188"/>
      <c r="CE123" s="188"/>
      <c r="CF123" s="188"/>
      <c r="CG123" s="188"/>
      <c r="CH123" s="188"/>
      <c r="CI123" s="188"/>
      <c r="CJ123" s="188"/>
      <c r="CK123" s="188"/>
      <c r="CL123" s="188"/>
      <c r="CM123" s="188"/>
      <c r="CN123" s="188"/>
      <c r="CO123" s="188"/>
      <c r="CP123" s="188"/>
      <c r="CQ123" s="189"/>
      <c r="CR123" s="187"/>
      <c r="CS123" s="188"/>
      <c r="CT123" s="188"/>
      <c r="CU123" s="188"/>
      <c r="CV123" s="189"/>
      <c r="CY123" s="187"/>
      <c r="CZ123" s="188"/>
      <c r="DA123" s="188"/>
      <c r="DB123" s="188"/>
      <c r="DC123" s="188"/>
      <c r="DD123" s="188"/>
      <c r="DE123" s="188"/>
      <c r="DF123" s="188"/>
      <c r="DG123" s="188"/>
      <c r="DH123" s="188"/>
      <c r="DI123" s="188"/>
      <c r="DJ123" s="188"/>
      <c r="DK123" s="188"/>
      <c r="DL123" s="188"/>
      <c r="DM123" s="188"/>
      <c r="DN123" s="188"/>
      <c r="DO123" s="188"/>
      <c r="DP123" s="188"/>
      <c r="DQ123" s="188"/>
      <c r="DR123" s="188"/>
      <c r="DS123" s="188"/>
      <c r="DT123" s="188"/>
      <c r="DU123" s="188"/>
      <c r="DV123" s="188"/>
      <c r="DW123" s="188"/>
      <c r="DX123" s="188"/>
      <c r="DY123" s="188"/>
      <c r="DZ123" s="188"/>
      <c r="EA123" s="188"/>
      <c r="EB123" s="188"/>
      <c r="EC123" s="188"/>
      <c r="ED123" s="188"/>
      <c r="EE123" s="188"/>
      <c r="EF123" s="188"/>
      <c r="EG123" s="188"/>
      <c r="EH123" s="188"/>
      <c r="EI123" s="188"/>
      <c r="EJ123" s="188"/>
      <c r="EK123" s="188"/>
      <c r="EL123" s="188"/>
      <c r="EM123" s="189"/>
      <c r="EN123" s="187"/>
      <c r="EO123" s="188"/>
      <c r="EP123" s="188"/>
      <c r="EQ123" s="188"/>
      <c r="ER123" s="189"/>
      <c r="EU123" s="187"/>
      <c r="EV123" s="188"/>
      <c r="EW123" s="188"/>
      <c r="EX123" s="188"/>
      <c r="EY123" s="188"/>
      <c r="EZ123" s="188"/>
      <c r="FA123" s="188"/>
      <c r="FB123" s="188"/>
      <c r="FC123" s="188"/>
      <c r="FD123" s="188"/>
      <c r="FE123" s="188"/>
      <c r="FF123" s="188"/>
      <c r="FG123" s="188"/>
      <c r="FH123" s="188"/>
      <c r="FI123" s="188"/>
      <c r="FJ123" s="188"/>
      <c r="FK123" s="188"/>
      <c r="FL123" s="188"/>
      <c r="FM123" s="188"/>
      <c r="FN123" s="188"/>
      <c r="FO123" s="188"/>
      <c r="FP123" s="188"/>
      <c r="FQ123" s="188"/>
      <c r="FR123" s="188"/>
      <c r="FS123" s="188"/>
      <c r="FT123" s="188"/>
      <c r="FU123" s="188"/>
      <c r="FV123" s="188"/>
      <c r="FW123" s="188"/>
      <c r="FX123" s="188"/>
      <c r="FY123" s="188"/>
      <c r="FZ123" s="188"/>
      <c r="GA123" s="188"/>
      <c r="GB123" s="188"/>
      <c r="GC123" s="188"/>
      <c r="GD123" s="188"/>
      <c r="GE123" s="188"/>
      <c r="GF123" s="188"/>
      <c r="GG123" s="188"/>
      <c r="GH123" s="188"/>
      <c r="GI123" s="189"/>
      <c r="GJ123" s="187"/>
      <c r="GK123" s="188"/>
      <c r="GL123" s="188"/>
      <c r="GM123" s="188"/>
      <c r="GN123" s="189"/>
      <c r="GQ123" s="215"/>
      <c r="GR123" s="215"/>
      <c r="GS123" s="215"/>
      <c r="GT123" s="215"/>
      <c r="GU123" s="215"/>
      <c r="GV123" s="215"/>
      <c r="GW123" s="215"/>
      <c r="GX123" s="215"/>
      <c r="GY123" s="215"/>
      <c r="GZ123" s="215"/>
      <c r="HA123" s="215"/>
      <c r="HB123" s="215"/>
      <c r="HC123" s="215"/>
      <c r="HD123" s="215"/>
      <c r="HE123" s="215"/>
      <c r="HF123" s="215"/>
      <c r="HG123" s="215"/>
      <c r="HH123" s="215"/>
      <c r="HI123" s="215"/>
      <c r="HJ123" s="215"/>
      <c r="HK123" s="215"/>
      <c r="HL123" s="215"/>
      <c r="HM123" s="215"/>
      <c r="HN123" s="215"/>
      <c r="HO123" s="215"/>
      <c r="HP123" s="215"/>
      <c r="HQ123" s="215"/>
      <c r="HR123" s="215"/>
      <c r="HS123" s="215"/>
      <c r="HT123" s="215"/>
      <c r="HU123" s="215"/>
      <c r="HV123" s="215"/>
      <c r="HW123" s="215"/>
      <c r="HX123" s="215"/>
      <c r="HY123" s="215"/>
      <c r="HZ123" s="215"/>
      <c r="IA123" s="215"/>
      <c r="IB123" s="215"/>
      <c r="IC123" s="215"/>
      <c r="ID123" s="215"/>
      <c r="IE123" s="215"/>
      <c r="IF123" s="215"/>
      <c r="IG123" s="215"/>
      <c r="IH123" s="215"/>
      <c r="II123" s="215"/>
      <c r="IJ123" s="215"/>
      <c r="IS123" s="187"/>
      <c r="IT123" s="188"/>
      <c r="IU123" s="188"/>
      <c r="IV123" s="188"/>
      <c r="IW123" s="188"/>
      <c r="IX123" s="188"/>
      <c r="IY123" s="188"/>
      <c r="IZ123" s="188"/>
      <c r="JA123" s="188"/>
      <c r="JB123" s="188"/>
      <c r="JC123" s="188"/>
      <c r="JD123" s="188"/>
      <c r="JE123" s="188"/>
      <c r="JF123" s="188"/>
      <c r="JG123" s="188"/>
      <c r="JH123" s="188"/>
      <c r="JI123" s="188"/>
      <c r="JJ123" s="188"/>
      <c r="JK123" s="188"/>
      <c r="JL123" s="188"/>
      <c r="JM123" s="188"/>
      <c r="JN123" s="188"/>
      <c r="JO123" s="188"/>
      <c r="JP123" s="188"/>
      <c r="JQ123" s="188"/>
      <c r="JR123" s="188"/>
      <c r="JS123" s="188"/>
      <c r="JT123" s="188"/>
      <c r="JU123" s="188"/>
      <c r="JV123" s="188"/>
      <c r="JW123" s="188"/>
      <c r="JX123" s="188"/>
      <c r="JY123" s="188"/>
      <c r="JZ123" s="188"/>
      <c r="KA123" s="188"/>
      <c r="KB123" s="188"/>
      <c r="KC123" s="188"/>
      <c r="KD123" s="188"/>
      <c r="KE123" s="188"/>
      <c r="KF123" s="189"/>
      <c r="KG123" s="187"/>
      <c r="KH123" s="188"/>
      <c r="KI123" s="188"/>
      <c r="KJ123" s="188"/>
      <c r="KK123" s="189"/>
      <c r="KQ123" s="187"/>
      <c r="KR123" s="188"/>
      <c r="KS123" s="188"/>
      <c r="KT123" s="188"/>
      <c r="KU123" s="188"/>
      <c r="KV123" s="188"/>
      <c r="KW123" s="188"/>
      <c r="KX123" s="188"/>
      <c r="KY123" s="188"/>
      <c r="KZ123" s="188"/>
      <c r="LA123" s="188"/>
      <c r="LB123" s="188"/>
      <c r="LC123" s="188"/>
      <c r="LD123" s="188"/>
      <c r="LE123" s="188"/>
      <c r="LF123" s="188"/>
      <c r="LG123" s="188"/>
      <c r="LH123" s="188"/>
      <c r="LI123" s="188"/>
      <c r="LJ123" s="188"/>
      <c r="LK123" s="188"/>
      <c r="LL123" s="188"/>
      <c r="LM123" s="188"/>
      <c r="LN123" s="188"/>
      <c r="LO123" s="188"/>
      <c r="LP123" s="188"/>
      <c r="LQ123" s="188"/>
      <c r="LR123" s="188"/>
      <c r="LS123" s="188"/>
      <c r="LT123" s="188"/>
      <c r="LU123" s="188"/>
      <c r="LV123" s="188"/>
      <c r="LW123" s="188"/>
      <c r="LX123" s="188"/>
      <c r="LY123" s="188"/>
      <c r="LZ123" s="188"/>
      <c r="MA123" s="188"/>
      <c r="MB123" s="188"/>
      <c r="MC123" s="188"/>
      <c r="MD123" s="189"/>
      <c r="ME123" s="187"/>
      <c r="MF123" s="188"/>
      <c r="MG123" s="188"/>
      <c r="MH123" s="188"/>
      <c r="MI123" s="189"/>
      <c r="MN123" s="187"/>
      <c r="MO123" s="188"/>
      <c r="MP123" s="188"/>
      <c r="MQ123" s="188"/>
      <c r="MR123" s="188"/>
      <c r="MS123" s="188"/>
      <c r="MT123" s="188"/>
      <c r="MU123" s="188"/>
      <c r="MV123" s="188"/>
      <c r="MW123" s="188"/>
      <c r="MX123" s="188"/>
      <c r="MY123" s="188"/>
      <c r="MZ123" s="188"/>
      <c r="NA123" s="188"/>
      <c r="NB123" s="188"/>
      <c r="NC123" s="188"/>
      <c r="ND123" s="188"/>
      <c r="NE123" s="188"/>
      <c r="NF123" s="188"/>
      <c r="NG123" s="188"/>
      <c r="NH123" s="188"/>
      <c r="NI123" s="188"/>
      <c r="NJ123" s="188"/>
      <c r="NK123" s="188"/>
      <c r="NL123" s="188"/>
      <c r="NM123" s="188"/>
      <c r="NN123" s="188"/>
      <c r="NO123" s="188"/>
      <c r="NP123" s="188"/>
      <c r="NQ123" s="188"/>
      <c r="NR123" s="188"/>
      <c r="NS123" s="188"/>
      <c r="NT123" s="188"/>
      <c r="NU123" s="188"/>
      <c r="NV123" s="188"/>
      <c r="NW123" s="188"/>
      <c r="NX123" s="188"/>
      <c r="NY123" s="188"/>
      <c r="NZ123" s="188"/>
      <c r="OA123" s="189"/>
      <c r="OB123" s="187"/>
      <c r="OC123" s="188"/>
      <c r="OD123" s="188"/>
      <c r="OE123" s="188"/>
      <c r="OF123" s="189"/>
      <c r="QQ123" s="12"/>
      <c r="QR123" s="7"/>
      <c r="QS123" s="3"/>
      <c r="QT123" s="3"/>
      <c r="QU123" s="3"/>
      <c r="QV123" s="3"/>
      <c r="QW123" s="2"/>
    </row>
    <row r="124" spans="3:465" ht="5.0999999999999996" customHeight="1" x14ac:dyDescent="0.3">
      <c r="C124" s="11"/>
      <c r="D124" s="13"/>
      <c r="G124" s="187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9"/>
      <c r="AV124" s="187"/>
      <c r="AW124" s="188"/>
      <c r="AX124" s="188"/>
      <c r="AY124" s="188"/>
      <c r="AZ124" s="189"/>
      <c r="BC124" s="187"/>
      <c r="BD124" s="188"/>
      <c r="BE124" s="188"/>
      <c r="BF124" s="188"/>
      <c r="BG124" s="188"/>
      <c r="BH124" s="188"/>
      <c r="BI124" s="188"/>
      <c r="BJ124" s="188"/>
      <c r="BK124" s="188"/>
      <c r="BL124" s="188"/>
      <c r="BM124" s="188"/>
      <c r="BN124" s="188"/>
      <c r="BO124" s="188"/>
      <c r="BP124" s="188"/>
      <c r="BQ124" s="188"/>
      <c r="BR124" s="188"/>
      <c r="BS124" s="188"/>
      <c r="BT124" s="188"/>
      <c r="BU124" s="188"/>
      <c r="BV124" s="188"/>
      <c r="BW124" s="188"/>
      <c r="BX124" s="188"/>
      <c r="BY124" s="188"/>
      <c r="BZ124" s="188"/>
      <c r="CA124" s="188"/>
      <c r="CB124" s="188"/>
      <c r="CC124" s="188"/>
      <c r="CD124" s="188"/>
      <c r="CE124" s="188"/>
      <c r="CF124" s="188"/>
      <c r="CG124" s="188"/>
      <c r="CH124" s="188"/>
      <c r="CI124" s="188"/>
      <c r="CJ124" s="188"/>
      <c r="CK124" s="188"/>
      <c r="CL124" s="188"/>
      <c r="CM124" s="188"/>
      <c r="CN124" s="188"/>
      <c r="CO124" s="188"/>
      <c r="CP124" s="188"/>
      <c r="CQ124" s="189"/>
      <c r="CR124" s="187"/>
      <c r="CS124" s="188"/>
      <c r="CT124" s="188"/>
      <c r="CU124" s="188"/>
      <c r="CV124" s="189"/>
      <c r="CY124" s="187"/>
      <c r="CZ124" s="188"/>
      <c r="DA124" s="188"/>
      <c r="DB124" s="188"/>
      <c r="DC124" s="188"/>
      <c r="DD124" s="188"/>
      <c r="DE124" s="188"/>
      <c r="DF124" s="188"/>
      <c r="DG124" s="188"/>
      <c r="DH124" s="188"/>
      <c r="DI124" s="188"/>
      <c r="DJ124" s="188"/>
      <c r="DK124" s="188"/>
      <c r="DL124" s="188"/>
      <c r="DM124" s="188"/>
      <c r="DN124" s="188"/>
      <c r="DO124" s="188"/>
      <c r="DP124" s="188"/>
      <c r="DQ124" s="188"/>
      <c r="DR124" s="188"/>
      <c r="DS124" s="188"/>
      <c r="DT124" s="188"/>
      <c r="DU124" s="188"/>
      <c r="DV124" s="188"/>
      <c r="DW124" s="188"/>
      <c r="DX124" s="188"/>
      <c r="DY124" s="188"/>
      <c r="DZ124" s="188"/>
      <c r="EA124" s="188"/>
      <c r="EB124" s="188"/>
      <c r="EC124" s="188"/>
      <c r="ED124" s="188"/>
      <c r="EE124" s="188"/>
      <c r="EF124" s="188"/>
      <c r="EG124" s="188"/>
      <c r="EH124" s="188"/>
      <c r="EI124" s="188"/>
      <c r="EJ124" s="188"/>
      <c r="EK124" s="188"/>
      <c r="EL124" s="188"/>
      <c r="EM124" s="189"/>
      <c r="EN124" s="187"/>
      <c r="EO124" s="188"/>
      <c r="EP124" s="188"/>
      <c r="EQ124" s="188"/>
      <c r="ER124" s="189"/>
      <c r="EU124" s="187"/>
      <c r="EV124" s="188"/>
      <c r="EW124" s="188"/>
      <c r="EX124" s="188"/>
      <c r="EY124" s="188"/>
      <c r="EZ124" s="188"/>
      <c r="FA124" s="188"/>
      <c r="FB124" s="188"/>
      <c r="FC124" s="188"/>
      <c r="FD124" s="188"/>
      <c r="FE124" s="188"/>
      <c r="FF124" s="188"/>
      <c r="FG124" s="188"/>
      <c r="FH124" s="188"/>
      <c r="FI124" s="188"/>
      <c r="FJ124" s="188"/>
      <c r="FK124" s="188"/>
      <c r="FL124" s="188"/>
      <c r="FM124" s="188"/>
      <c r="FN124" s="188"/>
      <c r="FO124" s="188"/>
      <c r="FP124" s="188"/>
      <c r="FQ124" s="188"/>
      <c r="FR124" s="188"/>
      <c r="FS124" s="188"/>
      <c r="FT124" s="188"/>
      <c r="FU124" s="188"/>
      <c r="FV124" s="188"/>
      <c r="FW124" s="188"/>
      <c r="FX124" s="188"/>
      <c r="FY124" s="188"/>
      <c r="FZ124" s="188"/>
      <c r="GA124" s="188"/>
      <c r="GB124" s="188"/>
      <c r="GC124" s="188"/>
      <c r="GD124" s="188"/>
      <c r="GE124" s="188"/>
      <c r="GF124" s="188"/>
      <c r="GG124" s="188"/>
      <c r="GH124" s="188"/>
      <c r="GI124" s="189"/>
      <c r="GJ124" s="187"/>
      <c r="GK124" s="188"/>
      <c r="GL124" s="188"/>
      <c r="GM124" s="188"/>
      <c r="GN124" s="189"/>
      <c r="GQ124" s="215"/>
      <c r="GR124" s="215"/>
      <c r="GS124" s="215"/>
      <c r="GT124" s="215"/>
      <c r="GU124" s="215"/>
      <c r="GV124" s="215"/>
      <c r="GW124" s="215"/>
      <c r="GX124" s="215"/>
      <c r="GY124" s="215"/>
      <c r="GZ124" s="215"/>
      <c r="HA124" s="215"/>
      <c r="HB124" s="215"/>
      <c r="HC124" s="215"/>
      <c r="HD124" s="215"/>
      <c r="HE124" s="215"/>
      <c r="HF124" s="215"/>
      <c r="HG124" s="215"/>
      <c r="HH124" s="215"/>
      <c r="HI124" s="215"/>
      <c r="HJ124" s="215"/>
      <c r="HK124" s="215"/>
      <c r="HL124" s="215"/>
      <c r="HM124" s="215"/>
      <c r="HN124" s="215"/>
      <c r="HO124" s="215"/>
      <c r="HP124" s="215"/>
      <c r="HQ124" s="215"/>
      <c r="HR124" s="215"/>
      <c r="HS124" s="215"/>
      <c r="HT124" s="215"/>
      <c r="HU124" s="215"/>
      <c r="HV124" s="215"/>
      <c r="HW124" s="215"/>
      <c r="HX124" s="215"/>
      <c r="HY124" s="215"/>
      <c r="HZ124" s="215"/>
      <c r="IA124" s="215"/>
      <c r="IB124" s="215"/>
      <c r="IC124" s="215"/>
      <c r="ID124" s="215"/>
      <c r="IE124" s="215"/>
      <c r="IF124" s="215"/>
      <c r="IG124" s="215"/>
      <c r="IH124" s="215"/>
      <c r="II124" s="215"/>
      <c r="IJ124" s="215"/>
      <c r="IS124" s="187"/>
      <c r="IT124" s="188"/>
      <c r="IU124" s="188"/>
      <c r="IV124" s="188"/>
      <c r="IW124" s="188"/>
      <c r="IX124" s="188"/>
      <c r="IY124" s="188"/>
      <c r="IZ124" s="188"/>
      <c r="JA124" s="188"/>
      <c r="JB124" s="188"/>
      <c r="JC124" s="188"/>
      <c r="JD124" s="188"/>
      <c r="JE124" s="188"/>
      <c r="JF124" s="188"/>
      <c r="JG124" s="188"/>
      <c r="JH124" s="188"/>
      <c r="JI124" s="188"/>
      <c r="JJ124" s="188"/>
      <c r="JK124" s="188"/>
      <c r="JL124" s="188"/>
      <c r="JM124" s="188"/>
      <c r="JN124" s="188"/>
      <c r="JO124" s="188"/>
      <c r="JP124" s="188"/>
      <c r="JQ124" s="188"/>
      <c r="JR124" s="188"/>
      <c r="JS124" s="188"/>
      <c r="JT124" s="188"/>
      <c r="JU124" s="188"/>
      <c r="JV124" s="188"/>
      <c r="JW124" s="188"/>
      <c r="JX124" s="188"/>
      <c r="JY124" s="188"/>
      <c r="JZ124" s="188"/>
      <c r="KA124" s="188"/>
      <c r="KB124" s="188"/>
      <c r="KC124" s="188"/>
      <c r="KD124" s="188"/>
      <c r="KE124" s="188"/>
      <c r="KF124" s="189"/>
      <c r="KG124" s="187"/>
      <c r="KH124" s="188"/>
      <c r="KI124" s="188"/>
      <c r="KJ124" s="188"/>
      <c r="KK124" s="189"/>
      <c r="KQ124" s="187"/>
      <c r="KR124" s="188"/>
      <c r="KS124" s="188"/>
      <c r="KT124" s="188"/>
      <c r="KU124" s="188"/>
      <c r="KV124" s="188"/>
      <c r="KW124" s="188"/>
      <c r="KX124" s="188"/>
      <c r="KY124" s="188"/>
      <c r="KZ124" s="188"/>
      <c r="LA124" s="188"/>
      <c r="LB124" s="188"/>
      <c r="LC124" s="188"/>
      <c r="LD124" s="188"/>
      <c r="LE124" s="188"/>
      <c r="LF124" s="188"/>
      <c r="LG124" s="188"/>
      <c r="LH124" s="188"/>
      <c r="LI124" s="188"/>
      <c r="LJ124" s="188"/>
      <c r="LK124" s="188"/>
      <c r="LL124" s="188"/>
      <c r="LM124" s="188"/>
      <c r="LN124" s="188"/>
      <c r="LO124" s="188"/>
      <c r="LP124" s="188"/>
      <c r="LQ124" s="188"/>
      <c r="LR124" s="188"/>
      <c r="LS124" s="188"/>
      <c r="LT124" s="188"/>
      <c r="LU124" s="188"/>
      <c r="LV124" s="188"/>
      <c r="LW124" s="188"/>
      <c r="LX124" s="188"/>
      <c r="LY124" s="188"/>
      <c r="LZ124" s="188"/>
      <c r="MA124" s="188"/>
      <c r="MB124" s="188"/>
      <c r="MC124" s="188"/>
      <c r="MD124" s="189"/>
      <c r="ME124" s="187"/>
      <c r="MF124" s="188"/>
      <c r="MG124" s="188"/>
      <c r="MH124" s="188"/>
      <c r="MI124" s="189"/>
      <c r="MN124" s="187"/>
      <c r="MO124" s="188"/>
      <c r="MP124" s="188"/>
      <c r="MQ124" s="188"/>
      <c r="MR124" s="188"/>
      <c r="MS124" s="188"/>
      <c r="MT124" s="188"/>
      <c r="MU124" s="188"/>
      <c r="MV124" s="188"/>
      <c r="MW124" s="188"/>
      <c r="MX124" s="188"/>
      <c r="MY124" s="188"/>
      <c r="MZ124" s="188"/>
      <c r="NA124" s="188"/>
      <c r="NB124" s="188"/>
      <c r="NC124" s="188"/>
      <c r="ND124" s="188"/>
      <c r="NE124" s="188"/>
      <c r="NF124" s="188"/>
      <c r="NG124" s="188"/>
      <c r="NH124" s="188"/>
      <c r="NI124" s="188"/>
      <c r="NJ124" s="188"/>
      <c r="NK124" s="188"/>
      <c r="NL124" s="188"/>
      <c r="NM124" s="188"/>
      <c r="NN124" s="188"/>
      <c r="NO124" s="188"/>
      <c r="NP124" s="188"/>
      <c r="NQ124" s="188"/>
      <c r="NR124" s="188"/>
      <c r="NS124" s="188"/>
      <c r="NT124" s="188"/>
      <c r="NU124" s="188"/>
      <c r="NV124" s="188"/>
      <c r="NW124" s="188"/>
      <c r="NX124" s="188"/>
      <c r="NY124" s="188"/>
      <c r="NZ124" s="188"/>
      <c r="OA124" s="189"/>
      <c r="OB124" s="187"/>
      <c r="OC124" s="188"/>
      <c r="OD124" s="188"/>
      <c r="OE124" s="188"/>
      <c r="OF124" s="189"/>
      <c r="QQ124" s="12"/>
      <c r="QR124" s="7"/>
      <c r="QS124" s="3"/>
      <c r="QT124" s="3"/>
      <c r="QU124" s="3"/>
      <c r="QV124" s="3"/>
      <c r="QW124" s="2"/>
    </row>
    <row r="125" spans="3:465" ht="5.0999999999999996" customHeight="1" x14ac:dyDescent="0.3">
      <c r="C125" s="11"/>
      <c r="D125" s="13"/>
      <c r="G125" s="190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2"/>
      <c r="AV125" s="190"/>
      <c r="AW125" s="191"/>
      <c r="AX125" s="191"/>
      <c r="AY125" s="191"/>
      <c r="AZ125" s="192"/>
      <c r="BC125" s="190"/>
      <c r="BD125" s="191"/>
      <c r="BE125" s="191"/>
      <c r="BF125" s="191"/>
      <c r="BG125" s="191"/>
      <c r="BH125" s="191"/>
      <c r="BI125" s="191"/>
      <c r="BJ125" s="191"/>
      <c r="BK125" s="191"/>
      <c r="BL125" s="191"/>
      <c r="BM125" s="191"/>
      <c r="BN125" s="191"/>
      <c r="BO125" s="191"/>
      <c r="BP125" s="191"/>
      <c r="BQ125" s="191"/>
      <c r="BR125" s="191"/>
      <c r="BS125" s="191"/>
      <c r="BT125" s="191"/>
      <c r="BU125" s="191"/>
      <c r="BV125" s="191"/>
      <c r="BW125" s="191"/>
      <c r="BX125" s="191"/>
      <c r="BY125" s="191"/>
      <c r="BZ125" s="191"/>
      <c r="CA125" s="191"/>
      <c r="CB125" s="191"/>
      <c r="CC125" s="191"/>
      <c r="CD125" s="191"/>
      <c r="CE125" s="191"/>
      <c r="CF125" s="191"/>
      <c r="CG125" s="191"/>
      <c r="CH125" s="191"/>
      <c r="CI125" s="191"/>
      <c r="CJ125" s="191"/>
      <c r="CK125" s="191"/>
      <c r="CL125" s="191"/>
      <c r="CM125" s="191"/>
      <c r="CN125" s="191"/>
      <c r="CO125" s="191"/>
      <c r="CP125" s="191"/>
      <c r="CQ125" s="192"/>
      <c r="CR125" s="190"/>
      <c r="CS125" s="191"/>
      <c r="CT125" s="191"/>
      <c r="CU125" s="191"/>
      <c r="CV125" s="192"/>
      <c r="CY125" s="190"/>
      <c r="CZ125" s="191"/>
      <c r="DA125" s="191"/>
      <c r="DB125" s="191"/>
      <c r="DC125" s="191"/>
      <c r="DD125" s="191"/>
      <c r="DE125" s="191"/>
      <c r="DF125" s="191"/>
      <c r="DG125" s="191"/>
      <c r="DH125" s="191"/>
      <c r="DI125" s="191"/>
      <c r="DJ125" s="191"/>
      <c r="DK125" s="191"/>
      <c r="DL125" s="191"/>
      <c r="DM125" s="191"/>
      <c r="DN125" s="191"/>
      <c r="DO125" s="191"/>
      <c r="DP125" s="191"/>
      <c r="DQ125" s="191"/>
      <c r="DR125" s="191"/>
      <c r="DS125" s="191"/>
      <c r="DT125" s="191"/>
      <c r="DU125" s="191"/>
      <c r="DV125" s="191"/>
      <c r="DW125" s="191"/>
      <c r="DX125" s="191"/>
      <c r="DY125" s="191"/>
      <c r="DZ125" s="191"/>
      <c r="EA125" s="191"/>
      <c r="EB125" s="191"/>
      <c r="EC125" s="191"/>
      <c r="ED125" s="191"/>
      <c r="EE125" s="191"/>
      <c r="EF125" s="191"/>
      <c r="EG125" s="191"/>
      <c r="EH125" s="191"/>
      <c r="EI125" s="191"/>
      <c r="EJ125" s="191"/>
      <c r="EK125" s="191"/>
      <c r="EL125" s="191"/>
      <c r="EM125" s="192"/>
      <c r="EN125" s="190"/>
      <c r="EO125" s="191"/>
      <c r="EP125" s="191"/>
      <c r="EQ125" s="191"/>
      <c r="ER125" s="192"/>
      <c r="EU125" s="190"/>
      <c r="EV125" s="191"/>
      <c r="EW125" s="191"/>
      <c r="EX125" s="191"/>
      <c r="EY125" s="191"/>
      <c r="EZ125" s="191"/>
      <c r="FA125" s="191"/>
      <c r="FB125" s="191"/>
      <c r="FC125" s="191"/>
      <c r="FD125" s="191"/>
      <c r="FE125" s="191"/>
      <c r="FF125" s="191"/>
      <c r="FG125" s="191"/>
      <c r="FH125" s="191"/>
      <c r="FI125" s="191"/>
      <c r="FJ125" s="191"/>
      <c r="FK125" s="191"/>
      <c r="FL125" s="191"/>
      <c r="FM125" s="191"/>
      <c r="FN125" s="191"/>
      <c r="FO125" s="191"/>
      <c r="FP125" s="191"/>
      <c r="FQ125" s="191"/>
      <c r="FR125" s="191"/>
      <c r="FS125" s="191"/>
      <c r="FT125" s="191"/>
      <c r="FU125" s="191"/>
      <c r="FV125" s="191"/>
      <c r="FW125" s="191"/>
      <c r="FX125" s="191"/>
      <c r="FY125" s="191"/>
      <c r="FZ125" s="191"/>
      <c r="GA125" s="191"/>
      <c r="GB125" s="191"/>
      <c r="GC125" s="191"/>
      <c r="GD125" s="191"/>
      <c r="GE125" s="191"/>
      <c r="GF125" s="191"/>
      <c r="GG125" s="191"/>
      <c r="GH125" s="191"/>
      <c r="GI125" s="192"/>
      <c r="GJ125" s="190"/>
      <c r="GK125" s="191"/>
      <c r="GL125" s="191"/>
      <c r="GM125" s="191"/>
      <c r="GN125" s="192"/>
      <c r="GQ125" s="215"/>
      <c r="GR125" s="215"/>
      <c r="GS125" s="215"/>
      <c r="GT125" s="215"/>
      <c r="GU125" s="215"/>
      <c r="GV125" s="215"/>
      <c r="GW125" s="215"/>
      <c r="GX125" s="215"/>
      <c r="GY125" s="215"/>
      <c r="GZ125" s="215"/>
      <c r="HA125" s="215"/>
      <c r="HB125" s="215"/>
      <c r="HC125" s="215"/>
      <c r="HD125" s="215"/>
      <c r="HE125" s="215"/>
      <c r="HF125" s="215"/>
      <c r="HG125" s="215"/>
      <c r="HH125" s="215"/>
      <c r="HI125" s="215"/>
      <c r="HJ125" s="215"/>
      <c r="HK125" s="215"/>
      <c r="HL125" s="215"/>
      <c r="HM125" s="215"/>
      <c r="HN125" s="215"/>
      <c r="HO125" s="215"/>
      <c r="HP125" s="215"/>
      <c r="HQ125" s="215"/>
      <c r="HR125" s="215"/>
      <c r="HS125" s="215"/>
      <c r="HT125" s="215"/>
      <c r="HU125" s="215"/>
      <c r="HV125" s="215"/>
      <c r="HW125" s="215"/>
      <c r="HX125" s="215"/>
      <c r="HY125" s="215"/>
      <c r="HZ125" s="215"/>
      <c r="IA125" s="215"/>
      <c r="IB125" s="215"/>
      <c r="IC125" s="215"/>
      <c r="ID125" s="215"/>
      <c r="IE125" s="215"/>
      <c r="IF125" s="215"/>
      <c r="IG125" s="215"/>
      <c r="IH125" s="215"/>
      <c r="II125" s="215"/>
      <c r="IJ125" s="215"/>
      <c r="IS125" s="187"/>
      <c r="IT125" s="188"/>
      <c r="IU125" s="188"/>
      <c r="IV125" s="188"/>
      <c r="IW125" s="188"/>
      <c r="IX125" s="188"/>
      <c r="IY125" s="188"/>
      <c r="IZ125" s="188"/>
      <c r="JA125" s="188"/>
      <c r="JB125" s="188"/>
      <c r="JC125" s="188"/>
      <c r="JD125" s="188"/>
      <c r="JE125" s="188"/>
      <c r="JF125" s="188"/>
      <c r="JG125" s="188"/>
      <c r="JH125" s="188"/>
      <c r="JI125" s="188"/>
      <c r="JJ125" s="188"/>
      <c r="JK125" s="188"/>
      <c r="JL125" s="188"/>
      <c r="JM125" s="188"/>
      <c r="JN125" s="188"/>
      <c r="JO125" s="188"/>
      <c r="JP125" s="188"/>
      <c r="JQ125" s="188"/>
      <c r="JR125" s="188"/>
      <c r="JS125" s="188"/>
      <c r="JT125" s="188"/>
      <c r="JU125" s="188"/>
      <c r="JV125" s="188"/>
      <c r="JW125" s="188"/>
      <c r="JX125" s="188"/>
      <c r="JY125" s="188"/>
      <c r="JZ125" s="188"/>
      <c r="KA125" s="188"/>
      <c r="KB125" s="188"/>
      <c r="KC125" s="188"/>
      <c r="KD125" s="188"/>
      <c r="KE125" s="188"/>
      <c r="KF125" s="189"/>
      <c r="KG125" s="187"/>
      <c r="KH125" s="188"/>
      <c r="KI125" s="188"/>
      <c r="KJ125" s="188"/>
      <c r="KK125" s="189"/>
      <c r="KQ125" s="187"/>
      <c r="KR125" s="188"/>
      <c r="KS125" s="188"/>
      <c r="KT125" s="188"/>
      <c r="KU125" s="188"/>
      <c r="KV125" s="188"/>
      <c r="KW125" s="188"/>
      <c r="KX125" s="188"/>
      <c r="KY125" s="188"/>
      <c r="KZ125" s="188"/>
      <c r="LA125" s="188"/>
      <c r="LB125" s="188"/>
      <c r="LC125" s="188"/>
      <c r="LD125" s="188"/>
      <c r="LE125" s="188"/>
      <c r="LF125" s="188"/>
      <c r="LG125" s="188"/>
      <c r="LH125" s="188"/>
      <c r="LI125" s="188"/>
      <c r="LJ125" s="188"/>
      <c r="LK125" s="188"/>
      <c r="LL125" s="188"/>
      <c r="LM125" s="188"/>
      <c r="LN125" s="188"/>
      <c r="LO125" s="188"/>
      <c r="LP125" s="188"/>
      <c r="LQ125" s="188"/>
      <c r="LR125" s="188"/>
      <c r="LS125" s="188"/>
      <c r="LT125" s="188"/>
      <c r="LU125" s="188"/>
      <c r="LV125" s="188"/>
      <c r="LW125" s="188"/>
      <c r="LX125" s="188"/>
      <c r="LY125" s="188"/>
      <c r="LZ125" s="188"/>
      <c r="MA125" s="188"/>
      <c r="MB125" s="188"/>
      <c r="MC125" s="188"/>
      <c r="MD125" s="189"/>
      <c r="ME125" s="187"/>
      <c r="MF125" s="188"/>
      <c r="MG125" s="188"/>
      <c r="MH125" s="188"/>
      <c r="MI125" s="189"/>
      <c r="MN125" s="187"/>
      <c r="MO125" s="188"/>
      <c r="MP125" s="188"/>
      <c r="MQ125" s="188"/>
      <c r="MR125" s="188"/>
      <c r="MS125" s="188"/>
      <c r="MT125" s="188"/>
      <c r="MU125" s="188"/>
      <c r="MV125" s="188"/>
      <c r="MW125" s="188"/>
      <c r="MX125" s="188"/>
      <c r="MY125" s="188"/>
      <c r="MZ125" s="188"/>
      <c r="NA125" s="188"/>
      <c r="NB125" s="188"/>
      <c r="NC125" s="188"/>
      <c r="ND125" s="188"/>
      <c r="NE125" s="188"/>
      <c r="NF125" s="188"/>
      <c r="NG125" s="188"/>
      <c r="NH125" s="188"/>
      <c r="NI125" s="188"/>
      <c r="NJ125" s="188"/>
      <c r="NK125" s="188"/>
      <c r="NL125" s="188"/>
      <c r="NM125" s="188"/>
      <c r="NN125" s="188"/>
      <c r="NO125" s="188"/>
      <c r="NP125" s="188"/>
      <c r="NQ125" s="188"/>
      <c r="NR125" s="188"/>
      <c r="NS125" s="188"/>
      <c r="NT125" s="188"/>
      <c r="NU125" s="188"/>
      <c r="NV125" s="188"/>
      <c r="NW125" s="188"/>
      <c r="NX125" s="188"/>
      <c r="NY125" s="188"/>
      <c r="NZ125" s="188"/>
      <c r="OA125" s="189"/>
      <c r="OB125" s="187"/>
      <c r="OC125" s="188"/>
      <c r="OD125" s="188"/>
      <c r="OE125" s="188"/>
      <c r="OF125" s="189"/>
      <c r="QQ125" s="12"/>
      <c r="QR125" s="7"/>
      <c r="QS125" s="3"/>
      <c r="QT125" s="3"/>
      <c r="QU125" s="3"/>
      <c r="QV125" s="3"/>
      <c r="QW125" s="2"/>
    </row>
    <row r="126" spans="3:465" ht="5.0999999999999996" customHeight="1" x14ac:dyDescent="0.3">
      <c r="C126" s="11"/>
      <c r="D126" s="13"/>
      <c r="AD126" s="16"/>
      <c r="BZ126" s="16"/>
      <c r="DV126" s="16"/>
      <c r="FR126" s="16"/>
      <c r="HN126" s="16"/>
      <c r="IS126" s="187"/>
      <c r="IT126" s="188"/>
      <c r="IU126" s="188"/>
      <c r="IV126" s="188"/>
      <c r="IW126" s="188"/>
      <c r="IX126" s="188"/>
      <c r="IY126" s="188"/>
      <c r="IZ126" s="188"/>
      <c r="JA126" s="188"/>
      <c r="JB126" s="188"/>
      <c r="JC126" s="188"/>
      <c r="JD126" s="188"/>
      <c r="JE126" s="188"/>
      <c r="JF126" s="188"/>
      <c r="JG126" s="188"/>
      <c r="JH126" s="188"/>
      <c r="JI126" s="188"/>
      <c r="JJ126" s="188"/>
      <c r="JK126" s="188"/>
      <c r="JL126" s="188"/>
      <c r="JM126" s="188"/>
      <c r="JN126" s="188"/>
      <c r="JO126" s="188"/>
      <c r="JP126" s="188"/>
      <c r="JQ126" s="188"/>
      <c r="JR126" s="188"/>
      <c r="JS126" s="188"/>
      <c r="JT126" s="188"/>
      <c r="JU126" s="188"/>
      <c r="JV126" s="188"/>
      <c r="JW126" s="188"/>
      <c r="JX126" s="188"/>
      <c r="JY126" s="188"/>
      <c r="JZ126" s="188"/>
      <c r="KA126" s="188"/>
      <c r="KB126" s="188"/>
      <c r="KC126" s="188"/>
      <c r="KD126" s="188"/>
      <c r="KE126" s="188"/>
      <c r="KF126" s="189"/>
      <c r="KG126" s="187"/>
      <c r="KH126" s="188"/>
      <c r="KI126" s="188"/>
      <c r="KJ126" s="188"/>
      <c r="KK126" s="189"/>
      <c r="KQ126" s="190"/>
      <c r="KR126" s="191"/>
      <c r="KS126" s="191"/>
      <c r="KT126" s="191"/>
      <c r="KU126" s="191"/>
      <c r="KV126" s="191"/>
      <c r="KW126" s="191"/>
      <c r="KX126" s="191"/>
      <c r="KY126" s="191"/>
      <c r="KZ126" s="191"/>
      <c r="LA126" s="191"/>
      <c r="LB126" s="191"/>
      <c r="LC126" s="191"/>
      <c r="LD126" s="191"/>
      <c r="LE126" s="191"/>
      <c r="LF126" s="191"/>
      <c r="LG126" s="191"/>
      <c r="LH126" s="191"/>
      <c r="LI126" s="191"/>
      <c r="LJ126" s="191"/>
      <c r="LK126" s="191"/>
      <c r="LL126" s="191"/>
      <c r="LM126" s="191"/>
      <c r="LN126" s="191"/>
      <c r="LO126" s="191"/>
      <c r="LP126" s="191"/>
      <c r="LQ126" s="191"/>
      <c r="LR126" s="191"/>
      <c r="LS126" s="191"/>
      <c r="LT126" s="191"/>
      <c r="LU126" s="191"/>
      <c r="LV126" s="191"/>
      <c r="LW126" s="191"/>
      <c r="LX126" s="191"/>
      <c r="LY126" s="191"/>
      <c r="LZ126" s="191"/>
      <c r="MA126" s="191"/>
      <c r="MB126" s="191"/>
      <c r="MC126" s="191"/>
      <c r="MD126" s="192"/>
      <c r="ME126" s="190"/>
      <c r="MF126" s="191"/>
      <c r="MG126" s="191"/>
      <c r="MH126" s="191"/>
      <c r="MI126" s="192"/>
      <c r="MN126" s="190"/>
      <c r="MO126" s="191"/>
      <c r="MP126" s="191"/>
      <c r="MQ126" s="191"/>
      <c r="MR126" s="191"/>
      <c r="MS126" s="191"/>
      <c r="MT126" s="191"/>
      <c r="MU126" s="191"/>
      <c r="MV126" s="191"/>
      <c r="MW126" s="191"/>
      <c r="MX126" s="191"/>
      <c r="MY126" s="191"/>
      <c r="MZ126" s="191"/>
      <c r="NA126" s="191"/>
      <c r="NB126" s="191"/>
      <c r="NC126" s="191"/>
      <c r="ND126" s="191"/>
      <c r="NE126" s="191"/>
      <c r="NF126" s="191"/>
      <c r="NG126" s="191"/>
      <c r="NH126" s="191"/>
      <c r="NI126" s="191"/>
      <c r="NJ126" s="191"/>
      <c r="NK126" s="191"/>
      <c r="NL126" s="191"/>
      <c r="NM126" s="191"/>
      <c r="NN126" s="191"/>
      <c r="NO126" s="191"/>
      <c r="NP126" s="191"/>
      <c r="NQ126" s="191"/>
      <c r="NR126" s="191"/>
      <c r="NS126" s="191"/>
      <c r="NT126" s="191"/>
      <c r="NU126" s="191"/>
      <c r="NV126" s="191"/>
      <c r="NW126" s="191"/>
      <c r="NX126" s="191"/>
      <c r="NY126" s="191"/>
      <c r="NZ126" s="191"/>
      <c r="OA126" s="192"/>
      <c r="OB126" s="190"/>
      <c r="OC126" s="191"/>
      <c r="OD126" s="191"/>
      <c r="OE126" s="191"/>
      <c r="OF126" s="192"/>
      <c r="QQ126" s="12"/>
      <c r="QR126" s="7"/>
      <c r="QS126" s="3"/>
      <c r="QT126" s="3"/>
      <c r="QU126" s="3"/>
      <c r="QV126" s="3"/>
      <c r="QW126" s="2"/>
    </row>
    <row r="127" spans="3:465" ht="5.0999999999999996" customHeight="1" x14ac:dyDescent="0.3">
      <c r="C127" s="11"/>
      <c r="D127" s="13"/>
      <c r="AD127" s="15"/>
      <c r="AE127" s="9"/>
      <c r="BZ127" s="15"/>
      <c r="CA127" s="9"/>
      <c r="DV127" s="15"/>
      <c r="DW127" s="9"/>
      <c r="FR127" s="15"/>
      <c r="FS127" s="9"/>
      <c r="HN127" s="15"/>
      <c r="HO127" s="9"/>
      <c r="IS127" s="187"/>
      <c r="IT127" s="188"/>
      <c r="IU127" s="188"/>
      <c r="IV127" s="188"/>
      <c r="IW127" s="188"/>
      <c r="IX127" s="188"/>
      <c r="IY127" s="188"/>
      <c r="IZ127" s="188"/>
      <c r="JA127" s="188"/>
      <c r="JB127" s="188"/>
      <c r="JC127" s="188"/>
      <c r="JD127" s="188"/>
      <c r="JE127" s="188"/>
      <c r="JF127" s="188"/>
      <c r="JG127" s="188"/>
      <c r="JH127" s="188"/>
      <c r="JI127" s="188"/>
      <c r="JJ127" s="188"/>
      <c r="JK127" s="188"/>
      <c r="JL127" s="188"/>
      <c r="JM127" s="188"/>
      <c r="JN127" s="188"/>
      <c r="JO127" s="188"/>
      <c r="JP127" s="188"/>
      <c r="JQ127" s="188"/>
      <c r="JR127" s="188"/>
      <c r="JS127" s="188"/>
      <c r="JT127" s="188"/>
      <c r="JU127" s="188"/>
      <c r="JV127" s="188"/>
      <c r="JW127" s="188"/>
      <c r="JX127" s="188"/>
      <c r="JY127" s="188"/>
      <c r="JZ127" s="188"/>
      <c r="KA127" s="188"/>
      <c r="KB127" s="188"/>
      <c r="KC127" s="188"/>
      <c r="KD127" s="188"/>
      <c r="KE127" s="188"/>
      <c r="KF127" s="189"/>
      <c r="KG127" s="187"/>
      <c r="KH127" s="188"/>
      <c r="KI127" s="188"/>
      <c r="KJ127" s="188"/>
      <c r="KK127" s="189"/>
      <c r="KQ127" s="184" t="s">
        <v>65</v>
      </c>
      <c r="KR127" s="185"/>
      <c r="KS127" s="185"/>
      <c r="KT127" s="185"/>
      <c r="KU127" s="185"/>
      <c r="KV127" s="185"/>
      <c r="KW127" s="185"/>
      <c r="KX127" s="185"/>
      <c r="KY127" s="185"/>
      <c r="KZ127" s="185"/>
      <c r="LA127" s="185"/>
      <c r="LB127" s="185"/>
      <c r="LC127" s="185"/>
      <c r="LD127" s="185"/>
      <c r="LE127" s="185"/>
      <c r="LF127" s="185"/>
      <c r="LG127" s="185"/>
      <c r="LH127" s="185"/>
      <c r="LI127" s="185"/>
      <c r="LJ127" s="185"/>
      <c r="LK127" s="185"/>
      <c r="LL127" s="185"/>
      <c r="LM127" s="185"/>
      <c r="LN127" s="185"/>
      <c r="LO127" s="185"/>
      <c r="LP127" s="185"/>
      <c r="LQ127" s="185"/>
      <c r="LR127" s="185"/>
      <c r="LS127" s="185"/>
      <c r="LT127" s="185"/>
      <c r="LU127" s="185"/>
      <c r="LV127" s="185"/>
      <c r="LW127" s="185"/>
      <c r="LX127" s="185"/>
      <c r="LY127" s="185"/>
      <c r="LZ127" s="185"/>
      <c r="MA127" s="185"/>
      <c r="MB127" s="185"/>
      <c r="MC127" s="185"/>
      <c r="MD127" s="186"/>
      <c r="ME127" s="184">
        <v>2</v>
      </c>
      <c r="MF127" s="185"/>
      <c r="MG127" s="185"/>
      <c r="MH127" s="185"/>
      <c r="MI127" s="186"/>
      <c r="MN127" s="184" t="s">
        <v>69</v>
      </c>
      <c r="MO127" s="185"/>
      <c r="MP127" s="185"/>
      <c r="MQ127" s="185"/>
      <c r="MR127" s="185"/>
      <c r="MS127" s="185"/>
      <c r="MT127" s="185"/>
      <c r="MU127" s="185"/>
      <c r="MV127" s="185"/>
      <c r="MW127" s="185"/>
      <c r="MX127" s="185"/>
      <c r="MY127" s="185"/>
      <c r="MZ127" s="185"/>
      <c r="NA127" s="185"/>
      <c r="NB127" s="185"/>
      <c r="NC127" s="185"/>
      <c r="ND127" s="185"/>
      <c r="NE127" s="185"/>
      <c r="NF127" s="185"/>
      <c r="NG127" s="185"/>
      <c r="NH127" s="185"/>
      <c r="NI127" s="185"/>
      <c r="NJ127" s="185"/>
      <c r="NK127" s="185"/>
      <c r="NL127" s="185"/>
      <c r="NM127" s="185"/>
      <c r="NN127" s="185"/>
      <c r="NO127" s="185"/>
      <c r="NP127" s="185"/>
      <c r="NQ127" s="185"/>
      <c r="NR127" s="185"/>
      <c r="NS127" s="185"/>
      <c r="NT127" s="185"/>
      <c r="NU127" s="185"/>
      <c r="NV127" s="185"/>
      <c r="NW127" s="185"/>
      <c r="NX127" s="185"/>
      <c r="NY127" s="185"/>
      <c r="NZ127" s="185"/>
      <c r="OA127" s="186"/>
      <c r="OB127" s="184">
        <v>2</v>
      </c>
      <c r="OC127" s="185"/>
      <c r="OD127" s="185"/>
      <c r="OE127" s="185"/>
      <c r="OF127" s="186"/>
      <c r="QQ127" s="12"/>
      <c r="QR127" s="7"/>
      <c r="QS127" s="3"/>
      <c r="QT127" s="3"/>
      <c r="QU127" s="3"/>
      <c r="QV127" s="3"/>
      <c r="QW127" s="2"/>
    </row>
    <row r="128" spans="3:465" ht="5.0999999999999996" customHeight="1" x14ac:dyDescent="0.3">
      <c r="C128" s="11"/>
      <c r="D128" s="13"/>
      <c r="G128" s="184" t="s">
        <v>46</v>
      </c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6"/>
      <c r="AV128" s="184">
        <v>3</v>
      </c>
      <c r="AW128" s="185"/>
      <c r="AX128" s="185"/>
      <c r="AY128" s="185"/>
      <c r="AZ128" s="186"/>
      <c r="BC128" s="184" t="s">
        <v>166</v>
      </c>
      <c r="BD128" s="185"/>
      <c r="BE128" s="185"/>
      <c r="BF128" s="185"/>
      <c r="BG128" s="185"/>
      <c r="BH128" s="185"/>
      <c r="BI128" s="185"/>
      <c r="BJ128" s="185"/>
      <c r="BK128" s="185"/>
      <c r="BL128" s="185"/>
      <c r="BM128" s="185"/>
      <c r="BN128" s="185"/>
      <c r="BO128" s="185"/>
      <c r="BP128" s="185"/>
      <c r="BQ128" s="185"/>
      <c r="BR128" s="185"/>
      <c r="BS128" s="185"/>
      <c r="BT128" s="185"/>
      <c r="BU128" s="185"/>
      <c r="BV128" s="185"/>
      <c r="BW128" s="185"/>
      <c r="BX128" s="185"/>
      <c r="BY128" s="185"/>
      <c r="BZ128" s="185"/>
      <c r="CA128" s="185"/>
      <c r="CB128" s="185"/>
      <c r="CC128" s="185"/>
      <c r="CD128" s="185"/>
      <c r="CE128" s="185"/>
      <c r="CF128" s="185"/>
      <c r="CG128" s="185"/>
      <c r="CH128" s="185"/>
      <c r="CI128" s="185"/>
      <c r="CJ128" s="185"/>
      <c r="CK128" s="185"/>
      <c r="CL128" s="185"/>
      <c r="CM128" s="185"/>
      <c r="CN128" s="185"/>
      <c r="CO128" s="185"/>
      <c r="CP128" s="185"/>
      <c r="CQ128" s="186"/>
      <c r="CR128" s="184">
        <v>4</v>
      </c>
      <c r="CS128" s="185"/>
      <c r="CT128" s="185"/>
      <c r="CU128" s="185"/>
      <c r="CV128" s="186"/>
      <c r="CY128" s="184" t="s">
        <v>44</v>
      </c>
      <c r="CZ128" s="185"/>
      <c r="DA128" s="185"/>
      <c r="DB128" s="185"/>
      <c r="DC128" s="185"/>
      <c r="DD128" s="185"/>
      <c r="DE128" s="185"/>
      <c r="DF128" s="185"/>
      <c r="DG128" s="185"/>
      <c r="DH128" s="185"/>
      <c r="DI128" s="185"/>
      <c r="DJ128" s="185"/>
      <c r="DK128" s="185"/>
      <c r="DL128" s="185"/>
      <c r="DM128" s="185"/>
      <c r="DN128" s="185"/>
      <c r="DO128" s="185"/>
      <c r="DP128" s="185"/>
      <c r="DQ128" s="185"/>
      <c r="DR128" s="185"/>
      <c r="DS128" s="185"/>
      <c r="DT128" s="185"/>
      <c r="DU128" s="185"/>
      <c r="DV128" s="185"/>
      <c r="DW128" s="185"/>
      <c r="DX128" s="185"/>
      <c r="DY128" s="185"/>
      <c r="DZ128" s="185"/>
      <c r="EA128" s="185"/>
      <c r="EB128" s="185"/>
      <c r="EC128" s="185"/>
      <c r="ED128" s="185"/>
      <c r="EE128" s="185"/>
      <c r="EF128" s="185"/>
      <c r="EG128" s="185"/>
      <c r="EH128" s="185"/>
      <c r="EI128" s="185"/>
      <c r="EJ128" s="185"/>
      <c r="EK128" s="185"/>
      <c r="EL128" s="185"/>
      <c r="EM128" s="186"/>
      <c r="EN128" s="184">
        <v>4</v>
      </c>
      <c r="EO128" s="185"/>
      <c r="EP128" s="185"/>
      <c r="EQ128" s="185"/>
      <c r="ER128" s="186"/>
      <c r="EU128" s="184" t="s">
        <v>43</v>
      </c>
      <c r="EV128" s="185"/>
      <c r="EW128" s="185"/>
      <c r="EX128" s="185"/>
      <c r="EY128" s="185"/>
      <c r="EZ128" s="185"/>
      <c r="FA128" s="185"/>
      <c r="FB128" s="185"/>
      <c r="FC128" s="185"/>
      <c r="FD128" s="185"/>
      <c r="FE128" s="185"/>
      <c r="FF128" s="185"/>
      <c r="FG128" s="185"/>
      <c r="FH128" s="185"/>
      <c r="FI128" s="185"/>
      <c r="FJ128" s="185"/>
      <c r="FK128" s="185"/>
      <c r="FL128" s="185"/>
      <c r="FM128" s="185"/>
      <c r="FN128" s="185"/>
      <c r="FO128" s="185"/>
      <c r="FP128" s="185"/>
      <c r="FQ128" s="185"/>
      <c r="FR128" s="185"/>
      <c r="FS128" s="185"/>
      <c r="FT128" s="185"/>
      <c r="FU128" s="185"/>
      <c r="FV128" s="185"/>
      <c r="FW128" s="185"/>
      <c r="FX128" s="185"/>
      <c r="FY128" s="185"/>
      <c r="FZ128" s="185"/>
      <c r="GA128" s="185"/>
      <c r="GB128" s="185"/>
      <c r="GC128" s="185"/>
      <c r="GD128" s="185"/>
      <c r="GE128" s="185"/>
      <c r="GF128" s="185"/>
      <c r="GG128" s="185"/>
      <c r="GH128" s="185"/>
      <c r="GI128" s="186"/>
      <c r="GJ128" s="184">
        <v>3</v>
      </c>
      <c r="GK128" s="185"/>
      <c r="GL128" s="185"/>
      <c r="GM128" s="185"/>
      <c r="GN128" s="186"/>
      <c r="GQ128" s="184" t="s">
        <v>63</v>
      </c>
      <c r="GR128" s="185"/>
      <c r="GS128" s="185"/>
      <c r="GT128" s="185"/>
      <c r="GU128" s="185"/>
      <c r="GV128" s="185"/>
      <c r="GW128" s="185"/>
      <c r="GX128" s="185"/>
      <c r="GY128" s="185"/>
      <c r="GZ128" s="185"/>
      <c r="HA128" s="185"/>
      <c r="HB128" s="185"/>
      <c r="HC128" s="185"/>
      <c r="HD128" s="185"/>
      <c r="HE128" s="185"/>
      <c r="HF128" s="185"/>
      <c r="HG128" s="185"/>
      <c r="HH128" s="185"/>
      <c r="HI128" s="185"/>
      <c r="HJ128" s="185"/>
      <c r="HK128" s="185"/>
      <c r="HL128" s="185"/>
      <c r="HM128" s="185"/>
      <c r="HN128" s="185"/>
      <c r="HO128" s="185"/>
      <c r="HP128" s="185"/>
      <c r="HQ128" s="185"/>
      <c r="HR128" s="185"/>
      <c r="HS128" s="185"/>
      <c r="HT128" s="185"/>
      <c r="HU128" s="185"/>
      <c r="HV128" s="185"/>
      <c r="HW128" s="185"/>
      <c r="HX128" s="185"/>
      <c r="HY128" s="185"/>
      <c r="HZ128" s="185"/>
      <c r="IA128" s="185"/>
      <c r="IB128" s="185"/>
      <c r="IC128" s="185"/>
      <c r="ID128" s="185"/>
      <c r="IE128" s="186"/>
      <c r="IF128" s="184">
        <v>3</v>
      </c>
      <c r="IG128" s="185"/>
      <c r="IH128" s="185"/>
      <c r="II128" s="185"/>
      <c r="IJ128" s="186"/>
      <c r="IS128" s="190"/>
      <c r="IT128" s="191"/>
      <c r="IU128" s="191"/>
      <c r="IV128" s="191"/>
      <c r="IW128" s="191"/>
      <c r="IX128" s="191"/>
      <c r="IY128" s="191"/>
      <c r="IZ128" s="191"/>
      <c r="JA128" s="191"/>
      <c r="JB128" s="191"/>
      <c r="JC128" s="191"/>
      <c r="JD128" s="191"/>
      <c r="JE128" s="191"/>
      <c r="JF128" s="191"/>
      <c r="JG128" s="191"/>
      <c r="JH128" s="191"/>
      <c r="JI128" s="191"/>
      <c r="JJ128" s="191"/>
      <c r="JK128" s="191"/>
      <c r="JL128" s="191"/>
      <c r="JM128" s="191"/>
      <c r="JN128" s="191"/>
      <c r="JO128" s="191"/>
      <c r="JP128" s="191"/>
      <c r="JQ128" s="191"/>
      <c r="JR128" s="191"/>
      <c r="JS128" s="191"/>
      <c r="JT128" s="191"/>
      <c r="JU128" s="191"/>
      <c r="JV128" s="191"/>
      <c r="JW128" s="191"/>
      <c r="JX128" s="191"/>
      <c r="JY128" s="191"/>
      <c r="JZ128" s="191"/>
      <c r="KA128" s="191"/>
      <c r="KB128" s="191"/>
      <c r="KC128" s="191"/>
      <c r="KD128" s="191"/>
      <c r="KE128" s="191"/>
      <c r="KF128" s="192"/>
      <c r="KG128" s="190"/>
      <c r="KH128" s="191"/>
      <c r="KI128" s="191"/>
      <c r="KJ128" s="191"/>
      <c r="KK128" s="192"/>
      <c r="KQ128" s="187"/>
      <c r="KR128" s="188"/>
      <c r="KS128" s="188"/>
      <c r="KT128" s="188"/>
      <c r="KU128" s="188"/>
      <c r="KV128" s="188"/>
      <c r="KW128" s="188"/>
      <c r="KX128" s="188"/>
      <c r="KY128" s="188"/>
      <c r="KZ128" s="188"/>
      <c r="LA128" s="188"/>
      <c r="LB128" s="188"/>
      <c r="LC128" s="188"/>
      <c r="LD128" s="188"/>
      <c r="LE128" s="188"/>
      <c r="LF128" s="188"/>
      <c r="LG128" s="188"/>
      <c r="LH128" s="188"/>
      <c r="LI128" s="188"/>
      <c r="LJ128" s="188"/>
      <c r="LK128" s="188"/>
      <c r="LL128" s="188"/>
      <c r="LM128" s="188"/>
      <c r="LN128" s="188"/>
      <c r="LO128" s="188"/>
      <c r="LP128" s="188"/>
      <c r="LQ128" s="188"/>
      <c r="LR128" s="188"/>
      <c r="LS128" s="188"/>
      <c r="LT128" s="188"/>
      <c r="LU128" s="188"/>
      <c r="LV128" s="188"/>
      <c r="LW128" s="188"/>
      <c r="LX128" s="188"/>
      <c r="LY128" s="188"/>
      <c r="LZ128" s="188"/>
      <c r="MA128" s="188"/>
      <c r="MB128" s="188"/>
      <c r="MC128" s="188"/>
      <c r="MD128" s="189"/>
      <c r="ME128" s="187"/>
      <c r="MF128" s="188"/>
      <c r="MG128" s="188"/>
      <c r="MH128" s="188"/>
      <c r="MI128" s="189"/>
      <c r="MN128" s="187"/>
      <c r="MO128" s="188"/>
      <c r="MP128" s="188"/>
      <c r="MQ128" s="188"/>
      <c r="MR128" s="188"/>
      <c r="MS128" s="188"/>
      <c r="MT128" s="188"/>
      <c r="MU128" s="188"/>
      <c r="MV128" s="188"/>
      <c r="MW128" s="188"/>
      <c r="MX128" s="188"/>
      <c r="MY128" s="188"/>
      <c r="MZ128" s="188"/>
      <c r="NA128" s="188"/>
      <c r="NB128" s="188"/>
      <c r="NC128" s="188"/>
      <c r="ND128" s="188"/>
      <c r="NE128" s="188"/>
      <c r="NF128" s="188"/>
      <c r="NG128" s="188"/>
      <c r="NH128" s="188"/>
      <c r="NI128" s="188"/>
      <c r="NJ128" s="188"/>
      <c r="NK128" s="188"/>
      <c r="NL128" s="188"/>
      <c r="NM128" s="188"/>
      <c r="NN128" s="188"/>
      <c r="NO128" s="188"/>
      <c r="NP128" s="188"/>
      <c r="NQ128" s="188"/>
      <c r="NR128" s="188"/>
      <c r="NS128" s="188"/>
      <c r="NT128" s="188"/>
      <c r="NU128" s="188"/>
      <c r="NV128" s="188"/>
      <c r="NW128" s="188"/>
      <c r="NX128" s="188"/>
      <c r="NY128" s="188"/>
      <c r="NZ128" s="188"/>
      <c r="OA128" s="189"/>
      <c r="OB128" s="187"/>
      <c r="OC128" s="188"/>
      <c r="OD128" s="188"/>
      <c r="OE128" s="188"/>
      <c r="OF128" s="189"/>
      <c r="QQ128" s="12"/>
      <c r="QR128" s="7"/>
      <c r="QS128" s="3"/>
      <c r="QT128" s="3"/>
      <c r="QU128" s="3"/>
      <c r="QV128" s="3"/>
      <c r="QW128" s="2"/>
    </row>
    <row r="129" spans="3:465" ht="5.0999999999999996" customHeight="1" x14ac:dyDescent="0.3">
      <c r="C129" s="11"/>
      <c r="D129" s="13"/>
      <c r="G129" s="187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9"/>
      <c r="AV129" s="187"/>
      <c r="AW129" s="188"/>
      <c r="AX129" s="188"/>
      <c r="AY129" s="188"/>
      <c r="AZ129" s="189"/>
      <c r="BC129" s="187"/>
      <c r="BD129" s="188"/>
      <c r="BE129" s="188"/>
      <c r="BF129" s="188"/>
      <c r="BG129" s="188"/>
      <c r="BH129" s="188"/>
      <c r="BI129" s="188"/>
      <c r="BJ129" s="188"/>
      <c r="BK129" s="188"/>
      <c r="BL129" s="188"/>
      <c r="BM129" s="188"/>
      <c r="BN129" s="188"/>
      <c r="BO129" s="188"/>
      <c r="BP129" s="188"/>
      <c r="BQ129" s="188"/>
      <c r="BR129" s="188"/>
      <c r="BS129" s="188"/>
      <c r="BT129" s="188"/>
      <c r="BU129" s="188"/>
      <c r="BV129" s="188"/>
      <c r="BW129" s="188"/>
      <c r="BX129" s="188"/>
      <c r="BY129" s="188"/>
      <c r="BZ129" s="188"/>
      <c r="CA129" s="188"/>
      <c r="CB129" s="188"/>
      <c r="CC129" s="188"/>
      <c r="CD129" s="188"/>
      <c r="CE129" s="188"/>
      <c r="CF129" s="188"/>
      <c r="CG129" s="188"/>
      <c r="CH129" s="188"/>
      <c r="CI129" s="188"/>
      <c r="CJ129" s="188"/>
      <c r="CK129" s="188"/>
      <c r="CL129" s="188"/>
      <c r="CM129" s="188"/>
      <c r="CN129" s="188"/>
      <c r="CO129" s="188"/>
      <c r="CP129" s="188"/>
      <c r="CQ129" s="189"/>
      <c r="CR129" s="187"/>
      <c r="CS129" s="188"/>
      <c r="CT129" s="188"/>
      <c r="CU129" s="188"/>
      <c r="CV129" s="189"/>
      <c r="CY129" s="187"/>
      <c r="CZ129" s="188"/>
      <c r="DA129" s="188"/>
      <c r="DB129" s="188"/>
      <c r="DC129" s="188"/>
      <c r="DD129" s="188"/>
      <c r="DE129" s="188"/>
      <c r="DF129" s="188"/>
      <c r="DG129" s="188"/>
      <c r="DH129" s="188"/>
      <c r="DI129" s="188"/>
      <c r="DJ129" s="188"/>
      <c r="DK129" s="188"/>
      <c r="DL129" s="188"/>
      <c r="DM129" s="188"/>
      <c r="DN129" s="188"/>
      <c r="DO129" s="188"/>
      <c r="DP129" s="188"/>
      <c r="DQ129" s="188"/>
      <c r="DR129" s="188"/>
      <c r="DS129" s="188"/>
      <c r="DT129" s="188"/>
      <c r="DU129" s="188"/>
      <c r="DV129" s="188"/>
      <c r="DW129" s="188"/>
      <c r="DX129" s="188"/>
      <c r="DY129" s="188"/>
      <c r="DZ129" s="188"/>
      <c r="EA129" s="188"/>
      <c r="EB129" s="188"/>
      <c r="EC129" s="188"/>
      <c r="ED129" s="188"/>
      <c r="EE129" s="188"/>
      <c r="EF129" s="188"/>
      <c r="EG129" s="188"/>
      <c r="EH129" s="188"/>
      <c r="EI129" s="188"/>
      <c r="EJ129" s="188"/>
      <c r="EK129" s="188"/>
      <c r="EL129" s="188"/>
      <c r="EM129" s="189"/>
      <c r="EN129" s="187"/>
      <c r="EO129" s="188"/>
      <c r="EP129" s="188"/>
      <c r="EQ129" s="188"/>
      <c r="ER129" s="189"/>
      <c r="EU129" s="187"/>
      <c r="EV129" s="188"/>
      <c r="EW129" s="188"/>
      <c r="EX129" s="188"/>
      <c r="EY129" s="188"/>
      <c r="EZ129" s="188"/>
      <c r="FA129" s="188"/>
      <c r="FB129" s="188"/>
      <c r="FC129" s="188"/>
      <c r="FD129" s="188"/>
      <c r="FE129" s="188"/>
      <c r="FF129" s="188"/>
      <c r="FG129" s="188"/>
      <c r="FH129" s="188"/>
      <c r="FI129" s="188"/>
      <c r="FJ129" s="188"/>
      <c r="FK129" s="188"/>
      <c r="FL129" s="188"/>
      <c r="FM129" s="188"/>
      <c r="FN129" s="188"/>
      <c r="FO129" s="188"/>
      <c r="FP129" s="188"/>
      <c r="FQ129" s="188"/>
      <c r="FR129" s="188"/>
      <c r="FS129" s="188"/>
      <c r="FT129" s="188"/>
      <c r="FU129" s="188"/>
      <c r="FV129" s="188"/>
      <c r="FW129" s="188"/>
      <c r="FX129" s="188"/>
      <c r="FY129" s="188"/>
      <c r="FZ129" s="188"/>
      <c r="GA129" s="188"/>
      <c r="GB129" s="188"/>
      <c r="GC129" s="188"/>
      <c r="GD129" s="188"/>
      <c r="GE129" s="188"/>
      <c r="GF129" s="188"/>
      <c r="GG129" s="188"/>
      <c r="GH129" s="188"/>
      <c r="GI129" s="189"/>
      <c r="GJ129" s="187"/>
      <c r="GK129" s="188"/>
      <c r="GL129" s="188"/>
      <c r="GM129" s="188"/>
      <c r="GN129" s="189"/>
      <c r="GQ129" s="187"/>
      <c r="GR129" s="188"/>
      <c r="GS129" s="188"/>
      <c r="GT129" s="188"/>
      <c r="GU129" s="188"/>
      <c r="GV129" s="188"/>
      <c r="GW129" s="188"/>
      <c r="GX129" s="188"/>
      <c r="GY129" s="188"/>
      <c r="GZ129" s="188"/>
      <c r="HA129" s="188"/>
      <c r="HB129" s="188"/>
      <c r="HC129" s="188"/>
      <c r="HD129" s="188"/>
      <c r="HE129" s="188"/>
      <c r="HF129" s="188"/>
      <c r="HG129" s="188"/>
      <c r="HH129" s="188"/>
      <c r="HI129" s="188"/>
      <c r="HJ129" s="188"/>
      <c r="HK129" s="188"/>
      <c r="HL129" s="188"/>
      <c r="HM129" s="188"/>
      <c r="HN129" s="188"/>
      <c r="HO129" s="188"/>
      <c r="HP129" s="188"/>
      <c r="HQ129" s="188"/>
      <c r="HR129" s="188"/>
      <c r="HS129" s="188"/>
      <c r="HT129" s="188"/>
      <c r="HU129" s="188"/>
      <c r="HV129" s="188"/>
      <c r="HW129" s="188"/>
      <c r="HX129" s="188"/>
      <c r="HY129" s="188"/>
      <c r="HZ129" s="188"/>
      <c r="IA129" s="188"/>
      <c r="IB129" s="188"/>
      <c r="IC129" s="188"/>
      <c r="ID129" s="188"/>
      <c r="IE129" s="189"/>
      <c r="IF129" s="187"/>
      <c r="IG129" s="188"/>
      <c r="IH129" s="188"/>
      <c r="II129" s="188"/>
      <c r="IJ129" s="189"/>
      <c r="IS129" s="184" t="s">
        <v>165</v>
      </c>
      <c r="IT129" s="185"/>
      <c r="IU129" s="185"/>
      <c r="IV129" s="185"/>
      <c r="IW129" s="185"/>
      <c r="IX129" s="185"/>
      <c r="IY129" s="185"/>
      <c r="IZ129" s="185"/>
      <c r="JA129" s="185"/>
      <c r="JB129" s="185"/>
      <c r="JC129" s="185"/>
      <c r="JD129" s="185"/>
      <c r="JE129" s="185"/>
      <c r="JF129" s="185"/>
      <c r="JG129" s="185"/>
      <c r="JH129" s="185"/>
      <c r="JI129" s="185"/>
      <c r="JJ129" s="185"/>
      <c r="JK129" s="185"/>
      <c r="JL129" s="185"/>
      <c r="JM129" s="185"/>
      <c r="JN129" s="185"/>
      <c r="JO129" s="185"/>
      <c r="JP129" s="185"/>
      <c r="JQ129" s="185"/>
      <c r="JR129" s="185"/>
      <c r="JS129" s="185"/>
      <c r="JT129" s="185"/>
      <c r="JU129" s="185"/>
      <c r="JV129" s="185"/>
      <c r="JW129" s="185"/>
      <c r="JX129" s="185"/>
      <c r="JY129" s="185"/>
      <c r="JZ129" s="185"/>
      <c r="KA129" s="185"/>
      <c r="KB129" s="185"/>
      <c r="KC129" s="185"/>
      <c r="KD129" s="185"/>
      <c r="KE129" s="185">
        <v>1</v>
      </c>
      <c r="KF129" s="186"/>
      <c r="KG129" s="184">
        <v>4</v>
      </c>
      <c r="KH129" s="185"/>
      <c r="KI129" s="185"/>
      <c r="KJ129" s="185"/>
      <c r="KK129" s="186"/>
      <c r="KQ129" s="187"/>
      <c r="KR129" s="188"/>
      <c r="KS129" s="188"/>
      <c r="KT129" s="188"/>
      <c r="KU129" s="188"/>
      <c r="KV129" s="188"/>
      <c r="KW129" s="188"/>
      <c r="KX129" s="188"/>
      <c r="KY129" s="188"/>
      <c r="KZ129" s="188"/>
      <c r="LA129" s="188"/>
      <c r="LB129" s="188"/>
      <c r="LC129" s="188"/>
      <c r="LD129" s="188"/>
      <c r="LE129" s="188"/>
      <c r="LF129" s="188"/>
      <c r="LG129" s="188"/>
      <c r="LH129" s="188"/>
      <c r="LI129" s="188"/>
      <c r="LJ129" s="188"/>
      <c r="LK129" s="188"/>
      <c r="LL129" s="188"/>
      <c r="LM129" s="188"/>
      <c r="LN129" s="188"/>
      <c r="LO129" s="188"/>
      <c r="LP129" s="188"/>
      <c r="LQ129" s="188"/>
      <c r="LR129" s="188"/>
      <c r="LS129" s="188"/>
      <c r="LT129" s="188"/>
      <c r="LU129" s="188"/>
      <c r="LV129" s="188"/>
      <c r="LW129" s="188"/>
      <c r="LX129" s="188"/>
      <c r="LY129" s="188"/>
      <c r="LZ129" s="188"/>
      <c r="MA129" s="188"/>
      <c r="MB129" s="188"/>
      <c r="MC129" s="188"/>
      <c r="MD129" s="189"/>
      <c r="ME129" s="187"/>
      <c r="MF129" s="188"/>
      <c r="MG129" s="188"/>
      <c r="MH129" s="188"/>
      <c r="MI129" s="189"/>
      <c r="MN129" s="187"/>
      <c r="MO129" s="188"/>
      <c r="MP129" s="188"/>
      <c r="MQ129" s="188"/>
      <c r="MR129" s="188"/>
      <c r="MS129" s="188"/>
      <c r="MT129" s="188"/>
      <c r="MU129" s="188"/>
      <c r="MV129" s="188"/>
      <c r="MW129" s="188"/>
      <c r="MX129" s="188"/>
      <c r="MY129" s="188"/>
      <c r="MZ129" s="188"/>
      <c r="NA129" s="188"/>
      <c r="NB129" s="188"/>
      <c r="NC129" s="188"/>
      <c r="ND129" s="188"/>
      <c r="NE129" s="188"/>
      <c r="NF129" s="188"/>
      <c r="NG129" s="188"/>
      <c r="NH129" s="188"/>
      <c r="NI129" s="188"/>
      <c r="NJ129" s="188"/>
      <c r="NK129" s="188"/>
      <c r="NL129" s="188"/>
      <c r="NM129" s="188"/>
      <c r="NN129" s="188"/>
      <c r="NO129" s="188"/>
      <c r="NP129" s="188"/>
      <c r="NQ129" s="188"/>
      <c r="NR129" s="188"/>
      <c r="NS129" s="188"/>
      <c r="NT129" s="188"/>
      <c r="NU129" s="188"/>
      <c r="NV129" s="188"/>
      <c r="NW129" s="188"/>
      <c r="NX129" s="188"/>
      <c r="NY129" s="188"/>
      <c r="NZ129" s="188"/>
      <c r="OA129" s="189"/>
      <c r="OB129" s="187"/>
      <c r="OC129" s="188"/>
      <c r="OD129" s="188"/>
      <c r="OE129" s="188"/>
      <c r="OF129" s="189"/>
      <c r="QQ129" s="12"/>
      <c r="QR129" s="7"/>
      <c r="QS129" s="3"/>
      <c r="QT129" s="3"/>
      <c r="QU129" s="3"/>
      <c r="QV129" s="3"/>
      <c r="QW129" s="2"/>
    </row>
    <row r="130" spans="3:465" ht="5.0999999999999996" customHeight="1" x14ac:dyDescent="0.3">
      <c r="C130" s="11"/>
      <c r="D130" s="13"/>
      <c r="G130" s="187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9"/>
      <c r="AV130" s="187"/>
      <c r="AW130" s="188"/>
      <c r="AX130" s="188"/>
      <c r="AY130" s="188"/>
      <c r="AZ130" s="189"/>
      <c r="BC130" s="187"/>
      <c r="BD130" s="188"/>
      <c r="BE130" s="188"/>
      <c r="BF130" s="188"/>
      <c r="BG130" s="188"/>
      <c r="BH130" s="188"/>
      <c r="BI130" s="188"/>
      <c r="BJ130" s="188"/>
      <c r="BK130" s="188"/>
      <c r="BL130" s="188"/>
      <c r="BM130" s="188"/>
      <c r="BN130" s="188"/>
      <c r="BO130" s="188"/>
      <c r="BP130" s="188"/>
      <c r="BQ130" s="188"/>
      <c r="BR130" s="188"/>
      <c r="BS130" s="188"/>
      <c r="BT130" s="188"/>
      <c r="BU130" s="188"/>
      <c r="BV130" s="188"/>
      <c r="BW130" s="188"/>
      <c r="BX130" s="188"/>
      <c r="BY130" s="188"/>
      <c r="BZ130" s="188"/>
      <c r="CA130" s="188"/>
      <c r="CB130" s="188"/>
      <c r="CC130" s="188"/>
      <c r="CD130" s="188"/>
      <c r="CE130" s="188"/>
      <c r="CF130" s="188"/>
      <c r="CG130" s="188"/>
      <c r="CH130" s="188"/>
      <c r="CI130" s="188"/>
      <c r="CJ130" s="188"/>
      <c r="CK130" s="188"/>
      <c r="CL130" s="188"/>
      <c r="CM130" s="188"/>
      <c r="CN130" s="188"/>
      <c r="CO130" s="188"/>
      <c r="CP130" s="188"/>
      <c r="CQ130" s="189"/>
      <c r="CR130" s="187"/>
      <c r="CS130" s="188"/>
      <c r="CT130" s="188"/>
      <c r="CU130" s="188"/>
      <c r="CV130" s="189"/>
      <c r="CY130" s="187"/>
      <c r="CZ130" s="188"/>
      <c r="DA130" s="188"/>
      <c r="DB130" s="188"/>
      <c r="DC130" s="188"/>
      <c r="DD130" s="188"/>
      <c r="DE130" s="188"/>
      <c r="DF130" s="188"/>
      <c r="DG130" s="188"/>
      <c r="DH130" s="188"/>
      <c r="DI130" s="188"/>
      <c r="DJ130" s="188"/>
      <c r="DK130" s="188"/>
      <c r="DL130" s="188"/>
      <c r="DM130" s="188"/>
      <c r="DN130" s="188"/>
      <c r="DO130" s="188"/>
      <c r="DP130" s="188"/>
      <c r="DQ130" s="188"/>
      <c r="DR130" s="188"/>
      <c r="DS130" s="188"/>
      <c r="DT130" s="188"/>
      <c r="DU130" s="188"/>
      <c r="DV130" s="188"/>
      <c r="DW130" s="188"/>
      <c r="DX130" s="188"/>
      <c r="DY130" s="188"/>
      <c r="DZ130" s="188"/>
      <c r="EA130" s="188"/>
      <c r="EB130" s="188"/>
      <c r="EC130" s="188"/>
      <c r="ED130" s="188"/>
      <c r="EE130" s="188"/>
      <c r="EF130" s="188"/>
      <c r="EG130" s="188"/>
      <c r="EH130" s="188"/>
      <c r="EI130" s="188"/>
      <c r="EJ130" s="188"/>
      <c r="EK130" s="188"/>
      <c r="EL130" s="188"/>
      <c r="EM130" s="189"/>
      <c r="EN130" s="187"/>
      <c r="EO130" s="188"/>
      <c r="EP130" s="188"/>
      <c r="EQ130" s="188"/>
      <c r="ER130" s="189"/>
      <c r="EU130" s="187"/>
      <c r="EV130" s="188"/>
      <c r="EW130" s="188"/>
      <c r="EX130" s="188"/>
      <c r="EY130" s="188"/>
      <c r="EZ130" s="188"/>
      <c r="FA130" s="188"/>
      <c r="FB130" s="188"/>
      <c r="FC130" s="188"/>
      <c r="FD130" s="188"/>
      <c r="FE130" s="188"/>
      <c r="FF130" s="188"/>
      <c r="FG130" s="188"/>
      <c r="FH130" s="188"/>
      <c r="FI130" s="188"/>
      <c r="FJ130" s="188"/>
      <c r="FK130" s="188"/>
      <c r="FL130" s="188"/>
      <c r="FM130" s="188"/>
      <c r="FN130" s="188"/>
      <c r="FO130" s="188"/>
      <c r="FP130" s="188"/>
      <c r="FQ130" s="188"/>
      <c r="FR130" s="188"/>
      <c r="FS130" s="188"/>
      <c r="FT130" s="188"/>
      <c r="FU130" s="188"/>
      <c r="FV130" s="188"/>
      <c r="FW130" s="188"/>
      <c r="FX130" s="188"/>
      <c r="FY130" s="188"/>
      <c r="FZ130" s="188"/>
      <c r="GA130" s="188"/>
      <c r="GB130" s="188"/>
      <c r="GC130" s="188"/>
      <c r="GD130" s="188"/>
      <c r="GE130" s="188"/>
      <c r="GF130" s="188"/>
      <c r="GG130" s="188"/>
      <c r="GH130" s="188"/>
      <c r="GI130" s="189"/>
      <c r="GJ130" s="187"/>
      <c r="GK130" s="188"/>
      <c r="GL130" s="188"/>
      <c r="GM130" s="188"/>
      <c r="GN130" s="189"/>
      <c r="GQ130" s="187"/>
      <c r="GR130" s="188"/>
      <c r="GS130" s="188"/>
      <c r="GT130" s="188"/>
      <c r="GU130" s="188"/>
      <c r="GV130" s="188"/>
      <c r="GW130" s="188"/>
      <c r="GX130" s="188"/>
      <c r="GY130" s="188"/>
      <c r="GZ130" s="188"/>
      <c r="HA130" s="188"/>
      <c r="HB130" s="188"/>
      <c r="HC130" s="188"/>
      <c r="HD130" s="188"/>
      <c r="HE130" s="188"/>
      <c r="HF130" s="188"/>
      <c r="HG130" s="188"/>
      <c r="HH130" s="188"/>
      <c r="HI130" s="188"/>
      <c r="HJ130" s="188"/>
      <c r="HK130" s="188"/>
      <c r="HL130" s="188"/>
      <c r="HM130" s="188"/>
      <c r="HN130" s="188"/>
      <c r="HO130" s="188"/>
      <c r="HP130" s="188"/>
      <c r="HQ130" s="188"/>
      <c r="HR130" s="188"/>
      <c r="HS130" s="188"/>
      <c r="HT130" s="188"/>
      <c r="HU130" s="188"/>
      <c r="HV130" s="188"/>
      <c r="HW130" s="188"/>
      <c r="HX130" s="188"/>
      <c r="HY130" s="188"/>
      <c r="HZ130" s="188"/>
      <c r="IA130" s="188"/>
      <c r="IB130" s="188"/>
      <c r="IC130" s="188"/>
      <c r="ID130" s="188"/>
      <c r="IE130" s="189"/>
      <c r="IF130" s="187"/>
      <c r="IG130" s="188"/>
      <c r="IH130" s="188"/>
      <c r="II130" s="188"/>
      <c r="IJ130" s="189"/>
      <c r="IS130" s="187"/>
      <c r="IT130" s="188"/>
      <c r="IU130" s="188"/>
      <c r="IV130" s="188"/>
      <c r="IW130" s="188"/>
      <c r="IX130" s="188"/>
      <c r="IY130" s="188"/>
      <c r="IZ130" s="188"/>
      <c r="JA130" s="188"/>
      <c r="JB130" s="188"/>
      <c r="JC130" s="188"/>
      <c r="JD130" s="188"/>
      <c r="JE130" s="188"/>
      <c r="JF130" s="188"/>
      <c r="JG130" s="188"/>
      <c r="JH130" s="188"/>
      <c r="JI130" s="188"/>
      <c r="JJ130" s="188"/>
      <c r="JK130" s="188"/>
      <c r="JL130" s="188"/>
      <c r="JM130" s="188"/>
      <c r="JN130" s="188"/>
      <c r="JO130" s="188"/>
      <c r="JP130" s="188"/>
      <c r="JQ130" s="188"/>
      <c r="JR130" s="188"/>
      <c r="JS130" s="188"/>
      <c r="JT130" s="188"/>
      <c r="JU130" s="188"/>
      <c r="JV130" s="188"/>
      <c r="JW130" s="188"/>
      <c r="JX130" s="188"/>
      <c r="JY130" s="188"/>
      <c r="JZ130" s="188"/>
      <c r="KA130" s="188"/>
      <c r="KB130" s="188"/>
      <c r="KC130" s="188"/>
      <c r="KD130" s="188"/>
      <c r="KE130" s="188"/>
      <c r="KF130" s="189"/>
      <c r="KG130" s="187"/>
      <c r="KH130" s="188"/>
      <c r="KI130" s="188"/>
      <c r="KJ130" s="188"/>
      <c r="KK130" s="189"/>
      <c r="KQ130" s="187"/>
      <c r="KR130" s="188"/>
      <c r="KS130" s="188"/>
      <c r="KT130" s="188"/>
      <c r="KU130" s="188"/>
      <c r="KV130" s="188"/>
      <c r="KW130" s="188"/>
      <c r="KX130" s="188"/>
      <c r="KY130" s="188"/>
      <c r="KZ130" s="188"/>
      <c r="LA130" s="188"/>
      <c r="LB130" s="188"/>
      <c r="LC130" s="188"/>
      <c r="LD130" s="188"/>
      <c r="LE130" s="188"/>
      <c r="LF130" s="188"/>
      <c r="LG130" s="188"/>
      <c r="LH130" s="188"/>
      <c r="LI130" s="188"/>
      <c r="LJ130" s="188"/>
      <c r="LK130" s="188"/>
      <c r="LL130" s="188"/>
      <c r="LM130" s="188"/>
      <c r="LN130" s="188"/>
      <c r="LO130" s="188"/>
      <c r="LP130" s="188"/>
      <c r="LQ130" s="188"/>
      <c r="LR130" s="188"/>
      <c r="LS130" s="188"/>
      <c r="LT130" s="188"/>
      <c r="LU130" s="188"/>
      <c r="LV130" s="188"/>
      <c r="LW130" s="188"/>
      <c r="LX130" s="188"/>
      <c r="LY130" s="188"/>
      <c r="LZ130" s="188"/>
      <c r="MA130" s="188"/>
      <c r="MB130" s="188"/>
      <c r="MC130" s="188"/>
      <c r="MD130" s="189"/>
      <c r="ME130" s="187"/>
      <c r="MF130" s="188"/>
      <c r="MG130" s="188"/>
      <c r="MH130" s="188"/>
      <c r="MI130" s="189"/>
      <c r="MN130" s="187"/>
      <c r="MO130" s="188"/>
      <c r="MP130" s="188"/>
      <c r="MQ130" s="188"/>
      <c r="MR130" s="188"/>
      <c r="MS130" s="188"/>
      <c r="MT130" s="188"/>
      <c r="MU130" s="188"/>
      <c r="MV130" s="188"/>
      <c r="MW130" s="188"/>
      <c r="MX130" s="188"/>
      <c r="MY130" s="188"/>
      <c r="MZ130" s="188"/>
      <c r="NA130" s="188"/>
      <c r="NB130" s="188"/>
      <c r="NC130" s="188"/>
      <c r="ND130" s="188"/>
      <c r="NE130" s="188"/>
      <c r="NF130" s="188"/>
      <c r="NG130" s="188"/>
      <c r="NH130" s="188"/>
      <c r="NI130" s="188"/>
      <c r="NJ130" s="188"/>
      <c r="NK130" s="188"/>
      <c r="NL130" s="188"/>
      <c r="NM130" s="188"/>
      <c r="NN130" s="188"/>
      <c r="NO130" s="188"/>
      <c r="NP130" s="188"/>
      <c r="NQ130" s="188"/>
      <c r="NR130" s="188"/>
      <c r="NS130" s="188"/>
      <c r="NT130" s="188"/>
      <c r="NU130" s="188"/>
      <c r="NV130" s="188"/>
      <c r="NW130" s="188"/>
      <c r="NX130" s="188"/>
      <c r="NY130" s="188"/>
      <c r="NZ130" s="188"/>
      <c r="OA130" s="189"/>
      <c r="OB130" s="187"/>
      <c r="OC130" s="188"/>
      <c r="OD130" s="188"/>
      <c r="OE130" s="188"/>
      <c r="OF130" s="189"/>
      <c r="QQ130" s="12"/>
      <c r="QR130" s="7"/>
      <c r="QS130" s="3"/>
      <c r="QT130" s="3"/>
      <c r="QU130" s="3"/>
      <c r="QV130" s="3"/>
      <c r="QW130" s="2"/>
    </row>
    <row r="131" spans="3:465" ht="5.0999999999999996" customHeight="1" x14ac:dyDescent="0.3">
      <c r="C131" s="11"/>
      <c r="D131" s="13"/>
      <c r="G131" s="187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9"/>
      <c r="AV131" s="187"/>
      <c r="AW131" s="188"/>
      <c r="AX131" s="188"/>
      <c r="AY131" s="188"/>
      <c r="AZ131" s="189"/>
      <c r="BC131" s="187"/>
      <c r="BD131" s="188"/>
      <c r="BE131" s="188"/>
      <c r="BF131" s="188"/>
      <c r="BG131" s="188"/>
      <c r="BH131" s="188"/>
      <c r="BI131" s="188"/>
      <c r="BJ131" s="188"/>
      <c r="BK131" s="188"/>
      <c r="BL131" s="188"/>
      <c r="BM131" s="188"/>
      <c r="BN131" s="188"/>
      <c r="BO131" s="188"/>
      <c r="BP131" s="188"/>
      <c r="BQ131" s="188"/>
      <c r="BR131" s="188"/>
      <c r="BS131" s="188"/>
      <c r="BT131" s="188"/>
      <c r="BU131" s="188"/>
      <c r="BV131" s="188"/>
      <c r="BW131" s="188"/>
      <c r="BX131" s="188"/>
      <c r="BY131" s="188"/>
      <c r="BZ131" s="188"/>
      <c r="CA131" s="188"/>
      <c r="CB131" s="188"/>
      <c r="CC131" s="188"/>
      <c r="CD131" s="188"/>
      <c r="CE131" s="188"/>
      <c r="CF131" s="188"/>
      <c r="CG131" s="188"/>
      <c r="CH131" s="188"/>
      <c r="CI131" s="188"/>
      <c r="CJ131" s="188"/>
      <c r="CK131" s="188"/>
      <c r="CL131" s="188"/>
      <c r="CM131" s="188"/>
      <c r="CN131" s="188"/>
      <c r="CO131" s="188"/>
      <c r="CP131" s="188"/>
      <c r="CQ131" s="189"/>
      <c r="CR131" s="187"/>
      <c r="CS131" s="188"/>
      <c r="CT131" s="188"/>
      <c r="CU131" s="188"/>
      <c r="CV131" s="189"/>
      <c r="CY131" s="187"/>
      <c r="CZ131" s="188"/>
      <c r="DA131" s="188"/>
      <c r="DB131" s="188"/>
      <c r="DC131" s="188"/>
      <c r="DD131" s="188"/>
      <c r="DE131" s="188"/>
      <c r="DF131" s="188"/>
      <c r="DG131" s="188"/>
      <c r="DH131" s="188"/>
      <c r="DI131" s="188"/>
      <c r="DJ131" s="188"/>
      <c r="DK131" s="188"/>
      <c r="DL131" s="188"/>
      <c r="DM131" s="188"/>
      <c r="DN131" s="188"/>
      <c r="DO131" s="188"/>
      <c r="DP131" s="188"/>
      <c r="DQ131" s="188"/>
      <c r="DR131" s="188"/>
      <c r="DS131" s="188"/>
      <c r="DT131" s="188"/>
      <c r="DU131" s="188"/>
      <c r="DV131" s="188"/>
      <c r="DW131" s="188"/>
      <c r="DX131" s="188"/>
      <c r="DY131" s="188"/>
      <c r="DZ131" s="188"/>
      <c r="EA131" s="188"/>
      <c r="EB131" s="188"/>
      <c r="EC131" s="188"/>
      <c r="ED131" s="188"/>
      <c r="EE131" s="188"/>
      <c r="EF131" s="188"/>
      <c r="EG131" s="188"/>
      <c r="EH131" s="188"/>
      <c r="EI131" s="188"/>
      <c r="EJ131" s="188"/>
      <c r="EK131" s="188"/>
      <c r="EL131" s="188"/>
      <c r="EM131" s="189"/>
      <c r="EN131" s="187"/>
      <c r="EO131" s="188"/>
      <c r="EP131" s="188"/>
      <c r="EQ131" s="188"/>
      <c r="ER131" s="189"/>
      <c r="EU131" s="187"/>
      <c r="EV131" s="188"/>
      <c r="EW131" s="188"/>
      <c r="EX131" s="188"/>
      <c r="EY131" s="188"/>
      <c r="EZ131" s="188"/>
      <c r="FA131" s="188"/>
      <c r="FB131" s="188"/>
      <c r="FC131" s="188"/>
      <c r="FD131" s="188"/>
      <c r="FE131" s="188"/>
      <c r="FF131" s="188"/>
      <c r="FG131" s="188"/>
      <c r="FH131" s="188"/>
      <c r="FI131" s="188"/>
      <c r="FJ131" s="188"/>
      <c r="FK131" s="188"/>
      <c r="FL131" s="188"/>
      <c r="FM131" s="188"/>
      <c r="FN131" s="188"/>
      <c r="FO131" s="188"/>
      <c r="FP131" s="188"/>
      <c r="FQ131" s="188"/>
      <c r="FR131" s="188"/>
      <c r="FS131" s="188"/>
      <c r="FT131" s="188"/>
      <c r="FU131" s="188"/>
      <c r="FV131" s="188"/>
      <c r="FW131" s="188"/>
      <c r="FX131" s="188"/>
      <c r="FY131" s="188"/>
      <c r="FZ131" s="188"/>
      <c r="GA131" s="188"/>
      <c r="GB131" s="188"/>
      <c r="GC131" s="188"/>
      <c r="GD131" s="188"/>
      <c r="GE131" s="188"/>
      <c r="GF131" s="188"/>
      <c r="GG131" s="188"/>
      <c r="GH131" s="188"/>
      <c r="GI131" s="189"/>
      <c r="GJ131" s="187"/>
      <c r="GK131" s="188"/>
      <c r="GL131" s="188"/>
      <c r="GM131" s="188"/>
      <c r="GN131" s="189"/>
      <c r="GQ131" s="187"/>
      <c r="GR131" s="188"/>
      <c r="GS131" s="188"/>
      <c r="GT131" s="188"/>
      <c r="GU131" s="188"/>
      <c r="GV131" s="188"/>
      <c r="GW131" s="188"/>
      <c r="GX131" s="188"/>
      <c r="GY131" s="188"/>
      <c r="GZ131" s="188"/>
      <c r="HA131" s="188"/>
      <c r="HB131" s="188"/>
      <c r="HC131" s="188"/>
      <c r="HD131" s="188"/>
      <c r="HE131" s="188"/>
      <c r="HF131" s="188"/>
      <c r="HG131" s="188"/>
      <c r="HH131" s="188"/>
      <c r="HI131" s="188"/>
      <c r="HJ131" s="188"/>
      <c r="HK131" s="188"/>
      <c r="HL131" s="188"/>
      <c r="HM131" s="188"/>
      <c r="HN131" s="188"/>
      <c r="HO131" s="188"/>
      <c r="HP131" s="188"/>
      <c r="HQ131" s="188"/>
      <c r="HR131" s="188"/>
      <c r="HS131" s="188"/>
      <c r="HT131" s="188"/>
      <c r="HU131" s="188"/>
      <c r="HV131" s="188"/>
      <c r="HW131" s="188"/>
      <c r="HX131" s="188"/>
      <c r="HY131" s="188"/>
      <c r="HZ131" s="188"/>
      <c r="IA131" s="188"/>
      <c r="IB131" s="188"/>
      <c r="IC131" s="188"/>
      <c r="ID131" s="188"/>
      <c r="IE131" s="189"/>
      <c r="IF131" s="187"/>
      <c r="IG131" s="188"/>
      <c r="IH131" s="188"/>
      <c r="II131" s="188"/>
      <c r="IJ131" s="189"/>
      <c r="IS131" s="187"/>
      <c r="IT131" s="188"/>
      <c r="IU131" s="188"/>
      <c r="IV131" s="188"/>
      <c r="IW131" s="188"/>
      <c r="IX131" s="188"/>
      <c r="IY131" s="188"/>
      <c r="IZ131" s="188"/>
      <c r="JA131" s="188"/>
      <c r="JB131" s="188"/>
      <c r="JC131" s="188"/>
      <c r="JD131" s="188"/>
      <c r="JE131" s="188"/>
      <c r="JF131" s="188"/>
      <c r="JG131" s="188"/>
      <c r="JH131" s="188"/>
      <c r="JI131" s="188"/>
      <c r="JJ131" s="188"/>
      <c r="JK131" s="188"/>
      <c r="JL131" s="188"/>
      <c r="JM131" s="188"/>
      <c r="JN131" s="188"/>
      <c r="JO131" s="188"/>
      <c r="JP131" s="188"/>
      <c r="JQ131" s="188"/>
      <c r="JR131" s="188"/>
      <c r="JS131" s="188"/>
      <c r="JT131" s="188"/>
      <c r="JU131" s="188"/>
      <c r="JV131" s="188"/>
      <c r="JW131" s="188"/>
      <c r="JX131" s="188"/>
      <c r="JY131" s="188"/>
      <c r="JZ131" s="188"/>
      <c r="KA131" s="188"/>
      <c r="KB131" s="188"/>
      <c r="KC131" s="188"/>
      <c r="KD131" s="188"/>
      <c r="KE131" s="188"/>
      <c r="KF131" s="189"/>
      <c r="KG131" s="187"/>
      <c r="KH131" s="188"/>
      <c r="KI131" s="188"/>
      <c r="KJ131" s="188"/>
      <c r="KK131" s="189"/>
      <c r="KQ131" s="187"/>
      <c r="KR131" s="188"/>
      <c r="KS131" s="188"/>
      <c r="KT131" s="188"/>
      <c r="KU131" s="188"/>
      <c r="KV131" s="188"/>
      <c r="KW131" s="188"/>
      <c r="KX131" s="188"/>
      <c r="KY131" s="188"/>
      <c r="KZ131" s="188"/>
      <c r="LA131" s="188"/>
      <c r="LB131" s="188"/>
      <c r="LC131" s="188"/>
      <c r="LD131" s="188"/>
      <c r="LE131" s="188"/>
      <c r="LF131" s="188"/>
      <c r="LG131" s="188"/>
      <c r="LH131" s="188"/>
      <c r="LI131" s="188"/>
      <c r="LJ131" s="188"/>
      <c r="LK131" s="188"/>
      <c r="LL131" s="188"/>
      <c r="LM131" s="188"/>
      <c r="LN131" s="188"/>
      <c r="LO131" s="188"/>
      <c r="LP131" s="188"/>
      <c r="LQ131" s="188"/>
      <c r="LR131" s="188"/>
      <c r="LS131" s="188"/>
      <c r="LT131" s="188"/>
      <c r="LU131" s="188"/>
      <c r="LV131" s="188"/>
      <c r="LW131" s="188"/>
      <c r="LX131" s="188"/>
      <c r="LY131" s="188"/>
      <c r="LZ131" s="188"/>
      <c r="MA131" s="188"/>
      <c r="MB131" s="188"/>
      <c r="MC131" s="188"/>
      <c r="MD131" s="189"/>
      <c r="ME131" s="187"/>
      <c r="MF131" s="188"/>
      <c r="MG131" s="188"/>
      <c r="MH131" s="188"/>
      <c r="MI131" s="189"/>
      <c r="MN131" s="187"/>
      <c r="MO131" s="188"/>
      <c r="MP131" s="188"/>
      <c r="MQ131" s="188"/>
      <c r="MR131" s="188"/>
      <c r="MS131" s="188"/>
      <c r="MT131" s="188"/>
      <c r="MU131" s="188"/>
      <c r="MV131" s="188"/>
      <c r="MW131" s="188"/>
      <c r="MX131" s="188"/>
      <c r="MY131" s="188"/>
      <c r="MZ131" s="188"/>
      <c r="NA131" s="188"/>
      <c r="NB131" s="188"/>
      <c r="NC131" s="188"/>
      <c r="ND131" s="188"/>
      <c r="NE131" s="188"/>
      <c r="NF131" s="188"/>
      <c r="NG131" s="188"/>
      <c r="NH131" s="188"/>
      <c r="NI131" s="188"/>
      <c r="NJ131" s="188"/>
      <c r="NK131" s="188"/>
      <c r="NL131" s="188"/>
      <c r="NM131" s="188"/>
      <c r="NN131" s="188"/>
      <c r="NO131" s="188"/>
      <c r="NP131" s="188"/>
      <c r="NQ131" s="188"/>
      <c r="NR131" s="188"/>
      <c r="NS131" s="188"/>
      <c r="NT131" s="188"/>
      <c r="NU131" s="188"/>
      <c r="NV131" s="188"/>
      <c r="NW131" s="188"/>
      <c r="NX131" s="188"/>
      <c r="NY131" s="188"/>
      <c r="NZ131" s="188"/>
      <c r="OA131" s="189"/>
      <c r="OB131" s="187"/>
      <c r="OC131" s="188"/>
      <c r="OD131" s="188"/>
      <c r="OE131" s="188"/>
      <c r="OF131" s="189"/>
      <c r="QQ131" s="12"/>
      <c r="QR131" s="7"/>
      <c r="QS131" s="3"/>
      <c r="QT131" s="3"/>
      <c r="QU131" s="3"/>
      <c r="QV131" s="3"/>
      <c r="QW131" s="2"/>
    </row>
    <row r="132" spans="3:465" ht="5.0999999999999996" customHeight="1" x14ac:dyDescent="0.3">
      <c r="C132" s="11"/>
      <c r="D132" s="13"/>
      <c r="G132" s="187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9"/>
      <c r="AV132" s="187"/>
      <c r="AW132" s="188"/>
      <c r="AX132" s="188"/>
      <c r="AY132" s="188"/>
      <c r="AZ132" s="189"/>
      <c r="BC132" s="187"/>
      <c r="BD132" s="188"/>
      <c r="BE132" s="188"/>
      <c r="BF132" s="188"/>
      <c r="BG132" s="188"/>
      <c r="BH132" s="188"/>
      <c r="BI132" s="188"/>
      <c r="BJ132" s="188"/>
      <c r="BK132" s="188"/>
      <c r="BL132" s="188"/>
      <c r="BM132" s="188"/>
      <c r="BN132" s="188"/>
      <c r="BO132" s="188"/>
      <c r="BP132" s="188"/>
      <c r="BQ132" s="188"/>
      <c r="BR132" s="188"/>
      <c r="BS132" s="188"/>
      <c r="BT132" s="188"/>
      <c r="BU132" s="188"/>
      <c r="BV132" s="188"/>
      <c r="BW132" s="188"/>
      <c r="BX132" s="188"/>
      <c r="BY132" s="188"/>
      <c r="BZ132" s="188"/>
      <c r="CA132" s="188"/>
      <c r="CB132" s="188"/>
      <c r="CC132" s="188"/>
      <c r="CD132" s="188"/>
      <c r="CE132" s="188"/>
      <c r="CF132" s="188"/>
      <c r="CG132" s="188"/>
      <c r="CH132" s="188"/>
      <c r="CI132" s="188"/>
      <c r="CJ132" s="188"/>
      <c r="CK132" s="188"/>
      <c r="CL132" s="188"/>
      <c r="CM132" s="188"/>
      <c r="CN132" s="188"/>
      <c r="CO132" s="188"/>
      <c r="CP132" s="188"/>
      <c r="CQ132" s="189"/>
      <c r="CR132" s="187"/>
      <c r="CS132" s="188"/>
      <c r="CT132" s="188"/>
      <c r="CU132" s="188"/>
      <c r="CV132" s="189"/>
      <c r="CY132" s="187"/>
      <c r="CZ132" s="188"/>
      <c r="DA132" s="188"/>
      <c r="DB132" s="188"/>
      <c r="DC132" s="188"/>
      <c r="DD132" s="188"/>
      <c r="DE132" s="188"/>
      <c r="DF132" s="188"/>
      <c r="DG132" s="188"/>
      <c r="DH132" s="188"/>
      <c r="DI132" s="188"/>
      <c r="DJ132" s="188"/>
      <c r="DK132" s="188"/>
      <c r="DL132" s="188"/>
      <c r="DM132" s="188"/>
      <c r="DN132" s="188"/>
      <c r="DO132" s="188"/>
      <c r="DP132" s="188"/>
      <c r="DQ132" s="188"/>
      <c r="DR132" s="188"/>
      <c r="DS132" s="188"/>
      <c r="DT132" s="188"/>
      <c r="DU132" s="188"/>
      <c r="DV132" s="188"/>
      <c r="DW132" s="188"/>
      <c r="DX132" s="188"/>
      <c r="DY132" s="188"/>
      <c r="DZ132" s="188"/>
      <c r="EA132" s="188"/>
      <c r="EB132" s="188"/>
      <c r="EC132" s="188"/>
      <c r="ED132" s="188"/>
      <c r="EE132" s="188"/>
      <c r="EF132" s="188"/>
      <c r="EG132" s="188"/>
      <c r="EH132" s="188"/>
      <c r="EI132" s="188"/>
      <c r="EJ132" s="188"/>
      <c r="EK132" s="188"/>
      <c r="EL132" s="188"/>
      <c r="EM132" s="189"/>
      <c r="EN132" s="187"/>
      <c r="EO132" s="188"/>
      <c r="EP132" s="188"/>
      <c r="EQ132" s="188"/>
      <c r="ER132" s="189"/>
      <c r="EU132" s="187"/>
      <c r="EV132" s="188"/>
      <c r="EW132" s="188"/>
      <c r="EX132" s="188"/>
      <c r="EY132" s="188"/>
      <c r="EZ132" s="188"/>
      <c r="FA132" s="188"/>
      <c r="FB132" s="188"/>
      <c r="FC132" s="188"/>
      <c r="FD132" s="188"/>
      <c r="FE132" s="188"/>
      <c r="FF132" s="188"/>
      <c r="FG132" s="188"/>
      <c r="FH132" s="188"/>
      <c r="FI132" s="188"/>
      <c r="FJ132" s="188"/>
      <c r="FK132" s="188"/>
      <c r="FL132" s="188"/>
      <c r="FM132" s="188"/>
      <c r="FN132" s="188"/>
      <c r="FO132" s="188"/>
      <c r="FP132" s="188"/>
      <c r="FQ132" s="188"/>
      <c r="FR132" s="188"/>
      <c r="FS132" s="188"/>
      <c r="FT132" s="188"/>
      <c r="FU132" s="188"/>
      <c r="FV132" s="188"/>
      <c r="FW132" s="188"/>
      <c r="FX132" s="188"/>
      <c r="FY132" s="188"/>
      <c r="FZ132" s="188"/>
      <c r="GA132" s="188"/>
      <c r="GB132" s="188"/>
      <c r="GC132" s="188"/>
      <c r="GD132" s="188"/>
      <c r="GE132" s="188"/>
      <c r="GF132" s="188"/>
      <c r="GG132" s="188"/>
      <c r="GH132" s="188"/>
      <c r="GI132" s="189"/>
      <c r="GJ132" s="187"/>
      <c r="GK132" s="188"/>
      <c r="GL132" s="188"/>
      <c r="GM132" s="188"/>
      <c r="GN132" s="189"/>
      <c r="GQ132" s="187"/>
      <c r="GR132" s="188"/>
      <c r="GS132" s="188"/>
      <c r="GT132" s="188"/>
      <c r="GU132" s="188"/>
      <c r="GV132" s="188"/>
      <c r="GW132" s="188"/>
      <c r="GX132" s="188"/>
      <c r="GY132" s="188"/>
      <c r="GZ132" s="188"/>
      <c r="HA132" s="188"/>
      <c r="HB132" s="188"/>
      <c r="HC132" s="188"/>
      <c r="HD132" s="188"/>
      <c r="HE132" s="188"/>
      <c r="HF132" s="188"/>
      <c r="HG132" s="188"/>
      <c r="HH132" s="188"/>
      <c r="HI132" s="188"/>
      <c r="HJ132" s="188"/>
      <c r="HK132" s="188"/>
      <c r="HL132" s="188"/>
      <c r="HM132" s="188"/>
      <c r="HN132" s="188"/>
      <c r="HO132" s="188"/>
      <c r="HP132" s="188"/>
      <c r="HQ132" s="188"/>
      <c r="HR132" s="188"/>
      <c r="HS132" s="188"/>
      <c r="HT132" s="188"/>
      <c r="HU132" s="188"/>
      <c r="HV132" s="188"/>
      <c r="HW132" s="188"/>
      <c r="HX132" s="188"/>
      <c r="HY132" s="188"/>
      <c r="HZ132" s="188"/>
      <c r="IA132" s="188"/>
      <c r="IB132" s="188"/>
      <c r="IC132" s="188"/>
      <c r="ID132" s="188"/>
      <c r="IE132" s="189"/>
      <c r="IF132" s="187"/>
      <c r="IG132" s="188"/>
      <c r="IH132" s="188"/>
      <c r="II132" s="188"/>
      <c r="IJ132" s="189"/>
      <c r="IS132" s="187"/>
      <c r="IT132" s="188"/>
      <c r="IU132" s="188"/>
      <c r="IV132" s="188"/>
      <c r="IW132" s="188"/>
      <c r="IX132" s="188"/>
      <c r="IY132" s="188"/>
      <c r="IZ132" s="188"/>
      <c r="JA132" s="188"/>
      <c r="JB132" s="188"/>
      <c r="JC132" s="188"/>
      <c r="JD132" s="188"/>
      <c r="JE132" s="188"/>
      <c r="JF132" s="188"/>
      <c r="JG132" s="188"/>
      <c r="JH132" s="188"/>
      <c r="JI132" s="188"/>
      <c r="JJ132" s="188"/>
      <c r="JK132" s="188"/>
      <c r="JL132" s="188"/>
      <c r="JM132" s="188"/>
      <c r="JN132" s="188"/>
      <c r="JO132" s="188"/>
      <c r="JP132" s="188"/>
      <c r="JQ132" s="188"/>
      <c r="JR132" s="188"/>
      <c r="JS132" s="188"/>
      <c r="JT132" s="188"/>
      <c r="JU132" s="188"/>
      <c r="JV132" s="188"/>
      <c r="JW132" s="188"/>
      <c r="JX132" s="188"/>
      <c r="JY132" s="188"/>
      <c r="JZ132" s="188"/>
      <c r="KA132" s="188"/>
      <c r="KB132" s="188"/>
      <c r="KC132" s="188"/>
      <c r="KD132" s="188"/>
      <c r="KE132" s="188"/>
      <c r="KF132" s="189"/>
      <c r="KG132" s="187"/>
      <c r="KH132" s="188"/>
      <c r="KI132" s="188"/>
      <c r="KJ132" s="188"/>
      <c r="KK132" s="189"/>
      <c r="KQ132" s="187"/>
      <c r="KR132" s="188"/>
      <c r="KS132" s="188"/>
      <c r="KT132" s="188"/>
      <c r="KU132" s="188"/>
      <c r="KV132" s="188"/>
      <c r="KW132" s="188"/>
      <c r="KX132" s="188"/>
      <c r="KY132" s="188"/>
      <c r="KZ132" s="188"/>
      <c r="LA132" s="188"/>
      <c r="LB132" s="188"/>
      <c r="LC132" s="188"/>
      <c r="LD132" s="188"/>
      <c r="LE132" s="188"/>
      <c r="LF132" s="188"/>
      <c r="LG132" s="188"/>
      <c r="LH132" s="188"/>
      <c r="LI132" s="188"/>
      <c r="LJ132" s="188"/>
      <c r="LK132" s="188"/>
      <c r="LL132" s="188"/>
      <c r="LM132" s="188"/>
      <c r="LN132" s="188"/>
      <c r="LO132" s="188"/>
      <c r="LP132" s="188"/>
      <c r="LQ132" s="188"/>
      <c r="LR132" s="188"/>
      <c r="LS132" s="188"/>
      <c r="LT132" s="188"/>
      <c r="LU132" s="188"/>
      <c r="LV132" s="188"/>
      <c r="LW132" s="188"/>
      <c r="LX132" s="188"/>
      <c r="LY132" s="188"/>
      <c r="LZ132" s="188"/>
      <c r="MA132" s="188"/>
      <c r="MB132" s="188"/>
      <c r="MC132" s="188"/>
      <c r="MD132" s="189"/>
      <c r="ME132" s="187"/>
      <c r="MF132" s="188"/>
      <c r="MG132" s="188"/>
      <c r="MH132" s="188"/>
      <c r="MI132" s="189"/>
      <c r="MN132" s="187"/>
      <c r="MO132" s="188"/>
      <c r="MP132" s="188"/>
      <c r="MQ132" s="188"/>
      <c r="MR132" s="188"/>
      <c r="MS132" s="188"/>
      <c r="MT132" s="188"/>
      <c r="MU132" s="188"/>
      <c r="MV132" s="188"/>
      <c r="MW132" s="188"/>
      <c r="MX132" s="188"/>
      <c r="MY132" s="188"/>
      <c r="MZ132" s="188"/>
      <c r="NA132" s="188"/>
      <c r="NB132" s="188"/>
      <c r="NC132" s="188"/>
      <c r="ND132" s="188"/>
      <c r="NE132" s="188"/>
      <c r="NF132" s="188"/>
      <c r="NG132" s="188"/>
      <c r="NH132" s="188"/>
      <c r="NI132" s="188"/>
      <c r="NJ132" s="188"/>
      <c r="NK132" s="188"/>
      <c r="NL132" s="188"/>
      <c r="NM132" s="188"/>
      <c r="NN132" s="188"/>
      <c r="NO132" s="188"/>
      <c r="NP132" s="188"/>
      <c r="NQ132" s="188"/>
      <c r="NR132" s="188"/>
      <c r="NS132" s="188"/>
      <c r="NT132" s="188"/>
      <c r="NU132" s="188"/>
      <c r="NV132" s="188"/>
      <c r="NW132" s="188"/>
      <c r="NX132" s="188"/>
      <c r="NY132" s="188"/>
      <c r="NZ132" s="188"/>
      <c r="OA132" s="189"/>
      <c r="OB132" s="187"/>
      <c r="OC132" s="188"/>
      <c r="OD132" s="188"/>
      <c r="OE132" s="188"/>
      <c r="OF132" s="189"/>
      <c r="OR132" s="195" t="s">
        <v>11</v>
      </c>
      <c r="OS132" s="196"/>
      <c r="OT132" s="196"/>
      <c r="OU132" s="196"/>
      <c r="OV132" s="196"/>
      <c r="OW132" s="196"/>
      <c r="OX132" s="196"/>
      <c r="OY132" s="196"/>
      <c r="OZ132" s="196"/>
      <c r="PA132" s="196"/>
      <c r="PB132" s="196"/>
      <c r="PC132" s="196"/>
      <c r="PD132" s="196"/>
      <c r="PE132" s="196"/>
      <c r="PF132" s="196"/>
      <c r="PG132" s="196"/>
      <c r="PH132" s="196"/>
      <c r="PI132" s="196"/>
      <c r="PJ132" s="196"/>
      <c r="PK132" s="196"/>
      <c r="PL132" s="196"/>
      <c r="PM132" s="196"/>
      <c r="PN132" s="196"/>
      <c r="PO132" s="196"/>
      <c r="PP132" s="196"/>
      <c r="PQ132" s="196"/>
      <c r="PR132" s="196"/>
      <c r="PS132" s="196"/>
      <c r="PT132" s="196"/>
      <c r="PU132" s="196"/>
      <c r="PV132" s="196"/>
      <c r="PW132" s="196"/>
      <c r="PX132" s="196"/>
      <c r="PY132" s="196"/>
      <c r="PZ132" s="196"/>
      <c r="QA132" s="196"/>
      <c r="QB132" s="196"/>
      <c r="QC132" s="196"/>
      <c r="QD132" s="196"/>
      <c r="QE132" s="196"/>
      <c r="QF132" s="204">
        <f>QF142</f>
        <v>10</v>
      </c>
      <c r="QG132" s="204"/>
      <c r="QH132" s="204"/>
      <c r="QI132" s="204"/>
      <c r="QJ132" s="204"/>
      <c r="QK132" s="204"/>
      <c r="QQ132" s="12"/>
      <c r="QR132" s="7"/>
      <c r="QS132" s="3"/>
      <c r="QT132" s="3"/>
      <c r="QU132" s="3"/>
      <c r="QV132" s="3"/>
      <c r="QW132" s="2"/>
    </row>
    <row r="133" spans="3:465" ht="5.0999999999999996" customHeight="1" x14ac:dyDescent="0.3">
      <c r="C133" s="11"/>
      <c r="D133" s="13"/>
      <c r="G133" s="187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9"/>
      <c r="AV133" s="187"/>
      <c r="AW133" s="188"/>
      <c r="AX133" s="188"/>
      <c r="AY133" s="188"/>
      <c r="AZ133" s="189"/>
      <c r="BC133" s="187"/>
      <c r="BD133" s="188"/>
      <c r="BE133" s="188"/>
      <c r="BF133" s="188"/>
      <c r="BG133" s="188"/>
      <c r="BH133" s="188"/>
      <c r="BI133" s="188"/>
      <c r="BJ133" s="188"/>
      <c r="BK133" s="188"/>
      <c r="BL133" s="188"/>
      <c r="BM133" s="188"/>
      <c r="BN133" s="188"/>
      <c r="BO133" s="188"/>
      <c r="BP133" s="188"/>
      <c r="BQ133" s="188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  <c r="CD133" s="188"/>
      <c r="CE133" s="188"/>
      <c r="CF133" s="188"/>
      <c r="CG133" s="188"/>
      <c r="CH133" s="188"/>
      <c r="CI133" s="188"/>
      <c r="CJ133" s="188"/>
      <c r="CK133" s="188"/>
      <c r="CL133" s="188"/>
      <c r="CM133" s="188"/>
      <c r="CN133" s="188"/>
      <c r="CO133" s="188"/>
      <c r="CP133" s="188"/>
      <c r="CQ133" s="189"/>
      <c r="CR133" s="187"/>
      <c r="CS133" s="188"/>
      <c r="CT133" s="188"/>
      <c r="CU133" s="188"/>
      <c r="CV133" s="189"/>
      <c r="CY133" s="187"/>
      <c r="CZ133" s="188"/>
      <c r="DA133" s="188"/>
      <c r="DB133" s="188"/>
      <c r="DC133" s="188"/>
      <c r="DD133" s="188"/>
      <c r="DE133" s="188"/>
      <c r="DF133" s="188"/>
      <c r="DG133" s="188"/>
      <c r="DH133" s="188"/>
      <c r="DI133" s="188"/>
      <c r="DJ133" s="188"/>
      <c r="DK133" s="188"/>
      <c r="DL133" s="188"/>
      <c r="DM133" s="188"/>
      <c r="DN133" s="188"/>
      <c r="DO133" s="188"/>
      <c r="DP133" s="188"/>
      <c r="DQ133" s="188"/>
      <c r="DR133" s="188"/>
      <c r="DS133" s="188"/>
      <c r="DT133" s="188"/>
      <c r="DU133" s="188"/>
      <c r="DV133" s="188"/>
      <c r="DW133" s="188"/>
      <c r="DX133" s="188"/>
      <c r="DY133" s="188"/>
      <c r="DZ133" s="188"/>
      <c r="EA133" s="188"/>
      <c r="EB133" s="188"/>
      <c r="EC133" s="188"/>
      <c r="ED133" s="188"/>
      <c r="EE133" s="188"/>
      <c r="EF133" s="188"/>
      <c r="EG133" s="188"/>
      <c r="EH133" s="188"/>
      <c r="EI133" s="188"/>
      <c r="EJ133" s="188"/>
      <c r="EK133" s="188"/>
      <c r="EL133" s="188"/>
      <c r="EM133" s="189"/>
      <c r="EN133" s="187"/>
      <c r="EO133" s="188"/>
      <c r="EP133" s="188"/>
      <c r="EQ133" s="188"/>
      <c r="ER133" s="189"/>
      <c r="EU133" s="187"/>
      <c r="EV133" s="188"/>
      <c r="EW133" s="188"/>
      <c r="EX133" s="188"/>
      <c r="EY133" s="188"/>
      <c r="EZ133" s="188"/>
      <c r="FA133" s="188"/>
      <c r="FB133" s="188"/>
      <c r="FC133" s="188"/>
      <c r="FD133" s="188"/>
      <c r="FE133" s="188"/>
      <c r="FF133" s="188"/>
      <c r="FG133" s="188"/>
      <c r="FH133" s="188"/>
      <c r="FI133" s="188"/>
      <c r="FJ133" s="188"/>
      <c r="FK133" s="188"/>
      <c r="FL133" s="188"/>
      <c r="FM133" s="188"/>
      <c r="FN133" s="188"/>
      <c r="FO133" s="188"/>
      <c r="FP133" s="188"/>
      <c r="FQ133" s="188"/>
      <c r="FR133" s="188"/>
      <c r="FS133" s="188"/>
      <c r="FT133" s="188"/>
      <c r="FU133" s="188"/>
      <c r="FV133" s="188"/>
      <c r="FW133" s="188"/>
      <c r="FX133" s="188"/>
      <c r="FY133" s="188"/>
      <c r="FZ133" s="188"/>
      <c r="GA133" s="188"/>
      <c r="GB133" s="188"/>
      <c r="GC133" s="188"/>
      <c r="GD133" s="188"/>
      <c r="GE133" s="188"/>
      <c r="GF133" s="188"/>
      <c r="GG133" s="188"/>
      <c r="GH133" s="188"/>
      <c r="GI133" s="189"/>
      <c r="GJ133" s="187"/>
      <c r="GK133" s="188"/>
      <c r="GL133" s="188"/>
      <c r="GM133" s="188"/>
      <c r="GN133" s="189"/>
      <c r="GQ133" s="187"/>
      <c r="GR133" s="188"/>
      <c r="GS133" s="188"/>
      <c r="GT133" s="188"/>
      <c r="GU133" s="188"/>
      <c r="GV133" s="188"/>
      <c r="GW133" s="188"/>
      <c r="GX133" s="188"/>
      <c r="GY133" s="188"/>
      <c r="GZ133" s="188"/>
      <c r="HA133" s="188"/>
      <c r="HB133" s="188"/>
      <c r="HC133" s="188"/>
      <c r="HD133" s="188"/>
      <c r="HE133" s="188"/>
      <c r="HF133" s="188"/>
      <c r="HG133" s="188"/>
      <c r="HH133" s="188"/>
      <c r="HI133" s="188"/>
      <c r="HJ133" s="188"/>
      <c r="HK133" s="188"/>
      <c r="HL133" s="188"/>
      <c r="HM133" s="188"/>
      <c r="HN133" s="188"/>
      <c r="HO133" s="188"/>
      <c r="HP133" s="188"/>
      <c r="HQ133" s="188"/>
      <c r="HR133" s="188"/>
      <c r="HS133" s="188"/>
      <c r="HT133" s="188"/>
      <c r="HU133" s="188"/>
      <c r="HV133" s="188"/>
      <c r="HW133" s="188"/>
      <c r="HX133" s="188"/>
      <c r="HY133" s="188"/>
      <c r="HZ133" s="188"/>
      <c r="IA133" s="188"/>
      <c r="IB133" s="188"/>
      <c r="IC133" s="188"/>
      <c r="ID133" s="188"/>
      <c r="IE133" s="189"/>
      <c r="IF133" s="187"/>
      <c r="IG133" s="188"/>
      <c r="IH133" s="188"/>
      <c r="II133" s="188"/>
      <c r="IJ133" s="189"/>
      <c r="IS133" s="187"/>
      <c r="IT133" s="188"/>
      <c r="IU133" s="188"/>
      <c r="IV133" s="188"/>
      <c r="IW133" s="188"/>
      <c r="IX133" s="188"/>
      <c r="IY133" s="188"/>
      <c r="IZ133" s="188"/>
      <c r="JA133" s="188"/>
      <c r="JB133" s="188"/>
      <c r="JC133" s="188"/>
      <c r="JD133" s="188"/>
      <c r="JE133" s="188"/>
      <c r="JF133" s="188"/>
      <c r="JG133" s="188"/>
      <c r="JH133" s="188"/>
      <c r="JI133" s="188"/>
      <c r="JJ133" s="188"/>
      <c r="JK133" s="188"/>
      <c r="JL133" s="188"/>
      <c r="JM133" s="188"/>
      <c r="JN133" s="188"/>
      <c r="JO133" s="188"/>
      <c r="JP133" s="188"/>
      <c r="JQ133" s="188"/>
      <c r="JR133" s="188"/>
      <c r="JS133" s="188"/>
      <c r="JT133" s="188"/>
      <c r="JU133" s="188"/>
      <c r="JV133" s="188"/>
      <c r="JW133" s="188"/>
      <c r="JX133" s="188"/>
      <c r="JY133" s="188"/>
      <c r="JZ133" s="188"/>
      <c r="KA133" s="188"/>
      <c r="KB133" s="188"/>
      <c r="KC133" s="188"/>
      <c r="KD133" s="188"/>
      <c r="KE133" s="188"/>
      <c r="KF133" s="189"/>
      <c r="KG133" s="187"/>
      <c r="KH133" s="188"/>
      <c r="KI133" s="188"/>
      <c r="KJ133" s="188"/>
      <c r="KK133" s="189"/>
      <c r="KQ133" s="187"/>
      <c r="KR133" s="188"/>
      <c r="KS133" s="188"/>
      <c r="KT133" s="188"/>
      <c r="KU133" s="188"/>
      <c r="KV133" s="188"/>
      <c r="KW133" s="188"/>
      <c r="KX133" s="188"/>
      <c r="KY133" s="188"/>
      <c r="KZ133" s="188"/>
      <c r="LA133" s="188"/>
      <c r="LB133" s="188"/>
      <c r="LC133" s="188"/>
      <c r="LD133" s="188"/>
      <c r="LE133" s="188"/>
      <c r="LF133" s="188"/>
      <c r="LG133" s="188"/>
      <c r="LH133" s="188"/>
      <c r="LI133" s="188"/>
      <c r="LJ133" s="188"/>
      <c r="LK133" s="188"/>
      <c r="LL133" s="188"/>
      <c r="LM133" s="188"/>
      <c r="LN133" s="188"/>
      <c r="LO133" s="188"/>
      <c r="LP133" s="188"/>
      <c r="LQ133" s="188"/>
      <c r="LR133" s="188"/>
      <c r="LS133" s="188"/>
      <c r="LT133" s="188"/>
      <c r="LU133" s="188"/>
      <c r="LV133" s="188"/>
      <c r="LW133" s="188"/>
      <c r="LX133" s="188"/>
      <c r="LY133" s="188"/>
      <c r="LZ133" s="188"/>
      <c r="MA133" s="188"/>
      <c r="MB133" s="188"/>
      <c r="MC133" s="188"/>
      <c r="MD133" s="189"/>
      <c r="ME133" s="187"/>
      <c r="MF133" s="188"/>
      <c r="MG133" s="188"/>
      <c r="MH133" s="188"/>
      <c r="MI133" s="189"/>
      <c r="MN133" s="187"/>
      <c r="MO133" s="188"/>
      <c r="MP133" s="188"/>
      <c r="MQ133" s="188"/>
      <c r="MR133" s="188"/>
      <c r="MS133" s="188"/>
      <c r="MT133" s="188"/>
      <c r="MU133" s="188"/>
      <c r="MV133" s="188"/>
      <c r="MW133" s="188"/>
      <c r="MX133" s="188"/>
      <c r="MY133" s="188"/>
      <c r="MZ133" s="188"/>
      <c r="NA133" s="188"/>
      <c r="NB133" s="188"/>
      <c r="NC133" s="188"/>
      <c r="ND133" s="188"/>
      <c r="NE133" s="188"/>
      <c r="NF133" s="188"/>
      <c r="NG133" s="188"/>
      <c r="NH133" s="188"/>
      <c r="NI133" s="188"/>
      <c r="NJ133" s="188"/>
      <c r="NK133" s="188"/>
      <c r="NL133" s="188"/>
      <c r="NM133" s="188"/>
      <c r="NN133" s="188"/>
      <c r="NO133" s="188"/>
      <c r="NP133" s="188"/>
      <c r="NQ133" s="188"/>
      <c r="NR133" s="188"/>
      <c r="NS133" s="188"/>
      <c r="NT133" s="188"/>
      <c r="NU133" s="188"/>
      <c r="NV133" s="188"/>
      <c r="NW133" s="188"/>
      <c r="NX133" s="188"/>
      <c r="NY133" s="188"/>
      <c r="NZ133" s="188"/>
      <c r="OA133" s="189"/>
      <c r="OB133" s="187"/>
      <c r="OC133" s="188"/>
      <c r="OD133" s="188"/>
      <c r="OE133" s="188"/>
      <c r="OF133" s="189"/>
      <c r="OR133" s="198"/>
      <c r="OS133" s="199"/>
      <c r="OT133" s="199"/>
      <c r="OU133" s="199"/>
      <c r="OV133" s="199"/>
      <c r="OW133" s="199"/>
      <c r="OX133" s="199"/>
      <c r="OY133" s="199"/>
      <c r="OZ133" s="199"/>
      <c r="PA133" s="199"/>
      <c r="PB133" s="199"/>
      <c r="PC133" s="199"/>
      <c r="PD133" s="199"/>
      <c r="PE133" s="199"/>
      <c r="PF133" s="199"/>
      <c r="PG133" s="199"/>
      <c r="PH133" s="199"/>
      <c r="PI133" s="199"/>
      <c r="PJ133" s="199"/>
      <c r="PK133" s="199"/>
      <c r="PL133" s="199"/>
      <c r="PM133" s="199"/>
      <c r="PN133" s="199"/>
      <c r="PO133" s="199"/>
      <c r="PP133" s="199"/>
      <c r="PQ133" s="199"/>
      <c r="PR133" s="199"/>
      <c r="PS133" s="199"/>
      <c r="PT133" s="199"/>
      <c r="PU133" s="199"/>
      <c r="PV133" s="199"/>
      <c r="PW133" s="199"/>
      <c r="PX133" s="199"/>
      <c r="PY133" s="199"/>
      <c r="PZ133" s="199"/>
      <c r="QA133" s="199"/>
      <c r="QB133" s="199"/>
      <c r="QC133" s="199"/>
      <c r="QD133" s="199"/>
      <c r="QE133" s="199"/>
      <c r="QF133" s="204"/>
      <c r="QG133" s="204"/>
      <c r="QH133" s="204"/>
      <c r="QI133" s="204"/>
      <c r="QJ133" s="204"/>
      <c r="QK133" s="204"/>
      <c r="QQ133" s="12"/>
      <c r="QR133" s="7"/>
      <c r="QS133" s="3"/>
      <c r="QT133" s="3"/>
      <c r="QU133" s="3"/>
      <c r="QV133" s="3"/>
      <c r="QW133" s="2"/>
    </row>
    <row r="134" spans="3:465" ht="5.0999999999999996" customHeight="1" x14ac:dyDescent="0.3">
      <c r="C134" s="11"/>
      <c r="D134" s="13"/>
      <c r="G134" s="187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9"/>
      <c r="AV134" s="187"/>
      <c r="AW134" s="188"/>
      <c r="AX134" s="188"/>
      <c r="AY134" s="188"/>
      <c r="AZ134" s="189"/>
      <c r="BC134" s="187"/>
      <c r="BD134" s="188"/>
      <c r="BE134" s="188"/>
      <c r="BF134" s="188"/>
      <c r="BG134" s="188"/>
      <c r="BH134" s="188"/>
      <c r="BI134" s="188"/>
      <c r="BJ134" s="188"/>
      <c r="BK134" s="188"/>
      <c r="BL134" s="188"/>
      <c r="BM134" s="188"/>
      <c r="BN134" s="188"/>
      <c r="BO134" s="188"/>
      <c r="BP134" s="188"/>
      <c r="BQ134" s="188"/>
      <c r="BR134" s="188"/>
      <c r="BS134" s="188"/>
      <c r="BT134" s="188"/>
      <c r="BU134" s="188"/>
      <c r="BV134" s="188"/>
      <c r="BW134" s="188"/>
      <c r="BX134" s="188"/>
      <c r="BY134" s="188"/>
      <c r="BZ134" s="188"/>
      <c r="CA134" s="188"/>
      <c r="CB134" s="188"/>
      <c r="CC134" s="188"/>
      <c r="CD134" s="188"/>
      <c r="CE134" s="188"/>
      <c r="CF134" s="188"/>
      <c r="CG134" s="188"/>
      <c r="CH134" s="188"/>
      <c r="CI134" s="188"/>
      <c r="CJ134" s="188"/>
      <c r="CK134" s="188"/>
      <c r="CL134" s="188"/>
      <c r="CM134" s="188"/>
      <c r="CN134" s="188"/>
      <c r="CO134" s="188"/>
      <c r="CP134" s="188"/>
      <c r="CQ134" s="189"/>
      <c r="CR134" s="187"/>
      <c r="CS134" s="188"/>
      <c r="CT134" s="188"/>
      <c r="CU134" s="188"/>
      <c r="CV134" s="189"/>
      <c r="CY134" s="187"/>
      <c r="CZ134" s="188"/>
      <c r="DA134" s="188"/>
      <c r="DB134" s="188"/>
      <c r="DC134" s="188"/>
      <c r="DD134" s="188"/>
      <c r="DE134" s="188"/>
      <c r="DF134" s="188"/>
      <c r="DG134" s="188"/>
      <c r="DH134" s="188"/>
      <c r="DI134" s="188"/>
      <c r="DJ134" s="188"/>
      <c r="DK134" s="188"/>
      <c r="DL134" s="188"/>
      <c r="DM134" s="188"/>
      <c r="DN134" s="188"/>
      <c r="DO134" s="188"/>
      <c r="DP134" s="188"/>
      <c r="DQ134" s="188"/>
      <c r="DR134" s="188"/>
      <c r="DS134" s="188"/>
      <c r="DT134" s="188"/>
      <c r="DU134" s="188"/>
      <c r="DV134" s="188"/>
      <c r="DW134" s="188"/>
      <c r="DX134" s="188"/>
      <c r="DY134" s="188"/>
      <c r="DZ134" s="188"/>
      <c r="EA134" s="188"/>
      <c r="EB134" s="188"/>
      <c r="EC134" s="188"/>
      <c r="ED134" s="188"/>
      <c r="EE134" s="188"/>
      <c r="EF134" s="188"/>
      <c r="EG134" s="188"/>
      <c r="EH134" s="188"/>
      <c r="EI134" s="188"/>
      <c r="EJ134" s="188"/>
      <c r="EK134" s="188"/>
      <c r="EL134" s="188"/>
      <c r="EM134" s="189"/>
      <c r="EN134" s="187"/>
      <c r="EO134" s="188"/>
      <c r="EP134" s="188"/>
      <c r="EQ134" s="188"/>
      <c r="ER134" s="189"/>
      <c r="EU134" s="187"/>
      <c r="EV134" s="188"/>
      <c r="EW134" s="188"/>
      <c r="EX134" s="188"/>
      <c r="EY134" s="188"/>
      <c r="EZ134" s="188"/>
      <c r="FA134" s="188"/>
      <c r="FB134" s="188"/>
      <c r="FC134" s="188"/>
      <c r="FD134" s="188"/>
      <c r="FE134" s="188"/>
      <c r="FF134" s="188"/>
      <c r="FG134" s="188"/>
      <c r="FH134" s="188"/>
      <c r="FI134" s="188"/>
      <c r="FJ134" s="188"/>
      <c r="FK134" s="188"/>
      <c r="FL134" s="188"/>
      <c r="FM134" s="188"/>
      <c r="FN134" s="188"/>
      <c r="FO134" s="188"/>
      <c r="FP134" s="188"/>
      <c r="FQ134" s="188"/>
      <c r="FR134" s="188"/>
      <c r="FS134" s="188"/>
      <c r="FT134" s="188"/>
      <c r="FU134" s="188"/>
      <c r="FV134" s="188"/>
      <c r="FW134" s="188"/>
      <c r="FX134" s="188"/>
      <c r="FY134" s="188"/>
      <c r="FZ134" s="188"/>
      <c r="GA134" s="188"/>
      <c r="GB134" s="188"/>
      <c r="GC134" s="188"/>
      <c r="GD134" s="188"/>
      <c r="GE134" s="188"/>
      <c r="GF134" s="188"/>
      <c r="GG134" s="188"/>
      <c r="GH134" s="188"/>
      <c r="GI134" s="189"/>
      <c r="GJ134" s="187"/>
      <c r="GK134" s="188"/>
      <c r="GL134" s="188"/>
      <c r="GM134" s="188"/>
      <c r="GN134" s="189"/>
      <c r="GQ134" s="187"/>
      <c r="GR134" s="188"/>
      <c r="GS134" s="188"/>
      <c r="GT134" s="188"/>
      <c r="GU134" s="188"/>
      <c r="GV134" s="188"/>
      <c r="GW134" s="188"/>
      <c r="GX134" s="188"/>
      <c r="GY134" s="188"/>
      <c r="GZ134" s="188"/>
      <c r="HA134" s="188"/>
      <c r="HB134" s="188"/>
      <c r="HC134" s="188"/>
      <c r="HD134" s="188"/>
      <c r="HE134" s="188"/>
      <c r="HF134" s="188"/>
      <c r="HG134" s="188"/>
      <c r="HH134" s="188"/>
      <c r="HI134" s="188"/>
      <c r="HJ134" s="188"/>
      <c r="HK134" s="188"/>
      <c r="HL134" s="188"/>
      <c r="HM134" s="188"/>
      <c r="HN134" s="188"/>
      <c r="HO134" s="188"/>
      <c r="HP134" s="188"/>
      <c r="HQ134" s="188"/>
      <c r="HR134" s="188"/>
      <c r="HS134" s="188"/>
      <c r="HT134" s="188"/>
      <c r="HU134" s="188"/>
      <c r="HV134" s="188"/>
      <c r="HW134" s="188"/>
      <c r="HX134" s="188"/>
      <c r="HY134" s="188"/>
      <c r="HZ134" s="188"/>
      <c r="IA134" s="188"/>
      <c r="IB134" s="188"/>
      <c r="IC134" s="188"/>
      <c r="ID134" s="188"/>
      <c r="IE134" s="189"/>
      <c r="IF134" s="187"/>
      <c r="IG134" s="188"/>
      <c r="IH134" s="188"/>
      <c r="II134" s="188"/>
      <c r="IJ134" s="189"/>
      <c r="IS134" s="187"/>
      <c r="IT134" s="188"/>
      <c r="IU134" s="188"/>
      <c r="IV134" s="188"/>
      <c r="IW134" s="188"/>
      <c r="IX134" s="188"/>
      <c r="IY134" s="188"/>
      <c r="IZ134" s="188"/>
      <c r="JA134" s="188"/>
      <c r="JB134" s="188"/>
      <c r="JC134" s="188"/>
      <c r="JD134" s="188"/>
      <c r="JE134" s="188"/>
      <c r="JF134" s="188"/>
      <c r="JG134" s="188"/>
      <c r="JH134" s="188"/>
      <c r="JI134" s="188"/>
      <c r="JJ134" s="188"/>
      <c r="JK134" s="188"/>
      <c r="JL134" s="188"/>
      <c r="JM134" s="188"/>
      <c r="JN134" s="188"/>
      <c r="JO134" s="188"/>
      <c r="JP134" s="188"/>
      <c r="JQ134" s="188"/>
      <c r="JR134" s="188"/>
      <c r="JS134" s="188"/>
      <c r="JT134" s="188"/>
      <c r="JU134" s="188"/>
      <c r="JV134" s="188"/>
      <c r="JW134" s="188"/>
      <c r="JX134" s="188"/>
      <c r="JY134" s="188"/>
      <c r="JZ134" s="188"/>
      <c r="KA134" s="188"/>
      <c r="KB134" s="188"/>
      <c r="KC134" s="188"/>
      <c r="KD134" s="188"/>
      <c r="KE134" s="188"/>
      <c r="KF134" s="189"/>
      <c r="KG134" s="187"/>
      <c r="KH134" s="188"/>
      <c r="KI134" s="188"/>
      <c r="KJ134" s="188"/>
      <c r="KK134" s="189"/>
      <c r="KQ134" s="187"/>
      <c r="KR134" s="188"/>
      <c r="KS134" s="188"/>
      <c r="KT134" s="188"/>
      <c r="KU134" s="188"/>
      <c r="KV134" s="188"/>
      <c r="KW134" s="188"/>
      <c r="KX134" s="188"/>
      <c r="KY134" s="188"/>
      <c r="KZ134" s="188"/>
      <c r="LA134" s="188"/>
      <c r="LB134" s="188"/>
      <c r="LC134" s="188"/>
      <c r="LD134" s="188"/>
      <c r="LE134" s="188"/>
      <c r="LF134" s="188"/>
      <c r="LG134" s="188"/>
      <c r="LH134" s="188"/>
      <c r="LI134" s="188"/>
      <c r="LJ134" s="188"/>
      <c r="LK134" s="188"/>
      <c r="LL134" s="188"/>
      <c r="LM134" s="188"/>
      <c r="LN134" s="188"/>
      <c r="LO134" s="188"/>
      <c r="LP134" s="188"/>
      <c r="LQ134" s="188"/>
      <c r="LR134" s="188"/>
      <c r="LS134" s="188"/>
      <c r="LT134" s="188"/>
      <c r="LU134" s="188"/>
      <c r="LV134" s="188"/>
      <c r="LW134" s="188"/>
      <c r="LX134" s="188"/>
      <c r="LY134" s="188"/>
      <c r="LZ134" s="188"/>
      <c r="MA134" s="188"/>
      <c r="MB134" s="188"/>
      <c r="MC134" s="188"/>
      <c r="MD134" s="189"/>
      <c r="ME134" s="187"/>
      <c r="MF134" s="188"/>
      <c r="MG134" s="188"/>
      <c r="MH134" s="188"/>
      <c r="MI134" s="189"/>
      <c r="MN134" s="187"/>
      <c r="MO134" s="188"/>
      <c r="MP134" s="188"/>
      <c r="MQ134" s="188"/>
      <c r="MR134" s="188"/>
      <c r="MS134" s="188"/>
      <c r="MT134" s="188"/>
      <c r="MU134" s="188"/>
      <c r="MV134" s="188"/>
      <c r="MW134" s="188"/>
      <c r="MX134" s="188"/>
      <c r="MY134" s="188"/>
      <c r="MZ134" s="188"/>
      <c r="NA134" s="188"/>
      <c r="NB134" s="188"/>
      <c r="NC134" s="188"/>
      <c r="ND134" s="188"/>
      <c r="NE134" s="188"/>
      <c r="NF134" s="188"/>
      <c r="NG134" s="188"/>
      <c r="NH134" s="188"/>
      <c r="NI134" s="188"/>
      <c r="NJ134" s="188"/>
      <c r="NK134" s="188"/>
      <c r="NL134" s="188"/>
      <c r="NM134" s="188"/>
      <c r="NN134" s="188"/>
      <c r="NO134" s="188"/>
      <c r="NP134" s="188"/>
      <c r="NQ134" s="188"/>
      <c r="NR134" s="188"/>
      <c r="NS134" s="188"/>
      <c r="NT134" s="188"/>
      <c r="NU134" s="188"/>
      <c r="NV134" s="188"/>
      <c r="NW134" s="188"/>
      <c r="NX134" s="188"/>
      <c r="NY134" s="188"/>
      <c r="NZ134" s="188"/>
      <c r="OA134" s="189"/>
      <c r="OB134" s="187"/>
      <c r="OC134" s="188"/>
      <c r="OD134" s="188"/>
      <c r="OE134" s="188"/>
      <c r="OF134" s="189"/>
      <c r="OR134" s="198"/>
      <c r="OS134" s="199"/>
      <c r="OT134" s="199"/>
      <c r="OU134" s="199"/>
      <c r="OV134" s="199"/>
      <c r="OW134" s="199"/>
      <c r="OX134" s="199"/>
      <c r="OY134" s="199"/>
      <c r="OZ134" s="199"/>
      <c r="PA134" s="199"/>
      <c r="PB134" s="199"/>
      <c r="PC134" s="199"/>
      <c r="PD134" s="199"/>
      <c r="PE134" s="199"/>
      <c r="PF134" s="199"/>
      <c r="PG134" s="199"/>
      <c r="PH134" s="199"/>
      <c r="PI134" s="199"/>
      <c r="PJ134" s="199"/>
      <c r="PK134" s="199"/>
      <c r="PL134" s="199"/>
      <c r="PM134" s="199"/>
      <c r="PN134" s="199"/>
      <c r="PO134" s="199"/>
      <c r="PP134" s="199"/>
      <c r="PQ134" s="199"/>
      <c r="PR134" s="199"/>
      <c r="PS134" s="199"/>
      <c r="PT134" s="199"/>
      <c r="PU134" s="199"/>
      <c r="PV134" s="199"/>
      <c r="PW134" s="199"/>
      <c r="PX134" s="199"/>
      <c r="PY134" s="199"/>
      <c r="PZ134" s="199"/>
      <c r="QA134" s="199"/>
      <c r="QB134" s="199"/>
      <c r="QC134" s="199"/>
      <c r="QD134" s="199"/>
      <c r="QE134" s="199"/>
      <c r="QF134" s="204"/>
      <c r="QG134" s="204"/>
      <c r="QH134" s="204"/>
      <c r="QI134" s="204"/>
      <c r="QJ134" s="204"/>
      <c r="QK134" s="204"/>
      <c r="QQ134" s="12"/>
      <c r="QR134" s="7"/>
      <c r="QS134" s="3"/>
      <c r="QT134" s="3"/>
      <c r="QU134" s="3"/>
      <c r="QV134" s="3"/>
      <c r="QW134" s="2"/>
    </row>
    <row r="135" spans="3:465" ht="5.0999999999999996" customHeight="1" x14ac:dyDescent="0.3">
      <c r="C135" s="11"/>
      <c r="D135" s="13"/>
      <c r="G135" s="187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9"/>
      <c r="AV135" s="187"/>
      <c r="AW135" s="188"/>
      <c r="AX135" s="188"/>
      <c r="AY135" s="188"/>
      <c r="AZ135" s="189"/>
      <c r="BC135" s="187"/>
      <c r="BD135" s="188"/>
      <c r="BE135" s="188"/>
      <c r="BF135" s="188"/>
      <c r="BG135" s="188"/>
      <c r="BH135" s="188"/>
      <c r="BI135" s="188"/>
      <c r="BJ135" s="188"/>
      <c r="BK135" s="188"/>
      <c r="BL135" s="188"/>
      <c r="BM135" s="188"/>
      <c r="BN135" s="188"/>
      <c r="BO135" s="188"/>
      <c r="BP135" s="188"/>
      <c r="BQ135" s="188"/>
      <c r="BR135" s="188"/>
      <c r="BS135" s="188"/>
      <c r="BT135" s="188"/>
      <c r="BU135" s="188"/>
      <c r="BV135" s="188"/>
      <c r="BW135" s="188"/>
      <c r="BX135" s="188"/>
      <c r="BY135" s="188"/>
      <c r="BZ135" s="188"/>
      <c r="CA135" s="188"/>
      <c r="CB135" s="188"/>
      <c r="CC135" s="188"/>
      <c r="CD135" s="188"/>
      <c r="CE135" s="188"/>
      <c r="CF135" s="188"/>
      <c r="CG135" s="188"/>
      <c r="CH135" s="188"/>
      <c r="CI135" s="188"/>
      <c r="CJ135" s="188"/>
      <c r="CK135" s="188"/>
      <c r="CL135" s="188"/>
      <c r="CM135" s="188"/>
      <c r="CN135" s="188"/>
      <c r="CO135" s="188"/>
      <c r="CP135" s="188"/>
      <c r="CQ135" s="189"/>
      <c r="CR135" s="187"/>
      <c r="CS135" s="188"/>
      <c r="CT135" s="188"/>
      <c r="CU135" s="188"/>
      <c r="CV135" s="189"/>
      <c r="CY135" s="187"/>
      <c r="CZ135" s="188"/>
      <c r="DA135" s="188"/>
      <c r="DB135" s="188"/>
      <c r="DC135" s="188"/>
      <c r="DD135" s="188"/>
      <c r="DE135" s="188"/>
      <c r="DF135" s="188"/>
      <c r="DG135" s="188"/>
      <c r="DH135" s="188"/>
      <c r="DI135" s="188"/>
      <c r="DJ135" s="188"/>
      <c r="DK135" s="188"/>
      <c r="DL135" s="188"/>
      <c r="DM135" s="188"/>
      <c r="DN135" s="188"/>
      <c r="DO135" s="188"/>
      <c r="DP135" s="188"/>
      <c r="DQ135" s="188"/>
      <c r="DR135" s="188"/>
      <c r="DS135" s="188"/>
      <c r="DT135" s="188"/>
      <c r="DU135" s="188"/>
      <c r="DV135" s="188"/>
      <c r="DW135" s="188"/>
      <c r="DX135" s="188"/>
      <c r="DY135" s="188"/>
      <c r="DZ135" s="188"/>
      <c r="EA135" s="188"/>
      <c r="EB135" s="188"/>
      <c r="EC135" s="188"/>
      <c r="ED135" s="188"/>
      <c r="EE135" s="188"/>
      <c r="EF135" s="188"/>
      <c r="EG135" s="188"/>
      <c r="EH135" s="188"/>
      <c r="EI135" s="188"/>
      <c r="EJ135" s="188"/>
      <c r="EK135" s="188"/>
      <c r="EL135" s="188"/>
      <c r="EM135" s="189"/>
      <c r="EN135" s="187"/>
      <c r="EO135" s="188"/>
      <c r="EP135" s="188"/>
      <c r="EQ135" s="188"/>
      <c r="ER135" s="189"/>
      <c r="EU135" s="187"/>
      <c r="EV135" s="188"/>
      <c r="EW135" s="188"/>
      <c r="EX135" s="188"/>
      <c r="EY135" s="188"/>
      <c r="EZ135" s="188"/>
      <c r="FA135" s="188"/>
      <c r="FB135" s="188"/>
      <c r="FC135" s="188"/>
      <c r="FD135" s="188"/>
      <c r="FE135" s="188"/>
      <c r="FF135" s="188"/>
      <c r="FG135" s="188"/>
      <c r="FH135" s="188"/>
      <c r="FI135" s="188"/>
      <c r="FJ135" s="188"/>
      <c r="FK135" s="188"/>
      <c r="FL135" s="188"/>
      <c r="FM135" s="188"/>
      <c r="FN135" s="188"/>
      <c r="FO135" s="188"/>
      <c r="FP135" s="188"/>
      <c r="FQ135" s="188"/>
      <c r="FR135" s="188"/>
      <c r="FS135" s="188"/>
      <c r="FT135" s="188"/>
      <c r="FU135" s="188"/>
      <c r="FV135" s="188"/>
      <c r="FW135" s="188"/>
      <c r="FX135" s="188"/>
      <c r="FY135" s="188"/>
      <c r="FZ135" s="188"/>
      <c r="GA135" s="188"/>
      <c r="GB135" s="188"/>
      <c r="GC135" s="188"/>
      <c r="GD135" s="188"/>
      <c r="GE135" s="188"/>
      <c r="GF135" s="188"/>
      <c r="GG135" s="188"/>
      <c r="GH135" s="188"/>
      <c r="GI135" s="189"/>
      <c r="GJ135" s="187"/>
      <c r="GK135" s="188"/>
      <c r="GL135" s="188"/>
      <c r="GM135" s="188"/>
      <c r="GN135" s="189"/>
      <c r="GQ135" s="187"/>
      <c r="GR135" s="188"/>
      <c r="GS135" s="188"/>
      <c r="GT135" s="188"/>
      <c r="GU135" s="188"/>
      <c r="GV135" s="188"/>
      <c r="GW135" s="188"/>
      <c r="GX135" s="188"/>
      <c r="GY135" s="188"/>
      <c r="GZ135" s="188"/>
      <c r="HA135" s="188"/>
      <c r="HB135" s="188"/>
      <c r="HC135" s="188"/>
      <c r="HD135" s="188"/>
      <c r="HE135" s="188"/>
      <c r="HF135" s="188"/>
      <c r="HG135" s="188"/>
      <c r="HH135" s="188"/>
      <c r="HI135" s="188"/>
      <c r="HJ135" s="188"/>
      <c r="HK135" s="188"/>
      <c r="HL135" s="188"/>
      <c r="HM135" s="188"/>
      <c r="HN135" s="188"/>
      <c r="HO135" s="188"/>
      <c r="HP135" s="188"/>
      <c r="HQ135" s="188"/>
      <c r="HR135" s="188"/>
      <c r="HS135" s="188"/>
      <c r="HT135" s="188"/>
      <c r="HU135" s="188"/>
      <c r="HV135" s="188"/>
      <c r="HW135" s="188"/>
      <c r="HX135" s="188"/>
      <c r="HY135" s="188"/>
      <c r="HZ135" s="188"/>
      <c r="IA135" s="188"/>
      <c r="IB135" s="188"/>
      <c r="IC135" s="188"/>
      <c r="ID135" s="188"/>
      <c r="IE135" s="189"/>
      <c r="IF135" s="187"/>
      <c r="IG135" s="188"/>
      <c r="IH135" s="188"/>
      <c r="II135" s="188"/>
      <c r="IJ135" s="189"/>
      <c r="IS135" s="187"/>
      <c r="IT135" s="188"/>
      <c r="IU135" s="188"/>
      <c r="IV135" s="188"/>
      <c r="IW135" s="188"/>
      <c r="IX135" s="188"/>
      <c r="IY135" s="188"/>
      <c r="IZ135" s="188"/>
      <c r="JA135" s="188"/>
      <c r="JB135" s="188"/>
      <c r="JC135" s="188"/>
      <c r="JD135" s="188"/>
      <c r="JE135" s="188"/>
      <c r="JF135" s="188"/>
      <c r="JG135" s="188"/>
      <c r="JH135" s="188"/>
      <c r="JI135" s="188"/>
      <c r="JJ135" s="188"/>
      <c r="JK135" s="188"/>
      <c r="JL135" s="188"/>
      <c r="JM135" s="188"/>
      <c r="JN135" s="188"/>
      <c r="JO135" s="188"/>
      <c r="JP135" s="188"/>
      <c r="JQ135" s="188"/>
      <c r="JR135" s="188"/>
      <c r="JS135" s="188"/>
      <c r="JT135" s="188"/>
      <c r="JU135" s="188"/>
      <c r="JV135" s="188"/>
      <c r="JW135" s="188"/>
      <c r="JX135" s="188"/>
      <c r="JY135" s="188"/>
      <c r="JZ135" s="188"/>
      <c r="KA135" s="188"/>
      <c r="KB135" s="188"/>
      <c r="KC135" s="188"/>
      <c r="KD135" s="188"/>
      <c r="KE135" s="188"/>
      <c r="KF135" s="189"/>
      <c r="KG135" s="187"/>
      <c r="KH135" s="188"/>
      <c r="KI135" s="188"/>
      <c r="KJ135" s="188"/>
      <c r="KK135" s="189"/>
      <c r="KQ135" s="187"/>
      <c r="KR135" s="188"/>
      <c r="KS135" s="188"/>
      <c r="KT135" s="188"/>
      <c r="KU135" s="188"/>
      <c r="KV135" s="188"/>
      <c r="KW135" s="188"/>
      <c r="KX135" s="188"/>
      <c r="KY135" s="188"/>
      <c r="KZ135" s="188"/>
      <c r="LA135" s="188"/>
      <c r="LB135" s="188"/>
      <c r="LC135" s="188"/>
      <c r="LD135" s="188"/>
      <c r="LE135" s="188"/>
      <c r="LF135" s="188"/>
      <c r="LG135" s="188"/>
      <c r="LH135" s="188"/>
      <c r="LI135" s="188"/>
      <c r="LJ135" s="188"/>
      <c r="LK135" s="188"/>
      <c r="LL135" s="188"/>
      <c r="LM135" s="188"/>
      <c r="LN135" s="188"/>
      <c r="LO135" s="188"/>
      <c r="LP135" s="188"/>
      <c r="LQ135" s="188"/>
      <c r="LR135" s="188"/>
      <c r="LS135" s="188"/>
      <c r="LT135" s="188"/>
      <c r="LU135" s="188"/>
      <c r="LV135" s="188"/>
      <c r="LW135" s="188"/>
      <c r="LX135" s="188"/>
      <c r="LY135" s="188"/>
      <c r="LZ135" s="188"/>
      <c r="MA135" s="188"/>
      <c r="MB135" s="188"/>
      <c r="MC135" s="188"/>
      <c r="MD135" s="189"/>
      <c r="ME135" s="187"/>
      <c r="MF135" s="188"/>
      <c r="MG135" s="188"/>
      <c r="MH135" s="188"/>
      <c r="MI135" s="189"/>
      <c r="MN135" s="187"/>
      <c r="MO135" s="188"/>
      <c r="MP135" s="188"/>
      <c r="MQ135" s="188"/>
      <c r="MR135" s="188"/>
      <c r="MS135" s="188"/>
      <c r="MT135" s="188"/>
      <c r="MU135" s="188"/>
      <c r="MV135" s="188"/>
      <c r="MW135" s="188"/>
      <c r="MX135" s="188"/>
      <c r="MY135" s="188"/>
      <c r="MZ135" s="188"/>
      <c r="NA135" s="188"/>
      <c r="NB135" s="188"/>
      <c r="NC135" s="188"/>
      <c r="ND135" s="188"/>
      <c r="NE135" s="188"/>
      <c r="NF135" s="188"/>
      <c r="NG135" s="188"/>
      <c r="NH135" s="188"/>
      <c r="NI135" s="188"/>
      <c r="NJ135" s="188"/>
      <c r="NK135" s="188"/>
      <c r="NL135" s="188"/>
      <c r="NM135" s="188"/>
      <c r="NN135" s="188"/>
      <c r="NO135" s="188"/>
      <c r="NP135" s="188"/>
      <c r="NQ135" s="188"/>
      <c r="NR135" s="188"/>
      <c r="NS135" s="188"/>
      <c r="NT135" s="188"/>
      <c r="NU135" s="188"/>
      <c r="NV135" s="188"/>
      <c r="NW135" s="188"/>
      <c r="NX135" s="188"/>
      <c r="NY135" s="188"/>
      <c r="NZ135" s="188"/>
      <c r="OA135" s="189"/>
      <c r="OB135" s="187"/>
      <c r="OC135" s="188"/>
      <c r="OD135" s="188"/>
      <c r="OE135" s="188"/>
      <c r="OF135" s="189"/>
      <c r="OR135" s="198"/>
      <c r="OS135" s="199"/>
      <c r="OT135" s="199"/>
      <c r="OU135" s="199"/>
      <c r="OV135" s="199"/>
      <c r="OW135" s="199"/>
      <c r="OX135" s="199"/>
      <c r="OY135" s="199"/>
      <c r="OZ135" s="199"/>
      <c r="PA135" s="199"/>
      <c r="PB135" s="199"/>
      <c r="PC135" s="199"/>
      <c r="PD135" s="199"/>
      <c r="PE135" s="199"/>
      <c r="PF135" s="199"/>
      <c r="PG135" s="199"/>
      <c r="PH135" s="199"/>
      <c r="PI135" s="199"/>
      <c r="PJ135" s="199"/>
      <c r="PK135" s="199"/>
      <c r="PL135" s="199"/>
      <c r="PM135" s="199"/>
      <c r="PN135" s="199"/>
      <c r="PO135" s="199"/>
      <c r="PP135" s="199"/>
      <c r="PQ135" s="199"/>
      <c r="PR135" s="199"/>
      <c r="PS135" s="199"/>
      <c r="PT135" s="199"/>
      <c r="PU135" s="199"/>
      <c r="PV135" s="199"/>
      <c r="PW135" s="199"/>
      <c r="PX135" s="199"/>
      <c r="PY135" s="199"/>
      <c r="PZ135" s="199"/>
      <c r="QA135" s="199"/>
      <c r="QB135" s="199"/>
      <c r="QC135" s="199"/>
      <c r="QD135" s="199"/>
      <c r="QE135" s="199"/>
      <c r="QF135" s="204"/>
      <c r="QG135" s="204"/>
      <c r="QH135" s="204"/>
      <c r="QI135" s="204"/>
      <c r="QJ135" s="204"/>
      <c r="QK135" s="204"/>
      <c r="QQ135" s="12"/>
      <c r="QR135" s="7"/>
      <c r="QS135" s="3"/>
      <c r="QT135" s="3"/>
      <c r="QU135" s="3"/>
      <c r="QV135" s="3"/>
      <c r="QW135" s="2"/>
    </row>
    <row r="136" spans="3:465" ht="5.0999999999999996" customHeight="1" x14ac:dyDescent="0.3">
      <c r="C136" s="11"/>
      <c r="D136" s="13"/>
      <c r="G136" s="187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9"/>
      <c r="AV136" s="187"/>
      <c r="AW136" s="188"/>
      <c r="AX136" s="188"/>
      <c r="AY136" s="188"/>
      <c r="AZ136" s="189"/>
      <c r="BC136" s="187"/>
      <c r="BD136" s="188"/>
      <c r="BE136" s="188"/>
      <c r="BF136" s="188"/>
      <c r="BG136" s="188"/>
      <c r="BH136" s="188"/>
      <c r="BI136" s="188"/>
      <c r="BJ136" s="188"/>
      <c r="BK136" s="188"/>
      <c r="BL136" s="188"/>
      <c r="BM136" s="188"/>
      <c r="BN136" s="188"/>
      <c r="BO136" s="188"/>
      <c r="BP136" s="188"/>
      <c r="BQ136" s="188"/>
      <c r="BR136" s="188"/>
      <c r="BS136" s="188"/>
      <c r="BT136" s="188"/>
      <c r="BU136" s="188"/>
      <c r="BV136" s="188"/>
      <c r="BW136" s="188"/>
      <c r="BX136" s="188"/>
      <c r="BY136" s="188"/>
      <c r="BZ136" s="188"/>
      <c r="CA136" s="188"/>
      <c r="CB136" s="188"/>
      <c r="CC136" s="188"/>
      <c r="CD136" s="188"/>
      <c r="CE136" s="188"/>
      <c r="CF136" s="188"/>
      <c r="CG136" s="188"/>
      <c r="CH136" s="188"/>
      <c r="CI136" s="188"/>
      <c r="CJ136" s="188"/>
      <c r="CK136" s="188"/>
      <c r="CL136" s="188"/>
      <c r="CM136" s="188"/>
      <c r="CN136" s="188"/>
      <c r="CO136" s="188"/>
      <c r="CP136" s="188"/>
      <c r="CQ136" s="189"/>
      <c r="CR136" s="187"/>
      <c r="CS136" s="188"/>
      <c r="CT136" s="188"/>
      <c r="CU136" s="188"/>
      <c r="CV136" s="189"/>
      <c r="CY136" s="187"/>
      <c r="CZ136" s="188"/>
      <c r="DA136" s="188"/>
      <c r="DB136" s="188"/>
      <c r="DC136" s="188"/>
      <c r="DD136" s="188"/>
      <c r="DE136" s="188"/>
      <c r="DF136" s="188"/>
      <c r="DG136" s="188"/>
      <c r="DH136" s="188"/>
      <c r="DI136" s="188"/>
      <c r="DJ136" s="188"/>
      <c r="DK136" s="188"/>
      <c r="DL136" s="188"/>
      <c r="DM136" s="188"/>
      <c r="DN136" s="188"/>
      <c r="DO136" s="188"/>
      <c r="DP136" s="188"/>
      <c r="DQ136" s="188"/>
      <c r="DR136" s="188"/>
      <c r="DS136" s="188"/>
      <c r="DT136" s="188"/>
      <c r="DU136" s="188"/>
      <c r="DV136" s="188"/>
      <c r="DW136" s="188"/>
      <c r="DX136" s="188"/>
      <c r="DY136" s="188"/>
      <c r="DZ136" s="188"/>
      <c r="EA136" s="188"/>
      <c r="EB136" s="188"/>
      <c r="EC136" s="188"/>
      <c r="ED136" s="188"/>
      <c r="EE136" s="188"/>
      <c r="EF136" s="188"/>
      <c r="EG136" s="188"/>
      <c r="EH136" s="188"/>
      <c r="EI136" s="188"/>
      <c r="EJ136" s="188"/>
      <c r="EK136" s="188"/>
      <c r="EL136" s="188"/>
      <c r="EM136" s="189"/>
      <c r="EN136" s="187"/>
      <c r="EO136" s="188"/>
      <c r="EP136" s="188"/>
      <c r="EQ136" s="188"/>
      <c r="ER136" s="189"/>
      <c r="EU136" s="187"/>
      <c r="EV136" s="188"/>
      <c r="EW136" s="188"/>
      <c r="EX136" s="188"/>
      <c r="EY136" s="188"/>
      <c r="EZ136" s="188"/>
      <c r="FA136" s="188"/>
      <c r="FB136" s="188"/>
      <c r="FC136" s="188"/>
      <c r="FD136" s="188"/>
      <c r="FE136" s="188"/>
      <c r="FF136" s="188"/>
      <c r="FG136" s="188"/>
      <c r="FH136" s="188"/>
      <c r="FI136" s="188"/>
      <c r="FJ136" s="188"/>
      <c r="FK136" s="188"/>
      <c r="FL136" s="188"/>
      <c r="FM136" s="188"/>
      <c r="FN136" s="188"/>
      <c r="FO136" s="188"/>
      <c r="FP136" s="188"/>
      <c r="FQ136" s="188"/>
      <c r="FR136" s="188"/>
      <c r="FS136" s="188"/>
      <c r="FT136" s="188"/>
      <c r="FU136" s="188"/>
      <c r="FV136" s="188"/>
      <c r="FW136" s="188"/>
      <c r="FX136" s="188"/>
      <c r="FY136" s="188"/>
      <c r="FZ136" s="188"/>
      <c r="GA136" s="188"/>
      <c r="GB136" s="188"/>
      <c r="GC136" s="188"/>
      <c r="GD136" s="188"/>
      <c r="GE136" s="188"/>
      <c r="GF136" s="188"/>
      <c r="GG136" s="188"/>
      <c r="GH136" s="188"/>
      <c r="GI136" s="189"/>
      <c r="GJ136" s="187"/>
      <c r="GK136" s="188"/>
      <c r="GL136" s="188"/>
      <c r="GM136" s="188"/>
      <c r="GN136" s="189"/>
      <c r="GQ136" s="187"/>
      <c r="GR136" s="188"/>
      <c r="GS136" s="188"/>
      <c r="GT136" s="188"/>
      <c r="GU136" s="188"/>
      <c r="GV136" s="188"/>
      <c r="GW136" s="188"/>
      <c r="GX136" s="188"/>
      <c r="GY136" s="188"/>
      <c r="GZ136" s="188"/>
      <c r="HA136" s="188"/>
      <c r="HB136" s="188"/>
      <c r="HC136" s="188"/>
      <c r="HD136" s="188"/>
      <c r="HE136" s="188"/>
      <c r="HF136" s="188"/>
      <c r="HG136" s="188"/>
      <c r="HH136" s="188"/>
      <c r="HI136" s="188"/>
      <c r="HJ136" s="188"/>
      <c r="HK136" s="188"/>
      <c r="HL136" s="188"/>
      <c r="HM136" s="188"/>
      <c r="HN136" s="188"/>
      <c r="HO136" s="188"/>
      <c r="HP136" s="188"/>
      <c r="HQ136" s="188"/>
      <c r="HR136" s="188"/>
      <c r="HS136" s="188"/>
      <c r="HT136" s="188"/>
      <c r="HU136" s="188"/>
      <c r="HV136" s="188"/>
      <c r="HW136" s="188"/>
      <c r="HX136" s="188"/>
      <c r="HY136" s="188"/>
      <c r="HZ136" s="188"/>
      <c r="IA136" s="188"/>
      <c r="IB136" s="188"/>
      <c r="IC136" s="188"/>
      <c r="ID136" s="188"/>
      <c r="IE136" s="189"/>
      <c r="IF136" s="187"/>
      <c r="IG136" s="188"/>
      <c r="IH136" s="188"/>
      <c r="II136" s="188"/>
      <c r="IJ136" s="189"/>
      <c r="IS136" s="187"/>
      <c r="IT136" s="188"/>
      <c r="IU136" s="188"/>
      <c r="IV136" s="188"/>
      <c r="IW136" s="188"/>
      <c r="IX136" s="188"/>
      <c r="IY136" s="188"/>
      <c r="IZ136" s="188"/>
      <c r="JA136" s="188"/>
      <c r="JB136" s="188"/>
      <c r="JC136" s="188"/>
      <c r="JD136" s="188"/>
      <c r="JE136" s="188"/>
      <c r="JF136" s="188"/>
      <c r="JG136" s="188"/>
      <c r="JH136" s="188"/>
      <c r="JI136" s="188"/>
      <c r="JJ136" s="188"/>
      <c r="JK136" s="188"/>
      <c r="JL136" s="188"/>
      <c r="JM136" s="188"/>
      <c r="JN136" s="188"/>
      <c r="JO136" s="188"/>
      <c r="JP136" s="188"/>
      <c r="JQ136" s="188"/>
      <c r="JR136" s="188"/>
      <c r="JS136" s="188"/>
      <c r="JT136" s="188"/>
      <c r="JU136" s="188"/>
      <c r="JV136" s="188"/>
      <c r="JW136" s="188"/>
      <c r="JX136" s="188"/>
      <c r="JY136" s="188"/>
      <c r="JZ136" s="188"/>
      <c r="KA136" s="188"/>
      <c r="KB136" s="188"/>
      <c r="KC136" s="188"/>
      <c r="KD136" s="188"/>
      <c r="KE136" s="188"/>
      <c r="KF136" s="189"/>
      <c r="KG136" s="187"/>
      <c r="KH136" s="188"/>
      <c r="KI136" s="188"/>
      <c r="KJ136" s="188"/>
      <c r="KK136" s="189"/>
      <c r="KQ136" s="190"/>
      <c r="KR136" s="191"/>
      <c r="KS136" s="191"/>
      <c r="KT136" s="191"/>
      <c r="KU136" s="191"/>
      <c r="KV136" s="191"/>
      <c r="KW136" s="191"/>
      <c r="KX136" s="191"/>
      <c r="KY136" s="191"/>
      <c r="KZ136" s="191"/>
      <c r="LA136" s="191"/>
      <c r="LB136" s="191"/>
      <c r="LC136" s="191"/>
      <c r="LD136" s="191"/>
      <c r="LE136" s="191"/>
      <c r="LF136" s="191"/>
      <c r="LG136" s="191"/>
      <c r="LH136" s="191"/>
      <c r="LI136" s="191"/>
      <c r="LJ136" s="191"/>
      <c r="LK136" s="191"/>
      <c r="LL136" s="191"/>
      <c r="LM136" s="191"/>
      <c r="LN136" s="191"/>
      <c r="LO136" s="191"/>
      <c r="LP136" s="191"/>
      <c r="LQ136" s="191"/>
      <c r="LR136" s="191"/>
      <c r="LS136" s="191"/>
      <c r="LT136" s="191"/>
      <c r="LU136" s="191"/>
      <c r="LV136" s="191"/>
      <c r="LW136" s="191"/>
      <c r="LX136" s="191"/>
      <c r="LY136" s="191"/>
      <c r="LZ136" s="191"/>
      <c r="MA136" s="191"/>
      <c r="MB136" s="191"/>
      <c r="MC136" s="191"/>
      <c r="MD136" s="192"/>
      <c r="ME136" s="190"/>
      <c r="MF136" s="191"/>
      <c r="MG136" s="191"/>
      <c r="MH136" s="191"/>
      <c r="MI136" s="192"/>
      <c r="MN136" s="190"/>
      <c r="MO136" s="191"/>
      <c r="MP136" s="191"/>
      <c r="MQ136" s="191"/>
      <c r="MR136" s="191"/>
      <c r="MS136" s="191"/>
      <c r="MT136" s="191"/>
      <c r="MU136" s="191"/>
      <c r="MV136" s="191"/>
      <c r="MW136" s="191"/>
      <c r="MX136" s="191"/>
      <c r="MY136" s="191"/>
      <c r="MZ136" s="191"/>
      <c r="NA136" s="191"/>
      <c r="NB136" s="191"/>
      <c r="NC136" s="191"/>
      <c r="ND136" s="191"/>
      <c r="NE136" s="191"/>
      <c r="NF136" s="191"/>
      <c r="NG136" s="191"/>
      <c r="NH136" s="191"/>
      <c r="NI136" s="191"/>
      <c r="NJ136" s="191"/>
      <c r="NK136" s="191"/>
      <c r="NL136" s="191"/>
      <c r="NM136" s="191"/>
      <c r="NN136" s="191"/>
      <c r="NO136" s="191"/>
      <c r="NP136" s="191"/>
      <c r="NQ136" s="191"/>
      <c r="NR136" s="191"/>
      <c r="NS136" s="191"/>
      <c r="NT136" s="191"/>
      <c r="NU136" s="191"/>
      <c r="NV136" s="191"/>
      <c r="NW136" s="191"/>
      <c r="NX136" s="191"/>
      <c r="NY136" s="191"/>
      <c r="NZ136" s="191"/>
      <c r="OA136" s="192"/>
      <c r="OB136" s="190"/>
      <c r="OC136" s="191"/>
      <c r="OD136" s="191"/>
      <c r="OE136" s="191"/>
      <c r="OF136" s="192"/>
      <c r="OR136" s="198"/>
      <c r="OS136" s="199"/>
      <c r="OT136" s="199"/>
      <c r="OU136" s="199"/>
      <c r="OV136" s="199"/>
      <c r="OW136" s="199"/>
      <c r="OX136" s="199"/>
      <c r="OY136" s="199"/>
      <c r="OZ136" s="199"/>
      <c r="PA136" s="199"/>
      <c r="PB136" s="199"/>
      <c r="PC136" s="199"/>
      <c r="PD136" s="199"/>
      <c r="PE136" s="199"/>
      <c r="PF136" s="199"/>
      <c r="PG136" s="199"/>
      <c r="PH136" s="199"/>
      <c r="PI136" s="199"/>
      <c r="PJ136" s="199"/>
      <c r="PK136" s="199"/>
      <c r="PL136" s="199"/>
      <c r="PM136" s="199"/>
      <c r="PN136" s="199"/>
      <c r="PO136" s="199"/>
      <c r="PP136" s="199"/>
      <c r="PQ136" s="199"/>
      <c r="PR136" s="199"/>
      <c r="PS136" s="199"/>
      <c r="PT136" s="199"/>
      <c r="PU136" s="199"/>
      <c r="PV136" s="199"/>
      <c r="PW136" s="199"/>
      <c r="PX136" s="199"/>
      <c r="PY136" s="199"/>
      <c r="PZ136" s="199"/>
      <c r="QA136" s="199"/>
      <c r="QB136" s="199"/>
      <c r="QC136" s="199"/>
      <c r="QD136" s="199"/>
      <c r="QE136" s="199"/>
      <c r="QF136" s="204"/>
      <c r="QG136" s="204"/>
      <c r="QH136" s="204"/>
      <c r="QI136" s="204"/>
      <c r="QJ136" s="204"/>
      <c r="QK136" s="204"/>
      <c r="QQ136" s="12"/>
      <c r="QR136" s="7"/>
      <c r="QS136" s="3"/>
      <c r="QT136" s="3"/>
      <c r="QU136" s="3"/>
      <c r="QV136" s="3"/>
      <c r="QW136" s="2"/>
    </row>
    <row r="137" spans="3:465" ht="5.0999999999999996" customHeight="1" x14ac:dyDescent="0.3">
      <c r="C137" s="11"/>
      <c r="D137" s="13"/>
      <c r="G137" s="190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2"/>
      <c r="AV137" s="190"/>
      <c r="AW137" s="191"/>
      <c r="AX137" s="191"/>
      <c r="AY137" s="191"/>
      <c r="AZ137" s="192"/>
      <c r="BC137" s="190"/>
      <c r="BD137" s="191"/>
      <c r="BE137" s="191"/>
      <c r="BF137" s="191"/>
      <c r="BG137" s="191"/>
      <c r="BH137" s="191"/>
      <c r="BI137" s="191"/>
      <c r="BJ137" s="191"/>
      <c r="BK137" s="191"/>
      <c r="BL137" s="191"/>
      <c r="BM137" s="191"/>
      <c r="BN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  <c r="BX137" s="191"/>
      <c r="BY137" s="191"/>
      <c r="BZ137" s="191"/>
      <c r="CA137" s="191"/>
      <c r="CB137" s="191"/>
      <c r="CC137" s="191"/>
      <c r="CD137" s="191"/>
      <c r="CE137" s="191"/>
      <c r="CF137" s="191"/>
      <c r="CG137" s="191"/>
      <c r="CH137" s="191"/>
      <c r="CI137" s="191"/>
      <c r="CJ137" s="191"/>
      <c r="CK137" s="191"/>
      <c r="CL137" s="191"/>
      <c r="CM137" s="191"/>
      <c r="CN137" s="191"/>
      <c r="CO137" s="191"/>
      <c r="CP137" s="191"/>
      <c r="CQ137" s="192"/>
      <c r="CR137" s="190"/>
      <c r="CS137" s="191"/>
      <c r="CT137" s="191"/>
      <c r="CU137" s="191"/>
      <c r="CV137" s="192"/>
      <c r="CY137" s="190"/>
      <c r="CZ137" s="191"/>
      <c r="DA137" s="191"/>
      <c r="DB137" s="191"/>
      <c r="DC137" s="191"/>
      <c r="DD137" s="191"/>
      <c r="DE137" s="191"/>
      <c r="DF137" s="191"/>
      <c r="DG137" s="191"/>
      <c r="DH137" s="191"/>
      <c r="DI137" s="191"/>
      <c r="DJ137" s="191"/>
      <c r="DK137" s="191"/>
      <c r="DL137" s="191"/>
      <c r="DM137" s="191"/>
      <c r="DN137" s="191"/>
      <c r="DO137" s="191"/>
      <c r="DP137" s="191"/>
      <c r="DQ137" s="191"/>
      <c r="DR137" s="191"/>
      <c r="DS137" s="191"/>
      <c r="DT137" s="191"/>
      <c r="DU137" s="191"/>
      <c r="DV137" s="191"/>
      <c r="DW137" s="191"/>
      <c r="DX137" s="191"/>
      <c r="DY137" s="191"/>
      <c r="DZ137" s="191"/>
      <c r="EA137" s="191"/>
      <c r="EB137" s="191"/>
      <c r="EC137" s="191"/>
      <c r="ED137" s="191"/>
      <c r="EE137" s="191"/>
      <c r="EF137" s="191"/>
      <c r="EG137" s="191"/>
      <c r="EH137" s="191"/>
      <c r="EI137" s="191"/>
      <c r="EJ137" s="191"/>
      <c r="EK137" s="191"/>
      <c r="EL137" s="191"/>
      <c r="EM137" s="192"/>
      <c r="EN137" s="190"/>
      <c r="EO137" s="191"/>
      <c r="EP137" s="191"/>
      <c r="EQ137" s="191"/>
      <c r="ER137" s="192"/>
      <c r="EU137" s="190"/>
      <c r="EV137" s="191"/>
      <c r="EW137" s="191"/>
      <c r="EX137" s="191"/>
      <c r="EY137" s="191"/>
      <c r="EZ137" s="191"/>
      <c r="FA137" s="191"/>
      <c r="FB137" s="191"/>
      <c r="FC137" s="191"/>
      <c r="FD137" s="191"/>
      <c r="FE137" s="191"/>
      <c r="FF137" s="191"/>
      <c r="FG137" s="191"/>
      <c r="FH137" s="191"/>
      <c r="FI137" s="191"/>
      <c r="FJ137" s="191"/>
      <c r="FK137" s="191"/>
      <c r="FL137" s="191"/>
      <c r="FM137" s="191"/>
      <c r="FN137" s="191"/>
      <c r="FO137" s="191"/>
      <c r="FP137" s="191"/>
      <c r="FQ137" s="191"/>
      <c r="FR137" s="191"/>
      <c r="FS137" s="191"/>
      <c r="FT137" s="191"/>
      <c r="FU137" s="191"/>
      <c r="FV137" s="191"/>
      <c r="FW137" s="191"/>
      <c r="FX137" s="191"/>
      <c r="FY137" s="191"/>
      <c r="FZ137" s="191"/>
      <c r="GA137" s="191"/>
      <c r="GB137" s="191"/>
      <c r="GC137" s="191"/>
      <c r="GD137" s="191"/>
      <c r="GE137" s="191"/>
      <c r="GF137" s="191"/>
      <c r="GG137" s="191"/>
      <c r="GH137" s="191"/>
      <c r="GI137" s="192"/>
      <c r="GJ137" s="190"/>
      <c r="GK137" s="191"/>
      <c r="GL137" s="191"/>
      <c r="GM137" s="191"/>
      <c r="GN137" s="192"/>
      <c r="GQ137" s="190"/>
      <c r="GR137" s="191"/>
      <c r="GS137" s="191"/>
      <c r="GT137" s="191"/>
      <c r="GU137" s="191"/>
      <c r="GV137" s="191"/>
      <c r="GW137" s="191"/>
      <c r="GX137" s="191"/>
      <c r="GY137" s="191"/>
      <c r="GZ137" s="191"/>
      <c r="HA137" s="191"/>
      <c r="HB137" s="191"/>
      <c r="HC137" s="191"/>
      <c r="HD137" s="191"/>
      <c r="HE137" s="191"/>
      <c r="HF137" s="191"/>
      <c r="HG137" s="191"/>
      <c r="HH137" s="191"/>
      <c r="HI137" s="191"/>
      <c r="HJ137" s="191"/>
      <c r="HK137" s="191"/>
      <c r="HL137" s="191"/>
      <c r="HM137" s="191"/>
      <c r="HN137" s="191"/>
      <c r="HO137" s="191"/>
      <c r="HP137" s="191"/>
      <c r="HQ137" s="191"/>
      <c r="HR137" s="191"/>
      <c r="HS137" s="191"/>
      <c r="HT137" s="191"/>
      <c r="HU137" s="191"/>
      <c r="HV137" s="191"/>
      <c r="HW137" s="191"/>
      <c r="HX137" s="191"/>
      <c r="HY137" s="191"/>
      <c r="HZ137" s="191"/>
      <c r="IA137" s="191"/>
      <c r="IB137" s="191"/>
      <c r="IC137" s="191"/>
      <c r="ID137" s="191"/>
      <c r="IE137" s="192"/>
      <c r="IF137" s="190"/>
      <c r="IG137" s="191"/>
      <c r="IH137" s="191"/>
      <c r="II137" s="191"/>
      <c r="IJ137" s="192"/>
      <c r="IS137" s="187"/>
      <c r="IT137" s="188"/>
      <c r="IU137" s="188"/>
      <c r="IV137" s="188"/>
      <c r="IW137" s="188"/>
      <c r="IX137" s="188"/>
      <c r="IY137" s="188"/>
      <c r="IZ137" s="188"/>
      <c r="JA137" s="188"/>
      <c r="JB137" s="188"/>
      <c r="JC137" s="188"/>
      <c r="JD137" s="188"/>
      <c r="JE137" s="188"/>
      <c r="JF137" s="188"/>
      <c r="JG137" s="188"/>
      <c r="JH137" s="188"/>
      <c r="JI137" s="188"/>
      <c r="JJ137" s="188"/>
      <c r="JK137" s="188"/>
      <c r="JL137" s="188"/>
      <c r="JM137" s="188"/>
      <c r="JN137" s="188"/>
      <c r="JO137" s="188"/>
      <c r="JP137" s="188"/>
      <c r="JQ137" s="188"/>
      <c r="JR137" s="188"/>
      <c r="JS137" s="188"/>
      <c r="JT137" s="188"/>
      <c r="JU137" s="188"/>
      <c r="JV137" s="188"/>
      <c r="JW137" s="188"/>
      <c r="JX137" s="188"/>
      <c r="JY137" s="188"/>
      <c r="JZ137" s="188"/>
      <c r="KA137" s="188"/>
      <c r="KB137" s="188"/>
      <c r="KC137" s="188"/>
      <c r="KD137" s="188"/>
      <c r="KE137" s="188"/>
      <c r="KF137" s="189"/>
      <c r="KG137" s="187"/>
      <c r="KH137" s="188"/>
      <c r="KI137" s="188"/>
      <c r="KJ137" s="188"/>
      <c r="KK137" s="189"/>
      <c r="KQ137" s="293" t="s">
        <v>188</v>
      </c>
      <c r="KR137" s="294"/>
      <c r="KS137" s="294"/>
      <c r="KT137" s="294"/>
      <c r="KU137" s="294"/>
      <c r="KV137" s="294"/>
      <c r="KW137" s="294"/>
      <c r="KX137" s="294"/>
      <c r="KY137" s="294"/>
      <c r="KZ137" s="294"/>
      <c r="LA137" s="294"/>
      <c r="LB137" s="294"/>
      <c r="LC137" s="294"/>
      <c r="LD137" s="294"/>
      <c r="LE137" s="294"/>
      <c r="LF137" s="294"/>
      <c r="LG137" s="294"/>
      <c r="LH137" s="294"/>
      <c r="LI137" s="294"/>
      <c r="LJ137" s="294"/>
      <c r="LK137" s="294"/>
      <c r="LL137" s="294"/>
      <c r="LM137" s="294"/>
      <c r="LN137" s="294"/>
      <c r="LO137" s="294"/>
      <c r="LP137" s="294"/>
      <c r="LQ137" s="294"/>
      <c r="LR137" s="294"/>
      <c r="LS137" s="294"/>
      <c r="LT137" s="294"/>
      <c r="LU137" s="294"/>
      <c r="LV137" s="294"/>
      <c r="LW137" s="294"/>
      <c r="LX137" s="294"/>
      <c r="LY137" s="294"/>
      <c r="LZ137" s="294"/>
      <c r="MA137" s="294"/>
      <c r="MB137" s="294"/>
      <c r="MC137" s="294"/>
      <c r="MD137" s="295"/>
      <c r="ME137" s="184">
        <v>2</v>
      </c>
      <c r="MF137" s="185"/>
      <c r="MG137" s="185"/>
      <c r="MH137" s="185"/>
      <c r="MI137" s="186"/>
      <c r="MN137" s="184" t="s">
        <v>39</v>
      </c>
      <c r="MO137" s="185"/>
      <c r="MP137" s="185"/>
      <c r="MQ137" s="185"/>
      <c r="MR137" s="185"/>
      <c r="MS137" s="185"/>
      <c r="MT137" s="185"/>
      <c r="MU137" s="185"/>
      <c r="MV137" s="185"/>
      <c r="MW137" s="185"/>
      <c r="MX137" s="185"/>
      <c r="MY137" s="185"/>
      <c r="MZ137" s="185"/>
      <c r="NA137" s="185"/>
      <c r="NB137" s="185"/>
      <c r="NC137" s="185"/>
      <c r="ND137" s="185"/>
      <c r="NE137" s="185"/>
      <c r="NF137" s="185"/>
      <c r="NG137" s="185"/>
      <c r="NH137" s="185"/>
      <c r="NI137" s="185"/>
      <c r="NJ137" s="185"/>
      <c r="NK137" s="185"/>
      <c r="NL137" s="185"/>
      <c r="NM137" s="185"/>
      <c r="NN137" s="185"/>
      <c r="NO137" s="185"/>
      <c r="NP137" s="185"/>
      <c r="NQ137" s="185"/>
      <c r="NR137" s="185"/>
      <c r="NS137" s="185"/>
      <c r="NT137" s="185"/>
      <c r="NU137" s="185"/>
      <c r="NV137" s="185"/>
      <c r="NW137" s="185"/>
      <c r="NX137" s="185"/>
      <c r="NY137" s="185"/>
      <c r="NZ137" s="185"/>
      <c r="OA137" s="186"/>
      <c r="OB137" s="184">
        <v>1</v>
      </c>
      <c r="OC137" s="185"/>
      <c r="OD137" s="185"/>
      <c r="OE137" s="185"/>
      <c r="OF137" s="186"/>
      <c r="OR137" s="198"/>
      <c r="OS137" s="199"/>
      <c r="OT137" s="199"/>
      <c r="OU137" s="199"/>
      <c r="OV137" s="199"/>
      <c r="OW137" s="199"/>
      <c r="OX137" s="199"/>
      <c r="OY137" s="199"/>
      <c r="OZ137" s="199"/>
      <c r="PA137" s="199"/>
      <c r="PB137" s="199"/>
      <c r="PC137" s="199"/>
      <c r="PD137" s="199"/>
      <c r="PE137" s="199"/>
      <c r="PF137" s="199"/>
      <c r="PG137" s="199"/>
      <c r="PH137" s="199"/>
      <c r="PI137" s="199"/>
      <c r="PJ137" s="199"/>
      <c r="PK137" s="199"/>
      <c r="PL137" s="199"/>
      <c r="PM137" s="199"/>
      <c r="PN137" s="199"/>
      <c r="PO137" s="199"/>
      <c r="PP137" s="199"/>
      <c r="PQ137" s="199"/>
      <c r="PR137" s="199"/>
      <c r="PS137" s="199"/>
      <c r="PT137" s="199"/>
      <c r="PU137" s="199"/>
      <c r="PV137" s="199"/>
      <c r="PW137" s="199"/>
      <c r="PX137" s="199"/>
      <c r="PY137" s="199"/>
      <c r="PZ137" s="199"/>
      <c r="QA137" s="199"/>
      <c r="QB137" s="199"/>
      <c r="QC137" s="199"/>
      <c r="QD137" s="199"/>
      <c r="QE137" s="199"/>
      <c r="QF137" s="204"/>
      <c r="QG137" s="204"/>
      <c r="QH137" s="204"/>
      <c r="QI137" s="204"/>
      <c r="QJ137" s="204"/>
      <c r="QK137" s="204"/>
      <c r="QQ137" s="12"/>
      <c r="QR137" s="7"/>
      <c r="QS137" s="3"/>
      <c r="QT137" s="3"/>
      <c r="QU137" s="3"/>
      <c r="QV137" s="3"/>
      <c r="QW137" s="2"/>
    </row>
    <row r="138" spans="3:465" ht="5.0999999999999996" customHeight="1" x14ac:dyDescent="0.3">
      <c r="C138" s="11"/>
      <c r="D138" s="13"/>
      <c r="G138" s="184" t="s">
        <v>42</v>
      </c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6"/>
      <c r="AV138" s="184">
        <v>2</v>
      </c>
      <c r="AW138" s="185"/>
      <c r="AX138" s="185"/>
      <c r="AY138" s="185"/>
      <c r="AZ138" s="186"/>
      <c r="IS138" s="190"/>
      <c r="IT138" s="191"/>
      <c r="IU138" s="191"/>
      <c r="IV138" s="191"/>
      <c r="IW138" s="191"/>
      <c r="IX138" s="191"/>
      <c r="IY138" s="191"/>
      <c r="IZ138" s="191"/>
      <c r="JA138" s="191"/>
      <c r="JB138" s="191"/>
      <c r="JC138" s="191"/>
      <c r="JD138" s="191"/>
      <c r="JE138" s="191"/>
      <c r="JF138" s="191"/>
      <c r="JG138" s="191"/>
      <c r="JH138" s="191"/>
      <c r="JI138" s="191"/>
      <c r="JJ138" s="191"/>
      <c r="JK138" s="191"/>
      <c r="JL138" s="191"/>
      <c r="JM138" s="191"/>
      <c r="JN138" s="191"/>
      <c r="JO138" s="191"/>
      <c r="JP138" s="191"/>
      <c r="JQ138" s="191"/>
      <c r="JR138" s="191"/>
      <c r="JS138" s="191"/>
      <c r="JT138" s="191"/>
      <c r="JU138" s="191"/>
      <c r="JV138" s="191"/>
      <c r="JW138" s="191"/>
      <c r="JX138" s="191"/>
      <c r="JY138" s="191"/>
      <c r="JZ138" s="191"/>
      <c r="KA138" s="191"/>
      <c r="KB138" s="191"/>
      <c r="KC138" s="191"/>
      <c r="KD138" s="191"/>
      <c r="KE138" s="191"/>
      <c r="KF138" s="192"/>
      <c r="KG138" s="190"/>
      <c r="KH138" s="191"/>
      <c r="KI138" s="191"/>
      <c r="KJ138" s="191"/>
      <c r="KK138" s="192"/>
      <c r="KQ138" s="296"/>
      <c r="KR138" s="297"/>
      <c r="KS138" s="297"/>
      <c r="KT138" s="297"/>
      <c r="KU138" s="297"/>
      <c r="KV138" s="297"/>
      <c r="KW138" s="297"/>
      <c r="KX138" s="297"/>
      <c r="KY138" s="297"/>
      <c r="KZ138" s="297"/>
      <c r="LA138" s="297"/>
      <c r="LB138" s="297"/>
      <c r="LC138" s="297"/>
      <c r="LD138" s="297"/>
      <c r="LE138" s="297"/>
      <c r="LF138" s="297"/>
      <c r="LG138" s="297"/>
      <c r="LH138" s="297"/>
      <c r="LI138" s="297"/>
      <c r="LJ138" s="297"/>
      <c r="LK138" s="297"/>
      <c r="LL138" s="297"/>
      <c r="LM138" s="297"/>
      <c r="LN138" s="297"/>
      <c r="LO138" s="297"/>
      <c r="LP138" s="297"/>
      <c r="LQ138" s="297"/>
      <c r="LR138" s="297"/>
      <c r="LS138" s="297"/>
      <c r="LT138" s="297"/>
      <c r="LU138" s="297"/>
      <c r="LV138" s="297"/>
      <c r="LW138" s="297"/>
      <c r="LX138" s="297"/>
      <c r="LY138" s="297"/>
      <c r="LZ138" s="297"/>
      <c r="MA138" s="297"/>
      <c r="MB138" s="297"/>
      <c r="MC138" s="297"/>
      <c r="MD138" s="298"/>
      <c r="ME138" s="187"/>
      <c r="MF138" s="188"/>
      <c r="MG138" s="188"/>
      <c r="MH138" s="188"/>
      <c r="MI138" s="189"/>
      <c r="MN138" s="187"/>
      <c r="MO138" s="188"/>
      <c r="MP138" s="188"/>
      <c r="MQ138" s="188"/>
      <c r="MR138" s="188"/>
      <c r="MS138" s="188"/>
      <c r="MT138" s="188"/>
      <c r="MU138" s="188"/>
      <c r="MV138" s="188"/>
      <c r="MW138" s="188"/>
      <c r="MX138" s="188"/>
      <c r="MY138" s="188"/>
      <c r="MZ138" s="188"/>
      <c r="NA138" s="188"/>
      <c r="NB138" s="188"/>
      <c r="NC138" s="188"/>
      <c r="ND138" s="188"/>
      <c r="NE138" s="188"/>
      <c r="NF138" s="188"/>
      <c r="NG138" s="188"/>
      <c r="NH138" s="188"/>
      <c r="NI138" s="188"/>
      <c r="NJ138" s="188"/>
      <c r="NK138" s="188"/>
      <c r="NL138" s="188"/>
      <c r="NM138" s="188"/>
      <c r="NN138" s="188"/>
      <c r="NO138" s="188"/>
      <c r="NP138" s="188"/>
      <c r="NQ138" s="188"/>
      <c r="NR138" s="188"/>
      <c r="NS138" s="188"/>
      <c r="NT138" s="188"/>
      <c r="NU138" s="188"/>
      <c r="NV138" s="188"/>
      <c r="NW138" s="188"/>
      <c r="NX138" s="188"/>
      <c r="NY138" s="188"/>
      <c r="NZ138" s="188"/>
      <c r="OA138" s="189"/>
      <c r="OB138" s="187"/>
      <c r="OC138" s="188"/>
      <c r="OD138" s="188"/>
      <c r="OE138" s="188"/>
      <c r="OF138" s="189"/>
      <c r="OR138" s="198"/>
      <c r="OS138" s="199"/>
      <c r="OT138" s="199"/>
      <c r="OU138" s="199"/>
      <c r="OV138" s="199"/>
      <c r="OW138" s="199"/>
      <c r="OX138" s="199"/>
      <c r="OY138" s="199"/>
      <c r="OZ138" s="199"/>
      <c r="PA138" s="199"/>
      <c r="PB138" s="199"/>
      <c r="PC138" s="199"/>
      <c r="PD138" s="199"/>
      <c r="PE138" s="199"/>
      <c r="PF138" s="199"/>
      <c r="PG138" s="199"/>
      <c r="PH138" s="199"/>
      <c r="PI138" s="199"/>
      <c r="PJ138" s="199"/>
      <c r="PK138" s="199"/>
      <c r="PL138" s="199"/>
      <c r="PM138" s="199"/>
      <c r="PN138" s="199"/>
      <c r="PO138" s="199"/>
      <c r="PP138" s="199"/>
      <c r="PQ138" s="199"/>
      <c r="PR138" s="199"/>
      <c r="PS138" s="199"/>
      <c r="PT138" s="199"/>
      <c r="PU138" s="199"/>
      <c r="PV138" s="199"/>
      <c r="PW138" s="199"/>
      <c r="PX138" s="199"/>
      <c r="PY138" s="199"/>
      <c r="PZ138" s="199"/>
      <c r="QA138" s="199"/>
      <c r="QB138" s="199"/>
      <c r="QC138" s="199"/>
      <c r="QD138" s="199"/>
      <c r="QE138" s="199"/>
      <c r="QF138" s="204"/>
      <c r="QG138" s="204"/>
      <c r="QH138" s="204"/>
      <c r="QI138" s="204"/>
      <c r="QJ138" s="204"/>
      <c r="QK138" s="204"/>
      <c r="QQ138" s="12"/>
      <c r="QR138" s="7"/>
      <c r="QS138" s="3"/>
      <c r="QT138" s="3"/>
      <c r="QU138" s="3"/>
      <c r="QV138" s="3"/>
      <c r="QW138" s="2"/>
    </row>
    <row r="139" spans="3:465" ht="5.0999999999999996" customHeight="1" x14ac:dyDescent="0.3">
      <c r="C139" s="11"/>
      <c r="D139" s="13"/>
      <c r="G139" s="187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9"/>
      <c r="AV139" s="187"/>
      <c r="AW139" s="188"/>
      <c r="AX139" s="188"/>
      <c r="AY139" s="188"/>
      <c r="AZ139" s="189"/>
      <c r="KQ139" s="296"/>
      <c r="KR139" s="297"/>
      <c r="KS139" s="297"/>
      <c r="KT139" s="297"/>
      <c r="KU139" s="297"/>
      <c r="KV139" s="297"/>
      <c r="KW139" s="297"/>
      <c r="KX139" s="297"/>
      <c r="KY139" s="297"/>
      <c r="KZ139" s="297"/>
      <c r="LA139" s="297"/>
      <c r="LB139" s="297"/>
      <c r="LC139" s="297"/>
      <c r="LD139" s="297"/>
      <c r="LE139" s="297"/>
      <c r="LF139" s="297"/>
      <c r="LG139" s="297"/>
      <c r="LH139" s="297"/>
      <c r="LI139" s="297"/>
      <c r="LJ139" s="297"/>
      <c r="LK139" s="297"/>
      <c r="LL139" s="297"/>
      <c r="LM139" s="297"/>
      <c r="LN139" s="297"/>
      <c r="LO139" s="297"/>
      <c r="LP139" s="297"/>
      <c r="LQ139" s="297"/>
      <c r="LR139" s="297"/>
      <c r="LS139" s="297"/>
      <c r="LT139" s="297"/>
      <c r="LU139" s="297"/>
      <c r="LV139" s="297"/>
      <c r="LW139" s="297"/>
      <c r="LX139" s="297"/>
      <c r="LY139" s="297"/>
      <c r="LZ139" s="297"/>
      <c r="MA139" s="297"/>
      <c r="MB139" s="297"/>
      <c r="MC139" s="297"/>
      <c r="MD139" s="298"/>
      <c r="ME139" s="187"/>
      <c r="MF139" s="188"/>
      <c r="MG139" s="188"/>
      <c r="MH139" s="188"/>
      <c r="MI139" s="189"/>
      <c r="MN139" s="187"/>
      <c r="MO139" s="188"/>
      <c r="MP139" s="188"/>
      <c r="MQ139" s="188"/>
      <c r="MR139" s="188"/>
      <c r="MS139" s="188"/>
      <c r="MT139" s="188"/>
      <c r="MU139" s="188"/>
      <c r="MV139" s="188"/>
      <c r="MW139" s="188"/>
      <c r="MX139" s="188"/>
      <c r="MY139" s="188"/>
      <c r="MZ139" s="188"/>
      <c r="NA139" s="188"/>
      <c r="NB139" s="188"/>
      <c r="NC139" s="188"/>
      <c r="ND139" s="188"/>
      <c r="NE139" s="188"/>
      <c r="NF139" s="188"/>
      <c r="NG139" s="188"/>
      <c r="NH139" s="188"/>
      <c r="NI139" s="188"/>
      <c r="NJ139" s="188"/>
      <c r="NK139" s="188"/>
      <c r="NL139" s="188"/>
      <c r="NM139" s="188"/>
      <c r="NN139" s="188"/>
      <c r="NO139" s="188"/>
      <c r="NP139" s="188"/>
      <c r="NQ139" s="188"/>
      <c r="NR139" s="188"/>
      <c r="NS139" s="188"/>
      <c r="NT139" s="188"/>
      <c r="NU139" s="188"/>
      <c r="NV139" s="188"/>
      <c r="NW139" s="188"/>
      <c r="NX139" s="188"/>
      <c r="NY139" s="188"/>
      <c r="NZ139" s="188"/>
      <c r="OA139" s="189"/>
      <c r="OB139" s="187"/>
      <c r="OC139" s="188"/>
      <c r="OD139" s="188"/>
      <c r="OE139" s="188"/>
      <c r="OF139" s="189"/>
      <c r="OR139" s="198"/>
      <c r="OS139" s="199"/>
      <c r="OT139" s="199"/>
      <c r="OU139" s="199"/>
      <c r="OV139" s="199"/>
      <c r="OW139" s="199"/>
      <c r="OX139" s="199"/>
      <c r="OY139" s="199"/>
      <c r="OZ139" s="199"/>
      <c r="PA139" s="199"/>
      <c r="PB139" s="199"/>
      <c r="PC139" s="199"/>
      <c r="PD139" s="199"/>
      <c r="PE139" s="199"/>
      <c r="PF139" s="199"/>
      <c r="PG139" s="199"/>
      <c r="PH139" s="199"/>
      <c r="PI139" s="199"/>
      <c r="PJ139" s="199"/>
      <c r="PK139" s="199"/>
      <c r="PL139" s="199"/>
      <c r="PM139" s="199"/>
      <c r="PN139" s="199"/>
      <c r="PO139" s="199"/>
      <c r="PP139" s="199"/>
      <c r="PQ139" s="199"/>
      <c r="PR139" s="199"/>
      <c r="PS139" s="199"/>
      <c r="PT139" s="199"/>
      <c r="PU139" s="199"/>
      <c r="PV139" s="199"/>
      <c r="PW139" s="199"/>
      <c r="PX139" s="199"/>
      <c r="PY139" s="199"/>
      <c r="PZ139" s="199"/>
      <c r="QA139" s="199"/>
      <c r="QB139" s="199"/>
      <c r="QC139" s="199"/>
      <c r="QD139" s="199"/>
      <c r="QE139" s="199"/>
      <c r="QF139" s="204"/>
      <c r="QG139" s="204"/>
      <c r="QH139" s="204"/>
      <c r="QI139" s="204"/>
      <c r="QJ139" s="204"/>
      <c r="QK139" s="204"/>
      <c r="QQ139" s="12"/>
      <c r="QR139" s="7"/>
      <c r="QS139" s="3"/>
      <c r="QT139" s="3"/>
      <c r="QU139" s="3"/>
      <c r="QV139" s="3"/>
      <c r="QW139" s="2"/>
    </row>
    <row r="140" spans="3:465" ht="5.0999999999999996" customHeight="1" x14ac:dyDescent="0.3">
      <c r="C140" s="11"/>
      <c r="D140" s="13"/>
      <c r="G140" s="187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9"/>
      <c r="AV140" s="187"/>
      <c r="AW140" s="188"/>
      <c r="AX140" s="188"/>
      <c r="AY140" s="188"/>
      <c r="AZ140" s="189"/>
      <c r="KQ140" s="296"/>
      <c r="KR140" s="297"/>
      <c r="KS140" s="297"/>
      <c r="KT140" s="297"/>
      <c r="KU140" s="297"/>
      <c r="KV140" s="297"/>
      <c r="KW140" s="297"/>
      <c r="KX140" s="297"/>
      <c r="KY140" s="297"/>
      <c r="KZ140" s="297"/>
      <c r="LA140" s="297"/>
      <c r="LB140" s="297"/>
      <c r="LC140" s="297"/>
      <c r="LD140" s="297"/>
      <c r="LE140" s="297"/>
      <c r="LF140" s="297"/>
      <c r="LG140" s="297"/>
      <c r="LH140" s="297"/>
      <c r="LI140" s="297"/>
      <c r="LJ140" s="297"/>
      <c r="LK140" s="297"/>
      <c r="LL140" s="297"/>
      <c r="LM140" s="297"/>
      <c r="LN140" s="297"/>
      <c r="LO140" s="297"/>
      <c r="LP140" s="297"/>
      <c r="LQ140" s="297"/>
      <c r="LR140" s="297"/>
      <c r="LS140" s="297"/>
      <c r="LT140" s="297"/>
      <c r="LU140" s="297"/>
      <c r="LV140" s="297"/>
      <c r="LW140" s="297"/>
      <c r="LX140" s="297"/>
      <c r="LY140" s="297"/>
      <c r="LZ140" s="297"/>
      <c r="MA140" s="297"/>
      <c r="MB140" s="297"/>
      <c r="MC140" s="297"/>
      <c r="MD140" s="298"/>
      <c r="ME140" s="187"/>
      <c r="MF140" s="188"/>
      <c r="MG140" s="188"/>
      <c r="MH140" s="188"/>
      <c r="MI140" s="189"/>
      <c r="MN140" s="187"/>
      <c r="MO140" s="188"/>
      <c r="MP140" s="188"/>
      <c r="MQ140" s="188"/>
      <c r="MR140" s="188"/>
      <c r="MS140" s="188"/>
      <c r="MT140" s="188"/>
      <c r="MU140" s="188"/>
      <c r="MV140" s="188"/>
      <c r="MW140" s="188"/>
      <c r="MX140" s="188"/>
      <c r="MY140" s="188"/>
      <c r="MZ140" s="188"/>
      <c r="NA140" s="188"/>
      <c r="NB140" s="188"/>
      <c r="NC140" s="188"/>
      <c r="ND140" s="188"/>
      <c r="NE140" s="188"/>
      <c r="NF140" s="188"/>
      <c r="NG140" s="188"/>
      <c r="NH140" s="188"/>
      <c r="NI140" s="188"/>
      <c r="NJ140" s="188"/>
      <c r="NK140" s="188"/>
      <c r="NL140" s="188"/>
      <c r="NM140" s="188"/>
      <c r="NN140" s="188"/>
      <c r="NO140" s="188"/>
      <c r="NP140" s="188"/>
      <c r="NQ140" s="188"/>
      <c r="NR140" s="188"/>
      <c r="NS140" s="188"/>
      <c r="NT140" s="188"/>
      <c r="NU140" s="188"/>
      <c r="NV140" s="188"/>
      <c r="NW140" s="188"/>
      <c r="NX140" s="188"/>
      <c r="NY140" s="188"/>
      <c r="NZ140" s="188"/>
      <c r="OA140" s="189"/>
      <c r="OB140" s="187"/>
      <c r="OC140" s="188"/>
      <c r="OD140" s="188"/>
      <c r="OE140" s="188"/>
      <c r="OF140" s="189"/>
      <c r="OR140" s="198"/>
      <c r="OS140" s="199"/>
      <c r="OT140" s="199"/>
      <c r="OU140" s="199"/>
      <c r="OV140" s="199"/>
      <c r="OW140" s="199"/>
      <c r="OX140" s="199"/>
      <c r="OY140" s="199"/>
      <c r="OZ140" s="199"/>
      <c r="PA140" s="199"/>
      <c r="PB140" s="199"/>
      <c r="PC140" s="199"/>
      <c r="PD140" s="199"/>
      <c r="PE140" s="199"/>
      <c r="PF140" s="199"/>
      <c r="PG140" s="199"/>
      <c r="PH140" s="199"/>
      <c r="PI140" s="199"/>
      <c r="PJ140" s="199"/>
      <c r="PK140" s="199"/>
      <c r="PL140" s="199"/>
      <c r="PM140" s="199"/>
      <c r="PN140" s="199"/>
      <c r="PO140" s="199"/>
      <c r="PP140" s="199"/>
      <c r="PQ140" s="199"/>
      <c r="PR140" s="199"/>
      <c r="PS140" s="199"/>
      <c r="PT140" s="199"/>
      <c r="PU140" s="199"/>
      <c r="PV140" s="199"/>
      <c r="PW140" s="199"/>
      <c r="PX140" s="199"/>
      <c r="PY140" s="199"/>
      <c r="PZ140" s="199"/>
      <c r="QA140" s="199"/>
      <c r="QB140" s="199"/>
      <c r="QC140" s="199"/>
      <c r="QD140" s="199"/>
      <c r="QE140" s="199"/>
      <c r="QF140" s="204"/>
      <c r="QG140" s="204"/>
      <c r="QH140" s="204"/>
      <c r="QI140" s="204"/>
      <c r="QJ140" s="204"/>
      <c r="QK140" s="204"/>
      <c r="QQ140" s="12"/>
      <c r="QR140" s="7"/>
      <c r="QS140" s="3"/>
      <c r="QT140" s="3"/>
      <c r="QU140" s="3"/>
      <c r="QV140" s="3"/>
      <c r="QW140" s="2"/>
    </row>
    <row r="141" spans="3:465" ht="5.0999999999999996" customHeight="1" thickBot="1" x14ac:dyDescent="0.35">
      <c r="C141" s="11"/>
      <c r="D141" s="13"/>
      <c r="G141" s="187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9"/>
      <c r="AV141" s="187"/>
      <c r="AW141" s="188"/>
      <c r="AX141" s="188"/>
      <c r="AY141" s="188"/>
      <c r="AZ141" s="189"/>
      <c r="KQ141" s="296"/>
      <c r="KR141" s="297"/>
      <c r="KS141" s="297"/>
      <c r="KT141" s="297"/>
      <c r="KU141" s="297"/>
      <c r="KV141" s="297"/>
      <c r="KW141" s="297"/>
      <c r="KX141" s="297"/>
      <c r="KY141" s="297"/>
      <c r="KZ141" s="297"/>
      <c r="LA141" s="297"/>
      <c r="LB141" s="297"/>
      <c r="LC141" s="297"/>
      <c r="LD141" s="297"/>
      <c r="LE141" s="297"/>
      <c r="LF141" s="297"/>
      <c r="LG141" s="297"/>
      <c r="LH141" s="297"/>
      <c r="LI141" s="297"/>
      <c r="LJ141" s="297"/>
      <c r="LK141" s="297"/>
      <c r="LL141" s="297"/>
      <c r="LM141" s="297"/>
      <c r="LN141" s="297"/>
      <c r="LO141" s="297"/>
      <c r="LP141" s="297"/>
      <c r="LQ141" s="297"/>
      <c r="LR141" s="297"/>
      <c r="LS141" s="297"/>
      <c r="LT141" s="297"/>
      <c r="LU141" s="297"/>
      <c r="LV141" s="297"/>
      <c r="LW141" s="297"/>
      <c r="LX141" s="297"/>
      <c r="LY141" s="297"/>
      <c r="LZ141" s="297"/>
      <c r="MA141" s="297"/>
      <c r="MB141" s="297"/>
      <c r="MC141" s="297"/>
      <c r="MD141" s="298"/>
      <c r="ME141" s="187"/>
      <c r="MF141" s="188"/>
      <c r="MG141" s="188"/>
      <c r="MH141" s="188"/>
      <c r="MI141" s="189"/>
      <c r="MN141" s="187"/>
      <c r="MO141" s="188"/>
      <c r="MP141" s="188"/>
      <c r="MQ141" s="188"/>
      <c r="MR141" s="188"/>
      <c r="MS141" s="188"/>
      <c r="MT141" s="188"/>
      <c r="MU141" s="188"/>
      <c r="MV141" s="188"/>
      <c r="MW141" s="188"/>
      <c r="MX141" s="188"/>
      <c r="MY141" s="188"/>
      <c r="MZ141" s="188"/>
      <c r="NA141" s="188"/>
      <c r="NB141" s="188"/>
      <c r="NC141" s="188"/>
      <c r="ND141" s="188"/>
      <c r="NE141" s="188"/>
      <c r="NF141" s="188"/>
      <c r="NG141" s="188"/>
      <c r="NH141" s="188"/>
      <c r="NI141" s="188"/>
      <c r="NJ141" s="188"/>
      <c r="NK141" s="188"/>
      <c r="NL141" s="188"/>
      <c r="NM141" s="188"/>
      <c r="NN141" s="188"/>
      <c r="NO141" s="188"/>
      <c r="NP141" s="188"/>
      <c r="NQ141" s="188"/>
      <c r="NR141" s="188"/>
      <c r="NS141" s="188"/>
      <c r="NT141" s="188"/>
      <c r="NU141" s="188"/>
      <c r="NV141" s="188"/>
      <c r="NW141" s="188"/>
      <c r="NX141" s="188"/>
      <c r="NY141" s="188"/>
      <c r="NZ141" s="188"/>
      <c r="OA141" s="189"/>
      <c r="OB141" s="187"/>
      <c r="OC141" s="188"/>
      <c r="OD141" s="188"/>
      <c r="OE141" s="188"/>
      <c r="OF141" s="189"/>
      <c r="OR141" s="201"/>
      <c r="OS141" s="202"/>
      <c r="OT141" s="202"/>
      <c r="OU141" s="202"/>
      <c r="OV141" s="202"/>
      <c r="OW141" s="202"/>
      <c r="OX141" s="202"/>
      <c r="OY141" s="202"/>
      <c r="OZ141" s="202"/>
      <c r="PA141" s="202"/>
      <c r="PB141" s="202"/>
      <c r="PC141" s="202"/>
      <c r="PD141" s="202"/>
      <c r="PE141" s="202"/>
      <c r="PF141" s="202"/>
      <c r="PG141" s="202"/>
      <c r="PH141" s="202"/>
      <c r="PI141" s="202"/>
      <c r="PJ141" s="202"/>
      <c r="PK141" s="202"/>
      <c r="PL141" s="202"/>
      <c r="PM141" s="202"/>
      <c r="PN141" s="202"/>
      <c r="PO141" s="202"/>
      <c r="PP141" s="202"/>
      <c r="PQ141" s="202"/>
      <c r="PR141" s="202"/>
      <c r="PS141" s="202"/>
      <c r="PT141" s="202"/>
      <c r="PU141" s="202"/>
      <c r="PV141" s="202"/>
      <c r="PW141" s="202"/>
      <c r="PX141" s="202"/>
      <c r="PY141" s="202"/>
      <c r="PZ141" s="202"/>
      <c r="QA141" s="202"/>
      <c r="QB141" s="202"/>
      <c r="QC141" s="202"/>
      <c r="QD141" s="202"/>
      <c r="QE141" s="202"/>
      <c r="QF141" s="204"/>
      <c r="QG141" s="204"/>
      <c r="QH141" s="204"/>
      <c r="QI141" s="204"/>
      <c r="QJ141" s="204"/>
      <c r="QK141" s="204"/>
      <c r="QQ141" s="12"/>
      <c r="QR141" s="7"/>
      <c r="QS141" s="3"/>
      <c r="QT141" s="3"/>
      <c r="QU141" s="3"/>
      <c r="QV141" s="3"/>
      <c r="QW141" s="2"/>
    </row>
    <row r="142" spans="3:465" ht="5.0999999999999996" customHeight="1" x14ac:dyDescent="0.3">
      <c r="C142" s="11"/>
      <c r="D142" s="13"/>
      <c r="G142" s="187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9"/>
      <c r="AV142" s="187"/>
      <c r="AW142" s="188"/>
      <c r="AX142" s="188"/>
      <c r="AY142" s="188"/>
      <c r="AZ142" s="189"/>
      <c r="KQ142" s="296"/>
      <c r="KR142" s="297"/>
      <c r="KS142" s="297"/>
      <c r="KT142" s="297"/>
      <c r="KU142" s="297"/>
      <c r="KV142" s="297"/>
      <c r="KW142" s="297"/>
      <c r="KX142" s="297"/>
      <c r="KY142" s="297"/>
      <c r="KZ142" s="297"/>
      <c r="LA142" s="297"/>
      <c r="LB142" s="297"/>
      <c r="LC142" s="297"/>
      <c r="LD142" s="297"/>
      <c r="LE142" s="297"/>
      <c r="LF142" s="297"/>
      <c r="LG142" s="297"/>
      <c r="LH142" s="297"/>
      <c r="LI142" s="297"/>
      <c r="LJ142" s="297"/>
      <c r="LK142" s="297"/>
      <c r="LL142" s="297"/>
      <c r="LM142" s="297"/>
      <c r="LN142" s="297"/>
      <c r="LO142" s="297"/>
      <c r="LP142" s="297"/>
      <c r="LQ142" s="297"/>
      <c r="LR142" s="297"/>
      <c r="LS142" s="297"/>
      <c r="LT142" s="297"/>
      <c r="LU142" s="297"/>
      <c r="LV142" s="297"/>
      <c r="LW142" s="297"/>
      <c r="LX142" s="297"/>
      <c r="LY142" s="297"/>
      <c r="LZ142" s="297"/>
      <c r="MA142" s="297"/>
      <c r="MB142" s="297"/>
      <c r="MC142" s="297"/>
      <c r="MD142" s="298"/>
      <c r="ME142" s="187"/>
      <c r="MF142" s="188"/>
      <c r="MG142" s="188"/>
      <c r="MH142" s="188"/>
      <c r="MI142" s="189"/>
      <c r="MN142" s="187"/>
      <c r="MO142" s="188"/>
      <c r="MP142" s="188"/>
      <c r="MQ142" s="188"/>
      <c r="MR142" s="188"/>
      <c r="MS142" s="188"/>
      <c r="MT142" s="188"/>
      <c r="MU142" s="188"/>
      <c r="MV142" s="188"/>
      <c r="MW142" s="188"/>
      <c r="MX142" s="188"/>
      <c r="MY142" s="188"/>
      <c r="MZ142" s="188"/>
      <c r="NA142" s="188"/>
      <c r="NB142" s="188"/>
      <c r="NC142" s="188"/>
      <c r="ND142" s="188"/>
      <c r="NE142" s="188"/>
      <c r="NF142" s="188"/>
      <c r="NG142" s="188"/>
      <c r="NH142" s="188"/>
      <c r="NI142" s="188"/>
      <c r="NJ142" s="188"/>
      <c r="NK142" s="188"/>
      <c r="NL142" s="188"/>
      <c r="NM142" s="188"/>
      <c r="NN142" s="188"/>
      <c r="NO142" s="188"/>
      <c r="NP142" s="188"/>
      <c r="NQ142" s="188"/>
      <c r="NR142" s="188"/>
      <c r="NS142" s="188"/>
      <c r="NT142" s="188"/>
      <c r="NU142" s="188"/>
      <c r="NV142" s="188"/>
      <c r="NW142" s="188"/>
      <c r="NX142" s="188"/>
      <c r="NY142" s="188"/>
      <c r="NZ142" s="188"/>
      <c r="OA142" s="189"/>
      <c r="OB142" s="187"/>
      <c r="OC142" s="188"/>
      <c r="OD142" s="188"/>
      <c r="OE142" s="188"/>
      <c r="OF142" s="189"/>
      <c r="OR142" s="184" t="s">
        <v>10</v>
      </c>
      <c r="OS142" s="185"/>
      <c r="OT142" s="185"/>
      <c r="OU142" s="185"/>
      <c r="OV142" s="185"/>
      <c r="OW142" s="185"/>
      <c r="OX142" s="185"/>
      <c r="OY142" s="185"/>
      <c r="OZ142" s="185"/>
      <c r="PA142" s="185"/>
      <c r="PB142" s="185"/>
      <c r="PC142" s="185"/>
      <c r="PD142" s="185"/>
      <c r="PE142" s="185"/>
      <c r="PF142" s="185"/>
      <c r="PG142" s="185"/>
      <c r="PH142" s="185"/>
      <c r="PI142" s="185"/>
      <c r="PJ142" s="185"/>
      <c r="PK142" s="185"/>
      <c r="PL142" s="185"/>
      <c r="PM142" s="185"/>
      <c r="PN142" s="185"/>
      <c r="PO142" s="185"/>
      <c r="PP142" s="185"/>
      <c r="PQ142" s="185"/>
      <c r="PR142" s="185"/>
      <c r="PS142" s="185"/>
      <c r="PT142" s="185"/>
      <c r="PU142" s="185"/>
      <c r="PV142" s="185"/>
      <c r="PW142" s="185"/>
      <c r="PX142" s="185"/>
      <c r="PY142" s="185"/>
      <c r="PZ142" s="185"/>
      <c r="QA142" s="185"/>
      <c r="QB142" s="185"/>
      <c r="QC142" s="185"/>
      <c r="QD142" s="185"/>
      <c r="QE142" s="185"/>
      <c r="QF142" s="187">
        <v>10</v>
      </c>
      <c r="QG142" s="188"/>
      <c r="QH142" s="188"/>
      <c r="QI142" s="188"/>
      <c r="QJ142" s="188"/>
      <c r="QK142" s="189"/>
      <c r="QL142" s="52"/>
      <c r="QQ142" s="12"/>
      <c r="QR142" s="7"/>
      <c r="QS142" s="3"/>
      <c r="QT142" s="3"/>
      <c r="QU142" s="3"/>
      <c r="QV142" s="3"/>
      <c r="QW142" s="2"/>
    </row>
    <row r="143" spans="3:465" ht="5.0999999999999996" customHeight="1" x14ac:dyDescent="0.3">
      <c r="C143" s="11"/>
      <c r="D143" s="13"/>
      <c r="G143" s="187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9"/>
      <c r="AV143" s="187"/>
      <c r="AW143" s="188"/>
      <c r="AX143" s="188"/>
      <c r="AY143" s="188"/>
      <c r="AZ143" s="189"/>
      <c r="KQ143" s="296"/>
      <c r="KR143" s="297"/>
      <c r="KS143" s="297"/>
      <c r="KT143" s="297"/>
      <c r="KU143" s="297"/>
      <c r="KV143" s="297"/>
      <c r="KW143" s="297"/>
      <c r="KX143" s="297"/>
      <c r="KY143" s="297"/>
      <c r="KZ143" s="297"/>
      <c r="LA143" s="297"/>
      <c r="LB143" s="297"/>
      <c r="LC143" s="297"/>
      <c r="LD143" s="297"/>
      <c r="LE143" s="297"/>
      <c r="LF143" s="297"/>
      <c r="LG143" s="297"/>
      <c r="LH143" s="297"/>
      <c r="LI143" s="297"/>
      <c r="LJ143" s="297"/>
      <c r="LK143" s="297"/>
      <c r="LL143" s="297"/>
      <c r="LM143" s="297"/>
      <c r="LN143" s="297"/>
      <c r="LO143" s="297"/>
      <c r="LP143" s="297"/>
      <c r="LQ143" s="297"/>
      <c r="LR143" s="297"/>
      <c r="LS143" s="297"/>
      <c r="LT143" s="297"/>
      <c r="LU143" s="297"/>
      <c r="LV143" s="297"/>
      <c r="LW143" s="297"/>
      <c r="LX143" s="297"/>
      <c r="LY143" s="297"/>
      <c r="LZ143" s="297"/>
      <c r="MA143" s="297"/>
      <c r="MB143" s="297"/>
      <c r="MC143" s="297"/>
      <c r="MD143" s="298"/>
      <c r="ME143" s="187"/>
      <c r="MF143" s="188"/>
      <c r="MG143" s="188"/>
      <c r="MH143" s="188"/>
      <c r="MI143" s="189"/>
      <c r="MN143" s="187"/>
      <c r="MO143" s="188"/>
      <c r="MP143" s="188"/>
      <c r="MQ143" s="188"/>
      <c r="MR143" s="188"/>
      <c r="MS143" s="188"/>
      <c r="MT143" s="188"/>
      <c r="MU143" s="188"/>
      <c r="MV143" s="188"/>
      <c r="MW143" s="188"/>
      <c r="MX143" s="188"/>
      <c r="MY143" s="188"/>
      <c r="MZ143" s="188"/>
      <c r="NA143" s="188"/>
      <c r="NB143" s="188"/>
      <c r="NC143" s="188"/>
      <c r="ND143" s="188"/>
      <c r="NE143" s="188"/>
      <c r="NF143" s="188"/>
      <c r="NG143" s="188"/>
      <c r="NH143" s="188"/>
      <c r="NI143" s="188"/>
      <c r="NJ143" s="188"/>
      <c r="NK143" s="188"/>
      <c r="NL143" s="188"/>
      <c r="NM143" s="188"/>
      <c r="NN143" s="188"/>
      <c r="NO143" s="188"/>
      <c r="NP143" s="188"/>
      <c r="NQ143" s="188"/>
      <c r="NR143" s="188"/>
      <c r="NS143" s="188"/>
      <c r="NT143" s="188"/>
      <c r="NU143" s="188"/>
      <c r="NV143" s="188"/>
      <c r="NW143" s="188"/>
      <c r="NX143" s="188"/>
      <c r="NY143" s="188"/>
      <c r="NZ143" s="188"/>
      <c r="OA143" s="189"/>
      <c r="OB143" s="187"/>
      <c r="OC143" s="188"/>
      <c r="OD143" s="188"/>
      <c r="OE143" s="188"/>
      <c r="OF143" s="189"/>
      <c r="OR143" s="187"/>
      <c r="OS143" s="188"/>
      <c r="OT143" s="188"/>
      <c r="OU143" s="188"/>
      <c r="OV143" s="188"/>
      <c r="OW143" s="188"/>
      <c r="OX143" s="188"/>
      <c r="OY143" s="188"/>
      <c r="OZ143" s="188"/>
      <c r="PA143" s="188"/>
      <c r="PB143" s="188"/>
      <c r="PC143" s="188"/>
      <c r="PD143" s="188"/>
      <c r="PE143" s="188"/>
      <c r="PF143" s="188"/>
      <c r="PG143" s="188"/>
      <c r="PH143" s="188"/>
      <c r="PI143" s="188"/>
      <c r="PJ143" s="188"/>
      <c r="PK143" s="188"/>
      <c r="PL143" s="188"/>
      <c r="PM143" s="188"/>
      <c r="PN143" s="188"/>
      <c r="PO143" s="188"/>
      <c r="PP143" s="188"/>
      <c r="PQ143" s="188"/>
      <c r="PR143" s="188"/>
      <c r="PS143" s="188"/>
      <c r="PT143" s="188"/>
      <c r="PU143" s="188"/>
      <c r="PV143" s="188"/>
      <c r="PW143" s="188"/>
      <c r="PX143" s="188"/>
      <c r="PY143" s="188"/>
      <c r="PZ143" s="188"/>
      <c r="QA143" s="188"/>
      <c r="QB143" s="188"/>
      <c r="QC143" s="188"/>
      <c r="QD143" s="188"/>
      <c r="QE143" s="188"/>
      <c r="QF143" s="187"/>
      <c r="QG143" s="188"/>
      <c r="QH143" s="188"/>
      <c r="QI143" s="188"/>
      <c r="QJ143" s="188"/>
      <c r="QK143" s="189"/>
      <c r="QL143" s="53"/>
      <c r="QQ143" s="12"/>
      <c r="QR143" s="7"/>
      <c r="QS143" s="3"/>
      <c r="QT143" s="3"/>
      <c r="QU143" s="3"/>
      <c r="QV143" s="3"/>
      <c r="QW143" s="2"/>
    </row>
    <row r="144" spans="3:465" ht="5.0999999999999996" customHeight="1" x14ac:dyDescent="0.3">
      <c r="C144" s="11"/>
      <c r="D144" s="13"/>
      <c r="G144" s="187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9"/>
      <c r="AV144" s="187"/>
      <c r="AW144" s="188"/>
      <c r="AX144" s="188"/>
      <c r="AY144" s="188"/>
      <c r="AZ144" s="189"/>
      <c r="KQ144" s="296"/>
      <c r="KR144" s="297"/>
      <c r="KS144" s="297"/>
      <c r="KT144" s="297"/>
      <c r="KU144" s="297"/>
      <c r="KV144" s="297"/>
      <c r="KW144" s="297"/>
      <c r="KX144" s="297"/>
      <c r="KY144" s="297"/>
      <c r="KZ144" s="297"/>
      <c r="LA144" s="297"/>
      <c r="LB144" s="297"/>
      <c r="LC144" s="297"/>
      <c r="LD144" s="297"/>
      <c r="LE144" s="297"/>
      <c r="LF144" s="297"/>
      <c r="LG144" s="297"/>
      <c r="LH144" s="297"/>
      <c r="LI144" s="297"/>
      <c r="LJ144" s="297"/>
      <c r="LK144" s="297"/>
      <c r="LL144" s="297"/>
      <c r="LM144" s="297"/>
      <c r="LN144" s="297"/>
      <c r="LO144" s="297"/>
      <c r="LP144" s="297"/>
      <c r="LQ144" s="297"/>
      <c r="LR144" s="297"/>
      <c r="LS144" s="297"/>
      <c r="LT144" s="297"/>
      <c r="LU144" s="297"/>
      <c r="LV144" s="297"/>
      <c r="LW144" s="297"/>
      <c r="LX144" s="297"/>
      <c r="LY144" s="297"/>
      <c r="LZ144" s="297"/>
      <c r="MA144" s="297"/>
      <c r="MB144" s="297"/>
      <c r="MC144" s="297"/>
      <c r="MD144" s="298"/>
      <c r="ME144" s="187"/>
      <c r="MF144" s="188"/>
      <c r="MG144" s="188"/>
      <c r="MH144" s="188"/>
      <c r="MI144" s="189"/>
      <c r="MN144" s="187"/>
      <c r="MO144" s="188"/>
      <c r="MP144" s="188"/>
      <c r="MQ144" s="188"/>
      <c r="MR144" s="188"/>
      <c r="MS144" s="188"/>
      <c r="MT144" s="188"/>
      <c r="MU144" s="188"/>
      <c r="MV144" s="188"/>
      <c r="MW144" s="188"/>
      <c r="MX144" s="188"/>
      <c r="MY144" s="188"/>
      <c r="MZ144" s="188"/>
      <c r="NA144" s="188"/>
      <c r="NB144" s="188"/>
      <c r="NC144" s="188"/>
      <c r="ND144" s="188"/>
      <c r="NE144" s="188"/>
      <c r="NF144" s="188"/>
      <c r="NG144" s="188"/>
      <c r="NH144" s="188"/>
      <c r="NI144" s="188"/>
      <c r="NJ144" s="188"/>
      <c r="NK144" s="188"/>
      <c r="NL144" s="188"/>
      <c r="NM144" s="188"/>
      <c r="NN144" s="188"/>
      <c r="NO144" s="188"/>
      <c r="NP144" s="188"/>
      <c r="NQ144" s="188"/>
      <c r="NR144" s="188"/>
      <c r="NS144" s="188"/>
      <c r="NT144" s="188"/>
      <c r="NU144" s="188"/>
      <c r="NV144" s="188"/>
      <c r="NW144" s="188"/>
      <c r="NX144" s="188"/>
      <c r="NY144" s="188"/>
      <c r="NZ144" s="188"/>
      <c r="OA144" s="189"/>
      <c r="OB144" s="187"/>
      <c r="OC144" s="188"/>
      <c r="OD144" s="188"/>
      <c r="OE144" s="188"/>
      <c r="OF144" s="189"/>
      <c r="OR144" s="187"/>
      <c r="OS144" s="188"/>
      <c r="OT144" s="188"/>
      <c r="OU144" s="188"/>
      <c r="OV144" s="188"/>
      <c r="OW144" s="188"/>
      <c r="OX144" s="188"/>
      <c r="OY144" s="188"/>
      <c r="OZ144" s="188"/>
      <c r="PA144" s="188"/>
      <c r="PB144" s="188"/>
      <c r="PC144" s="188"/>
      <c r="PD144" s="188"/>
      <c r="PE144" s="188"/>
      <c r="PF144" s="188"/>
      <c r="PG144" s="188"/>
      <c r="PH144" s="188"/>
      <c r="PI144" s="188"/>
      <c r="PJ144" s="188"/>
      <c r="PK144" s="188"/>
      <c r="PL144" s="188"/>
      <c r="PM144" s="188"/>
      <c r="PN144" s="188"/>
      <c r="PO144" s="188"/>
      <c r="PP144" s="188"/>
      <c r="PQ144" s="188"/>
      <c r="PR144" s="188"/>
      <c r="PS144" s="188"/>
      <c r="PT144" s="188"/>
      <c r="PU144" s="188"/>
      <c r="PV144" s="188"/>
      <c r="PW144" s="188"/>
      <c r="PX144" s="188"/>
      <c r="PY144" s="188"/>
      <c r="PZ144" s="188"/>
      <c r="QA144" s="188"/>
      <c r="QB144" s="188"/>
      <c r="QC144" s="188"/>
      <c r="QD144" s="188"/>
      <c r="QE144" s="188"/>
      <c r="QF144" s="187"/>
      <c r="QG144" s="188"/>
      <c r="QH144" s="188"/>
      <c r="QI144" s="188"/>
      <c r="QJ144" s="188"/>
      <c r="QK144" s="189"/>
      <c r="QL144" s="53"/>
      <c r="QQ144" s="12"/>
      <c r="QR144" s="7"/>
      <c r="QS144" s="3"/>
      <c r="QT144" s="3"/>
      <c r="QU144" s="3"/>
      <c r="QV144" s="3"/>
      <c r="QW144" s="2"/>
    </row>
    <row r="145" spans="3:465" ht="5.0999999999999996" customHeight="1" x14ac:dyDescent="0.3">
      <c r="C145" s="11"/>
      <c r="D145" s="13"/>
      <c r="G145" s="187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9"/>
      <c r="AV145" s="187"/>
      <c r="AW145" s="188"/>
      <c r="AX145" s="188"/>
      <c r="AY145" s="188"/>
      <c r="AZ145" s="189"/>
      <c r="KQ145" s="296"/>
      <c r="KR145" s="297"/>
      <c r="KS145" s="297"/>
      <c r="KT145" s="297"/>
      <c r="KU145" s="297"/>
      <c r="KV145" s="297"/>
      <c r="KW145" s="297"/>
      <c r="KX145" s="297"/>
      <c r="KY145" s="297"/>
      <c r="KZ145" s="297"/>
      <c r="LA145" s="297"/>
      <c r="LB145" s="297"/>
      <c r="LC145" s="297"/>
      <c r="LD145" s="297"/>
      <c r="LE145" s="297"/>
      <c r="LF145" s="297"/>
      <c r="LG145" s="297"/>
      <c r="LH145" s="297"/>
      <c r="LI145" s="297"/>
      <c r="LJ145" s="297"/>
      <c r="LK145" s="297"/>
      <c r="LL145" s="297"/>
      <c r="LM145" s="297"/>
      <c r="LN145" s="297"/>
      <c r="LO145" s="297"/>
      <c r="LP145" s="297"/>
      <c r="LQ145" s="297"/>
      <c r="LR145" s="297"/>
      <c r="LS145" s="297"/>
      <c r="LT145" s="297"/>
      <c r="LU145" s="297"/>
      <c r="LV145" s="297"/>
      <c r="LW145" s="297"/>
      <c r="LX145" s="297"/>
      <c r="LY145" s="297"/>
      <c r="LZ145" s="297"/>
      <c r="MA145" s="297"/>
      <c r="MB145" s="297"/>
      <c r="MC145" s="297"/>
      <c r="MD145" s="298"/>
      <c r="ME145" s="187"/>
      <c r="MF145" s="188"/>
      <c r="MG145" s="188"/>
      <c r="MH145" s="188"/>
      <c r="MI145" s="189"/>
      <c r="MN145" s="187"/>
      <c r="MO145" s="188"/>
      <c r="MP145" s="188"/>
      <c r="MQ145" s="188"/>
      <c r="MR145" s="188"/>
      <c r="MS145" s="188"/>
      <c r="MT145" s="188"/>
      <c r="MU145" s="188"/>
      <c r="MV145" s="188"/>
      <c r="MW145" s="188"/>
      <c r="MX145" s="188"/>
      <c r="MY145" s="188"/>
      <c r="MZ145" s="188"/>
      <c r="NA145" s="188"/>
      <c r="NB145" s="188"/>
      <c r="NC145" s="188"/>
      <c r="ND145" s="188"/>
      <c r="NE145" s="188"/>
      <c r="NF145" s="188"/>
      <c r="NG145" s="188"/>
      <c r="NH145" s="188"/>
      <c r="NI145" s="188"/>
      <c r="NJ145" s="188"/>
      <c r="NK145" s="188"/>
      <c r="NL145" s="188"/>
      <c r="NM145" s="188"/>
      <c r="NN145" s="188"/>
      <c r="NO145" s="188"/>
      <c r="NP145" s="188"/>
      <c r="NQ145" s="188"/>
      <c r="NR145" s="188"/>
      <c r="NS145" s="188"/>
      <c r="NT145" s="188"/>
      <c r="NU145" s="188"/>
      <c r="NV145" s="188"/>
      <c r="NW145" s="188"/>
      <c r="NX145" s="188"/>
      <c r="NY145" s="188"/>
      <c r="NZ145" s="188"/>
      <c r="OA145" s="189"/>
      <c r="OB145" s="187"/>
      <c r="OC145" s="188"/>
      <c r="OD145" s="188"/>
      <c r="OE145" s="188"/>
      <c r="OF145" s="189"/>
      <c r="OR145" s="187"/>
      <c r="OS145" s="188"/>
      <c r="OT145" s="188"/>
      <c r="OU145" s="188"/>
      <c r="OV145" s="188"/>
      <c r="OW145" s="188"/>
      <c r="OX145" s="188"/>
      <c r="OY145" s="188"/>
      <c r="OZ145" s="188"/>
      <c r="PA145" s="188"/>
      <c r="PB145" s="188"/>
      <c r="PC145" s="188"/>
      <c r="PD145" s="188"/>
      <c r="PE145" s="188"/>
      <c r="PF145" s="188"/>
      <c r="PG145" s="188"/>
      <c r="PH145" s="188"/>
      <c r="PI145" s="188"/>
      <c r="PJ145" s="188"/>
      <c r="PK145" s="188"/>
      <c r="PL145" s="188"/>
      <c r="PM145" s="188"/>
      <c r="PN145" s="188"/>
      <c r="PO145" s="188"/>
      <c r="PP145" s="188"/>
      <c r="PQ145" s="188"/>
      <c r="PR145" s="188"/>
      <c r="PS145" s="188"/>
      <c r="PT145" s="188"/>
      <c r="PU145" s="188"/>
      <c r="PV145" s="188"/>
      <c r="PW145" s="188"/>
      <c r="PX145" s="188"/>
      <c r="PY145" s="188"/>
      <c r="PZ145" s="188"/>
      <c r="QA145" s="188"/>
      <c r="QB145" s="188"/>
      <c r="QC145" s="188"/>
      <c r="QD145" s="188"/>
      <c r="QE145" s="188"/>
      <c r="QF145" s="187"/>
      <c r="QG145" s="188"/>
      <c r="QH145" s="188"/>
      <c r="QI145" s="188"/>
      <c r="QJ145" s="188"/>
      <c r="QK145" s="189"/>
      <c r="QL145" s="19"/>
      <c r="QQ145" s="12"/>
      <c r="QR145" s="7"/>
      <c r="QS145" s="3"/>
      <c r="QT145" s="3"/>
      <c r="QU145" s="3"/>
      <c r="QV145" s="3"/>
      <c r="QW145" s="2"/>
    </row>
    <row r="146" spans="3:465" ht="5.0999999999999996" customHeight="1" x14ac:dyDescent="0.3">
      <c r="C146" s="11"/>
      <c r="D146" s="13"/>
      <c r="G146" s="187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9"/>
      <c r="AV146" s="187"/>
      <c r="AW146" s="188"/>
      <c r="AX146" s="188"/>
      <c r="AY146" s="188"/>
      <c r="AZ146" s="189"/>
      <c r="KQ146" s="299"/>
      <c r="KR146" s="300"/>
      <c r="KS146" s="300"/>
      <c r="KT146" s="300"/>
      <c r="KU146" s="300"/>
      <c r="KV146" s="300"/>
      <c r="KW146" s="300"/>
      <c r="KX146" s="300"/>
      <c r="KY146" s="300"/>
      <c r="KZ146" s="300"/>
      <c r="LA146" s="300"/>
      <c r="LB146" s="300"/>
      <c r="LC146" s="300"/>
      <c r="LD146" s="300"/>
      <c r="LE146" s="300"/>
      <c r="LF146" s="300"/>
      <c r="LG146" s="300"/>
      <c r="LH146" s="300"/>
      <c r="LI146" s="300"/>
      <c r="LJ146" s="300"/>
      <c r="LK146" s="300"/>
      <c r="LL146" s="300"/>
      <c r="LM146" s="300"/>
      <c r="LN146" s="300"/>
      <c r="LO146" s="300"/>
      <c r="LP146" s="300"/>
      <c r="LQ146" s="300"/>
      <c r="LR146" s="300"/>
      <c r="LS146" s="300"/>
      <c r="LT146" s="300"/>
      <c r="LU146" s="300"/>
      <c r="LV146" s="300"/>
      <c r="LW146" s="300"/>
      <c r="LX146" s="300"/>
      <c r="LY146" s="300"/>
      <c r="LZ146" s="300"/>
      <c r="MA146" s="300"/>
      <c r="MB146" s="300"/>
      <c r="MC146" s="300"/>
      <c r="MD146" s="301"/>
      <c r="ME146" s="190"/>
      <c r="MF146" s="191"/>
      <c r="MG146" s="191"/>
      <c r="MH146" s="191"/>
      <c r="MI146" s="192"/>
      <c r="MN146" s="190"/>
      <c r="MO146" s="191"/>
      <c r="MP146" s="191"/>
      <c r="MQ146" s="191"/>
      <c r="MR146" s="191"/>
      <c r="MS146" s="191"/>
      <c r="MT146" s="191"/>
      <c r="MU146" s="191"/>
      <c r="MV146" s="191"/>
      <c r="MW146" s="191"/>
      <c r="MX146" s="191"/>
      <c r="MY146" s="191"/>
      <c r="MZ146" s="191"/>
      <c r="NA146" s="191"/>
      <c r="NB146" s="191"/>
      <c r="NC146" s="191"/>
      <c r="ND146" s="191"/>
      <c r="NE146" s="191"/>
      <c r="NF146" s="191"/>
      <c r="NG146" s="191"/>
      <c r="NH146" s="191"/>
      <c r="NI146" s="191"/>
      <c r="NJ146" s="191"/>
      <c r="NK146" s="191"/>
      <c r="NL146" s="191"/>
      <c r="NM146" s="191"/>
      <c r="NN146" s="191"/>
      <c r="NO146" s="191"/>
      <c r="NP146" s="191"/>
      <c r="NQ146" s="191"/>
      <c r="NR146" s="191"/>
      <c r="NS146" s="191"/>
      <c r="NT146" s="191"/>
      <c r="NU146" s="191"/>
      <c r="NV146" s="191"/>
      <c r="NW146" s="191"/>
      <c r="NX146" s="191"/>
      <c r="NY146" s="191"/>
      <c r="NZ146" s="191"/>
      <c r="OA146" s="192"/>
      <c r="OB146" s="190"/>
      <c r="OC146" s="191"/>
      <c r="OD146" s="191"/>
      <c r="OE146" s="191"/>
      <c r="OF146" s="192"/>
      <c r="OR146" s="187"/>
      <c r="OS146" s="188"/>
      <c r="OT146" s="188"/>
      <c r="OU146" s="188"/>
      <c r="OV146" s="188"/>
      <c r="OW146" s="188"/>
      <c r="OX146" s="188"/>
      <c r="OY146" s="188"/>
      <c r="OZ146" s="188"/>
      <c r="PA146" s="188"/>
      <c r="PB146" s="188"/>
      <c r="PC146" s="188"/>
      <c r="PD146" s="188"/>
      <c r="PE146" s="188"/>
      <c r="PF146" s="188"/>
      <c r="PG146" s="188"/>
      <c r="PH146" s="188"/>
      <c r="PI146" s="188"/>
      <c r="PJ146" s="188"/>
      <c r="PK146" s="188"/>
      <c r="PL146" s="188"/>
      <c r="PM146" s="188"/>
      <c r="PN146" s="188"/>
      <c r="PO146" s="188"/>
      <c r="PP146" s="188"/>
      <c r="PQ146" s="188"/>
      <c r="PR146" s="188"/>
      <c r="PS146" s="188"/>
      <c r="PT146" s="188"/>
      <c r="PU146" s="188"/>
      <c r="PV146" s="188"/>
      <c r="PW146" s="188"/>
      <c r="PX146" s="188"/>
      <c r="PY146" s="188"/>
      <c r="PZ146" s="188"/>
      <c r="QA146" s="188"/>
      <c r="QB146" s="188"/>
      <c r="QC146" s="188"/>
      <c r="QD146" s="188"/>
      <c r="QE146" s="188"/>
      <c r="QF146" s="187"/>
      <c r="QG146" s="188"/>
      <c r="QH146" s="188"/>
      <c r="QI146" s="188"/>
      <c r="QJ146" s="188"/>
      <c r="QK146" s="189"/>
      <c r="QL146" s="19"/>
      <c r="QQ146" s="12"/>
      <c r="QR146" s="7"/>
      <c r="QS146" s="3"/>
      <c r="QT146" s="3"/>
      <c r="QU146" s="3"/>
      <c r="QV146" s="3"/>
      <c r="QW146" s="2"/>
    </row>
    <row r="147" spans="3:465" ht="5.0999999999999996" customHeight="1" x14ac:dyDescent="0.3">
      <c r="C147" s="11"/>
      <c r="D147" s="13"/>
      <c r="G147" s="190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2"/>
      <c r="AV147" s="190"/>
      <c r="AW147" s="191"/>
      <c r="AX147" s="191"/>
      <c r="AY147" s="191"/>
      <c r="AZ147" s="192"/>
      <c r="KQ147" s="293" t="s">
        <v>189</v>
      </c>
      <c r="KR147" s="294"/>
      <c r="KS147" s="294"/>
      <c r="KT147" s="294"/>
      <c r="KU147" s="294"/>
      <c r="KV147" s="294"/>
      <c r="KW147" s="294"/>
      <c r="KX147" s="294"/>
      <c r="KY147" s="294"/>
      <c r="KZ147" s="294"/>
      <c r="LA147" s="294"/>
      <c r="LB147" s="294"/>
      <c r="LC147" s="294"/>
      <c r="LD147" s="294"/>
      <c r="LE147" s="294"/>
      <c r="LF147" s="294"/>
      <c r="LG147" s="294"/>
      <c r="LH147" s="294"/>
      <c r="LI147" s="294"/>
      <c r="LJ147" s="294"/>
      <c r="LK147" s="294"/>
      <c r="LL147" s="294"/>
      <c r="LM147" s="294"/>
      <c r="LN147" s="294"/>
      <c r="LO147" s="294"/>
      <c r="LP147" s="294"/>
      <c r="LQ147" s="294"/>
      <c r="LR147" s="294"/>
      <c r="LS147" s="294"/>
      <c r="LT147" s="294"/>
      <c r="LU147" s="294"/>
      <c r="LV147" s="294"/>
      <c r="LW147" s="294"/>
      <c r="LX147" s="294"/>
      <c r="LY147" s="294"/>
      <c r="LZ147" s="294"/>
      <c r="MA147" s="294"/>
      <c r="MB147" s="294"/>
      <c r="MC147" s="294"/>
      <c r="MD147" s="295"/>
      <c r="ME147" s="184">
        <v>2</v>
      </c>
      <c r="MF147" s="185"/>
      <c r="MG147" s="185"/>
      <c r="MH147" s="185"/>
      <c r="MI147" s="186"/>
      <c r="MN147" s="184" t="s">
        <v>37</v>
      </c>
      <c r="MO147" s="185"/>
      <c r="MP147" s="185"/>
      <c r="MQ147" s="185"/>
      <c r="MR147" s="185"/>
      <c r="MS147" s="185"/>
      <c r="MT147" s="185"/>
      <c r="MU147" s="185"/>
      <c r="MV147" s="185"/>
      <c r="MW147" s="185"/>
      <c r="MX147" s="185"/>
      <c r="MY147" s="185"/>
      <c r="MZ147" s="185"/>
      <c r="NA147" s="185"/>
      <c r="NB147" s="185"/>
      <c r="NC147" s="185"/>
      <c r="ND147" s="185"/>
      <c r="NE147" s="185"/>
      <c r="NF147" s="185"/>
      <c r="NG147" s="185"/>
      <c r="NH147" s="185"/>
      <c r="NI147" s="185"/>
      <c r="NJ147" s="185"/>
      <c r="NK147" s="185"/>
      <c r="NL147" s="185"/>
      <c r="NM147" s="185"/>
      <c r="NN147" s="185"/>
      <c r="NO147" s="185"/>
      <c r="NP147" s="185"/>
      <c r="NQ147" s="185"/>
      <c r="NR147" s="185"/>
      <c r="NS147" s="185"/>
      <c r="NT147" s="185"/>
      <c r="NU147" s="185"/>
      <c r="NV147" s="185"/>
      <c r="NW147" s="185"/>
      <c r="NX147" s="185"/>
      <c r="NY147" s="185"/>
      <c r="NZ147" s="185"/>
      <c r="OA147" s="186"/>
      <c r="OB147" s="184">
        <v>2</v>
      </c>
      <c r="OC147" s="185"/>
      <c r="OD147" s="185"/>
      <c r="OE147" s="185"/>
      <c r="OF147" s="186"/>
      <c r="OR147" s="187"/>
      <c r="OS147" s="188"/>
      <c r="OT147" s="188"/>
      <c r="OU147" s="188"/>
      <c r="OV147" s="188"/>
      <c r="OW147" s="188"/>
      <c r="OX147" s="188"/>
      <c r="OY147" s="188"/>
      <c r="OZ147" s="188"/>
      <c r="PA147" s="188"/>
      <c r="PB147" s="188"/>
      <c r="PC147" s="188"/>
      <c r="PD147" s="188"/>
      <c r="PE147" s="188"/>
      <c r="PF147" s="188"/>
      <c r="PG147" s="188"/>
      <c r="PH147" s="188"/>
      <c r="PI147" s="188"/>
      <c r="PJ147" s="188"/>
      <c r="PK147" s="188"/>
      <c r="PL147" s="188"/>
      <c r="PM147" s="188"/>
      <c r="PN147" s="188"/>
      <c r="PO147" s="188"/>
      <c r="PP147" s="188"/>
      <c r="PQ147" s="188"/>
      <c r="PR147" s="188"/>
      <c r="PS147" s="188"/>
      <c r="PT147" s="188"/>
      <c r="PU147" s="188"/>
      <c r="PV147" s="188"/>
      <c r="PW147" s="188"/>
      <c r="PX147" s="188"/>
      <c r="PY147" s="188"/>
      <c r="PZ147" s="188"/>
      <c r="QA147" s="188"/>
      <c r="QB147" s="188"/>
      <c r="QC147" s="188"/>
      <c r="QD147" s="188"/>
      <c r="QE147" s="188"/>
      <c r="QF147" s="187"/>
      <c r="QG147" s="188"/>
      <c r="QH147" s="188"/>
      <c r="QI147" s="188"/>
      <c r="QJ147" s="188"/>
      <c r="QK147" s="189"/>
      <c r="QL147" s="19"/>
      <c r="QQ147" s="12"/>
      <c r="QR147" s="7"/>
      <c r="QS147" s="3"/>
      <c r="QT147" s="3"/>
      <c r="QU147" s="3"/>
      <c r="QV147" s="3"/>
      <c r="QW147" s="2"/>
    </row>
    <row r="148" spans="3:465" ht="5.0999999999999996" customHeight="1" x14ac:dyDescent="0.3">
      <c r="C148" s="11"/>
      <c r="D148" s="13"/>
      <c r="G148" s="184" t="s">
        <v>41</v>
      </c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6"/>
      <c r="AV148" s="184">
        <v>2</v>
      </c>
      <c r="AW148" s="185"/>
      <c r="AX148" s="185"/>
      <c r="AY148" s="185"/>
      <c r="AZ148" s="186"/>
      <c r="KQ148" s="296"/>
      <c r="KR148" s="297"/>
      <c r="KS148" s="297"/>
      <c r="KT148" s="297"/>
      <c r="KU148" s="297"/>
      <c r="KV148" s="297"/>
      <c r="KW148" s="297"/>
      <c r="KX148" s="297"/>
      <c r="KY148" s="297"/>
      <c r="KZ148" s="297"/>
      <c r="LA148" s="297"/>
      <c r="LB148" s="297"/>
      <c r="LC148" s="297"/>
      <c r="LD148" s="297"/>
      <c r="LE148" s="297"/>
      <c r="LF148" s="297"/>
      <c r="LG148" s="297"/>
      <c r="LH148" s="297"/>
      <c r="LI148" s="297"/>
      <c r="LJ148" s="297"/>
      <c r="LK148" s="297"/>
      <c r="LL148" s="297"/>
      <c r="LM148" s="297"/>
      <c r="LN148" s="297"/>
      <c r="LO148" s="297"/>
      <c r="LP148" s="297"/>
      <c r="LQ148" s="297"/>
      <c r="LR148" s="297"/>
      <c r="LS148" s="297"/>
      <c r="LT148" s="297"/>
      <c r="LU148" s="297"/>
      <c r="LV148" s="297"/>
      <c r="LW148" s="297"/>
      <c r="LX148" s="297"/>
      <c r="LY148" s="297"/>
      <c r="LZ148" s="297"/>
      <c r="MA148" s="297"/>
      <c r="MB148" s="297"/>
      <c r="MC148" s="297"/>
      <c r="MD148" s="298"/>
      <c r="ME148" s="187"/>
      <c r="MF148" s="188"/>
      <c r="MG148" s="188"/>
      <c r="MH148" s="188"/>
      <c r="MI148" s="189"/>
      <c r="MN148" s="187"/>
      <c r="MO148" s="188"/>
      <c r="MP148" s="188"/>
      <c r="MQ148" s="188"/>
      <c r="MR148" s="188"/>
      <c r="MS148" s="188"/>
      <c r="MT148" s="188"/>
      <c r="MU148" s="188"/>
      <c r="MV148" s="188"/>
      <c r="MW148" s="188"/>
      <c r="MX148" s="188"/>
      <c r="MY148" s="188"/>
      <c r="MZ148" s="188"/>
      <c r="NA148" s="188"/>
      <c r="NB148" s="188"/>
      <c r="NC148" s="188"/>
      <c r="ND148" s="188"/>
      <c r="NE148" s="188"/>
      <c r="NF148" s="188"/>
      <c r="NG148" s="188"/>
      <c r="NH148" s="188"/>
      <c r="NI148" s="188"/>
      <c r="NJ148" s="188"/>
      <c r="NK148" s="188"/>
      <c r="NL148" s="188"/>
      <c r="NM148" s="188"/>
      <c r="NN148" s="188"/>
      <c r="NO148" s="188"/>
      <c r="NP148" s="188"/>
      <c r="NQ148" s="188"/>
      <c r="NR148" s="188"/>
      <c r="NS148" s="188"/>
      <c r="NT148" s="188"/>
      <c r="NU148" s="188"/>
      <c r="NV148" s="188"/>
      <c r="NW148" s="188"/>
      <c r="NX148" s="188"/>
      <c r="NY148" s="188"/>
      <c r="NZ148" s="188"/>
      <c r="OA148" s="189"/>
      <c r="OB148" s="187"/>
      <c r="OC148" s="188"/>
      <c r="OD148" s="188"/>
      <c r="OE148" s="188"/>
      <c r="OF148" s="189"/>
      <c r="OR148" s="187"/>
      <c r="OS148" s="188"/>
      <c r="OT148" s="188"/>
      <c r="OU148" s="188"/>
      <c r="OV148" s="188"/>
      <c r="OW148" s="188"/>
      <c r="OX148" s="188"/>
      <c r="OY148" s="188"/>
      <c r="OZ148" s="188"/>
      <c r="PA148" s="188"/>
      <c r="PB148" s="188"/>
      <c r="PC148" s="188"/>
      <c r="PD148" s="188"/>
      <c r="PE148" s="188"/>
      <c r="PF148" s="188"/>
      <c r="PG148" s="188"/>
      <c r="PH148" s="188"/>
      <c r="PI148" s="188"/>
      <c r="PJ148" s="188"/>
      <c r="PK148" s="188"/>
      <c r="PL148" s="188"/>
      <c r="PM148" s="188"/>
      <c r="PN148" s="188"/>
      <c r="PO148" s="188"/>
      <c r="PP148" s="188"/>
      <c r="PQ148" s="188"/>
      <c r="PR148" s="188"/>
      <c r="PS148" s="188"/>
      <c r="PT148" s="188"/>
      <c r="PU148" s="188"/>
      <c r="PV148" s="188"/>
      <c r="PW148" s="188"/>
      <c r="PX148" s="188"/>
      <c r="PY148" s="188"/>
      <c r="PZ148" s="188"/>
      <c r="QA148" s="188"/>
      <c r="QB148" s="188"/>
      <c r="QC148" s="188"/>
      <c r="QD148" s="188"/>
      <c r="QE148" s="188"/>
      <c r="QF148" s="187"/>
      <c r="QG148" s="188"/>
      <c r="QH148" s="188"/>
      <c r="QI148" s="188"/>
      <c r="QJ148" s="188"/>
      <c r="QK148" s="189"/>
      <c r="QL148" s="19"/>
      <c r="QQ148" s="12"/>
      <c r="QR148" s="7"/>
      <c r="QS148" s="3"/>
      <c r="QT148" s="3"/>
      <c r="QU148" s="3"/>
      <c r="QV148" s="3"/>
      <c r="QW148" s="2"/>
    </row>
    <row r="149" spans="3:465" ht="5.0999999999999996" customHeight="1" x14ac:dyDescent="0.3">
      <c r="C149" s="11"/>
      <c r="D149" s="13"/>
      <c r="G149" s="187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9"/>
      <c r="AV149" s="187"/>
      <c r="AW149" s="188"/>
      <c r="AX149" s="188"/>
      <c r="AY149" s="188"/>
      <c r="AZ149" s="189"/>
      <c r="KQ149" s="296"/>
      <c r="KR149" s="297"/>
      <c r="KS149" s="297"/>
      <c r="KT149" s="297"/>
      <c r="KU149" s="297"/>
      <c r="KV149" s="297"/>
      <c r="KW149" s="297"/>
      <c r="KX149" s="297"/>
      <c r="KY149" s="297"/>
      <c r="KZ149" s="297"/>
      <c r="LA149" s="297"/>
      <c r="LB149" s="297"/>
      <c r="LC149" s="297"/>
      <c r="LD149" s="297"/>
      <c r="LE149" s="297"/>
      <c r="LF149" s="297"/>
      <c r="LG149" s="297"/>
      <c r="LH149" s="297"/>
      <c r="LI149" s="297"/>
      <c r="LJ149" s="297"/>
      <c r="LK149" s="297"/>
      <c r="LL149" s="297"/>
      <c r="LM149" s="297"/>
      <c r="LN149" s="297"/>
      <c r="LO149" s="297"/>
      <c r="LP149" s="297"/>
      <c r="LQ149" s="297"/>
      <c r="LR149" s="297"/>
      <c r="LS149" s="297"/>
      <c r="LT149" s="297"/>
      <c r="LU149" s="297"/>
      <c r="LV149" s="297"/>
      <c r="LW149" s="297"/>
      <c r="LX149" s="297"/>
      <c r="LY149" s="297"/>
      <c r="LZ149" s="297"/>
      <c r="MA149" s="297"/>
      <c r="MB149" s="297"/>
      <c r="MC149" s="297"/>
      <c r="MD149" s="298"/>
      <c r="ME149" s="187"/>
      <c r="MF149" s="188"/>
      <c r="MG149" s="188"/>
      <c r="MH149" s="188"/>
      <c r="MI149" s="189"/>
      <c r="MN149" s="187"/>
      <c r="MO149" s="188"/>
      <c r="MP149" s="188"/>
      <c r="MQ149" s="188"/>
      <c r="MR149" s="188"/>
      <c r="MS149" s="188"/>
      <c r="MT149" s="188"/>
      <c r="MU149" s="188"/>
      <c r="MV149" s="188"/>
      <c r="MW149" s="188"/>
      <c r="MX149" s="188"/>
      <c r="MY149" s="188"/>
      <c r="MZ149" s="188"/>
      <c r="NA149" s="188"/>
      <c r="NB149" s="188"/>
      <c r="NC149" s="188"/>
      <c r="ND149" s="188"/>
      <c r="NE149" s="188"/>
      <c r="NF149" s="188"/>
      <c r="NG149" s="188"/>
      <c r="NH149" s="188"/>
      <c r="NI149" s="188"/>
      <c r="NJ149" s="188"/>
      <c r="NK149" s="188"/>
      <c r="NL149" s="188"/>
      <c r="NM149" s="188"/>
      <c r="NN149" s="188"/>
      <c r="NO149" s="188"/>
      <c r="NP149" s="188"/>
      <c r="NQ149" s="188"/>
      <c r="NR149" s="188"/>
      <c r="NS149" s="188"/>
      <c r="NT149" s="188"/>
      <c r="NU149" s="188"/>
      <c r="NV149" s="188"/>
      <c r="NW149" s="188"/>
      <c r="NX149" s="188"/>
      <c r="NY149" s="188"/>
      <c r="NZ149" s="188"/>
      <c r="OA149" s="189"/>
      <c r="OB149" s="187"/>
      <c r="OC149" s="188"/>
      <c r="OD149" s="188"/>
      <c r="OE149" s="188"/>
      <c r="OF149" s="189"/>
      <c r="OR149" s="187"/>
      <c r="OS149" s="188"/>
      <c r="OT149" s="188"/>
      <c r="OU149" s="188"/>
      <c r="OV149" s="188"/>
      <c r="OW149" s="188"/>
      <c r="OX149" s="188"/>
      <c r="OY149" s="188"/>
      <c r="OZ149" s="188"/>
      <c r="PA149" s="188"/>
      <c r="PB149" s="188"/>
      <c r="PC149" s="188"/>
      <c r="PD149" s="188"/>
      <c r="PE149" s="188"/>
      <c r="PF149" s="188"/>
      <c r="PG149" s="188"/>
      <c r="PH149" s="188"/>
      <c r="PI149" s="188"/>
      <c r="PJ149" s="188"/>
      <c r="PK149" s="188"/>
      <c r="PL149" s="188"/>
      <c r="PM149" s="188"/>
      <c r="PN149" s="188"/>
      <c r="PO149" s="188"/>
      <c r="PP149" s="188"/>
      <c r="PQ149" s="188"/>
      <c r="PR149" s="188"/>
      <c r="PS149" s="188"/>
      <c r="PT149" s="188"/>
      <c r="PU149" s="188"/>
      <c r="PV149" s="188"/>
      <c r="PW149" s="188"/>
      <c r="PX149" s="188"/>
      <c r="PY149" s="188"/>
      <c r="PZ149" s="188"/>
      <c r="QA149" s="188"/>
      <c r="QB149" s="188"/>
      <c r="QC149" s="188"/>
      <c r="QD149" s="188"/>
      <c r="QE149" s="188"/>
      <c r="QF149" s="187"/>
      <c r="QG149" s="188"/>
      <c r="QH149" s="188"/>
      <c r="QI149" s="188"/>
      <c r="QJ149" s="188"/>
      <c r="QK149" s="189"/>
      <c r="QL149" s="19"/>
      <c r="QQ149" s="12"/>
      <c r="QR149" s="7"/>
      <c r="QS149" s="3"/>
      <c r="QT149" s="3"/>
      <c r="QU149" s="3"/>
      <c r="QV149" s="3"/>
      <c r="QW149" s="2"/>
    </row>
    <row r="150" spans="3:465" ht="5.0999999999999996" customHeight="1" x14ac:dyDescent="0.3">
      <c r="C150" s="11"/>
      <c r="D150" s="13"/>
      <c r="G150" s="187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9"/>
      <c r="AV150" s="187"/>
      <c r="AW150" s="188"/>
      <c r="AX150" s="188"/>
      <c r="AY150" s="188"/>
      <c r="AZ150" s="189"/>
      <c r="KQ150" s="296"/>
      <c r="KR150" s="297"/>
      <c r="KS150" s="297"/>
      <c r="KT150" s="297"/>
      <c r="KU150" s="297"/>
      <c r="KV150" s="297"/>
      <c r="KW150" s="297"/>
      <c r="KX150" s="297"/>
      <c r="KY150" s="297"/>
      <c r="KZ150" s="297"/>
      <c r="LA150" s="297"/>
      <c r="LB150" s="297"/>
      <c r="LC150" s="297"/>
      <c r="LD150" s="297"/>
      <c r="LE150" s="297"/>
      <c r="LF150" s="297"/>
      <c r="LG150" s="297"/>
      <c r="LH150" s="297"/>
      <c r="LI150" s="297"/>
      <c r="LJ150" s="297"/>
      <c r="LK150" s="297"/>
      <c r="LL150" s="297"/>
      <c r="LM150" s="297"/>
      <c r="LN150" s="297"/>
      <c r="LO150" s="297"/>
      <c r="LP150" s="297"/>
      <c r="LQ150" s="297"/>
      <c r="LR150" s="297"/>
      <c r="LS150" s="297"/>
      <c r="LT150" s="297"/>
      <c r="LU150" s="297"/>
      <c r="LV150" s="297"/>
      <c r="LW150" s="297"/>
      <c r="LX150" s="297"/>
      <c r="LY150" s="297"/>
      <c r="LZ150" s="297"/>
      <c r="MA150" s="297"/>
      <c r="MB150" s="297"/>
      <c r="MC150" s="297"/>
      <c r="MD150" s="298"/>
      <c r="ME150" s="187"/>
      <c r="MF150" s="188"/>
      <c r="MG150" s="188"/>
      <c r="MH150" s="188"/>
      <c r="MI150" s="189"/>
      <c r="MN150" s="187"/>
      <c r="MO150" s="188"/>
      <c r="MP150" s="188"/>
      <c r="MQ150" s="188"/>
      <c r="MR150" s="188"/>
      <c r="MS150" s="188"/>
      <c r="MT150" s="188"/>
      <c r="MU150" s="188"/>
      <c r="MV150" s="188"/>
      <c r="MW150" s="188"/>
      <c r="MX150" s="188"/>
      <c r="MY150" s="188"/>
      <c r="MZ150" s="188"/>
      <c r="NA150" s="188"/>
      <c r="NB150" s="188"/>
      <c r="NC150" s="188"/>
      <c r="ND150" s="188"/>
      <c r="NE150" s="188"/>
      <c r="NF150" s="188"/>
      <c r="NG150" s="188"/>
      <c r="NH150" s="188"/>
      <c r="NI150" s="188"/>
      <c r="NJ150" s="188"/>
      <c r="NK150" s="188"/>
      <c r="NL150" s="188"/>
      <c r="NM150" s="188"/>
      <c r="NN150" s="188"/>
      <c r="NO150" s="188"/>
      <c r="NP150" s="188"/>
      <c r="NQ150" s="188"/>
      <c r="NR150" s="188"/>
      <c r="NS150" s="188"/>
      <c r="NT150" s="188"/>
      <c r="NU150" s="188"/>
      <c r="NV150" s="188"/>
      <c r="NW150" s="188"/>
      <c r="NX150" s="188"/>
      <c r="NY150" s="188"/>
      <c r="NZ150" s="188"/>
      <c r="OA150" s="189"/>
      <c r="OB150" s="187"/>
      <c r="OC150" s="188"/>
      <c r="OD150" s="188"/>
      <c r="OE150" s="188"/>
      <c r="OF150" s="189"/>
      <c r="OR150" s="187"/>
      <c r="OS150" s="188"/>
      <c r="OT150" s="188"/>
      <c r="OU150" s="188"/>
      <c r="OV150" s="188"/>
      <c r="OW150" s="188"/>
      <c r="OX150" s="188"/>
      <c r="OY150" s="188"/>
      <c r="OZ150" s="188"/>
      <c r="PA150" s="188"/>
      <c r="PB150" s="188"/>
      <c r="PC150" s="188"/>
      <c r="PD150" s="188"/>
      <c r="PE150" s="188"/>
      <c r="PF150" s="188"/>
      <c r="PG150" s="188"/>
      <c r="PH150" s="188"/>
      <c r="PI150" s="188"/>
      <c r="PJ150" s="188"/>
      <c r="PK150" s="188"/>
      <c r="PL150" s="188"/>
      <c r="PM150" s="188"/>
      <c r="PN150" s="188"/>
      <c r="PO150" s="188"/>
      <c r="PP150" s="188"/>
      <c r="PQ150" s="188"/>
      <c r="PR150" s="188"/>
      <c r="PS150" s="188"/>
      <c r="PT150" s="188"/>
      <c r="PU150" s="188"/>
      <c r="PV150" s="188"/>
      <c r="PW150" s="188"/>
      <c r="PX150" s="188"/>
      <c r="PY150" s="188"/>
      <c r="PZ150" s="188"/>
      <c r="QA150" s="188"/>
      <c r="QB150" s="188"/>
      <c r="QC150" s="188"/>
      <c r="QD150" s="188"/>
      <c r="QE150" s="188"/>
      <c r="QF150" s="187"/>
      <c r="QG150" s="188"/>
      <c r="QH150" s="188"/>
      <c r="QI150" s="188"/>
      <c r="QJ150" s="188"/>
      <c r="QK150" s="189"/>
      <c r="QL150" s="19"/>
      <c r="QQ150" s="12"/>
      <c r="QR150" s="7"/>
      <c r="QS150" s="3"/>
      <c r="QT150" s="3"/>
      <c r="QU150" s="3"/>
      <c r="QV150" s="3"/>
      <c r="QW150" s="2"/>
    </row>
    <row r="151" spans="3:465" ht="5.0999999999999996" customHeight="1" x14ac:dyDescent="0.3">
      <c r="C151" s="11"/>
      <c r="D151" s="13"/>
      <c r="G151" s="187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9"/>
      <c r="AV151" s="187"/>
      <c r="AW151" s="188"/>
      <c r="AX151" s="188"/>
      <c r="AY151" s="188"/>
      <c r="AZ151" s="189"/>
      <c r="KQ151" s="296"/>
      <c r="KR151" s="297"/>
      <c r="KS151" s="297"/>
      <c r="KT151" s="297"/>
      <c r="KU151" s="297"/>
      <c r="KV151" s="297"/>
      <c r="KW151" s="297"/>
      <c r="KX151" s="297"/>
      <c r="KY151" s="297"/>
      <c r="KZ151" s="297"/>
      <c r="LA151" s="297"/>
      <c r="LB151" s="297"/>
      <c r="LC151" s="297"/>
      <c r="LD151" s="297"/>
      <c r="LE151" s="297"/>
      <c r="LF151" s="297"/>
      <c r="LG151" s="297"/>
      <c r="LH151" s="297"/>
      <c r="LI151" s="297"/>
      <c r="LJ151" s="297"/>
      <c r="LK151" s="297"/>
      <c r="LL151" s="297"/>
      <c r="LM151" s="297"/>
      <c r="LN151" s="297"/>
      <c r="LO151" s="297"/>
      <c r="LP151" s="297"/>
      <c r="LQ151" s="297"/>
      <c r="LR151" s="297"/>
      <c r="LS151" s="297"/>
      <c r="LT151" s="297"/>
      <c r="LU151" s="297"/>
      <c r="LV151" s="297"/>
      <c r="LW151" s="297"/>
      <c r="LX151" s="297"/>
      <c r="LY151" s="297"/>
      <c r="LZ151" s="297"/>
      <c r="MA151" s="297"/>
      <c r="MB151" s="297"/>
      <c r="MC151" s="297"/>
      <c r="MD151" s="298"/>
      <c r="ME151" s="187"/>
      <c r="MF151" s="188"/>
      <c r="MG151" s="188"/>
      <c r="MH151" s="188"/>
      <c r="MI151" s="189"/>
      <c r="MN151" s="187"/>
      <c r="MO151" s="188"/>
      <c r="MP151" s="188"/>
      <c r="MQ151" s="188"/>
      <c r="MR151" s="188"/>
      <c r="MS151" s="188"/>
      <c r="MT151" s="188"/>
      <c r="MU151" s="188"/>
      <c r="MV151" s="188"/>
      <c r="MW151" s="188"/>
      <c r="MX151" s="188"/>
      <c r="MY151" s="188"/>
      <c r="MZ151" s="188"/>
      <c r="NA151" s="188"/>
      <c r="NB151" s="188"/>
      <c r="NC151" s="188"/>
      <c r="ND151" s="188"/>
      <c r="NE151" s="188"/>
      <c r="NF151" s="188"/>
      <c r="NG151" s="188"/>
      <c r="NH151" s="188"/>
      <c r="NI151" s="188"/>
      <c r="NJ151" s="188"/>
      <c r="NK151" s="188"/>
      <c r="NL151" s="188"/>
      <c r="NM151" s="188"/>
      <c r="NN151" s="188"/>
      <c r="NO151" s="188"/>
      <c r="NP151" s="188"/>
      <c r="NQ151" s="188"/>
      <c r="NR151" s="188"/>
      <c r="NS151" s="188"/>
      <c r="NT151" s="188"/>
      <c r="NU151" s="188"/>
      <c r="NV151" s="188"/>
      <c r="NW151" s="188"/>
      <c r="NX151" s="188"/>
      <c r="NY151" s="188"/>
      <c r="NZ151" s="188"/>
      <c r="OA151" s="189"/>
      <c r="OB151" s="187"/>
      <c r="OC151" s="188"/>
      <c r="OD151" s="188"/>
      <c r="OE151" s="188"/>
      <c r="OF151" s="189"/>
      <c r="OR151" s="190"/>
      <c r="OS151" s="191"/>
      <c r="OT151" s="191"/>
      <c r="OU151" s="191"/>
      <c r="OV151" s="191"/>
      <c r="OW151" s="191"/>
      <c r="OX151" s="191"/>
      <c r="OY151" s="191"/>
      <c r="OZ151" s="191"/>
      <c r="PA151" s="191"/>
      <c r="PB151" s="191"/>
      <c r="PC151" s="191"/>
      <c r="PD151" s="191"/>
      <c r="PE151" s="191"/>
      <c r="PF151" s="191"/>
      <c r="PG151" s="191"/>
      <c r="PH151" s="191"/>
      <c r="PI151" s="191"/>
      <c r="PJ151" s="191"/>
      <c r="PK151" s="191"/>
      <c r="PL151" s="191"/>
      <c r="PM151" s="191"/>
      <c r="PN151" s="191"/>
      <c r="PO151" s="191"/>
      <c r="PP151" s="191"/>
      <c r="PQ151" s="191"/>
      <c r="PR151" s="191"/>
      <c r="PS151" s="191"/>
      <c r="PT151" s="191"/>
      <c r="PU151" s="191"/>
      <c r="PV151" s="191"/>
      <c r="PW151" s="191"/>
      <c r="PX151" s="191"/>
      <c r="PY151" s="191"/>
      <c r="PZ151" s="191"/>
      <c r="QA151" s="191"/>
      <c r="QB151" s="191"/>
      <c r="QC151" s="191"/>
      <c r="QD151" s="191"/>
      <c r="QE151" s="191"/>
      <c r="QF151" s="190"/>
      <c r="QG151" s="191"/>
      <c r="QH151" s="191"/>
      <c r="QI151" s="191"/>
      <c r="QJ151" s="191"/>
      <c r="QK151" s="192"/>
      <c r="QL151" s="19"/>
      <c r="QQ151" s="12"/>
      <c r="QR151" s="7"/>
      <c r="QS151" s="3"/>
      <c r="QT151" s="3"/>
      <c r="QU151" s="3"/>
      <c r="QV151" s="3"/>
      <c r="QW151" s="2"/>
    </row>
    <row r="152" spans="3:465" ht="5.0999999999999996" customHeight="1" x14ac:dyDescent="0.3">
      <c r="C152" s="11"/>
      <c r="D152" s="13"/>
      <c r="G152" s="187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9"/>
      <c r="AV152" s="187"/>
      <c r="AW152" s="188"/>
      <c r="AX152" s="188"/>
      <c r="AY152" s="188"/>
      <c r="AZ152" s="189"/>
      <c r="KQ152" s="296"/>
      <c r="KR152" s="297"/>
      <c r="KS152" s="297"/>
      <c r="KT152" s="297"/>
      <c r="KU152" s="297"/>
      <c r="KV152" s="297"/>
      <c r="KW152" s="297"/>
      <c r="KX152" s="297"/>
      <c r="KY152" s="297"/>
      <c r="KZ152" s="297"/>
      <c r="LA152" s="297"/>
      <c r="LB152" s="297"/>
      <c r="LC152" s="297"/>
      <c r="LD152" s="297"/>
      <c r="LE152" s="297"/>
      <c r="LF152" s="297"/>
      <c r="LG152" s="297"/>
      <c r="LH152" s="297"/>
      <c r="LI152" s="297"/>
      <c r="LJ152" s="297"/>
      <c r="LK152" s="297"/>
      <c r="LL152" s="297"/>
      <c r="LM152" s="297"/>
      <c r="LN152" s="297"/>
      <c r="LO152" s="297"/>
      <c r="LP152" s="297"/>
      <c r="LQ152" s="297"/>
      <c r="LR152" s="297"/>
      <c r="LS152" s="297"/>
      <c r="LT152" s="297"/>
      <c r="LU152" s="297"/>
      <c r="LV152" s="297"/>
      <c r="LW152" s="297"/>
      <c r="LX152" s="297"/>
      <c r="LY152" s="297"/>
      <c r="LZ152" s="297"/>
      <c r="MA152" s="297"/>
      <c r="MB152" s="297"/>
      <c r="MC152" s="297"/>
      <c r="MD152" s="298"/>
      <c r="ME152" s="187"/>
      <c r="MF152" s="188"/>
      <c r="MG152" s="188"/>
      <c r="MH152" s="188"/>
      <c r="MI152" s="189"/>
      <c r="MN152" s="187"/>
      <c r="MO152" s="188"/>
      <c r="MP152" s="188"/>
      <c r="MQ152" s="188"/>
      <c r="MR152" s="188"/>
      <c r="MS152" s="188"/>
      <c r="MT152" s="188"/>
      <c r="MU152" s="188"/>
      <c r="MV152" s="188"/>
      <c r="MW152" s="188"/>
      <c r="MX152" s="188"/>
      <c r="MY152" s="188"/>
      <c r="MZ152" s="188"/>
      <c r="NA152" s="188"/>
      <c r="NB152" s="188"/>
      <c r="NC152" s="188"/>
      <c r="ND152" s="188"/>
      <c r="NE152" s="188"/>
      <c r="NF152" s="188"/>
      <c r="NG152" s="188"/>
      <c r="NH152" s="188"/>
      <c r="NI152" s="188"/>
      <c r="NJ152" s="188"/>
      <c r="NK152" s="188"/>
      <c r="NL152" s="188"/>
      <c r="NM152" s="188"/>
      <c r="NN152" s="188"/>
      <c r="NO152" s="188"/>
      <c r="NP152" s="188"/>
      <c r="NQ152" s="188"/>
      <c r="NR152" s="188"/>
      <c r="NS152" s="188"/>
      <c r="NT152" s="188"/>
      <c r="NU152" s="188"/>
      <c r="NV152" s="188"/>
      <c r="NW152" s="188"/>
      <c r="NX152" s="188"/>
      <c r="NY152" s="188"/>
      <c r="NZ152" s="188"/>
      <c r="OA152" s="189"/>
      <c r="OB152" s="187"/>
      <c r="OC152" s="188"/>
      <c r="OD152" s="188"/>
      <c r="OE152" s="188"/>
      <c r="OF152" s="189"/>
      <c r="QL152" s="19"/>
      <c r="QQ152" s="12"/>
      <c r="QR152" s="7"/>
      <c r="QS152" s="3"/>
      <c r="QT152" s="3"/>
      <c r="QU152" s="3"/>
      <c r="QV152" s="3"/>
      <c r="QW152" s="2"/>
    </row>
    <row r="153" spans="3:465" ht="5.0999999999999996" customHeight="1" x14ac:dyDescent="0.3">
      <c r="C153" s="11"/>
      <c r="D153" s="13"/>
      <c r="G153" s="187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9"/>
      <c r="AV153" s="187"/>
      <c r="AW153" s="188"/>
      <c r="AX153" s="188"/>
      <c r="AY153" s="188"/>
      <c r="AZ153" s="189"/>
      <c r="KQ153" s="296"/>
      <c r="KR153" s="297"/>
      <c r="KS153" s="297"/>
      <c r="KT153" s="297"/>
      <c r="KU153" s="297"/>
      <c r="KV153" s="297"/>
      <c r="KW153" s="297"/>
      <c r="KX153" s="297"/>
      <c r="KY153" s="297"/>
      <c r="KZ153" s="297"/>
      <c r="LA153" s="297"/>
      <c r="LB153" s="297"/>
      <c r="LC153" s="297"/>
      <c r="LD153" s="297"/>
      <c r="LE153" s="297"/>
      <c r="LF153" s="297"/>
      <c r="LG153" s="297"/>
      <c r="LH153" s="297"/>
      <c r="LI153" s="297"/>
      <c r="LJ153" s="297"/>
      <c r="LK153" s="297"/>
      <c r="LL153" s="297"/>
      <c r="LM153" s="297"/>
      <c r="LN153" s="297"/>
      <c r="LO153" s="297"/>
      <c r="LP153" s="297"/>
      <c r="LQ153" s="297"/>
      <c r="LR153" s="297"/>
      <c r="LS153" s="297"/>
      <c r="LT153" s="297"/>
      <c r="LU153" s="297"/>
      <c r="LV153" s="297"/>
      <c r="LW153" s="297"/>
      <c r="LX153" s="297"/>
      <c r="LY153" s="297"/>
      <c r="LZ153" s="297"/>
      <c r="MA153" s="297"/>
      <c r="MB153" s="297"/>
      <c r="MC153" s="297"/>
      <c r="MD153" s="298"/>
      <c r="ME153" s="187"/>
      <c r="MF153" s="188"/>
      <c r="MG153" s="188"/>
      <c r="MH153" s="188"/>
      <c r="MI153" s="189"/>
      <c r="MN153" s="187"/>
      <c r="MO153" s="188"/>
      <c r="MP153" s="188"/>
      <c r="MQ153" s="188"/>
      <c r="MR153" s="188"/>
      <c r="MS153" s="188"/>
      <c r="MT153" s="188"/>
      <c r="MU153" s="188"/>
      <c r="MV153" s="188"/>
      <c r="MW153" s="188"/>
      <c r="MX153" s="188"/>
      <c r="MY153" s="188"/>
      <c r="MZ153" s="188"/>
      <c r="NA153" s="188"/>
      <c r="NB153" s="188"/>
      <c r="NC153" s="188"/>
      <c r="ND153" s="188"/>
      <c r="NE153" s="188"/>
      <c r="NF153" s="188"/>
      <c r="NG153" s="188"/>
      <c r="NH153" s="188"/>
      <c r="NI153" s="188"/>
      <c r="NJ153" s="188"/>
      <c r="NK153" s="188"/>
      <c r="NL153" s="188"/>
      <c r="NM153" s="188"/>
      <c r="NN153" s="188"/>
      <c r="NO153" s="188"/>
      <c r="NP153" s="188"/>
      <c r="NQ153" s="188"/>
      <c r="NR153" s="188"/>
      <c r="NS153" s="188"/>
      <c r="NT153" s="188"/>
      <c r="NU153" s="188"/>
      <c r="NV153" s="188"/>
      <c r="NW153" s="188"/>
      <c r="NX153" s="188"/>
      <c r="NY153" s="188"/>
      <c r="NZ153" s="188"/>
      <c r="OA153" s="189"/>
      <c r="OB153" s="187"/>
      <c r="OC153" s="188"/>
      <c r="OD153" s="188"/>
      <c r="OE153" s="188"/>
      <c r="OF153" s="189"/>
      <c r="QL153" s="19"/>
      <c r="QQ153" s="12"/>
      <c r="QR153" s="7"/>
      <c r="QS153" s="3"/>
      <c r="QT153" s="3"/>
      <c r="QU153" s="3"/>
      <c r="QV153" s="3"/>
      <c r="QW153" s="2"/>
    </row>
    <row r="154" spans="3:465" ht="5.0999999999999996" customHeight="1" x14ac:dyDescent="0.3">
      <c r="C154" s="11"/>
      <c r="D154" s="13"/>
      <c r="G154" s="187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9"/>
      <c r="AV154" s="187"/>
      <c r="AW154" s="188"/>
      <c r="AX154" s="188"/>
      <c r="AY154" s="188"/>
      <c r="AZ154" s="189"/>
      <c r="KQ154" s="296"/>
      <c r="KR154" s="297"/>
      <c r="KS154" s="297"/>
      <c r="KT154" s="297"/>
      <c r="KU154" s="297"/>
      <c r="KV154" s="297"/>
      <c r="KW154" s="297"/>
      <c r="KX154" s="297"/>
      <c r="KY154" s="297"/>
      <c r="KZ154" s="297"/>
      <c r="LA154" s="297"/>
      <c r="LB154" s="297"/>
      <c r="LC154" s="297"/>
      <c r="LD154" s="297"/>
      <c r="LE154" s="297"/>
      <c r="LF154" s="297"/>
      <c r="LG154" s="297"/>
      <c r="LH154" s="297"/>
      <c r="LI154" s="297"/>
      <c r="LJ154" s="297"/>
      <c r="LK154" s="297"/>
      <c r="LL154" s="297"/>
      <c r="LM154" s="297"/>
      <c r="LN154" s="297"/>
      <c r="LO154" s="297"/>
      <c r="LP154" s="297"/>
      <c r="LQ154" s="297"/>
      <c r="LR154" s="297"/>
      <c r="LS154" s="297"/>
      <c r="LT154" s="297"/>
      <c r="LU154" s="297"/>
      <c r="LV154" s="297"/>
      <c r="LW154" s="297"/>
      <c r="LX154" s="297"/>
      <c r="LY154" s="297"/>
      <c r="LZ154" s="297"/>
      <c r="MA154" s="297"/>
      <c r="MB154" s="297"/>
      <c r="MC154" s="297"/>
      <c r="MD154" s="298"/>
      <c r="ME154" s="187"/>
      <c r="MF154" s="188"/>
      <c r="MG154" s="188"/>
      <c r="MH154" s="188"/>
      <c r="MI154" s="189"/>
      <c r="MN154" s="187"/>
      <c r="MO154" s="188"/>
      <c r="MP154" s="188"/>
      <c r="MQ154" s="188"/>
      <c r="MR154" s="188"/>
      <c r="MS154" s="188"/>
      <c r="MT154" s="188"/>
      <c r="MU154" s="188"/>
      <c r="MV154" s="188"/>
      <c r="MW154" s="188"/>
      <c r="MX154" s="188"/>
      <c r="MY154" s="188"/>
      <c r="MZ154" s="188"/>
      <c r="NA154" s="188"/>
      <c r="NB154" s="188"/>
      <c r="NC154" s="188"/>
      <c r="ND154" s="188"/>
      <c r="NE154" s="188"/>
      <c r="NF154" s="188"/>
      <c r="NG154" s="188"/>
      <c r="NH154" s="188"/>
      <c r="NI154" s="188"/>
      <c r="NJ154" s="188"/>
      <c r="NK154" s="188"/>
      <c r="NL154" s="188"/>
      <c r="NM154" s="188"/>
      <c r="NN154" s="188"/>
      <c r="NO154" s="188"/>
      <c r="NP154" s="188"/>
      <c r="NQ154" s="188"/>
      <c r="NR154" s="188"/>
      <c r="NS154" s="188"/>
      <c r="NT154" s="188"/>
      <c r="NU154" s="188"/>
      <c r="NV154" s="188"/>
      <c r="NW154" s="188"/>
      <c r="NX154" s="188"/>
      <c r="NY154" s="188"/>
      <c r="NZ154" s="188"/>
      <c r="OA154" s="189"/>
      <c r="OB154" s="187"/>
      <c r="OC154" s="188"/>
      <c r="OD154" s="188"/>
      <c r="OE154" s="188"/>
      <c r="OF154" s="189"/>
      <c r="OR154" s="195" t="s">
        <v>8</v>
      </c>
      <c r="OS154" s="196"/>
      <c r="OT154" s="196"/>
      <c r="OU154" s="196"/>
      <c r="OV154" s="196"/>
      <c r="OW154" s="196"/>
      <c r="OX154" s="196"/>
      <c r="OY154" s="196"/>
      <c r="OZ154" s="196"/>
      <c r="PA154" s="196"/>
      <c r="PB154" s="196"/>
      <c r="PC154" s="196"/>
      <c r="PD154" s="196"/>
      <c r="PE154" s="196"/>
      <c r="PF154" s="196"/>
      <c r="PG154" s="196"/>
      <c r="PH154" s="196"/>
      <c r="PI154" s="196"/>
      <c r="PJ154" s="196"/>
      <c r="PK154" s="196"/>
      <c r="PL154" s="196"/>
      <c r="PM154" s="196"/>
      <c r="PN154" s="196"/>
      <c r="PO154" s="196"/>
      <c r="PP154" s="196"/>
      <c r="PQ154" s="196"/>
      <c r="PR154" s="196"/>
      <c r="PS154" s="196"/>
      <c r="PT154" s="196"/>
      <c r="PU154" s="196"/>
      <c r="PV154" s="196"/>
      <c r="PW154" s="196"/>
      <c r="PX154" s="196"/>
      <c r="PY154" s="196"/>
      <c r="PZ154" s="196"/>
      <c r="QA154" s="196"/>
      <c r="QB154" s="196"/>
      <c r="QC154" s="196"/>
      <c r="QD154" s="196"/>
      <c r="QE154" s="197"/>
      <c r="QF154" s="204">
        <v>50</v>
      </c>
      <c r="QG154" s="204"/>
      <c r="QH154" s="204"/>
      <c r="QI154" s="204"/>
      <c r="QJ154" s="204"/>
      <c r="QK154" s="204"/>
      <c r="QL154" s="19"/>
      <c r="QQ154" s="12"/>
      <c r="QR154" s="7"/>
      <c r="QS154" s="3"/>
      <c r="QT154" s="3"/>
      <c r="QU154" s="3"/>
      <c r="QV154" s="3"/>
      <c r="QW154" s="2"/>
    </row>
    <row r="155" spans="3:465" ht="5.0999999999999996" customHeight="1" x14ac:dyDescent="0.3">
      <c r="C155" s="11"/>
      <c r="D155" s="13"/>
      <c r="G155" s="187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9"/>
      <c r="AV155" s="187"/>
      <c r="AW155" s="188"/>
      <c r="AX155" s="188"/>
      <c r="AY155" s="188"/>
      <c r="AZ155" s="189"/>
      <c r="KQ155" s="296"/>
      <c r="KR155" s="297"/>
      <c r="KS155" s="297"/>
      <c r="KT155" s="297"/>
      <c r="KU155" s="297"/>
      <c r="KV155" s="297"/>
      <c r="KW155" s="297"/>
      <c r="KX155" s="297"/>
      <c r="KY155" s="297"/>
      <c r="KZ155" s="297"/>
      <c r="LA155" s="297"/>
      <c r="LB155" s="297"/>
      <c r="LC155" s="297"/>
      <c r="LD155" s="297"/>
      <c r="LE155" s="297"/>
      <c r="LF155" s="297"/>
      <c r="LG155" s="297"/>
      <c r="LH155" s="297"/>
      <c r="LI155" s="297"/>
      <c r="LJ155" s="297"/>
      <c r="LK155" s="297"/>
      <c r="LL155" s="297"/>
      <c r="LM155" s="297"/>
      <c r="LN155" s="297"/>
      <c r="LO155" s="297"/>
      <c r="LP155" s="297"/>
      <c r="LQ155" s="297"/>
      <c r="LR155" s="297"/>
      <c r="LS155" s="297"/>
      <c r="LT155" s="297"/>
      <c r="LU155" s="297"/>
      <c r="LV155" s="297"/>
      <c r="LW155" s="297"/>
      <c r="LX155" s="297"/>
      <c r="LY155" s="297"/>
      <c r="LZ155" s="297"/>
      <c r="MA155" s="297"/>
      <c r="MB155" s="297"/>
      <c r="MC155" s="297"/>
      <c r="MD155" s="298"/>
      <c r="ME155" s="187"/>
      <c r="MF155" s="188"/>
      <c r="MG155" s="188"/>
      <c r="MH155" s="188"/>
      <c r="MI155" s="189"/>
      <c r="MN155" s="187"/>
      <c r="MO155" s="188"/>
      <c r="MP155" s="188"/>
      <c r="MQ155" s="188"/>
      <c r="MR155" s="188"/>
      <c r="MS155" s="188"/>
      <c r="MT155" s="188"/>
      <c r="MU155" s="188"/>
      <c r="MV155" s="188"/>
      <c r="MW155" s="188"/>
      <c r="MX155" s="188"/>
      <c r="MY155" s="188"/>
      <c r="MZ155" s="188"/>
      <c r="NA155" s="188"/>
      <c r="NB155" s="188"/>
      <c r="NC155" s="188"/>
      <c r="ND155" s="188"/>
      <c r="NE155" s="188"/>
      <c r="NF155" s="188"/>
      <c r="NG155" s="188"/>
      <c r="NH155" s="188"/>
      <c r="NI155" s="188"/>
      <c r="NJ155" s="188"/>
      <c r="NK155" s="188"/>
      <c r="NL155" s="188"/>
      <c r="NM155" s="188"/>
      <c r="NN155" s="188"/>
      <c r="NO155" s="188"/>
      <c r="NP155" s="188"/>
      <c r="NQ155" s="188"/>
      <c r="NR155" s="188"/>
      <c r="NS155" s="188"/>
      <c r="NT155" s="188"/>
      <c r="NU155" s="188"/>
      <c r="NV155" s="188"/>
      <c r="NW155" s="188"/>
      <c r="NX155" s="188"/>
      <c r="NY155" s="188"/>
      <c r="NZ155" s="188"/>
      <c r="OA155" s="189"/>
      <c r="OB155" s="187"/>
      <c r="OC155" s="188"/>
      <c r="OD155" s="188"/>
      <c r="OE155" s="188"/>
      <c r="OF155" s="189"/>
      <c r="OR155" s="198"/>
      <c r="OS155" s="199"/>
      <c r="OT155" s="199"/>
      <c r="OU155" s="199"/>
      <c r="OV155" s="199"/>
      <c r="OW155" s="199"/>
      <c r="OX155" s="199"/>
      <c r="OY155" s="199"/>
      <c r="OZ155" s="199"/>
      <c r="PA155" s="199"/>
      <c r="PB155" s="199"/>
      <c r="PC155" s="199"/>
      <c r="PD155" s="199"/>
      <c r="PE155" s="199"/>
      <c r="PF155" s="199"/>
      <c r="PG155" s="199"/>
      <c r="PH155" s="199"/>
      <c r="PI155" s="199"/>
      <c r="PJ155" s="199"/>
      <c r="PK155" s="199"/>
      <c r="PL155" s="199"/>
      <c r="PM155" s="199"/>
      <c r="PN155" s="199"/>
      <c r="PO155" s="199"/>
      <c r="PP155" s="199"/>
      <c r="PQ155" s="199"/>
      <c r="PR155" s="199"/>
      <c r="PS155" s="199"/>
      <c r="PT155" s="199"/>
      <c r="PU155" s="199"/>
      <c r="PV155" s="199"/>
      <c r="PW155" s="199"/>
      <c r="PX155" s="199"/>
      <c r="PY155" s="199"/>
      <c r="PZ155" s="199"/>
      <c r="QA155" s="199"/>
      <c r="QB155" s="199"/>
      <c r="QC155" s="199"/>
      <c r="QD155" s="199"/>
      <c r="QE155" s="200"/>
      <c r="QF155" s="204"/>
      <c r="QG155" s="204"/>
      <c r="QH155" s="204"/>
      <c r="QI155" s="204"/>
      <c r="QJ155" s="204"/>
      <c r="QK155" s="204"/>
      <c r="QL155" s="19"/>
      <c r="QQ155" s="12"/>
      <c r="QR155" s="7"/>
      <c r="QS155" s="3"/>
      <c r="QT155" s="3"/>
      <c r="QU155" s="3"/>
      <c r="QV155" s="3"/>
      <c r="QW155" s="2"/>
    </row>
    <row r="156" spans="3:465" ht="5.0999999999999996" customHeight="1" x14ac:dyDescent="0.3">
      <c r="C156" s="11"/>
      <c r="D156" s="13"/>
      <c r="G156" s="187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9"/>
      <c r="AV156" s="187"/>
      <c r="AW156" s="188"/>
      <c r="AX156" s="188"/>
      <c r="AY156" s="188"/>
      <c r="AZ156" s="189"/>
      <c r="KQ156" s="299"/>
      <c r="KR156" s="300"/>
      <c r="KS156" s="300"/>
      <c r="KT156" s="300"/>
      <c r="KU156" s="300"/>
      <c r="KV156" s="300"/>
      <c r="KW156" s="300"/>
      <c r="KX156" s="300"/>
      <c r="KY156" s="300"/>
      <c r="KZ156" s="300"/>
      <c r="LA156" s="300"/>
      <c r="LB156" s="300"/>
      <c r="LC156" s="300"/>
      <c r="LD156" s="300"/>
      <c r="LE156" s="300"/>
      <c r="LF156" s="300"/>
      <c r="LG156" s="300"/>
      <c r="LH156" s="300"/>
      <c r="LI156" s="300"/>
      <c r="LJ156" s="300"/>
      <c r="LK156" s="300"/>
      <c r="LL156" s="300"/>
      <c r="LM156" s="300"/>
      <c r="LN156" s="300"/>
      <c r="LO156" s="300"/>
      <c r="LP156" s="300"/>
      <c r="LQ156" s="300"/>
      <c r="LR156" s="300"/>
      <c r="LS156" s="300"/>
      <c r="LT156" s="300"/>
      <c r="LU156" s="300"/>
      <c r="LV156" s="300"/>
      <c r="LW156" s="300"/>
      <c r="LX156" s="300"/>
      <c r="LY156" s="300"/>
      <c r="LZ156" s="300"/>
      <c r="MA156" s="300"/>
      <c r="MB156" s="300"/>
      <c r="MC156" s="300"/>
      <c r="MD156" s="301"/>
      <c r="ME156" s="190"/>
      <c r="MF156" s="191"/>
      <c r="MG156" s="191"/>
      <c r="MH156" s="191"/>
      <c r="MI156" s="192"/>
      <c r="MN156" s="190"/>
      <c r="MO156" s="191"/>
      <c r="MP156" s="191"/>
      <c r="MQ156" s="191"/>
      <c r="MR156" s="191"/>
      <c r="MS156" s="191"/>
      <c r="MT156" s="191"/>
      <c r="MU156" s="191"/>
      <c r="MV156" s="191"/>
      <c r="MW156" s="191"/>
      <c r="MX156" s="191"/>
      <c r="MY156" s="191"/>
      <c r="MZ156" s="191"/>
      <c r="NA156" s="191"/>
      <c r="NB156" s="191"/>
      <c r="NC156" s="191"/>
      <c r="ND156" s="191"/>
      <c r="NE156" s="191"/>
      <c r="NF156" s="191"/>
      <c r="NG156" s="191"/>
      <c r="NH156" s="191"/>
      <c r="NI156" s="191"/>
      <c r="NJ156" s="191"/>
      <c r="NK156" s="191"/>
      <c r="NL156" s="191"/>
      <c r="NM156" s="191"/>
      <c r="NN156" s="191"/>
      <c r="NO156" s="191"/>
      <c r="NP156" s="191"/>
      <c r="NQ156" s="191"/>
      <c r="NR156" s="191"/>
      <c r="NS156" s="191"/>
      <c r="NT156" s="191"/>
      <c r="NU156" s="191"/>
      <c r="NV156" s="191"/>
      <c r="NW156" s="191"/>
      <c r="NX156" s="191"/>
      <c r="NY156" s="191"/>
      <c r="NZ156" s="191"/>
      <c r="OA156" s="192"/>
      <c r="OB156" s="190"/>
      <c r="OC156" s="191"/>
      <c r="OD156" s="191"/>
      <c r="OE156" s="191"/>
      <c r="OF156" s="192"/>
      <c r="OR156" s="198"/>
      <c r="OS156" s="199"/>
      <c r="OT156" s="199"/>
      <c r="OU156" s="199"/>
      <c r="OV156" s="199"/>
      <c r="OW156" s="199"/>
      <c r="OX156" s="199"/>
      <c r="OY156" s="199"/>
      <c r="OZ156" s="199"/>
      <c r="PA156" s="199"/>
      <c r="PB156" s="199"/>
      <c r="PC156" s="199"/>
      <c r="PD156" s="199"/>
      <c r="PE156" s="199"/>
      <c r="PF156" s="199"/>
      <c r="PG156" s="199"/>
      <c r="PH156" s="199"/>
      <c r="PI156" s="199"/>
      <c r="PJ156" s="199"/>
      <c r="PK156" s="199"/>
      <c r="PL156" s="199"/>
      <c r="PM156" s="199"/>
      <c r="PN156" s="199"/>
      <c r="PO156" s="199"/>
      <c r="PP156" s="199"/>
      <c r="PQ156" s="199"/>
      <c r="PR156" s="199"/>
      <c r="PS156" s="199"/>
      <c r="PT156" s="199"/>
      <c r="PU156" s="199"/>
      <c r="PV156" s="199"/>
      <c r="PW156" s="199"/>
      <c r="PX156" s="199"/>
      <c r="PY156" s="199"/>
      <c r="PZ156" s="199"/>
      <c r="QA156" s="199"/>
      <c r="QB156" s="199"/>
      <c r="QC156" s="199"/>
      <c r="QD156" s="199"/>
      <c r="QE156" s="200"/>
      <c r="QF156" s="204"/>
      <c r="QG156" s="204"/>
      <c r="QH156" s="204"/>
      <c r="QI156" s="204"/>
      <c r="QJ156" s="204"/>
      <c r="QK156" s="204"/>
      <c r="QL156" s="19"/>
      <c r="QQ156" s="12"/>
      <c r="QR156" s="7"/>
      <c r="QS156" s="3"/>
      <c r="QT156" s="3"/>
      <c r="QU156" s="3"/>
      <c r="QV156" s="3"/>
      <c r="QW156" s="2"/>
    </row>
    <row r="157" spans="3:465" ht="5.0999999999999996" customHeight="1" x14ac:dyDescent="0.3">
      <c r="C157" s="11"/>
      <c r="D157" s="13"/>
      <c r="G157" s="190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92"/>
      <c r="AV157" s="190"/>
      <c r="AW157" s="191"/>
      <c r="AX157" s="191"/>
      <c r="AY157" s="191"/>
      <c r="AZ157" s="192"/>
      <c r="OR157" s="198"/>
      <c r="OS157" s="199"/>
      <c r="OT157" s="199"/>
      <c r="OU157" s="199"/>
      <c r="OV157" s="199"/>
      <c r="OW157" s="199"/>
      <c r="OX157" s="199"/>
      <c r="OY157" s="199"/>
      <c r="OZ157" s="199"/>
      <c r="PA157" s="199"/>
      <c r="PB157" s="199"/>
      <c r="PC157" s="199"/>
      <c r="PD157" s="199"/>
      <c r="PE157" s="199"/>
      <c r="PF157" s="199"/>
      <c r="PG157" s="199"/>
      <c r="PH157" s="199"/>
      <c r="PI157" s="199"/>
      <c r="PJ157" s="199"/>
      <c r="PK157" s="199"/>
      <c r="PL157" s="199"/>
      <c r="PM157" s="199"/>
      <c r="PN157" s="199"/>
      <c r="PO157" s="199"/>
      <c r="PP157" s="199"/>
      <c r="PQ157" s="199"/>
      <c r="PR157" s="199"/>
      <c r="PS157" s="199"/>
      <c r="PT157" s="199"/>
      <c r="PU157" s="199"/>
      <c r="PV157" s="199"/>
      <c r="PW157" s="199"/>
      <c r="PX157" s="199"/>
      <c r="PY157" s="199"/>
      <c r="PZ157" s="199"/>
      <c r="QA157" s="199"/>
      <c r="QB157" s="199"/>
      <c r="QC157" s="199"/>
      <c r="QD157" s="199"/>
      <c r="QE157" s="200"/>
      <c r="QF157" s="204"/>
      <c r="QG157" s="204"/>
      <c r="QH157" s="204"/>
      <c r="QI157" s="204"/>
      <c r="QJ157" s="204"/>
      <c r="QK157" s="204"/>
      <c r="QL157" s="19"/>
      <c r="QQ157" s="12"/>
      <c r="QR157" s="7"/>
      <c r="QS157" s="3"/>
      <c r="QT157" s="3"/>
      <c r="QU157" s="3"/>
      <c r="QV157" s="3"/>
      <c r="QW157" s="2"/>
    </row>
    <row r="158" spans="3:465" ht="5.0999999999999996" customHeight="1" x14ac:dyDescent="0.3">
      <c r="C158" s="11"/>
      <c r="D158" s="13"/>
      <c r="G158" s="184" t="s">
        <v>156</v>
      </c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6"/>
      <c r="AV158" s="184">
        <v>3</v>
      </c>
      <c r="AW158" s="185"/>
      <c r="AX158" s="185"/>
      <c r="AY158" s="185"/>
      <c r="AZ158" s="186"/>
      <c r="OR158" s="198"/>
      <c r="OS158" s="199"/>
      <c r="OT158" s="199"/>
      <c r="OU158" s="199"/>
      <c r="OV158" s="199"/>
      <c r="OW158" s="199"/>
      <c r="OX158" s="199"/>
      <c r="OY158" s="199"/>
      <c r="OZ158" s="199"/>
      <c r="PA158" s="199"/>
      <c r="PB158" s="199"/>
      <c r="PC158" s="199"/>
      <c r="PD158" s="199"/>
      <c r="PE158" s="199"/>
      <c r="PF158" s="199"/>
      <c r="PG158" s="199"/>
      <c r="PH158" s="199"/>
      <c r="PI158" s="199"/>
      <c r="PJ158" s="199"/>
      <c r="PK158" s="199"/>
      <c r="PL158" s="199"/>
      <c r="PM158" s="199"/>
      <c r="PN158" s="199"/>
      <c r="PO158" s="199"/>
      <c r="PP158" s="199"/>
      <c r="PQ158" s="199"/>
      <c r="PR158" s="199"/>
      <c r="PS158" s="199"/>
      <c r="PT158" s="199"/>
      <c r="PU158" s="199"/>
      <c r="PV158" s="199"/>
      <c r="PW158" s="199"/>
      <c r="PX158" s="199"/>
      <c r="PY158" s="199"/>
      <c r="PZ158" s="199"/>
      <c r="QA158" s="199"/>
      <c r="QB158" s="199"/>
      <c r="QC158" s="199"/>
      <c r="QD158" s="199"/>
      <c r="QE158" s="200"/>
      <c r="QF158" s="204"/>
      <c r="QG158" s="204"/>
      <c r="QH158" s="204"/>
      <c r="QI158" s="204"/>
      <c r="QJ158" s="204"/>
      <c r="QK158" s="204"/>
      <c r="QL158" s="19"/>
      <c r="QQ158" s="12"/>
      <c r="QR158" s="7"/>
      <c r="QS158" s="3"/>
      <c r="QT158" s="3"/>
      <c r="QU158" s="3"/>
      <c r="QV158" s="3"/>
      <c r="QW158" s="2"/>
    </row>
    <row r="159" spans="3:465" ht="5.0999999999999996" customHeight="1" x14ac:dyDescent="0.3">
      <c r="C159" s="11"/>
      <c r="D159" s="13"/>
      <c r="G159" s="187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9"/>
      <c r="AV159" s="187"/>
      <c r="AW159" s="188"/>
      <c r="AX159" s="188"/>
      <c r="AY159" s="188"/>
      <c r="AZ159" s="189"/>
      <c r="OR159" s="198"/>
      <c r="OS159" s="199"/>
      <c r="OT159" s="199"/>
      <c r="OU159" s="199"/>
      <c r="OV159" s="199"/>
      <c r="OW159" s="199"/>
      <c r="OX159" s="199"/>
      <c r="OY159" s="199"/>
      <c r="OZ159" s="199"/>
      <c r="PA159" s="199"/>
      <c r="PB159" s="199"/>
      <c r="PC159" s="199"/>
      <c r="PD159" s="199"/>
      <c r="PE159" s="199"/>
      <c r="PF159" s="199"/>
      <c r="PG159" s="199"/>
      <c r="PH159" s="199"/>
      <c r="PI159" s="199"/>
      <c r="PJ159" s="199"/>
      <c r="PK159" s="199"/>
      <c r="PL159" s="199"/>
      <c r="PM159" s="199"/>
      <c r="PN159" s="199"/>
      <c r="PO159" s="199"/>
      <c r="PP159" s="199"/>
      <c r="PQ159" s="199"/>
      <c r="PR159" s="199"/>
      <c r="PS159" s="199"/>
      <c r="PT159" s="199"/>
      <c r="PU159" s="199"/>
      <c r="PV159" s="199"/>
      <c r="PW159" s="199"/>
      <c r="PX159" s="199"/>
      <c r="PY159" s="199"/>
      <c r="PZ159" s="199"/>
      <c r="QA159" s="199"/>
      <c r="QB159" s="199"/>
      <c r="QC159" s="199"/>
      <c r="QD159" s="199"/>
      <c r="QE159" s="200"/>
      <c r="QF159" s="204"/>
      <c r="QG159" s="204"/>
      <c r="QH159" s="204"/>
      <c r="QI159" s="204"/>
      <c r="QJ159" s="204"/>
      <c r="QK159" s="204"/>
      <c r="QL159" s="19"/>
      <c r="QQ159" s="12"/>
      <c r="QR159" s="7"/>
      <c r="QS159" s="3"/>
      <c r="QT159" s="3"/>
      <c r="QU159" s="3"/>
      <c r="QV159" s="3"/>
      <c r="QW159" s="2"/>
    </row>
    <row r="160" spans="3:465" ht="5.0999999999999996" customHeight="1" x14ac:dyDescent="0.3">
      <c r="C160" s="11"/>
      <c r="D160" s="13"/>
      <c r="G160" s="187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9"/>
      <c r="AV160" s="187"/>
      <c r="AW160" s="188"/>
      <c r="AX160" s="188"/>
      <c r="AY160" s="188"/>
      <c r="AZ160" s="189"/>
      <c r="OR160" s="198"/>
      <c r="OS160" s="199"/>
      <c r="OT160" s="199"/>
      <c r="OU160" s="199"/>
      <c r="OV160" s="199"/>
      <c r="OW160" s="199"/>
      <c r="OX160" s="199"/>
      <c r="OY160" s="199"/>
      <c r="OZ160" s="199"/>
      <c r="PA160" s="199"/>
      <c r="PB160" s="199"/>
      <c r="PC160" s="199"/>
      <c r="PD160" s="199"/>
      <c r="PE160" s="199"/>
      <c r="PF160" s="199"/>
      <c r="PG160" s="199"/>
      <c r="PH160" s="199"/>
      <c r="PI160" s="199"/>
      <c r="PJ160" s="199"/>
      <c r="PK160" s="199"/>
      <c r="PL160" s="199"/>
      <c r="PM160" s="199"/>
      <c r="PN160" s="199"/>
      <c r="PO160" s="199"/>
      <c r="PP160" s="199"/>
      <c r="PQ160" s="199"/>
      <c r="PR160" s="199"/>
      <c r="PS160" s="199"/>
      <c r="PT160" s="199"/>
      <c r="PU160" s="199"/>
      <c r="PV160" s="199"/>
      <c r="PW160" s="199"/>
      <c r="PX160" s="199"/>
      <c r="PY160" s="199"/>
      <c r="PZ160" s="199"/>
      <c r="QA160" s="199"/>
      <c r="QB160" s="199"/>
      <c r="QC160" s="199"/>
      <c r="QD160" s="199"/>
      <c r="QE160" s="200"/>
      <c r="QF160" s="204"/>
      <c r="QG160" s="204"/>
      <c r="QH160" s="204"/>
      <c r="QI160" s="204"/>
      <c r="QJ160" s="204"/>
      <c r="QK160" s="204"/>
      <c r="QL160" s="19"/>
      <c r="QQ160" s="12"/>
      <c r="QR160" s="7"/>
      <c r="QS160" s="3"/>
      <c r="QT160" s="3"/>
      <c r="QU160" s="3"/>
      <c r="QV160" s="3"/>
      <c r="QW160" s="2"/>
    </row>
    <row r="161" spans="3:465" ht="5.0999999999999996" customHeight="1" x14ac:dyDescent="0.3">
      <c r="C161" s="11"/>
      <c r="D161" s="13"/>
      <c r="G161" s="187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9"/>
      <c r="AV161" s="187"/>
      <c r="AW161" s="188"/>
      <c r="AX161" s="188"/>
      <c r="AY161" s="188"/>
      <c r="AZ161" s="189"/>
      <c r="OR161" s="198"/>
      <c r="OS161" s="199"/>
      <c r="OT161" s="199"/>
      <c r="OU161" s="199"/>
      <c r="OV161" s="199"/>
      <c r="OW161" s="199"/>
      <c r="OX161" s="199"/>
      <c r="OY161" s="199"/>
      <c r="OZ161" s="199"/>
      <c r="PA161" s="199"/>
      <c r="PB161" s="199"/>
      <c r="PC161" s="199"/>
      <c r="PD161" s="199"/>
      <c r="PE161" s="199"/>
      <c r="PF161" s="199"/>
      <c r="PG161" s="199"/>
      <c r="PH161" s="199"/>
      <c r="PI161" s="199"/>
      <c r="PJ161" s="199"/>
      <c r="PK161" s="199"/>
      <c r="PL161" s="199"/>
      <c r="PM161" s="199"/>
      <c r="PN161" s="199"/>
      <c r="PO161" s="199"/>
      <c r="PP161" s="199"/>
      <c r="PQ161" s="199"/>
      <c r="PR161" s="199"/>
      <c r="PS161" s="199"/>
      <c r="PT161" s="199"/>
      <c r="PU161" s="199"/>
      <c r="PV161" s="199"/>
      <c r="PW161" s="199"/>
      <c r="PX161" s="199"/>
      <c r="PY161" s="199"/>
      <c r="PZ161" s="199"/>
      <c r="QA161" s="199"/>
      <c r="QB161" s="199"/>
      <c r="QC161" s="199"/>
      <c r="QD161" s="199"/>
      <c r="QE161" s="200"/>
      <c r="QF161" s="204"/>
      <c r="QG161" s="204"/>
      <c r="QH161" s="204"/>
      <c r="QI161" s="204"/>
      <c r="QJ161" s="204"/>
      <c r="QK161" s="204"/>
      <c r="QL161" s="19"/>
      <c r="QQ161" s="12"/>
      <c r="QR161" s="7"/>
      <c r="QS161" s="3"/>
      <c r="QT161" s="3"/>
      <c r="QU161" s="3"/>
      <c r="QV161" s="3"/>
      <c r="QW161" s="2"/>
    </row>
    <row r="162" spans="3:465" ht="5.0999999999999996" customHeight="1" x14ac:dyDescent="0.3">
      <c r="C162" s="11"/>
      <c r="D162" s="13"/>
      <c r="G162" s="187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9"/>
      <c r="AV162" s="187"/>
      <c r="AW162" s="188"/>
      <c r="AX162" s="188"/>
      <c r="AY162" s="188"/>
      <c r="AZ162" s="189"/>
      <c r="OR162" s="198"/>
      <c r="OS162" s="199"/>
      <c r="OT162" s="199"/>
      <c r="OU162" s="199"/>
      <c r="OV162" s="199"/>
      <c r="OW162" s="199"/>
      <c r="OX162" s="199"/>
      <c r="OY162" s="199"/>
      <c r="OZ162" s="199"/>
      <c r="PA162" s="199"/>
      <c r="PB162" s="199"/>
      <c r="PC162" s="199"/>
      <c r="PD162" s="199"/>
      <c r="PE162" s="199"/>
      <c r="PF162" s="199"/>
      <c r="PG162" s="199"/>
      <c r="PH162" s="199"/>
      <c r="PI162" s="199"/>
      <c r="PJ162" s="199"/>
      <c r="PK162" s="199"/>
      <c r="PL162" s="199"/>
      <c r="PM162" s="199"/>
      <c r="PN162" s="199"/>
      <c r="PO162" s="199"/>
      <c r="PP162" s="199"/>
      <c r="PQ162" s="199"/>
      <c r="PR162" s="199"/>
      <c r="PS162" s="199"/>
      <c r="PT162" s="199"/>
      <c r="PU162" s="199"/>
      <c r="PV162" s="199"/>
      <c r="PW162" s="199"/>
      <c r="PX162" s="199"/>
      <c r="PY162" s="199"/>
      <c r="PZ162" s="199"/>
      <c r="QA162" s="199"/>
      <c r="QB162" s="199"/>
      <c r="QC162" s="199"/>
      <c r="QD162" s="199"/>
      <c r="QE162" s="200"/>
      <c r="QF162" s="204"/>
      <c r="QG162" s="204"/>
      <c r="QH162" s="204"/>
      <c r="QI162" s="204"/>
      <c r="QJ162" s="204"/>
      <c r="QK162" s="204"/>
      <c r="QL162" s="19"/>
      <c r="QQ162" s="12"/>
      <c r="QR162" s="7"/>
      <c r="QS162" s="3"/>
      <c r="QT162" s="3"/>
      <c r="QU162" s="3"/>
      <c r="QV162" s="3"/>
      <c r="QW162" s="2"/>
    </row>
    <row r="163" spans="3:465" ht="5.0999999999999996" customHeight="1" thickBot="1" x14ac:dyDescent="0.35">
      <c r="C163" s="11"/>
      <c r="D163" s="13"/>
      <c r="G163" s="187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9"/>
      <c r="AV163" s="187"/>
      <c r="AW163" s="188"/>
      <c r="AX163" s="188"/>
      <c r="AY163" s="188"/>
      <c r="AZ163" s="189"/>
      <c r="OR163" s="201"/>
      <c r="OS163" s="202"/>
      <c r="OT163" s="202"/>
      <c r="OU163" s="202"/>
      <c r="OV163" s="202"/>
      <c r="OW163" s="202"/>
      <c r="OX163" s="202"/>
      <c r="OY163" s="202"/>
      <c r="OZ163" s="202"/>
      <c r="PA163" s="202"/>
      <c r="PB163" s="202"/>
      <c r="PC163" s="202"/>
      <c r="PD163" s="202"/>
      <c r="PE163" s="202"/>
      <c r="PF163" s="202"/>
      <c r="PG163" s="202"/>
      <c r="PH163" s="202"/>
      <c r="PI163" s="202"/>
      <c r="PJ163" s="202"/>
      <c r="PK163" s="202"/>
      <c r="PL163" s="202"/>
      <c r="PM163" s="202"/>
      <c r="PN163" s="202"/>
      <c r="PO163" s="202"/>
      <c r="PP163" s="202"/>
      <c r="PQ163" s="202"/>
      <c r="PR163" s="202"/>
      <c r="PS163" s="202"/>
      <c r="PT163" s="202"/>
      <c r="PU163" s="202"/>
      <c r="PV163" s="202"/>
      <c r="PW163" s="202"/>
      <c r="PX163" s="202"/>
      <c r="PY163" s="202"/>
      <c r="PZ163" s="202"/>
      <c r="QA163" s="202"/>
      <c r="QB163" s="202"/>
      <c r="QC163" s="202"/>
      <c r="QD163" s="202"/>
      <c r="QE163" s="203"/>
      <c r="QF163" s="204"/>
      <c r="QG163" s="204"/>
      <c r="QH163" s="204"/>
      <c r="QI163" s="204"/>
      <c r="QJ163" s="204"/>
      <c r="QK163" s="204"/>
      <c r="QL163" s="55"/>
      <c r="QQ163" s="12"/>
      <c r="QR163" s="7"/>
      <c r="QS163" s="3"/>
      <c r="QT163" s="3"/>
      <c r="QU163" s="3"/>
      <c r="QV163" s="3"/>
      <c r="QW163" s="2"/>
    </row>
    <row r="164" spans="3:465" ht="5.0999999999999996" customHeight="1" x14ac:dyDescent="0.3">
      <c r="C164" s="11"/>
      <c r="D164" s="13"/>
      <c r="G164" s="187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9"/>
      <c r="AV164" s="187"/>
      <c r="AW164" s="188"/>
      <c r="AX164" s="188"/>
      <c r="AY164" s="188"/>
      <c r="AZ164" s="189"/>
      <c r="OR164" s="184" t="s">
        <v>4</v>
      </c>
      <c r="OS164" s="185"/>
      <c r="OT164" s="185"/>
      <c r="OU164" s="185"/>
      <c r="OV164" s="185"/>
      <c r="OW164" s="185"/>
      <c r="OX164" s="185"/>
      <c r="OY164" s="185"/>
      <c r="OZ164" s="185"/>
      <c r="PA164" s="185"/>
      <c r="PB164" s="185"/>
      <c r="PC164" s="185"/>
      <c r="PD164" s="185"/>
      <c r="PE164" s="185"/>
      <c r="PF164" s="185"/>
      <c r="PG164" s="185"/>
      <c r="PH164" s="185"/>
      <c r="PI164" s="185"/>
      <c r="PJ164" s="185"/>
      <c r="PK164" s="185"/>
      <c r="PL164" s="185"/>
      <c r="PM164" s="185"/>
      <c r="PN164" s="185"/>
      <c r="PO164" s="185"/>
      <c r="PP164" s="185"/>
      <c r="PQ164" s="185"/>
      <c r="PR164" s="185"/>
      <c r="PS164" s="185"/>
      <c r="PT164" s="185"/>
      <c r="PU164" s="185"/>
      <c r="PV164" s="185"/>
      <c r="PW164" s="185"/>
      <c r="PX164" s="185"/>
      <c r="PY164" s="185"/>
      <c r="PZ164" s="185"/>
      <c r="QA164" s="185"/>
      <c r="QB164" s="185"/>
      <c r="QC164" s="185"/>
      <c r="QD164" s="185"/>
      <c r="QE164" s="186"/>
      <c r="QF164" s="184">
        <v>48</v>
      </c>
      <c r="QG164" s="185"/>
      <c r="QH164" s="185"/>
      <c r="QI164" s="185"/>
      <c r="QJ164" s="185"/>
      <c r="QK164" s="186"/>
      <c r="QQ164" s="12"/>
      <c r="QR164" s="7"/>
      <c r="QS164" s="3"/>
      <c r="QT164" s="3"/>
      <c r="QU164" s="3"/>
      <c r="QV164" s="3"/>
      <c r="QW164" s="2"/>
    </row>
    <row r="165" spans="3:465" ht="5.0999999999999996" customHeight="1" x14ac:dyDescent="0.3">
      <c r="C165" s="11"/>
      <c r="D165" s="13"/>
      <c r="G165" s="187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9"/>
      <c r="AV165" s="187"/>
      <c r="AW165" s="188"/>
      <c r="AX165" s="188"/>
      <c r="AY165" s="188"/>
      <c r="AZ165" s="189"/>
      <c r="OR165" s="187"/>
      <c r="OS165" s="188"/>
      <c r="OT165" s="188"/>
      <c r="OU165" s="188"/>
      <c r="OV165" s="188"/>
      <c r="OW165" s="188"/>
      <c r="OX165" s="188"/>
      <c r="OY165" s="188"/>
      <c r="OZ165" s="188"/>
      <c r="PA165" s="188"/>
      <c r="PB165" s="188"/>
      <c r="PC165" s="188"/>
      <c r="PD165" s="188"/>
      <c r="PE165" s="188"/>
      <c r="PF165" s="188"/>
      <c r="PG165" s="188"/>
      <c r="PH165" s="188"/>
      <c r="PI165" s="188"/>
      <c r="PJ165" s="188"/>
      <c r="PK165" s="188"/>
      <c r="PL165" s="188"/>
      <c r="PM165" s="188"/>
      <c r="PN165" s="188"/>
      <c r="PO165" s="188"/>
      <c r="PP165" s="188"/>
      <c r="PQ165" s="188"/>
      <c r="PR165" s="188"/>
      <c r="PS165" s="188"/>
      <c r="PT165" s="188"/>
      <c r="PU165" s="188"/>
      <c r="PV165" s="188"/>
      <c r="PW165" s="188"/>
      <c r="PX165" s="188"/>
      <c r="PY165" s="188"/>
      <c r="PZ165" s="188"/>
      <c r="QA165" s="188"/>
      <c r="QB165" s="188"/>
      <c r="QC165" s="188"/>
      <c r="QD165" s="188"/>
      <c r="QE165" s="189"/>
      <c r="QF165" s="187"/>
      <c r="QG165" s="188"/>
      <c r="QH165" s="188"/>
      <c r="QI165" s="188"/>
      <c r="QJ165" s="188"/>
      <c r="QK165" s="189"/>
      <c r="QQ165" s="12"/>
      <c r="QR165" s="7"/>
      <c r="QS165" s="3"/>
      <c r="QT165" s="3"/>
      <c r="QU165" s="3"/>
      <c r="QV165" s="3"/>
      <c r="QW165" s="2"/>
    </row>
    <row r="166" spans="3:465" ht="5.0999999999999996" customHeight="1" x14ac:dyDescent="0.3">
      <c r="C166" s="11"/>
      <c r="D166" s="13"/>
      <c r="G166" s="187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9"/>
      <c r="AV166" s="187"/>
      <c r="AW166" s="188"/>
      <c r="AX166" s="188"/>
      <c r="AY166" s="188"/>
      <c r="AZ166" s="189"/>
      <c r="OR166" s="187"/>
      <c r="OS166" s="188"/>
      <c r="OT166" s="188"/>
      <c r="OU166" s="188"/>
      <c r="OV166" s="188"/>
      <c r="OW166" s="188"/>
      <c r="OX166" s="188"/>
      <c r="OY166" s="188"/>
      <c r="OZ166" s="188"/>
      <c r="PA166" s="188"/>
      <c r="PB166" s="188"/>
      <c r="PC166" s="188"/>
      <c r="PD166" s="188"/>
      <c r="PE166" s="188"/>
      <c r="PF166" s="188"/>
      <c r="PG166" s="188"/>
      <c r="PH166" s="188"/>
      <c r="PI166" s="188"/>
      <c r="PJ166" s="188"/>
      <c r="PK166" s="188"/>
      <c r="PL166" s="188"/>
      <c r="PM166" s="188"/>
      <c r="PN166" s="188"/>
      <c r="PO166" s="188"/>
      <c r="PP166" s="188"/>
      <c r="PQ166" s="188"/>
      <c r="PR166" s="188"/>
      <c r="PS166" s="188"/>
      <c r="PT166" s="188"/>
      <c r="PU166" s="188"/>
      <c r="PV166" s="188"/>
      <c r="PW166" s="188"/>
      <c r="PX166" s="188"/>
      <c r="PY166" s="188"/>
      <c r="PZ166" s="188"/>
      <c r="QA166" s="188"/>
      <c r="QB166" s="188"/>
      <c r="QC166" s="188"/>
      <c r="QD166" s="188"/>
      <c r="QE166" s="189"/>
      <c r="QF166" s="187"/>
      <c r="QG166" s="188"/>
      <c r="QH166" s="188"/>
      <c r="QI166" s="188"/>
      <c r="QJ166" s="188"/>
      <c r="QK166" s="189"/>
      <c r="QQ166" s="12"/>
      <c r="QR166" s="7"/>
      <c r="QS166" s="3"/>
      <c r="QT166" s="3"/>
      <c r="QU166" s="3"/>
      <c r="QV166" s="3"/>
      <c r="QW166" s="2"/>
    </row>
    <row r="167" spans="3:465" ht="5.0999999999999996" customHeight="1" x14ac:dyDescent="0.3">
      <c r="C167" s="11"/>
      <c r="D167" s="13"/>
      <c r="G167" s="190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  <c r="AL167" s="191"/>
      <c r="AM167" s="191"/>
      <c r="AN167" s="191"/>
      <c r="AO167" s="191"/>
      <c r="AP167" s="191"/>
      <c r="AQ167" s="191"/>
      <c r="AR167" s="191"/>
      <c r="AS167" s="191"/>
      <c r="AT167" s="191"/>
      <c r="AU167" s="192"/>
      <c r="AV167" s="190"/>
      <c r="AW167" s="191"/>
      <c r="AX167" s="191"/>
      <c r="AY167" s="191"/>
      <c r="AZ167" s="192"/>
      <c r="OR167" s="187"/>
      <c r="OS167" s="188"/>
      <c r="OT167" s="188"/>
      <c r="OU167" s="188"/>
      <c r="OV167" s="188"/>
      <c r="OW167" s="188"/>
      <c r="OX167" s="188"/>
      <c r="OY167" s="188"/>
      <c r="OZ167" s="188"/>
      <c r="PA167" s="188"/>
      <c r="PB167" s="188"/>
      <c r="PC167" s="188"/>
      <c r="PD167" s="188"/>
      <c r="PE167" s="188"/>
      <c r="PF167" s="188"/>
      <c r="PG167" s="188"/>
      <c r="PH167" s="188"/>
      <c r="PI167" s="188"/>
      <c r="PJ167" s="188"/>
      <c r="PK167" s="188"/>
      <c r="PL167" s="188"/>
      <c r="PM167" s="188"/>
      <c r="PN167" s="188"/>
      <c r="PO167" s="188"/>
      <c r="PP167" s="188"/>
      <c r="PQ167" s="188"/>
      <c r="PR167" s="188"/>
      <c r="PS167" s="188"/>
      <c r="PT167" s="188"/>
      <c r="PU167" s="188"/>
      <c r="PV167" s="188"/>
      <c r="PW167" s="188"/>
      <c r="PX167" s="188"/>
      <c r="PY167" s="188"/>
      <c r="PZ167" s="188"/>
      <c r="QA167" s="188"/>
      <c r="QB167" s="188"/>
      <c r="QC167" s="188"/>
      <c r="QD167" s="188"/>
      <c r="QE167" s="189"/>
      <c r="QF167" s="187"/>
      <c r="QG167" s="188"/>
      <c r="QH167" s="188"/>
      <c r="QI167" s="188"/>
      <c r="QJ167" s="188"/>
      <c r="QK167" s="189"/>
      <c r="QQ167" s="12"/>
      <c r="QR167" s="7"/>
      <c r="QS167" s="3"/>
      <c r="QT167" s="3"/>
      <c r="QU167" s="3"/>
      <c r="QV167" s="3"/>
      <c r="QW167" s="2"/>
    </row>
    <row r="168" spans="3:465" ht="5.0999999999999996" customHeight="1" x14ac:dyDescent="0.3">
      <c r="C168" s="11"/>
      <c r="D168" s="13"/>
      <c r="OR168" s="187"/>
      <c r="OS168" s="188"/>
      <c r="OT168" s="188"/>
      <c r="OU168" s="188"/>
      <c r="OV168" s="188"/>
      <c r="OW168" s="188"/>
      <c r="OX168" s="188"/>
      <c r="OY168" s="188"/>
      <c r="OZ168" s="188"/>
      <c r="PA168" s="188"/>
      <c r="PB168" s="188"/>
      <c r="PC168" s="188"/>
      <c r="PD168" s="188"/>
      <c r="PE168" s="188"/>
      <c r="PF168" s="188"/>
      <c r="PG168" s="188"/>
      <c r="PH168" s="188"/>
      <c r="PI168" s="188"/>
      <c r="PJ168" s="188"/>
      <c r="PK168" s="188"/>
      <c r="PL168" s="188"/>
      <c r="PM168" s="188"/>
      <c r="PN168" s="188"/>
      <c r="PO168" s="188"/>
      <c r="PP168" s="188"/>
      <c r="PQ168" s="188"/>
      <c r="PR168" s="188"/>
      <c r="PS168" s="188"/>
      <c r="PT168" s="188"/>
      <c r="PU168" s="188"/>
      <c r="PV168" s="188"/>
      <c r="PW168" s="188"/>
      <c r="PX168" s="188"/>
      <c r="PY168" s="188"/>
      <c r="PZ168" s="188"/>
      <c r="QA168" s="188"/>
      <c r="QB168" s="188"/>
      <c r="QC168" s="188"/>
      <c r="QD168" s="188"/>
      <c r="QE168" s="189"/>
      <c r="QF168" s="187"/>
      <c r="QG168" s="188"/>
      <c r="QH168" s="188"/>
      <c r="QI168" s="188"/>
      <c r="QJ168" s="188"/>
      <c r="QK168" s="189"/>
      <c r="QQ168" s="12"/>
      <c r="QR168" s="7"/>
      <c r="QS168" s="3"/>
      <c r="QT168" s="3"/>
      <c r="QU168" s="3"/>
      <c r="QV168" s="3"/>
      <c r="QW168" s="2"/>
    </row>
    <row r="169" spans="3:465" ht="5.0999999999999996" customHeight="1" x14ac:dyDescent="0.3">
      <c r="C169" s="11"/>
      <c r="D169" s="13"/>
      <c r="OR169" s="187"/>
      <c r="OS169" s="188"/>
      <c r="OT169" s="188"/>
      <c r="OU169" s="188"/>
      <c r="OV169" s="188"/>
      <c r="OW169" s="188"/>
      <c r="OX169" s="188"/>
      <c r="OY169" s="188"/>
      <c r="OZ169" s="188"/>
      <c r="PA169" s="188"/>
      <c r="PB169" s="188"/>
      <c r="PC169" s="188"/>
      <c r="PD169" s="188"/>
      <c r="PE169" s="188"/>
      <c r="PF169" s="188"/>
      <c r="PG169" s="188"/>
      <c r="PH169" s="188"/>
      <c r="PI169" s="188"/>
      <c r="PJ169" s="188"/>
      <c r="PK169" s="188"/>
      <c r="PL169" s="188"/>
      <c r="PM169" s="188"/>
      <c r="PN169" s="188"/>
      <c r="PO169" s="188"/>
      <c r="PP169" s="188"/>
      <c r="PQ169" s="188"/>
      <c r="PR169" s="188"/>
      <c r="PS169" s="188"/>
      <c r="PT169" s="188"/>
      <c r="PU169" s="188"/>
      <c r="PV169" s="188"/>
      <c r="PW169" s="188"/>
      <c r="PX169" s="188"/>
      <c r="PY169" s="188"/>
      <c r="PZ169" s="188"/>
      <c r="QA169" s="188"/>
      <c r="QB169" s="188"/>
      <c r="QC169" s="188"/>
      <c r="QD169" s="188"/>
      <c r="QE169" s="189"/>
      <c r="QF169" s="187"/>
      <c r="QG169" s="188"/>
      <c r="QH169" s="188"/>
      <c r="QI169" s="188"/>
      <c r="QJ169" s="188"/>
      <c r="QK169" s="189"/>
      <c r="QQ169" s="12"/>
      <c r="QR169" s="7"/>
      <c r="QS169" s="3"/>
      <c r="QT169" s="3"/>
      <c r="QU169" s="3"/>
      <c r="QV169" s="3"/>
      <c r="QW169" s="2"/>
    </row>
    <row r="170" spans="3:465" ht="5.0999999999999996" customHeight="1" x14ac:dyDescent="0.3">
      <c r="C170" s="11"/>
      <c r="D170" s="13"/>
      <c r="OR170" s="187"/>
      <c r="OS170" s="188"/>
      <c r="OT170" s="188"/>
      <c r="OU170" s="188"/>
      <c r="OV170" s="188"/>
      <c r="OW170" s="188"/>
      <c r="OX170" s="188"/>
      <c r="OY170" s="188"/>
      <c r="OZ170" s="188"/>
      <c r="PA170" s="188"/>
      <c r="PB170" s="188"/>
      <c r="PC170" s="188"/>
      <c r="PD170" s="188"/>
      <c r="PE170" s="188"/>
      <c r="PF170" s="188"/>
      <c r="PG170" s="188"/>
      <c r="PH170" s="188"/>
      <c r="PI170" s="188"/>
      <c r="PJ170" s="188"/>
      <c r="PK170" s="188"/>
      <c r="PL170" s="188"/>
      <c r="PM170" s="188"/>
      <c r="PN170" s="188"/>
      <c r="PO170" s="188"/>
      <c r="PP170" s="188"/>
      <c r="PQ170" s="188"/>
      <c r="PR170" s="188"/>
      <c r="PS170" s="188"/>
      <c r="PT170" s="188"/>
      <c r="PU170" s="188"/>
      <c r="PV170" s="188"/>
      <c r="PW170" s="188"/>
      <c r="PX170" s="188"/>
      <c r="PY170" s="188"/>
      <c r="PZ170" s="188"/>
      <c r="QA170" s="188"/>
      <c r="QB170" s="188"/>
      <c r="QC170" s="188"/>
      <c r="QD170" s="188"/>
      <c r="QE170" s="189"/>
      <c r="QF170" s="187"/>
      <c r="QG170" s="188"/>
      <c r="QH170" s="188"/>
      <c r="QI170" s="188"/>
      <c r="QJ170" s="188"/>
      <c r="QK170" s="189"/>
      <c r="QQ170" s="12"/>
      <c r="QR170" s="7"/>
      <c r="QS170" s="3"/>
      <c r="QT170" s="3"/>
      <c r="QU170" s="3"/>
      <c r="QV170" s="3"/>
      <c r="QW170" s="2"/>
    </row>
    <row r="171" spans="3:465" ht="5.0999999999999996" customHeight="1" x14ac:dyDescent="0.3">
      <c r="C171" s="11"/>
      <c r="D171" s="13"/>
      <c r="OR171" s="187"/>
      <c r="OS171" s="188"/>
      <c r="OT171" s="188"/>
      <c r="OU171" s="188"/>
      <c r="OV171" s="188"/>
      <c r="OW171" s="188"/>
      <c r="OX171" s="188"/>
      <c r="OY171" s="188"/>
      <c r="OZ171" s="188"/>
      <c r="PA171" s="188"/>
      <c r="PB171" s="188"/>
      <c r="PC171" s="188"/>
      <c r="PD171" s="188"/>
      <c r="PE171" s="188"/>
      <c r="PF171" s="188"/>
      <c r="PG171" s="188"/>
      <c r="PH171" s="188"/>
      <c r="PI171" s="188"/>
      <c r="PJ171" s="188"/>
      <c r="PK171" s="188"/>
      <c r="PL171" s="188"/>
      <c r="PM171" s="188"/>
      <c r="PN171" s="188"/>
      <c r="PO171" s="188"/>
      <c r="PP171" s="188"/>
      <c r="PQ171" s="188"/>
      <c r="PR171" s="188"/>
      <c r="PS171" s="188"/>
      <c r="PT171" s="188"/>
      <c r="PU171" s="188"/>
      <c r="PV171" s="188"/>
      <c r="PW171" s="188"/>
      <c r="PX171" s="188"/>
      <c r="PY171" s="188"/>
      <c r="PZ171" s="188"/>
      <c r="QA171" s="188"/>
      <c r="QB171" s="188"/>
      <c r="QC171" s="188"/>
      <c r="QD171" s="188"/>
      <c r="QE171" s="189"/>
      <c r="QF171" s="187"/>
      <c r="QG171" s="188"/>
      <c r="QH171" s="188"/>
      <c r="QI171" s="188"/>
      <c r="QJ171" s="188"/>
      <c r="QK171" s="189"/>
      <c r="QQ171" s="12"/>
      <c r="QR171" s="7"/>
      <c r="QS171" s="3"/>
      <c r="QT171" s="3"/>
      <c r="QU171" s="3"/>
      <c r="QV171" s="3"/>
      <c r="QW171" s="2"/>
    </row>
    <row r="172" spans="3:465" ht="5.0999999999999996" customHeight="1" x14ac:dyDescent="0.3">
      <c r="C172" s="11"/>
      <c r="D172" s="13"/>
      <c r="OR172" s="187"/>
      <c r="OS172" s="188"/>
      <c r="OT172" s="188"/>
      <c r="OU172" s="188"/>
      <c r="OV172" s="188"/>
      <c r="OW172" s="188"/>
      <c r="OX172" s="188"/>
      <c r="OY172" s="188"/>
      <c r="OZ172" s="188"/>
      <c r="PA172" s="188"/>
      <c r="PB172" s="188"/>
      <c r="PC172" s="188"/>
      <c r="PD172" s="188"/>
      <c r="PE172" s="188"/>
      <c r="PF172" s="188"/>
      <c r="PG172" s="188"/>
      <c r="PH172" s="188"/>
      <c r="PI172" s="188"/>
      <c r="PJ172" s="188"/>
      <c r="PK172" s="188"/>
      <c r="PL172" s="188"/>
      <c r="PM172" s="188"/>
      <c r="PN172" s="188"/>
      <c r="PO172" s="188"/>
      <c r="PP172" s="188"/>
      <c r="PQ172" s="188"/>
      <c r="PR172" s="188"/>
      <c r="PS172" s="188"/>
      <c r="PT172" s="188"/>
      <c r="PU172" s="188"/>
      <c r="PV172" s="188"/>
      <c r="PW172" s="188"/>
      <c r="PX172" s="188"/>
      <c r="PY172" s="188"/>
      <c r="PZ172" s="188"/>
      <c r="QA172" s="188"/>
      <c r="QB172" s="188"/>
      <c r="QC172" s="188"/>
      <c r="QD172" s="188"/>
      <c r="QE172" s="189"/>
      <c r="QF172" s="187"/>
      <c r="QG172" s="188"/>
      <c r="QH172" s="188"/>
      <c r="QI172" s="188"/>
      <c r="QJ172" s="188"/>
      <c r="QK172" s="189"/>
      <c r="QQ172" s="12"/>
      <c r="QR172" s="7"/>
      <c r="QS172" s="3"/>
      <c r="QT172" s="3"/>
      <c r="QU172" s="3"/>
      <c r="QV172" s="3"/>
      <c r="QW172" s="2"/>
    </row>
    <row r="173" spans="3:465" ht="5.0999999999999996" customHeight="1" x14ac:dyDescent="0.3">
      <c r="C173" s="11"/>
      <c r="D173" s="13"/>
      <c r="OR173" s="190"/>
      <c r="OS173" s="191"/>
      <c r="OT173" s="191"/>
      <c r="OU173" s="191"/>
      <c r="OV173" s="191"/>
      <c r="OW173" s="191"/>
      <c r="OX173" s="191"/>
      <c r="OY173" s="191"/>
      <c r="OZ173" s="191"/>
      <c r="PA173" s="191"/>
      <c r="PB173" s="191"/>
      <c r="PC173" s="191"/>
      <c r="PD173" s="191"/>
      <c r="PE173" s="191"/>
      <c r="PF173" s="191"/>
      <c r="PG173" s="191"/>
      <c r="PH173" s="191"/>
      <c r="PI173" s="191"/>
      <c r="PJ173" s="191"/>
      <c r="PK173" s="191"/>
      <c r="PL173" s="191"/>
      <c r="PM173" s="191"/>
      <c r="PN173" s="191"/>
      <c r="PO173" s="191"/>
      <c r="PP173" s="191"/>
      <c r="PQ173" s="191"/>
      <c r="PR173" s="191"/>
      <c r="PS173" s="191"/>
      <c r="PT173" s="191"/>
      <c r="PU173" s="191"/>
      <c r="PV173" s="191"/>
      <c r="PW173" s="191"/>
      <c r="PX173" s="191"/>
      <c r="PY173" s="191"/>
      <c r="PZ173" s="191"/>
      <c r="QA173" s="191"/>
      <c r="QB173" s="191"/>
      <c r="QC173" s="191"/>
      <c r="QD173" s="191"/>
      <c r="QE173" s="192"/>
      <c r="QF173" s="190"/>
      <c r="QG173" s="191"/>
      <c r="QH173" s="191"/>
      <c r="QI173" s="191"/>
      <c r="QJ173" s="191"/>
      <c r="QK173" s="192"/>
      <c r="QQ173" s="12"/>
      <c r="QR173" s="7"/>
      <c r="QS173" s="3"/>
      <c r="QT173" s="3"/>
      <c r="QU173" s="3"/>
      <c r="QV173" s="3"/>
      <c r="QW173" s="2"/>
    </row>
    <row r="174" spans="3:465" ht="5.0999999999999996" customHeight="1" x14ac:dyDescent="0.3">
      <c r="C174" s="11"/>
      <c r="D174" s="13"/>
      <c r="QQ174" s="12"/>
      <c r="QR174" s="7"/>
      <c r="QS174" s="3"/>
      <c r="QT174" s="3"/>
      <c r="QU174" s="3"/>
      <c r="QV174" s="3"/>
      <c r="QW174" s="2"/>
    </row>
    <row r="175" spans="3:465" ht="5.0999999999999996" customHeight="1" x14ac:dyDescent="0.3">
      <c r="C175" s="11"/>
      <c r="D175" s="13"/>
      <c r="QQ175" s="12"/>
      <c r="QR175" s="7"/>
      <c r="QS175" s="3"/>
      <c r="QT175" s="3"/>
      <c r="QU175" s="3"/>
      <c r="QV175" s="3"/>
      <c r="QW175" s="2"/>
    </row>
    <row r="176" spans="3:465" ht="5.0999999999999996" customHeight="1" x14ac:dyDescent="0.3">
      <c r="C176" s="11"/>
      <c r="D176" s="13"/>
      <c r="QQ176" s="12"/>
      <c r="QR176" s="7"/>
      <c r="QS176" s="3"/>
      <c r="QT176" s="3"/>
      <c r="QU176" s="3"/>
      <c r="QV176" s="3"/>
      <c r="QW176" s="2"/>
    </row>
    <row r="177" spans="3:465" ht="5.0999999999999996" customHeight="1" x14ac:dyDescent="0.3">
      <c r="C177" s="11"/>
      <c r="D177" s="13"/>
      <c r="QQ177" s="12"/>
      <c r="QR177" s="7"/>
    </row>
    <row r="178" spans="3:465" ht="5.0999999999999996" customHeight="1" x14ac:dyDescent="0.3">
      <c r="C178" s="11"/>
      <c r="D178" s="13"/>
      <c r="QQ178" s="12"/>
      <c r="QR178" s="7"/>
    </row>
    <row r="179" spans="3:465" ht="5.0999999999999996" customHeight="1" x14ac:dyDescent="0.3">
      <c r="C179" s="11"/>
      <c r="D179" s="13"/>
      <c r="QQ179" s="12"/>
      <c r="QR179" s="7"/>
    </row>
    <row r="180" spans="3:465" ht="5.0999999999999996" customHeight="1" x14ac:dyDescent="0.3">
      <c r="C180" s="11"/>
      <c r="D180" s="13"/>
      <c r="QQ180" s="12"/>
      <c r="QR180" s="7"/>
    </row>
    <row r="181" spans="3:465" ht="5.0999999999999996" customHeight="1" x14ac:dyDescent="0.3">
      <c r="C181" s="11"/>
      <c r="D181" s="13"/>
      <c r="QQ181" s="12"/>
      <c r="QR181" s="7"/>
    </row>
    <row r="182" spans="3:465" ht="5.0999999999999996" customHeight="1" x14ac:dyDescent="0.3">
      <c r="C182" s="11"/>
      <c r="D182" s="13"/>
      <c r="QQ182" s="12"/>
      <c r="QR182" s="7"/>
    </row>
    <row r="183" spans="3:465" ht="5.0999999999999996" customHeight="1" x14ac:dyDescent="0.3">
      <c r="C183" s="11"/>
      <c r="D183" s="13"/>
      <c r="QQ183" s="12"/>
      <c r="QR183" s="7"/>
    </row>
    <row r="184" spans="3:465" ht="5.0999999999999996" customHeight="1" x14ac:dyDescent="0.3">
      <c r="C184" s="11"/>
      <c r="D184" s="13"/>
      <c r="QQ184" s="12"/>
      <c r="QR184" s="7"/>
    </row>
    <row r="185" spans="3:465" ht="5.0999999999999996" customHeight="1" x14ac:dyDescent="0.3">
      <c r="C185" s="11"/>
      <c r="D185" s="13"/>
      <c r="QQ185" s="12"/>
      <c r="QR185" s="7"/>
      <c r="QS185" s="3"/>
      <c r="QT185" s="3"/>
      <c r="QU185" s="3"/>
      <c r="QV185" s="3"/>
      <c r="QW185" s="2"/>
    </row>
    <row r="186" spans="3:465" ht="5.0999999999999996" customHeight="1" x14ac:dyDescent="0.3">
      <c r="C186" s="11"/>
      <c r="D186" s="13"/>
      <c r="QQ186" s="12"/>
      <c r="QR186" s="7"/>
      <c r="QS186" s="3"/>
      <c r="QT186" s="3"/>
      <c r="QU186" s="3"/>
      <c r="QV186" s="3"/>
      <c r="QW186" s="2"/>
    </row>
    <row r="187" spans="3:465" ht="5.0999999999999996" customHeight="1" x14ac:dyDescent="0.3">
      <c r="C187" s="11"/>
      <c r="D187" s="13"/>
      <c r="QQ187" s="12"/>
      <c r="QR187" s="7"/>
      <c r="QS187" s="3"/>
      <c r="QT187" s="3"/>
      <c r="QU187" s="3"/>
      <c r="QV187" s="3"/>
      <c r="QW187" s="2"/>
    </row>
    <row r="188" spans="3:465" ht="5.0999999999999996" customHeight="1" x14ac:dyDescent="0.3">
      <c r="C188" s="11"/>
      <c r="D188" s="13"/>
      <c r="QQ188" s="12"/>
      <c r="QR188" s="7"/>
      <c r="QS188" s="3"/>
      <c r="QT188" s="3"/>
      <c r="QU188" s="3"/>
      <c r="QV188" s="3"/>
      <c r="QW188" s="2"/>
    </row>
    <row r="189" spans="3:465" ht="5.0999999999999996" customHeight="1" x14ac:dyDescent="0.3">
      <c r="C189" s="11"/>
      <c r="D189" s="13"/>
      <c r="QQ189" s="12"/>
      <c r="QR189" s="7"/>
      <c r="QS189" s="3"/>
      <c r="QT189" s="3"/>
      <c r="QU189" s="3"/>
      <c r="QV189" s="3"/>
      <c r="QW189" s="2"/>
    </row>
    <row r="190" spans="3:465" ht="5.0999999999999996" customHeight="1" x14ac:dyDescent="0.3">
      <c r="C190" s="11"/>
      <c r="D190" s="13"/>
      <c r="QQ190" s="12"/>
      <c r="QR190" s="7"/>
    </row>
    <row r="191" spans="3:465" ht="5.0999999999999996" customHeight="1" x14ac:dyDescent="0.3">
      <c r="C191" s="11"/>
      <c r="D191" s="13"/>
      <c r="AX191" s="1">
        <v>3</v>
      </c>
      <c r="QQ191" s="12"/>
      <c r="QR191" s="7"/>
    </row>
    <row r="192" spans="3:465" ht="5.0999999999999996" customHeight="1" x14ac:dyDescent="0.3">
      <c r="C192" s="11"/>
      <c r="D192" s="13"/>
      <c r="QQ192" s="12"/>
      <c r="QR192" s="7"/>
      <c r="QS192" s="3"/>
      <c r="QT192" s="3"/>
      <c r="QU192" s="3"/>
      <c r="QV192" s="3"/>
      <c r="QW192" s="2"/>
    </row>
    <row r="193" spans="3:484" ht="5.0999999999999996" customHeight="1" x14ac:dyDescent="0.3">
      <c r="C193" s="11"/>
      <c r="D193" s="13"/>
      <c r="QQ193" s="12"/>
      <c r="QR193" s="7"/>
      <c r="QS193" s="3"/>
      <c r="QT193" s="3"/>
      <c r="QU193" s="3"/>
      <c r="QV193" s="3"/>
      <c r="QW193" s="2"/>
    </row>
    <row r="194" spans="3:484" ht="5.0999999999999996" customHeight="1" x14ac:dyDescent="0.3">
      <c r="C194" s="11"/>
      <c r="D194" s="13"/>
      <c r="QQ194" s="12"/>
      <c r="QR194" s="7"/>
      <c r="QS194" s="3"/>
      <c r="QT194" s="3"/>
      <c r="QU194" s="3"/>
      <c r="QV194" s="3"/>
      <c r="QW194" s="2"/>
    </row>
    <row r="195" spans="3:484" ht="5.0999999999999996" customHeight="1" x14ac:dyDescent="0.3">
      <c r="C195" s="11"/>
      <c r="D195" s="13"/>
      <c r="QQ195" s="12"/>
      <c r="QR195" s="7"/>
      <c r="QS195" s="3"/>
      <c r="QT195" s="3"/>
      <c r="QU195" s="3"/>
      <c r="QV195" s="3"/>
      <c r="QW195" s="2"/>
    </row>
    <row r="196" spans="3:484" ht="5.0999999999999996" customHeight="1" x14ac:dyDescent="0.3">
      <c r="C196" s="11"/>
      <c r="D196" s="13"/>
      <c r="QQ196" s="12"/>
      <c r="QR196" s="7"/>
      <c r="QS196" s="3"/>
      <c r="QT196" s="3"/>
      <c r="QU196" s="3"/>
      <c r="QV196" s="3"/>
      <c r="QW196" s="2"/>
    </row>
    <row r="197" spans="3:484" ht="5.0999999999999996" customHeight="1" x14ac:dyDescent="0.3">
      <c r="C197" s="11"/>
      <c r="D197" s="13"/>
      <c r="QQ197" s="12"/>
      <c r="QR197" s="7"/>
      <c r="QS197" s="3"/>
      <c r="QT197" s="3"/>
      <c r="QU197" s="3"/>
      <c r="QV197" s="3"/>
      <c r="QW197" s="2"/>
    </row>
    <row r="198" spans="3:484" ht="5.0999999999999996" customHeight="1" x14ac:dyDescent="0.3">
      <c r="C198" s="11"/>
      <c r="D198" s="13"/>
      <c r="QQ198" s="12"/>
      <c r="QR198" s="7"/>
      <c r="QS198" s="3"/>
      <c r="QT198" s="3"/>
      <c r="QU198" s="3"/>
      <c r="QV198" s="3"/>
      <c r="QW198" s="2"/>
    </row>
    <row r="199" spans="3:484" ht="5.0999999999999996" customHeight="1" x14ac:dyDescent="0.3">
      <c r="C199" s="11"/>
      <c r="D199" s="13"/>
      <c r="QQ199" s="12"/>
      <c r="QR199" s="7"/>
      <c r="QS199" s="3"/>
      <c r="QT199" s="3"/>
      <c r="QU199" s="3"/>
      <c r="QV199" s="3"/>
      <c r="QW199" s="2"/>
    </row>
    <row r="200" spans="3:484" ht="5.0999999999999996" customHeight="1" x14ac:dyDescent="0.3">
      <c r="C200" s="11"/>
      <c r="D200" s="13"/>
      <c r="QQ200" s="12"/>
      <c r="QR200" s="7"/>
      <c r="QS200" s="3"/>
      <c r="QT200" s="3"/>
      <c r="QU200" s="3"/>
      <c r="QV200" s="3"/>
      <c r="QW200" s="2"/>
    </row>
    <row r="201" spans="3:484" ht="5.0999999999999996" customHeight="1" x14ac:dyDescent="0.3">
      <c r="C201" s="11"/>
      <c r="D201" s="13"/>
      <c r="AX201" s="1">
        <v>2</v>
      </c>
      <c r="QQ201" s="12"/>
      <c r="QR201" s="7"/>
      <c r="QS201" s="3"/>
      <c r="QT201" s="3"/>
      <c r="QU201" s="3"/>
      <c r="QV201" s="3"/>
      <c r="QW201" s="2"/>
    </row>
    <row r="202" spans="3:484" ht="5.0999999999999996" customHeight="1" x14ac:dyDescent="0.3">
      <c r="C202" s="11"/>
      <c r="D202" s="13"/>
      <c r="QQ202" s="12"/>
      <c r="QR202" s="7"/>
      <c r="QS202" s="3"/>
      <c r="QT202" s="3"/>
      <c r="QU202" s="3"/>
      <c r="QV202" s="3"/>
      <c r="QW202" s="2"/>
    </row>
    <row r="203" spans="3:484" ht="5.0999999999999996" customHeight="1" x14ac:dyDescent="0.3">
      <c r="C203" s="11"/>
      <c r="D203" s="13"/>
      <c r="QQ203" s="12"/>
      <c r="QR203" s="7"/>
      <c r="QS203" s="3"/>
      <c r="QT203" s="3"/>
      <c r="QU203" s="3"/>
      <c r="QV203" s="3"/>
      <c r="QW203" s="2"/>
    </row>
    <row r="204" spans="3:484" ht="5.0999999999999996" customHeight="1" x14ac:dyDescent="0.3">
      <c r="C204" s="11"/>
      <c r="D204" s="13"/>
      <c r="QQ204" s="12"/>
      <c r="QR204" s="7"/>
      <c r="QS204" s="3"/>
      <c r="QT204" s="3"/>
      <c r="QU204" s="3"/>
      <c r="QV204" s="3"/>
      <c r="QW204" s="2"/>
    </row>
    <row r="205" spans="3:484" ht="5.0999999999999996" customHeight="1" x14ac:dyDescent="0.3">
      <c r="C205" s="11"/>
      <c r="D205" s="13"/>
      <c r="QQ205" s="12"/>
      <c r="QR205" s="7"/>
      <c r="QS205" s="3"/>
      <c r="QT205" s="3"/>
      <c r="QU205" s="3"/>
      <c r="QV205" s="3"/>
      <c r="QW205" s="2"/>
    </row>
    <row r="206" spans="3:484" ht="5.0999999999999996" customHeight="1" x14ac:dyDescent="0.3">
      <c r="C206" s="11"/>
      <c r="D206" s="13"/>
      <c r="QQ206" s="12"/>
      <c r="QR206" s="7"/>
      <c r="QS206" s="3"/>
      <c r="QT206" s="3"/>
      <c r="QU206" s="3"/>
      <c r="QV206" s="3"/>
      <c r="QW206" s="2"/>
    </row>
    <row r="207" spans="3:484" ht="5.0999999999999996" customHeight="1" x14ac:dyDescent="0.3">
      <c r="C207" s="11"/>
      <c r="D207" s="13"/>
      <c r="QQ207" s="12"/>
      <c r="QR207" s="7"/>
      <c r="QS207" s="3"/>
      <c r="QT207" s="3"/>
      <c r="QU207" s="3"/>
      <c r="QV207" s="3"/>
      <c r="QW207" s="2"/>
      <c r="RK207" s="3"/>
      <c r="RL207" s="3"/>
      <c r="RM207" s="3"/>
      <c r="RN207" s="3"/>
      <c r="RO207" s="3"/>
      <c r="RP207" s="2"/>
    </row>
    <row r="208" spans="3:484" ht="5.0999999999999996" customHeight="1" x14ac:dyDescent="0.3">
      <c r="C208" s="11"/>
      <c r="D208" s="13"/>
      <c r="QQ208" s="12"/>
      <c r="QR208" s="7"/>
    </row>
    <row r="209" spans="3:460" ht="5.0999999999999996" customHeight="1" x14ac:dyDescent="0.3">
      <c r="C209" s="11"/>
      <c r="D209" s="13"/>
      <c r="QQ209" s="12"/>
      <c r="QR209" s="7"/>
    </row>
    <row r="210" spans="3:460" ht="5.0999999999999996" customHeight="1" x14ac:dyDescent="0.3">
      <c r="C210" s="11"/>
      <c r="D210" s="13"/>
      <c r="QQ210" s="12"/>
      <c r="QR210" s="7"/>
    </row>
    <row r="211" spans="3:460" ht="5.0999999999999996" customHeight="1" x14ac:dyDescent="0.3">
      <c r="C211" s="11"/>
      <c r="D211" s="13"/>
      <c r="AW211" s="1">
        <v>10</v>
      </c>
      <c r="AX211" s="1">
        <v>3</v>
      </c>
      <c r="EP211" s="1">
        <v>3</v>
      </c>
      <c r="QQ211" s="12"/>
      <c r="QR211" s="7"/>
    </row>
    <row r="212" spans="3:460" ht="5.0999999999999996" customHeight="1" x14ac:dyDescent="0.3">
      <c r="C212" s="11"/>
      <c r="D212" s="13"/>
      <c r="QQ212" s="12"/>
      <c r="QR212" s="7"/>
    </row>
    <row r="213" spans="3:460" ht="5.0999999999999996" customHeight="1" x14ac:dyDescent="0.3">
      <c r="C213" s="11"/>
      <c r="D213" s="13"/>
      <c r="QQ213" s="12"/>
      <c r="QR213" s="7"/>
    </row>
    <row r="214" spans="3:460" ht="5.0999999999999996" customHeight="1" x14ac:dyDescent="0.3">
      <c r="C214" s="11"/>
      <c r="D214" s="13"/>
      <c r="QQ214" s="12"/>
      <c r="QR214" s="7"/>
    </row>
    <row r="215" spans="3:460" ht="5.0999999999999996" customHeight="1" x14ac:dyDescent="0.3">
      <c r="C215" s="11"/>
      <c r="D215" s="13"/>
      <c r="DK215" s="193" t="s">
        <v>190</v>
      </c>
      <c r="DL215" s="193"/>
      <c r="DM215" s="193"/>
      <c r="DN215" s="193"/>
      <c r="DO215" s="193"/>
      <c r="DP215" s="193"/>
      <c r="DQ215" s="193"/>
      <c r="DR215" s="193"/>
      <c r="DS215" s="193"/>
      <c r="DT215" s="193"/>
      <c r="DU215" s="193"/>
      <c r="DV215" s="193"/>
      <c r="DW215" s="193"/>
      <c r="DX215" s="193"/>
      <c r="DY215" s="193"/>
      <c r="DZ215" s="193"/>
      <c r="EA215" s="193"/>
      <c r="EB215" s="193"/>
      <c r="EC215" s="193"/>
      <c r="ED215" s="193"/>
      <c r="EE215" s="193"/>
      <c r="EF215" s="193"/>
      <c r="EG215" s="193"/>
      <c r="EH215" s="193"/>
      <c r="EI215" s="193"/>
      <c r="EJ215" s="193"/>
      <c r="EK215" s="193"/>
      <c r="EL215" s="193"/>
      <c r="EM215" s="193"/>
      <c r="EN215" s="193"/>
      <c r="EO215" s="193"/>
      <c r="EP215" s="193"/>
      <c r="EQ215" s="193"/>
      <c r="ER215" s="193"/>
      <c r="ES215" s="193"/>
      <c r="ET215" s="193"/>
      <c r="EU215" s="193"/>
      <c r="EV215" s="193"/>
      <c r="EW215" s="193"/>
      <c r="EX215" s="193"/>
      <c r="EY215" s="193"/>
      <c r="EZ215" s="193"/>
      <c r="FA215" s="193"/>
      <c r="FB215" s="193">
        <f>SUM(FB221:FF240)</f>
        <v>4</v>
      </c>
      <c r="FC215" s="193"/>
      <c r="FD215" s="193"/>
      <c r="FE215" s="193"/>
      <c r="FF215" s="193"/>
      <c r="FK215" s="193" t="s">
        <v>191</v>
      </c>
      <c r="FL215" s="193"/>
      <c r="FM215" s="193"/>
      <c r="FN215" s="193"/>
      <c r="FO215" s="193"/>
      <c r="FP215" s="193"/>
      <c r="FQ215" s="193"/>
      <c r="FR215" s="193"/>
      <c r="FS215" s="193"/>
      <c r="FT215" s="193"/>
      <c r="FU215" s="193"/>
      <c r="FV215" s="193"/>
      <c r="FW215" s="193"/>
      <c r="FX215" s="193"/>
      <c r="FY215" s="193"/>
      <c r="FZ215" s="193"/>
      <c r="GA215" s="193"/>
      <c r="GB215" s="193"/>
      <c r="GC215" s="193"/>
      <c r="GD215" s="193"/>
      <c r="GE215" s="193"/>
      <c r="GF215" s="193"/>
      <c r="GG215" s="193"/>
      <c r="GH215" s="193"/>
      <c r="GI215" s="193"/>
      <c r="GJ215" s="193"/>
      <c r="GK215" s="193"/>
      <c r="GL215" s="193"/>
      <c r="GM215" s="193"/>
      <c r="GN215" s="193"/>
      <c r="GO215" s="193"/>
      <c r="GP215" s="193"/>
      <c r="GQ215" s="193"/>
      <c r="GR215" s="193"/>
      <c r="GS215" s="193"/>
      <c r="GT215" s="193"/>
      <c r="GU215" s="193"/>
      <c r="GV215" s="193"/>
      <c r="GW215" s="193"/>
      <c r="GX215" s="193"/>
      <c r="GY215" s="193"/>
      <c r="GZ215" s="193"/>
      <c r="HA215" s="193"/>
      <c r="HB215" s="194">
        <f>SUM(HB221:HF240)</f>
        <v>1</v>
      </c>
      <c r="HC215" s="194"/>
      <c r="HD215" s="194"/>
      <c r="HE215" s="194"/>
      <c r="HF215" s="194"/>
      <c r="QQ215" s="12"/>
      <c r="QR215" s="7"/>
    </row>
    <row r="216" spans="3:460" ht="5.0999999999999996" customHeight="1" x14ac:dyDescent="0.3">
      <c r="C216" s="11"/>
      <c r="D216" s="13"/>
      <c r="DK216" s="193"/>
      <c r="DL216" s="193"/>
      <c r="DM216" s="193"/>
      <c r="DN216" s="193"/>
      <c r="DO216" s="193"/>
      <c r="DP216" s="193"/>
      <c r="DQ216" s="193"/>
      <c r="DR216" s="193"/>
      <c r="DS216" s="193"/>
      <c r="DT216" s="193"/>
      <c r="DU216" s="193"/>
      <c r="DV216" s="193"/>
      <c r="DW216" s="193"/>
      <c r="DX216" s="193"/>
      <c r="DY216" s="193"/>
      <c r="DZ216" s="193"/>
      <c r="EA216" s="193"/>
      <c r="EB216" s="193"/>
      <c r="EC216" s="193"/>
      <c r="ED216" s="193"/>
      <c r="EE216" s="193"/>
      <c r="EF216" s="193"/>
      <c r="EG216" s="193"/>
      <c r="EH216" s="193"/>
      <c r="EI216" s="193"/>
      <c r="EJ216" s="193"/>
      <c r="EK216" s="193"/>
      <c r="EL216" s="193"/>
      <c r="EM216" s="193"/>
      <c r="EN216" s="193"/>
      <c r="EO216" s="193"/>
      <c r="EP216" s="193"/>
      <c r="EQ216" s="193"/>
      <c r="ER216" s="193"/>
      <c r="ES216" s="193"/>
      <c r="ET216" s="193"/>
      <c r="EU216" s="193"/>
      <c r="EV216" s="193"/>
      <c r="EW216" s="193"/>
      <c r="EX216" s="193"/>
      <c r="EY216" s="193"/>
      <c r="EZ216" s="193"/>
      <c r="FA216" s="193"/>
      <c r="FB216" s="193"/>
      <c r="FC216" s="193"/>
      <c r="FD216" s="193"/>
      <c r="FE216" s="193"/>
      <c r="FF216" s="193"/>
      <c r="FK216" s="193"/>
      <c r="FL216" s="193"/>
      <c r="FM216" s="193"/>
      <c r="FN216" s="193"/>
      <c r="FO216" s="193"/>
      <c r="FP216" s="193"/>
      <c r="FQ216" s="193"/>
      <c r="FR216" s="193"/>
      <c r="FS216" s="193"/>
      <c r="FT216" s="193"/>
      <c r="FU216" s="193"/>
      <c r="FV216" s="193"/>
      <c r="FW216" s="193"/>
      <c r="FX216" s="193"/>
      <c r="FY216" s="193"/>
      <c r="FZ216" s="193"/>
      <c r="GA216" s="193"/>
      <c r="GB216" s="193"/>
      <c r="GC216" s="193"/>
      <c r="GD216" s="193"/>
      <c r="GE216" s="193"/>
      <c r="GF216" s="193"/>
      <c r="GG216" s="193"/>
      <c r="GH216" s="193"/>
      <c r="GI216" s="193"/>
      <c r="GJ216" s="193"/>
      <c r="GK216" s="193"/>
      <c r="GL216" s="193"/>
      <c r="GM216" s="193"/>
      <c r="GN216" s="193"/>
      <c r="GO216" s="193"/>
      <c r="GP216" s="193"/>
      <c r="GQ216" s="193"/>
      <c r="GR216" s="193"/>
      <c r="GS216" s="193"/>
      <c r="GT216" s="193"/>
      <c r="GU216" s="193"/>
      <c r="GV216" s="193"/>
      <c r="GW216" s="193"/>
      <c r="GX216" s="193"/>
      <c r="GY216" s="193"/>
      <c r="GZ216" s="193"/>
      <c r="HA216" s="193"/>
      <c r="HB216" s="194"/>
      <c r="HC216" s="194"/>
      <c r="HD216" s="194"/>
      <c r="HE216" s="194"/>
      <c r="HF216" s="194"/>
      <c r="QQ216" s="12"/>
      <c r="QR216" s="7"/>
    </row>
    <row r="217" spans="3:460" ht="5.0999999999999996" customHeight="1" x14ac:dyDescent="0.3">
      <c r="C217" s="11"/>
      <c r="D217" s="13"/>
      <c r="DK217" s="193"/>
      <c r="DL217" s="193"/>
      <c r="DM217" s="193"/>
      <c r="DN217" s="193"/>
      <c r="DO217" s="193"/>
      <c r="DP217" s="193"/>
      <c r="DQ217" s="193"/>
      <c r="DR217" s="193"/>
      <c r="DS217" s="193"/>
      <c r="DT217" s="193"/>
      <c r="DU217" s="193"/>
      <c r="DV217" s="193"/>
      <c r="DW217" s="193"/>
      <c r="DX217" s="193"/>
      <c r="DY217" s="193"/>
      <c r="DZ217" s="193"/>
      <c r="EA217" s="193"/>
      <c r="EB217" s="193"/>
      <c r="EC217" s="193"/>
      <c r="ED217" s="193"/>
      <c r="EE217" s="193"/>
      <c r="EF217" s="193"/>
      <c r="EG217" s="193"/>
      <c r="EH217" s="193"/>
      <c r="EI217" s="193"/>
      <c r="EJ217" s="193"/>
      <c r="EK217" s="193"/>
      <c r="EL217" s="193"/>
      <c r="EM217" s="193"/>
      <c r="EN217" s="193"/>
      <c r="EO217" s="193"/>
      <c r="EP217" s="193"/>
      <c r="EQ217" s="193"/>
      <c r="ER217" s="193"/>
      <c r="ES217" s="193"/>
      <c r="ET217" s="193"/>
      <c r="EU217" s="193"/>
      <c r="EV217" s="193"/>
      <c r="EW217" s="193"/>
      <c r="EX217" s="193"/>
      <c r="EY217" s="193"/>
      <c r="EZ217" s="193"/>
      <c r="FA217" s="193"/>
      <c r="FB217" s="193"/>
      <c r="FC217" s="193"/>
      <c r="FD217" s="193"/>
      <c r="FE217" s="193"/>
      <c r="FF217" s="193"/>
      <c r="FK217" s="193"/>
      <c r="FL217" s="193"/>
      <c r="FM217" s="193"/>
      <c r="FN217" s="193"/>
      <c r="FO217" s="193"/>
      <c r="FP217" s="193"/>
      <c r="FQ217" s="193"/>
      <c r="FR217" s="193"/>
      <c r="FS217" s="193"/>
      <c r="FT217" s="193"/>
      <c r="FU217" s="193"/>
      <c r="FV217" s="193"/>
      <c r="FW217" s="193"/>
      <c r="FX217" s="193"/>
      <c r="FY217" s="193"/>
      <c r="FZ217" s="193"/>
      <c r="GA217" s="193"/>
      <c r="GB217" s="193"/>
      <c r="GC217" s="193"/>
      <c r="GD217" s="193"/>
      <c r="GE217" s="193"/>
      <c r="GF217" s="193"/>
      <c r="GG217" s="193"/>
      <c r="GH217" s="193"/>
      <c r="GI217" s="193"/>
      <c r="GJ217" s="193"/>
      <c r="GK217" s="193"/>
      <c r="GL217" s="193"/>
      <c r="GM217" s="193"/>
      <c r="GN217" s="193"/>
      <c r="GO217" s="193"/>
      <c r="GP217" s="193"/>
      <c r="GQ217" s="193"/>
      <c r="GR217" s="193"/>
      <c r="GS217" s="193"/>
      <c r="GT217" s="193"/>
      <c r="GU217" s="193"/>
      <c r="GV217" s="193"/>
      <c r="GW217" s="193"/>
      <c r="GX217" s="193"/>
      <c r="GY217" s="193"/>
      <c r="GZ217" s="193"/>
      <c r="HA217" s="193"/>
      <c r="HB217" s="194"/>
      <c r="HC217" s="194"/>
      <c r="HD217" s="194"/>
      <c r="HE217" s="194"/>
      <c r="HF217" s="194"/>
      <c r="QQ217" s="12"/>
      <c r="QR217" s="7"/>
    </row>
    <row r="218" spans="3:460" ht="5.0999999999999996" customHeight="1" x14ac:dyDescent="0.3">
      <c r="C218" s="11"/>
      <c r="D218" s="13"/>
      <c r="DK218" s="193"/>
      <c r="DL218" s="193"/>
      <c r="DM218" s="193"/>
      <c r="DN218" s="193"/>
      <c r="DO218" s="193"/>
      <c r="DP218" s="193"/>
      <c r="DQ218" s="193"/>
      <c r="DR218" s="193"/>
      <c r="DS218" s="193"/>
      <c r="DT218" s="193"/>
      <c r="DU218" s="193"/>
      <c r="DV218" s="193"/>
      <c r="DW218" s="193"/>
      <c r="DX218" s="193"/>
      <c r="DY218" s="193"/>
      <c r="DZ218" s="193"/>
      <c r="EA218" s="193"/>
      <c r="EB218" s="193"/>
      <c r="EC218" s="193"/>
      <c r="ED218" s="193"/>
      <c r="EE218" s="193"/>
      <c r="EF218" s="193"/>
      <c r="EG218" s="193"/>
      <c r="EH218" s="193"/>
      <c r="EI218" s="193"/>
      <c r="EJ218" s="193"/>
      <c r="EK218" s="193"/>
      <c r="EL218" s="193"/>
      <c r="EM218" s="193"/>
      <c r="EN218" s="193"/>
      <c r="EO218" s="193"/>
      <c r="EP218" s="193"/>
      <c r="EQ218" s="193"/>
      <c r="ER218" s="193"/>
      <c r="ES218" s="193"/>
      <c r="ET218" s="193"/>
      <c r="EU218" s="193"/>
      <c r="EV218" s="193"/>
      <c r="EW218" s="193"/>
      <c r="EX218" s="193"/>
      <c r="EY218" s="193"/>
      <c r="EZ218" s="193"/>
      <c r="FA218" s="193"/>
      <c r="FB218" s="193"/>
      <c r="FC218" s="193"/>
      <c r="FD218" s="193"/>
      <c r="FE218" s="193"/>
      <c r="FF218" s="193"/>
      <c r="FK218" s="193"/>
      <c r="FL218" s="193"/>
      <c r="FM218" s="193"/>
      <c r="FN218" s="193"/>
      <c r="FO218" s="193"/>
      <c r="FP218" s="193"/>
      <c r="FQ218" s="193"/>
      <c r="FR218" s="193"/>
      <c r="FS218" s="193"/>
      <c r="FT218" s="193"/>
      <c r="FU218" s="193"/>
      <c r="FV218" s="193"/>
      <c r="FW218" s="193"/>
      <c r="FX218" s="193"/>
      <c r="FY218" s="193"/>
      <c r="FZ218" s="193"/>
      <c r="GA218" s="193"/>
      <c r="GB218" s="193"/>
      <c r="GC218" s="193"/>
      <c r="GD218" s="193"/>
      <c r="GE218" s="193"/>
      <c r="GF218" s="193"/>
      <c r="GG218" s="193"/>
      <c r="GH218" s="193"/>
      <c r="GI218" s="193"/>
      <c r="GJ218" s="193"/>
      <c r="GK218" s="193"/>
      <c r="GL218" s="193"/>
      <c r="GM218" s="193"/>
      <c r="GN218" s="193"/>
      <c r="GO218" s="193"/>
      <c r="GP218" s="193"/>
      <c r="GQ218" s="193"/>
      <c r="GR218" s="193"/>
      <c r="GS218" s="193"/>
      <c r="GT218" s="193"/>
      <c r="GU218" s="193"/>
      <c r="GV218" s="193"/>
      <c r="GW218" s="193"/>
      <c r="GX218" s="193"/>
      <c r="GY218" s="193"/>
      <c r="GZ218" s="193"/>
      <c r="HA218" s="193"/>
      <c r="HB218" s="194"/>
      <c r="HC218" s="194"/>
      <c r="HD218" s="194"/>
      <c r="HE218" s="194"/>
      <c r="HF218" s="194"/>
      <c r="QQ218" s="12"/>
      <c r="QR218" s="7"/>
    </row>
    <row r="219" spans="3:460" ht="5.0999999999999996" customHeight="1" x14ac:dyDescent="0.3">
      <c r="C219" s="11"/>
      <c r="D219" s="13"/>
      <c r="DK219" s="193"/>
      <c r="DL219" s="193"/>
      <c r="DM219" s="193"/>
      <c r="DN219" s="193"/>
      <c r="DO219" s="193"/>
      <c r="DP219" s="193"/>
      <c r="DQ219" s="193"/>
      <c r="DR219" s="193"/>
      <c r="DS219" s="193"/>
      <c r="DT219" s="193"/>
      <c r="DU219" s="193"/>
      <c r="DV219" s="193"/>
      <c r="DW219" s="193"/>
      <c r="DX219" s="193"/>
      <c r="DY219" s="193"/>
      <c r="DZ219" s="193"/>
      <c r="EA219" s="193"/>
      <c r="EB219" s="193"/>
      <c r="EC219" s="193"/>
      <c r="ED219" s="193"/>
      <c r="EE219" s="193"/>
      <c r="EF219" s="193"/>
      <c r="EG219" s="193"/>
      <c r="EH219" s="193"/>
      <c r="EI219" s="193"/>
      <c r="EJ219" s="193"/>
      <c r="EK219" s="193"/>
      <c r="EL219" s="193"/>
      <c r="EM219" s="193"/>
      <c r="EN219" s="193"/>
      <c r="EO219" s="193"/>
      <c r="EP219" s="193"/>
      <c r="EQ219" s="193"/>
      <c r="ER219" s="193"/>
      <c r="ES219" s="193"/>
      <c r="ET219" s="193"/>
      <c r="EU219" s="193"/>
      <c r="EV219" s="193"/>
      <c r="EW219" s="193"/>
      <c r="EX219" s="193"/>
      <c r="EY219" s="193"/>
      <c r="EZ219" s="193"/>
      <c r="FA219" s="193"/>
      <c r="FB219" s="193"/>
      <c r="FC219" s="193"/>
      <c r="FD219" s="193"/>
      <c r="FE219" s="193"/>
      <c r="FF219" s="193"/>
      <c r="FK219" s="193"/>
      <c r="FL219" s="193"/>
      <c r="FM219" s="193"/>
      <c r="FN219" s="193"/>
      <c r="FO219" s="193"/>
      <c r="FP219" s="193"/>
      <c r="FQ219" s="193"/>
      <c r="FR219" s="193"/>
      <c r="FS219" s="193"/>
      <c r="FT219" s="193"/>
      <c r="FU219" s="193"/>
      <c r="FV219" s="193"/>
      <c r="FW219" s="193"/>
      <c r="FX219" s="193"/>
      <c r="FY219" s="193"/>
      <c r="FZ219" s="193"/>
      <c r="GA219" s="193"/>
      <c r="GB219" s="193"/>
      <c r="GC219" s="193"/>
      <c r="GD219" s="193"/>
      <c r="GE219" s="193"/>
      <c r="GF219" s="193"/>
      <c r="GG219" s="193"/>
      <c r="GH219" s="193"/>
      <c r="GI219" s="193"/>
      <c r="GJ219" s="193"/>
      <c r="GK219" s="193"/>
      <c r="GL219" s="193"/>
      <c r="GM219" s="193"/>
      <c r="GN219" s="193"/>
      <c r="GO219" s="193"/>
      <c r="GP219" s="193"/>
      <c r="GQ219" s="193"/>
      <c r="GR219" s="193"/>
      <c r="GS219" s="193"/>
      <c r="GT219" s="193"/>
      <c r="GU219" s="193"/>
      <c r="GV219" s="193"/>
      <c r="GW219" s="193"/>
      <c r="GX219" s="193"/>
      <c r="GY219" s="193"/>
      <c r="GZ219" s="193"/>
      <c r="HA219" s="193"/>
      <c r="HB219" s="194"/>
      <c r="HC219" s="194"/>
      <c r="HD219" s="194"/>
      <c r="HE219" s="194"/>
      <c r="HF219" s="194"/>
      <c r="QQ219" s="12"/>
      <c r="QR219" s="7"/>
    </row>
    <row r="220" spans="3:460" ht="5.0999999999999996" customHeight="1" x14ac:dyDescent="0.3">
      <c r="C220" s="11"/>
      <c r="D220" s="13"/>
      <c r="DK220" s="193"/>
      <c r="DL220" s="193"/>
      <c r="DM220" s="193"/>
      <c r="DN220" s="193"/>
      <c r="DO220" s="193"/>
      <c r="DP220" s="193"/>
      <c r="DQ220" s="193"/>
      <c r="DR220" s="193"/>
      <c r="DS220" s="193"/>
      <c r="DT220" s="193"/>
      <c r="DU220" s="193"/>
      <c r="DV220" s="193"/>
      <c r="DW220" s="193"/>
      <c r="DX220" s="193"/>
      <c r="DY220" s="193"/>
      <c r="DZ220" s="193"/>
      <c r="EA220" s="193"/>
      <c r="EB220" s="193"/>
      <c r="EC220" s="193"/>
      <c r="ED220" s="193"/>
      <c r="EE220" s="193"/>
      <c r="EF220" s="193"/>
      <c r="EG220" s="193"/>
      <c r="EH220" s="193"/>
      <c r="EI220" s="193"/>
      <c r="EJ220" s="193"/>
      <c r="EK220" s="193"/>
      <c r="EL220" s="193"/>
      <c r="EM220" s="193"/>
      <c r="EN220" s="193"/>
      <c r="EO220" s="193"/>
      <c r="EP220" s="193"/>
      <c r="EQ220" s="193"/>
      <c r="ER220" s="193"/>
      <c r="ES220" s="193"/>
      <c r="ET220" s="193"/>
      <c r="EU220" s="193"/>
      <c r="EV220" s="193"/>
      <c r="EW220" s="193"/>
      <c r="EX220" s="193"/>
      <c r="EY220" s="193"/>
      <c r="EZ220" s="193"/>
      <c r="FA220" s="193"/>
      <c r="FB220" s="193"/>
      <c r="FC220" s="193"/>
      <c r="FD220" s="193"/>
      <c r="FE220" s="193"/>
      <c r="FF220" s="193"/>
      <c r="FK220" s="193"/>
      <c r="FL220" s="193"/>
      <c r="FM220" s="193"/>
      <c r="FN220" s="193"/>
      <c r="FO220" s="193"/>
      <c r="FP220" s="193"/>
      <c r="FQ220" s="193"/>
      <c r="FR220" s="193"/>
      <c r="FS220" s="193"/>
      <c r="FT220" s="193"/>
      <c r="FU220" s="193"/>
      <c r="FV220" s="193"/>
      <c r="FW220" s="193"/>
      <c r="FX220" s="193"/>
      <c r="FY220" s="193"/>
      <c r="FZ220" s="193"/>
      <c r="GA220" s="193"/>
      <c r="GB220" s="193"/>
      <c r="GC220" s="193"/>
      <c r="GD220" s="193"/>
      <c r="GE220" s="193"/>
      <c r="GF220" s="193"/>
      <c r="GG220" s="193"/>
      <c r="GH220" s="193"/>
      <c r="GI220" s="193"/>
      <c r="GJ220" s="193"/>
      <c r="GK220" s="193"/>
      <c r="GL220" s="193"/>
      <c r="GM220" s="193"/>
      <c r="GN220" s="193"/>
      <c r="GO220" s="193"/>
      <c r="GP220" s="193"/>
      <c r="GQ220" s="193"/>
      <c r="GR220" s="193"/>
      <c r="GS220" s="193"/>
      <c r="GT220" s="193"/>
      <c r="GU220" s="193"/>
      <c r="GV220" s="193"/>
      <c r="GW220" s="193"/>
      <c r="GX220" s="193"/>
      <c r="GY220" s="193"/>
      <c r="GZ220" s="193"/>
      <c r="HA220" s="193"/>
      <c r="HB220" s="194"/>
      <c r="HC220" s="194"/>
      <c r="HD220" s="194"/>
      <c r="HE220" s="194"/>
      <c r="HF220" s="194"/>
      <c r="QQ220" s="12"/>
      <c r="QR220" s="7"/>
    </row>
    <row r="221" spans="3:460" ht="5.0999999999999996" customHeight="1" x14ac:dyDescent="0.3">
      <c r="C221" s="11"/>
      <c r="D221" s="13"/>
      <c r="AW221" s="1">
        <v>10</v>
      </c>
      <c r="DK221" s="166" t="s">
        <v>201</v>
      </c>
      <c r="DL221" s="167"/>
      <c r="DM221" s="167"/>
      <c r="DN221" s="167"/>
      <c r="DO221" s="167"/>
      <c r="DP221" s="167"/>
      <c r="DQ221" s="167"/>
      <c r="DR221" s="167"/>
      <c r="DS221" s="167"/>
      <c r="DT221" s="167"/>
      <c r="DU221" s="167"/>
      <c r="DV221" s="167"/>
      <c r="DW221" s="167"/>
      <c r="DX221" s="167"/>
      <c r="DY221" s="167"/>
      <c r="DZ221" s="167"/>
      <c r="EA221" s="167"/>
      <c r="EB221" s="167"/>
      <c r="EC221" s="167"/>
      <c r="ED221" s="167"/>
      <c r="EE221" s="167"/>
      <c r="EF221" s="167"/>
      <c r="EG221" s="167"/>
      <c r="EH221" s="167"/>
      <c r="EI221" s="167"/>
      <c r="EJ221" s="167"/>
      <c r="EK221" s="167"/>
      <c r="EL221" s="167"/>
      <c r="EM221" s="167"/>
      <c r="EN221" s="167"/>
      <c r="EO221" s="167"/>
      <c r="EP221" s="167"/>
      <c r="EQ221" s="167"/>
      <c r="ER221" s="167"/>
      <c r="ES221" s="167"/>
      <c r="ET221" s="167"/>
      <c r="EU221" s="167"/>
      <c r="EV221" s="167"/>
      <c r="EW221" s="167"/>
      <c r="EX221" s="167"/>
      <c r="EY221" s="167"/>
      <c r="EZ221" s="167"/>
      <c r="FA221" s="168"/>
      <c r="FB221" s="166">
        <v>1</v>
      </c>
      <c r="FC221" s="167"/>
      <c r="FD221" s="167"/>
      <c r="FE221" s="167"/>
      <c r="FF221" s="168"/>
      <c r="FK221" s="175" t="s">
        <v>57</v>
      </c>
      <c r="FL221" s="176"/>
      <c r="FM221" s="176"/>
      <c r="FN221" s="176"/>
      <c r="FO221" s="176"/>
      <c r="FP221" s="176"/>
      <c r="FQ221" s="176"/>
      <c r="FR221" s="176"/>
      <c r="FS221" s="176"/>
      <c r="FT221" s="176"/>
      <c r="FU221" s="176"/>
      <c r="FV221" s="176"/>
      <c r="FW221" s="176"/>
      <c r="FX221" s="176"/>
      <c r="FY221" s="176"/>
      <c r="FZ221" s="176"/>
      <c r="GA221" s="176"/>
      <c r="GB221" s="176"/>
      <c r="GC221" s="176"/>
      <c r="GD221" s="176"/>
      <c r="GE221" s="176"/>
      <c r="GF221" s="176"/>
      <c r="GG221" s="176"/>
      <c r="GH221" s="176"/>
      <c r="GI221" s="176"/>
      <c r="GJ221" s="176"/>
      <c r="GK221" s="176"/>
      <c r="GL221" s="176"/>
      <c r="GM221" s="176"/>
      <c r="GN221" s="176"/>
      <c r="GO221" s="176"/>
      <c r="GP221" s="176"/>
      <c r="GQ221" s="176"/>
      <c r="GR221" s="176"/>
      <c r="GS221" s="176"/>
      <c r="GT221" s="176"/>
      <c r="GU221" s="176"/>
      <c r="GV221" s="176"/>
      <c r="GW221" s="176"/>
      <c r="GX221" s="176"/>
      <c r="GY221" s="176"/>
      <c r="GZ221" s="176"/>
      <c r="HA221" s="177"/>
      <c r="HB221" s="175">
        <v>1</v>
      </c>
      <c r="HC221" s="176"/>
      <c r="HD221" s="176"/>
      <c r="HE221" s="176"/>
      <c r="HF221" s="177"/>
      <c r="QQ221" s="12"/>
      <c r="QR221" s="7"/>
    </row>
    <row r="222" spans="3:460" ht="5.0999999999999996" customHeight="1" x14ac:dyDescent="0.3">
      <c r="C222" s="11"/>
      <c r="D222" s="13"/>
      <c r="DK222" s="169"/>
      <c r="DL222" s="170"/>
      <c r="DM222" s="170"/>
      <c r="DN222" s="170"/>
      <c r="DO222" s="170"/>
      <c r="DP222" s="170"/>
      <c r="DQ222" s="170"/>
      <c r="DR222" s="170"/>
      <c r="DS222" s="170"/>
      <c r="DT222" s="170"/>
      <c r="DU222" s="170"/>
      <c r="DV222" s="170"/>
      <c r="DW222" s="170"/>
      <c r="DX222" s="170"/>
      <c r="DY222" s="170"/>
      <c r="DZ222" s="170"/>
      <c r="EA222" s="170"/>
      <c r="EB222" s="170"/>
      <c r="EC222" s="170"/>
      <c r="ED222" s="170"/>
      <c r="EE222" s="170"/>
      <c r="EF222" s="170"/>
      <c r="EG222" s="170"/>
      <c r="EH222" s="170"/>
      <c r="EI222" s="170"/>
      <c r="EJ222" s="170"/>
      <c r="EK222" s="170"/>
      <c r="EL222" s="170"/>
      <c r="EM222" s="170"/>
      <c r="EN222" s="170"/>
      <c r="EO222" s="170"/>
      <c r="EP222" s="170"/>
      <c r="EQ222" s="170"/>
      <c r="ER222" s="170"/>
      <c r="ES222" s="170"/>
      <c r="ET222" s="170"/>
      <c r="EU222" s="170"/>
      <c r="EV222" s="170"/>
      <c r="EW222" s="170"/>
      <c r="EX222" s="170"/>
      <c r="EY222" s="170"/>
      <c r="EZ222" s="170"/>
      <c r="FA222" s="171"/>
      <c r="FB222" s="169"/>
      <c r="FC222" s="170"/>
      <c r="FD222" s="170"/>
      <c r="FE222" s="170"/>
      <c r="FF222" s="171"/>
      <c r="FK222" s="178"/>
      <c r="FL222" s="179"/>
      <c r="FM222" s="179"/>
      <c r="FN222" s="179"/>
      <c r="FO222" s="179"/>
      <c r="FP222" s="179"/>
      <c r="FQ222" s="179"/>
      <c r="FR222" s="179"/>
      <c r="FS222" s="179"/>
      <c r="FT222" s="179"/>
      <c r="FU222" s="179"/>
      <c r="FV222" s="179"/>
      <c r="FW222" s="179"/>
      <c r="FX222" s="179"/>
      <c r="FY222" s="179"/>
      <c r="FZ222" s="179"/>
      <c r="GA222" s="179"/>
      <c r="GB222" s="179"/>
      <c r="GC222" s="179"/>
      <c r="GD222" s="179"/>
      <c r="GE222" s="179"/>
      <c r="GF222" s="179"/>
      <c r="GG222" s="179"/>
      <c r="GH222" s="179"/>
      <c r="GI222" s="179"/>
      <c r="GJ222" s="179"/>
      <c r="GK222" s="179"/>
      <c r="GL222" s="179"/>
      <c r="GM222" s="179"/>
      <c r="GN222" s="179"/>
      <c r="GO222" s="179"/>
      <c r="GP222" s="179"/>
      <c r="GQ222" s="179"/>
      <c r="GR222" s="179"/>
      <c r="GS222" s="179"/>
      <c r="GT222" s="179"/>
      <c r="GU222" s="179"/>
      <c r="GV222" s="179"/>
      <c r="GW222" s="179"/>
      <c r="GX222" s="179"/>
      <c r="GY222" s="179"/>
      <c r="GZ222" s="179"/>
      <c r="HA222" s="180"/>
      <c r="HB222" s="178"/>
      <c r="HC222" s="179"/>
      <c r="HD222" s="179"/>
      <c r="HE222" s="179"/>
      <c r="HF222" s="180"/>
      <c r="QQ222" s="12"/>
      <c r="QR222" s="7"/>
    </row>
    <row r="223" spans="3:460" ht="5.0999999999999996" customHeight="1" x14ac:dyDescent="0.3">
      <c r="C223" s="11"/>
      <c r="D223" s="13"/>
      <c r="DK223" s="169"/>
      <c r="DL223" s="170"/>
      <c r="DM223" s="170"/>
      <c r="DN223" s="170"/>
      <c r="DO223" s="170"/>
      <c r="DP223" s="170"/>
      <c r="DQ223" s="170"/>
      <c r="DR223" s="170"/>
      <c r="DS223" s="170"/>
      <c r="DT223" s="170"/>
      <c r="DU223" s="170"/>
      <c r="DV223" s="170"/>
      <c r="DW223" s="170"/>
      <c r="DX223" s="170"/>
      <c r="DY223" s="170"/>
      <c r="DZ223" s="170"/>
      <c r="EA223" s="170"/>
      <c r="EB223" s="170"/>
      <c r="EC223" s="170"/>
      <c r="ED223" s="170"/>
      <c r="EE223" s="170"/>
      <c r="EF223" s="170"/>
      <c r="EG223" s="170"/>
      <c r="EH223" s="170"/>
      <c r="EI223" s="170"/>
      <c r="EJ223" s="170"/>
      <c r="EK223" s="170"/>
      <c r="EL223" s="170"/>
      <c r="EM223" s="170"/>
      <c r="EN223" s="170"/>
      <c r="EO223" s="170"/>
      <c r="EP223" s="170"/>
      <c r="EQ223" s="170"/>
      <c r="ER223" s="170"/>
      <c r="ES223" s="170"/>
      <c r="ET223" s="170"/>
      <c r="EU223" s="170"/>
      <c r="EV223" s="170"/>
      <c r="EW223" s="170"/>
      <c r="EX223" s="170"/>
      <c r="EY223" s="170"/>
      <c r="EZ223" s="170"/>
      <c r="FA223" s="171"/>
      <c r="FB223" s="169"/>
      <c r="FC223" s="170"/>
      <c r="FD223" s="170"/>
      <c r="FE223" s="170"/>
      <c r="FF223" s="171"/>
      <c r="FK223" s="178"/>
      <c r="FL223" s="179"/>
      <c r="FM223" s="179"/>
      <c r="FN223" s="179"/>
      <c r="FO223" s="179"/>
      <c r="FP223" s="179"/>
      <c r="FQ223" s="179"/>
      <c r="FR223" s="179"/>
      <c r="FS223" s="179"/>
      <c r="FT223" s="179"/>
      <c r="FU223" s="179"/>
      <c r="FV223" s="179"/>
      <c r="FW223" s="179"/>
      <c r="FX223" s="179"/>
      <c r="FY223" s="179"/>
      <c r="FZ223" s="179"/>
      <c r="GA223" s="179"/>
      <c r="GB223" s="179"/>
      <c r="GC223" s="179"/>
      <c r="GD223" s="179"/>
      <c r="GE223" s="179"/>
      <c r="GF223" s="179"/>
      <c r="GG223" s="179"/>
      <c r="GH223" s="179"/>
      <c r="GI223" s="179"/>
      <c r="GJ223" s="179"/>
      <c r="GK223" s="179"/>
      <c r="GL223" s="179"/>
      <c r="GM223" s="179"/>
      <c r="GN223" s="179"/>
      <c r="GO223" s="179"/>
      <c r="GP223" s="179"/>
      <c r="GQ223" s="179"/>
      <c r="GR223" s="179"/>
      <c r="GS223" s="179"/>
      <c r="GT223" s="179"/>
      <c r="GU223" s="179"/>
      <c r="GV223" s="179"/>
      <c r="GW223" s="179"/>
      <c r="GX223" s="179"/>
      <c r="GY223" s="179"/>
      <c r="GZ223" s="179"/>
      <c r="HA223" s="180"/>
      <c r="HB223" s="178"/>
      <c r="HC223" s="179"/>
      <c r="HD223" s="179"/>
      <c r="HE223" s="179"/>
      <c r="HF223" s="180"/>
      <c r="QQ223" s="12"/>
      <c r="QR223" s="7"/>
    </row>
    <row r="224" spans="3:460" ht="5.0999999999999996" customHeight="1" x14ac:dyDescent="0.3">
      <c r="C224" s="11"/>
      <c r="D224" s="13"/>
      <c r="DK224" s="172"/>
      <c r="DL224" s="173"/>
      <c r="DM224" s="173"/>
      <c r="DN224" s="173"/>
      <c r="DO224" s="173"/>
      <c r="DP224" s="173"/>
      <c r="DQ224" s="173"/>
      <c r="DR224" s="173"/>
      <c r="DS224" s="173"/>
      <c r="DT224" s="173"/>
      <c r="DU224" s="173"/>
      <c r="DV224" s="173"/>
      <c r="DW224" s="173"/>
      <c r="DX224" s="173"/>
      <c r="DY224" s="173"/>
      <c r="DZ224" s="173"/>
      <c r="EA224" s="173"/>
      <c r="EB224" s="173"/>
      <c r="EC224" s="173"/>
      <c r="ED224" s="173"/>
      <c r="EE224" s="173"/>
      <c r="EF224" s="173"/>
      <c r="EG224" s="173"/>
      <c r="EH224" s="173"/>
      <c r="EI224" s="173"/>
      <c r="EJ224" s="173"/>
      <c r="EK224" s="173"/>
      <c r="EL224" s="173"/>
      <c r="EM224" s="173"/>
      <c r="EN224" s="173"/>
      <c r="EO224" s="173"/>
      <c r="EP224" s="173"/>
      <c r="EQ224" s="173"/>
      <c r="ER224" s="173"/>
      <c r="ES224" s="173"/>
      <c r="ET224" s="173"/>
      <c r="EU224" s="173"/>
      <c r="EV224" s="173"/>
      <c r="EW224" s="173"/>
      <c r="EX224" s="173"/>
      <c r="EY224" s="173"/>
      <c r="EZ224" s="173"/>
      <c r="FA224" s="174"/>
      <c r="FB224" s="172"/>
      <c r="FC224" s="173"/>
      <c r="FD224" s="173"/>
      <c r="FE224" s="173"/>
      <c r="FF224" s="174"/>
      <c r="FK224" s="181"/>
      <c r="FL224" s="182"/>
      <c r="FM224" s="182"/>
      <c r="FN224" s="182"/>
      <c r="FO224" s="182"/>
      <c r="FP224" s="182"/>
      <c r="FQ224" s="182"/>
      <c r="FR224" s="182"/>
      <c r="FS224" s="182"/>
      <c r="FT224" s="182"/>
      <c r="FU224" s="182"/>
      <c r="FV224" s="182"/>
      <c r="FW224" s="182"/>
      <c r="FX224" s="182"/>
      <c r="FY224" s="182"/>
      <c r="FZ224" s="182"/>
      <c r="GA224" s="182"/>
      <c r="GB224" s="182"/>
      <c r="GC224" s="182"/>
      <c r="GD224" s="182"/>
      <c r="GE224" s="182"/>
      <c r="GF224" s="182"/>
      <c r="GG224" s="182"/>
      <c r="GH224" s="182"/>
      <c r="GI224" s="182"/>
      <c r="GJ224" s="182"/>
      <c r="GK224" s="182"/>
      <c r="GL224" s="182"/>
      <c r="GM224" s="182"/>
      <c r="GN224" s="182"/>
      <c r="GO224" s="182"/>
      <c r="GP224" s="182"/>
      <c r="GQ224" s="182"/>
      <c r="GR224" s="182"/>
      <c r="GS224" s="182"/>
      <c r="GT224" s="182"/>
      <c r="GU224" s="182"/>
      <c r="GV224" s="182"/>
      <c r="GW224" s="182"/>
      <c r="GX224" s="182"/>
      <c r="GY224" s="182"/>
      <c r="GZ224" s="182"/>
      <c r="HA224" s="183"/>
      <c r="HB224" s="181"/>
      <c r="HC224" s="182"/>
      <c r="HD224" s="182"/>
      <c r="HE224" s="182"/>
      <c r="HF224" s="183"/>
      <c r="QQ224" s="12"/>
      <c r="QR224" s="7"/>
    </row>
    <row r="225" spans="3:460" ht="5.0999999999999996" customHeight="1" x14ac:dyDescent="0.3">
      <c r="C225" s="11"/>
      <c r="D225" s="13"/>
      <c r="DK225" s="166" t="s">
        <v>199</v>
      </c>
      <c r="DL225" s="167"/>
      <c r="DM225" s="167"/>
      <c r="DN225" s="167"/>
      <c r="DO225" s="167"/>
      <c r="DP225" s="167"/>
      <c r="DQ225" s="167"/>
      <c r="DR225" s="167"/>
      <c r="DS225" s="167"/>
      <c r="DT225" s="167"/>
      <c r="DU225" s="167"/>
      <c r="DV225" s="167"/>
      <c r="DW225" s="167"/>
      <c r="DX225" s="167"/>
      <c r="DY225" s="167"/>
      <c r="DZ225" s="167"/>
      <c r="EA225" s="167"/>
      <c r="EB225" s="167"/>
      <c r="EC225" s="167"/>
      <c r="ED225" s="167"/>
      <c r="EE225" s="167"/>
      <c r="EF225" s="167"/>
      <c r="EG225" s="167"/>
      <c r="EH225" s="167"/>
      <c r="EI225" s="167"/>
      <c r="EJ225" s="167"/>
      <c r="EK225" s="167"/>
      <c r="EL225" s="167"/>
      <c r="EM225" s="167"/>
      <c r="EN225" s="167"/>
      <c r="EO225" s="167"/>
      <c r="EP225" s="167"/>
      <c r="EQ225" s="167"/>
      <c r="ER225" s="167"/>
      <c r="ES225" s="167"/>
      <c r="ET225" s="167"/>
      <c r="EU225" s="167"/>
      <c r="EV225" s="167"/>
      <c r="EW225" s="167"/>
      <c r="EX225" s="167"/>
      <c r="EY225" s="167"/>
      <c r="EZ225" s="167"/>
      <c r="FA225" s="168"/>
      <c r="FB225" s="166">
        <v>2</v>
      </c>
      <c r="FC225" s="167"/>
      <c r="FD225" s="167"/>
      <c r="FE225" s="167"/>
      <c r="FF225" s="168"/>
      <c r="FK225" s="175"/>
      <c r="FL225" s="176"/>
      <c r="FM225" s="176"/>
      <c r="FN225" s="176"/>
      <c r="FO225" s="176"/>
      <c r="FP225" s="176"/>
      <c r="FQ225" s="176"/>
      <c r="FR225" s="176"/>
      <c r="FS225" s="176"/>
      <c r="FT225" s="176"/>
      <c r="FU225" s="176"/>
      <c r="FV225" s="176"/>
      <c r="FW225" s="176"/>
      <c r="FX225" s="176"/>
      <c r="FY225" s="176"/>
      <c r="FZ225" s="176"/>
      <c r="GA225" s="176"/>
      <c r="GB225" s="176"/>
      <c r="GC225" s="176"/>
      <c r="GD225" s="176"/>
      <c r="GE225" s="176"/>
      <c r="GF225" s="176"/>
      <c r="GG225" s="176"/>
      <c r="GH225" s="176"/>
      <c r="GI225" s="176"/>
      <c r="GJ225" s="176"/>
      <c r="GK225" s="176"/>
      <c r="GL225" s="176"/>
      <c r="GM225" s="176"/>
      <c r="GN225" s="176"/>
      <c r="GO225" s="176"/>
      <c r="GP225" s="176"/>
      <c r="GQ225" s="176"/>
      <c r="GR225" s="176"/>
      <c r="GS225" s="176"/>
      <c r="GT225" s="176"/>
      <c r="GU225" s="176"/>
      <c r="GV225" s="176"/>
      <c r="GW225" s="176"/>
      <c r="GX225" s="176"/>
      <c r="GY225" s="176"/>
      <c r="GZ225" s="176"/>
      <c r="HA225" s="177"/>
      <c r="HB225" s="175"/>
      <c r="HC225" s="176"/>
      <c r="HD225" s="176"/>
      <c r="HE225" s="176"/>
      <c r="HF225" s="177"/>
      <c r="QQ225" s="12"/>
      <c r="QR225" s="7"/>
    </row>
    <row r="226" spans="3:460" ht="5.0999999999999996" customHeight="1" x14ac:dyDescent="0.3">
      <c r="C226" s="11"/>
      <c r="D226" s="13"/>
      <c r="DK226" s="169"/>
      <c r="DL226" s="170"/>
      <c r="DM226" s="170"/>
      <c r="DN226" s="170"/>
      <c r="DO226" s="170"/>
      <c r="DP226" s="170"/>
      <c r="DQ226" s="170"/>
      <c r="DR226" s="170"/>
      <c r="DS226" s="170"/>
      <c r="DT226" s="170"/>
      <c r="DU226" s="170"/>
      <c r="DV226" s="170"/>
      <c r="DW226" s="170"/>
      <c r="DX226" s="170"/>
      <c r="DY226" s="170"/>
      <c r="DZ226" s="170"/>
      <c r="EA226" s="170"/>
      <c r="EB226" s="170"/>
      <c r="EC226" s="170"/>
      <c r="ED226" s="170"/>
      <c r="EE226" s="170"/>
      <c r="EF226" s="170"/>
      <c r="EG226" s="170"/>
      <c r="EH226" s="170"/>
      <c r="EI226" s="170"/>
      <c r="EJ226" s="170"/>
      <c r="EK226" s="170"/>
      <c r="EL226" s="170"/>
      <c r="EM226" s="170"/>
      <c r="EN226" s="170"/>
      <c r="EO226" s="170"/>
      <c r="EP226" s="170"/>
      <c r="EQ226" s="170"/>
      <c r="ER226" s="170"/>
      <c r="ES226" s="170"/>
      <c r="ET226" s="170"/>
      <c r="EU226" s="170"/>
      <c r="EV226" s="170"/>
      <c r="EW226" s="170"/>
      <c r="EX226" s="170"/>
      <c r="EY226" s="170"/>
      <c r="EZ226" s="170"/>
      <c r="FA226" s="171"/>
      <c r="FB226" s="169"/>
      <c r="FC226" s="170"/>
      <c r="FD226" s="170"/>
      <c r="FE226" s="170"/>
      <c r="FF226" s="171"/>
      <c r="FK226" s="178"/>
      <c r="FL226" s="179"/>
      <c r="FM226" s="179"/>
      <c r="FN226" s="179"/>
      <c r="FO226" s="179"/>
      <c r="FP226" s="179"/>
      <c r="FQ226" s="179"/>
      <c r="FR226" s="179"/>
      <c r="FS226" s="179"/>
      <c r="FT226" s="179"/>
      <c r="FU226" s="179"/>
      <c r="FV226" s="179"/>
      <c r="FW226" s="179"/>
      <c r="FX226" s="179"/>
      <c r="FY226" s="179"/>
      <c r="FZ226" s="179"/>
      <c r="GA226" s="179"/>
      <c r="GB226" s="179"/>
      <c r="GC226" s="179"/>
      <c r="GD226" s="179"/>
      <c r="GE226" s="179"/>
      <c r="GF226" s="179"/>
      <c r="GG226" s="179"/>
      <c r="GH226" s="179"/>
      <c r="GI226" s="179"/>
      <c r="GJ226" s="179"/>
      <c r="GK226" s="179"/>
      <c r="GL226" s="179"/>
      <c r="GM226" s="179"/>
      <c r="GN226" s="179"/>
      <c r="GO226" s="179"/>
      <c r="GP226" s="179"/>
      <c r="GQ226" s="179"/>
      <c r="GR226" s="179"/>
      <c r="GS226" s="179"/>
      <c r="GT226" s="179"/>
      <c r="GU226" s="179"/>
      <c r="GV226" s="179"/>
      <c r="GW226" s="179"/>
      <c r="GX226" s="179"/>
      <c r="GY226" s="179"/>
      <c r="GZ226" s="179"/>
      <c r="HA226" s="180"/>
      <c r="HB226" s="178"/>
      <c r="HC226" s="179"/>
      <c r="HD226" s="179"/>
      <c r="HE226" s="179"/>
      <c r="HF226" s="180"/>
      <c r="QQ226" s="12"/>
      <c r="QR226" s="7"/>
    </row>
    <row r="227" spans="3:460" ht="5.0999999999999996" customHeight="1" x14ac:dyDescent="0.3">
      <c r="C227" s="11"/>
      <c r="D227" s="13"/>
      <c r="DK227" s="169"/>
      <c r="DL227" s="170"/>
      <c r="DM227" s="170"/>
      <c r="DN227" s="170"/>
      <c r="DO227" s="170"/>
      <c r="DP227" s="170"/>
      <c r="DQ227" s="170"/>
      <c r="DR227" s="170"/>
      <c r="DS227" s="170"/>
      <c r="DT227" s="170"/>
      <c r="DU227" s="170"/>
      <c r="DV227" s="170"/>
      <c r="DW227" s="170"/>
      <c r="DX227" s="170"/>
      <c r="DY227" s="170"/>
      <c r="DZ227" s="170"/>
      <c r="EA227" s="170"/>
      <c r="EB227" s="170"/>
      <c r="EC227" s="170"/>
      <c r="ED227" s="170"/>
      <c r="EE227" s="170"/>
      <c r="EF227" s="170"/>
      <c r="EG227" s="170"/>
      <c r="EH227" s="170"/>
      <c r="EI227" s="170"/>
      <c r="EJ227" s="170"/>
      <c r="EK227" s="170"/>
      <c r="EL227" s="170"/>
      <c r="EM227" s="170"/>
      <c r="EN227" s="170"/>
      <c r="EO227" s="170"/>
      <c r="EP227" s="170"/>
      <c r="EQ227" s="170"/>
      <c r="ER227" s="170"/>
      <c r="ES227" s="170"/>
      <c r="ET227" s="170"/>
      <c r="EU227" s="170"/>
      <c r="EV227" s="170"/>
      <c r="EW227" s="170"/>
      <c r="EX227" s="170"/>
      <c r="EY227" s="170"/>
      <c r="EZ227" s="170"/>
      <c r="FA227" s="171"/>
      <c r="FB227" s="169"/>
      <c r="FC227" s="170"/>
      <c r="FD227" s="170"/>
      <c r="FE227" s="170"/>
      <c r="FF227" s="171"/>
      <c r="FK227" s="178"/>
      <c r="FL227" s="179"/>
      <c r="FM227" s="179"/>
      <c r="FN227" s="179"/>
      <c r="FO227" s="179"/>
      <c r="FP227" s="179"/>
      <c r="FQ227" s="179"/>
      <c r="FR227" s="179"/>
      <c r="FS227" s="179"/>
      <c r="FT227" s="179"/>
      <c r="FU227" s="179"/>
      <c r="FV227" s="179"/>
      <c r="FW227" s="179"/>
      <c r="FX227" s="179"/>
      <c r="FY227" s="179"/>
      <c r="FZ227" s="179"/>
      <c r="GA227" s="179"/>
      <c r="GB227" s="179"/>
      <c r="GC227" s="179"/>
      <c r="GD227" s="179"/>
      <c r="GE227" s="179"/>
      <c r="GF227" s="179"/>
      <c r="GG227" s="179"/>
      <c r="GH227" s="179"/>
      <c r="GI227" s="179"/>
      <c r="GJ227" s="179"/>
      <c r="GK227" s="179"/>
      <c r="GL227" s="179"/>
      <c r="GM227" s="179"/>
      <c r="GN227" s="179"/>
      <c r="GO227" s="179"/>
      <c r="GP227" s="179"/>
      <c r="GQ227" s="179"/>
      <c r="GR227" s="179"/>
      <c r="GS227" s="179"/>
      <c r="GT227" s="179"/>
      <c r="GU227" s="179"/>
      <c r="GV227" s="179"/>
      <c r="GW227" s="179"/>
      <c r="GX227" s="179"/>
      <c r="GY227" s="179"/>
      <c r="GZ227" s="179"/>
      <c r="HA227" s="180"/>
      <c r="HB227" s="178"/>
      <c r="HC227" s="179"/>
      <c r="HD227" s="179"/>
      <c r="HE227" s="179"/>
      <c r="HF227" s="180"/>
      <c r="QQ227" s="12"/>
      <c r="QR227" s="7"/>
    </row>
    <row r="228" spans="3:460" ht="5.0999999999999996" customHeight="1" x14ac:dyDescent="0.3">
      <c r="C228" s="11"/>
      <c r="D228" s="13"/>
      <c r="DK228" s="172"/>
      <c r="DL228" s="173"/>
      <c r="DM228" s="173"/>
      <c r="DN228" s="173"/>
      <c r="DO228" s="173"/>
      <c r="DP228" s="173"/>
      <c r="DQ228" s="173"/>
      <c r="DR228" s="173"/>
      <c r="DS228" s="173"/>
      <c r="DT228" s="173"/>
      <c r="DU228" s="173"/>
      <c r="DV228" s="173"/>
      <c r="DW228" s="173"/>
      <c r="DX228" s="173"/>
      <c r="DY228" s="173"/>
      <c r="DZ228" s="173"/>
      <c r="EA228" s="173"/>
      <c r="EB228" s="173"/>
      <c r="EC228" s="173"/>
      <c r="ED228" s="173"/>
      <c r="EE228" s="173"/>
      <c r="EF228" s="173"/>
      <c r="EG228" s="173"/>
      <c r="EH228" s="173"/>
      <c r="EI228" s="173"/>
      <c r="EJ228" s="173"/>
      <c r="EK228" s="173"/>
      <c r="EL228" s="173"/>
      <c r="EM228" s="173"/>
      <c r="EN228" s="173"/>
      <c r="EO228" s="173"/>
      <c r="EP228" s="173"/>
      <c r="EQ228" s="173"/>
      <c r="ER228" s="173"/>
      <c r="ES228" s="173"/>
      <c r="ET228" s="173"/>
      <c r="EU228" s="173"/>
      <c r="EV228" s="173"/>
      <c r="EW228" s="173"/>
      <c r="EX228" s="173"/>
      <c r="EY228" s="173"/>
      <c r="EZ228" s="173"/>
      <c r="FA228" s="174"/>
      <c r="FB228" s="172"/>
      <c r="FC228" s="173"/>
      <c r="FD228" s="173"/>
      <c r="FE228" s="173"/>
      <c r="FF228" s="174"/>
      <c r="FK228" s="181"/>
      <c r="FL228" s="182"/>
      <c r="FM228" s="182"/>
      <c r="FN228" s="182"/>
      <c r="FO228" s="182"/>
      <c r="FP228" s="182"/>
      <c r="FQ228" s="182"/>
      <c r="FR228" s="182"/>
      <c r="FS228" s="182"/>
      <c r="FT228" s="182"/>
      <c r="FU228" s="182"/>
      <c r="FV228" s="182"/>
      <c r="FW228" s="182"/>
      <c r="FX228" s="182"/>
      <c r="FY228" s="182"/>
      <c r="FZ228" s="182"/>
      <c r="GA228" s="182"/>
      <c r="GB228" s="182"/>
      <c r="GC228" s="182"/>
      <c r="GD228" s="182"/>
      <c r="GE228" s="182"/>
      <c r="GF228" s="182"/>
      <c r="GG228" s="182"/>
      <c r="GH228" s="182"/>
      <c r="GI228" s="182"/>
      <c r="GJ228" s="182"/>
      <c r="GK228" s="182"/>
      <c r="GL228" s="182"/>
      <c r="GM228" s="182"/>
      <c r="GN228" s="182"/>
      <c r="GO228" s="182"/>
      <c r="GP228" s="182"/>
      <c r="GQ228" s="182"/>
      <c r="GR228" s="182"/>
      <c r="GS228" s="182"/>
      <c r="GT228" s="182"/>
      <c r="GU228" s="182"/>
      <c r="GV228" s="182"/>
      <c r="GW228" s="182"/>
      <c r="GX228" s="182"/>
      <c r="GY228" s="182"/>
      <c r="GZ228" s="182"/>
      <c r="HA228" s="183"/>
      <c r="HB228" s="181"/>
      <c r="HC228" s="182"/>
      <c r="HD228" s="182"/>
      <c r="HE228" s="182"/>
      <c r="HF228" s="183"/>
      <c r="QQ228" s="12"/>
      <c r="QR228" s="7"/>
    </row>
    <row r="229" spans="3:460" ht="5.0999999999999996" customHeight="1" x14ac:dyDescent="0.3">
      <c r="C229" s="11"/>
      <c r="D229" s="13"/>
      <c r="DK229" s="166" t="s">
        <v>198</v>
      </c>
      <c r="DL229" s="167"/>
      <c r="DM229" s="167"/>
      <c r="DN229" s="167"/>
      <c r="DO229" s="167"/>
      <c r="DP229" s="167"/>
      <c r="DQ229" s="167"/>
      <c r="DR229" s="167"/>
      <c r="DS229" s="167"/>
      <c r="DT229" s="167"/>
      <c r="DU229" s="167"/>
      <c r="DV229" s="167"/>
      <c r="DW229" s="167"/>
      <c r="DX229" s="167"/>
      <c r="DY229" s="167"/>
      <c r="DZ229" s="167"/>
      <c r="EA229" s="167"/>
      <c r="EB229" s="167"/>
      <c r="EC229" s="167"/>
      <c r="ED229" s="167"/>
      <c r="EE229" s="167"/>
      <c r="EF229" s="167"/>
      <c r="EG229" s="167"/>
      <c r="EH229" s="167"/>
      <c r="EI229" s="167"/>
      <c r="EJ229" s="167"/>
      <c r="EK229" s="167"/>
      <c r="EL229" s="167"/>
      <c r="EM229" s="167"/>
      <c r="EN229" s="167"/>
      <c r="EO229" s="167"/>
      <c r="EP229" s="167"/>
      <c r="EQ229" s="167"/>
      <c r="ER229" s="167"/>
      <c r="ES229" s="167"/>
      <c r="ET229" s="167"/>
      <c r="EU229" s="167"/>
      <c r="EV229" s="167"/>
      <c r="EW229" s="167"/>
      <c r="EX229" s="167"/>
      <c r="EY229" s="167"/>
      <c r="EZ229" s="167"/>
      <c r="FA229" s="168"/>
      <c r="FB229" s="166">
        <v>1</v>
      </c>
      <c r="FC229" s="167"/>
      <c r="FD229" s="167"/>
      <c r="FE229" s="167"/>
      <c r="FF229" s="168"/>
      <c r="FK229" s="175"/>
      <c r="FL229" s="176"/>
      <c r="FM229" s="176"/>
      <c r="FN229" s="176"/>
      <c r="FO229" s="176"/>
      <c r="FP229" s="176"/>
      <c r="FQ229" s="176"/>
      <c r="FR229" s="176"/>
      <c r="FS229" s="176"/>
      <c r="FT229" s="176"/>
      <c r="FU229" s="176"/>
      <c r="FV229" s="176"/>
      <c r="FW229" s="176"/>
      <c r="FX229" s="176"/>
      <c r="FY229" s="176"/>
      <c r="FZ229" s="176"/>
      <c r="GA229" s="176"/>
      <c r="GB229" s="176"/>
      <c r="GC229" s="176"/>
      <c r="GD229" s="176"/>
      <c r="GE229" s="176"/>
      <c r="GF229" s="176"/>
      <c r="GG229" s="176"/>
      <c r="GH229" s="176"/>
      <c r="GI229" s="176"/>
      <c r="GJ229" s="176"/>
      <c r="GK229" s="176"/>
      <c r="GL229" s="176"/>
      <c r="GM229" s="176"/>
      <c r="GN229" s="176"/>
      <c r="GO229" s="176"/>
      <c r="GP229" s="176"/>
      <c r="GQ229" s="176"/>
      <c r="GR229" s="176"/>
      <c r="GS229" s="176"/>
      <c r="GT229" s="176"/>
      <c r="GU229" s="176"/>
      <c r="GV229" s="176"/>
      <c r="GW229" s="176"/>
      <c r="GX229" s="176"/>
      <c r="GY229" s="176"/>
      <c r="GZ229" s="176"/>
      <c r="HA229" s="177"/>
      <c r="HB229" s="175"/>
      <c r="HC229" s="176"/>
      <c r="HD229" s="176"/>
      <c r="HE229" s="176"/>
      <c r="HF229" s="177"/>
      <c r="QQ229" s="12"/>
      <c r="QR229" s="7"/>
    </row>
    <row r="230" spans="3:460" ht="5.0999999999999996" customHeight="1" x14ac:dyDescent="0.3">
      <c r="C230" s="11"/>
      <c r="D230" s="13"/>
      <c r="DK230" s="169"/>
      <c r="DL230" s="170"/>
      <c r="DM230" s="170"/>
      <c r="DN230" s="170"/>
      <c r="DO230" s="170"/>
      <c r="DP230" s="170"/>
      <c r="DQ230" s="170"/>
      <c r="DR230" s="170"/>
      <c r="DS230" s="170"/>
      <c r="DT230" s="170"/>
      <c r="DU230" s="170"/>
      <c r="DV230" s="170"/>
      <c r="DW230" s="170"/>
      <c r="DX230" s="170"/>
      <c r="DY230" s="170"/>
      <c r="DZ230" s="170"/>
      <c r="EA230" s="170"/>
      <c r="EB230" s="170"/>
      <c r="EC230" s="170"/>
      <c r="ED230" s="170"/>
      <c r="EE230" s="170"/>
      <c r="EF230" s="170"/>
      <c r="EG230" s="170"/>
      <c r="EH230" s="170"/>
      <c r="EI230" s="170"/>
      <c r="EJ230" s="170"/>
      <c r="EK230" s="170"/>
      <c r="EL230" s="170"/>
      <c r="EM230" s="170"/>
      <c r="EN230" s="170"/>
      <c r="EO230" s="170"/>
      <c r="EP230" s="170"/>
      <c r="EQ230" s="170"/>
      <c r="ER230" s="170"/>
      <c r="ES230" s="170"/>
      <c r="ET230" s="170"/>
      <c r="EU230" s="170"/>
      <c r="EV230" s="170"/>
      <c r="EW230" s="170"/>
      <c r="EX230" s="170"/>
      <c r="EY230" s="170"/>
      <c r="EZ230" s="170"/>
      <c r="FA230" s="171"/>
      <c r="FB230" s="169"/>
      <c r="FC230" s="170"/>
      <c r="FD230" s="170"/>
      <c r="FE230" s="170"/>
      <c r="FF230" s="171"/>
      <c r="FK230" s="178"/>
      <c r="FL230" s="179"/>
      <c r="FM230" s="179"/>
      <c r="FN230" s="179"/>
      <c r="FO230" s="179"/>
      <c r="FP230" s="179"/>
      <c r="FQ230" s="179"/>
      <c r="FR230" s="179"/>
      <c r="FS230" s="179"/>
      <c r="FT230" s="179"/>
      <c r="FU230" s="179"/>
      <c r="FV230" s="179"/>
      <c r="FW230" s="179"/>
      <c r="FX230" s="179"/>
      <c r="FY230" s="179"/>
      <c r="FZ230" s="179"/>
      <c r="GA230" s="179"/>
      <c r="GB230" s="179"/>
      <c r="GC230" s="179"/>
      <c r="GD230" s="179"/>
      <c r="GE230" s="179"/>
      <c r="GF230" s="179"/>
      <c r="GG230" s="179"/>
      <c r="GH230" s="179"/>
      <c r="GI230" s="179"/>
      <c r="GJ230" s="179"/>
      <c r="GK230" s="179"/>
      <c r="GL230" s="179"/>
      <c r="GM230" s="179"/>
      <c r="GN230" s="179"/>
      <c r="GO230" s="179"/>
      <c r="GP230" s="179"/>
      <c r="GQ230" s="179"/>
      <c r="GR230" s="179"/>
      <c r="GS230" s="179"/>
      <c r="GT230" s="179"/>
      <c r="GU230" s="179"/>
      <c r="GV230" s="179"/>
      <c r="GW230" s="179"/>
      <c r="GX230" s="179"/>
      <c r="GY230" s="179"/>
      <c r="GZ230" s="179"/>
      <c r="HA230" s="180"/>
      <c r="HB230" s="178"/>
      <c r="HC230" s="179"/>
      <c r="HD230" s="179"/>
      <c r="HE230" s="179"/>
      <c r="HF230" s="180"/>
      <c r="QQ230" s="12"/>
      <c r="QR230" s="7"/>
    </row>
    <row r="231" spans="3:460" ht="5.0999999999999996" customHeight="1" x14ac:dyDescent="0.3">
      <c r="C231" s="11"/>
      <c r="D231" s="13"/>
      <c r="AW231" s="1">
        <v>10</v>
      </c>
      <c r="DK231" s="169"/>
      <c r="DL231" s="170"/>
      <c r="DM231" s="170"/>
      <c r="DN231" s="170"/>
      <c r="DO231" s="170"/>
      <c r="DP231" s="170"/>
      <c r="DQ231" s="170"/>
      <c r="DR231" s="170"/>
      <c r="DS231" s="170"/>
      <c r="DT231" s="170"/>
      <c r="DU231" s="170"/>
      <c r="DV231" s="170"/>
      <c r="DW231" s="170"/>
      <c r="DX231" s="170"/>
      <c r="DY231" s="170"/>
      <c r="DZ231" s="170"/>
      <c r="EA231" s="170"/>
      <c r="EB231" s="170"/>
      <c r="EC231" s="170"/>
      <c r="ED231" s="170"/>
      <c r="EE231" s="170"/>
      <c r="EF231" s="170"/>
      <c r="EG231" s="170"/>
      <c r="EH231" s="170"/>
      <c r="EI231" s="170"/>
      <c r="EJ231" s="170"/>
      <c r="EK231" s="170"/>
      <c r="EL231" s="170"/>
      <c r="EM231" s="170"/>
      <c r="EN231" s="170"/>
      <c r="EO231" s="170"/>
      <c r="EP231" s="170"/>
      <c r="EQ231" s="170"/>
      <c r="ER231" s="170"/>
      <c r="ES231" s="170"/>
      <c r="ET231" s="170"/>
      <c r="EU231" s="170"/>
      <c r="EV231" s="170"/>
      <c r="EW231" s="170"/>
      <c r="EX231" s="170"/>
      <c r="EY231" s="170"/>
      <c r="EZ231" s="170"/>
      <c r="FA231" s="171"/>
      <c r="FB231" s="169"/>
      <c r="FC231" s="170"/>
      <c r="FD231" s="170"/>
      <c r="FE231" s="170"/>
      <c r="FF231" s="171"/>
      <c r="FK231" s="178"/>
      <c r="FL231" s="179"/>
      <c r="FM231" s="179"/>
      <c r="FN231" s="179"/>
      <c r="FO231" s="179"/>
      <c r="FP231" s="179"/>
      <c r="FQ231" s="179"/>
      <c r="FR231" s="179"/>
      <c r="FS231" s="179"/>
      <c r="FT231" s="179"/>
      <c r="FU231" s="179"/>
      <c r="FV231" s="179"/>
      <c r="FW231" s="179"/>
      <c r="FX231" s="179"/>
      <c r="FY231" s="179"/>
      <c r="FZ231" s="179"/>
      <c r="GA231" s="179"/>
      <c r="GB231" s="179"/>
      <c r="GC231" s="179"/>
      <c r="GD231" s="179"/>
      <c r="GE231" s="179"/>
      <c r="GF231" s="179"/>
      <c r="GG231" s="179"/>
      <c r="GH231" s="179"/>
      <c r="GI231" s="179"/>
      <c r="GJ231" s="179"/>
      <c r="GK231" s="179"/>
      <c r="GL231" s="179"/>
      <c r="GM231" s="179"/>
      <c r="GN231" s="179"/>
      <c r="GO231" s="179"/>
      <c r="GP231" s="179"/>
      <c r="GQ231" s="179"/>
      <c r="GR231" s="179"/>
      <c r="GS231" s="179"/>
      <c r="GT231" s="179"/>
      <c r="GU231" s="179"/>
      <c r="GV231" s="179"/>
      <c r="GW231" s="179"/>
      <c r="GX231" s="179"/>
      <c r="GY231" s="179"/>
      <c r="GZ231" s="179"/>
      <c r="HA231" s="180"/>
      <c r="HB231" s="178"/>
      <c r="HC231" s="179"/>
      <c r="HD231" s="179"/>
      <c r="HE231" s="179"/>
      <c r="HF231" s="180"/>
      <c r="QQ231" s="12"/>
      <c r="QR231" s="7"/>
    </row>
    <row r="232" spans="3:460" ht="5.0999999999999996" customHeight="1" x14ac:dyDescent="0.3">
      <c r="C232" s="11"/>
      <c r="D232" s="13"/>
      <c r="DK232" s="172"/>
      <c r="DL232" s="173"/>
      <c r="DM232" s="173"/>
      <c r="DN232" s="173"/>
      <c r="DO232" s="173"/>
      <c r="DP232" s="173"/>
      <c r="DQ232" s="173"/>
      <c r="DR232" s="173"/>
      <c r="DS232" s="173"/>
      <c r="DT232" s="173"/>
      <c r="DU232" s="173"/>
      <c r="DV232" s="173"/>
      <c r="DW232" s="173"/>
      <c r="DX232" s="173"/>
      <c r="DY232" s="173"/>
      <c r="DZ232" s="173"/>
      <c r="EA232" s="173"/>
      <c r="EB232" s="173"/>
      <c r="EC232" s="173"/>
      <c r="ED232" s="173"/>
      <c r="EE232" s="173"/>
      <c r="EF232" s="173"/>
      <c r="EG232" s="173"/>
      <c r="EH232" s="173"/>
      <c r="EI232" s="173"/>
      <c r="EJ232" s="173"/>
      <c r="EK232" s="173"/>
      <c r="EL232" s="173"/>
      <c r="EM232" s="173"/>
      <c r="EN232" s="173"/>
      <c r="EO232" s="173"/>
      <c r="EP232" s="173"/>
      <c r="EQ232" s="173"/>
      <c r="ER232" s="173"/>
      <c r="ES232" s="173"/>
      <c r="ET232" s="173"/>
      <c r="EU232" s="173"/>
      <c r="EV232" s="173"/>
      <c r="EW232" s="173"/>
      <c r="EX232" s="173"/>
      <c r="EY232" s="173"/>
      <c r="EZ232" s="173"/>
      <c r="FA232" s="174"/>
      <c r="FB232" s="172"/>
      <c r="FC232" s="173"/>
      <c r="FD232" s="173"/>
      <c r="FE232" s="173"/>
      <c r="FF232" s="174"/>
      <c r="FK232" s="181"/>
      <c r="FL232" s="182"/>
      <c r="FM232" s="182"/>
      <c r="FN232" s="182"/>
      <c r="FO232" s="182"/>
      <c r="FP232" s="182"/>
      <c r="FQ232" s="182"/>
      <c r="FR232" s="182"/>
      <c r="FS232" s="182"/>
      <c r="FT232" s="182"/>
      <c r="FU232" s="182"/>
      <c r="FV232" s="182"/>
      <c r="FW232" s="182"/>
      <c r="FX232" s="182"/>
      <c r="FY232" s="182"/>
      <c r="FZ232" s="182"/>
      <c r="GA232" s="182"/>
      <c r="GB232" s="182"/>
      <c r="GC232" s="182"/>
      <c r="GD232" s="182"/>
      <c r="GE232" s="182"/>
      <c r="GF232" s="182"/>
      <c r="GG232" s="182"/>
      <c r="GH232" s="182"/>
      <c r="GI232" s="182"/>
      <c r="GJ232" s="182"/>
      <c r="GK232" s="182"/>
      <c r="GL232" s="182"/>
      <c r="GM232" s="182"/>
      <c r="GN232" s="182"/>
      <c r="GO232" s="182"/>
      <c r="GP232" s="182"/>
      <c r="GQ232" s="182"/>
      <c r="GR232" s="182"/>
      <c r="GS232" s="182"/>
      <c r="GT232" s="182"/>
      <c r="GU232" s="182"/>
      <c r="GV232" s="182"/>
      <c r="GW232" s="182"/>
      <c r="GX232" s="182"/>
      <c r="GY232" s="182"/>
      <c r="GZ232" s="182"/>
      <c r="HA232" s="183"/>
      <c r="HB232" s="181"/>
      <c r="HC232" s="182"/>
      <c r="HD232" s="182"/>
      <c r="HE232" s="182"/>
      <c r="HF232" s="183"/>
      <c r="QQ232" s="12"/>
      <c r="QR232" s="7"/>
    </row>
    <row r="233" spans="3:460" ht="5.0999999999999996" customHeight="1" x14ac:dyDescent="0.3">
      <c r="C233" s="11"/>
      <c r="D233" s="13"/>
      <c r="DK233" s="166"/>
      <c r="DL233" s="167"/>
      <c r="DM233" s="167"/>
      <c r="DN233" s="167"/>
      <c r="DO233" s="167"/>
      <c r="DP233" s="167"/>
      <c r="DQ233" s="167"/>
      <c r="DR233" s="167"/>
      <c r="DS233" s="167"/>
      <c r="DT233" s="167"/>
      <c r="DU233" s="167"/>
      <c r="DV233" s="167"/>
      <c r="DW233" s="167"/>
      <c r="DX233" s="167"/>
      <c r="DY233" s="167"/>
      <c r="DZ233" s="167"/>
      <c r="EA233" s="167"/>
      <c r="EB233" s="167"/>
      <c r="EC233" s="167"/>
      <c r="ED233" s="167"/>
      <c r="EE233" s="167"/>
      <c r="EF233" s="167"/>
      <c r="EG233" s="167"/>
      <c r="EH233" s="167"/>
      <c r="EI233" s="167"/>
      <c r="EJ233" s="167"/>
      <c r="EK233" s="167"/>
      <c r="EL233" s="167"/>
      <c r="EM233" s="167"/>
      <c r="EN233" s="167"/>
      <c r="EO233" s="167"/>
      <c r="EP233" s="167"/>
      <c r="EQ233" s="167"/>
      <c r="ER233" s="167"/>
      <c r="ES233" s="167"/>
      <c r="ET233" s="167"/>
      <c r="EU233" s="167"/>
      <c r="EV233" s="167"/>
      <c r="EW233" s="167"/>
      <c r="EX233" s="167"/>
      <c r="EY233" s="167"/>
      <c r="EZ233" s="167"/>
      <c r="FA233" s="168"/>
      <c r="FB233" s="166"/>
      <c r="FC233" s="167"/>
      <c r="FD233" s="167"/>
      <c r="FE233" s="167"/>
      <c r="FF233" s="168"/>
      <c r="FK233" s="175"/>
      <c r="FL233" s="176"/>
      <c r="FM233" s="176"/>
      <c r="FN233" s="176"/>
      <c r="FO233" s="176"/>
      <c r="FP233" s="176"/>
      <c r="FQ233" s="176"/>
      <c r="FR233" s="176"/>
      <c r="FS233" s="176"/>
      <c r="FT233" s="176"/>
      <c r="FU233" s="176"/>
      <c r="FV233" s="176"/>
      <c r="FW233" s="176"/>
      <c r="FX233" s="176"/>
      <c r="FY233" s="176"/>
      <c r="FZ233" s="176"/>
      <c r="GA233" s="176"/>
      <c r="GB233" s="176"/>
      <c r="GC233" s="176"/>
      <c r="GD233" s="176"/>
      <c r="GE233" s="176"/>
      <c r="GF233" s="176"/>
      <c r="GG233" s="176"/>
      <c r="GH233" s="176"/>
      <c r="GI233" s="176"/>
      <c r="GJ233" s="176"/>
      <c r="GK233" s="176"/>
      <c r="GL233" s="176"/>
      <c r="GM233" s="176"/>
      <c r="GN233" s="176"/>
      <c r="GO233" s="176"/>
      <c r="GP233" s="176"/>
      <c r="GQ233" s="176"/>
      <c r="GR233" s="176"/>
      <c r="GS233" s="176"/>
      <c r="GT233" s="176"/>
      <c r="GU233" s="176"/>
      <c r="GV233" s="176"/>
      <c r="GW233" s="176"/>
      <c r="GX233" s="176"/>
      <c r="GY233" s="176"/>
      <c r="GZ233" s="176"/>
      <c r="HA233" s="177"/>
      <c r="HB233" s="175"/>
      <c r="HC233" s="176"/>
      <c r="HD233" s="176"/>
      <c r="HE233" s="176"/>
      <c r="HF233" s="177"/>
      <c r="QQ233" s="12"/>
      <c r="QR233" s="7"/>
    </row>
    <row r="234" spans="3:460" ht="5.0999999999999996" customHeight="1" x14ac:dyDescent="0.3">
      <c r="C234" s="11"/>
      <c r="D234" s="13"/>
      <c r="DK234" s="169"/>
      <c r="DL234" s="170"/>
      <c r="DM234" s="170"/>
      <c r="DN234" s="170"/>
      <c r="DO234" s="170"/>
      <c r="DP234" s="170"/>
      <c r="DQ234" s="170"/>
      <c r="DR234" s="170"/>
      <c r="DS234" s="170"/>
      <c r="DT234" s="170"/>
      <c r="DU234" s="170"/>
      <c r="DV234" s="170"/>
      <c r="DW234" s="170"/>
      <c r="DX234" s="170"/>
      <c r="DY234" s="170"/>
      <c r="DZ234" s="170"/>
      <c r="EA234" s="170"/>
      <c r="EB234" s="170"/>
      <c r="EC234" s="170"/>
      <c r="ED234" s="170"/>
      <c r="EE234" s="170"/>
      <c r="EF234" s="170"/>
      <c r="EG234" s="170"/>
      <c r="EH234" s="170"/>
      <c r="EI234" s="170"/>
      <c r="EJ234" s="170"/>
      <c r="EK234" s="170"/>
      <c r="EL234" s="170"/>
      <c r="EM234" s="170"/>
      <c r="EN234" s="170"/>
      <c r="EO234" s="170"/>
      <c r="EP234" s="170"/>
      <c r="EQ234" s="170"/>
      <c r="ER234" s="170"/>
      <c r="ES234" s="170"/>
      <c r="ET234" s="170"/>
      <c r="EU234" s="170"/>
      <c r="EV234" s="170"/>
      <c r="EW234" s="170"/>
      <c r="EX234" s="170"/>
      <c r="EY234" s="170"/>
      <c r="EZ234" s="170"/>
      <c r="FA234" s="171"/>
      <c r="FB234" s="169"/>
      <c r="FC234" s="170"/>
      <c r="FD234" s="170"/>
      <c r="FE234" s="170"/>
      <c r="FF234" s="171"/>
      <c r="FK234" s="178"/>
      <c r="FL234" s="179"/>
      <c r="FM234" s="179"/>
      <c r="FN234" s="179"/>
      <c r="FO234" s="179"/>
      <c r="FP234" s="179"/>
      <c r="FQ234" s="179"/>
      <c r="FR234" s="179"/>
      <c r="FS234" s="179"/>
      <c r="FT234" s="179"/>
      <c r="FU234" s="179"/>
      <c r="FV234" s="179"/>
      <c r="FW234" s="179"/>
      <c r="FX234" s="179"/>
      <c r="FY234" s="179"/>
      <c r="FZ234" s="179"/>
      <c r="GA234" s="179"/>
      <c r="GB234" s="179"/>
      <c r="GC234" s="179"/>
      <c r="GD234" s="179"/>
      <c r="GE234" s="179"/>
      <c r="GF234" s="179"/>
      <c r="GG234" s="179"/>
      <c r="GH234" s="179"/>
      <c r="GI234" s="179"/>
      <c r="GJ234" s="179"/>
      <c r="GK234" s="179"/>
      <c r="GL234" s="179"/>
      <c r="GM234" s="179"/>
      <c r="GN234" s="179"/>
      <c r="GO234" s="179"/>
      <c r="GP234" s="179"/>
      <c r="GQ234" s="179"/>
      <c r="GR234" s="179"/>
      <c r="GS234" s="179"/>
      <c r="GT234" s="179"/>
      <c r="GU234" s="179"/>
      <c r="GV234" s="179"/>
      <c r="GW234" s="179"/>
      <c r="GX234" s="179"/>
      <c r="GY234" s="179"/>
      <c r="GZ234" s="179"/>
      <c r="HA234" s="180"/>
      <c r="HB234" s="178"/>
      <c r="HC234" s="179"/>
      <c r="HD234" s="179"/>
      <c r="HE234" s="179"/>
      <c r="HF234" s="180"/>
      <c r="QQ234" s="12"/>
      <c r="QR234" s="7"/>
    </row>
    <row r="235" spans="3:460" ht="5.0999999999999996" customHeight="1" x14ac:dyDescent="0.3">
      <c r="C235" s="11"/>
      <c r="D235" s="13"/>
      <c r="DK235" s="169"/>
      <c r="DL235" s="170"/>
      <c r="DM235" s="170"/>
      <c r="DN235" s="170"/>
      <c r="DO235" s="170"/>
      <c r="DP235" s="170"/>
      <c r="DQ235" s="170"/>
      <c r="DR235" s="170"/>
      <c r="DS235" s="170"/>
      <c r="DT235" s="170"/>
      <c r="DU235" s="170"/>
      <c r="DV235" s="170"/>
      <c r="DW235" s="170"/>
      <c r="DX235" s="170"/>
      <c r="DY235" s="170"/>
      <c r="DZ235" s="170"/>
      <c r="EA235" s="170"/>
      <c r="EB235" s="170"/>
      <c r="EC235" s="170"/>
      <c r="ED235" s="170"/>
      <c r="EE235" s="170"/>
      <c r="EF235" s="170"/>
      <c r="EG235" s="170"/>
      <c r="EH235" s="170"/>
      <c r="EI235" s="170"/>
      <c r="EJ235" s="170"/>
      <c r="EK235" s="170"/>
      <c r="EL235" s="170"/>
      <c r="EM235" s="170"/>
      <c r="EN235" s="170"/>
      <c r="EO235" s="170"/>
      <c r="EP235" s="170"/>
      <c r="EQ235" s="170"/>
      <c r="ER235" s="170"/>
      <c r="ES235" s="170"/>
      <c r="ET235" s="170"/>
      <c r="EU235" s="170"/>
      <c r="EV235" s="170"/>
      <c r="EW235" s="170"/>
      <c r="EX235" s="170"/>
      <c r="EY235" s="170"/>
      <c r="EZ235" s="170"/>
      <c r="FA235" s="171"/>
      <c r="FB235" s="169"/>
      <c r="FC235" s="170"/>
      <c r="FD235" s="170"/>
      <c r="FE235" s="170"/>
      <c r="FF235" s="171"/>
      <c r="FK235" s="178"/>
      <c r="FL235" s="179"/>
      <c r="FM235" s="179"/>
      <c r="FN235" s="179"/>
      <c r="FO235" s="179"/>
      <c r="FP235" s="179"/>
      <c r="FQ235" s="179"/>
      <c r="FR235" s="179"/>
      <c r="FS235" s="179"/>
      <c r="FT235" s="179"/>
      <c r="FU235" s="179"/>
      <c r="FV235" s="179"/>
      <c r="FW235" s="179"/>
      <c r="FX235" s="179"/>
      <c r="FY235" s="179"/>
      <c r="FZ235" s="179"/>
      <c r="GA235" s="179"/>
      <c r="GB235" s="179"/>
      <c r="GC235" s="179"/>
      <c r="GD235" s="179"/>
      <c r="GE235" s="179"/>
      <c r="GF235" s="179"/>
      <c r="GG235" s="179"/>
      <c r="GH235" s="179"/>
      <c r="GI235" s="179"/>
      <c r="GJ235" s="179"/>
      <c r="GK235" s="179"/>
      <c r="GL235" s="179"/>
      <c r="GM235" s="179"/>
      <c r="GN235" s="179"/>
      <c r="GO235" s="179"/>
      <c r="GP235" s="179"/>
      <c r="GQ235" s="179"/>
      <c r="GR235" s="179"/>
      <c r="GS235" s="179"/>
      <c r="GT235" s="179"/>
      <c r="GU235" s="179"/>
      <c r="GV235" s="179"/>
      <c r="GW235" s="179"/>
      <c r="GX235" s="179"/>
      <c r="GY235" s="179"/>
      <c r="GZ235" s="179"/>
      <c r="HA235" s="180"/>
      <c r="HB235" s="178"/>
      <c r="HC235" s="179"/>
      <c r="HD235" s="179"/>
      <c r="HE235" s="179"/>
      <c r="HF235" s="180"/>
      <c r="QQ235" s="12"/>
      <c r="QR235" s="7"/>
    </row>
    <row r="236" spans="3:460" ht="5.0999999999999996" customHeight="1" x14ac:dyDescent="0.3">
      <c r="C236" s="11"/>
      <c r="D236" s="13"/>
      <c r="DK236" s="172"/>
      <c r="DL236" s="173"/>
      <c r="DM236" s="173"/>
      <c r="DN236" s="173"/>
      <c r="DO236" s="173"/>
      <c r="DP236" s="173"/>
      <c r="DQ236" s="173"/>
      <c r="DR236" s="173"/>
      <c r="DS236" s="173"/>
      <c r="DT236" s="173"/>
      <c r="DU236" s="173"/>
      <c r="DV236" s="173"/>
      <c r="DW236" s="173"/>
      <c r="DX236" s="173"/>
      <c r="DY236" s="173"/>
      <c r="DZ236" s="173"/>
      <c r="EA236" s="173"/>
      <c r="EB236" s="173"/>
      <c r="EC236" s="173"/>
      <c r="ED236" s="173"/>
      <c r="EE236" s="173"/>
      <c r="EF236" s="173"/>
      <c r="EG236" s="173"/>
      <c r="EH236" s="173"/>
      <c r="EI236" s="173"/>
      <c r="EJ236" s="173"/>
      <c r="EK236" s="173"/>
      <c r="EL236" s="173"/>
      <c r="EM236" s="173"/>
      <c r="EN236" s="173"/>
      <c r="EO236" s="173"/>
      <c r="EP236" s="173"/>
      <c r="EQ236" s="173"/>
      <c r="ER236" s="173"/>
      <c r="ES236" s="173"/>
      <c r="ET236" s="173"/>
      <c r="EU236" s="173"/>
      <c r="EV236" s="173"/>
      <c r="EW236" s="173"/>
      <c r="EX236" s="173"/>
      <c r="EY236" s="173"/>
      <c r="EZ236" s="173"/>
      <c r="FA236" s="174"/>
      <c r="FB236" s="172"/>
      <c r="FC236" s="173"/>
      <c r="FD236" s="173"/>
      <c r="FE236" s="173"/>
      <c r="FF236" s="174"/>
      <c r="FK236" s="181"/>
      <c r="FL236" s="182"/>
      <c r="FM236" s="182"/>
      <c r="FN236" s="182"/>
      <c r="FO236" s="182"/>
      <c r="FP236" s="182"/>
      <c r="FQ236" s="182"/>
      <c r="FR236" s="182"/>
      <c r="FS236" s="182"/>
      <c r="FT236" s="182"/>
      <c r="FU236" s="182"/>
      <c r="FV236" s="182"/>
      <c r="FW236" s="182"/>
      <c r="FX236" s="182"/>
      <c r="FY236" s="182"/>
      <c r="FZ236" s="182"/>
      <c r="GA236" s="182"/>
      <c r="GB236" s="182"/>
      <c r="GC236" s="182"/>
      <c r="GD236" s="182"/>
      <c r="GE236" s="182"/>
      <c r="GF236" s="182"/>
      <c r="GG236" s="182"/>
      <c r="GH236" s="182"/>
      <c r="GI236" s="182"/>
      <c r="GJ236" s="182"/>
      <c r="GK236" s="182"/>
      <c r="GL236" s="182"/>
      <c r="GM236" s="182"/>
      <c r="GN236" s="182"/>
      <c r="GO236" s="182"/>
      <c r="GP236" s="182"/>
      <c r="GQ236" s="182"/>
      <c r="GR236" s="182"/>
      <c r="GS236" s="182"/>
      <c r="GT236" s="182"/>
      <c r="GU236" s="182"/>
      <c r="GV236" s="182"/>
      <c r="GW236" s="182"/>
      <c r="GX236" s="182"/>
      <c r="GY236" s="182"/>
      <c r="GZ236" s="182"/>
      <c r="HA236" s="183"/>
      <c r="HB236" s="181"/>
      <c r="HC236" s="182"/>
      <c r="HD236" s="182"/>
      <c r="HE236" s="182"/>
      <c r="HF236" s="183"/>
      <c r="QQ236" s="12"/>
      <c r="QR236" s="7"/>
    </row>
    <row r="237" spans="3:460" ht="5.0999999999999996" customHeight="1" x14ac:dyDescent="0.3">
      <c r="C237" s="11"/>
      <c r="D237" s="13"/>
      <c r="DK237" s="166"/>
      <c r="DL237" s="167"/>
      <c r="DM237" s="167"/>
      <c r="DN237" s="167"/>
      <c r="DO237" s="167"/>
      <c r="DP237" s="167"/>
      <c r="DQ237" s="167"/>
      <c r="DR237" s="167"/>
      <c r="DS237" s="167"/>
      <c r="DT237" s="167"/>
      <c r="DU237" s="167"/>
      <c r="DV237" s="167"/>
      <c r="DW237" s="167"/>
      <c r="DX237" s="167"/>
      <c r="DY237" s="167"/>
      <c r="DZ237" s="167"/>
      <c r="EA237" s="167"/>
      <c r="EB237" s="167"/>
      <c r="EC237" s="167"/>
      <c r="ED237" s="167"/>
      <c r="EE237" s="167"/>
      <c r="EF237" s="167"/>
      <c r="EG237" s="167"/>
      <c r="EH237" s="167"/>
      <c r="EI237" s="167"/>
      <c r="EJ237" s="167"/>
      <c r="EK237" s="167"/>
      <c r="EL237" s="167"/>
      <c r="EM237" s="167"/>
      <c r="EN237" s="167"/>
      <c r="EO237" s="167"/>
      <c r="EP237" s="167"/>
      <c r="EQ237" s="167"/>
      <c r="ER237" s="167"/>
      <c r="ES237" s="167"/>
      <c r="ET237" s="167"/>
      <c r="EU237" s="167"/>
      <c r="EV237" s="167"/>
      <c r="EW237" s="167"/>
      <c r="EX237" s="167"/>
      <c r="EY237" s="167"/>
      <c r="EZ237" s="167"/>
      <c r="FA237" s="168"/>
      <c r="FB237" s="166"/>
      <c r="FC237" s="167"/>
      <c r="FD237" s="167"/>
      <c r="FE237" s="167"/>
      <c r="FF237" s="168"/>
      <c r="FK237" s="175"/>
      <c r="FL237" s="176"/>
      <c r="FM237" s="176"/>
      <c r="FN237" s="176"/>
      <c r="FO237" s="176"/>
      <c r="FP237" s="176"/>
      <c r="FQ237" s="176"/>
      <c r="FR237" s="176"/>
      <c r="FS237" s="176"/>
      <c r="FT237" s="176"/>
      <c r="FU237" s="176"/>
      <c r="FV237" s="176"/>
      <c r="FW237" s="176"/>
      <c r="FX237" s="176"/>
      <c r="FY237" s="176"/>
      <c r="FZ237" s="176"/>
      <c r="GA237" s="176"/>
      <c r="GB237" s="176"/>
      <c r="GC237" s="176"/>
      <c r="GD237" s="176"/>
      <c r="GE237" s="176"/>
      <c r="GF237" s="176"/>
      <c r="GG237" s="176"/>
      <c r="GH237" s="176"/>
      <c r="GI237" s="176"/>
      <c r="GJ237" s="176"/>
      <c r="GK237" s="176"/>
      <c r="GL237" s="176"/>
      <c r="GM237" s="176"/>
      <c r="GN237" s="176"/>
      <c r="GO237" s="176"/>
      <c r="GP237" s="176"/>
      <c r="GQ237" s="176"/>
      <c r="GR237" s="176"/>
      <c r="GS237" s="176"/>
      <c r="GT237" s="176"/>
      <c r="GU237" s="176"/>
      <c r="GV237" s="176"/>
      <c r="GW237" s="176"/>
      <c r="GX237" s="176"/>
      <c r="GY237" s="176"/>
      <c r="GZ237" s="176"/>
      <c r="HA237" s="177"/>
      <c r="HB237" s="175"/>
      <c r="HC237" s="176"/>
      <c r="HD237" s="176"/>
      <c r="HE237" s="176"/>
      <c r="HF237" s="177"/>
      <c r="QQ237" s="12"/>
      <c r="QR237" s="7"/>
    </row>
    <row r="238" spans="3:460" ht="5.0999999999999996" customHeight="1" x14ac:dyDescent="0.3">
      <c r="C238" s="11"/>
      <c r="D238" s="13"/>
      <c r="DK238" s="169"/>
      <c r="DL238" s="170"/>
      <c r="DM238" s="170"/>
      <c r="DN238" s="170"/>
      <c r="DO238" s="170"/>
      <c r="DP238" s="170"/>
      <c r="DQ238" s="170"/>
      <c r="DR238" s="170"/>
      <c r="DS238" s="170"/>
      <c r="DT238" s="170"/>
      <c r="DU238" s="170"/>
      <c r="DV238" s="170"/>
      <c r="DW238" s="170"/>
      <c r="DX238" s="170"/>
      <c r="DY238" s="170"/>
      <c r="DZ238" s="170"/>
      <c r="EA238" s="170"/>
      <c r="EB238" s="170"/>
      <c r="EC238" s="170"/>
      <c r="ED238" s="170"/>
      <c r="EE238" s="170"/>
      <c r="EF238" s="170"/>
      <c r="EG238" s="170"/>
      <c r="EH238" s="170"/>
      <c r="EI238" s="170"/>
      <c r="EJ238" s="170"/>
      <c r="EK238" s="170"/>
      <c r="EL238" s="170"/>
      <c r="EM238" s="170"/>
      <c r="EN238" s="170"/>
      <c r="EO238" s="170"/>
      <c r="EP238" s="170"/>
      <c r="EQ238" s="170"/>
      <c r="ER238" s="170"/>
      <c r="ES238" s="170"/>
      <c r="ET238" s="170"/>
      <c r="EU238" s="170"/>
      <c r="EV238" s="170"/>
      <c r="EW238" s="170"/>
      <c r="EX238" s="170"/>
      <c r="EY238" s="170"/>
      <c r="EZ238" s="170"/>
      <c r="FA238" s="171"/>
      <c r="FB238" s="169"/>
      <c r="FC238" s="170"/>
      <c r="FD238" s="170"/>
      <c r="FE238" s="170"/>
      <c r="FF238" s="171"/>
      <c r="FK238" s="178"/>
      <c r="FL238" s="179"/>
      <c r="FM238" s="179"/>
      <c r="FN238" s="179"/>
      <c r="FO238" s="179"/>
      <c r="FP238" s="179"/>
      <c r="FQ238" s="179"/>
      <c r="FR238" s="179"/>
      <c r="FS238" s="179"/>
      <c r="FT238" s="179"/>
      <c r="FU238" s="179"/>
      <c r="FV238" s="179"/>
      <c r="FW238" s="179"/>
      <c r="FX238" s="179"/>
      <c r="FY238" s="179"/>
      <c r="FZ238" s="179"/>
      <c r="GA238" s="179"/>
      <c r="GB238" s="179"/>
      <c r="GC238" s="179"/>
      <c r="GD238" s="179"/>
      <c r="GE238" s="179"/>
      <c r="GF238" s="179"/>
      <c r="GG238" s="179"/>
      <c r="GH238" s="179"/>
      <c r="GI238" s="179"/>
      <c r="GJ238" s="179"/>
      <c r="GK238" s="179"/>
      <c r="GL238" s="179"/>
      <c r="GM238" s="179"/>
      <c r="GN238" s="179"/>
      <c r="GO238" s="179"/>
      <c r="GP238" s="179"/>
      <c r="GQ238" s="179"/>
      <c r="GR238" s="179"/>
      <c r="GS238" s="179"/>
      <c r="GT238" s="179"/>
      <c r="GU238" s="179"/>
      <c r="GV238" s="179"/>
      <c r="GW238" s="179"/>
      <c r="GX238" s="179"/>
      <c r="GY238" s="179"/>
      <c r="GZ238" s="179"/>
      <c r="HA238" s="180"/>
      <c r="HB238" s="178"/>
      <c r="HC238" s="179"/>
      <c r="HD238" s="179"/>
      <c r="HE238" s="179"/>
      <c r="HF238" s="180"/>
      <c r="QQ238" s="12"/>
      <c r="QR238" s="7"/>
    </row>
    <row r="239" spans="3:460" ht="5.0999999999999996" customHeight="1" x14ac:dyDescent="0.3">
      <c r="C239" s="11"/>
      <c r="D239" s="13"/>
      <c r="DK239" s="169"/>
      <c r="DL239" s="170"/>
      <c r="DM239" s="170"/>
      <c r="DN239" s="170"/>
      <c r="DO239" s="170"/>
      <c r="DP239" s="170"/>
      <c r="DQ239" s="170"/>
      <c r="DR239" s="170"/>
      <c r="DS239" s="170"/>
      <c r="DT239" s="170"/>
      <c r="DU239" s="170"/>
      <c r="DV239" s="170"/>
      <c r="DW239" s="170"/>
      <c r="DX239" s="170"/>
      <c r="DY239" s="170"/>
      <c r="DZ239" s="170"/>
      <c r="EA239" s="170"/>
      <c r="EB239" s="170"/>
      <c r="EC239" s="170"/>
      <c r="ED239" s="170"/>
      <c r="EE239" s="170"/>
      <c r="EF239" s="170"/>
      <c r="EG239" s="170"/>
      <c r="EH239" s="170"/>
      <c r="EI239" s="170"/>
      <c r="EJ239" s="170"/>
      <c r="EK239" s="170"/>
      <c r="EL239" s="170"/>
      <c r="EM239" s="170"/>
      <c r="EN239" s="170"/>
      <c r="EO239" s="170"/>
      <c r="EP239" s="170"/>
      <c r="EQ239" s="170"/>
      <c r="ER239" s="170"/>
      <c r="ES239" s="170"/>
      <c r="ET239" s="170"/>
      <c r="EU239" s="170"/>
      <c r="EV239" s="170"/>
      <c r="EW239" s="170"/>
      <c r="EX239" s="170"/>
      <c r="EY239" s="170"/>
      <c r="EZ239" s="170"/>
      <c r="FA239" s="171"/>
      <c r="FB239" s="169"/>
      <c r="FC239" s="170"/>
      <c r="FD239" s="170"/>
      <c r="FE239" s="170"/>
      <c r="FF239" s="171"/>
      <c r="FK239" s="178"/>
      <c r="FL239" s="179"/>
      <c r="FM239" s="179"/>
      <c r="FN239" s="179"/>
      <c r="FO239" s="179"/>
      <c r="FP239" s="179"/>
      <c r="FQ239" s="179"/>
      <c r="FR239" s="179"/>
      <c r="FS239" s="179"/>
      <c r="FT239" s="179"/>
      <c r="FU239" s="179"/>
      <c r="FV239" s="179"/>
      <c r="FW239" s="179"/>
      <c r="FX239" s="179"/>
      <c r="FY239" s="179"/>
      <c r="FZ239" s="179"/>
      <c r="GA239" s="179"/>
      <c r="GB239" s="179"/>
      <c r="GC239" s="179"/>
      <c r="GD239" s="179"/>
      <c r="GE239" s="179"/>
      <c r="GF239" s="179"/>
      <c r="GG239" s="179"/>
      <c r="GH239" s="179"/>
      <c r="GI239" s="179"/>
      <c r="GJ239" s="179"/>
      <c r="GK239" s="179"/>
      <c r="GL239" s="179"/>
      <c r="GM239" s="179"/>
      <c r="GN239" s="179"/>
      <c r="GO239" s="179"/>
      <c r="GP239" s="179"/>
      <c r="GQ239" s="179"/>
      <c r="GR239" s="179"/>
      <c r="GS239" s="179"/>
      <c r="GT239" s="179"/>
      <c r="GU239" s="179"/>
      <c r="GV239" s="179"/>
      <c r="GW239" s="179"/>
      <c r="GX239" s="179"/>
      <c r="GY239" s="179"/>
      <c r="GZ239" s="179"/>
      <c r="HA239" s="180"/>
      <c r="HB239" s="178"/>
      <c r="HC239" s="179"/>
      <c r="HD239" s="179"/>
      <c r="HE239" s="179"/>
      <c r="HF239" s="180"/>
      <c r="QQ239" s="12"/>
      <c r="QR239" s="7"/>
    </row>
    <row r="240" spans="3:460" ht="5.0999999999999996" customHeight="1" x14ac:dyDescent="0.3">
      <c r="C240" s="11"/>
      <c r="D240" s="13"/>
      <c r="DK240" s="172"/>
      <c r="DL240" s="173"/>
      <c r="DM240" s="173"/>
      <c r="DN240" s="173"/>
      <c r="DO240" s="173"/>
      <c r="DP240" s="173"/>
      <c r="DQ240" s="173"/>
      <c r="DR240" s="173"/>
      <c r="DS240" s="173"/>
      <c r="DT240" s="173"/>
      <c r="DU240" s="173"/>
      <c r="DV240" s="173"/>
      <c r="DW240" s="173"/>
      <c r="DX240" s="173"/>
      <c r="DY240" s="173"/>
      <c r="DZ240" s="173"/>
      <c r="EA240" s="173"/>
      <c r="EB240" s="173"/>
      <c r="EC240" s="173"/>
      <c r="ED240" s="173"/>
      <c r="EE240" s="173"/>
      <c r="EF240" s="173"/>
      <c r="EG240" s="173"/>
      <c r="EH240" s="173"/>
      <c r="EI240" s="173"/>
      <c r="EJ240" s="173"/>
      <c r="EK240" s="173"/>
      <c r="EL240" s="173"/>
      <c r="EM240" s="173"/>
      <c r="EN240" s="173"/>
      <c r="EO240" s="173"/>
      <c r="EP240" s="173"/>
      <c r="EQ240" s="173"/>
      <c r="ER240" s="173"/>
      <c r="ES240" s="173"/>
      <c r="ET240" s="173"/>
      <c r="EU240" s="173"/>
      <c r="EV240" s="173"/>
      <c r="EW240" s="173"/>
      <c r="EX240" s="173"/>
      <c r="EY240" s="173"/>
      <c r="EZ240" s="173"/>
      <c r="FA240" s="174"/>
      <c r="FB240" s="172"/>
      <c r="FC240" s="173"/>
      <c r="FD240" s="173"/>
      <c r="FE240" s="173"/>
      <c r="FF240" s="174"/>
      <c r="FK240" s="181"/>
      <c r="FL240" s="182"/>
      <c r="FM240" s="182"/>
      <c r="FN240" s="182"/>
      <c r="FO240" s="182"/>
      <c r="FP240" s="182"/>
      <c r="FQ240" s="182"/>
      <c r="FR240" s="182"/>
      <c r="FS240" s="182"/>
      <c r="FT240" s="182"/>
      <c r="FU240" s="182"/>
      <c r="FV240" s="182"/>
      <c r="FW240" s="182"/>
      <c r="FX240" s="182"/>
      <c r="FY240" s="182"/>
      <c r="FZ240" s="182"/>
      <c r="GA240" s="182"/>
      <c r="GB240" s="182"/>
      <c r="GC240" s="182"/>
      <c r="GD240" s="182"/>
      <c r="GE240" s="182"/>
      <c r="GF240" s="182"/>
      <c r="GG240" s="182"/>
      <c r="GH240" s="182"/>
      <c r="GI240" s="182"/>
      <c r="GJ240" s="182"/>
      <c r="GK240" s="182"/>
      <c r="GL240" s="182"/>
      <c r="GM240" s="182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3"/>
      <c r="HB240" s="181"/>
      <c r="HC240" s="182"/>
      <c r="HD240" s="182"/>
      <c r="HE240" s="182"/>
      <c r="HF240" s="183"/>
      <c r="QQ240" s="12"/>
      <c r="QR240" s="7"/>
    </row>
    <row r="241" spans="3:460" ht="5.0999999999999996" customHeight="1" thickBot="1" x14ac:dyDescent="0.35">
      <c r="C241" s="11"/>
      <c r="D241" s="13"/>
      <c r="DK241" s="193" t="s">
        <v>192</v>
      </c>
      <c r="DL241" s="193"/>
      <c r="DM241" s="193"/>
      <c r="DN241" s="193"/>
      <c r="DO241" s="193"/>
      <c r="DP241" s="193"/>
      <c r="DQ241" s="193"/>
      <c r="DR241" s="193"/>
      <c r="DS241" s="193"/>
      <c r="DT241" s="193"/>
      <c r="DU241" s="193"/>
      <c r="DV241" s="193"/>
      <c r="DW241" s="193"/>
      <c r="DX241" s="193"/>
      <c r="DY241" s="193"/>
      <c r="DZ241" s="193"/>
      <c r="EA241" s="193"/>
      <c r="EB241" s="193"/>
      <c r="EC241" s="193"/>
      <c r="ED241" s="193"/>
      <c r="EE241" s="193"/>
      <c r="EF241" s="193"/>
      <c r="EG241" s="193"/>
      <c r="EH241" s="193"/>
      <c r="EI241" s="193"/>
      <c r="EJ241" s="193"/>
      <c r="EK241" s="193"/>
      <c r="EL241" s="193"/>
      <c r="EM241" s="193"/>
      <c r="EN241" s="193"/>
      <c r="EO241" s="193"/>
      <c r="EP241" s="193"/>
      <c r="EQ241" s="193"/>
      <c r="ER241" s="193"/>
      <c r="ES241" s="193"/>
      <c r="ET241" s="193"/>
      <c r="EU241" s="193"/>
      <c r="EV241" s="193"/>
      <c r="EW241" s="193"/>
      <c r="EX241" s="193"/>
      <c r="EY241" s="193"/>
      <c r="EZ241" s="193"/>
      <c r="FA241" s="193"/>
      <c r="FB241" s="193">
        <f>SUM(FB247:FF258)</f>
        <v>3</v>
      </c>
      <c r="FC241" s="193"/>
      <c r="FD241" s="193"/>
      <c r="FE241" s="193"/>
      <c r="FF241" s="193"/>
      <c r="QQ241" s="12"/>
      <c r="QR241" s="7"/>
    </row>
    <row r="242" spans="3:460" ht="5.0999999999999996" customHeight="1" thickBot="1" x14ac:dyDescent="0.35">
      <c r="C242" s="11"/>
      <c r="D242" s="13"/>
      <c r="DK242" s="193"/>
      <c r="DL242" s="193"/>
      <c r="DM242" s="193"/>
      <c r="DN242" s="193"/>
      <c r="DO242" s="193"/>
      <c r="DP242" s="193"/>
      <c r="DQ242" s="193"/>
      <c r="DR242" s="193"/>
      <c r="DS242" s="193"/>
      <c r="DT242" s="193"/>
      <c r="DU242" s="193"/>
      <c r="DV242" s="193"/>
      <c r="DW242" s="193"/>
      <c r="DX242" s="193"/>
      <c r="DY242" s="193"/>
      <c r="DZ242" s="193"/>
      <c r="EA242" s="193"/>
      <c r="EB242" s="193"/>
      <c r="EC242" s="193"/>
      <c r="ED242" s="193"/>
      <c r="EE242" s="193"/>
      <c r="EF242" s="193"/>
      <c r="EG242" s="193"/>
      <c r="EH242" s="193"/>
      <c r="EI242" s="193"/>
      <c r="EJ242" s="193"/>
      <c r="EK242" s="193"/>
      <c r="EL242" s="193"/>
      <c r="EM242" s="193"/>
      <c r="EN242" s="193"/>
      <c r="EO242" s="193"/>
      <c r="EP242" s="193"/>
      <c r="EQ242" s="193"/>
      <c r="ER242" s="193"/>
      <c r="ES242" s="193"/>
      <c r="ET242" s="193"/>
      <c r="EU242" s="193"/>
      <c r="EV242" s="193"/>
      <c r="EW242" s="193"/>
      <c r="EX242" s="193"/>
      <c r="EY242" s="193"/>
      <c r="EZ242" s="193"/>
      <c r="FA242" s="193"/>
      <c r="FB242" s="193"/>
      <c r="FC242" s="193"/>
      <c r="FD242" s="193"/>
      <c r="FE242" s="193"/>
      <c r="FF242" s="193"/>
      <c r="LO242" s="1" t="s">
        <v>169</v>
      </c>
      <c r="ND242" s="1">
        <v>100</v>
      </c>
      <c r="OD242" s="275" t="s">
        <v>172</v>
      </c>
      <c r="OE242" s="276"/>
      <c r="OF242" s="276"/>
      <c r="OG242" s="276"/>
      <c r="OH242" s="276"/>
      <c r="OI242" s="276"/>
      <c r="OJ242" s="276"/>
      <c r="OK242" s="276"/>
      <c r="OL242" s="276"/>
      <c r="OM242" s="276"/>
      <c r="ON242" s="276"/>
      <c r="OO242" s="276"/>
      <c r="OP242" s="276"/>
      <c r="OQ242" s="276"/>
      <c r="OR242" s="276"/>
      <c r="OS242" s="276"/>
      <c r="OT242" s="276"/>
      <c r="OU242" s="276"/>
      <c r="OV242" s="276"/>
      <c r="OW242" s="276"/>
      <c r="OX242" s="276"/>
      <c r="OY242" s="276"/>
      <c r="OZ242" s="276"/>
      <c r="PA242" s="276"/>
      <c r="PB242" s="276"/>
      <c r="PC242" s="276"/>
      <c r="PD242" s="276"/>
      <c r="PE242" s="276"/>
      <c r="PF242" s="276"/>
      <c r="PG242" s="276"/>
      <c r="PH242" s="276"/>
      <c r="PI242" s="276"/>
      <c r="PJ242" s="276"/>
      <c r="PK242" s="276"/>
      <c r="PL242" s="276"/>
      <c r="PM242" s="276"/>
      <c r="PN242" s="276"/>
      <c r="PO242" s="276"/>
      <c r="PP242" s="276"/>
      <c r="PQ242" s="276"/>
      <c r="PR242" s="276"/>
      <c r="PS242" s="276"/>
      <c r="PT242" s="276"/>
      <c r="PU242" s="276"/>
      <c r="PV242" s="276"/>
      <c r="PW242" s="276"/>
      <c r="PX242" s="276"/>
      <c r="PY242" s="276"/>
      <c r="PZ242" s="276"/>
      <c r="QA242" s="277"/>
      <c r="QB242" s="284">
        <f>SUM(IR19,AX37,FG43,NM37,QF38,DX69,QA107,QA117,AV104,CR104,EN104,GJ104,IF104,MF64,HA68)</f>
        <v>98</v>
      </c>
      <c r="QC242" s="285"/>
      <c r="QD242" s="285"/>
      <c r="QE242" s="285"/>
      <c r="QF242" s="285"/>
      <c r="QG242" s="285"/>
      <c r="QH242" s="285"/>
      <c r="QI242" s="285"/>
      <c r="QJ242" s="285"/>
      <c r="QK242" s="285"/>
      <c r="QL242" s="285"/>
      <c r="QM242" s="286"/>
      <c r="QQ242" s="12"/>
      <c r="QR242" s="7"/>
    </row>
    <row r="243" spans="3:460" ht="5.0999999999999996" customHeight="1" x14ac:dyDescent="0.3">
      <c r="C243" s="11"/>
      <c r="D243" s="13"/>
      <c r="F243" s="267" t="s">
        <v>22</v>
      </c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  <c r="AD243" s="268"/>
      <c r="AE243" s="268"/>
      <c r="AF243" s="268"/>
      <c r="AG243" s="269"/>
      <c r="AH243" s="267" t="s">
        <v>23</v>
      </c>
      <c r="AI243" s="268"/>
      <c r="AJ243" s="268"/>
      <c r="AK243" s="268"/>
      <c r="AL243" s="268"/>
      <c r="AM243" s="268"/>
      <c r="AN243" s="268"/>
      <c r="AO243" s="268"/>
      <c r="AP243" s="268"/>
      <c r="AQ243" s="268"/>
      <c r="AR243" s="268"/>
      <c r="AS243" s="268"/>
      <c r="AT243" s="268"/>
      <c r="AU243" s="268"/>
      <c r="AV243" s="268"/>
      <c r="AW243" s="268"/>
      <c r="AX243" s="268"/>
      <c r="AY243" s="268"/>
      <c r="AZ243" s="268"/>
      <c r="BA243" s="268"/>
      <c r="BB243" s="268"/>
      <c r="BC243" s="268"/>
      <c r="BD243" s="268"/>
      <c r="BE243" s="268"/>
      <c r="BF243" s="268"/>
      <c r="BG243" s="268"/>
      <c r="BH243" s="268"/>
      <c r="BI243" s="269"/>
      <c r="BJ243" s="267" t="s">
        <v>24</v>
      </c>
      <c r="BK243" s="268"/>
      <c r="BL243" s="268"/>
      <c r="BM243" s="268"/>
      <c r="BN243" s="268"/>
      <c r="BO243" s="268"/>
      <c r="BP243" s="268"/>
      <c r="BQ243" s="268"/>
      <c r="BR243" s="268"/>
      <c r="BS243" s="268"/>
      <c r="BT243" s="268"/>
      <c r="BU243" s="268"/>
      <c r="BV243" s="268"/>
      <c r="BW243" s="268"/>
      <c r="BX243" s="268"/>
      <c r="BY243" s="268"/>
      <c r="BZ243" s="268"/>
      <c r="CA243" s="268"/>
      <c r="CB243" s="268"/>
      <c r="CC243" s="268"/>
      <c r="CD243" s="268"/>
      <c r="CE243" s="268"/>
      <c r="CF243" s="268"/>
      <c r="CG243" s="268"/>
      <c r="CH243" s="268"/>
      <c r="CI243" s="268"/>
      <c r="CJ243" s="268"/>
      <c r="CK243" s="269"/>
      <c r="DK243" s="193"/>
      <c r="DL243" s="193"/>
      <c r="DM243" s="193"/>
      <c r="DN243" s="193"/>
      <c r="DO243" s="193"/>
      <c r="DP243" s="193"/>
      <c r="DQ243" s="193"/>
      <c r="DR243" s="193"/>
      <c r="DS243" s="193"/>
      <c r="DT243" s="193"/>
      <c r="DU243" s="193"/>
      <c r="DV243" s="193"/>
      <c r="DW243" s="193"/>
      <c r="DX243" s="193"/>
      <c r="DY243" s="193"/>
      <c r="DZ243" s="193"/>
      <c r="EA243" s="193"/>
      <c r="EB243" s="193"/>
      <c r="EC243" s="193"/>
      <c r="ED243" s="193"/>
      <c r="EE243" s="193"/>
      <c r="EF243" s="193"/>
      <c r="EG243" s="193"/>
      <c r="EH243" s="193"/>
      <c r="EI243" s="193"/>
      <c r="EJ243" s="193"/>
      <c r="EK243" s="193"/>
      <c r="EL243" s="193"/>
      <c r="EM243" s="193"/>
      <c r="EN243" s="193"/>
      <c r="EO243" s="193"/>
      <c r="EP243" s="193"/>
      <c r="EQ243" s="193"/>
      <c r="ER243" s="193"/>
      <c r="ES243" s="193"/>
      <c r="ET243" s="193"/>
      <c r="EU243" s="193"/>
      <c r="EV243" s="193"/>
      <c r="EW243" s="193"/>
      <c r="EX243" s="193"/>
      <c r="EY243" s="193"/>
      <c r="EZ243" s="193"/>
      <c r="FA243" s="193"/>
      <c r="FB243" s="193"/>
      <c r="FC243" s="193"/>
      <c r="FD243" s="193"/>
      <c r="FE243" s="193"/>
      <c r="FF243" s="193"/>
      <c r="OD243" s="278"/>
      <c r="OE243" s="279"/>
      <c r="OF243" s="279"/>
      <c r="OG243" s="279"/>
      <c r="OH243" s="279"/>
      <c r="OI243" s="279"/>
      <c r="OJ243" s="279"/>
      <c r="OK243" s="279"/>
      <c r="OL243" s="279"/>
      <c r="OM243" s="279"/>
      <c r="ON243" s="279"/>
      <c r="OO243" s="279"/>
      <c r="OP243" s="279"/>
      <c r="OQ243" s="279"/>
      <c r="OR243" s="279"/>
      <c r="OS243" s="279"/>
      <c r="OT243" s="279"/>
      <c r="OU243" s="279"/>
      <c r="OV243" s="279"/>
      <c r="OW243" s="279"/>
      <c r="OX243" s="279"/>
      <c r="OY243" s="279"/>
      <c r="OZ243" s="279"/>
      <c r="PA243" s="279"/>
      <c r="PB243" s="279"/>
      <c r="PC243" s="279"/>
      <c r="PD243" s="279"/>
      <c r="PE243" s="279"/>
      <c r="PF243" s="279"/>
      <c r="PG243" s="279"/>
      <c r="PH243" s="279"/>
      <c r="PI243" s="279"/>
      <c r="PJ243" s="279"/>
      <c r="PK243" s="279"/>
      <c r="PL243" s="279"/>
      <c r="PM243" s="279"/>
      <c r="PN243" s="279"/>
      <c r="PO243" s="279"/>
      <c r="PP243" s="279"/>
      <c r="PQ243" s="279"/>
      <c r="PR243" s="279"/>
      <c r="PS243" s="279"/>
      <c r="PT243" s="279"/>
      <c r="PU243" s="279"/>
      <c r="PV243" s="279"/>
      <c r="PW243" s="279"/>
      <c r="PX243" s="279"/>
      <c r="PY243" s="279"/>
      <c r="PZ243" s="279"/>
      <c r="QA243" s="280"/>
      <c r="QB243" s="287"/>
      <c r="QC243" s="288"/>
      <c r="QD243" s="288"/>
      <c r="QE243" s="288"/>
      <c r="QF243" s="288"/>
      <c r="QG243" s="288"/>
      <c r="QH243" s="288"/>
      <c r="QI243" s="288"/>
      <c r="QJ243" s="288"/>
      <c r="QK243" s="288"/>
      <c r="QL243" s="288"/>
      <c r="QM243" s="289"/>
      <c r="QQ243" s="12"/>
      <c r="QR243" s="7"/>
    </row>
    <row r="244" spans="3:460" ht="5.0999999999999996" customHeight="1" x14ac:dyDescent="0.3">
      <c r="C244" s="11"/>
      <c r="D244" s="13"/>
      <c r="F244" s="2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  <c r="AF244" s="170"/>
      <c r="AG244" s="271"/>
      <c r="AH244" s="270"/>
      <c r="AI244" s="170"/>
      <c r="AJ244" s="170"/>
      <c r="AK244" s="170"/>
      <c r="AL244" s="170"/>
      <c r="AM244" s="170"/>
      <c r="AN244" s="170"/>
      <c r="AO244" s="170"/>
      <c r="AP244" s="170"/>
      <c r="AQ244" s="170"/>
      <c r="AR244" s="170"/>
      <c r="AS244" s="170"/>
      <c r="AT244" s="170"/>
      <c r="AU244" s="170"/>
      <c r="AV244" s="170"/>
      <c r="AW244" s="170"/>
      <c r="AX244" s="170"/>
      <c r="AY244" s="170"/>
      <c r="AZ244" s="170"/>
      <c r="BA244" s="170"/>
      <c r="BB244" s="170"/>
      <c r="BC244" s="170"/>
      <c r="BD244" s="170"/>
      <c r="BE244" s="170"/>
      <c r="BF244" s="170"/>
      <c r="BG244" s="170"/>
      <c r="BH244" s="170"/>
      <c r="BI244" s="271"/>
      <c r="BJ244" s="270"/>
      <c r="BK244" s="170"/>
      <c r="BL244" s="170"/>
      <c r="BM244" s="170"/>
      <c r="BN244" s="170"/>
      <c r="BO244" s="170"/>
      <c r="BP244" s="170"/>
      <c r="BQ244" s="170"/>
      <c r="BR244" s="170"/>
      <c r="BS244" s="170"/>
      <c r="BT244" s="170"/>
      <c r="BU244" s="170"/>
      <c r="BV244" s="170"/>
      <c r="BW244" s="170"/>
      <c r="BX244" s="170"/>
      <c r="BY244" s="170"/>
      <c r="BZ244" s="170"/>
      <c r="CA244" s="170"/>
      <c r="CB244" s="170"/>
      <c r="CC244" s="170"/>
      <c r="CD244" s="170"/>
      <c r="CE244" s="170"/>
      <c r="CF244" s="170"/>
      <c r="CG244" s="170"/>
      <c r="CH244" s="170"/>
      <c r="CI244" s="170"/>
      <c r="CJ244" s="170"/>
      <c r="CK244" s="271"/>
      <c r="DK244" s="193"/>
      <c r="DL244" s="193"/>
      <c r="DM244" s="193"/>
      <c r="DN244" s="193"/>
      <c r="DO244" s="193"/>
      <c r="DP244" s="193"/>
      <c r="DQ244" s="193"/>
      <c r="DR244" s="193"/>
      <c r="DS244" s="193"/>
      <c r="DT244" s="193"/>
      <c r="DU244" s="193"/>
      <c r="DV244" s="193"/>
      <c r="DW244" s="193"/>
      <c r="DX244" s="193"/>
      <c r="DY244" s="193"/>
      <c r="DZ244" s="193"/>
      <c r="EA244" s="193"/>
      <c r="EB244" s="193"/>
      <c r="EC244" s="193"/>
      <c r="ED244" s="193"/>
      <c r="EE244" s="193"/>
      <c r="EF244" s="193"/>
      <c r="EG244" s="193"/>
      <c r="EH244" s="193"/>
      <c r="EI244" s="193"/>
      <c r="EJ244" s="193"/>
      <c r="EK244" s="193"/>
      <c r="EL244" s="193"/>
      <c r="EM244" s="193"/>
      <c r="EN244" s="193"/>
      <c r="EO244" s="193"/>
      <c r="EP244" s="193"/>
      <c r="EQ244" s="193"/>
      <c r="ER244" s="193"/>
      <c r="ES244" s="193"/>
      <c r="ET244" s="193"/>
      <c r="EU244" s="193"/>
      <c r="EV244" s="193"/>
      <c r="EW244" s="193"/>
      <c r="EX244" s="193"/>
      <c r="EY244" s="193"/>
      <c r="EZ244" s="193"/>
      <c r="FA244" s="193"/>
      <c r="FB244" s="193"/>
      <c r="FC244" s="193"/>
      <c r="FD244" s="193"/>
      <c r="FE244" s="193"/>
      <c r="FF244" s="193"/>
      <c r="OD244" s="278"/>
      <c r="OE244" s="279"/>
      <c r="OF244" s="279"/>
      <c r="OG244" s="279"/>
      <c r="OH244" s="279"/>
      <c r="OI244" s="279"/>
      <c r="OJ244" s="279"/>
      <c r="OK244" s="279"/>
      <c r="OL244" s="279"/>
      <c r="OM244" s="279"/>
      <c r="ON244" s="279"/>
      <c r="OO244" s="279"/>
      <c r="OP244" s="279"/>
      <c r="OQ244" s="279"/>
      <c r="OR244" s="279"/>
      <c r="OS244" s="279"/>
      <c r="OT244" s="279"/>
      <c r="OU244" s="279"/>
      <c r="OV244" s="279"/>
      <c r="OW244" s="279"/>
      <c r="OX244" s="279"/>
      <c r="OY244" s="279"/>
      <c r="OZ244" s="279"/>
      <c r="PA244" s="279"/>
      <c r="PB244" s="279"/>
      <c r="PC244" s="279"/>
      <c r="PD244" s="279"/>
      <c r="PE244" s="279"/>
      <c r="PF244" s="279"/>
      <c r="PG244" s="279"/>
      <c r="PH244" s="279"/>
      <c r="PI244" s="279"/>
      <c r="PJ244" s="279"/>
      <c r="PK244" s="279"/>
      <c r="PL244" s="279"/>
      <c r="PM244" s="279"/>
      <c r="PN244" s="279"/>
      <c r="PO244" s="279"/>
      <c r="PP244" s="279"/>
      <c r="PQ244" s="279"/>
      <c r="PR244" s="279"/>
      <c r="PS244" s="279"/>
      <c r="PT244" s="279"/>
      <c r="PU244" s="279"/>
      <c r="PV244" s="279"/>
      <c r="PW244" s="279"/>
      <c r="PX244" s="279"/>
      <c r="PY244" s="279"/>
      <c r="PZ244" s="279"/>
      <c r="QA244" s="280"/>
      <c r="QB244" s="287"/>
      <c r="QC244" s="288"/>
      <c r="QD244" s="288"/>
      <c r="QE244" s="288"/>
      <c r="QF244" s="288"/>
      <c r="QG244" s="288"/>
      <c r="QH244" s="288"/>
      <c r="QI244" s="288"/>
      <c r="QJ244" s="288"/>
      <c r="QK244" s="288"/>
      <c r="QL244" s="288"/>
      <c r="QM244" s="289"/>
      <c r="QQ244" s="12"/>
      <c r="QR244" s="7"/>
    </row>
    <row r="245" spans="3:460" ht="5.0999999999999996" customHeight="1" x14ac:dyDescent="0.3">
      <c r="C245" s="11"/>
      <c r="D245" s="13"/>
      <c r="F245" s="2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  <c r="AF245" s="170"/>
      <c r="AG245" s="271"/>
      <c r="AH245" s="270"/>
      <c r="AI245" s="170"/>
      <c r="AJ245" s="170"/>
      <c r="AK245" s="170"/>
      <c r="AL245" s="170"/>
      <c r="AM245" s="170"/>
      <c r="AN245" s="170"/>
      <c r="AO245" s="170"/>
      <c r="AP245" s="170"/>
      <c r="AQ245" s="170"/>
      <c r="AR245" s="170"/>
      <c r="AS245" s="170"/>
      <c r="AT245" s="170"/>
      <c r="AU245" s="170"/>
      <c r="AV245" s="170"/>
      <c r="AW245" s="170"/>
      <c r="AX245" s="170"/>
      <c r="AY245" s="170"/>
      <c r="AZ245" s="170"/>
      <c r="BA245" s="170"/>
      <c r="BB245" s="170"/>
      <c r="BC245" s="170"/>
      <c r="BD245" s="170"/>
      <c r="BE245" s="170"/>
      <c r="BF245" s="170"/>
      <c r="BG245" s="170"/>
      <c r="BH245" s="170"/>
      <c r="BI245" s="271"/>
      <c r="BJ245" s="270"/>
      <c r="BK245" s="170"/>
      <c r="BL245" s="170"/>
      <c r="BM245" s="170"/>
      <c r="BN245" s="170"/>
      <c r="BO245" s="170"/>
      <c r="BP245" s="170"/>
      <c r="BQ245" s="170"/>
      <c r="BR245" s="170"/>
      <c r="BS245" s="170"/>
      <c r="BT245" s="170"/>
      <c r="BU245" s="170"/>
      <c r="BV245" s="170"/>
      <c r="BW245" s="170"/>
      <c r="BX245" s="170"/>
      <c r="BY245" s="170"/>
      <c r="BZ245" s="170"/>
      <c r="CA245" s="170"/>
      <c r="CB245" s="170"/>
      <c r="CC245" s="170"/>
      <c r="CD245" s="170"/>
      <c r="CE245" s="170"/>
      <c r="CF245" s="170"/>
      <c r="CG245" s="170"/>
      <c r="CH245" s="170"/>
      <c r="CI245" s="170"/>
      <c r="CJ245" s="170"/>
      <c r="CK245" s="271"/>
      <c r="DK245" s="193"/>
      <c r="DL245" s="193"/>
      <c r="DM245" s="193"/>
      <c r="DN245" s="193"/>
      <c r="DO245" s="193"/>
      <c r="DP245" s="193"/>
      <c r="DQ245" s="193"/>
      <c r="DR245" s="193"/>
      <c r="DS245" s="193"/>
      <c r="DT245" s="193"/>
      <c r="DU245" s="193"/>
      <c r="DV245" s="193"/>
      <c r="DW245" s="193"/>
      <c r="DX245" s="193"/>
      <c r="DY245" s="193"/>
      <c r="DZ245" s="193"/>
      <c r="EA245" s="193"/>
      <c r="EB245" s="193"/>
      <c r="EC245" s="193"/>
      <c r="ED245" s="193"/>
      <c r="EE245" s="193"/>
      <c r="EF245" s="193"/>
      <c r="EG245" s="193"/>
      <c r="EH245" s="193"/>
      <c r="EI245" s="193"/>
      <c r="EJ245" s="193"/>
      <c r="EK245" s="193"/>
      <c r="EL245" s="193"/>
      <c r="EM245" s="193"/>
      <c r="EN245" s="193"/>
      <c r="EO245" s="193"/>
      <c r="EP245" s="193"/>
      <c r="EQ245" s="193"/>
      <c r="ER245" s="193"/>
      <c r="ES245" s="193"/>
      <c r="ET245" s="193"/>
      <c r="EU245" s="193"/>
      <c r="EV245" s="193"/>
      <c r="EW245" s="193"/>
      <c r="EX245" s="193"/>
      <c r="EY245" s="193"/>
      <c r="EZ245" s="193"/>
      <c r="FA245" s="193"/>
      <c r="FB245" s="193"/>
      <c r="FC245" s="193"/>
      <c r="FD245" s="193"/>
      <c r="FE245" s="193"/>
      <c r="FF245" s="193"/>
      <c r="OD245" s="278"/>
      <c r="OE245" s="279"/>
      <c r="OF245" s="279"/>
      <c r="OG245" s="279"/>
      <c r="OH245" s="279"/>
      <c r="OI245" s="279"/>
      <c r="OJ245" s="279"/>
      <c r="OK245" s="279"/>
      <c r="OL245" s="279"/>
      <c r="OM245" s="279"/>
      <c r="ON245" s="279"/>
      <c r="OO245" s="279"/>
      <c r="OP245" s="279"/>
      <c r="OQ245" s="279"/>
      <c r="OR245" s="279"/>
      <c r="OS245" s="279"/>
      <c r="OT245" s="279"/>
      <c r="OU245" s="279"/>
      <c r="OV245" s="279"/>
      <c r="OW245" s="279"/>
      <c r="OX245" s="279"/>
      <c r="OY245" s="279"/>
      <c r="OZ245" s="279"/>
      <c r="PA245" s="279"/>
      <c r="PB245" s="279"/>
      <c r="PC245" s="279"/>
      <c r="PD245" s="279"/>
      <c r="PE245" s="279"/>
      <c r="PF245" s="279"/>
      <c r="PG245" s="279"/>
      <c r="PH245" s="279"/>
      <c r="PI245" s="279"/>
      <c r="PJ245" s="279"/>
      <c r="PK245" s="279"/>
      <c r="PL245" s="279"/>
      <c r="PM245" s="279"/>
      <c r="PN245" s="279"/>
      <c r="PO245" s="279"/>
      <c r="PP245" s="279"/>
      <c r="PQ245" s="279"/>
      <c r="PR245" s="279"/>
      <c r="PS245" s="279"/>
      <c r="PT245" s="279"/>
      <c r="PU245" s="279"/>
      <c r="PV245" s="279"/>
      <c r="PW245" s="279"/>
      <c r="PX245" s="279"/>
      <c r="PY245" s="279"/>
      <c r="PZ245" s="279"/>
      <c r="QA245" s="280"/>
      <c r="QB245" s="287"/>
      <c r="QC245" s="288"/>
      <c r="QD245" s="288"/>
      <c r="QE245" s="288"/>
      <c r="QF245" s="288"/>
      <c r="QG245" s="288"/>
      <c r="QH245" s="288"/>
      <c r="QI245" s="288"/>
      <c r="QJ245" s="288"/>
      <c r="QK245" s="288"/>
      <c r="QL245" s="288"/>
      <c r="QM245" s="289"/>
      <c r="QQ245" s="12"/>
      <c r="QR245" s="7"/>
    </row>
    <row r="246" spans="3:460" ht="5.0999999999999996" customHeight="1" x14ac:dyDescent="0.3">
      <c r="C246" s="11"/>
      <c r="D246" s="13"/>
      <c r="F246" s="2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  <c r="AF246" s="170"/>
      <c r="AG246" s="271"/>
      <c r="AH246" s="270"/>
      <c r="AI246" s="170"/>
      <c r="AJ246" s="170"/>
      <c r="AK246" s="170"/>
      <c r="AL246" s="170"/>
      <c r="AM246" s="170"/>
      <c r="AN246" s="170"/>
      <c r="AO246" s="170"/>
      <c r="AP246" s="170"/>
      <c r="AQ246" s="170"/>
      <c r="AR246" s="170"/>
      <c r="AS246" s="170"/>
      <c r="AT246" s="170"/>
      <c r="AU246" s="170"/>
      <c r="AV246" s="170"/>
      <c r="AW246" s="170"/>
      <c r="AX246" s="170"/>
      <c r="AY246" s="170"/>
      <c r="AZ246" s="170"/>
      <c r="BA246" s="170"/>
      <c r="BB246" s="170"/>
      <c r="BC246" s="170"/>
      <c r="BD246" s="170"/>
      <c r="BE246" s="170"/>
      <c r="BF246" s="170"/>
      <c r="BG246" s="170"/>
      <c r="BH246" s="170"/>
      <c r="BI246" s="271"/>
      <c r="BJ246" s="270"/>
      <c r="BK246" s="170"/>
      <c r="BL246" s="170"/>
      <c r="BM246" s="170"/>
      <c r="BN246" s="170"/>
      <c r="BO246" s="170"/>
      <c r="BP246" s="170"/>
      <c r="BQ246" s="170"/>
      <c r="BR246" s="170"/>
      <c r="BS246" s="170"/>
      <c r="BT246" s="170"/>
      <c r="BU246" s="170"/>
      <c r="BV246" s="170"/>
      <c r="BW246" s="170"/>
      <c r="BX246" s="170"/>
      <c r="BY246" s="170"/>
      <c r="BZ246" s="170"/>
      <c r="CA246" s="170"/>
      <c r="CB246" s="170"/>
      <c r="CC246" s="170"/>
      <c r="CD246" s="170"/>
      <c r="CE246" s="170"/>
      <c r="CF246" s="170"/>
      <c r="CG246" s="170"/>
      <c r="CH246" s="170"/>
      <c r="CI246" s="170"/>
      <c r="CJ246" s="170"/>
      <c r="CK246" s="271"/>
      <c r="DK246" s="193"/>
      <c r="DL246" s="193"/>
      <c r="DM246" s="193"/>
      <c r="DN246" s="193"/>
      <c r="DO246" s="193"/>
      <c r="DP246" s="193"/>
      <c r="DQ246" s="193"/>
      <c r="DR246" s="193"/>
      <c r="DS246" s="193"/>
      <c r="DT246" s="193"/>
      <c r="DU246" s="193"/>
      <c r="DV246" s="193"/>
      <c r="DW246" s="193"/>
      <c r="DX246" s="193"/>
      <c r="DY246" s="193"/>
      <c r="DZ246" s="193"/>
      <c r="EA246" s="193"/>
      <c r="EB246" s="193"/>
      <c r="EC246" s="193"/>
      <c r="ED246" s="193"/>
      <c r="EE246" s="193"/>
      <c r="EF246" s="193"/>
      <c r="EG246" s="193"/>
      <c r="EH246" s="193"/>
      <c r="EI246" s="193"/>
      <c r="EJ246" s="193"/>
      <c r="EK246" s="193"/>
      <c r="EL246" s="193"/>
      <c r="EM246" s="193"/>
      <c r="EN246" s="193"/>
      <c r="EO246" s="193"/>
      <c r="EP246" s="193"/>
      <c r="EQ246" s="193"/>
      <c r="ER246" s="193"/>
      <c r="ES246" s="193"/>
      <c r="ET246" s="193"/>
      <c r="EU246" s="193"/>
      <c r="EV246" s="193"/>
      <c r="EW246" s="193"/>
      <c r="EX246" s="193"/>
      <c r="EY246" s="193"/>
      <c r="EZ246" s="193"/>
      <c r="FA246" s="193"/>
      <c r="FB246" s="193"/>
      <c r="FC246" s="193"/>
      <c r="FD246" s="193"/>
      <c r="FE246" s="193"/>
      <c r="FF246" s="193"/>
      <c r="OD246" s="278"/>
      <c r="OE246" s="279"/>
      <c r="OF246" s="279"/>
      <c r="OG246" s="279"/>
      <c r="OH246" s="279"/>
      <c r="OI246" s="279"/>
      <c r="OJ246" s="279"/>
      <c r="OK246" s="279"/>
      <c r="OL246" s="279"/>
      <c r="OM246" s="279"/>
      <c r="ON246" s="279"/>
      <c r="OO246" s="279"/>
      <c r="OP246" s="279"/>
      <c r="OQ246" s="279"/>
      <c r="OR246" s="279"/>
      <c r="OS246" s="279"/>
      <c r="OT246" s="279"/>
      <c r="OU246" s="279"/>
      <c r="OV246" s="279"/>
      <c r="OW246" s="279"/>
      <c r="OX246" s="279"/>
      <c r="OY246" s="279"/>
      <c r="OZ246" s="279"/>
      <c r="PA246" s="279"/>
      <c r="PB246" s="279"/>
      <c r="PC246" s="279"/>
      <c r="PD246" s="279"/>
      <c r="PE246" s="279"/>
      <c r="PF246" s="279"/>
      <c r="PG246" s="279"/>
      <c r="PH246" s="279"/>
      <c r="PI246" s="279"/>
      <c r="PJ246" s="279"/>
      <c r="PK246" s="279"/>
      <c r="PL246" s="279"/>
      <c r="PM246" s="279"/>
      <c r="PN246" s="279"/>
      <c r="PO246" s="279"/>
      <c r="PP246" s="279"/>
      <c r="PQ246" s="279"/>
      <c r="PR246" s="279"/>
      <c r="PS246" s="279"/>
      <c r="PT246" s="279"/>
      <c r="PU246" s="279"/>
      <c r="PV246" s="279"/>
      <c r="PW246" s="279"/>
      <c r="PX246" s="279"/>
      <c r="PY246" s="279"/>
      <c r="PZ246" s="279"/>
      <c r="QA246" s="280"/>
      <c r="QB246" s="287"/>
      <c r="QC246" s="288"/>
      <c r="QD246" s="288"/>
      <c r="QE246" s="288"/>
      <c r="QF246" s="288"/>
      <c r="QG246" s="288"/>
      <c r="QH246" s="288"/>
      <c r="QI246" s="288"/>
      <c r="QJ246" s="288"/>
      <c r="QK246" s="288"/>
      <c r="QL246" s="288"/>
      <c r="QM246" s="289"/>
      <c r="QQ246" s="12"/>
      <c r="QR246" s="7"/>
    </row>
    <row r="247" spans="3:460" ht="5.0999999999999996" customHeight="1" thickBot="1" x14ac:dyDescent="0.35">
      <c r="C247" s="11"/>
      <c r="D247" s="13"/>
      <c r="F247" s="272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  <c r="AD247" s="273"/>
      <c r="AE247" s="273"/>
      <c r="AF247" s="273"/>
      <c r="AG247" s="274"/>
      <c r="AH247" s="272"/>
      <c r="AI247" s="273"/>
      <c r="AJ247" s="273"/>
      <c r="AK247" s="273"/>
      <c r="AL247" s="273"/>
      <c r="AM247" s="273"/>
      <c r="AN247" s="273"/>
      <c r="AO247" s="273"/>
      <c r="AP247" s="273"/>
      <c r="AQ247" s="273"/>
      <c r="AR247" s="273"/>
      <c r="AS247" s="273"/>
      <c r="AT247" s="273"/>
      <c r="AU247" s="273"/>
      <c r="AV247" s="273"/>
      <c r="AW247" s="273"/>
      <c r="AX247" s="273"/>
      <c r="AY247" s="273"/>
      <c r="AZ247" s="273"/>
      <c r="BA247" s="273"/>
      <c r="BB247" s="273"/>
      <c r="BC247" s="273"/>
      <c r="BD247" s="273"/>
      <c r="BE247" s="273"/>
      <c r="BF247" s="273"/>
      <c r="BG247" s="273"/>
      <c r="BH247" s="273"/>
      <c r="BI247" s="274"/>
      <c r="BJ247" s="272"/>
      <c r="BK247" s="273"/>
      <c r="BL247" s="273"/>
      <c r="BM247" s="273"/>
      <c r="BN247" s="273"/>
      <c r="BO247" s="273"/>
      <c r="BP247" s="273"/>
      <c r="BQ247" s="273"/>
      <c r="BR247" s="273"/>
      <c r="BS247" s="273"/>
      <c r="BT247" s="273"/>
      <c r="BU247" s="273"/>
      <c r="BV247" s="273"/>
      <c r="BW247" s="273"/>
      <c r="BX247" s="273"/>
      <c r="BY247" s="273"/>
      <c r="BZ247" s="273"/>
      <c r="CA247" s="273"/>
      <c r="CB247" s="273"/>
      <c r="CC247" s="273"/>
      <c r="CD247" s="273"/>
      <c r="CE247" s="273"/>
      <c r="CF247" s="273"/>
      <c r="CG247" s="273"/>
      <c r="CH247" s="273"/>
      <c r="CI247" s="273"/>
      <c r="CJ247" s="273"/>
      <c r="CK247" s="274"/>
      <c r="DK247" s="166" t="s">
        <v>193</v>
      </c>
      <c r="DL247" s="167"/>
      <c r="DM247" s="167"/>
      <c r="DN247" s="167"/>
      <c r="DO247" s="167"/>
      <c r="DP247" s="167"/>
      <c r="DQ247" s="167"/>
      <c r="DR247" s="167"/>
      <c r="DS247" s="167"/>
      <c r="DT247" s="167"/>
      <c r="DU247" s="167"/>
      <c r="DV247" s="167"/>
      <c r="DW247" s="167"/>
      <c r="DX247" s="167"/>
      <c r="DY247" s="167"/>
      <c r="DZ247" s="167"/>
      <c r="EA247" s="167"/>
      <c r="EB247" s="167"/>
      <c r="EC247" s="167"/>
      <c r="ED247" s="167"/>
      <c r="EE247" s="167"/>
      <c r="EF247" s="167"/>
      <c r="EG247" s="167"/>
      <c r="EH247" s="167"/>
      <c r="EI247" s="167"/>
      <c r="EJ247" s="167"/>
      <c r="EK247" s="167"/>
      <c r="EL247" s="167"/>
      <c r="EM247" s="167"/>
      <c r="EN247" s="167"/>
      <c r="EO247" s="167"/>
      <c r="EP247" s="167"/>
      <c r="EQ247" s="167"/>
      <c r="ER247" s="167"/>
      <c r="ES247" s="167"/>
      <c r="ET247" s="167"/>
      <c r="EU247" s="167"/>
      <c r="EV247" s="167"/>
      <c r="EW247" s="167"/>
      <c r="EX247" s="167"/>
      <c r="EY247" s="167"/>
      <c r="EZ247" s="167"/>
      <c r="FA247" s="168"/>
      <c r="FB247" s="166">
        <v>1</v>
      </c>
      <c r="FC247" s="167"/>
      <c r="FD247" s="167"/>
      <c r="FE247" s="167"/>
      <c r="FF247" s="168"/>
      <c r="OD247" s="278"/>
      <c r="OE247" s="279"/>
      <c r="OF247" s="279"/>
      <c r="OG247" s="279"/>
      <c r="OH247" s="279"/>
      <c r="OI247" s="279"/>
      <c r="OJ247" s="279"/>
      <c r="OK247" s="279"/>
      <c r="OL247" s="279"/>
      <c r="OM247" s="279"/>
      <c r="ON247" s="279"/>
      <c r="OO247" s="279"/>
      <c r="OP247" s="279"/>
      <c r="OQ247" s="279"/>
      <c r="OR247" s="279"/>
      <c r="OS247" s="279"/>
      <c r="OT247" s="279"/>
      <c r="OU247" s="279"/>
      <c r="OV247" s="279"/>
      <c r="OW247" s="279"/>
      <c r="OX247" s="279"/>
      <c r="OY247" s="279"/>
      <c r="OZ247" s="279"/>
      <c r="PA247" s="279"/>
      <c r="PB247" s="279"/>
      <c r="PC247" s="279"/>
      <c r="PD247" s="279"/>
      <c r="PE247" s="279"/>
      <c r="PF247" s="279"/>
      <c r="PG247" s="279"/>
      <c r="PH247" s="279"/>
      <c r="PI247" s="279"/>
      <c r="PJ247" s="279"/>
      <c r="PK247" s="279"/>
      <c r="PL247" s="279"/>
      <c r="PM247" s="279"/>
      <c r="PN247" s="279"/>
      <c r="PO247" s="279"/>
      <c r="PP247" s="279"/>
      <c r="PQ247" s="279"/>
      <c r="PR247" s="279"/>
      <c r="PS247" s="279"/>
      <c r="PT247" s="279"/>
      <c r="PU247" s="279"/>
      <c r="PV247" s="279"/>
      <c r="PW247" s="279"/>
      <c r="PX247" s="279"/>
      <c r="PY247" s="279"/>
      <c r="PZ247" s="279"/>
      <c r="QA247" s="280"/>
      <c r="QB247" s="287"/>
      <c r="QC247" s="288"/>
      <c r="QD247" s="288"/>
      <c r="QE247" s="288"/>
      <c r="QF247" s="288"/>
      <c r="QG247" s="288"/>
      <c r="QH247" s="288"/>
      <c r="QI247" s="288"/>
      <c r="QJ247" s="288"/>
      <c r="QK247" s="288"/>
      <c r="QL247" s="288"/>
      <c r="QM247" s="289"/>
      <c r="QQ247" s="12"/>
      <c r="QR247" s="7"/>
    </row>
    <row r="248" spans="3:460" ht="5.0999999999999996" customHeight="1" x14ac:dyDescent="0.3">
      <c r="C248" s="11"/>
      <c r="D248" s="13"/>
      <c r="F248" s="267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  <c r="AD248" s="268"/>
      <c r="AE248" s="268"/>
      <c r="AF248" s="268"/>
      <c r="AG248" s="269"/>
      <c r="AH248" s="267"/>
      <c r="AI248" s="268"/>
      <c r="AJ248" s="268"/>
      <c r="AK248" s="268"/>
      <c r="AL248" s="268"/>
      <c r="AM248" s="268"/>
      <c r="AN248" s="268"/>
      <c r="AO248" s="268"/>
      <c r="AP248" s="268"/>
      <c r="AQ248" s="268"/>
      <c r="AR248" s="268"/>
      <c r="AS248" s="268"/>
      <c r="AT248" s="268"/>
      <c r="AU248" s="268"/>
      <c r="AV248" s="268"/>
      <c r="AW248" s="268"/>
      <c r="AX248" s="268"/>
      <c r="AY248" s="268"/>
      <c r="AZ248" s="268"/>
      <c r="BA248" s="268"/>
      <c r="BB248" s="268"/>
      <c r="BC248" s="268"/>
      <c r="BD248" s="268"/>
      <c r="BE248" s="268"/>
      <c r="BF248" s="268"/>
      <c r="BG248" s="268"/>
      <c r="BH248" s="268"/>
      <c r="BI248" s="269"/>
      <c r="BJ248" s="267"/>
      <c r="BK248" s="268"/>
      <c r="BL248" s="268"/>
      <c r="BM248" s="268"/>
      <c r="BN248" s="268"/>
      <c r="BO248" s="268"/>
      <c r="BP248" s="268"/>
      <c r="BQ248" s="268"/>
      <c r="BR248" s="268"/>
      <c r="BS248" s="268"/>
      <c r="BT248" s="268"/>
      <c r="BU248" s="268"/>
      <c r="BV248" s="268"/>
      <c r="BW248" s="268"/>
      <c r="BX248" s="268"/>
      <c r="BY248" s="268"/>
      <c r="BZ248" s="268"/>
      <c r="CA248" s="268"/>
      <c r="CB248" s="268"/>
      <c r="CC248" s="268"/>
      <c r="CD248" s="268"/>
      <c r="CE248" s="268"/>
      <c r="CF248" s="268"/>
      <c r="CG248" s="268"/>
      <c r="CH248" s="268"/>
      <c r="CI248" s="268"/>
      <c r="CJ248" s="268"/>
      <c r="CK248" s="269"/>
      <c r="DK248" s="169"/>
      <c r="DL248" s="170"/>
      <c r="DM248" s="170"/>
      <c r="DN248" s="170"/>
      <c r="DO248" s="170"/>
      <c r="DP248" s="170"/>
      <c r="DQ248" s="170"/>
      <c r="DR248" s="170"/>
      <c r="DS248" s="170"/>
      <c r="DT248" s="170"/>
      <c r="DU248" s="170"/>
      <c r="DV248" s="170"/>
      <c r="DW248" s="170"/>
      <c r="DX248" s="170"/>
      <c r="DY248" s="170"/>
      <c r="DZ248" s="170"/>
      <c r="EA248" s="170"/>
      <c r="EB248" s="170"/>
      <c r="EC248" s="170"/>
      <c r="ED248" s="170"/>
      <c r="EE248" s="170"/>
      <c r="EF248" s="170"/>
      <c r="EG248" s="170"/>
      <c r="EH248" s="170"/>
      <c r="EI248" s="170"/>
      <c r="EJ248" s="170"/>
      <c r="EK248" s="170"/>
      <c r="EL248" s="170"/>
      <c r="EM248" s="170"/>
      <c r="EN248" s="170"/>
      <c r="EO248" s="170"/>
      <c r="EP248" s="170"/>
      <c r="EQ248" s="170"/>
      <c r="ER248" s="170"/>
      <c r="ES248" s="170"/>
      <c r="ET248" s="170"/>
      <c r="EU248" s="170"/>
      <c r="EV248" s="170"/>
      <c r="EW248" s="170"/>
      <c r="EX248" s="170"/>
      <c r="EY248" s="170"/>
      <c r="EZ248" s="170"/>
      <c r="FA248" s="171"/>
      <c r="FB248" s="169"/>
      <c r="FC248" s="170"/>
      <c r="FD248" s="170"/>
      <c r="FE248" s="170"/>
      <c r="FF248" s="171"/>
      <c r="OD248" s="278"/>
      <c r="OE248" s="279"/>
      <c r="OF248" s="279"/>
      <c r="OG248" s="279"/>
      <c r="OH248" s="279"/>
      <c r="OI248" s="279"/>
      <c r="OJ248" s="279"/>
      <c r="OK248" s="279"/>
      <c r="OL248" s="279"/>
      <c r="OM248" s="279"/>
      <c r="ON248" s="279"/>
      <c r="OO248" s="279"/>
      <c r="OP248" s="279"/>
      <c r="OQ248" s="279"/>
      <c r="OR248" s="279"/>
      <c r="OS248" s="279"/>
      <c r="OT248" s="279"/>
      <c r="OU248" s="279"/>
      <c r="OV248" s="279"/>
      <c r="OW248" s="279"/>
      <c r="OX248" s="279"/>
      <c r="OY248" s="279"/>
      <c r="OZ248" s="279"/>
      <c r="PA248" s="279"/>
      <c r="PB248" s="279"/>
      <c r="PC248" s="279"/>
      <c r="PD248" s="279"/>
      <c r="PE248" s="279"/>
      <c r="PF248" s="279"/>
      <c r="PG248" s="279"/>
      <c r="PH248" s="279"/>
      <c r="PI248" s="279"/>
      <c r="PJ248" s="279"/>
      <c r="PK248" s="279"/>
      <c r="PL248" s="279"/>
      <c r="PM248" s="279"/>
      <c r="PN248" s="279"/>
      <c r="PO248" s="279"/>
      <c r="PP248" s="279"/>
      <c r="PQ248" s="279"/>
      <c r="PR248" s="279"/>
      <c r="PS248" s="279"/>
      <c r="PT248" s="279"/>
      <c r="PU248" s="279"/>
      <c r="PV248" s="279"/>
      <c r="PW248" s="279"/>
      <c r="PX248" s="279"/>
      <c r="PY248" s="279"/>
      <c r="PZ248" s="279"/>
      <c r="QA248" s="280"/>
      <c r="QB248" s="287"/>
      <c r="QC248" s="288"/>
      <c r="QD248" s="288"/>
      <c r="QE248" s="288"/>
      <c r="QF248" s="288"/>
      <c r="QG248" s="288"/>
      <c r="QH248" s="288"/>
      <c r="QI248" s="288"/>
      <c r="QJ248" s="288"/>
      <c r="QK248" s="288"/>
      <c r="QL248" s="288"/>
      <c r="QM248" s="289"/>
      <c r="QQ248" s="12"/>
      <c r="QR248" s="7"/>
    </row>
    <row r="249" spans="3:460" ht="5.0999999999999996" customHeight="1" x14ac:dyDescent="0.3">
      <c r="C249" s="11"/>
      <c r="D249" s="13"/>
      <c r="F249" s="2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  <c r="AF249" s="170"/>
      <c r="AG249" s="271"/>
      <c r="AH249" s="270"/>
      <c r="AI249" s="170"/>
      <c r="AJ249" s="170"/>
      <c r="AK249" s="170"/>
      <c r="AL249" s="170"/>
      <c r="AM249" s="170"/>
      <c r="AN249" s="170"/>
      <c r="AO249" s="170"/>
      <c r="AP249" s="170"/>
      <c r="AQ249" s="170"/>
      <c r="AR249" s="170"/>
      <c r="AS249" s="170"/>
      <c r="AT249" s="170"/>
      <c r="AU249" s="170"/>
      <c r="AV249" s="170"/>
      <c r="AW249" s="170"/>
      <c r="AX249" s="170"/>
      <c r="AY249" s="170"/>
      <c r="AZ249" s="170"/>
      <c r="BA249" s="170"/>
      <c r="BB249" s="170"/>
      <c r="BC249" s="170"/>
      <c r="BD249" s="170"/>
      <c r="BE249" s="170"/>
      <c r="BF249" s="170"/>
      <c r="BG249" s="170"/>
      <c r="BH249" s="170"/>
      <c r="BI249" s="271"/>
      <c r="BJ249" s="270"/>
      <c r="BK249" s="170"/>
      <c r="BL249" s="170"/>
      <c r="BM249" s="170"/>
      <c r="BN249" s="170"/>
      <c r="BO249" s="170"/>
      <c r="BP249" s="170"/>
      <c r="BQ249" s="170"/>
      <c r="BR249" s="170"/>
      <c r="BS249" s="170"/>
      <c r="BT249" s="170"/>
      <c r="BU249" s="170"/>
      <c r="BV249" s="170"/>
      <c r="BW249" s="170"/>
      <c r="BX249" s="170"/>
      <c r="BY249" s="170"/>
      <c r="BZ249" s="170"/>
      <c r="CA249" s="170"/>
      <c r="CB249" s="170"/>
      <c r="CC249" s="170"/>
      <c r="CD249" s="170"/>
      <c r="CE249" s="170"/>
      <c r="CF249" s="170"/>
      <c r="CG249" s="170"/>
      <c r="CH249" s="170"/>
      <c r="CI249" s="170"/>
      <c r="CJ249" s="170"/>
      <c r="CK249" s="271"/>
      <c r="DK249" s="169"/>
      <c r="DL249" s="170"/>
      <c r="DM249" s="170"/>
      <c r="DN249" s="170"/>
      <c r="DO249" s="170"/>
      <c r="DP249" s="170"/>
      <c r="DQ249" s="170"/>
      <c r="DR249" s="170"/>
      <c r="DS249" s="170"/>
      <c r="DT249" s="170"/>
      <c r="DU249" s="170"/>
      <c r="DV249" s="170"/>
      <c r="DW249" s="170"/>
      <c r="DX249" s="170"/>
      <c r="DY249" s="170"/>
      <c r="DZ249" s="170"/>
      <c r="EA249" s="170"/>
      <c r="EB249" s="170"/>
      <c r="EC249" s="170"/>
      <c r="ED249" s="170"/>
      <c r="EE249" s="170"/>
      <c r="EF249" s="170"/>
      <c r="EG249" s="170"/>
      <c r="EH249" s="170"/>
      <c r="EI249" s="170"/>
      <c r="EJ249" s="170"/>
      <c r="EK249" s="170"/>
      <c r="EL249" s="170"/>
      <c r="EM249" s="170"/>
      <c r="EN249" s="170"/>
      <c r="EO249" s="170"/>
      <c r="EP249" s="170"/>
      <c r="EQ249" s="170"/>
      <c r="ER249" s="170"/>
      <c r="ES249" s="170"/>
      <c r="ET249" s="170"/>
      <c r="EU249" s="170"/>
      <c r="EV249" s="170"/>
      <c r="EW249" s="170"/>
      <c r="EX249" s="170"/>
      <c r="EY249" s="170"/>
      <c r="EZ249" s="170"/>
      <c r="FA249" s="171"/>
      <c r="FB249" s="169"/>
      <c r="FC249" s="170"/>
      <c r="FD249" s="170"/>
      <c r="FE249" s="170"/>
      <c r="FF249" s="171"/>
      <c r="OD249" s="278"/>
      <c r="OE249" s="279"/>
      <c r="OF249" s="279"/>
      <c r="OG249" s="279"/>
      <c r="OH249" s="279"/>
      <c r="OI249" s="279"/>
      <c r="OJ249" s="279"/>
      <c r="OK249" s="279"/>
      <c r="OL249" s="279"/>
      <c r="OM249" s="279"/>
      <c r="ON249" s="279"/>
      <c r="OO249" s="279"/>
      <c r="OP249" s="279"/>
      <c r="OQ249" s="279"/>
      <c r="OR249" s="279"/>
      <c r="OS249" s="279"/>
      <c r="OT249" s="279"/>
      <c r="OU249" s="279"/>
      <c r="OV249" s="279"/>
      <c r="OW249" s="279"/>
      <c r="OX249" s="279"/>
      <c r="OY249" s="279"/>
      <c r="OZ249" s="279"/>
      <c r="PA249" s="279"/>
      <c r="PB249" s="279"/>
      <c r="PC249" s="279"/>
      <c r="PD249" s="279"/>
      <c r="PE249" s="279"/>
      <c r="PF249" s="279"/>
      <c r="PG249" s="279"/>
      <c r="PH249" s="279"/>
      <c r="PI249" s="279"/>
      <c r="PJ249" s="279"/>
      <c r="PK249" s="279"/>
      <c r="PL249" s="279"/>
      <c r="PM249" s="279"/>
      <c r="PN249" s="279"/>
      <c r="PO249" s="279"/>
      <c r="PP249" s="279"/>
      <c r="PQ249" s="279"/>
      <c r="PR249" s="279"/>
      <c r="PS249" s="279"/>
      <c r="PT249" s="279"/>
      <c r="PU249" s="279"/>
      <c r="PV249" s="279"/>
      <c r="PW249" s="279"/>
      <c r="PX249" s="279"/>
      <c r="PY249" s="279"/>
      <c r="PZ249" s="279"/>
      <c r="QA249" s="280"/>
      <c r="QB249" s="287"/>
      <c r="QC249" s="288"/>
      <c r="QD249" s="288"/>
      <c r="QE249" s="288"/>
      <c r="QF249" s="288"/>
      <c r="QG249" s="288"/>
      <c r="QH249" s="288"/>
      <c r="QI249" s="288"/>
      <c r="QJ249" s="288"/>
      <c r="QK249" s="288"/>
      <c r="QL249" s="288"/>
      <c r="QM249" s="289"/>
      <c r="QQ249" s="12"/>
      <c r="QR249" s="7"/>
    </row>
    <row r="250" spans="3:460" ht="5.0999999999999996" customHeight="1" thickBot="1" x14ac:dyDescent="0.35">
      <c r="C250" s="11"/>
      <c r="D250" s="13"/>
      <c r="F250" s="2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  <c r="AF250" s="170"/>
      <c r="AG250" s="271"/>
      <c r="AH250" s="270"/>
      <c r="AI250" s="170"/>
      <c r="AJ250" s="170"/>
      <c r="AK250" s="170"/>
      <c r="AL250" s="170"/>
      <c r="AM250" s="170"/>
      <c r="AN250" s="170"/>
      <c r="AO250" s="170"/>
      <c r="AP250" s="170"/>
      <c r="AQ250" s="170"/>
      <c r="AR250" s="170"/>
      <c r="AS250" s="170"/>
      <c r="AT250" s="170"/>
      <c r="AU250" s="170"/>
      <c r="AV250" s="170"/>
      <c r="AW250" s="170"/>
      <c r="AX250" s="170"/>
      <c r="AY250" s="170"/>
      <c r="AZ250" s="170"/>
      <c r="BA250" s="170"/>
      <c r="BB250" s="170"/>
      <c r="BC250" s="170"/>
      <c r="BD250" s="170"/>
      <c r="BE250" s="170"/>
      <c r="BF250" s="170"/>
      <c r="BG250" s="170"/>
      <c r="BH250" s="170"/>
      <c r="BI250" s="271"/>
      <c r="BJ250" s="270"/>
      <c r="BK250" s="170"/>
      <c r="BL250" s="170"/>
      <c r="BM250" s="170"/>
      <c r="BN250" s="170"/>
      <c r="BO250" s="170"/>
      <c r="BP250" s="170"/>
      <c r="BQ250" s="170"/>
      <c r="BR250" s="170"/>
      <c r="BS250" s="170"/>
      <c r="BT250" s="170"/>
      <c r="BU250" s="170"/>
      <c r="BV250" s="170"/>
      <c r="BW250" s="170"/>
      <c r="BX250" s="170"/>
      <c r="BY250" s="170"/>
      <c r="BZ250" s="170"/>
      <c r="CA250" s="170"/>
      <c r="CB250" s="170"/>
      <c r="CC250" s="170"/>
      <c r="CD250" s="170"/>
      <c r="CE250" s="170"/>
      <c r="CF250" s="170"/>
      <c r="CG250" s="170"/>
      <c r="CH250" s="170"/>
      <c r="CI250" s="170"/>
      <c r="CJ250" s="170"/>
      <c r="CK250" s="271"/>
      <c r="DK250" s="172"/>
      <c r="DL250" s="173"/>
      <c r="DM250" s="173"/>
      <c r="DN250" s="173"/>
      <c r="DO250" s="173"/>
      <c r="DP250" s="173"/>
      <c r="DQ250" s="173"/>
      <c r="DR250" s="173"/>
      <c r="DS250" s="173"/>
      <c r="DT250" s="173"/>
      <c r="DU250" s="173"/>
      <c r="DV250" s="173"/>
      <c r="DW250" s="173"/>
      <c r="DX250" s="173"/>
      <c r="DY250" s="173"/>
      <c r="DZ250" s="173"/>
      <c r="EA250" s="173"/>
      <c r="EB250" s="173"/>
      <c r="EC250" s="173"/>
      <c r="ED250" s="173"/>
      <c r="EE250" s="173"/>
      <c r="EF250" s="173"/>
      <c r="EG250" s="173"/>
      <c r="EH250" s="173"/>
      <c r="EI250" s="173"/>
      <c r="EJ250" s="173"/>
      <c r="EK250" s="173"/>
      <c r="EL250" s="173"/>
      <c r="EM250" s="173"/>
      <c r="EN250" s="173"/>
      <c r="EO250" s="173"/>
      <c r="EP250" s="173"/>
      <c r="EQ250" s="173"/>
      <c r="ER250" s="173"/>
      <c r="ES250" s="173"/>
      <c r="ET250" s="173"/>
      <c r="EU250" s="173"/>
      <c r="EV250" s="173"/>
      <c r="EW250" s="173"/>
      <c r="EX250" s="173"/>
      <c r="EY250" s="173"/>
      <c r="EZ250" s="173"/>
      <c r="FA250" s="174"/>
      <c r="FB250" s="172"/>
      <c r="FC250" s="173"/>
      <c r="FD250" s="173"/>
      <c r="FE250" s="173"/>
      <c r="FF250" s="174"/>
      <c r="OD250" s="281"/>
      <c r="OE250" s="282"/>
      <c r="OF250" s="282"/>
      <c r="OG250" s="282"/>
      <c r="OH250" s="282"/>
      <c r="OI250" s="282"/>
      <c r="OJ250" s="282"/>
      <c r="OK250" s="282"/>
      <c r="OL250" s="282"/>
      <c r="OM250" s="282"/>
      <c r="ON250" s="282"/>
      <c r="OO250" s="282"/>
      <c r="OP250" s="282"/>
      <c r="OQ250" s="282"/>
      <c r="OR250" s="282"/>
      <c r="OS250" s="282"/>
      <c r="OT250" s="282"/>
      <c r="OU250" s="282"/>
      <c r="OV250" s="282"/>
      <c r="OW250" s="282"/>
      <c r="OX250" s="282"/>
      <c r="OY250" s="282"/>
      <c r="OZ250" s="282"/>
      <c r="PA250" s="282"/>
      <c r="PB250" s="282"/>
      <c r="PC250" s="282"/>
      <c r="PD250" s="282"/>
      <c r="PE250" s="282"/>
      <c r="PF250" s="282"/>
      <c r="PG250" s="282"/>
      <c r="PH250" s="282"/>
      <c r="PI250" s="282"/>
      <c r="PJ250" s="282"/>
      <c r="PK250" s="282"/>
      <c r="PL250" s="282"/>
      <c r="PM250" s="282"/>
      <c r="PN250" s="282"/>
      <c r="PO250" s="282"/>
      <c r="PP250" s="282"/>
      <c r="PQ250" s="282"/>
      <c r="PR250" s="282"/>
      <c r="PS250" s="282"/>
      <c r="PT250" s="282"/>
      <c r="PU250" s="282"/>
      <c r="PV250" s="282"/>
      <c r="PW250" s="282"/>
      <c r="PX250" s="282"/>
      <c r="PY250" s="282"/>
      <c r="PZ250" s="282"/>
      <c r="QA250" s="283"/>
      <c r="QB250" s="290"/>
      <c r="QC250" s="291"/>
      <c r="QD250" s="291"/>
      <c r="QE250" s="291"/>
      <c r="QF250" s="291"/>
      <c r="QG250" s="291"/>
      <c r="QH250" s="291"/>
      <c r="QI250" s="291"/>
      <c r="QJ250" s="291"/>
      <c r="QK250" s="291"/>
      <c r="QL250" s="291"/>
      <c r="QM250" s="292"/>
      <c r="QQ250" s="12"/>
      <c r="QR250" s="7"/>
    </row>
    <row r="251" spans="3:460" ht="5.0999999999999996" customHeight="1" x14ac:dyDescent="0.3">
      <c r="C251" s="11"/>
      <c r="D251" s="13"/>
      <c r="F251" s="2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  <c r="AF251" s="170"/>
      <c r="AG251" s="271"/>
      <c r="AH251" s="270"/>
      <c r="AI251" s="170"/>
      <c r="AJ251" s="170"/>
      <c r="AK251" s="170"/>
      <c r="AL251" s="170"/>
      <c r="AM251" s="170"/>
      <c r="AN251" s="170"/>
      <c r="AO251" s="170"/>
      <c r="AP251" s="170"/>
      <c r="AQ251" s="170"/>
      <c r="AR251" s="170"/>
      <c r="AS251" s="170"/>
      <c r="AT251" s="170"/>
      <c r="AU251" s="170"/>
      <c r="AV251" s="170"/>
      <c r="AW251" s="170"/>
      <c r="AX251" s="170"/>
      <c r="AY251" s="170"/>
      <c r="AZ251" s="170"/>
      <c r="BA251" s="170"/>
      <c r="BB251" s="170"/>
      <c r="BC251" s="170"/>
      <c r="BD251" s="170"/>
      <c r="BE251" s="170"/>
      <c r="BF251" s="170"/>
      <c r="BG251" s="170"/>
      <c r="BH251" s="170"/>
      <c r="BI251" s="271"/>
      <c r="BJ251" s="270"/>
      <c r="BK251" s="170"/>
      <c r="BL251" s="170"/>
      <c r="BM251" s="170"/>
      <c r="BN251" s="170"/>
      <c r="BO251" s="170"/>
      <c r="BP251" s="170"/>
      <c r="BQ251" s="170"/>
      <c r="BR251" s="170"/>
      <c r="BS251" s="170"/>
      <c r="BT251" s="170"/>
      <c r="BU251" s="170"/>
      <c r="BV251" s="170"/>
      <c r="BW251" s="170"/>
      <c r="BX251" s="170"/>
      <c r="BY251" s="170"/>
      <c r="BZ251" s="170"/>
      <c r="CA251" s="170"/>
      <c r="CB251" s="170"/>
      <c r="CC251" s="170"/>
      <c r="CD251" s="170"/>
      <c r="CE251" s="170"/>
      <c r="CF251" s="170"/>
      <c r="CG251" s="170"/>
      <c r="CH251" s="170"/>
      <c r="CI251" s="170"/>
      <c r="CJ251" s="170"/>
      <c r="CK251" s="271"/>
      <c r="DK251" s="166" t="s">
        <v>51</v>
      </c>
      <c r="DL251" s="167"/>
      <c r="DM251" s="167"/>
      <c r="DN251" s="167"/>
      <c r="DO251" s="167"/>
      <c r="DP251" s="167"/>
      <c r="DQ251" s="167"/>
      <c r="DR251" s="167"/>
      <c r="DS251" s="167"/>
      <c r="DT251" s="167"/>
      <c r="DU251" s="167"/>
      <c r="DV251" s="167"/>
      <c r="DW251" s="167"/>
      <c r="DX251" s="167"/>
      <c r="DY251" s="167"/>
      <c r="DZ251" s="167"/>
      <c r="EA251" s="167"/>
      <c r="EB251" s="167"/>
      <c r="EC251" s="167"/>
      <c r="ED251" s="167"/>
      <c r="EE251" s="167"/>
      <c r="EF251" s="167"/>
      <c r="EG251" s="167"/>
      <c r="EH251" s="167"/>
      <c r="EI251" s="167"/>
      <c r="EJ251" s="167"/>
      <c r="EK251" s="167"/>
      <c r="EL251" s="167"/>
      <c r="EM251" s="167"/>
      <c r="EN251" s="167"/>
      <c r="EO251" s="167"/>
      <c r="EP251" s="167"/>
      <c r="EQ251" s="167"/>
      <c r="ER251" s="167"/>
      <c r="ES251" s="167"/>
      <c r="ET251" s="167"/>
      <c r="EU251" s="167"/>
      <c r="EV251" s="167"/>
      <c r="EW251" s="167"/>
      <c r="EX251" s="167"/>
      <c r="EY251" s="167"/>
      <c r="EZ251" s="167"/>
      <c r="FA251" s="168"/>
      <c r="FB251" s="166">
        <v>1</v>
      </c>
      <c r="FC251" s="167"/>
      <c r="FD251" s="167"/>
      <c r="FE251" s="167"/>
      <c r="FF251" s="168"/>
      <c r="QQ251" s="12"/>
      <c r="QR251" s="7"/>
    </row>
    <row r="252" spans="3:460" ht="5.0999999999999996" customHeight="1" thickBot="1" x14ac:dyDescent="0.35">
      <c r="C252" s="11"/>
      <c r="D252" s="13"/>
      <c r="F252" s="272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  <c r="AD252" s="273"/>
      <c r="AE252" s="273"/>
      <c r="AF252" s="273"/>
      <c r="AG252" s="274"/>
      <c r="AH252" s="272"/>
      <c r="AI252" s="273"/>
      <c r="AJ252" s="273"/>
      <c r="AK252" s="273"/>
      <c r="AL252" s="273"/>
      <c r="AM252" s="273"/>
      <c r="AN252" s="273"/>
      <c r="AO252" s="273"/>
      <c r="AP252" s="273"/>
      <c r="AQ252" s="273"/>
      <c r="AR252" s="273"/>
      <c r="AS252" s="273"/>
      <c r="AT252" s="273"/>
      <c r="AU252" s="273"/>
      <c r="AV252" s="273"/>
      <c r="AW252" s="273"/>
      <c r="AX252" s="273"/>
      <c r="AY252" s="273"/>
      <c r="AZ252" s="273"/>
      <c r="BA252" s="273"/>
      <c r="BB252" s="273"/>
      <c r="BC252" s="273"/>
      <c r="BD252" s="273"/>
      <c r="BE252" s="273"/>
      <c r="BF252" s="273"/>
      <c r="BG252" s="273"/>
      <c r="BH252" s="273"/>
      <c r="BI252" s="274"/>
      <c r="BJ252" s="272"/>
      <c r="BK252" s="273"/>
      <c r="BL252" s="273"/>
      <c r="BM252" s="273"/>
      <c r="BN252" s="273"/>
      <c r="BO252" s="273"/>
      <c r="BP252" s="273"/>
      <c r="BQ252" s="273"/>
      <c r="BR252" s="273"/>
      <c r="BS252" s="273"/>
      <c r="BT252" s="273"/>
      <c r="BU252" s="273"/>
      <c r="BV252" s="273"/>
      <c r="BW252" s="273"/>
      <c r="BX252" s="273"/>
      <c r="BY252" s="273"/>
      <c r="BZ252" s="273"/>
      <c r="CA252" s="273"/>
      <c r="CB252" s="273"/>
      <c r="CC252" s="273"/>
      <c r="CD252" s="273"/>
      <c r="CE252" s="273"/>
      <c r="CF252" s="273"/>
      <c r="CG252" s="273"/>
      <c r="CH252" s="273"/>
      <c r="CI252" s="273"/>
      <c r="CJ252" s="273"/>
      <c r="CK252" s="274"/>
      <c r="DK252" s="169"/>
      <c r="DL252" s="170"/>
      <c r="DM252" s="170"/>
      <c r="DN252" s="170"/>
      <c r="DO252" s="170"/>
      <c r="DP252" s="170"/>
      <c r="DQ252" s="170"/>
      <c r="DR252" s="170"/>
      <c r="DS252" s="170"/>
      <c r="DT252" s="170"/>
      <c r="DU252" s="170"/>
      <c r="DV252" s="170"/>
      <c r="DW252" s="170"/>
      <c r="DX252" s="170"/>
      <c r="DY252" s="170"/>
      <c r="DZ252" s="170"/>
      <c r="EA252" s="170"/>
      <c r="EB252" s="170"/>
      <c r="EC252" s="170"/>
      <c r="ED252" s="170"/>
      <c r="EE252" s="170"/>
      <c r="EF252" s="170"/>
      <c r="EG252" s="170"/>
      <c r="EH252" s="170"/>
      <c r="EI252" s="170"/>
      <c r="EJ252" s="170"/>
      <c r="EK252" s="170"/>
      <c r="EL252" s="170"/>
      <c r="EM252" s="170"/>
      <c r="EN252" s="170"/>
      <c r="EO252" s="170"/>
      <c r="EP252" s="170"/>
      <c r="EQ252" s="170"/>
      <c r="ER252" s="170"/>
      <c r="ES252" s="170"/>
      <c r="ET252" s="170"/>
      <c r="EU252" s="170"/>
      <c r="EV252" s="170"/>
      <c r="EW252" s="170"/>
      <c r="EX252" s="170"/>
      <c r="EY252" s="170"/>
      <c r="EZ252" s="170"/>
      <c r="FA252" s="171"/>
      <c r="FB252" s="169"/>
      <c r="FC252" s="170"/>
      <c r="FD252" s="170"/>
      <c r="FE252" s="170"/>
      <c r="FF252" s="171"/>
      <c r="QQ252" s="12"/>
      <c r="QR252" s="7"/>
    </row>
    <row r="253" spans="3:460" ht="5.0999999999999996" customHeight="1" thickBot="1" x14ac:dyDescent="0.35">
      <c r="C253" s="11"/>
      <c r="D253" s="13"/>
      <c r="F253" s="267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  <c r="AD253" s="268"/>
      <c r="AE253" s="268"/>
      <c r="AF253" s="268"/>
      <c r="AG253" s="269"/>
      <c r="AH253" s="267"/>
      <c r="AI253" s="268"/>
      <c r="AJ253" s="268"/>
      <c r="AK253" s="268"/>
      <c r="AL253" s="268"/>
      <c r="AM253" s="268"/>
      <c r="AN253" s="268"/>
      <c r="AO253" s="268"/>
      <c r="AP253" s="268"/>
      <c r="AQ253" s="268"/>
      <c r="AR253" s="268"/>
      <c r="AS253" s="268"/>
      <c r="AT253" s="268"/>
      <c r="AU253" s="268"/>
      <c r="AV253" s="268"/>
      <c r="AW253" s="268"/>
      <c r="AX253" s="268"/>
      <c r="AY253" s="268"/>
      <c r="AZ253" s="268"/>
      <c r="BA253" s="268"/>
      <c r="BB253" s="268"/>
      <c r="BC253" s="268"/>
      <c r="BD253" s="268"/>
      <c r="BE253" s="268"/>
      <c r="BF253" s="268"/>
      <c r="BG253" s="268"/>
      <c r="BH253" s="268"/>
      <c r="BI253" s="269"/>
      <c r="BJ253" s="267"/>
      <c r="BK253" s="268"/>
      <c r="BL253" s="268"/>
      <c r="BM253" s="268"/>
      <c r="BN253" s="268"/>
      <c r="BO253" s="268"/>
      <c r="BP253" s="268"/>
      <c r="BQ253" s="268"/>
      <c r="BR253" s="268"/>
      <c r="BS253" s="268"/>
      <c r="BT253" s="268"/>
      <c r="BU253" s="268"/>
      <c r="BV253" s="268"/>
      <c r="BW253" s="268"/>
      <c r="BX253" s="268"/>
      <c r="BY253" s="268"/>
      <c r="BZ253" s="268"/>
      <c r="CA253" s="268"/>
      <c r="CB253" s="268"/>
      <c r="CC253" s="268"/>
      <c r="CD253" s="268"/>
      <c r="CE253" s="268"/>
      <c r="CF253" s="268"/>
      <c r="CG253" s="268"/>
      <c r="CH253" s="268"/>
      <c r="CI253" s="268"/>
      <c r="CJ253" s="268"/>
      <c r="CK253" s="269"/>
      <c r="DK253" s="169"/>
      <c r="DL253" s="170"/>
      <c r="DM253" s="170"/>
      <c r="DN253" s="170"/>
      <c r="DO253" s="170"/>
      <c r="DP253" s="170"/>
      <c r="DQ253" s="170"/>
      <c r="DR253" s="170"/>
      <c r="DS253" s="170"/>
      <c r="DT253" s="170"/>
      <c r="DU253" s="170"/>
      <c r="DV253" s="170"/>
      <c r="DW253" s="170"/>
      <c r="DX253" s="170"/>
      <c r="DY253" s="170"/>
      <c r="DZ253" s="170"/>
      <c r="EA253" s="170"/>
      <c r="EB253" s="170"/>
      <c r="EC253" s="170"/>
      <c r="ED253" s="170"/>
      <c r="EE253" s="170"/>
      <c r="EF253" s="170"/>
      <c r="EG253" s="170"/>
      <c r="EH253" s="170"/>
      <c r="EI253" s="170"/>
      <c r="EJ253" s="170"/>
      <c r="EK253" s="170"/>
      <c r="EL253" s="170"/>
      <c r="EM253" s="170"/>
      <c r="EN253" s="170"/>
      <c r="EO253" s="170"/>
      <c r="EP253" s="170"/>
      <c r="EQ253" s="170"/>
      <c r="ER253" s="170"/>
      <c r="ES253" s="170"/>
      <c r="ET253" s="170"/>
      <c r="EU253" s="170"/>
      <c r="EV253" s="170"/>
      <c r="EW253" s="170"/>
      <c r="EX253" s="170"/>
      <c r="EY253" s="170"/>
      <c r="EZ253" s="170"/>
      <c r="FA253" s="171"/>
      <c r="FB253" s="169"/>
      <c r="FC253" s="170"/>
      <c r="FD253" s="170"/>
      <c r="FE253" s="170"/>
      <c r="FF253" s="171"/>
      <c r="QQ253" s="12"/>
      <c r="QR253" s="7"/>
    </row>
    <row r="254" spans="3:460" ht="5.0999999999999996" customHeight="1" x14ac:dyDescent="0.3">
      <c r="C254" s="11"/>
      <c r="D254" s="13"/>
      <c r="F254" s="2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271"/>
      <c r="AH254" s="270"/>
      <c r="AI254" s="170"/>
      <c r="AJ254" s="170"/>
      <c r="AK254" s="170"/>
      <c r="AL254" s="170"/>
      <c r="AM254" s="170"/>
      <c r="AN254" s="170"/>
      <c r="AO254" s="170"/>
      <c r="AP254" s="170"/>
      <c r="AQ254" s="170"/>
      <c r="AR254" s="170"/>
      <c r="AS254" s="170"/>
      <c r="AT254" s="170"/>
      <c r="AU254" s="170"/>
      <c r="AV254" s="170"/>
      <c r="AW254" s="170"/>
      <c r="AX254" s="170"/>
      <c r="AY254" s="170"/>
      <c r="AZ254" s="170"/>
      <c r="BA254" s="170"/>
      <c r="BB254" s="170"/>
      <c r="BC254" s="170"/>
      <c r="BD254" s="170"/>
      <c r="BE254" s="170"/>
      <c r="BF254" s="170"/>
      <c r="BG254" s="170"/>
      <c r="BH254" s="170"/>
      <c r="BI254" s="271"/>
      <c r="BJ254" s="270"/>
      <c r="BK254" s="170"/>
      <c r="BL254" s="170"/>
      <c r="BM254" s="170"/>
      <c r="BN254" s="170"/>
      <c r="BO254" s="170"/>
      <c r="BP254" s="170"/>
      <c r="BQ254" s="170"/>
      <c r="BR254" s="170"/>
      <c r="BS254" s="170"/>
      <c r="BT254" s="170"/>
      <c r="BU254" s="170"/>
      <c r="BV254" s="170"/>
      <c r="BW254" s="170"/>
      <c r="BX254" s="170"/>
      <c r="BY254" s="170"/>
      <c r="BZ254" s="170"/>
      <c r="CA254" s="170"/>
      <c r="CB254" s="170"/>
      <c r="CC254" s="170"/>
      <c r="CD254" s="170"/>
      <c r="CE254" s="170"/>
      <c r="CF254" s="170"/>
      <c r="CG254" s="170"/>
      <c r="CH254" s="170"/>
      <c r="CI254" s="170"/>
      <c r="CJ254" s="170"/>
      <c r="CK254" s="271"/>
      <c r="DK254" s="172"/>
      <c r="DL254" s="173"/>
      <c r="DM254" s="173"/>
      <c r="DN254" s="173"/>
      <c r="DO254" s="173"/>
      <c r="DP254" s="173"/>
      <c r="DQ254" s="173"/>
      <c r="DR254" s="173"/>
      <c r="DS254" s="173"/>
      <c r="DT254" s="173"/>
      <c r="DU254" s="173"/>
      <c r="DV254" s="173"/>
      <c r="DW254" s="173"/>
      <c r="DX254" s="173"/>
      <c r="DY254" s="173"/>
      <c r="DZ254" s="173"/>
      <c r="EA254" s="173"/>
      <c r="EB254" s="173"/>
      <c r="EC254" s="173"/>
      <c r="ED254" s="173"/>
      <c r="EE254" s="173"/>
      <c r="EF254" s="173"/>
      <c r="EG254" s="173"/>
      <c r="EH254" s="173"/>
      <c r="EI254" s="173"/>
      <c r="EJ254" s="173"/>
      <c r="EK254" s="173"/>
      <c r="EL254" s="173"/>
      <c r="EM254" s="173"/>
      <c r="EN254" s="173"/>
      <c r="EO254" s="173"/>
      <c r="EP254" s="173"/>
      <c r="EQ254" s="173"/>
      <c r="ER254" s="173"/>
      <c r="ES254" s="173"/>
      <c r="ET254" s="173"/>
      <c r="EU254" s="173"/>
      <c r="EV254" s="173"/>
      <c r="EW254" s="173"/>
      <c r="EX254" s="173"/>
      <c r="EY254" s="173"/>
      <c r="EZ254" s="173"/>
      <c r="FA254" s="174"/>
      <c r="FB254" s="172"/>
      <c r="FC254" s="173"/>
      <c r="FD254" s="173"/>
      <c r="FE254" s="173"/>
      <c r="FF254" s="174"/>
      <c r="NK254" s="267" t="s">
        <v>25</v>
      </c>
      <c r="NL254" s="268"/>
      <c r="NM254" s="268"/>
      <c r="NN254" s="268"/>
      <c r="NO254" s="268"/>
      <c r="NP254" s="268"/>
      <c r="NQ254" s="268"/>
      <c r="NR254" s="268"/>
      <c r="NS254" s="268"/>
      <c r="NT254" s="268"/>
      <c r="NU254" s="268"/>
      <c r="NV254" s="268"/>
      <c r="NW254" s="268"/>
      <c r="NX254" s="268"/>
      <c r="NY254" s="268"/>
      <c r="NZ254" s="268"/>
      <c r="OA254" s="268"/>
      <c r="OB254" s="268"/>
      <c r="OC254" s="268"/>
      <c r="OD254" s="268"/>
      <c r="OE254" s="268"/>
      <c r="OF254" s="268"/>
      <c r="OG254" s="268"/>
      <c r="OH254" s="268"/>
      <c r="OI254" s="268"/>
      <c r="OJ254" s="268"/>
      <c r="OK254" s="268"/>
      <c r="OL254" s="269"/>
      <c r="OM254" s="267" t="s">
        <v>194</v>
      </c>
      <c r="ON254" s="268"/>
      <c r="OO254" s="268"/>
      <c r="OP254" s="268"/>
      <c r="OQ254" s="268"/>
      <c r="OR254" s="268"/>
      <c r="OS254" s="268"/>
      <c r="OT254" s="268"/>
      <c r="OU254" s="268"/>
      <c r="OV254" s="268"/>
      <c r="OW254" s="268"/>
      <c r="OX254" s="268"/>
      <c r="OY254" s="268"/>
      <c r="OZ254" s="268"/>
      <c r="PA254" s="268"/>
      <c r="PB254" s="268"/>
      <c r="PC254" s="268"/>
      <c r="PD254" s="268"/>
      <c r="PE254" s="268"/>
      <c r="PF254" s="268"/>
      <c r="PG254" s="268"/>
      <c r="PH254" s="268"/>
      <c r="PI254" s="268"/>
      <c r="PJ254" s="268"/>
      <c r="PK254" s="268"/>
      <c r="PL254" s="268"/>
      <c r="PM254" s="268"/>
      <c r="PN254" s="269"/>
      <c r="PO254" s="267" t="s">
        <v>197</v>
      </c>
      <c r="PP254" s="268"/>
      <c r="PQ254" s="268"/>
      <c r="PR254" s="268"/>
      <c r="PS254" s="268"/>
      <c r="PT254" s="268"/>
      <c r="PU254" s="268"/>
      <c r="PV254" s="268"/>
      <c r="PW254" s="268"/>
      <c r="PX254" s="268"/>
      <c r="PY254" s="268"/>
      <c r="PZ254" s="268"/>
      <c r="QA254" s="268"/>
      <c r="QB254" s="268"/>
      <c r="QC254" s="268"/>
      <c r="QD254" s="268"/>
      <c r="QE254" s="268"/>
      <c r="QF254" s="268"/>
      <c r="QG254" s="268"/>
      <c r="QH254" s="268"/>
      <c r="QI254" s="268"/>
      <c r="QJ254" s="268"/>
      <c r="QK254" s="268"/>
      <c r="QL254" s="268"/>
      <c r="QM254" s="268"/>
      <c r="QN254" s="268"/>
      <c r="QO254" s="268"/>
      <c r="QP254" s="269"/>
      <c r="QQ254" s="12"/>
      <c r="QR254" s="7"/>
    </row>
    <row r="255" spans="3:460" ht="5.0999999999999996" customHeight="1" x14ac:dyDescent="0.3">
      <c r="C255" s="11"/>
      <c r="D255" s="13"/>
      <c r="F255" s="2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  <c r="AF255" s="170"/>
      <c r="AG255" s="271"/>
      <c r="AH255" s="270"/>
      <c r="AI255" s="170"/>
      <c r="AJ255" s="170"/>
      <c r="AK255" s="170"/>
      <c r="AL255" s="170"/>
      <c r="AM255" s="170"/>
      <c r="AN255" s="170"/>
      <c r="AO255" s="170"/>
      <c r="AP255" s="170"/>
      <c r="AQ255" s="170"/>
      <c r="AR255" s="170"/>
      <c r="AS255" s="170"/>
      <c r="AT255" s="170"/>
      <c r="AU255" s="170"/>
      <c r="AV255" s="170"/>
      <c r="AW255" s="170"/>
      <c r="AX255" s="170"/>
      <c r="AY255" s="170"/>
      <c r="AZ255" s="170"/>
      <c r="BA255" s="170"/>
      <c r="BB255" s="170"/>
      <c r="BC255" s="170"/>
      <c r="BD255" s="170"/>
      <c r="BE255" s="170"/>
      <c r="BF255" s="170"/>
      <c r="BG255" s="170"/>
      <c r="BH255" s="170"/>
      <c r="BI255" s="271"/>
      <c r="BJ255" s="270"/>
      <c r="BK255" s="170"/>
      <c r="BL255" s="170"/>
      <c r="BM255" s="170"/>
      <c r="BN255" s="170"/>
      <c r="BO255" s="170"/>
      <c r="BP255" s="170"/>
      <c r="BQ255" s="170"/>
      <c r="BR255" s="170"/>
      <c r="BS255" s="170"/>
      <c r="BT255" s="170"/>
      <c r="BU255" s="170"/>
      <c r="BV255" s="170"/>
      <c r="BW255" s="170"/>
      <c r="BX255" s="170"/>
      <c r="BY255" s="170"/>
      <c r="BZ255" s="170"/>
      <c r="CA255" s="170"/>
      <c r="CB255" s="170"/>
      <c r="CC255" s="170"/>
      <c r="CD255" s="170"/>
      <c r="CE255" s="170"/>
      <c r="CF255" s="170"/>
      <c r="CG255" s="170"/>
      <c r="CH255" s="170"/>
      <c r="CI255" s="170"/>
      <c r="CJ255" s="170"/>
      <c r="CK255" s="271"/>
      <c r="DK255" s="166" t="s">
        <v>195</v>
      </c>
      <c r="DL255" s="167"/>
      <c r="DM255" s="167"/>
      <c r="DN255" s="167"/>
      <c r="DO255" s="167"/>
      <c r="DP255" s="167"/>
      <c r="DQ255" s="167"/>
      <c r="DR255" s="167"/>
      <c r="DS255" s="167"/>
      <c r="DT255" s="167"/>
      <c r="DU255" s="167"/>
      <c r="DV255" s="167"/>
      <c r="DW255" s="167"/>
      <c r="DX255" s="167"/>
      <c r="DY255" s="167"/>
      <c r="DZ255" s="167"/>
      <c r="EA255" s="167"/>
      <c r="EB255" s="167"/>
      <c r="EC255" s="167"/>
      <c r="ED255" s="167"/>
      <c r="EE255" s="167"/>
      <c r="EF255" s="167"/>
      <c r="EG255" s="167"/>
      <c r="EH255" s="167"/>
      <c r="EI255" s="167"/>
      <c r="EJ255" s="167"/>
      <c r="EK255" s="167"/>
      <c r="EL255" s="167"/>
      <c r="EM255" s="167"/>
      <c r="EN255" s="167"/>
      <c r="EO255" s="167"/>
      <c r="EP255" s="167"/>
      <c r="EQ255" s="167"/>
      <c r="ER255" s="167"/>
      <c r="ES255" s="167"/>
      <c r="ET255" s="167"/>
      <c r="EU255" s="167"/>
      <c r="EV255" s="167"/>
      <c r="EW255" s="167"/>
      <c r="EX255" s="167"/>
      <c r="EY255" s="167"/>
      <c r="EZ255" s="167"/>
      <c r="FA255" s="168"/>
      <c r="FB255" s="166">
        <v>1</v>
      </c>
      <c r="FC255" s="167"/>
      <c r="FD255" s="167"/>
      <c r="FE255" s="167"/>
      <c r="FF255" s="168"/>
      <c r="NK255" s="270"/>
      <c r="NL255" s="170"/>
      <c r="NM255" s="170"/>
      <c r="NN255" s="170"/>
      <c r="NO255" s="170"/>
      <c r="NP255" s="170"/>
      <c r="NQ255" s="170"/>
      <c r="NR255" s="170"/>
      <c r="NS255" s="170"/>
      <c r="NT255" s="170"/>
      <c r="NU255" s="170"/>
      <c r="NV255" s="170"/>
      <c r="NW255" s="170"/>
      <c r="NX255" s="170"/>
      <c r="NY255" s="170"/>
      <c r="NZ255" s="170"/>
      <c r="OA255" s="170"/>
      <c r="OB255" s="170"/>
      <c r="OC255" s="170"/>
      <c r="OD255" s="170"/>
      <c r="OE255" s="170"/>
      <c r="OF255" s="170"/>
      <c r="OG255" s="170"/>
      <c r="OH255" s="170"/>
      <c r="OI255" s="170"/>
      <c r="OJ255" s="170"/>
      <c r="OK255" s="170"/>
      <c r="OL255" s="271"/>
      <c r="OM255" s="270"/>
      <c r="ON255" s="170"/>
      <c r="OO255" s="170"/>
      <c r="OP255" s="170"/>
      <c r="OQ255" s="170"/>
      <c r="OR255" s="170"/>
      <c r="OS255" s="170"/>
      <c r="OT255" s="170"/>
      <c r="OU255" s="170"/>
      <c r="OV255" s="170"/>
      <c r="OW255" s="170"/>
      <c r="OX255" s="170"/>
      <c r="OY255" s="170"/>
      <c r="OZ255" s="170"/>
      <c r="PA255" s="170"/>
      <c r="PB255" s="170"/>
      <c r="PC255" s="170"/>
      <c r="PD255" s="170"/>
      <c r="PE255" s="170"/>
      <c r="PF255" s="170"/>
      <c r="PG255" s="170"/>
      <c r="PH255" s="170"/>
      <c r="PI255" s="170"/>
      <c r="PJ255" s="170"/>
      <c r="PK255" s="170"/>
      <c r="PL255" s="170"/>
      <c r="PM255" s="170"/>
      <c r="PN255" s="271"/>
      <c r="PO255" s="270"/>
      <c r="PP255" s="170"/>
      <c r="PQ255" s="170"/>
      <c r="PR255" s="170"/>
      <c r="PS255" s="170"/>
      <c r="PT255" s="170"/>
      <c r="PU255" s="170"/>
      <c r="PV255" s="170"/>
      <c r="PW255" s="170"/>
      <c r="PX255" s="170"/>
      <c r="PY255" s="170"/>
      <c r="PZ255" s="170"/>
      <c r="QA255" s="170"/>
      <c r="QB255" s="170"/>
      <c r="QC255" s="170"/>
      <c r="QD255" s="170"/>
      <c r="QE255" s="170"/>
      <c r="QF255" s="170"/>
      <c r="QG255" s="170"/>
      <c r="QH255" s="170"/>
      <c r="QI255" s="170"/>
      <c r="QJ255" s="170"/>
      <c r="QK255" s="170"/>
      <c r="QL255" s="170"/>
      <c r="QM255" s="170"/>
      <c r="QN255" s="170"/>
      <c r="QO255" s="170"/>
      <c r="QP255" s="271"/>
      <c r="QQ255" s="12"/>
      <c r="QR255" s="7"/>
    </row>
    <row r="256" spans="3:460" ht="5.0999999999999996" customHeight="1" x14ac:dyDescent="0.3">
      <c r="C256" s="11"/>
      <c r="D256" s="13"/>
      <c r="F256" s="2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  <c r="AF256" s="170"/>
      <c r="AG256" s="271"/>
      <c r="AH256" s="270"/>
      <c r="AI256" s="170"/>
      <c r="AJ256" s="170"/>
      <c r="AK256" s="170"/>
      <c r="AL256" s="170"/>
      <c r="AM256" s="170"/>
      <c r="AN256" s="170"/>
      <c r="AO256" s="170"/>
      <c r="AP256" s="170"/>
      <c r="AQ256" s="170"/>
      <c r="AR256" s="170"/>
      <c r="AS256" s="170"/>
      <c r="AT256" s="170"/>
      <c r="AU256" s="170"/>
      <c r="AV256" s="170"/>
      <c r="AW256" s="170"/>
      <c r="AX256" s="170"/>
      <c r="AY256" s="170"/>
      <c r="AZ256" s="170"/>
      <c r="BA256" s="170"/>
      <c r="BB256" s="170"/>
      <c r="BC256" s="170"/>
      <c r="BD256" s="170"/>
      <c r="BE256" s="170"/>
      <c r="BF256" s="170"/>
      <c r="BG256" s="170"/>
      <c r="BH256" s="170"/>
      <c r="BI256" s="271"/>
      <c r="BJ256" s="270"/>
      <c r="BK256" s="170"/>
      <c r="BL256" s="170"/>
      <c r="BM256" s="170"/>
      <c r="BN256" s="170"/>
      <c r="BO256" s="170"/>
      <c r="BP256" s="170"/>
      <c r="BQ256" s="170"/>
      <c r="BR256" s="170"/>
      <c r="BS256" s="170"/>
      <c r="BT256" s="170"/>
      <c r="BU256" s="170"/>
      <c r="BV256" s="170"/>
      <c r="BW256" s="170"/>
      <c r="BX256" s="170"/>
      <c r="BY256" s="170"/>
      <c r="BZ256" s="170"/>
      <c r="CA256" s="170"/>
      <c r="CB256" s="170"/>
      <c r="CC256" s="170"/>
      <c r="CD256" s="170"/>
      <c r="CE256" s="170"/>
      <c r="CF256" s="170"/>
      <c r="CG256" s="170"/>
      <c r="CH256" s="170"/>
      <c r="CI256" s="170"/>
      <c r="CJ256" s="170"/>
      <c r="CK256" s="271"/>
      <c r="DK256" s="169"/>
      <c r="DL256" s="170"/>
      <c r="DM256" s="170"/>
      <c r="DN256" s="170"/>
      <c r="DO256" s="170"/>
      <c r="DP256" s="170"/>
      <c r="DQ256" s="170"/>
      <c r="DR256" s="170"/>
      <c r="DS256" s="170"/>
      <c r="DT256" s="170"/>
      <c r="DU256" s="170"/>
      <c r="DV256" s="170"/>
      <c r="DW256" s="170"/>
      <c r="DX256" s="170"/>
      <c r="DY256" s="170"/>
      <c r="DZ256" s="170"/>
      <c r="EA256" s="170"/>
      <c r="EB256" s="170"/>
      <c r="EC256" s="170"/>
      <c r="ED256" s="170"/>
      <c r="EE256" s="170"/>
      <c r="EF256" s="170"/>
      <c r="EG256" s="170"/>
      <c r="EH256" s="170"/>
      <c r="EI256" s="170"/>
      <c r="EJ256" s="170"/>
      <c r="EK256" s="170"/>
      <c r="EL256" s="170"/>
      <c r="EM256" s="170"/>
      <c r="EN256" s="170"/>
      <c r="EO256" s="170"/>
      <c r="EP256" s="170"/>
      <c r="EQ256" s="170"/>
      <c r="ER256" s="170"/>
      <c r="ES256" s="170"/>
      <c r="ET256" s="170"/>
      <c r="EU256" s="170"/>
      <c r="EV256" s="170"/>
      <c r="EW256" s="170"/>
      <c r="EX256" s="170"/>
      <c r="EY256" s="170"/>
      <c r="EZ256" s="170"/>
      <c r="FA256" s="171"/>
      <c r="FB256" s="169"/>
      <c r="FC256" s="170"/>
      <c r="FD256" s="170"/>
      <c r="FE256" s="170"/>
      <c r="FF256" s="171"/>
      <c r="NK256" s="270"/>
      <c r="NL256" s="170"/>
      <c r="NM256" s="170"/>
      <c r="NN256" s="170"/>
      <c r="NO256" s="170"/>
      <c r="NP256" s="170"/>
      <c r="NQ256" s="170"/>
      <c r="NR256" s="170"/>
      <c r="NS256" s="170"/>
      <c r="NT256" s="170"/>
      <c r="NU256" s="170"/>
      <c r="NV256" s="170"/>
      <c r="NW256" s="170"/>
      <c r="NX256" s="170"/>
      <c r="NY256" s="170"/>
      <c r="NZ256" s="170"/>
      <c r="OA256" s="170"/>
      <c r="OB256" s="170"/>
      <c r="OC256" s="170"/>
      <c r="OD256" s="170"/>
      <c r="OE256" s="170"/>
      <c r="OF256" s="170"/>
      <c r="OG256" s="170"/>
      <c r="OH256" s="170"/>
      <c r="OI256" s="170"/>
      <c r="OJ256" s="170"/>
      <c r="OK256" s="170"/>
      <c r="OL256" s="271"/>
      <c r="OM256" s="270"/>
      <c r="ON256" s="170"/>
      <c r="OO256" s="170"/>
      <c r="OP256" s="170"/>
      <c r="OQ256" s="170"/>
      <c r="OR256" s="170"/>
      <c r="OS256" s="170"/>
      <c r="OT256" s="170"/>
      <c r="OU256" s="170"/>
      <c r="OV256" s="170"/>
      <c r="OW256" s="170"/>
      <c r="OX256" s="170"/>
      <c r="OY256" s="170"/>
      <c r="OZ256" s="170"/>
      <c r="PA256" s="170"/>
      <c r="PB256" s="170"/>
      <c r="PC256" s="170"/>
      <c r="PD256" s="170"/>
      <c r="PE256" s="170"/>
      <c r="PF256" s="170"/>
      <c r="PG256" s="170"/>
      <c r="PH256" s="170"/>
      <c r="PI256" s="170"/>
      <c r="PJ256" s="170"/>
      <c r="PK256" s="170"/>
      <c r="PL256" s="170"/>
      <c r="PM256" s="170"/>
      <c r="PN256" s="271"/>
      <c r="PO256" s="270"/>
      <c r="PP256" s="170"/>
      <c r="PQ256" s="170"/>
      <c r="PR256" s="170"/>
      <c r="PS256" s="170"/>
      <c r="PT256" s="170"/>
      <c r="PU256" s="170"/>
      <c r="PV256" s="170"/>
      <c r="PW256" s="170"/>
      <c r="PX256" s="170"/>
      <c r="PY256" s="170"/>
      <c r="PZ256" s="170"/>
      <c r="QA256" s="170"/>
      <c r="QB256" s="170"/>
      <c r="QC256" s="170"/>
      <c r="QD256" s="170"/>
      <c r="QE256" s="170"/>
      <c r="QF256" s="170"/>
      <c r="QG256" s="170"/>
      <c r="QH256" s="170"/>
      <c r="QI256" s="170"/>
      <c r="QJ256" s="170"/>
      <c r="QK256" s="170"/>
      <c r="QL256" s="170"/>
      <c r="QM256" s="170"/>
      <c r="QN256" s="170"/>
      <c r="QO256" s="170"/>
      <c r="QP256" s="271"/>
      <c r="QQ256" s="12"/>
      <c r="QR256" s="7"/>
    </row>
    <row r="257" spans="3:483" ht="5.0999999999999996" customHeight="1" thickBot="1" x14ac:dyDescent="0.35">
      <c r="C257" s="11"/>
      <c r="D257" s="13"/>
      <c r="F257" s="272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  <c r="AD257" s="273"/>
      <c r="AE257" s="273"/>
      <c r="AF257" s="273"/>
      <c r="AG257" s="274"/>
      <c r="AH257" s="272"/>
      <c r="AI257" s="273"/>
      <c r="AJ257" s="273"/>
      <c r="AK257" s="273"/>
      <c r="AL257" s="273"/>
      <c r="AM257" s="273"/>
      <c r="AN257" s="273"/>
      <c r="AO257" s="273"/>
      <c r="AP257" s="273"/>
      <c r="AQ257" s="273"/>
      <c r="AR257" s="273"/>
      <c r="AS257" s="273"/>
      <c r="AT257" s="273"/>
      <c r="AU257" s="273"/>
      <c r="AV257" s="273"/>
      <c r="AW257" s="273"/>
      <c r="AX257" s="273"/>
      <c r="AY257" s="273"/>
      <c r="AZ257" s="273"/>
      <c r="BA257" s="273"/>
      <c r="BB257" s="273"/>
      <c r="BC257" s="273"/>
      <c r="BD257" s="273"/>
      <c r="BE257" s="273"/>
      <c r="BF257" s="273"/>
      <c r="BG257" s="273"/>
      <c r="BH257" s="273"/>
      <c r="BI257" s="274"/>
      <c r="BJ257" s="272"/>
      <c r="BK257" s="273"/>
      <c r="BL257" s="273"/>
      <c r="BM257" s="273"/>
      <c r="BN257" s="273"/>
      <c r="BO257" s="273"/>
      <c r="BP257" s="273"/>
      <c r="BQ257" s="273"/>
      <c r="BR257" s="273"/>
      <c r="BS257" s="273"/>
      <c r="BT257" s="273"/>
      <c r="BU257" s="273"/>
      <c r="BV257" s="273"/>
      <c r="BW257" s="273"/>
      <c r="BX257" s="273"/>
      <c r="BY257" s="273"/>
      <c r="BZ257" s="273"/>
      <c r="CA257" s="273"/>
      <c r="CB257" s="273"/>
      <c r="CC257" s="273"/>
      <c r="CD257" s="273"/>
      <c r="CE257" s="273"/>
      <c r="CF257" s="273"/>
      <c r="CG257" s="273"/>
      <c r="CH257" s="273"/>
      <c r="CI257" s="273"/>
      <c r="CJ257" s="273"/>
      <c r="CK257" s="274"/>
      <c r="DK257" s="169"/>
      <c r="DL257" s="170"/>
      <c r="DM257" s="170"/>
      <c r="DN257" s="170"/>
      <c r="DO257" s="170"/>
      <c r="DP257" s="170"/>
      <c r="DQ257" s="170"/>
      <c r="DR257" s="170"/>
      <c r="DS257" s="170"/>
      <c r="DT257" s="170"/>
      <c r="DU257" s="170"/>
      <c r="DV257" s="170"/>
      <c r="DW257" s="170"/>
      <c r="DX257" s="170"/>
      <c r="DY257" s="170"/>
      <c r="DZ257" s="170"/>
      <c r="EA257" s="170"/>
      <c r="EB257" s="170"/>
      <c r="EC257" s="170"/>
      <c r="ED257" s="170"/>
      <c r="EE257" s="170"/>
      <c r="EF257" s="170"/>
      <c r="EG257" s="170"/>
      <c r="EH257" s="170"/>
      <c r="EI257" s="170"/>
      <c r="EJ257" s="170"/>
      <c r="EK257" s="170"/>
      <c r="EL257" s="170"/>
      <c r="EM257" s="170"/>
      <c r="EN257" s="170"/>
      <c r="EO257" s="170"/>
      <c r="EP257" s="170"/>
      <c r="EQ257" s="170"/>
      <c r="ER257" s="170"/>
      <c r="ES257" s="170"/>
      <c r="ET257" s="170"/>
      <c r="EU257" s="170"/>
      <c r="EV257" s="170"/>
      <c r="EW257" s="170"/>
      <c r="EX257" s="170"/>
      <c r="EY257" s="170"/>
      <c r="EZ257" s="170"/>
      <c r="FA257" s="171"/>
      <c r="FB257" s="169"/>
      <c r="FC257" s="170"/>
      <c r="FD257" s="170"/>
      <c r="FE257" s="170"/>
      <c r="FF257" s="171"/>
      <c r="NK257" s="270"/>
      <c r="NL257" s="170"/>
      <c r="NM257" s="170"/>
      <c r="NN257" s="170"/>
      <c r="NO257" s="170"/>
      <c r="NP257" s="170"/>
      <c r="NQ257" s="170"/>
      <c r="NR257" s="170"/>
      <c r="NS257" s="170"/>
      <c r="NT257" s="170"/>
      <c r="NU257" s="170"/>
      <c r="NV257" s="170"/>
      <c r="NW257" s="170"/>
      <c r="NX257" s="170"/>
      <c r="NY257" s="170"/>
      <c r="NZ257" s="170"/>
      <c r="OA257" s="170"/>
      <c r="OB257" s="170"/>
      <c r="OC257" s="170"/>
      <c r="OD257" s="170"/>
      <c r="OE257" s="170"/>
      <c r="OF257" s="170"/>
      <c r="OG257" s="170"/>
      <c r="OH257" s="170"/>
      <c r="OI257" s="170"/>
      <c r="OJ257" s="170"/>
      <c r="OK257" s="170"/>
      <c r="OL257" s="271"/>
      <c r="OM257" s="270"/>
      <c r="ON257" s="170"/>
      <c r="OO257" s="170"/>
      <c r="OP257" s="170"/>
      <c r="OQ257" s="170"/>
      <c r="OR257" s="170"/>
      <c r="OS257" s="170"/>
      <c r="OT257" s="170"/>
      <c r="OU257" s="170"/>
      <c r="OV257" s="170"/>
      <c r="OW257" s="170"/>
      <c r="OX257" s="170"/>
      <c r="OY257" s="170"/>
      <c r="OZ257" s="170"/>
      <c r="PA257" s="170"/>
      <c r="PB257" s="170"/>
      <c r="PC257" s="170"/>
      <c r="PD257" s="170"/>
      <c r="PE257" s="170"/>
      <c r="PF257" s="170"/>
      <c r="PG257" s="170"/>
      <c r="PH257" s="170"/>
      <c r="PI257" s="170"/>
      <c r="PJ257" s="170"/>
      <c r="PK257" s="170"/>
      <c r="PL257" s="170"/>
      <c r="PM257" s="170"/>
      <c r="PN257" s="271"/>
      <c r="PO257" s="270"/>
      <c r="PP257" s="170"/>
      <c r="PQ257" s="170"/>
      <c r="PR257" s="170"/>
      <c r="PS257" s="170"/>
      <c r="PT257" s="170"/>
      <c r="PU257" s="170"/>
      <c r="PV257" s="170"/>
      <c r="PW257" s="170"/>
      <c r="PX257" s="170"/>
      <c r="PY257" s="170"/>
      <c r="PZ257" s="170"/>
      <c r="QA257" s="170"/>
      <c r="QB257" s="170"/>
      <c r="QC257" s="170"/>
      <c r="QD257" s="170"/>
      <c r="QE257" s="170"/>
      <c r="QF257" s="170"/>
      <c r="QG257" s="170"/>
      <c r="QH257" s="170"/>
      <c r="QI257" s="170"/>
      <c r="QJ257" s="170"/>
      <c r="QK257" s="170"/>
      <c r="QL257" s="170"/>
      <c r="QM257" s="170"/>
      <c r="QN257" s="170"/>
      <c r="QO257" s="170"/>
      <c r="QP257" s="271"/>
      <c r="QQ257" s="12"/>
      <c r="QR257" s="7"/>
    </row>
    <row r="258" spans="3:483" ht="5.0999999999999996" customHeight="1" thickBot="1" x14ac:dyDescent="0.35">
      <c r="C258" s="11"/>
      <c r="D258" s="13"/>
      <c r="DK258" s="172"/>
      <c r="DL258" s="173"/>
      <c r="DM258" s="173"/>
      <c r="DN258" s="173"/>
      <c r="DO258" s="173"/>
      <c r="DP258" s="173"/>
      <c r="DQ258" s="173"/>
      <c r="DR258" s="173"/>
      <c r="DS258" s="173"/>
      <c r="DT258" s="173"/>
      <c r="DU258" s="173"/>
      <c r="DV258" s="173"/>
      <c r="DW258" s="173"/>
      <c r="DX258" s="173"/>
      <c r="DY258" s="173"/>
      <c r="DZ258" s="173"/>
      <c r="EA258" s="173"/>
      <c r="EB258" s="173"/>
      <c r="EC258" s="173"/>
      <c r="ED258" s="173"/>
      <c r="EE258" s="173"/>
      <c r="EF258" s="173"/>
      <c r="EG258" s="173"/>
      <c r="EH258" s="173"/>
      <c r="EI258" s="173"/>
      <c r="EJ258" s="173"/>
      <c r="EK258" s="173"/>
      <c r="EL258" s="173"/>
      <c r="EM258" s="173"/>
      <c r="EN258" s="173"/>
      <c r="EO258" s="173"/>
      <c r="EP258" s="173"/>
      <c r="EQ258" s="173"/>
      <c r="ER258" s="173"/>
      <c r="ES258" s="173"/>
      <c r="ET258" s="173"/>
      <c r="EU258" s="173"/>
      <c r="EV258" s="173"/>
      <c r="EW258" s="173"/>
      <c r="EX258" s="173"/>
      <c r="EY258" s="173"/>
      <c r="EZ258" s="173"/>
      <c r="FA258" s="174"/>
      <c r="FB258" s="172"/>
      <c r="FC258" s="173"/>
      <c r="FD258" s="173"/>
      <c r="FE258" s="173"/>
      <c r="FF258" s="174"/>
      <c r="NK258" s="272"/>
      <c r="NL258" s="273"/>
      <c r="NM258" s="273"/>
      <c r="NN258" s="273"/>
      <c r="NO258" s="273"/>
      <c r="NP258" s="273"/>
      <c r="NQ258" s="273"/>
      <c r="NR258" s="273"/>
      <c r="NS258" s="273"/>
      <c r="NT258" s="273"/>
      <c r="NU258" s="273"/>
      <c r="NV258" s="273"/>
      <c r="NW258" s="273"/>
      <c r="NX258" s="273"/>
      <c r="NY258" s="273"/>
      <c r="NZ258" s="273"/>
      <c r="OA258" s="273"/>
      <c r="OB258" s="273"/>
      <c r="OC258" s="273"/>
      <c r="OD258" s="273"/>
      <c r="OE258" s="273"/>
      <c r="OF258" s="273"/>
      <c r="OG258" s="273"/>
      <c r="OH258" s="273"/>
      <c r="OI258" s="273"/>
      <c r="OJ258" s="273"/>
      <c r="OK258" s="273"/>
      <c r="OL258" s="274"/>
      <c r="OM258" s="272"/>
      <c r="ON258" s="273"/>
      <c r="OO258" s="273"/>
      <c r="OP258" s="273"/>
      <c r="OQ258" s="273"/>
      <c r="OR258" s="273"/>
      <c r="OS258" s="273"/>
      <c r="OT258" s="273"/>
      <c r="OU258" s="273"/>
      <c r="OV258" s="273"/>
      <c r="OW258" s="273"/>
      <c r="OX258" s="273"/>
      <c r="OY258" s="273"/>
      <c r="OZ258" s="273"/>
      <c r="PA258" s="273"/>
      <c r="PB258" s="273"/>
      <c r="PC258" s="273"/>
      <c r="PD258" s="273"/>
      <c r="PE258" s="273"/>
      <c r="PF258" s="273"/>
      <c r="PG258" s="273"/>
      <c r="PH258" s="273"/>
      <c r="PI258" s="273"/>
      <c r="PJ258" s="273"/>
      <c r="PK258" s="273"/>
      <c r="PL258" s="273"/>
      <c r="PM258" s="273"/>
      <c r="PN258" s="274"/>
      <c r="PO258" s="272"/>
      <c r="PP258" s="273"/>
      <c r="PQ258" s="273"/>
      <c r="PR258" s="273"/>
      <c r="PS258" s="273"/>
      <c r="PT258" s="273"/>
      <c r="PU258" s="273"/>
      <c r="PV258" s="273"/>
      <c r="PW258" s="273"/>
      <c r="PX258" s="273"/>
      <c r="PY258" s="273"/>
      <c r="PZ258" s="273"/>
      <c r="QA258" s="273"/>
      <c r="QB258" s="273"/>
      <c r="QC258" s="273"/>
      <c r="QD258" s="273"/>
      <c r="QE258" s="273"/>
      <c r="QF258" s="273"/>
      <c r="QG258" s="273"/>
      <c r="QH258" s="273"/>
      <c r="QI258" s="273"/>
      <c r="QJ258" s="273"/>
      <c r="QK258" s="273"/>
      <c r="QL258" s="273"/>
      <c r="QM258" s="273"/>
      <c r="QN258" s="273"/>
      <c r="QO258" s="273"/>
      <c r="QP258" s="274"/>
      <c r="QQ258" s="12"/>
      <c r="QR258" s="7"/>
    </row>
    <row r="259" spans="3:483" ht="5.0999999999999996" customHeight="1" x14ac:dyDescent="0.3">
      <c r="C259" s="11"/>
      <c r="D259" s="13"/>
      <c r="QQ259" s="12"/>
      <c r="QR259" s="7"/>
    </row>
    <row r="260" spans="3:483" ht="5.0999999999999996" customHeight="1" x14ac:dyDescent="0.3">
      <c r="C260" s="11"/>
      <c r="D260" s="13"/>
      <c r="QQ260" s="12"/>
      <c r="QR260" s="7"/>
    </row>
    <row r="261" spans="3:483" ht="5.0999999999999996" customHeight="1" x14ac:dyDescent="0.3">
      <c r="C261" s="11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  <c r="LE261" s="9"/>
      <c r="LF261" s="9"/>
      <c r="LG261" s="9"/>
      <c r="LH261" s="9"/>
      <c r="LI261" s="9"/>
      <c r="LJ261" s="9"/>
      <c r="LK261" s="9"/>
      <c r="LL261" s="9"/>
      <c r="LM261" s="9"/>
      <c r="LN261" s="9"/>
      <c r="LO261" s="9"/>
      <c r="LP261" s="9"/>
      <c r="LQ261" s="9"/>
      <c r="LR261" s="9"/>
      <c r="LS261" s="9"/>
      <c r="LT261" s="9"/>
      <c r="LU261" s="9"/>
      <c r="LV261" s="9"/>
      <c r="LW261" s="9"/>
      <c r="LX261" s="9"/>
      <c r="LY261" s="9"/>
      <c r="LZ261" s="9"/>
      <c r="MA261" s="9"/>
      <c r="MB261" s="9"/>
      <c r="MC261" s="9"/>
      <c r="MD261" s="9"/>
      <c r="ME261" s="9"/>
      <c r="MF261" s="9"/>
      <c r="MG261" s="9"/>
      <c r="MH261" s="9"/>
      <c r="MI261" s="9"/>
      <c r="MJ261" s="9"/>
      <c r="MK261" s="9"/>
      <c r="ML261" s="9"/>
      <c r="MM261" s="9"/>
      <c r="MN261" s="9"/>
      <c r="MO261" s="9"/>
      <c r="MP261" s="9"/>
      <c r="MQ261" s="9"/>
      <c r="MR261" s="9"/>
      <c r="MS261" s="9"/>
      <c r="MT261" s="9"/>
      <c r="MU261" s="9"/>
      <c r="MV261" s="9"/>
      <c r="MW261" s="9"/>
      <c r="MX261" s="9"/>
      <c r="MY261" s="9"/>
      <c r="MZ261" s="9"/>
      <c r="NA261" s="9"/>
      <c r="NB261" s="9"/>
      <c r="NC261" s="9"/>
      <c r="ND261" s="9"/>
      <c r="NE261" s="9"/>
      <c r="NF261" s="9"/>
      <c r="NG261" s="9"/>
      <c r="NH261" s="9"/>
      <c r="NI261" s="9"/>
      <c r="NJ261" s="9"/>
      <c r="NK261" s="9"/>
      <c r="NL261" s="9"/>
      <c r="NM261" s="9"/>
      <c r="NN261" s="9"/>
      <c r="NO261" s="9"/>
      <c r="NP261" s="9"/>
      <c r="NQ261" s="9"/>
      <c r="NR261" s="9"/>
      <c r="NS261" s="9"/>
      <c r="NT261" s="9"/>
      <c r="NU261" s="9"/>
      <c r="NV261" s="9"/>
      <c r="NW261" s="9"/>
      <c r="NX261" s="9"/>
      <c r="NY261" s="9"/>
      <c r="NZ261" s="9"/>
      <c r="OA261" s="9"/>
      <c r="OB261" s="9"/>
      <c r="OC261" s="9"/>
      <c r="OD261" s="9"/>
      <c r="OE261" s="9"/>
      <c r="OF261" s="9"/>
      <c r="OG261" s="9"/>
      <c r="OH261" s="9"/>
      <c r="OI261" s="9"/>
      <c r="OJ261" s="9"/>
      <c r="OK261" s="9"/>
      <c r="OL261" s="9"/>
      <c r="OM261" s="9"/>
      <c r="ON261" s="9"/>
      <c r="OO261" s="9"/>
      <c r="OP261" s="9"/>
      <c r="OQ261" s="9"/>
      <c r="OR261" s="9"/>
      <c r="OS261" s="9"/>
      <c r="OT261" s="9"/>
      <c r="OU261" s="9"/>
      <c r="OV261" s="9"/>
      <c r="OW261" s="9"/>
      <c r="OX261" s="9"/>
      <c r="OY261" s="9"/>
      <c r="OZ261" s="9"/>
      <c r="PA261" s="9"/>
      <c r="PB261" s="9"/>
      <c r="PC261" s="9"/>
      <c r="PD261" s="9"/>
      <c r="PE261" s="9"/>
      <c r="PF261" s="9"/>
      <c r="PG261" s="9"/>
      <c r="PH261" s="9"/>
      <c r="PI261" s="9"/>
      <c r="PJ261" s="9"/>
      <c r="PK261" s="9"/>
      <c r="PL261" s="9"/>
      <c r="PM261" s="9"/>
      <c r="PN261" s="9"/>
      <c r="PO261" s="9"/>
      <c r="PP261" s="9"/>
      <c r="PQ261" s="9"/>
      <c r="PR261" s="9"/>
      <c r="PS261" s="9"/>
      <c r="PT261" s="9"/>
      <c r="PU261" s="9"/>
      <c r="PV261" s="9"/>
      <c r="PW261" s="9"/>
      <c r="PX261" s="9"/>
      <c r="PY261" s="9"/>
      <c r="PZ261" s="9"/>
      <c r="QA261" s="9"/>
      <c r="QB261" s="9"/>
      <c r="QC261" s="9"/>
      <c r="QD261" s="9"/>
      <c r="QE261" s="9"/>
      <c r="QF261" s="9"/>
      <c r="QG261" s="9"/>
      <c r="QH261" s="9"/>
      <c r="QI261" s="9"/>
      <c r="QJ261" s="9"/>
      <c r="QK261" s="9"/>
      <c r="QL261" s="9"/>
      <c r="QM261" s="9"/>
      <c r="QN261" s="9"/>
      <c r="QO261" s="9"/>
      <c r="QP261" s="9"/>
      <c r="QQ261" s="8"/>
      <c r="QR261" s="7"/>
    </row>
    <row r="262" spans="3:483" ht="5.0999999999999996" customHeight="1" thickBot="1" x14ac:dyDescent="0.35"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  <c r="NF262" s="5"/>
      <c r="NG262" s="5"/>
      <c r="NH262" s="5"/>
      <c r="NI262" s="5"/>
      <c r="NJ262" s="5"/>
      <c r="NK262" s="5"/>
      <c r="NL262" s="5"/>
      <c r="NM262" s="5"/>
      <c r="NN262" s="5"/>
      <c r="NO262" s="5"/>
      <c r="NP262" s="5"/>
      <c r="NQ262" s="5"/>
      <c r="NR262" s="5"/>
      <c r="NS262" s="5"/>
      <c r="NT262" s="5"/>
      <c r="NU262" s="5"/>
      <c r="NV262" s="5"/>
      <c r="NW262" s="5"/>
      <c r="NX262" s="5"/>
      <c r="NY262" s="5"/>
      <c r="NZ262" s="5"/>
      <c r="OA262" s="5"/>
      <c r="OB262" s="5"/>
      <c r="OC262" s="5"/>
      <c r="OD262" s="5"/>
      <c r="OE262" s="5"/>
      <c r="OF262" s="5"/>
      <c r="OG262" s="5"/>
      <c r="OH262" s="5"/>
      <c r="OI262" s="5"/>
      <c r="OJ262" s="5"/>
      <c r="OK262" s="5"/>
      <c r="OL262" s="5"/>
      <c r="OM262" s="5"/>
      <c r="ON262" s="5"/>
      <c r="OO262" s="5"/>
      <c r="OP262" s="5"/>
      <c r="OQ262" s="5"/>
      <c r="OR262" s="5"/>
      <c r="OS262" s="5"/>
      <c r="OT262" s="5"/>
      <c r="OU262" s="5"/>
      <c r="OV262" s="5"/>
      <c r="OW262" s="5"/>
      <c r="OX262" s="5"/>
      <c r="OY262" s="5"/>
      <c r="OZ262" s="5"/>
      <c r="PA262" s="5"/>
      <c r="PB262" s="5"/>
      <c r="PC262" s="5"/>
      <c r="PD262" s="5"/>
      <c r="PE262" s="5"/>
      <c r="PF262" s="5"/>
      <c r="PG262" s="5"/>
      <c r="PH262" s="5"/>
      <c r="PI262" s="5"/>
      <c r="PJ262" s="5"/>
      <c r="PK262" s="5"/>
      <c r="PL262" s="5"/>
      <c r="PM262" s="5"/>
      <c r="PN262" s="5"/>
      <c r="PO262" s="5"/>
      <c r="PP262" s="5"/>
      <c r="PQ262" s="5"/>
      <c r="PR262" s="5"/>
      <c r="PS262" s="5"/>
      <c r="PT262" s="5"/>
      <c r="PU262" s="5"/>
      <c r="PV262" s="5"/>
      <c r="PW262" s="5"/>
      <c r="PX262" s="5"/>
      <c r="PY262" s="5"/>
      <c r="PZ262" s="5"/>
      <c r="QA262" s="5"/>
      <c r="QB262" s="5"/>
      <c r="QC262" s="5"/>
      <c r="QD262" s="5"/>
      <c r="QE262" s="5"/>
      <c r="QF262" s="5"/>
      <c r="QG262" s="5"/>
      <c r="QH262" s="5"/>
      <c r="QI262" s="5"/>
      <c r="QJ262" s="5"/>
      <c r="QK262" s="5"/>
      <c r="QL262" s="5"/>
      <c r="QM262" s="5"/>
      <c r="QN262" s="5"/>
      <c r="QO262" s="5"/>
      <c r="QP262" s="5"/>
      <c r="QQ262" s="5"/>
      <c r="QR262" s="4"/>
    </row>
    <row r="263" spans="3:483" ht="5.0999999999999996" customHeight="1" thickTop="1" x14ac:dyDescent="0.3"/>
    <row r="267" spans="3:483" ht="5.0999999999999996" customHeight="1" x14ac:dyDescent="0.3">
      <c r="F267" s="3"/>
      <c r="G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LQ267" s="3"/>
      <c r="LR267" s="3"/>
      <c r="LS267" s="3"/>
      <c r="LT267" s="3"/>
      <c r="LU267" s="3"/>
      <c r="LV267" s="3"/>
      <c r="LW267" s="3"/>
      <c r="LX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QS267" s="3"/>
      <c r="QT267" s="3"/>
      <c r="QU267" s="3"/>
      <c r="QV267" s="3"/>
      <c r="RK267" s="3"/>
      <c r="RL267" s="3"/>
      <c r="RM267" s="3"/>
      <c r="RN267" s="3"/>
      <c r="RO267" s="3"/>
    </row>
    <row r="308" spans="64:160" ht="5.0999999999999996" customHeight="1" x14ac:dyDescent="0.3">
      <c r="FD308" s="1">
        <v>5</v>
      </c>
    </row>
    <row r="318" spans="64:160" ht="5.0999999999999996" customHeight="1" x14ac:dyDescent="0.3">
      <c r="BL318" s="1">
        <v>3</v>
      </c>
      <c r="FD318" s="1">
        <v>3</v>
      </c>
    </row>
    <row r="328" spans="64:160" ht="5.0999999999999996" customHeight="1" x14ac:dyDescent="0.3">
      <c r="BL328" s="1">
        <v>3</v>
      </c>
      <c r="FD328" s="1">
        <v>3</v>
      </c>
    </row>
  </sheetData>
  <mergeCells count="157">
    <mergeCell ref="OR132:QE141"/>
    <mergeCell ref="QF132:QK141"/>
    <mergeCell ref="OD242:QA250"/>
    <mergeCell ref="QB242:QM250"/>
    <mergeCell ref="CY128:EM137"/>
    <mergeCell ref="EN128:ER137"/>
    <mergeCell ref="EU128:GI137"/>
    <mergeCell ref="GJ128:GN137"/>
    <mergeCell ref="GQ128:IE137"/>
    <mergeCell ref="KQ137:MD146"/>
    <mergeCell ref="ME137:MI146"/>
    <mergeCell ref="MN137:OA146"/>
    <mergeCell ref="OB137:OF146"/>
    <mergeCell ref="DK225:FA228"/>
    <mergeCell ref="FB225:FF228"/>
    <mergeCell ref="FK225:HA228"/>
    <mergeCell ref="HB225:HF228"/>
    <mergeCell ref="DK229:FA232"/>
    <mergeCell ref="OR142:QE151"/>
    <mergeCell ref="QF142:QK151"/>
    <mergeCell ref="KQ147:MD156"/>
    <mergeCell ref="OM254:PN258"/>
    <mergeCell ref="PO254:QP258"/>
    <mergeCell ref="F243:AG247"/>
    <mergeCell ref="AH243:BI247"/>
    <mergeCell ref="BJ243:CK247"/>
    <mergeCell ref="F248:AG252"/>
    <mergeCell ref="AH248:BI252"/>
    <mergeCell ref="BJ248:CK252"/>
    <mergeCell ref="DK241:FA246"/>
    <mergeCell ref="FB241:FF246"/>
    <mergeCell ref="DK247:FA250"/>
    <mergeCell ref="FB247:FF250"/>
    <mergeCell ref="DK251:FA254"/>
    <mergeCell ref="FB251:FF254"/>
    <mergeCell ref="DK255:FA258"/>
    <mergeCell ref="FB255:FF258"/>
    <mergeCell ref="KG119:KK128"/>
    <mergeCell ref="KQ127:MD136"/>
    <mergeCell ref="ME127:MI136"/>
    <mergeCell ref="MN127:OA136"/>
    <mergeCell ref="OB127:OF136"/>
    <mergeCell ref="F253:AG257"/>
    <mergeCell ref="AH253:BI257"/>
    <mergeCell ref="BJ253:CK257"/>
    <mergeCell ref="NK254:OL258"/>
    <mergeCell ref="IF128:IJ137"/>
    <mergeCell ref="IS129:KF138"/>
    <mergeCell ref="KG129:KK138"/>
    <mergeCell ref="I48:AW57"/>
    <mergeCell ref="AX48:BB57"/>
    <mergeCell ref="I79:AW87"/>
    <mergeCell ref="AX79:BB87"/>
    <mergeCell ref="OQ49:QE57"/>
    <mergeCell ref="QF49:QK57"/>
    <mergeCell ref="I59:AW68"/>
    <mergeCell ref="AX59:BB68"/>
    <mergeCell ref="E5:QP8"/>
    <mergeCell ref="E9:QP11"/>
    <mergeCell ref="E12:QP15"/>
    <mergeCell ref="HC19:IQ27"/>
    <mergeCell ref="IR19:IU27"/>
    <mergeCell ref="I37:AW46"/>
    <mergeCell ref="AX37:BB46"/>
    <mergeCell ref="OQ38:QE47"/>
    <mergeCell ref="QF38:QK47"/>
    <mergeCell ref="DR43:FF51"/>
    <mergeCell ref="FG43:FJ51"/>
    <mergeCell ref="OR63:QF71"/>
    <mergeCell ref="QG63:QL71"/>
    <mergeCell ref="KS64:ME73"/>
    <mergeCell ref="MF64:MJ73"/>
    <mergeCell ref="FM68:GZ77"/>
    <mergeCell ref="KG93:KK102"/>
    <mergeCell ref="KQ93:MD102"/>
    <mergeCell ref="ME93:MI102"/>
    <mergeCell ref="MN93:OA102"/>
    <mergeCell ref="I70:AW78"/>
    <mergeCell ref="AX70:BB78"/>
    <mergeCell ref="DX69:EC78"/>
    <mergeCell ref="OB93:OF102"/>
    <mergeCell ref="CR116:CV125"/>
    <mergeCell ref="CY116:EM125"/>
    <mergeCell ref="EN116:ER125"/>
    <mergeCell ref="EU116:GI125"/>
    <mergeCell ref="GJ116:GN125"/>
    <mergeCell ref="GQ116:IE125"/>
    <mergeCell ref="IF116:IJ125"/>
    <mergeCell ref="HA68:HF77"/>
    <mergeCell ref="CJ69:DW78"/>
    <mergeCell ref="KS76:ME85"/>
    <mergeCell ref="MF76:MJ85"/>
    <mergeCell ref="KQ117:MD126"/>
    <mergeCell ref="ME117:MI126"/>
    <mergeCell ref="MN117:OA126"/>
    <mergeCell ref="OB117:OF126"/>
    <mergeCell ref="IS119:KF128"/>
    <mergeCell ref="OL93:PY102"/>
    <mergeCell ref="PZ93:QE102"/>
    <mergeCell ref="G104:AU113"/>
    <mergeCell ref="AV104:AZ113"/>
    <mergeCell ref="BC104:CQ113"/>
    <mergeCell ref="CR104:CV113"/>
    <mergeCell ref="CY104:EM113"/>
    <mergeCell ref="EN104:ER113"/>
    <mergeCell ref="EU104:GI113"/>
    <mergeCell ref="GJ104:GN113"/>
    <mergeCell ref="GQ104:IE113"/>
    <mergeCell ref="IF104:IJ113"/>
    <mergeCell ref="IS107:KF116"/>
    <mergeCell ref="KG107:KK116"/>
    <mergeCell ref="KQ107:MD116"/>
    <mergeCell ref="ME107:MI116"/>
    <mergeCell ref="MN107:OA116"/>
    <mergeCell ref="OB107:OF116"/>
    <mergeCell ref="OM107:PZ116"/>
    <mergeCell ref="QA107:QF116"/>
    <mergeCell ref="G116:AU125"/>
    <mergeCell ref="AV116:AZ125"/>
    <mergeCell ref="BC116:CQ125"/>
    <mergeCell ref="IS93:KF102"/>
    <mergeCell ref="ME147:MI156"/>
    <mergeCell ref="MN147:OA156"/>
    <mergeCell ref="OB147:OF156"/>
    <mergeCell ref="G148:AU157"/>
    <mergeCell ref="AV148:AZ157"/>
    <mergeCell ref="OR154:QE163"/>
    <mergeCell ref="QF154:QK163"/>
    <mergeCell ref="G158:AU167"/>
    <mergeCell ref="AV158:AZ167"/>
    <mergeCell ref="OR164:QE173"/>
    <mergeCell ref="QF164:QK173"/>
    <mergeCell ref="G128:AU137"/>
    <mergeCell ref="AV128:AZ137"/>
    <mergeCell ref="BC128:CQ137"/>
    <mergeCell ref="CR128:CV137"/>
    <mergeCell ref="DK215:FA220"/>
    <mergeCell ref="FB215:FF220"/>
    <mergeCell ref="FK215:HA220"/>
    <mergeCell ref="HB215:HF220"/>
    <mergeCell ref="DK221:FA224"/>
    <mergeCell ref="FB221:FF224"/>
    <mergeCell ref="FK221:HA224"/>
    <mergeCell ref="HB221:HF224"/>
    <mergeCell ref="G138:AU147"/>
    <mergeCell ref="AV138:AZ147"/>
    <mergeCell ref="FB229:FF232"/>
    <mergeCell ref="FK229:HA232"/>
    <mergeCell ref="HB229:HF232"/>
    <mergeCell ref="DK233:FA236"/>
    <mergeCell ref="FB233:FF236"/>
    <mergeCell ref="FK233:HA236"/>
    <mergeCell ref="HB233:HF236"/>
    <mergeCell ref="DK237:FA240"/>
    <mergeCell ref="FB237:FF240"/>
    <mergeCell ref="FK237:HA240"/>
    <mergeCell ref="HB237:HF240"/>
  </mergeCells>
  <printOptions horizontalCentered="1" verticalCentered="1"/>
  <pageMargins left="0" right="0" top="0" bottom="0" header="0.31496062992125984" footer="0.31496062992125984"/>
  <pageSetup paperSize="8" scale="5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9E35-B919-463F-B6FB-981C6D996DCC}">
  <sheetPr codeName="Sheet14"/>
  <dimension ref="A1:X61"/>
  <sheetViews>
    <sheetView view="pageBreakPreview" zoomScale="10" zoomScaleNormal="10" zoomScaleSheetLayoutView="10" workbookViewId="0">
      <selection activeCell="K13" sqref="K13"/>
    </sheetView>
  </sheetViews>
  <sheetFormatPr defaultColWidth="9.109375" defaultRowHeight="102" x14ac:dyDescent="1.85"/>
  <cols>
    <col min="1" max="1" width="39" style="147" customWidth="1"/>
    <col min="2" max="2" width="255.33203125" style="56" customWidth="1"/>
    <col min="3" max="3" width="49.33203125" style="56" hidden="1" customWidth="1"/>
    <col min="4" max="4" width="54.44140625" style="143" hidden="1" customWidth="1"/>
    <col min="5" max="5" width="5.88671875" style="56" customWidth="1"/>
    <col min="6" max="6" width="62.6640625" style="145" customWidth="1"/>
    <col min="7" max="12" width="67" style="145" customWidth="1"/>
    <col min="13" max="13" width="5.88671875" style="145" customWidth="1"/>
    <col min="14" max="14" width="97.88671875" style="145" customWidth="1"/>
    <col min="15" max="15" width="20.109375" style="145" customWidth="1"/>
    <col min="16" max="16" width="13.44140625" style="145" customWidth="1"/>
    <col min="17" max="20" width="59.5546875" style="145" customWidth="1"/>
    <col min="21" max="21" width="21.109375" style="145" customWidth="1"/>
    <col min="22" max="22" width="75.44140625" style="145" customWidth="1"/>
    <col min="23" max="23" width="107.33203125" style="145" customWidth="1"/>
    <col min="24" max="24" width="117.109375" style="145" hidden="1" customWidth="1"/>
    <col min="25" max="45" width="9.109375" style="56"/>
    <col min="46" max="46" width="32.88671875" style="56" bestFit="1" customWidth="1"/>
    <col min="47" max="16384" width="9.109375" style="56"/>
  </cols>
  <sheetData>
    <row r="1" spans="1:24" ht="152.25" customHeight="1" thickBot="1" x14ac:dyDescent="0.35">
      <c r="A1" s="341" t="s">
        <v>146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4" ht="179.25" customHeight="1" thickBot="1" x14ac:dyDescent="0.35">
      <c r="A2" s="343" t="s">
        <v>81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5"/>
      <c r="R2" s="345"/>
      <c r="S2" s="345"/>
      <c r="T2" s="345"/>
      <c r="U2" s="344"/>
      <c r="V2" s="345"/>
      <c r="W2" s="345"/>
      <c r="X2" s="345"/>
    </row>
    <row r="3" spans="1:24" s="60" customFormat="1" ht="249.6" customHeight="1" x14ac:dyDescent="0.3">
      <c r="A3" s="346" t="s">
        <v>82</v>
      </c>
      <c r="B3" s="57" t="s">
        <v>83</v>
      </c>
      <c r="C3" s="348" t="s">
        <v>84</v>
      </c>
      <c r="D3" s="350" t="s">
        <v>85</v>
      </c>
      <c r="E3" s="352"/>
      <c r="F3" s="354" t="s">
        <v>86</v>
      </c>
      <c r="G3" s="58" t="s">
        <v>87</v>
      </c>
      <c r="H3" s="58" t="s">
        <v>88</v>
      </c>
      <c r="I3" s="58" t="s">
        <v>89</v>
      </c>
      <c r="J3" s="58" t="s">
        <v>90</v>
      </c>
      <c r="K3" s="58" t="s">
        <v>91</v>
      </c>
      <c r="L3" s="58" t="s">
        <v>92</v>
      </c>
      <c r="M3" s="355"/>
      <c r="N3" s="59" t="s">
        <v>0</v>
      </c>
      <c r="O3" s="357"/>
      <c r="P3" s="357">
        <v>1</v>
      </c>
      <c r="Q3" s="365" t="s">
        <v>93</v>
      </c>
      <c r="R3" s="367" t="s">
        <v>94</v>
      </c>
      <c r="S3" s="367" t="s">
        <v>95</v>
      </c>
      <c r="T3" s="368" t="s">
        <v>96</v>
      </c>
      <c r="U3" s="357"/>
      <c r="V3" s="338" t="s">
        <v>97</v>
      </c>
      <c r="W3" s="359" t="s">
        <v>98</v>
      </c>
      <c r="X3" s="362" t="s">
        <v>99</v>
      </c>
    </row>
    <row r="4" spans="1:24" s="60" customFormat="1" ht="168" hidden="1" customHeight="1" x14ac:dyDescent="0.3">
      <c r="A4" s="347"/>
      <c r="B4" s="61" t="s">
        <v>100</v>
      </c>
      <c r="C4" s="349"/>
      <c r="D4" s="351"/>
      <c r="E4" s="353"/>
      <c r="F4" s="339"/>
      <c r="G4" s="62">
        <v>126</v>
      </c>
      <c r="H4" s="62">
        <v>576</v>
      </c>
      <c r="I4" s="62">
        <v>88</v>
      </c>
      <c r="J4" s="62">
        <v>242</v>
      </c>
      <c r="K4" s="62">
        <v>216</v>
      </c>
      <c r="L4" s="62">
        <v>80</v>
      </c>
      <c r="M4" s="356"/>
      <c r="N4" s="63">
        <f>SUM(G4,H4,I4,J4,K4,L4)</f>
        <v>1328</v>
      </c>
      <c r="O4" s="358"/>
      <c r="P4" s="358"/>
      <c r="Q4" s="366"/>
      <c r="R4" s="363"/>
      <c r="S4" s="363"/>
      <c r="T4" s="369"/>
      <c r="U4" s="358"/>
      <c r="V4" s="339"/>
      <c r="W4" s="360"/>
      <c r="X4" s="363"/>
    </row>
    <row r="5" spans="1:24" s="60" customFormat="1" ht="128.25" hidden="1" customHeight="1" x14ac:dyDescent="0.3">
      <c r="A5" s="347"/>
      <c r="B5" s="61" t="s">
        <v>101</v>
      </c>
      <c r="C5" s="349"/>
      <c r="D5" s="351"/>
      <c r="E5" s="353"/>
      <c r="F5" s="339"/>
      <c r="G5" s="64">
        <v>4127.66</v>
      </c>
      <c r="H5" s="64">
        <v>19848.18</v>
      </c>
      <c r="I5" s="64">
        <v>2953.67</v>
      </c>
      <c r="J5" s="64">
        <v>8260.7199999999993</v>
      </c>
      <c r="K5" s="64">
        <v>7695.9999999999991</v>
      </c>
      <c r="L5" s="64">
        <v>2804.24</v>
      </c>
      <c r="M5" s="356"/>
      <c r="N5" s="65">
        <f>SUM(G5,H5,I5,J5,K5,L5)</f>
        <v>45690.47</v>
      </c>
      <c r="O5" s="358"/>
      <c r="P5" s="358"/>
      <c r="Q5" s="366"/>
      <c r="R5" s="363"/>
      <c r="S5" s="363"/>
      <c r="T5" s="369"/>
      <c r="U5" s="358"/>
      <c r="V5" s="339"/>
      <c r="W5" s="360"/>
      <c r="X5" s="363"/>
    </row>
    <row r="6" spans="1:24" s="68" customFormat="1" ht="147" customHeight="1" x14ac:dyDescent="0.3">
      <c r="A6" s="347"/>
      <c r="B6" s="61" t="s">
        <v>102</v>
      </c>
      <c r="C6" s="349"/>
      <c r="D6" s="351"/>
      <c r="E6" s="353"/>
      <c r="F6" s="66" t="s">
        <v>103</v>
      </c>
      <c r="G6" s="67" t="s">
        <v>103</v>
      </c>
      <c r="H6" s="67" t="s">
        <v>103</v>
      </c>
      <c r="I6" s="67" t="s">
        <v>103</v>
      </c>
      <c r="J6" s="67" t="s">
        <v>103</v>
      </c>
      <c r="K6" s="67" t="s">
        <v>103</v>
      </c>
      <c r="L6" s="67" t="s">
        <v>103</v>
      </c>
      <c r="M6" s="356"/>
      <c r="N6" s="61" t="s">
        <v>103</v>
      </c>
      <c r="O6" s="358"/>
      <c r="P6" s="358"/>
      <c r="Q6" s="366"/>
      <c r="R6" s="363"/>
      <c r="S6" s="363"/>
      <c r="T6" s="369"/>
      <c r="U6" s="358"/>
      <c r="V6" s="340"/>
      <c r="W6" s="361"/>
      <c r="X6" s="364"/>
    </row>
    <row r="7" spans="1:24" s="81" customFormat="1" ht="199.5" customHeight="1" x14ac:dyDescent="1.65">
      <c r="A7" s="69" t="s">
        <v>104</v>
      </c>
      <c r="B7" s="70" t="s">
        <v>105</v>
      </c>
      <c r="C7" s="71"/>
      <c r="D7" s="72"/>
      <c r="E7" s="353"/>
      <c r="F7" s="73"/>
      <c r="G7" s="72"/>
      <c r="H7" s="72"/>
      <c r="I7" s="72"/>
      <c r="J7" s="72"/>
      <c r="K7" s="72"/>
      <c r="L7" s="72"/>
      <c r="M7" s="356"/>
      <c r="N7" s="74">
        <f>SUM(N8:N15)</f>
        <v>8</v>
      </c>
      <c r="O7" s="358"/>
      <c r="P7" s="358"/>
      <c r="Q7" s="75">
        <f t="shared" ref="Q7:T7" si="0">SUM(Q8:Q15)</f>
        <v>3</v>
      </c>
      <c r="R7" s="76">
        <f t="shared" si="0"/>
        <v>1</v>
      </c>
      <c r="S7" s="76">
        <f t="shared" si="0"/>
        <v>2</v>
      </c>
      <c r="T7" s="77">
        <f t="shared" si="0"/>
        <v>0</v>
      </c>
      <c r="U7" s="358"/>
      <c r="V7" s="78">
        <f t="shared" ref="V7:W7" si="1">SUM(V8:V15)</f>
        <v>6</v>
      </c>
      <c r="W7" s="79">
        <f t="shared" si="1"/>
        <v>0</v>
      </c>
      <c r="X7" s="80">
        <f>SUM(X8:X14)</f>
        <v>0</v>
      </c>
    </row>
    <row r="8" spans="1:24" s="81" customFormat="1" ht="199.5" customHeight="1" x14ac:dyDescent="1.65">
      <c r="A8" s="82">
        <v>1</v>
      </c>
      <c r="B8" s="83" t="s">
        <v>106</v>
      </c>
      <c r="C8" s="84" t="s">
        <v>107</v>
      </c>
      <c r="D8" s="85" t="s">
        <v>108</v>
      </c>
      <c r="E8" s="353"/>
      <c r="F8" s="86">
        <v>1</v>
      </c>
      <c r="G8" s="85"/>
      <c r="H8" s="85"/>
      <c r="I8" s="85"/>
      <c r="J8" s="85"/>
      <c r="K8" s="85"/>
      <c r="L8" s="85"/>
      <c r="M8" s="356"/>
      <c r="N8" s="87">
        <f t="shared" ref="N8:N15" si="2">SUM(F8,G8,H8,I8,J8,K8,L8)</f>
        <v>1</v>
      </c>
      <c r="O8" s="358"/>
      <c r="P8" s="358"/>
      <c r="Q8" s="88"/>
      <c r="R8" s="72"/>
      <c r="S8" s="72">
        <v>1</v>
      </c>
      <c r="T8" s="89"/>
      <c r="U8" s="358"/>
      <c r="V8" s="90">
        <f t="shared" ref="V8:V46" si="3">SUM(Q8,R8,S8)</f>
        <v>1</v>
      </c>
      <c r="W8" s="91"/>
      <c r="X8" s="92"/>
    </row>
    <row r="9" spans="1:24" s="81" customFormat="1" ht="199.5" customHeight="1" x14ac:dyDescent="1.65">
      <c r="A9" s="82">
        <f t="shared" ref="A9:A15" si="4">A8+1</f>
        <v>2</v>
      </c>
      <c r="B9" s="83" t="s">
        <v>109</v>
      </c>
      <c r="C9" s="71" t="s">
        <v>110</v>
      </c>
      <c r="D9" s="72" t="s">
        <v>108</v>
      </c>
      <c r="E9" s="353"/>
      <c r="F9" s="73">
        <v>1</v>
      </c>
      <c r="G9" s="72"/>
      <c r="H9" s="72"/>
      <c r="I9" s="72"/>
      <c r="J9" s="72"/>
      <c r="K9" s="72"/>
      <c r="L9" s="72"/>
      <c r="M9" s="356"/>
      <c r="N9" s="93">
        <f t="shared" si="2"/>
        <v>1</v>
      </c>
      <c r="O9" s="358"/>
      <c r="P9" s="358"/>
      <c r="Q9" s="88"/>
      <c r="R9" s="72"/>
      <c r="S9" s="72"/>
      <c r="T9" s="89"/>
      <c r="U9" s="358"/>
      <c r="V9" s="90">
        <f t="shared" si="3"/>
        <v>0</v>
      </c>
      <c r="W9" s="91"/>
      <c r="X9" s="92"/>
    </row>
    <row r="10" spans="1:24" s="81" customFormat="1" ht="199.5" customHeight="1" x14ac:dyDescent="1.65">
      <c r="A10" s="82">
        <f t="shared" si="4"/>
        <v>3</v>
      </c>
      <c r="B10" s="83" t="s">
        <v>111</v>
      </c>
      <c r="C10" s="84" t="s">
        <v>107</v>
      </c>
      <c r="D10" s="85" t="s">
        <v>112</v>
      </c>
      <c r="E10" s="353"/>
      <c r="F10" s="86">
        <v>1</v>
      </c>
      <c r="G10" s="85"/>
      <c r="H10" s="85"/>
      <c r="I10" s="85"/>
      <c r="J10" s="85"/>
      <c r="K10" s="85"/>
      <c r="L10" s="85"/>
      <c r="M10" s="356"/>
      <c r="N10" s="87">
        <f t="shared" si="2"/>
        <v>1</v>
      </c>
      <c r="O10" s="358"/>
      <c r="P10" s="358"/>
      <c r="Q10" s="94"/>
      <c r="R10" s="85"/>
      <c r="S10" s="85">
        <v>1</v>
      </c>
      <c r="T10" s="95"/>
      <c r="U10" s="358"/>
      <c r="V10" s="90">
        <f t="shared" si="3"/>
        <v>1</v>
      </c>
      <c r="W10" s="91"/>
      <c r="X10" s="92"/>
    </row>
    <row r="11" spans="1:24" s="81" customFormat="1" ht="199.5" customHeight="1" x14ac:dyDescent="1.65">
      <c r="A11" s="82">
        <f t="shared" si="4"/>
        <v>4</v>
      </c>
      <c r="B11" s="83" t="s">
        <v>113</v>
      </c>
      <c r="C11" s="71"/>
      <c r="D11" s="72"/>
      <c r="E11" s="353"/>
      <c r="F11" s="86">
        <v>1</v>
      </c>
      <c r="G11" s="72"/>
      <c r="H11" s="72"/>
      <c r="I11" s="72"/>
      <c r="J11" s="72"/>
      <c r="K11" s="72"/>
      <c r="L11" s="72"/>
      <c r="M11" s="356"/>
      <c r="N11" s="87">
        <f t="shared" si="2"/>
        <v>1</v>
      </c>
      <c r="O11" s="358"/>
      <c r="P11" s="358"/>
      <c r="Q11" s="88"/>
      <c r="R11" s="72"/>
      <c r="S11" s="72"/>
      <c r="T11" s="89"/>
      <c r="U11" s="358"/>
      <c r="V11" s="90">
        <f t="shared" si="3"/>
        <v>0</v>
      </c>
      <c r="W11" s="91"/>
      <c r="X11" s="92"/>
    </row>
    <row r="12" spans="1:24" s="81" customFormat="1" ht="199.5" customHeight="1" x14ac:dyDescent="1.65">
      <c r="A12" s="82">
        <f t="shared" si="4"/>
        <v>5</v>
      </c>
      <c r="B12" s="83" t="s">
        <v>114</v>
      </c>
      <c r="C12" s="71"/>
      <c r="D12" s="72"/>
      <c r="E12" s="353"/>
      <c r="F12" s="86">
        <v>1</v>
      </c>
      <c r="G12" s="72"/>
      <c r="H12" s="72"/>
      <c r="I12" s="72"/>
      <c r="J12" s="72"/>
      <c r="K12" s="72"/>
      <c r="L12" s="72"/>
      <c r="M12" s="356"/>
      <c r="N12" s="87">
        <f t="shared" si="2"/>
        <v>1</v>
      </c>
      <c r="O12" s="358"/>
      <c r="P12" s="358"/>
      <c r="Q12" s="88"/>
      <c r="R12" s="72">
        <v>1</v>
      </c>
      <c r="S12" s="72"/>
      <c r="T12" s="89"/>
      <c r="U12" s="358"/>
      <c r="V12" s="90">
        <f t="shared" si="3"/>
        <v>1</v>
      </c>
      <c r="W12" s="91"/>
      <c r="X12" s="92"/>
    </row>
    <row r="13" spans="1:24" s="81" customFormat="1" ht="199.5" customHeight="1" x14ac:dyDescent="1.65">
      <c r="A13" s="82">
        <f t="shared" si="4"/>
        <v>6</v>
      </c>
      <c r="B13" s="83" t="s">
        <v>115</v>
      </c>
      <c r="C13" s="71"/>
      <c r="D13" s="72"/>
      <c r="E13" s="353"/>
      <c r="F13" s="86">
        <v>1</v>
      </c>
      <c r="G13" s="72"/>
      <c r="H13" s="72"/>
      <c r="I13" s="72"/>
      <c r="J13" s="72"/>
      <c r="K13" s="72"/>
      <c r="L13" s="72"/>
      <c r="M13" s="356"/>
      <c r="N13" s="87">
        <f t="shared" si="2"/>
        <v>1</v>
      </c>
      <c r="O13" s="358"/>
      <c r="P13" s="358"/>
      <c r="Q13" s="88">
        <v>1</v>
      </c>
      <c r="R13" s="72"/>
      <c r="S13" s="72"/>
      <c r="T13" s="89"/>
      <c r="U13" s="358"/>
      <c r="V13" s="90">
        <f t="shared" si="3"/>
        <v>1</v>
      </c>
      <c r="W13" s="91"/>
      <c r="X13" s="92"/>
    </row>
    <row r="14" spans="1:24" s="81" customFormat="1" ht="199.5" customHeight="1" x14ac:dyDescent="1.65">
      <c r="A14" s="82">
        <f t="shared" si="4"/>
        <v>7</v>
      </c>
      <c r="B14" s="83" t="s">
        <v>116</v>
      </c>
      <c r="C14" s="84" t="s">
        <v>117</v>
      </c>
      <c r="D14" s="85" t="s">
        <v>118</v>
      </c>
      <c r="E14" s="353"/>
      <c r="F14" s="86">
        <v>1</v>
      </c>
      <c r="G14" s="85"/>
      <c r="H14" s="85"/>
      <c r="I14" s="85"/>
      <c r="J14" s="85"/>
      <c r="K14" s="85"/>
      <c r="L14" s="85"/>
      <c r="M14" s="356"/>
      <c r="N14" s="87">
        <f t="shared" si="2"/>
        <v>1</v>
      </c>
      <c r="O14" s="358"/>
      <c r="P14" s="358"/>
      <c r="Q14" s="94">
        <v>1</v>
      </c>
      <c r="R14" s="85"/>
      <c r="S14" s="85"/>
      <c r="T14" s="95"/>
      <c r="U14" s="358"/>
      <c r="V14" s="90">
        <f t="shared" si="3"/>
        <v>1</v>
      </c>
      <c r="W14" s="91"/>
      <c r="X14" s="92"/>
    </row>
    <row r="15" spans="1:24" s="81" customFormat="1" ht="199.5" customHeight="1" x14ac:dyDescent="1.65">
      <c r="A15" s="82">
        <f t="shared" si="4"/>
        <v>8</v>
      </c>
      <c r="B15" s="83" t="s">
        <v>119</v>
      </c>
      <c r="C15" s="84" t="s">
        <v>117</v>
      </c>
      <c r="D15" s="85" t="s">
        <v>118</v>
      </c>
      <c r="E15" s="353"/>
      <c r="F15" s="86">
        <v>1</v>
      </c>
      <c r="G15" s="85"/>
      <c r="H15" s="85"/>
      <c r="I15" s="85"/>
      <c r="J15" s="85"/>
      <c r="K15" s="85"/>
      <c r="L15" s="85"/>
      <c r="M15" s="356"/>
      <c r="N15" s="87">
        <f t="shared" si="2"/>
        <v>1</v>
      </c>
      <c r="O15" s="358"/>
      <c r="P15" s="358"/>
      <c r="Q15" s="94">
        <v>1</v>
      </c>
      <c r="R15" s="85"/>
      <c r="S15" s="85"/>
      <c r="T15" s="95"/>
      <c r="U15" s="358"/>
      <c r="V15" s="90">
        <f t="shared" si="3"/>
        <v>1</v>
      </c>
      <c r="W15" s="91"/>
      <c r="X15" s="92"/>
    </row>
    <row r="16" spans="1:24" s="81" customFormat="1" ht="199.5" customHeight="1" x14ac:dyDescent="1.65">
      <c r="A16" s="69" t="s">
        <v>120</v>
      </c>
      <c r="B16" s="70" t="s">
        <v>121</v>
      </c>
      <c r="C16" s="71"/>
      <c r="D16" s="72"/>
      <c r="E16" s="353"/>
      <c r="F16" s="73"/>
      <c r="G16" s="72"/>
      <c r="H16" s="72"/>
      <c r="I16" s="72"/>
      <c r="J16" s="72"/>
      <c r="K16" s="72"/>
      <c r="L16" s="72"/>
      <c r="M16" s="356"/>
      <c r="N16" s="74">
        <f>SUM(N17:N24)</f>
        <v>64</v>
      </c>
      <c r="O16" s="358"/>
      <c r="P16" s="358"/>
      <c r="Q16" s="96">
        <f t="shared" ref="Q16:T16" si="5">SUM(Q17:Q24)</f>
        <v>39</v>
      </c>
      <c r="R16" s="74">
        <f t="shared" si="5"/>
        <v>18</v>
      </c>
      <c r="S16" s="74">
        <f t="shared" si="5"/>
        <v>0</v>
      </c>
      <c r="T16" s="77">
        <f t="shared" si="5"/>
        <v>1</v>
      </c>
      <c r="U16" s="358"/>
      <c r="V16" s="78">
        <f>SUM(V17:V24)</f>
        <v>57</v>
      </c>
      <c r="W16" s="79">
        <f t="shared" ref="W16:W42" si="6">SUM(N16)-(Q16+R16+S16+T16)</f>
        <v>6</v>
      </c>
      <c r="X16" s="80" t="e">
        <f>SUM(X17:X24)</f>
        <v>#REF!</v>
      </c>
    </row>
    <row r="17" spans="1:24" s="81" customFormat="1" ht="199.5" customHeight="1" x14ac:dyDescent="1.65">
      <c r="A17" s="82">
        <f>A15+1</f>
        <v>9</v>
      </c>
      <c r="B17" s="97" t="s">
        <v>122</v>
      </c>
      <c r="C17" s="84" t="s">
        <v>117</v>
      </c>
      <c r="D17" s="85" t="s">
        <v>108</v>
      </c>
      <c r="E17" s="353"/>
      <c r="F17" s="86"/>
      <c r="G17" s="85">
        <v>1</v>
      </c>
      <c r="H17" s="85">
        <v>1</v>
      </c>
      <c r="I17" s="85">
        <v>1</v>
      </c>
      <c r="J17" s="85">
        <v>1</v>
      </c>
      <c r="K17" s="85">
        <v>1</v>
      </c>
      <c r="L17" s="85">
        <v>1</v>
      </c>
      <c r="M17" s="356"/>
      <c r="N17" s="87">
        <f t="shared" ref="N17:N24" si="7">SUM(F17,G17,H17,I17,J17,K17,L17)</f>
        <v>6</v>
      </c>
      <c r="O17" s="358"/>
      <c r="P17" s="358"/>
      <c r="Q17" s="94"/>
      <c r="R17" s="85">
        <v>4</v>
      </c>
      <c r="S17" s="85"/>
      <c r="T17" s="95"/>
      <c r="U17" s="358"/>
      <c r="V17" s="90">
        <f t="shared" si="3"/>
        <v>4</v>
      </c>
      <c r="W17" s="91">
        <f t="shared" si="6"/>
        <v>2</v>
      </c>
      <c r="X17" s="92" t="e">
        <f>#REF!</f>
        <v>#REF!</v>
      </c>
    </row>
    <row r="18" spans="1:24" s="81" customFormat="1" ht="199.5" customHeight="1" x14ac:dyDescent="1.65">
      <c r="A18" s="82">
        <f t="shared" ref="A18:A24" si="8">A17+1</f>
        <v>10</v>
      </c>
      <c r="B18" s="83" t="s">
        <v>57</v>
      </c>
      <c r="C18" s="71" t="s">
        <v>117</v>
      </c>
      <c r="D18" s="72" t="s">
        <v>112</v>
      </c>
      <c r="E18" s="353"/>
      <c r="F18" s="73"/>
      <c r="G18" s="72">
        <v>1</v>
      </c>
      <c r="H18" s="72">
        <v>1</v>
      </c>
      <c r="I18" s="72">
        <v>1</v>
      </c>
      <c r="J18" s="72">
        <v>1</v>
      </c>
      <c r="K18" s="72">
        <v>1</v>
      </c>
      <c r="L18" s="72">
        <v>1</v>
      </c>
      <c r="M18" s="356"/>
      <c r="N18" s="93">
        <f t="shared" si="7"/>
        <v>6</v>
      </c>
      <c r="O18" s="358"/>
      <c r="P18" s="358"/>
      <c r="Q18" s="88">
        <v>6</v>
      </c>
      <c r="R18" s="72"/>
      <c r="S18" s="72"/>
      <c r="T18" s="89"/>
      <c r="U18" s="358" t="s">
        <v>123</v>
      </c>
      <c r="V18" s="90">
        <f t="shared" si="3"/>
        <v>6</v>
      </c>
      <c r="W18" s="91"/>
      <c r="X18" s="92"/>
    </row>
    <row r="19" spans="1:24" s="81" customFormat="1" ht="199.5" customHeight="1" x14ac:dyDescent="1.65">
      <c r="A19" s="82">
        <f t="shared" si="8"/>
        <v>11</v>
      </c>
      <c r="B19" s="83" t="s">
        <v>60</v>
      </c>
      <c r="C19" s="84" t="s">
        <v>117</v>
      </c>
      <c r="D19" s="85" t="s">
        <v>118</v>
      </c>
      <c r="E19" s="353"/>
      <c r="F19" s="86"/>
      <c r="G19" s="85">
        <v>1</v>
      </c>
      <c r="H19" s="85">
        <v>1</v>
      </c>
      <c r="I19" s="85">
        <v>1</v>
      </c>
      <c r="J19" s="85">
        <v>1</v>
      </c>
      <c r="K19" s="85">
        <v>1</v>
      </c>
      <c r="L19" s="85">
        <v>1</v>
      </c>
      <c r="M19" s="356"/>
      <c r="N19" s="87">
        <f t="shared" si="7"/>
        <v>6</v>
      </c>
      <c r="O19" s="358"/>
      <c r="P19" s="358"/>
      <c r="Q19" s="94">
        <v>6</v>
      </c>
      <c r="R19" s="85"/>
      <c r="S19" s="85"/>
      <c r="T19" s="95"/>
      <c r="U19" s="358"/>
      <c r="V19" s="90">
        <f t="shared" si="3"/>
        <v>6</v>
      </c>
      <c r="W19" s="91"/>
      <c r="X19" s="92"/>
    </row>
    <row r="20" spans="1:24" s="81" customFormat="1" ht="199.5" customHeight="1" x14ac:dyDescent="1.65">
      <c r="A20" s="82">
        <f t="shared" si="8"/>
        <v>12</v>
      </c>
      <c r="B20" s="83" t="s">
        <v>124</v>
      </c>
      <c r="C20" s="71" t="s">
        <v>117</v>
      </c>
      <c r="D20" s="72" t="s">
        <v>118</v>
      </c>
      <c r="E20" s="353"/>
      <c r="F20" s="73"/>
      <c r="G20" s="72">
        <v>1</v>
      </c>
      <c r="H20" s="72">
        <v>1</v>
      </c>
      <c r="I20" s="72">
        <v>1</v>
      </c>
      <c r="J20" s="72">
        <v>1</v>
      </c>
      <c r="K20" s="72">
        <v>1</v>
      </c>
      <c r="L20" s="72">
        <v>1</v>
      </c>
      <c r="M20" s="356"/>
      <c r="N20" s="93">
        <f t="shared" si="7"/>
        <v>6</v>
      </c>
      <c r="O20" s="358"/>
      <c r="P20" s="358"/>
      <c r="Q20" s="88"/>
      <c r="R20" s="72">
        <v>6</v>
      </c>
      <c r="S20" s="72"/>
      <c r="T20" s="89"/>
      <c r="U20" s="358"/>
      <c r="V20" s="90">
        <f t="shared" si="3"/>
        <v>6</v>
      </c>
      <c r="W20" s="91"/>
      <c r="X20" s="92"/>
    </row>
    <row r="21" spans="1:24" s="81" customFormat="1" ht="199.5" customHeight="1" x14ac:dyDescent="1.65">
      <c r="A21" s="82">
        <f t="shared" si="8"/>
        <v>13</v>
      </c>
      <c r="B21" s="83" t="s">
        <v>125</v>
      </c>
      <c r="C21" s="84" t="s">
        <v>117</v>
      </c>
      <c r="D21" s="85" t="s">
        <v>118</v>
      </c>
      <c r="E21" s="353"/>
      <c r="F21" s="86"/>
      <c r="G21" s="85">
        <v>2</v>
      </c>
      <c r="H21" s="85">
        <v>2</v>
      </c>
      <c r="I21" s="85">
        <v>2</v>
      </c>
      <c r="J21" s="85">
        <v>2</v>
      </c>
      <c r="K21" s="85">
        <v>2</v>
      </c>
      <c r="L21" s="85">
        <v>2</v>
      </c>
      <c r="M21" s="356"/>
      <c r="N21" s="87">
        <f t="shared" si="7"/>
        <v>12</v>
      </c>
      <c r="O21" s="358"/>
      <c r="P21" s="358"/>
      <c r="Q21" s="94">
        <v>11</v>
      </c>
      <c r="R21" s="85"/>
      <c r="S21" s="85"/>
      <c r="T21" s="95">
        <v>1</v>
      </c>
      <c r="U21" s="358"/>
      <c r="V21" s="90">
        <f t="shared" si="3"/>
        <v>11</v>
      </c>
      <c r="W21" s="91"/>
      <c r="X21" s="92"/>
    </row>
    <row r="22" spans="1:24" s="81" customFormat="1" ht="199.5" customHeight="1" x14ac:dyDescent="1.65">
      <c r="A22" s="82">
        <f t="shared" si="8"/>
        <v>14</v>
      </c>
      <c r="B22" s="83" t="s">
        <v>126</v>
      </c>
      <c r="C22" s="71" t="s">
        <v>117</v>
      </c>
      <c r="D22" s="72" t="s">
        <v>118</v>
      </c>
      <c r="E22" s="353"/>
      <c r="F22" s="73"/>
      <c r="G22" s="72">
        <v>1</v>
      </c>
      <c r="H22" s="72">
        <v>1</v>
      </c>
      <c r="I22" s="72">
        <v>1</v>
      </c>
      <c r="J22" s="72">
        <v>1</v>
      </c>
      <c r="K22" s="72">
        <v>1</v>
      </c>
      <c r="L22" s="72">
        <v>1</v>
      </c>
      <c r="M22" s="356"/>
      <c r="N22" s="93">
        <f t="shared" si="7"/>
        <v>6</v>
      </c>
      <c r="O22" s="358"/>
      <c r="P22" s="358"/>
      <c r="Q22" s="88">
        <v>6</v>
      </c>
      <c r="R22" s="72"/>
      <c r="S22" s="72"/>
      <c r="T22" s="89"/>
      <c r="U22" s="358"/>
      <c r="V22" s="90">
        <f t="shared" si="3"/>
        <v>6</v>
      </c>
      <c r="W22" s="91"/>
      <c r="X22" s="92"/>
    </row>
    <row r="23" spans="1:24" s="81" customFormat="1" ht="199.5" customHeight="1" x14ac:dyDescent="1.65">
      <c r="A23" s="82">
        <f t="shared" si="8"/>
        <v>15</v>
      </c>
      <c r="B23" s="83" t="s">
        <v>58</v>
      </c>
      <c r="C23" s="84" t="s">
        <v>110</v>
      </c>
      <c r="D23" s="85" t="s">
        <v>127</v>
      </c>
      <c r="E23" s="353"/>
      <c r="F23" s="86"/>
      <c r="G23" s="85">
        <v>2</v>
      </c>
      <c r="H23" s="85">
        <v>3</v>
      </c>
      <c r="I23" s="85">
        <v>2</v>
      </c>
      <c r="J23" s="85">
        <v>3</v>
      </c>
      <c r="K23" s="85">
        <v>3</v>
      </c>
      <c r="L23" s="85">
        <v>2</v>
      </c>
      <c r="M23" s="356"/>
      <c r="N23" s="87">
        <f t="shared" si="7"/>
        <v>15</v>
      </c>
      <c r="O23" s="358"/>
      <c r="P23" s="358"/>
      <c r="Q23" s="94">
        <v>10</v>
      </c>
      <c r="R23" s="85">
        <v>5</v>
      </c>
      <c r="S23" s="85"/>
      <c r="T23" s="95"/>
      <c r="U23" s="358"/>
      <c r="V23" s="90">
        <f t="shared" si="3"/>
        <v>15</v>
      </c>
      <c r="W23" s="91"/>
      <c r="X23" s="92"/>
    </row>
    <row r="24" spans="1:24" s="81" customFormat="1" ht="199.5" customHeight="1" x14ac:dyDescent="1.65">
      <c r="A24" s="82">
        <f t="shared" si="8"/>
        <v>16</v>
      </c>
      <c r="B24" s="97" t="s">
        <v>62</v>
      </c>
      <c r="C24" s="71" t="s">
        <v>117</v>
      </c>
      <c r="D24" s="72" t="s">
        <v>112</v>
      </c>
      <c r="E24" s="353"/>
      <c r="F24" s="73"/>
      <c r="G24" s="72">
        <v>1</v>
      </c>
      <c r="H24" s="72">
        <v>2</v>
      </c>
      <c r="I24" s="72">
        <v>1</v>
      </c>
      <c r="J24" s="72">
        <v>1</v>
      </c>
      <c r="K24" s="72">
        <v>1</v>
      </c>
      <c r="L24" s="72">
        <v>1</v>
      </c>
      <c r="M24" s="356"/>
      <c r="N24" s="93">
        <f t="shared" si="7"/>
        <v>7</v>
      </c>
      <c r="O24" s="358"/>
      <c r="P24" s="358"/>
      <c r="Q24" s="88"/>
      <c r="R24" s="72">
        <v>3</v>
      </c>
      <c r="S24" s="72"/>
      <c r="T24" s="89"/>
      <c r="U24" s="358"/>
      <c r="V24" s="90">
        <f t="shared" si="3"/>
        <v>3</v>
      </c>
      <c r="W24" s="91">
        <f t="shared" si="6"/>
        <v>4</v>
      </c>
      <c r="X24" s="92" t="e">
        <f>#REF!</f>
        <v>#REF!</v>
      </c>
    </row>
    <row r="25" spans="1:24" s="81" customFormat="1" ht="199.5" customHeight="1" x14ac:dyDescent="1.65">
      <c r="A25" s="69" t="s">
        <v>128</v>
      </c>
      <c r="B25" s="70" t="s">
        <v>129</v>
      </c>
      <c r="C25" s="71"/>
      <c r="D25" s="72"/>
      <c r="E25" s="353"/>
      <c r="F25" s="73"/>
      <c r="G25" s="72"/>
      <c r="H25" s="72"/>
      <c r="I25" s="72"/>
      <c r="J25" s="72"/>
      <c r="K25" s="72"/>
      <c r="L25" s="72"/>
      <c r="M25" s="356"/>
      <c r="N25" s="74">
        <f>SUM(N26:N33)</f>
        <v>83</v>
      </c>
      <c r="O25" s="358"/>
      <c r="P25" s="358"/>
      <c r="Q25" s="96">
        <f t="shared" ref="Q25:T25" si="9">SUM(Q26:Q33)</f>
        <v>76</v>
      </c>
      <c r="R25" s="74">
        <f t="shared" si="9"/>
        <v>4</v>
      </c>
      <c r="S25" s="74">
        <f t="shared" si="9"/>
        <v>0</v>
      </c>
      <c r="T25" s="77">
        <f t="shared" si="9"/>
        <v>3</v>
      </c>
      <c r="U25" s="358"/>
      <c r="V25" s="78">
        <f>SUM(V26:V33)</f>
        <v>80</v>
      </c>
      <c r="W25" s="79">
        <f t="shared" si="6"/>
        <v>0</v>
      </c>
      <c r="X25" s="80">
        <f>SUM(X26:X33)</f>
        <v>0</v>
      </c>
    </row>
    <row r="26" spans="1:24" s="81" customFormat="1" ht="199.5" customHeight="1" x14ac:dyDescent="1.65">
      <c r="A26" s="82">
        <f>A24+1</f>
        <v>17</v>
      </c>
      <c r="B26" s="83" t="s">
        <v>47</v>
      </c>
      <c r="C26" s="84" t="s">
        <v>117</v>
      </c>
      <c r="D26" s="85" t="s">
        <v>118</v>
      </c>
      <c r="E26" s="353"/>
      <c r="F26" s="86"/>
      <c r="G26" s="85">
        <v>1</v>
      </c>
      <c r="H26" s="85">
        <v>1</v>
      </c>
      <c r="I26" s="85">
        <v>1</v>
      </c>
      <c r="J26" s="85">
        <v>1</v>
      </c>
      <c r="K26" s="85">
        <v>1</v>
      </c>
      <c r="L26" s="85">
        <v>1</v>
      </c>
      <c r="M26" s="356"/>
      <c r="N26" s="87">
        <f t="shared" ref="N26:N33" si="10">SUM(F26,G26,H26,I26,J26,K26,L26)</f>
        <v>6</v>
      </c>
      <c r="O26" s="358"/>
      <c r="P26" s="358"/>
      <c r="Q26" s="94">
        <v>5</v>
      </c>
      <c r="R26" s="85"/>
      <c r="S26" s="85"/>
      <c r="T26" s="95">
        <v>1</v>
      </c>
      <c r="U26" s="358"/>
      <c r="V26" s="90">
        <f t="shared" si="3"/>
        <v>5</v>
      </c>
      <c r="W26" s="91"/>
      <c r="X26" s="92"/>
    </row>
    <row r="27" spans="1:24" s="81" customFormat="1" ht="199.5" customHeight="1" x14ac:dyDescent="1.65">
      <c r="A27" s="82">
        <f t="shared" ref="A27:A33" si="11">A26+1</f>
        <v>18</v>
      </c>
      <c r="B27" s="83" t="s">
        <v>46</v>
      </c>
      <c r="C27" s="71" t="s">
        <v>117</v>
      </c>
      <c r="D27" s="72" t="s">
        <v>127</v>
      </c>
      <c r="E27" s="353"/>
      <c r="F27" s="73"/>
      <c r="G27" s="72">
        <v>1</v>
      </c>
      <c r="H27" s="72">
        <v>2</v>
      </c>
      <c r="I27" s="72">
        <v>1</v>
      </c>
      <c r="J27" s="72">
        <v>2</v>
      </c>
      <c r="K27" s="72">
        <v>2</v>
      </c>
      <c r="L27" s="72">
        <v>1</v>
      </c>
      <c r="M27" s="356"/>
      <c r="N27" s="93">
        <f t="shared" si="10"/>
        <v>9</v>
      </c>
      <c r="O27" s="358"/>
      <c r="P27" s="358"/>
      <c r="Q27" s="88">
        <v>8</v>
      </c>
      <c r="R27" s="72"/>
      <c r="S27" s="72"/>
      <c r="T27" s="89">
        <v>1</v>
      </c>
      <c r="U27" s="358"/>
      <c r="V27" s="90">
        <f t="shared" si="3"/>
        <v>8</v>
      </c>
      <c r="W27" s="91"/>
      <c r="X27" s="92"/>
    </row>
    <row r="28" spans="1:24" s="81" customFormat="1" ht="199.5" customHeight="1" x14ac:dyDescent="1.65">
      <c r="A28" s="82">
        <f t="shared" si="11"/>
        <v>19</v>
      </c>
      <c r="B28" s="83" t="s">
        <v>130</v>
      </c>
      <c r="C28" s="84" t="s">
        <v>117</v>
      </c>
      <c r="D28" s="85" t="s">
        <v>127</v>
      </c>
      <c r="E28" s="353"/>
      <c r="F28" s="86"/>
      <c r="G28" s="85">
        <v>3</v>
      </c>
      <c r="H28" s="85">
        <v>5</v>
      </c>
      <c r="I28" s="85">
        <v>3</v>
      </c>
      <c r="J28" s="85">
        <v>4</v>
      </c>
      <c r="K28" s="85">
        <v>4</v>
      </c>
      <c r="L28" s="85">
        <v>3</v>
      </c>
      <c r="M28" s="356"/>
      <c r="N28" s="87">
        <f t="shared" si="10"/>
        <v>22</v>
      </c>
      <c r="O28" s="358"/>
      <c r="P28" s="358"/>
      <c r="Q28" s="94">
        <v>19</v>
      </c>
      <c r="R28" s="85">
        <v>3</v>
      </c>
      <c r="S28" s="85"/>
      <c r="T28" s="95"/>
      <c r="U28" s="358" t="s">
        <v>131</v>
      </c>
      <c r="V28" s="90">
        <f t="shared" si="3"/>
        <v>22</v>
      </c>
      <c r="W28" s="91"/>
      <c r="X28" s="92"/>
    </row>
    <row r="29" spans="1:24" s="81" customFormat="1" ht="199.5" customHeight="1" x14ac:dyDescent="1.65">
      <c r="A29" s="82">
        <f t="shared" si="11"/>
        <v>20</v>
      </c>
      <c r="B29" s="83" t="s">
        <v>44</v>
      </c>
      <c r="C29" s="71" t="s">
        <v>117</v>
      </c>
      <c r="D29" s="72" t="s">
        <v>127</v>
      </c>
      <c r="E29" s="353"/>
      <c r="F29" s="73"/>
      <c r="G29" s="72">
        <v>2</v>
      </c>
      <c r="H29" s="72">
        <v>3</v>
      </c>
      <c r="I29" s="72">
        <v>2</v>
      </c>
      <c r="J29" s="72">
        <v>2</v>
      </c>
      <c r="K29" s="72">
        <v>2</v>
      </c>
      <c r="L29" s="72">
        <v>2</v>
      </c>
      <c r="M29" s="356"/>
      <c r="N29" s="93">
        <f t="shared" si="10"/>
        <v>13</v>
      </c>
      <c r="O29" s="358"/>
      <c r="P29" s="358"/>
      <c r="Q29" s="88">
        <v>12</v>
      </c>
      <c r="R29" s="72">
        <v>1</v>
      </c>
      <c r="S29" s="72"/>
      <c r="T29" s="89"/>
      <c r="U29" s="358" t="s">
        <v>123</v>
      </c>
      <c r="V29" s="90">
        <f t="shared" si="3"/>
        <v>13</v>
      </c>
      <c r="W29" s="91"/>
      <c r="X29" s="92"/>
    </row>
    <row r="30" spans="1:24" s="81" customFormat="1" ht="199.5" customHeight="1" x14ac:dyDescent="1.65">
      <c r="A30" s="82">
        <f t="shared" si="11"/>
        <v>21</v>
      </c>
      <c r="B30" s="83" t="s">
        <v>132</v>
      </c>
      <c r="C30" s="71" t="s">
        <v>117</v>
      </c>
      <c r="D30" s="72" t="s">
        <v>127</v>
      </c>
      <c r="E30" s="353"/>
      <c r="F30" s="73"/>
      <c r="G30" s="72">
        <v>1</v>
      </c>
      <c r="H30" s="72">
        <v>3</v>
      </c>
      <c r="I30" s="72">
        <v>1</v>
      </c>
      <c r="J30" s="72">
        <v>2</v>
      </c>
      <c r="K30" s="72">
        <v>2</v>
      </c>
      <c r="L30" s="72">
        <v>1</v>
      </c>
      <c r="M30" s="356"/>
      <c r="N30" s="93">
        <f t="shared" si="10"/>
        <v>10</v>
      </c>
      <c r="O30" s="358"/>
      <c r="P30" s="358"/>
      <c r="Q30" s="88">
        <v>10</v>
      </c>
      <c r="R30" s="72"/>
      <c r="S30" s="72"/>
      <c r="T30" s="89"/>
      <c r="U30" s="358" t="s">
        <v>123</v>
      </c>
      <c r="V30" s="90">
        <f t="shared" si="3"/>
        <v>10</v>
      </c>
      <c r="W30" s="91"/>
      <c r="X30" s="92"/>
    </row>
    <row r="31" spans="1:24" s="81" customFormat="1" ht="199.5" customHeight="1" x14ac:dyDescent="1.65">
      <c r="A31" s="82">
        <f t="shared" si="11"/>
        <v>22</v>
      </c>
      <c r="B31" s="83" t="s">
        <v>42</v>
      </c>
      <c r="C31" s="84" t="s">
        <v>117</v>
      </c>
      <c r="D31" s="85" t="s">
        <v>127</v>
      </c>
      <c r="E31" s="353"/>
      <c r="F31" s="86"/>
      <c r="G31" s="85">
        <v>1</v>
      </c>
      <c r="H31" s="85">
        <v>2</v>
      </c>
      <c r="I31" s="85">
        <v>1</v>
      </c>
      <c r="J31" s="85">
        <v>1</v>
      </c>
      <c r="K31" s="85">
        <v>1</v>
      </c>
      <c r="L31" s="85">
        <v>1</v>
      </c>
      <c r="M31" s="356"/>
      <c r="N31" s="87">
        <f t="shared" si="10"/>
        <v>7</v>
      </c>
      <c r="O31" s="358"/>
      <c r="P31" s="358"/>
      <c r="Q31" s="94">
        <v>7</v>
      </c>
      <c r="R31" s="85"/>
      <c r="S31" s="85"/>
      <c r="T31" s="95"/>
      <c r="U31" s="358"/>
      <c r="V31" s="90">
        <f t="shared" si="3"/>
        <v>7</v>
      </c>
      <c r="W31" s="91"/>
      <c r="X31" s="92"/>
    </row>
    <row r="32" spans="1:24" s="81" customFormat="1" ht="199.5" customHeight="1" x14ac:dyDescent="1.65">
      <c r="A32" s="82">
        <f t="shared" si="11"/>
        <v>23</v>
      </c>
      <c r="B32" s="83" t="s">
        <v>41</v>
      </c>
      <c r="C32" s="71"/>
      <c r="D32" s="72" t="s">
        <v>127</v>
      </c>
      <c r="E32" s="353"/>
      <c r="F32" s="73"/>
      <c r="G32" s="72">
        <v>1</v>
      </c>
      <c r="H32" s="72">
        <v>0</v>
      </c>
      <c r="I32" s="72">
        <v>1</v>
      </c>
      <c r="J32" s="72">
        <v>0</v>
      </c>
      <c r="K32" s="72">
        <v>0</v>
      </c>
      <c r="L32" s="72">
        <v>1</v>
      </c>
      <c r="M32" s="356"/>
      <c r="N32" s="93">
        <f t="shared" si="10"/>
        <v>3</v>
      </c>
      <c r="O32" s="358"/>
      <c r="P32" s="358"/>
      <c r="Q32" s="88">
        <v>3</v>
      </c>
      <c r="R32" s="72"/>
      <c r="S32" s="72"/>
      <c r="T32" s="89"/>
      <c r="U32" s="358"/>
      <c r="V32" s="90">
        <f t="shared" si="3"/>
        <v>3</v>
      </c>
      <c r="W32" s="91"/>
      <c r="X32" s="92"/>
    </row>
    <row r="33" spans="1:24" s="81" customFormat="1" ht="199.5" customHeight="1" x14ac:dyDescent="1.65">
      <c r="A33" s="82">
        <f t="shared" si="11"/>
        <v>24</v>
      </c>
      <c r="B33" s="83" t="s">
        <v>63</v>
      </c>
      <c r="C33" s="84" t="s">
        <v>117</v>
      </c>
      <c r="D33" s="85" t="s">
        <v>127</v>
      </c>
      <c r="E33" s="353"/>
      <c r="F33" s="86"/>
      <c r="G33" s="85">
        <v>2</v>
      </c>
      <c r="H33" s="85">
        <v>3</v>
      </c>
      <c r="I33" s="85">
        <v>2</v>
      </c>
      <c r="J33" s="85">
        <v>2</v>
      </c>
      <c r="K33" s="85">
        <v>2</v>
      </c>
      <c r="L33" s="85">
        <v>2</v>
      </c>
      <c r="M33" s="356"/>
      <c r="N33" s="87">
        <f t="shared" si="10"/>
        <v>13</v>
      </c>
      <c r="O33" s="358"/>
      <c r="P33" s="358"/>
      <c r="Q33" s="94">
        <v>12</v>
      </c>
      <c r="R33" s="85"/>
      <c r="S33" s="85"/>
      <c r="T33" s="95">
        <v>1</v>
      </c>
      <c r="U33" s="358"/>
      <c r="V33" s="90">
        <f t="shared" si="3"/>
        <v>12</v>
      </c>
      <c r="W33" s="91"/>
      <c r="X33" s="92"/>
    </row>
    <row r="34" spans="1:24" s="81" customFormat="1" ht="199.5" customHeight="1" x14ac:dyDescent="1.65">
      <c r="A34" s="82" t="s">
        <v>133</v>
      </c>
      <c r="B34" s="70" t="s">
        <v>134</v>
      </c>
      <c r="C34" s="84"/>
      <c r="D34" s="85"/>
      <c r="E34" s="353"/>
      <c r="F34" s="86"/>
      <c r="G34" s="85"/>
      <c r="H34" s="85"/>
      <c r="I34" s="85"/>
      <c r="J34" s="85"/>
      <c r="K34" s="85"/>
      <c r="L34" s="85"/>
      <c r="M34" s="356"/>
      <c r="N34" s="74">
        <f>SUM(N35:N46)</f>
        <v>176</v>
      </c>
      <c r="O34" s="358"/>
      <c r="P34" s="358"/>
      <c r="Q34" s="96">
        <f t="shared" ref="Q34:T34" si="12">SUM(Q35:Q46)</f>
        <v>139</v>
      </c>
      <c r="R34" s="74">
        <f t="shared" si="12"/>
        <v>0</v>
      </c>
      <c r="S34" s="74">
        <f t="shared" si="12"/>
        <v>0</v>
      </c>
      <c r="T34" s="77">
        <f t="shared" si="12"/>
        <v>9</v>
      </c>
      <c r="U34" s="358"/>
      <c r="V34" s="78">
        <f>SUM(V35:V46)</f>
        <v>139</v>
      </c>
      <c r="W34" s="79">
        <f t="shared" si="6"/>
        <v>28</v>
      </c>
      <c r="X34" s="80" t="e">
        <f>SUM(X35:X46)</f>
        <v>#REF!</v>
      </c>
    </row>
    <row r="35" spans="1:24" s="81" customFormat="1" ht="199.5" customHeight="1" x14ac:dyDescent="1.65">
      <c r="A35" s="82">
        <f>A33+1</f>
        <v>25</v>
      </c>
      <c r="B35" s="83" t="s">
        <v>135</v>
      </c>
      <c r="C35" s="71" t="s">
        <v>117</v>
      </c>
      <c r="D35" s="72" t="s">
        <v>118</v>
      </c>
      <c r="E35" s="353"/>
      <c r="F35" s="73"/>
      <c r="G35" s="72">
        <v>1</v>
      </c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356"/>
      <c r="N35" s="93">
        <f t="shared" ref="N35:N46" si="13">SUM(F35,G35,H35,I35,J35,K35,L35)</f>
        <v>6</v>
      </c>
      <c r="O35" s="358"/>
      <c r="P35" s="358"/>
      <c r="Q35" s="88">
        <v>6</v>
      </c>
      <c r="R35" s="72"/>
      <c r="S35" s="72"/>
      <c r="T35" s="89"/>
      <c r="U35" s="358"/>
      <c r="V35" s="90">
        <f t="shared" si="3"/>
        <v>6</v>
      </c>
      <c r="W35" s="91"/>
      <c r="X35" s="92"/>
    </row>
    <row r="36" spans="1:24" s="81" customFormat="1" ht="199.5" customHeight="1" x14ac:dyDescent="1.65">
      <c r="A36" s="82">
        <f>A35+1</f>
        <v>26</v>
      </c>
      <c r="B36" s="83" t="s">
        <v>50</v>
      </c>
      <c r="C36" s="71" t="s">
        <v>117</v>
      </c>
      <c r="D36" s="72" t="s">
        <v>127</v>
      </c>
      <c r="E36" s="353"/>
      <c r="F36" s="73"/>
      <c r="G36" s="72">
        <v>1</v>
      </c>
      <c r="H36" s="72">
        <v>4</v>
      </c>
      <c r="I36" s="72">
        <v>1</v>
      </c>
      <c r="J36" s="72">
        <v>3</v>
      </c>
      <c r="K36" s="72">
        <v>3</v>
      </c>
      <c r="L36" s="72">
        <v>1</v>
      </c>
      <c r="M36" s="356"/>
      <c r="N36" s="93">
        <f t="shared" si="13"/>
        <v>13</v>
      </c>
      <c r="O36" s="358"/>
      <c r="P36" s="358"/>
      <c r="Q36" s="88">
        <v>7</v>
      </c>
      <c r="R36" s="72"/>
      <c r="S36" s="72"/>
      <c r="T36" s="89">
        <v>1</v>
      </c>
      <c r="U36" s="358"/>
      <c r="V36" s="90">
        <f t="shared" si="3"/>
        <v>7</v>
      </c>
      <c r="W36" s="91">
        <f t="shared" si="6"/>
        <v>5</v>
      </c>
      <c r="X36" s="92"/>
    </row>
    <row r="37" spans="1:24" s="81" customFormat="1" ht="199.5" customHeight="1" x14ac:dyDescent="1.65">
      <c r="A37" s="82">
        <f t="shared" ref="A37:A46" si="14">A36+1</f>
        <v>27</v>
      </c>
      <c r="B37" s="83" t="s">
        <v>49</v>
      </c>
      <c r="C37" s="84" t="s">
        <v>117</v>
      </c>
      <c r="D37" s="85" t="s">
        <v>127</v>
      </c>
      <c r="E37" s="353"/>
      <c r="F37" s="86"/>
      <c r="G37" s="85">
        <v>7</v>
      </c>
      <c r="H37" s="85">
        <v>25</v>
      </c>
      <c r="I37" s="85">
        <v>6</v>
      </c>
      <c r="J37" s="85">
        <v>12</v>
      </c>
      <c r="K37" s="85">
        <v>11</v>
      </c>
      <c r="L37" s="85">
        <v>6</v>
      </c>
      <c r="M37" s="356"/>
      <c r="N37" s="87">
        <f t="shared" si="13"/>
        <v>67</v>
      </c>
      <c r="O37" s="358"/>
      <c r="P37" s="358"/>
      <c r="Q37" s="94">
        <v>49</v>
      </c>
      <c r="R37" s="85"/>
      <c r="S37" s="85"/>
      <c r="T37" s="95">
        <v>5</v>
      </c>
      <c r="U37" s="358"/>
      <c r="V37" s="90">
        <f t="shared" si="3"/>
        <v>49</v>
      </c>
      <c r="W37" s="91">
        <f t="shared" si="6"/>
        <v>13</v>
      </c>
      <c r="X37" s="92"/>
    </row>
    <row r="38" spans="1:24" s="81" customFormat="1" ht="199.5" customHeight="1" x14ac:dyDescent="1.65">
      <c r="A38" s="82">
        <f>A36+1</f>
        <v>27</v>
      </c>
      <c r="B38" s="83" t="s">
        <v>136</v>
      </c>
      <c r="C38" s="71" t="s">
        <v>117</v>
      </c>
      <c r="D38" s="72" t="s">
        <v>127</v>
      </c>
      <c r="E38" s="353"/>
      <c r="F38" s="73"/>
      <c r="G38" s="72">
        <v>4</v>
      </c>
      <c r="H38" s="72">
        <v>10</v>
      </c>
      <c r="I38" s="72">
        <v>4</v>
      </c>
      <c r="J38" s="72">
        <v>7</v>
      </c>
      <c r="K38" s="72">
        <v>7</v>
      </c>
      <c r="L38" s="72">
        <v>4</v>
      </c>
      <c r="M38" s="356"/>
      <c r="N38" s="93">
        <f t="shared" si="13"/>
        <v>36</v>
      </c>
      <c r="O38" s="358"/>
      <c r="P38" s="358"/>
      <c r="Q38" s="88">
        <v>35</v>
      </c>
      <c r="R38" s="72"/>
      <c r="S38" s="72"/>
      <c r="T38" s="89"/>
      <c r="U38" s="358"/>
      <c r="V38" s="90">
        <f t="shared" si="3"/>
        <v>35</v>
      </c>
      <c r="W38" s="91">
        <f t="shared" si="6"/>
        <v>1</v>
      </c>
      <c r="X38" s="92"/>
    </row>
    <row r="39" spans="1:24" s="81" customFormat="1" ht="199.5" customHeight="1" x14ac:dyDescent="1.65">
      <c r="A39" s="82">
        <f t="shared" si="14"/>
        <v>28</v>
      </c>
      <c r="B39" s="83" t="s">
        <v>137</v>
      </c>
      <c r="C39" s="84" t="s">
        <v>117</v>
      </c>
      <c r="D39" s="85" t="s">
        <v>127</v>
      </c>
      <c r="E39" s="353"/>
      <c r="F39" s="86"/>
      <c r="G39" s="85">
        <v>2</v>
      </c>
      <c r="H39" s="85">
        <v>3</v>
      </c>
      <c r="I39" s="85">
        <v>2</v>
      </c>
      <c r="J39" s="85">
        <v>2</v>
      </c>
      <c r="K39" s="85">
        <v>2</v>
      </c>
      <c r="L39" s="85">
        <v>2</v>
      </c>
      <c r="M39" s="356"/>
      <c r="N39" s="87">
        <f t="shared" si="13"/>
        <v>13</v>
      </c>
      <c r="O39" s="358"/>
      <c r="P39" s="358"/>
      <c r="Q39" s="88">
        <v>13</v>
      </c>
      <c r="R39" s="85"/>
      <c r="S39" s="85"/>
      <c r="T39" s="95"/>
      <c r="U39" s="358"/>
      <c r="V39" s="90">
        <f t="shared" si="3"/>
        <v>13</v>
      </c>
      <c r="W39" s="91"/>
      <c r="X39" s="92"/>
    </row>
    <row r="40" spans="1:24" s="81" customFormat="1" ht="199.5" customHeight="1" x14ac:dyDescent="1.65">
      <c r="A40" s="82">
        <f t="shared" si="14"/>
        <v>29</v>
      </c>
      <c r="B40" s="83" t="s">
        <v>51</v>
      </c>
      <c r="C40" s="84" t="s">
        <v>117</v>
      </c>
      <c r="D40" s="85" t="s">
        <v>127</v>
      </c>
      <c r="E40" s="353"/>
      <c r="F40" s="86"/>
      <c r="G40" s="85">
        <v>1</v>
      </c>
      <c r="H40" s="85">
        <v>2</v>
      </c>
      <c r="I40" s="85">
        <v>1</v>
      </c>
      <c r="J40" s="85">
        <v>1</v>
      </c>
      <c r="K40" s="85">
        <v>1</v>
      </c>
      <c r="L40" s="85">
        <v>1</v>
      </c>
      <c r="M40" s="356"/>
      <c r="N40" s="87">
        <f t="shared" si="13"/>
        <v>7</v>
      </c>
      <c r="O40" s="358"/>
      <c r="P40" s="358"/>
      <c r="Q40" s="94">
        <v>4</v>
      </c>
      <c r="R40" s="85"/>
      <c r="S40" s="85"/>
      <c r="T40" s="95">
        <v>1</v>
      </c>
      <c r="U40" s="358"/>
      <c r="V40" s="90">
        <f t="shared" si="3"/>
        <v>4</v>
      </c>
      <c r="W40" s="91">
        <f t="shared" si="6"/>
        <v>2</v>
      </c>
      <c r="X40" s="92"/>
    </row>
    <row r="41" spans="1:24" s="81" customFormat="1" ht="199.5" customHeight="1" x14ac:dyDescent="1.65">
      <c r="A41" s="82">
        <f t="shared" si="14"/>
        <v>30</v>
      </c>
      <c r="B41" s="83" t="s">
        <v>53</v>
      </c>
      <c r="C41" s="84" t="s">
        <v>117</v>
      </c>
      <c r="D41" s="85" t="s">
        <v>118</v>
      </c>
      <c r="E41" s="353"/>
      <c r="F41" s="86"/>
      <c r="G41" s="85">
        <v>1</v>
      </c>
      <c r="H41" s="85">
        <v>2</v>
      </c>
      <c r="I41" s="85">
        <v>1</v>
      </c>
      <c r="J41" s="85">
        <v>1</v>
      </c>
      <c r="K41" s="85">
        <v>1</v>
      </c>
      <c r="L41" s="85">
        <v>1</v>
      </c>
      <c r="M41" s="356"/>
      <c r="N41" s="87">
        <f t="shared" si="13"/>
        <v>7</v>
      </c>
      <c r="O41" s="358"/>
      <c r="P41" s="358"/>
      <c r="Q41" s="94">
        <v>6</v>
      </c>
      <c r="R41" s="85"/>
      <c r="S41" s="85"/>
      <c r="T41" s="95"/>
      <c r="U41" s="358"/>
      <c r="V41" s="90">
        <f t="shared" si="3"/>
        <v>6</v>
      </c>
      <c r="W41" s="91">
        <f t="shared" si="6"/>
        <v>1</v>
      </c>
      <c r="X41" s="92"/>
    </row>
    <row r="42" spans="1:24" s="81" customFormat="1" ht="199.5" customHeight="1" x14ac:dyDescent="1.65">
      <c r="A42" s="82">
        <f t="shared" si="14"/>
        <v>31</v>
      </c>
      <c r="B42" s="83" t="s">
        <v>68</v>
      </c>
      <c r="C42" s="71"/>
      <c r="D42" s="72" t="s">
        <v>118</v>
      </c>
      <c r="E42" s="353"/>
      <c r="F42" s="73"/>
      <c r="G42" s="72">
        <v>0</v>
      </c>
      <c r="H42" s="72">
        <v>1</v>
      </c>
      <c r="I42" s="72">
        <v>0</v>
      </c>
      <c r="J42" s="72">
        <v>0</v>
      </c>
      <c r="K42" s="72">
        <v>0</v>
      </c>
      <c r="L42" s="72">
        <v>0</v>
      </c>
      <c r="M42" s="356"/>
      <c r="N42" s="93">
        <f t="shared" si="13"/>
        <v>1</v>
      </c>
      <c r="O42" s="358"/>
      <c r="P42" s="358"/>
      <c r="Q42" s="88"/>
      <c r="R42" s="72"/>
      <c r="S42" s="72"/>
      <c r="T42" s="89"/>
      <c r="U42" s="358"/>
      <c r="V42" s="90">
        <f t="shared" si="3"/>
        <v>0</v>
      </c>
      <c r="W42" s="91">
        <f t="shared" si="6"/>
        <v>1</v>
      </c>
      <c r="X42" s="92"/>
    </row>
    <row r="43" spans="1:24" s="81" customFormat="1" ht="199.5" customHeight="1" x14ac:dyDescent="1.65">
      <c r="A43" s="82">
        <f t="shared" si="14"/>
        <v>32</v>
      </c>
      <c r="B43" s="83" t="s">
        <v>69</v>
      </c>
      <c r="C43" s="84" t="s">
        <v>117</v>
      </c>
      <c r="D43" s="85" t="s">
        <v>127</v>
      </c>
      <c r="E43" s="353"/>
      <c r="F43" s="86"/>
      <c r="G43" s="85">
        <v>0</v>
      </c>
      <c r="H43" s="85">
        <v>1</v>
      </c>
      <c r="I43" s="85">
        <v>0</v>
      </c>
      <c r="J43" s="85">
        <v>1</v>
      </c>
      <c r="K43" s="85">
        <v>1</v>
      </c>
      <c r="L43" s="85">
        <v>0</v>
      </c>
      <c r="M43" s="356"/>
      <c r="N43" s="87">
        <f t="shared" si="13"/>
        <v>3</v>
      </c>
      <c r="O43" s="358"/>
      <c r="P43" s="358"/>
      <c r="Q43" s="94">
        <v>2</v>
      </c>
      <c r="R43" s="85"/>
      <c r="S43" s="85"/>
      <c r="T43" s="95">
        <v>1</v>
      </c>
      <c r="U43" s="358"/>
      <c r="V43" s="90">
        <f t="shared" si="3"/>
        <v>2</v>
      </c>
      <c r="W43" s="91"/>
      <c r="X43" s="92"/>
    </row>
    <row r="44" spans="1:24" s="81" customFormat="1" ht="199.5" customHeight="1" x14ac:dyDescent="1.65">
      <c r="A44" s="82">
        <f t="shared" si="14"/>
        <v>33</v>
      </c>
      <c r="B44" s="83" t="s">
        <v>138</v>
      </c>
      <c r="C44" s="71" t="s">
        <v>110</v>
      </c>
      <c r="D44" s="72" t="s">
        <v>118</v>
      </c>
      <c r="E44" s="353"/>
      <c r="F44" s="73"/>
      <c r="G44" s="72">
        <v>1</v>
      </c>
      <c r="H44" s="72">
        <v>2</v>
      </c>
      <c r="I44" s="72">
        <v>1</v>
      </c>
      <c r="J44" s="72">
        <v>2</v>
      </c>
      <c r="K44" s="72">
        <v>2</v>
      </c>
      <c r="L44" s="72">
        <v>1</v>
      </c>
      <c r="M44" s="356"/>
      <c r="N44" s="93">
        <f t="shared" si="13"/>
        <v>9</v>
      </c>
      <c r="O44" s="358"/>
      <c r="P44" s="358"/>
      <c r="Q44" s="88">
        <v>9</v>
      </c>
      <c r="R44" s="72"/>
      <c r="S44" s="72"/>
      <c r="T44" s="89"/>
      <c r="U44" s="358"/>
      <c r="V44" s="90">
        <f t="shared" si="3"/>
        <v>9</v>
      </c>
      <c r="W44" s="91"/>
      <c r="X44" s="92"/>
    </row>
    <row r="45" spans="1:24" s="81" customFormat="1" ht="199.5" customHeight="1" x14ac:dyDescent="1.65">
      <c r="A45" s="82" t="e">
        <f>#REF!+1</f>
        <v>#REF!</v>
      </c>
      <c r="B45" s="83" t="s">
        <v>64</v>
      </c>
      <c r="C45" s="84" t="s">
        <v>110</v>
      </c>
      <c r="D45" s="85" t="s">
        <v>127</v>
      </c>
      <c r="E45" s="353"/>
      <c r="F45" s="86"/>
      <c r="G45" s="85">
        <v>0</v>
      </c>
      <c r="H45" s="85">
        <v>2</v>
      </c>
      <c r="I45" s="85">
        <v>0</v>
      </c>
      <c r="J45" s="85">
        <v>0</v>
      </c>
      <c r="K45" s="85">
        <v>0</v>
      </c>
      <c r="L45" s="85">
        <v>0</v>
      </c>
      <c r="M45" s="356"/>
      <c r="N45" s="87">
        <f t="shared" si="13"/>
        <v>2</v>
      </c>
      <c r="O45" s="358"/>
      <c r="P45" s="358"/>
      <c r="Q45" s="94">
        <v>1</v>
      </c>
      <c r="R45" s="85"/>
      <c r="S45" s="85"/>
      <c r="T45" s="95">
        <v>1</v>
      </c>
      <c r="U45" s="358"/>
      <c r="V45" s="90">
        <f t="shared" si="3"/>
        <v>1</v>
      </c>
      <c r="W45" s="91"/>
      <c r="X45" s="92"/>
    </row>
    <row r="46" spans="1:24" s="81" customFormat="1" ht="199.5" customHeight="1" thickBot="1" x14ac:dyDescent="1.7">
      <c r="A46" s="82" t="e">
        <f t="shared" si="14"/>
        <v>#REF!</v>
      </c>
      <c r="B46" s="97" t="s">
        <v>3</v>
      </c>
      <c r="C46" s="71" t="s">
        <v>110</v>
      </c>
      <c r="D46" s="72" t="s">
        <v>112</v>
      </c>
      <c r="E46" s="353"/>
      <c r="F46" s="73"/>
      <c r="G46" s="72">
        <v>2</v>
      </c>
      <c r="H46" s="72">
        <v>2</v>
      </c>
      <c r="I46" s="72">
        <v>2</v>
      </c>
      <c r="J46" s="72">
        <v>2</v>
      </c>
      <c r="K46" s="72">
        <v>2</v>
      </c>
      <c r="L46" s="72">
        <v>2</v>
      </c>
      <c r="M46" s="356"/>
      <c r="N46" s="93">
        <f t="shared" si="13"/>
        <v>12</v>
      </c>
      <c r="O46" s="358"/>
      <c r="P46" s="358"/>
      <c r="Q46" s="98">
        <v>7</v>
      </c>
      <c r="R46" s="99"/>
      <c r="S46" s="99"/>
      <c r="T46" s="100"/>
      <c r="U46" s="358"/>
      <c r="V46" s="101">
        <f t="shared" si="3"/>
        <v>7</v>
      </c>
      <c r="W46" s="91">
        <v>1</v>
      </c>
      <c r="X46" s="102" t="e">
        <f>#REF!</f>
        <v>#REF!</v>
      </c>
    </row>
    <row r="47" spans="1:24" s="81" customFormat="1" ht="275.25" customHeight="1" thickBot="1" x14ac:dyDescent="1.7">
      <c r="A47" s="69" t="s">
        <v>139</v>
      </c>
      <c r="B47" s="103" t="s">
        <v>140</v>
      </c>
      <c r="C47" s="104"/>
      <c r="D47" s="105"/>
      <c r="E47" s="353"/>
      <c r="F47" s="106">
        <f t="shared" ref="F47:L47" si="15">SUM(F8:F46)</f>
        <v>8</v>
      </c>
      <c r="G47" s="107">
        <f t="shared" si="15"/>
        <v>42</v>
      </c>
      <c r="H47" s="107">
        <f t="shared" si="15"/>
        <v>86</v>
      </c>
      <c r="I47" s="107">
        <f t="shared" si="15"/>
        <v>41</v>
      </c>
      <c r="J47" s="107">
        <f t="shared" si="15"/>
        <v>57</v>
      </c>
      <c r="K47" s="107">
        <f t="shared" si="15"/>
        <v>56</v>
      </c>
      <c r="L47" s="107">
        <f t="shared" si="15"/>
        <v>41</v>
      </c>
      <c r="M47" s="356"/>
      <c r="N47" s="108">
        <f>SUM(N7,N16,N25,N34)</f>
        <v>331</v>
      </c>
      <c r="O47" s="358"/>
      <c r="P47" s="358"/>
      <c r="Q47" s="109">
        <f t="shared" ref="Q47:T47" si="16">SUM(Q7,Q16,Q25,Q34)</f>
        <v>257</v>
      </c>
      <c r="R47" s="110">
        <f t="shared" si="16"/>
        <v>23</v>
      </c>
      <c r="S47" s="110">
        <f t="shared" si="16"/>
        <v>2</v>
      </c>
      <c r="T47" s="111">
        <f t="shared" si="16"/>
        <v>13</v>
      </c>
      <c r="U47" s="358"/>
      <c r="V47" s="78">
        <f>SUM(V7,V16,V25,V34)</f>
        <v>282</v>
      </c>
      <c r="W47" s="79">
        <f>SUM(W7,W16,W25,W34)</f>
        <v>34</v>
      </c>
      <c r="X47" s="80" t="e">
        <f>SUM(X7,X16,X25,X34)</f>
        <v>#REF!</v>
      </c>
    </row>
    <row r="48" spans="1:24" s="81" customFormat="1" ht="275.25" customHeight="1" x14ac:dyDescent="1.65">
      <c r="A48" s="69" t="s">
        <v>141</v>
      </c>
      <c r="B48" s="87" t="s">
        <v>142</v>
      </c>
      <c r="C48" s="84"/>
      <c r="D48" s="85"/>
      <c r="E48" s="353"/>
      <c r="F48" s="86"/>
      <c r="G48" s="85">
        <v>10</v>
      </c>
      <c r="H48" s="85">
        <v>19</v>
      </c>
      <c r="I48" s="85">
        <v>10</v>
      </c>
      <c r="J48" s="85">
        <v>10</v>
      </c>
      <c r="K48" s="85">
        <v>10</v>
      </c>
      <c r="L48" s="85">
        <v>10</v>
      </c>
      <c r="M48" s="356"/>
      <c r="N48" s="87">
        <f>SUM(F48,G48,H48,I48,J48,K48,L48)</f>
        <v>69</v>
      </c>
      <c r="O48" s="358"/>
      <c r="P48" s="358"/>
      <c r="Q48" s="112"/>
      <c r="R48" s="113"/>
      <c r="S48" s="113"/>
      <c r="T48" s="114"/>
      <c r="U48" s="358"/>
      <c r="V48" s="115"/>
      <c r="W48" s="79"/>
      <c r="X48" s="116"/>
    </row>
    <row r="49" spans="1:24" s="81" customFormat="1" ht="275.25" customHeight="1" x14ac:dyDescent="1.65">
      <c r="A49" s="82"/>
      <c r="B49" s="87" t="s">
        <v>143</v>
      </c>
      <c r="C49" s="84"/>
      <c r="D49" s="85"/>
      <c r="E49" s="353"/>
      <c r="F49" s="86"/>
      <c r="G49" s="85">
        <v>32</v>
      </c>
      <c r="H49" s="85">
        <v>66</v>
      </c>
      <c r="I49" s="85">
        <v>32</v>
      </c>
      <c r="J49" s="85">
        <v>50</v>
      </c>
      <c r="K49" s="85">
        <v>47</v>
      </c>
      <c r="L49" s="85">
        <v>31</v>
      </c>
      <c r="M49" s="356"/>
      <c r="N49" s="87">
        <f>SUM(F49,G49,H49,I49,J49,K49,L49)</f>
        <v>258</v>
      </c>
      <c r="O49" s="358"/>
      <c r="P49" s="358"/>
      <c r="Q49" s="94"/>
      <c r="R49" s="85"/>
      <c r="S49" s="85"/>
      <c r="T49" s="95"/>
      <c r="U49" s="358"/>
      <c r="V49" s="117"/>
      <c r="W49" s="79"/>
      <c r="X49" s="118"/>
    </row>
    <row r="50" spans="1:24" s="81" customFormat="1" ht="199.5" customHeight="1" x14ac:dyDescent="1.65">
      <c r="A50" s="82">
        <f t="shared" ref="A50:A51" si="17">A49+1</f>
        <v>1</v>
      </c>
      <c r="B50" s="87" t="s">
        <v>38</v>
      </c>
      <c r="C50" s="84" t="s">
        <v>110</v>
      </c>
      <c r="D50" s="85" t="s">
        <v>127</v>
      </c>
      <c r="E50" s="353"/>
      <c r="F50" s="86"/>
      <c r="G50" s="85"/>
      <c r="H50" s="85">
        <v>1</v>
      </c>
      <c r="I50" s="85"/>
      <c r="J50" s="85">
        <v>1</v>
      </c>
      <c r="K50" s="85">
        <v>1</v>
      </c>
      <c r="L50" s="85"/>
      <c r="M50" s="356"/>
      <c r="N50" s="87">
        <f t="shared" ref="N50:N51" si="18">SUM(F50,G50,H50,I50,J50,K50,L50)</f>
        <v>3</v>
      </c>
      <c r="O50" s="358"/>
      <c r="P50" s="358"/>
      <c r="Q50" s="94"/>
      <c r="R50" s="85"/>
      <c r="S50" s="85"/>
      <c r="T50" s="95"/>
      <c r="U50" s="358"/>
      <c r="V50" s="90"/>
      <c r="W50" s="79"/>
      <c r="X50" s="92"/>
    </row>
    <row r="51" spans="1:24" s="81" customFormat="1" ht="199.5" customHeight="1" x14ac:dyDescent="1.65">
      <c r="A51" s="82">
        <f t="shared" si="17"/>
        <v>2</v>
      </c>
      <c r="B51" s="87" t="s">
        <v>36</v>
      </c>
      <c r="C51" s="71" t="s">
        <v>117</v>
      </c>
      <c r="D51" s="72" t="s">
        <v>127</v>
      </c>
      <c r="E51" s="353"/>
      <c r="F51" s="73"/>
      <c r="G51" s="72">
        <v>1</v>
      </c>
      <c r="H51" s="72">
        <v>2</v>
      </c>
      <c r="I51" s="72">
        <v>1</v>
      </c>
      <c r="J51" s="72">
        <v>1</v>
      </c>
      <c r="K51" s="72">
        <v>1</v>
      </c>
      <c r="L51" s="72">
        <v>1</v>
      </c>
      <c r="M51" s="356"/>
      <c r="N51" s="93">
        <f t="shared" si="18"/>
        <v>7</v>
      </c>
      <c r="O51" s="358"/>
      <c r="P51" s="358"/>
      <c r="Q51" s="88"/>
      <c r="R51" s="72"/>
      <c r="S51" s="72"/>
      <c r="T51" s="89"/>
      <c r="U51" s="358"/>
      <c r="V51" s="90"/>
      <c r="W51" s="79"/>
      <c r="X51" s="92"/>
    </row>
    <row r="52" spans="1:24" s="126" customFormat="1" ht="275.25" customHeight="1" x14ac:dyDescent="2.85">
      <c r="A52" s="119" t="s">
        <v>144</v>
      </c>
      <c r="B52" s="120" t="s">
        <v>145</v>
      </c>
      <c r="C52" s="121"/>
      <c r="D52" s="122"/>
      <c r="E52" s="353"/>
      <c r="F52" s="120">
        <f t="shared" ref="F52:L52" si="19">SUM(F47,F48,F49,F50,F51)</f>
        <v>8</v>
      </c>
      <c r="G52" s="120">
        <f t="shared" si="19"/>
        <v>85</v>
      </c>
      <c r="H52" s="120">
        <f t="shared" si="19"/>
        <v>174</v>
      </c>
      <c r="I52" s="120">
        <f t="shared" si="19"/>
        <v>84</v>
      </c>
      <c r="J52" s="120">
        <f t="shared" si="19"/>
        <v>119</v>
      </c>
      <c r="K52" s="120">
        <f t="shared" si="19"/>
        <v>115</v>
      </c>
      <c r="L52" s="120">
        <f t="shared" si="19"/>
        <v>83</v>
      </c>
      <c r="M52" s="356"/>
      <c r="N52" s="120">
        <f>SUM(N47,N48,N49,N50,N51)</f>
        <v>668</v>
      </c>
      <c r="O52" s="358"/>
      <c r="P52" s="358"/>
      <c r="Q52" s="123">
        <f>SUM(Q47,Q48,Q49)</f>
        <v>257</v>
      </c>
      <c r="R52" s="124">
        <f>SUM(R47,R48,R49)</f>
        <v>23</v>
      </c>
      <c r="S52" s="124">
        <f>SUM(S47,S48,S49)</f>
        <v>2</v>
      </c>
      <c r="T52" s="125">
        <f>SUM(T47,T48,T49)</f>
        <v>13</v>
      </c>
      <c r="U52" s="358"/>
      <c r="V52" s="78">
        <f>V47</f>
        <v>282</v>
      </c>
      <c r="W52" s="79">
        <f>W47</f>
        <v>34</v>
      </c>
      <c r="X52" s="80" t="e">
        <f>X47</f>
        <v>#REF!</v>
      </c>
    </row>
    <row r="53" spans="1:24" ht="75" customHeight="1" thickBot="1" x14ac:dyDescent="1.9">
      <c r="A53" s="127"/>
      <c r="B53" s="128"/>
      <c r="C53" s="129"/>
      <c r="D53" s="130"/>
      <c r="E53" s="131"/>
      <c r="F53" s="132"/>
      <c r="G53" s="133"/>
      <c r="H53" s="133"/>
      <c r="I53" s="133"/>
      <c r="J53" s="133"/>
      <c r="K53" s="133"/>
      <c r="L53" s="133"/>
      <c r="M53" s="133"/>
      <c r="N53" s="134"/>
      <c r="O53" s="135"/>
      <c r="P53" s="135"/>
      <c r="Q53" s="136"/>
      <c r="R53" s="137"/>
      <c r="S53" s="137"/>
      <c r="T53" s="138"/>
      <c r="U53" s="135"/>
      <c r="V53" s="139"/>
      <c r="W53" s="139"/>
      <c r="X53" s="140"/>
    </row>
    <row r="54" spans="1:24" ht="75" customHeight="1" x14ac:dyDescent="1.85">
      <c r="A54" s="141"/>
      <c r="B54" s="142"/>
      <c r="C54" s="81"/>
      <c r="E54" s="144"/>
    </row>
    <row r="55" spans="1:24" ht="75" customHeight="1" x14ac:dyDescent="1.85">
      <c r="A55" s="141"/>
      <c r="B55" s="142"/>
      <c r="C55" s="81"/>
      <c r="E55" s="144"/>
    </row>
    <row r="56" spans="1:24" ht="75" customHeight="1" x14ac:dyDescent="1.85">
      <c r="A56" s="141"/>
      <c r="B56" s="142"/>
      <c r="C56" s="81"/>
      <c r="E56" s="144"/>
    </row>
    <row r="57" spans="1:24" s="146" customFormat="1" ht="75" customHeight="1" x14ac:dyDescent="1.85">
      <c r="A57" s="141"/>
      <c r="B57" s="142"/>
      <c r="C57" s="81"/>
      <c r="D57" s="143"/>
      <c r="E57" s="144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</row>
    <row r="58" spans="1:24" s="146" customFormat="1" ht="75" customHeight="1" x14ac:dyDescent="1.85">
      <c r="A58" s="141"/>
      <c r="B58" s="142"/>
      <c r="C58" s="81"/>
      <c r="D58" s="143"/>
      <c r="E58" s="144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</row>
    <row r="59" spans="1:24" ht="75" customHeight="1" x14ac:dyDescent="1.85">
      <c r="A59" s="141"/>
      <c r="B59" s="142"/>
      <c r="C59" s="81"/>
      <c r="E59" s="144"/>
    </row>
    <row r="60" spans="1:24" ht="75" customHeight="1" x14ac:dyDescent="1.85">
      <c r="A60" s="141"/>
      <c r="B60" s="142"/>
      <c r="C60" s="81"/>
      <c r="E60" s="144"/>
    </row>
    <row r="61" spans="1:24" ht="75" customHeight="1" x14ac:dyDescent="1.85"/>
  </sheetData>
  <mergeCells count="18">
    <mergeCell ref="T3:T6"/>
    <mergeCell ref="U3:U52"/>
    <mergeCell ref="V3:V6"/>
    <mergeCell ref="A1:X1"/>
    <mergeCell ref="A2:X2"/>
    <mergeCell ref="A3:A6"/>
    <mergeCell ref="C3:C6"/>
    <mergeCell ref="D3:D6"/>
    <mergeCell ref="E3:E52"/>
    <mergeCell ref="F3:F5"/>
    <mergeCell ref="M3:M52"/>
    <mergeCell ref="O3:O52"/>
    <mergeCell ref="P3:P52"/>
    <mergeCell ref="W3:W6"/>
    <mergeCell ref="X3:X6"/>
    <mergeCell ref="Q3:Q6"/>
    <mergeCell ref="R3:R6"/>
    <mergeCell ref="S3:S6"/>
  </mergeCells>
  <pageMargins left="0.39370078740157483" right="0" top="0" bottom="0" header="0" footer="0"/>
  <pageSetup paperSize="8"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349233-7e46-4997-9a9e-a52a253873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DB7E8CC00A845BDE32FF5F59EC401" ma:contentTypeVersion="15" ma:contentTypeDescription="Create a new document." ma:contentTypeScope="" ma:versionID="71409889759e959d44cc088a7de99ffe">
  <xsd:schema xmlns:xsd="http://www.w3.org/2001/XMLSchema" xmlns:xs="http://www.w3.org/2001/XMLSchema" xmlns:p="http://schemas.microsoft.com/office/2006/metadata/properties" xmlns:ns3="43349233-7e46-4997-9a9e-a52a253873eb" xmlns:ns4="481584cb-c313-4d57-8c5c-9cff6882892b" targetNamespace="http://schemas.microsoft.com/office/2006/metadata/properties" ma:root="true" ma:fieldsID="29316c6795e7e51458f84743ad3ea3cf" ns3:_="" ns4:_="">
    <xsd:import namespace="43349233-7e46-4997-9a9e-a52a253873eb"/>
    <xsd:import namespace="481584cb-c313-4d57-8c5c-9cff688289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49233-7e46-4997-9a9e-a52a25387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584cb-c313-4d57-8c5c-9cff688289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B709D6-96F2-4DD2-883F-C57A24A75C4B}">
  <ds:schemaRefs>
    <ds:schemaRef ds:uri="http://schemas.microsoft.com/office/2006/metadata/properties"/>
    <ds:schemaRef ds:uri="http://schemas.openxmlformats.org/package/2006/metadata/core-properties"/>
    <ds:schemaRef ds:uri="43349233-7e46-4997-9a9e-a52a253873eb"/>
    <ds:schemaRef ds:uri="http://purl.org/dc/elements/1.1/"/>
    <ds:schemaRef ds:uri="http://www.w3.org/XML/1998/namespace"/>
    <ds:schemaRef ds:uri="http://purl.org/dc/terms/"/>
    <ds:schemaRef ds:uri="481584cb-c313-4d57-8c5c-9cff6882892b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C826E5-B198-4BFB-AEB7-7B8B56AC3C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69FDBA-0D93-4B2F-BA97-8C15A902B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49233-7e46-4997-9a9e-a52a253873eb"/>
    <ds:schemaRef ds:uri="481584cb-c313-4d57-8c5c-9cff68828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PS1</vt:lpstr>
      <vt:lpstr>PS3</vt:lpstr>
      <vt:lpstr>PS5</vt:lpstr>
      <vt:lpstr>PS6</vt:lpstr>
      <vt:lpstr>PS10</vt:lpstr>
      <vt:lpstr>PRS1</vt:lpstr>
      <vt:lpstr>EWRC PS #6</vt:lpstr>
      <vt:lpstr>Matrix 25th June 2024</vt:lpstr>
      <vt:lpstr>'EWRC PS #6'!Print_Area</vt:lpstr>
      <vt:lpstr>'Matrix 25th June 2024'!Print_Area</vt:lpstr>
      <vt:lpstr>'PRS1'!Print_Area</vt:lpstr>
      <vt:lpstr>'PS1'!Print_Area</vt:lpstr>
      <vt:lpstr>'PS10'!Print_Area</vt:lpstr>
      <vt:lpstr>'PS3'!Print_Area</vt:lpstr>
      <vt:lpstr>'PS5'!Print_Area</vt:lpstr>
      <vt:lpstr>'PS6'!Print_Area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 Vencilaus</dc:creator>
  <cp:lastModifiedBy>MOHAMED RIYAZ A N</cp:lastModifiedBy>
  <cp:lastPrinted>2025-09-17T11:01:02Z</cp:lastPrinted>
  <dcterms:created xsi:type="dcterms:W3CDTF">2023-10-16T13:35:00Z</dcterms:created>
  <dcterms:modified xsi:type="dcterms:W3CDTF">2026-06-30T06:38:06Z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0x010100E49DB7E8CC00A845BDE32FF5F59EC401</vt:lpwstr>
  </property>
</Properties>
</file>