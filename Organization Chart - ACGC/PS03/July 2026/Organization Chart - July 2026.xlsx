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somasundram\2026\MPR Sheet Wise\June 2026\"/>
    </mc:Choice>
  </mc:AlternateContent>
  <xr:revisionPtr revIDLastSave="0" documentId="13_ncr:1_{A5B0DD5E-AD12-49B3-AF6E-DD914D347E17}" xr6:coauthVersionLast="36" xr6:coauthVersionMax="36" xr10:uidLastSave="{00000000-0000-0000-0000-000000000000}"/>
  <bookViews>
    <workbookView xWindow="0" yWindow="0" windowWidth="19200" windowHeight="8070" firstSheet="1" activeTab="1" xr2:uid="{00000000-000D-0000-FFFF-FFFF00000000}"/>
  </bookViews>
  <sheets>
    <sheet name="PS3" sheetId="9" state="hidden" r:id="rId1"/>
    <sheet name="Org. Chart" sheetId="18" r:id="rId2"/>
  </sheets>
  <definedNames>
    <definedName name="_xlnm._FilterDatabase" localSheetId="0" hidden="1">'PS3'!$A$3:$M$169</definedName>
    <definedName name="_xlnm.Print_Area" localSheetId="1">'Org. Chart'!$C$3:$QR$275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C130" i="18" l="1"/>
  <c r="CT130" i="18"/>
  <c r="EU111" i="18" s="1"/>
  <c r="EX129" i="18"/>
  <c r="GW83" i="18"/>
  <c r="IT82" i="18"/>
  <c r="NA81" i="18"/>
  <c r="KY81" i="18"/>
  <c r="AX37" i="18"/>
  <c r="PH36" i="18"/>
  <c r="KS46" i="18" l="1"/>
  <c r="QB254" i="18"/>
  <c r="L172" i="9"/>
  <c r="B20" i="9" l="1"/>
  <c r="J64" i="9" l="1"/>
  <c r="J4" i="9" l="1"/>
  <c r="J20" i="9" l="1"/>
  <c r="J171" i="9" s="1"/>
  <c r="D172" i="9" l="1"/>
  <c r="B64" i="9"/>
  <c r="A6" i="9"/>
  <c r="B4" i="9"/>
  <c r="A7" i="9" l="1"/>
  <c r="A8" i="9" s="1"/>
  <c r="H172" i="9"/>
  <c r="B171" i="9"/>
  <c r="A9" i="9" l="1"/>
  <c r="A10" i="9" s="1"/>
  <c r="A11" i="9" s="1"/>
  <c r="A12" i="9" s="1"/>
  <c r="A172" i="9"/>
  <c r="A13" i="9" l="1"/>
  <c r="A14" i="9" s="1"/>
  <c r="A15" i="9" s="1"/>
  <c r="A16" i="9" s="1"/>
  <c r="A17" i="9" s="1"/>
  <c r="A18" i="9" s="1"/>
  <c r="A19" i="9" s="1"/>
  <c r="A21" i="9" s="1"/>
  <c r="A22" i="9" s="1"/>
  <c r="A23" i="9" s="1"/>
  <c r="A24" i="9" s="1"/>
  <c r="A25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l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3" i="9" l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62" i="9"/>
  <c r="A77" i="9" l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</calcChain>
</file>

<file path=xl/sharedStrings.xml><?xml version="1.0" encoding="utf-8"?>
<sst xmlns="http://schemas.openxmlformats.org/spreadsheetml/2006/main" count="1109" uniqueCount="460">
  <si>
    <t>L/N</t>
  </si>
  <si>
    <t>As Per Contract</t>
  </si>
  <si>
    <t>Function</t>
  </si>
  <si>
    <t>Employee Number</t>
  </si>
  <si>
    <t>Iqama/National ID</t>
  </si>
  <si>
    <t>Aramco ID Number</t>
  </si>
  <si>
    <t>Name</t>
  </si>
  <si>
    <t>Nationality</t>
  </si>
  <si>
    <t>Company</t>
  </si>
  <si>
    <t>Actual Count</t>
  </si>
  <si>
    <t>Current Status</t>
  </si>
  <si>
    <t>Remarks</t>
  </si>
  <si>
    <t>A</t>
  </si>
  <si>
    <t>Site Mangement</t>
  </si>
  <si>
    <t>Saudi</t>
  </si>
  <si>
    <t>ACGC</t>
  </si>
  <si>
    <t>On Site</t>
  </si>
  <si>
    <t>Indian</t>
  </si>
  <si>
    <t>Safety Officer-1</t>
  </si>
  <si>
    <t>Housing Front Office Administrator-1</t>
  </si>
  <si>
    <t>CMMS Administrator -1</t>
  </si>
  <si>
    <t>Local Purchaser-1</t>
  </si>
  <si>
    <t>B</t>
  </si>
  <si>
    <t>MEP Services</t>
  </si>
  <si>
    <t>Mechanical Technician -1</t>
  </si>
  <si>
    <t>Electrical Technician-1</t>
  </si>
  <si>
    <t>Electrical Technician-2</t>
  </si>
  <si>
    <t>Fire Alarm / CCTV  Technicians-1</t>
  </si>
  <si>
    <t>Plumber-1</t>
  </si>
  <si>
    <t>STP Operator-1</t>
  </si>
  <si>
    <t>Handyman-1</t>
  </si>
  <si>
    <t>Handyman-2</t>
  </si>
  <si>
    <t>C</t>
  </si>
  <si>
    <t>Housekeeping &amp; Recreational Services</t>
  </si>
  <si>
    <t>Housekeeping Supervisor-1</t>
  </si>
  <si>
    <t>Fitness Instructor-1</t>
  </si>
  <si>
    <t>Team Leader-1</t>
  </si>
  <si>
    <t>Room Attendant-1</t>
  </si>
  <si>
    <t>Room Attendant-2</t>
  </si>
  <si>
    <t>Room Attendant-3</t>
  </si>
  <si>
    <t>Room Attendant-4</t>
  </si>
  <si>
    <t>Room Attendant-5</t>
  </si>
  <si>
    <t>Room Attendant-6</t>
  </si>
  <si>
    <t>Room Attendant-7</t>
  </si>
  <si>
    <t>Sri Lankan</t>
  </si>
  <si>
    <t>Gardener-1</t>
  </si>
  <si>
    <t>Gardener-2</t>
  </si>
  <si>
    <t>Pakistan</t>
  </si>
  <si>
    <t>Janitor -1</t>
  </si>
  <si>
    <t>EWRC Total Saudi Employees:</t>
  </si>
  <si>
    <t>INDIAN</t>
  </si>
  <si>
    <t>Vacancy - 1</t>
  </si>
  <si>
    <t>HVAC Technician-1</t>
  </si>
  <si>
    <t>FILIPINO</t>
  </si>
  <si>
    <t>PAKISTANI</t>
  </si>
  <si>
    <t>JALAL S. AL JALAL CONT EST</t>
  </si>
  <si>
    <t>Janitor -3</t>
  </si>
  <si>
    <t>Janitor -4</t>
  </si>
  <si>
    <t>Janitor -5</t>
  </si>
  <si>
    <t>Janitor -6</t>
  </si>
  <si>
    <t>Janitor -7</t>
  </si>
  <si>
    <t>Saudization  :</t>
  </si>
  <si>
    <t>Driver</t>
  </si>
  <si>
    <t>Pakistani</t>
  </si>
  <si>
    <t>Electrical Technician</t>
  </si>
  <si>
    <t>Room Attendant</t>
  </si>
  <si>
    <t>Nepali</t>
  </si>
  <si>
    <t>Facility Manager -1</t>
  </si>
  <si>
    <t>Facility Engineer-1</t>
  </si>
  <si>
    <t>General Administrator-1</t>
  </si>
  <si>
    <t>HVAC Technician-2</t>
  </si>
  <si>
    <t>HVAC Technician-3</t>
  </si>
  <si>
    <t>Filipino</t>
  </si>
  <si>
    <t>Nepal</t>
  </si>
  <si>
    <t>SRILANKAN</t>
  </si>
  <si>
    <t>Warehouse Adminstrator-1</t>
  </si>
  <si>
    <t>On SIte</t>
  </si>
  <si>
    <t>Housing Front Office Administrator-2</t>
  </si>
  <si>
    <t>Local Purchaser-2</t>
  </si>
  <si>
    <t>HVAC Technician-4</t>
  </si>
  <si>
    <t>Fire Alarm / CCTV  Technicians-2</t>
  </si>
  <si>
    <t>Life Guard-1</t>
  </si>
  <si>
    <t>Team Leader-2</t>
  </si>
  <si>
    <t>Team Leader-3</t>
  </si>
  <si>
    <t>Room Attendant-8</t>
  </si>
  <si>
    <t>Room Attendant-9</t>
  </si>
  <si>
    <t>Room Attendant-10</t>
  </si>
  <si>
    <t>Room Attendant-11</t>
  </si>
  <si>
    <t>Room Attendant-12</t>
  </si>
  <si>
    <t>Room Attendant-13</t>
  </si>
  <si>
    <t>BANGLADESH</t>
  </si>
  <si>
    <t>NEPAL</t>
  </si>
  <si>
    <t>RO Plant Operator-1</t>
  </si>
  <si>
    <t>RO Plant Operator-2</t>
  </si>
  <si>
    <t>RO Plant Operator-3</t>
  </si>
  <si>
    <t>STP Operator-2</t>
  </si>
  <si>
    <t>Gardener-3</t>
  </si>
  <si>
    <t>Gardener-4</t>
  </si>
  <si>
    <t>Gardener-5</t>
  </si>
  <si>
    <t>Gardener-6</t>
  </si>
  <si>
    <t>Plumber-2</t>
  </si>
  <si>
    <t>Mechanical Technician -2</t>
  </si>
  <si>
    <t>HVAC Technician-5</t>
  </si>
  <si>
    <t>HML</t>
  </si>
  <si>
    <t>Electrical Technician-3</t>
  </si>
  <si>
    <t>Fire Alarm / CCTV  Technicians-3</t>
  </si>
  <si>
    <t>Handyman-3</t>
  </si>
  <si>
    <t>Fitness Instructor-2</t>
  </si>
  <si>
    <t>Nurse - 1</t>
  </si>
  <si>
    <t>Amrit Biswakarma</t>
  </si>
  <si>
    <t>Warehouse Administrator-2</t>
  </si>
  <si>
    <t>Electrical Technician-4</t>
  </si>
  <si>
    <t>Mohammed Rafiudeen Syed Masood</t>
  </si>
  <si>
    <t>JANITOR</t>
  </si>
  <si>
    <t>Plumber</t>
  </si>
  <si>
    <t>Gardener</t>
  </si>
  <si>
    <t>Abdul Razzq Abdul Ghafoor</t>
  </si>
  <si>
    <t>HME</t>
  </si>
  <si>
    <t>PRAKASH KANNAN</t>
  </si>
  <si>
    <t>Handyman</t>
  </si>
  <si>
    <t>Janitor -2</t>
  </si>
  <si>
    <t>Janitor -8</t>
  </si>
  <si>
    <t>Janitor -9</t>
  </si>
  <si>
    <t>Janitor -10</t>
  </si>
  <si>
    <t>Janitor -11</t>
  </si>
  <si>
    <t>Fire Alarm / CCTV  Technicians-4</t>
  </si>
  <si>
    <t xml:space="preserve">Machanical Supervisor - 1 </t>
  </si>
  <si>
    <t xml:space="preserve">C3 Superviosr - 1 </t>
  </si>
  <si>
    <t>Plumber-3</t>
  </si>
  <si>
    <t>Housekeeping Supervisor-2</t>
  </si>
  <si>
    <t>HVAC Technician-6</t>
  </si>
  <si>
    <t>RABIN ADHIKARI</t>
  </si>
  <si>
    <t>Waiting for Appointment</t>
  </si>
  <si>
    <t>Work Location</t>
  </si>
  <si>
    <t>RC</t>
  </si>
  <si>
    <t>PS</t>
  </si>
  <si>
    <r>
      <t xml:space="preserve">EWRC Manpower - Overall Consolidated Sheet - </t>
    </r>
    <r>
      <rPr>
        <b/>
        <sz val="14"/>
        <color rgb="FFFF0000"/>
        <rFont val="Arial"/>
        <family val="2"/>
      </rPr>
      <t>PS3</t>
    </r>
  </si>
  <si>
    <t>Jamal Lafi Al Enazi</t>
  </si>
  <si>
    <t>Vijaya Kumar Dasaradhan</t>
  </si>
  <si>
    <t xml:space="preserve">Rayyan Abdullah Al Sahli </t>
  </si>
  <si>
    <t>Arun Prasath Somasundaram</t>
  </si>
  <si>
    <t>General Administrator-2</t>
  </si>
  <si>
    <t>Renjith Bovas</t>
  </si>
  <si>
    <t>Abdulaziz Al awad Al Onazi</t>
  </si>
  <si>
    <t>Manikandan S</t>
  </si>
  <si>
    <t>Help Desk Operator -1</t>
  </si>
  <si>
    <t>Mani Bharathi Chellapandian</t>
  </si>
  <si>
    <t>Robin Prasannadas</t>
  </si>
  <si>
    <t>Sudagar Panneer Selvam</t>
  </si>
  <si>
    <t>Warehouse helper - 1</t>
  </si>
  <si>
    <t>Prabin BK</t>
  </si>
  <si>
    <t>Talal Bandar Al shatri</t>
  </si>
  <si>
    <t>Sojan Varghese</t>
  </si>
  <si>
    <t>Maintenance Coordinator - 1</t>
  </si>
  <si>
    <t>Rockey Roshan</t>
  </si>
  <si>
    <t>LUISITO JR. M. ABGAO</t>
  </si>
  <si>
    <t>SADIQ PASHA</t>
  </si>
  <si>
    <t>Marlo Padua Denum</t>
  </si>
  <si>
    <t xml:space="preserve">SIBI SAMUEL </t>
  </si>
  <si>
    <t>Civil Supervisor</t>
  </si>
  <si>
    <t>Ashok Panner Selvam</t>
  </si>
  <si>
    <t>WOWIE C. WONG DELINA</t>
  </si>
  <si>
    <t>Abdullah Aldossary</t>
  </si>
  <si>
    <t>Mechanical Technician -3</t>
  </si>
  <si>
    <t>Simhanchal Gouda</t>
  </si>
  <si>
    <t>Mohammad Afcer Alam</t>
  </si>
  <si>
    <t xml:space="preserve">Ali Ibrahim Bin ahmed </t>
  </si>
  <si>
    <r>
      <t xml:space="preserve">Jestin </t>
    </r>
    <r>
      <rPr>
        <sz val="12"/>
        <color theme="1"/>
        <rFont val="Calibri"/>
        <family val="2"/>
      </rPr>
      <t>Pazhukalayil George</t>
    </r>
  </si>
  <si>
    <t>MOHAMED MUBARAK GAUSUL AMEER</t>
  </si>
  <si>
    <t>RemeshKumar V S</t>
  </si>
  <si>
    <t>Harendra Prasad</t>
  </si>
  <si>
    <t>MARK LOUIS S. ZAPANTA</t>
  </si>
  <si>
    <t>Moovendan Radhakrishnan</t>
  </si>
  <si>
    <t>SURESH SEKAR SENGUNTHAMUDALIAR</t>
  </si>
  <si>
    <t>Electrical Technician-5</t>
  </si>
  <si>
    <t>Iqbal Thengila Valappil</t>
  </si>
  <si>
    <t>Lineesh Kandethodi</t>
  </si>
  <si>
    <t>Rahul Peechamkode Radhakrishnan</t>
  </si>
  <si>
    <t>Riyaz Ahmad Wani</t>
  </si>
  <si>
    <t>Senthil N</t>
  </si>
  <si>
    <t>Gopinath Murugesan</t>
  </si>
  <si>
    <t>THARIKAJEES SEENI KASPULLA</t>
  </si>
  <si>
    <t>RAJARATHINAM SILUVAI SANTIAGU PRAVIN</t>
  </si>
  <si>
    <t>RAMESH GANAPATHY</t>
  </si>
  <si>
    <t>Abdulmajeeth Emamsha</t>
  </si>
  <si>
    <t>Gas Attendant-1</t>
  </si>
  <si>
    <t>Mohamed Farook Mohamed Fawmy</t>
  </si>
  <si>
    <t>Gas Attendant-2</t>
  </si>
  <si>
    <t>Uddumalabbe Jamaldeen Husaindeen</t>
  </si>
  <si>
    <t>Old Aramco ID need to be cancelled</t>
  </si>
  <si>
    <t>Nilo Sanipa Sales</t>
  </si>
  <si>
    <t xml:space="preserve">MOHAMMED MANASEER MOHAMMED FAROOK </t>
  </si>
  <si>
    <t>Handyman-4</t>
  </si>
  <si>
    <t xml:space="preserve">Selvaraj Ramesh </t>
  </si>
  <si>
    <t>Handyman-5</t>
  </si>
  <si>
    <t>CANTILLO, JORLAN R.</t>
  </si>
  <si>
    <t>Mohammad Ismail</t>
  </si>
  <si>
    <t>BANGLADESHI</t>
  </si>
  <si>
    <t>Life guards Supervisor-1</t>
  </si>
  <si>
    <t>ALI ABDULMOHSEN ALMANSAF</t>
  </si>
  <si>
    <t>Nitin Chepo Gaude</t>
  </si>
  <si>
    <t>Sanil K B</t>
  </si>
  <si>
    <t>Jinson Varkey</t>
  </si>
  <si>
    <t>Fitness Instructor-3</t>
  </si>
  <si>
    <t>Mohammed Almushrif</t>
  </si>
  <si>
    <t>Muezzin-1</t>
  </si>
  <si>
    <t xml:space="preserve">Salem Al Balawi </t>
  </si>
  <si>
    <t>Imam-1</t>
  </si>
  <si>
    <t>No Passport</t>
  </si>
  <si>
    <t>Othman Shabbir Ahmed Jamil </t>
  </si>
  <si>
    <t>Myanmar</t>
  </si>
  <si>
    <t>Imam-2</t>
  </si>
  <si>
    <t>Omar Alenazi</t>
  </si>
  <si>
    <t>Aatif Khudbuddin Kagaji</t>
  </si>
  <si>
    <t>Jayasurya Murugan</t>
  </si>
  <si>
    <t>Team Leader-4</t>
  </si>
  <si>
    <t>RAJAT KUMAR KARADA</t>
  </si>
  <si>
    <t>VENGATASUBRAMANIYAN MANOHARAN</t>
  </si>
  <si>
    <t>Sourav Roy</t>
  </si>
  <si>
    <t>Mohammad Farid</t>
  </si>
  <si>
    <t>Karan Sunar</t>
  </si>
  <si>
    <t>Anil Laxman Pammar</t>
  </si>
  <si>
    <t>Name issue with Passport and Iqama.</t>
  </si>
  <si>
    <t>Abu Jihath</t>
  </si>
  <si>
    <t>Gopalakrishnan</t>
  </si>
  <si>
    <t>Darshan Gurung</t>
  </si>
  <si>
    <t>Vijayakumar Deventhiran</t>
  </si>
  <si>
    <t>Sherin Xavier Ilango</t>
  </si>
  <si>
    <t>Sajan Poudel</t>
  </si>
  <si>
    <t>Room Attendant-14</t>
  </si>
  <si>
    <t>Pawan Acharya</t>
  </si>
  <si>
    <t>Room Attendant-15</t>
  </si>
  <si>
    <t>KAVIN MURUGESAN</t>
  </si>
  <si>
    <t>Room Attendant-16</t>
  </si>
  <si>
    <t>SARAVANAKUMAR VEERAN</t>
  </si>
  <si>
    <t>Room Attendant-17</t>
  </si>
  <si>
    <t>MOHAMED MUJAHITH SULAIMAN</t>
  </si>
  <si>
    <t>Room Attendant-18</t>
  </si>
  <si>
    <t xml:space="preserve">MOHAMED ASTHAF MOHAMED RAFEEK </t>
  </si>
  <si>
    <t>Room Attendant-19</t>
  </si>
  <si>
    <t xml:space="preserve">MOHAMED MIRZAN AHAMAD </t>
  </si>
  <si>
    <t>Room Attendant-20</t>
  </si>
  <si>
    <t>BHAKTA PRAHALAD TELI</t>
  </si>
  <si>
    <t>Room Attendant-21</t>
  </si>
  <si>
    <t>Alaqippody Thambbyappa Yunilkanthan </t>
  </si>
  <si>
    <t>Room Attendant-22</t>
  </si>
  <si>
    <t>SYEDKASIM KAJAMOHIDEEN</t>
  </si>
  <si>
    <t>Room Attendant-23</t>
  </si>
  <si>
    <t>PUJAN DAHAL</t>
  </si>
  <si>
    <t>Neplali</t>
  </si>
  <si>
    <t>Room Attendant-24</t>
  </si>
  <si>
    <t>Room Attendant-25</t>
  </si>
  <si>
    <t>Yam Bahadur Karki</t>
  </si>
  <si>
    <t>Room Attendant-26</t>
  </si>
  <si>
    <t>Room Attendant-27</t>
  </si>
  <si>
    <t xml:space="preserve">SYEDALI BATHUSHA MOHAMED ALI </t>
  </si>
  <si>
    <t>Lasantha Dinesh H P D W Arachchige</t>
  </si>
  <si>
    <t>MOHAMED MUHUTHAR MOHAMED IFAM</t>
  </si>
  <si>
    <t>QAISAR IJAZ MUHAMMAD RAMZAN</t>
  </si>
  <si>
    <t xml:space="preserve">EAST EAGLE </t>
  </si>
  <si>
    <t>Gardener-7</t>
  </si>
  <si>
    <t xml:space="preserve">MUHAMMAD USMAN ANWAR </t>
  </si>
  <si>
    <t>Gardener-8</t>
  </si>
  <si>
    <t>Ashok Darjee</t>
  </si>
  <si>
    <t xml:space="preserve">ARUL PRAKASH AMMAVASI </t>
  </si>
  <si>
    <t xml:space="preserve">Narad Prasad Neupane </t>
  </si>
  <si>
    <t>NEJAMUDDIN MANIHAR</t>
  </si>
  <si>
    <t>Netra Prasad Kafle</t>
  </si>
  <si>
    <t>Bhesh Raj Acharya</t>
  </si>
  <si>
    <t>Mohammed Asif Assaithulla</t>
  </si>
  <si>
    <t>SAGAR KAFLE</t>
  </si>
  <si>
    <t>SANTOSH CHAUDHARY</t>
  </si>
  <si>
    <t>MURSID SAFI </t>
  </si>
  <si>
    <t>AVINAYA KHANAL</t>
  </si>
  <si>
    <t>KALIM THAKUR</t>
  </si>
  <si>
    <t>MD Sufiyan</t>
  </si>
  <si>
    <t>BASANT GIRI</t>
  </si>
  <si>
    <t>Application to be submitted</t>
  </si>
  <si>
    <t>MAHFUZ ALAM</t>
  </si>
  <si>
    <t>PRABIN GHISING</t>
  </si>
  <si>
    <t>Anish Sharma</t>
  </si>
  <si>
    <t>Dil Bahadur Balayar</t>
  </si>
  <si>
    <t>Tirtha Raj Kaphle</t>
  </si>
  <si>
    <t>RESHAM BAHADUR BALAYAR </t>
  </si>
  <si>
    <t>AMAR SINGH DANGA</t>
  </si>
  <si>
    <t>SANDIP GURUNG</t>
  </si>
  <si>
    <t>MAN KUMAR B K</t>
  </si>
  <si>
    <t>RILWAN SHARIFDEEN MOHAMED</t>
  </si>
  <si>
    <t>CHAMINDA  DON WIJESINGHE</t>
  </si>
  <si>
    <t>MANOJ KHADKA</t>
  </si>
  <si>
    <t>BIJAY BAHADUR DHIMAL</t>
  </si>
  <si>
    <t>SURYA BAHADUR DAMAI</t>
  </si>
  <si>
    <t>SUDIP TAMANG</t>
  </si>
  <si>
    <t>Tilak Bahadur Pandey Magar</t>
  </si>
  <si>
    <t>RESHAM BAHADUR RANA</t>
  </si>
  <si>
    <t>ANIL BAHADUR SUNAR</t>
  </si>
  <si>
    <t>JHABINDRA BAHADUR PANDEY MAGAR</t>
  </si>
  <si>
    <t>RISHI KUMAR YADAV</t>
  </si>
  <si>
    <t>DIPENDRA KARKI</t>
  </si>
  <si>
    <t>RUPESH LAMA</t>
  </si>
  <si>
    <t>SURESH GURUNG</t>
  </si>
  <si>
    <t>ANIL KUMAR MAHATO</t>
  </si>
  <si>
    <t>MD TABREJ KHAN</t>
  </si>
  <si>
    <t>TIKA BAHADUR BASNET</t>
  </si>
  <si>
    <t>Driver - 1</t>
  </si>
  <si>
    <t>Iqama not received</t>
  </si>
  <si>
    <t>Mehboob Hussain Raja Muhammad Ishaq</t>
  </si>
  <si>
    <t>Driver - 2</t>
  </si>
  <si>
    <t xml:space="preserve">Abdul Hassan Mohamed Pichchai </t>
  </si>
  <si>
    <t>Driver - 3</t>
  </si>
  <si>
    <t>Kartheeswaran S</t>
  </si>
  <si>
    <t>Driver - 4</t>
  </si>
  <si>
    <t>ROSHAN TAMANG</t>
  </si>
  <si>
    <t>Driver - 5</t>
  </si>
  <si>
    <t>MUHAMMAD YAMIN</t>
  </si>
  <si>
    <t>Barber -1</t>
  </si>
  <si>
    <t>Adnan Shah</t>
  </si>
  <si>
    <t>Barber -2</t>
  </si>
  <si>
    <t>Shahid Mahmoud</t>
  </si>
  <si>
    <t>Commisary Clerk -1</t>
  </si>
  <si>
    <t>ACGC Camp Support PS3</t>
  </si>
  <si>
    <t>Camp Boss</t>
  </si>
  <si>
    <t>ANTONY RUBAN BASKAR</t>
  </si>
  <si>
    <t>Accommodation</t>
  </si>
  <si>
    <t>CHIRANJIBI GAUTAM</t>
  </si>
  <si>
    <t>Security Gate - Sinohydro Camp</t>
  </si>
  <si>
    <t>SHER BAHADUR CHAUDHARY</t>
  </si>
  <si>
    <t>NIRAJ KUMAR RAY</t>
  </si>
  <si>
    <t>Camp External</t>
  </si>
  <si>
    <t>SUNIL SARDAR</t>
  </si>
  <si>
    <t>SANDESH DAMAI</t>
  </si>
  <si>
    <t>Mess Hall</t>
  </si>
  <si>
    <t>ISWOR B K</t>
  </si>
  <si>
    <t>Laundry</t>
  </si>
  <si>
    <t>SUBASH BALAN</t>
  </si>
  <si>
    <t>Gas Attendant</t>
  </si>
  <si>
    <t>Joined 24th Nov 2025</t>
  </si>
  <si>
    <t>Generator Technician / Mechanical Technician - 4</t>
  </si>
  <si>
    <t xml:space="preserve">Work Permit Receiver </t>
  </si>
  <si>
    <t>Selva Kumar Sekar</t>
  </si>
  <si>
    <t>Vacancy - 2</t>
  </si>
  <si>
    <t>RPM</t>
  </si>
  <si>
    <t>Camp Security - 1</t>
  </si>
  <si>
    <t>MD FAHIM ISLAM</t>
  </si>
  <si>
    <t>MD SHAHIN PRAMANIK</t>
  </si>
  <si>
    <t>MAHESH KUMAR</t>
  </si>
  <si>
    <t>KRISHNA THAPA</t>
  </si>
  <si>
    <t>AFTAB ALAM</t>
  </si>
  <si>
    <t>Rental</t>
  </si>
  <si>
    <t>Abdul Kader Sickander</t>
  </si>
  <si>
    <t>Sugirthathas Muththuppillai Sellaiah</t>
  </si>
  <si>
    <t>Imbran Kahan Mohamed Nihamathulla</t>
  </si>
  <si>
    <t xml:space="preserve">Yasokanth Manickavasagam </t>
  </si>
  <si>
    <t>Janitor -21</t>
  </si>
  <si>
    <t>Vacancy - 3</t>
  </si>
  <si>
    <t>Janitor -12</t>
  </si>
  <si>
    <t>MECH &amp; HVAC Supervisor - 1</t>
  </si>
  <si>
    <t xml:space="preserve">Electrical &amp; C3 Supervisor - 1  </t>
  </si>
  <si>
    <t>Room Attendant-28</t>
  </si>
  <si>
    <t>Room Attendant-29</t>
  </si>
  <si>
    <t>Room Attendant-30</t>
  </si>
  <si>
    <t>Vacancy - 4</t>
  </si>
  <si>
    <t>Janitor -13</t>
  </si>
  <si>
    <t>Janitor -14</t>
  </si>
  <si>
    <t>Janitor -15</t>
  </si>
  <si>
    <t>Janitor -16</t>
  </si>
  <si>
    <t>Janitor -17</t>
  </si>
  <si>
    <t>Janitor -18</t>
  </si>
  <si>
    <t>Janitor -19</t>
  </si>
  <si>
    <t>Janitor -20</t>
  </si>
  <si>
    <t>Janitor -22</t>
  </si>
  <si>
    <t>Janitor -23</t>
  </si>
  <si>
    <t>Janitor -24</t>
  </si>
  <si>
    <t>Janitor -25</t>
  </si>
  <si>
    <t>Janitor -26</t>
  </si>
  <si>
    <t>Janitor -27</t>
  </si>
  <si>
    <t>Janitor -28</t>
  </si>
  <si>
    <t>Janitor -29</t>
  </si>
  <si>
    <t>Janitor -30</t>
  </si>
  <si>
    <t>Janitor -31</t>
  </si>
  <si>
    <t>Janitor -32</t>
  </si>
  <si>
    <t>Janitor -33</t>
  </si>
  <si>
    <t>Janitor -34</t>
  </si>
  <si>
    <t>Janitor -35</t>
  </si>
  <si>
    <t>Janitor -36</t>
  </si>
  <si>
    <t>Janitor -37</t>
  </si>
  <si>
    <t>Janitor -38</t>
  </si>
  <si>
    <t>Janitor -39</t>
  </si>
  <si>
    <t>Janitor -40</t>
  </si>
  <si>
    <t>Janitor -41</t>
  </si>
  <si>
    <t>Janitor -42</t>
  </si>
  <si>
    <t>Janitor -43</t>
  </si>
  <si>
    <t>Janitor -44</t>
  </si>
  <si>
    <t>Janitor -45</t>
  </si>
  <si>
    <t>Handyman-6</t>
  </si>
  <si>
    <t>Tahir Iqbal</t>
  </si>
  <si>
    <t>To Be Released after Non objection letter from ARAMCO</t>
  </si>
  <si>
    <t>Shivaji Chorlekar</t>
  </si>
  <si>
    <t>Swapnil Wajantri</t>
  </si>
  <si>
    <t>Transfer to SFA DHA on Aug</t>
  </si>
  <si>
    <t>Vacancy:</t>
  </si>
  <si>
    <t>Resigned LWD - 29-08-2026</t>
  </si>
  <si>
    <t>Resigned LWD -05-09-2026</t>
  </si>
  <si>
    <r>
      <t xml:space="preserve">EAST WEST PIPELINE RESIDENTIAL COMPOUND - </t>
    </r>
    <r>
      <rPr>
        <b/>
        <sz val="22"/>
        <color rgb="FFFF0000"/>
        <rFont val="Arial"/>
        <family val="2"/>
      </rPr>
      <t>EWRC3 &amp; PS3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</si>
  <si>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</si>
  <si>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</si>
  <si>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Jamal Lafi Al Enazi</t>
    </r>
  </si>
  <si>
    <t>HSE DEPT.</t>
  </si>
  <si>
    <t>General Adminstration</t>
  </si>
  <si>
    <t>Warehouse Administrator</t>
  </si>
  <si>
    <r>
      <t xml:space="preserve">Facility Engineer
</t>
    </r>
    <r>
      <rPr>
        <sz val="14"/>
        <color rgb="FFFF0000"/>
        <rFont val="Arial"/>
        <family val="2"/>
      </rPr>
      <t>Vijaya Kumar</t>
    </r>
  </si>
  <si>
    <t>House Keeping &amp; Recreational Services</t>
  </si>
  <si>
    <r>
      <t xml:space="preserve">Site Administrator
</t>
    </r>
    <r>
      <rPr>
        <sz val="14"/>
        <color rgb="FFFF0000"/>
        <rFont val="Arial"/>
        <family val="2"/>
      </rPr>
      <t>Arun Prasath / Renjith</t>
    </r>
  </si>
  <si>
    <r>
      <t xml:space="preserve">Safety Officer
</t>
    </r>
    <r>
      <rPr>
        <sz val="14"/>
        <color rgb="FFFF0000"/>
        <rFont val="Arial"/>
        <family val="2"/>
      </rPr>
      <t>Rayyan Abdullah</t>
    </r>
  </si>
  <si>
    <r>
      <t xml:space="preserve">Purchaser
</t>
    </r>
    <r>
      <rPr>
        <sz val="14"/>
        <color rgb="FFFF0000"/>
        <rFont val="Arial"/>
        <family val="2"/>
      </rPr>
      <t>Sojan / Talal Bandar</t>
    </r>
  </si>
  <si>
    <r>
      <rPr>
        <sz val="14"/>
        <rFont val="Arial"/>
        <family val="2"/>
      </rPr>
      <t>Nusre</t>
    </r>
    <r>
      <rPr>
        <sz val="14"/>
        <color rgb="FFFF0000"/>
        <rFont val="Arial"/>
        <family val="2"/>
      </rPr>
      <t xml:space="preserve">
Selva Kumar  (Subcon)</t>
    </r>
  </si>
  <si>
    <t>Imam / Muezzin</t>
  </si>
  <si>
    <t>General Services</t>
  </si>
  <si>
    <t>Recrational Services</t>
  </si>
  <si>
    <r>
      <t xml:space="preserve">Warehouse Administrator
</t>
    </r>
    <r>
      <rPr>
        <sz val="14"/>
        <color rgb="FFFF0000"/>
        <rFont val="Arial"/>
        <family val="2"/>
      </rPr>
      <t>Robin / Sudagar Panneer</t>
    </r>
  </si>
  <si>
    <t>Room Services</t>
  </si>
  <si>
    <t xml:space="preserve">Front Office &amp; Reception </t>
  </si>
  <si>
    <t>Fitness Instructor</t>
  </si>
  <si>
    <t>Team leader</t>
  </si>
  <si>
    <r>
      <t xml:space="preserve">Warehouse Helper 
</t>
    </r>
    <r>
      <rPr>
        <sz val="14"/>
        <color rgb="FFFF0000"/>
        <rFont val="Arial"/>
        <family val="2"/>
      </rPr>
      <t>Prabin BK</t>
    </r>
  </si>
  <si>
    <t>Janirors - General</t>
  </si>
  <si>
    <t>Life guards Supervisor
Ali Abdul Moshen</t>
  </si>
  <si>
    <t>Life guards</t>
  </si>
  <si>
    <r>
      <t xml:space="preserve">Pest Control
</t>
    </r>
    <r>
      <rPr>
        <sz val="14"/>
        <color rgb="FFFF0000"/>
        <rFont val="Arial"/>
        <family val="2"/>
      </rPr>
      <t>Rentokil</t>
    </r>
    <r>
      <rPr>
        <sz val="14"/>
        <color theme="1"/>
        <rFont val="Arial"/>
        <family val="2"/>
      </rPr>
      <t xml:space="preserve"> </t>
    </r>
  </si>
  <si>
    <t>Commissary Clerk</t>
  </si>
  <si>
    <t>ELECTRICAL &amp; C3</t>
  </si>
  <si>
    <t>Mechanical &amp;HVAC</t>
  </si>
  <si>
    <t>CIVIL</t>
  </si>
  <si>
    <r>
      <t xml:space="preserve">Garbage / Sewage mgmt
</t>
    </r>
    <r>
      <rPr>
        <sz val="14"/>
        <color rgb="FFFF0000"/>
        <rFont val="Arial"/>
        <family val="2"/>
      </rPr>
      <t>Assnafi Al-Awi Contracting</t>
    </r>
  </si>
  <si>
    <t>Barbers</t>
  </si>
  <si>
    <r>
      <t xml:space="preserve">Electrical Supervisor
</t>
    </r>
    <r>
      <rPr>
        <sz val="14"/>
        <color rgb="FFFF0000"/>
        <rFont val="Arial"/>
        <family val="2"/>
      </rPr>
      <t>Marlo / Sibi</t>
    </r>
  </si>
  <si>
    <r>
      <t xml:space="preserve">CIVIL Supervisor
</t>
    </r>
    <r>
      <rPr>
        <sz val="14"/>
        <color rgb="FFFF0000"/>
        <rFont val="Arial"/>
        <family val="2"/>
      </rPr>
      <t>Ashok</t>
    </r>
  </si>
  <si>
    <t>Security 
Management</t>
  </si>
  <si>
    <t>Mechanical Technicians</t>
  </si>
  <si>
    <t>Nesma</t>
  </si>
  <si>
    <t>Fire Alarm / CCTV Tech.</t>
  </si>
  <si>
    <t>Catering
Laundry / Telecom</t>
  </si>
  <si>
    <t>STP Operator</t>
  </si>
  <si>
    <t>Qudrat</t>
  </si>
  <si>
    <t>RO Plant Operator</t>
  </si>
  <si>
    <t>HVAC Technicians</t>
  </si>
  <si>
    <t>AS PER CONTRACT</t>
  </si>
  <si>
    <t>Prepared by:</t>
  </si>
  <si>
    <t>Reviewed by:</t>
  </si>
  <si>
    <t>Approved by:</t>
  </si>
  <si>
    <t>Manzoor. M Maheen</t>
  </si>
  <si>
    <t>Yossif M. Al Harbi</t>
  </si>
  <si>
    <t>CODE</t>
  </si>
  <si>
    <t>REVISION - 12</t>
  </si>
  <si>
    <t>Date: 11/02/2026</t>
  </si>
  <si>
    <r>
      <t xml:space="preserve">Supervisor
</t>
    </r>
    <r>
      <rPr>
        <sz val="12"/>
        <color rgb="FFFF0000"/>
        <rFont val="Arial"/>
        <family val="2"/>
      </rPr>
      <t>Abdul Kader / Ismail</t>
    </r>
  </si>
  <si>
    <r>
      <t xml:space="preserve">CMMS/Help Desk
</t>
    </r>
    <r>
      <rPr>
        <sz val="14"/>
        <color rgb="FFFF0000"/>
        <rFont val="Arial"/>
        <family val="2"/>
      </rPr>
      <t>Mani Bharathi</t>
    </r>
    <r>
      <rPr>
        <sz val="12"/>
        <color rgb="FFFF0000"/>
        <rFont val="Arial"/>
        <family val="2"/>
      </rPr>
      <t xml:space="preserve"> /</t>
    </r>
    <r>
      <rPr>
        <sz val="14"/>
        <color rgb="FFFF0000"/>
        <rFont val="Arial"/>
        <family val="2"/>
      </rPr>
      <t>Amrith</t>
    </r>
  </si>
  <si>
    <r>
      <rPr>
        <sz val="14"/>
        <rFont val="Arial"/>
        <family val="2"/>
      </rPr>
      <t>Housi. Front Office Admin.</t>
    </r>
    <r>
      <rPr>
        <sz val="14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Abdulaziz awad / Manikandan</t>
    </r>
  </si>
  <si>
    <r>
      <t xml:space="preserve">Mainenance Coordinator
</t>
    </r>
    <r>
      <rPr>
        <sz val="14"/>
        <color rgb="FFFF0000"/>
        <rFont val="Arial"/>
        <family val="2"/>
      </rPr>
      <t>Rockey Roshan</t>
    </r>
  </si>
  <si>
    <r>
      <t>Mechanical Supervisor</t>
    </r>
    <r>
      <rPr>
        <b/>
        <sz val="14"/>
        <color rgb="FF00B050"/>
        <rFont val="Arial"/>
        <family val="2"/>
      </rPr>
      <t xml:space="preserve"> 
</t>
    </r>
    <r>
      <rPr>
        <b/>
        <sz val="14"/>
        <color rgb="FFFF0000"/>
        <rFont val="Arial"/>
        <family val="2"/>
      </rPr>
      <t>Sadiq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</si>
</sst>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color rgb="FF00B05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B050"/>
      <name val="Arial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2"/>
      <color theme="0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Arial"/>
      <family val="2"/>
    </font>
    <font>
      <sz val="14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3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9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14" fontId="12" fillId="0" borderId="8" xfId="0" applyNumberFormat="1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3" fillId="0" borderId="0" xfId="0" applyFont="1" applyFill="1"/>
    <xf numFmtId="0" fontId="9" fillId="0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vertical="center"/>
    </xf>
    <xf numFmtId="0" fontId="20" fillId="5" borderId="13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8" xfId="2" applyFont="1" applyFill="1" applyBorder="1" applyAlignment="1">
      <alignment horizontal="left" vertical="center"/>
    </xf>
    <xf numFmtId="0" fontId="8" fillId="0" borderId="8" xfId="2" applyFont="1" applyFill="1" applyBorder="1" applyAlignment="1">
      <alignment horizontal="center" vertical="center"/>
    </xf>
    <xf numFmtId="0" fontId="12" fillId="0" borderId="8" xfId="2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/>
    </xf>
    <xf numFmtId="0" fontId="14" fillId="4" borderId="8" xfId="2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2" fillId="3" borderId="8" xfId="0" applyFont="1" applyFill="1" applyBorder="1" applyAlignment="1">
      <alignment horizontal="left" vertical="center"/>
    </xf>
    <xf numFmtId="0" fontId="26" fillId="5" borderId="13" xfId="0" applyFont="1" applyFill="1" applyBorder="1" applyAlignment="1">
      <alignment horizontal="right" vertical="center"/>
    </xf>
    <xf numFmtId="0" fontId="12" fillId="0" borderId="8" xfId="0" applyFont="1" applyFill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0" fontId="9" fillId="7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0" xfId="0" applyFont="1"/>
    <xf numFmtId="0" fontId="9" fillId="0" borderId="8" xfId="0" applyFont="1" applyBorder="1" applyAlignment="1">
      <alignment horizontal="left" vertical="center"/>
    </xf>
    <xf numFmtId="0" fontId="8" fillId="0" borderId="8" xfId="2" applyFont="1" applyBorder="1" applyAlignment="1">
      <alignment horizontal="center" vertical="center"/>
    </xf>
    <xf numFmtId="0" fontId="8" fillId="0" borderId="8" xfId="2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3" fillId="0" borderId="0" xfId="0" applyFont="1"/>
    <xf numFmtId="0" fontId="11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12" fillId="0" borderId="8" xfId="2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2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vertical="center"/>
    </xf>
    <xf numFmtId="0" fontId="33" fillId="0" borderId="8" xfId="0" applyFont="1" applyFill="1" applyBorder="1" applyAlignment="1">
      <alignment horizontal="center" vertical="center" wrapText="1"/>
    </xf>
    <xf numFmtId="0" fontId="12" fillId="3" borderId="8" xfId="2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8" fillId="7" borderId="8" xfId="2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12" fillId="7" borderId="8" xfId="2" applyFont="1" applyFill="1" applyBorder="1" applyAlignment="1">
      <alignment horizontal="left" vertical="center"/>
    </xf>
    <xf numFmtId="0" fontId="17" fillId="0" borderId="0" xfId="0" applyFont="1"/>
    <xf numFmtId="0" fontId="29" fillId="0" borderId="0" xfId="0" applyFont="1"/>
    <xf numFmtId="0" fontId="18" fillId="0" borderId="8" xfId="2" applyFont="1" applyBorder="1" applyAlignment="1">
      <alignment horizontal="left" vertical="center"/>
    </xf>
    <xf numFmtId="0" fontId="25" fillId="0" borderId="8" xfId="0" applyFont="1" applyBorder="1" applyAlignment="1">
      <alignment vertical="center" wrapText="1"/>
    </xf>
    <xf numFmtId="0" fontId="11" fillId="0" borderId="8" xfId="2" applyFont="1" applyBorder="1" applyAlignment="1">
      <alignment horizontal="left" vertical="center"/>
    </xf>
    <xf numFmtId="0" fontId="11" fillId="0" borderId="8" xfId="2" applyFont="1" applyBorder="1" applyAlignment="1">
      <alignment horizontal="center" vertical="center"/>
    </xf>
    <xf numFmtId="0" fontId="14" fillId="4" borderId="8" xfId="2" applyFont="1" applyFill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7" fillId="0" borderId="28" xfId="0" applyFont="1" applyBorder="1" applyAlignment="1">
      <alignment horizontal="center" vertical="center" wrapText="1"/>
    </xf>
    <xf numFmtId="0" fontId="17" fillId="0" borderId="8" xfId="0" applyFont="1" applyFill="1" applyBorder="1" applyAlignment="1">
      <alignment vertical="center" wrapText="1"/>
    </xf>
    <xf numFmtId="0" fontId="38" fillId="0" borderId="8" xfId="0" applyFont="1" applyFill="1" applyBorder="1" applyAlignment="1">
      <alignment horizontal="left" vertical="center"/>
    </xf>
    <xf numFmtId="0" fontId="18" fillId="0" borderId="8" xfId="2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vertical="center" wrapText="1"/>
    </xf>
    <xf numFmtId="0" fontId="11" fillId="0" borderId="8" xfId="2" applyFont="1" applyFill="1" applyBorder="1" applyAlignment="1">
      <alignment horizontal="center" vertical="center"/>
    </xf>
    <xf numFmtId="0" fontId="8" fillId="7" borderId="8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35" fillId="0" borderId="8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21" fillId="5" borderId="13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/>
    <xf numFmtId="0" fontId="18" fillId="0" borderId="8" xfId="2" applyFont="1" applyFill="1" applyBorder="1" applyAlignment="1">
      <alignment horizontal="left" vertical="center"/>
    </xf>
    <xf numFmtId="0" fontId="18" fillId="3" borderId="8" xfId="2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/>
    </xf>
    <xf numFmtId="0" fontId="12" fillId="0" borderId="8" xfId="2" applyFont="1" applyFill="1" applyBorder="1" applyAlignment="1">
      <alignment horizontal="left" vertical="center"/>
    </xf>
    <xf numFmtId="0" fontId="29" fillId="0" borderId="8" xfId="0" applyFont="1" applyFill="1" applyBorder="1" applyAlignment="1">
      <alignment horizontal="center"/>
    </xf>
    <xf numFmtId="0" fontId="37" fillId="0" borderId="29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17" fillId="0" borderId="8" xfId="0" applyFont="1" applyFill="1" applyBorder="1" applyAlignment="1">
      <alignment vertical="center"/>
    </xf>
    <xf numFmtId="0" fontId="29" fillId="0" borderId="9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/>
    </xf>
    <xf numFmtId="0" fontId="17" fillId="0" borderId="8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14" fontId="14" fillId="4" borderId="8" xfId="0" applyNumberFormat="1" applyFont="1" applyFill="1" applyBorder="1" applyAlignment="1">
      <alignment horizontal="left" vertical="center"/>
    </xf>
    <xf numFmtId="0" fontId="3" fillId="0" borderId="9" xfId="0" applyFont="1" applyFill="1" applyBorder="1"/>
    <xf numFmtId="0" fontId="39" fillId="4" borderId="8" xfId="0" applyFont="1" applyFill="1" applyBorder="1" applyAlignment="1">
      <alignment horizontal="center" vertical="center" wrapText="1"/>
    </xf>
    <xf numFmtId="0" fontId="8" fillId="0" borderId="8" xfId="2" applyFont="1" applyFill="1" applyBorder="1" applyAlignment="1">
      <alignment horizontal="center" vertical="center" wrapText="1"/>
    </xf>
    <xf numFmtId="0" fontId="32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29" fillId="7" borderId="8" xfId="0" applyFont="1" applyFill="1" applyBorder="1"/>
    <xf numFmtId="9" fontId="3" fillId="0" borderId="0" xfId="1" applyFont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9" xfId="0" applyFont="1" applyBorder="1"/>
    <xf numFmtId="0" fontId="9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15" fontId="27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2" fillId="7" borderId="9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/>
    </xf>
    <xf numFmtId="15" fontId="28" fillId="3" borderId="9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29" fillId="7" borderId="9" xfId="0" applyFont="1" applyFill="1" applyBorder="1"/>
    <xf numFmtId="0" fontId="29" fillId="0" borderId="9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15" fontId="11" fillId="3" borderId="9" xfId="0" applyNumberFormat="1" applyFont="1" applyFill="1" applyBorder="1" applyAlignment="1">
      <alignment horizontal="center" vertical="center"/>
    </xf>
    <xf numFmtId="15" fontId="12" fillId="0" borderId="9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left" vertical="center"/>
    </xf>
    <xf numFmtId="0" fontId="24" fillId="0" borderId="9" xfId="0" applyFont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/>
    </xf>
    <xf numFmtId="0" fontId="2" fillId="7" borderId="8" xfId="0" applyFont="1" applyFill="1" applyBorder="1"/>
    <xf numFmtId="0" fontId="17" fillId="7" borderId="8" xfId="0" applyFont="1" applyFill="1" applyBorder="1"/>
    <xf numFmtId="0" fontId="17" fillId="7" borderId="8" xfId="0" applyFont="1" applyFill="1" applyBorder="1" applyAlignment="1">
      <alignment horizontal="center"/>
    </xf>
    <xf numFmtId="0" fontId="17" fillId="7" borderId="9" xfId="0" applyFont="1" applyFill="1" applyBorder="1"/>
    <xf numFmtId="0" fontId="27" fillId="0" borderId="8" xfId="2" applyFont="1" applyFill="1" applyBorder="1" applyAlignment="1">
      <alignment horizontal="left" vertical="center"/>
    </xf>
    <xf numFmtId="0" fontId="30" fillId="0" borderId="9" xfId="0" applyFont="1" applyFill="1" applyBorder="1" applyAlignment="1">
      <alignment horizontal="center" vertical="center" wrapText="1"/>
    </xf>
    <xf numFmtId="0" fontId="2" fillId="7" borderId="9" xfId="0" applyFont="1" applyFill="1" applyBorder="1"/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left" vertical="center"/>
    </xf>
    <xf numFmtId="0" fontId="8" fillId="2" borderId="8" xfId="2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left" vertical="center"/>
    </xf>
    <xf numFmtId="0" fontId="27" fillId="0" borderId="8" xfId="2" applyFont="1" applyBorder="1" applyAlignment="1">
      <alignment horizontal="left" vertical="center"/>
    </xf>
    <xf numFmtId="0" fontId="6" fillId="5" borderId="13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6" fillId="5" borderId="13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5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vertical="center"/>
    </xf>
    <xf numFmtId="0" fontId="41" fillId="0" borderId="0" xfId="0" applyFont="1" applyAlignment="1">
      <alignment vertical="center" wrapText="1"/>
    </xf>
    <xf numFmtId="0" fontId="42" fillId="0" borderId="37" xfId="0" applyFont="1" applyBorder="1" applyAlignment="1">
      <alignment vertical="center" wrapText="1"/>
    </xf>
    <xf numFmtId="0" fontId="42" fillId="0" borderId="38" xfId="0" applyFont="1" applyBorder="1" applyAlignment="1">
      <alignment vertical="center" wrapText="1"/>
    </xf>
    <xf numFmtId="0" fontId="42" fillId="0" borderId="39" xfId="0" applyFont="1" applyBorder="1" applyAlignment="1">
      <alignment vertical="center" wrapText="1"/>
    </xf>
    <xf numFmtId="0" fontId="42" fillId="0" borderId="0" xfId="0" applyFont="1" applyAlignment="1">
      <alignment vertical="center" wrapText="1"/>
    </xf>
    <xf numFmtId="0" fontId="42" fillId="0" borderId="40" xfId="0" applyFont="1" applyBorder="1" applyAlignment="1">
      <alignment vertical="center" wrapText="1"/>
    </xf>
    <xf numFmtId="0" fontId="42" fillId="0" borderId="27" xfId="0" applyFont="1" applyBorder="1" applyAlignment="1">
      <alignment vertical="center" wrapText="1"/>
    </xf>
    <xf numFmtId="0" fontId="42" fillId="0" borderId="41" xfId="0" applyFont="1" applyBorder="1" applyAlignment="1">
      <alignment vertical="center" wrapText="1"/>
    </xf>
    <xf numFmtId="0" fontId="42" fillId="0" borderId="26" xfId="0" applyFont="1" applyBorder="1" applyAlignment="1">
      <alignment vertical="center" wrapText="1"/>
    </xf>
    <xf numFmtId="0" fontId="42" fillId="0" borderId="42" xfId="0" applyFont="1" applyBorder="1" applyAlignment="1">
      <alignment vertical="center" wrapText="1"/>
    </xf>
    <xf numFmtId="0" fontId="42" fillId="0" borderId="33" xfId="0" applyFont="1" applyBorder="1" applyAlignment="1">
      <alignment vertical="center" wrapText="1"/>
    </xf>
    <xf numFmtId="0" fontId="42" fillId="0" borderId="46" xfId="0" applyFont="1" applyBorder="1" applyAlignment="1">
      <alignment vertical="center" wrapText="1"/>
    </xf>
    <xf numFmtId="15" fontId="42" fillId="0" borderId="0" xfId="0" applyNumberFormat="1" applyFont="1" applyAlignment="1">
      <alignment vertical="center" wrapText="1"/>
    </xf>
    <xf numFmtId="4" fontId="42" fillId="0" borderId="0" xfId="0" applyNumberFormat="1" applyFont="1" applyAlignment="1">
      <alignment vertical="center" wrapText="1"/>
    </xf>
    <xf numFmtId="0" fontId="41" fillId="0" borderId="40" xfId="0" applyFont="1" applyBorder="1" applyAlignment="1">
      <alignment vertical="center" wrapText="1"/>
    </xf>
    <xf numFmtId="0" fontId="41" fillId="0" borderId="33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top" wrapText="1"/>
    </xf>
    <xf numFmtId="0" fontId="41" fillId="0" borderId="0" xfId="0" applyFont="1" applyBorder="1" applyAlignment="1">
      <alignment vertical="center" wrapText="1"/>
    </xf>
    <xf numFmtId="0" fontId="41" fillId="0" borderId="46" xfId="0" applyFont="1" applyBorder="1" applyAlignment="1">
      <alignment vertical="center" wrapText="1"/>
    </xf>
    <xf numFmtId="0" fontId="41" fillId="0" borderId="42" xfId="0" applyFont="1" applyBorder="1" applyAlignment="1">
      <alignment vertical="center" wrapText="1"/>
    </xf>
    <xf numFmtId="0" fontId="41" fillId="0" borderId="0" xfId="0" applyFont="1" applyFill="1" applyAlignment="1">
      <alignment vertical="center" wrapText="1"/>
    </xf>
    <xf numFmtId="0" fontId="4" fillId="0" borderId="56" xfId="0" applyFont="1" applyBorder="1" applyAlignment="1">
      <alignment horizontal="center" vertical="top" wrapText="1"/>
    </xf>
    <xf numFmtId="0" fontId="41" fillId="0" borderId="56" xfId="0" applyFont="1" applyBorder="1" applyAlignment="1">
      <alignment vertical="center" wrapText="1"/>
    </xf>
    <xf numFmtId="0" fontId="41" fillId="0" borderId="0" xfId="0" applyFont="1" applyFill="1" applyBorder="1" applyAlignment="1">
      <alignment horizontal="center" vertical="center" wrapText="1"/>
    </xf>
    <xf numFmtId="0" fontId="41" fillId="0" borderId="16" xfId="0" applyFont="1" applyBorder="1" applyAlignment="1">
      <alignment vertical="center" wrapText="1"/>
    </xf>
    <xf numFmtId="0" fontId="41" fillId="0" borderId="35" xfId="0" applyFont="1" applyBorder="1" applyAlignment="1">
      <alignment vertical="center" wrapText="1"/>
    </xf>
    <xf numFmtId="0" fontId="41" fillId="0" borderId="21" xfId="0" applyFont="1" applyBorder="1" applyAlignment="1">
      <alignment vertical="center" wrapText="1"/>
    </xf>
    <xf numFmtId="0" fontId="41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top" wrapText="1"/>
    </xf>
    <xf numFmtId="0" fontId="41" fillId="0" borderId="23" xfId="0" applyFont="1" applyBorder="1" applyAlignment="1">
      <alignment vertical="center" wrapText="1"/>
    </xf>
    <xf numFmtId="0" fontId="4" fillId="0" borderId="57" xfId="0" applyFont="1" applyBorder="1" applyAlignment="1">
      <alignment horizontal="center" vertical="top" wrapText="1"/>
    </xf>
    <xf numFmtId="0" fontId="41" fillId="0" borderId="0" xfId="0" applyFont="1" applyFill="1" applyBorder="1" applyAlignment="1">
      <alignment vertical="center" wrapText="1"/>
    </xf>
    <xf numFmtId="0" fontId="41" fillId="0" borderId="60" xfId="0" applyFont="1" applyBorder="1" applyAlignment="1">
      <alignment vertical="center" wrapText="1"/>
    </xf>
    <xf numFmtId="0" fontId="41" fillId="0" borderId="54" xfId="0" applyFont="1" applyBorder="1" applyAlignment="1">
      <alignment vertical="center" wrapText="1"/>
    </xf>
    <xf numFmtId="0" fontId="41" fillId="0" borderId="47" xfId="0" applyFont="1" applyBorder="1" applyAlignment="1">
      <alignment vertical="center" wrapText="1"/>
    </xf>
    <xf numFmtId="0" fontId="41" fillId="0" borderId="63" xfId="0" applyFont="1" applyBorder="1" applyAlignment="1">
      <alignment vertical="center" wrapText="1"/>
    </xf>
    <xf numFmtId="0" fontId="41" fillId="0" borderId="36" xfId="0" applyFont="1" applyBorder="1" applyAlignment="1">
      <alignment vertical="center" wrapText="1"/>
    </xf>
    <xf numFmtId="15" fontId="41" fillId="0" borderId="0" xfId="0" applyNumberFormat="1" applyFont="1" applyAlignment="1">
      <alignment vertical="center" wrapText="1"/>
    </xf>
    <xf numFmtId="4" fontId="41" fillId="0" borderId="0" xfId="0" applyNumberFormat="1" applyFont="1" applyAlignment="1">
      <alignment vertical="center" wrapText="1"/>
    </xf>
    <xf numFmtId="0" fontId="41" fillId="0" borderId="27" xfId="0" applyFont="1" applyBorder="1" applyAlignment="1">
      <alignment vertical="center" wrapText="1"/>
    </xf>
    <xf numFmtId="0" fontId="41" fillId="0" borderId="41" xfId="0" applyFont="1" applyBorder="1" applyAlignment="1">
      <alignment vertical="center" wrapText="1"/>
    </xf>
    <xf numFmtId="0" fontId="41" fillId="0" borderId="64" xfId="0" applyFont="1" applyBorder="1" applyAlignment="1">
      <alignment vertical="center" wrapText="1"/>
    </xf>
    <xf numFmtId="0" fontId="41" fillId="0" borderId="25" xfId="0" applyFont="1" applyBorder="1" applyAlignment="1">
      <alignment vertical="center" wrapText="1"/>
    </xf>
    <xf numFmtId="0" fontId="41" fillId="0" borderId="6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1" fillId="0" borderId="66" xfId="0" applyFont="1" applyBorder="1" applyAlignment="1">
      <alignment vertical="center" wrapText="1"/>
    </xf>
    <xf numFmtId="0" fontId="41" fillId="0" borderId="67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56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41" fillId="0" borderId="68" xfId="0" applyFont="1" applyBorder="1" applyAlignment="1">
      <alignment vertical="center" wrapText="1"/>
    </xf>
    <xf numFmtId="0" fontId="41" fillId="0" borderId="69" xfId="0" applyFont="1" applyBorder="1" applyAlignment="1">
      <alignment vertical="center" wrapText="1"/>
    </xf>
    <xf numFmtId="0" fontId="41" fillId="0" borderId="24" xfId="0" applyFont="1" applyBorder="1" applyAlignment="1">
      <alignment vertical="center" wrapText="1"/>
    </xf>
    <xf numFmtId="0" fontId="41" fillId="0" borderId="34" xfId="0" applyFont="1" applyBorder="1" applyAlignment="1">
      <alignment vertical="center" wrapText="1"/>
    </xf>
    <xf numFmtId="0" fontId="41" fillId="0" borderId="70" xfId="0" applyFont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41" fillId="0" borderId="79" xfId="0" applyFont="1" applyBorder="1" applyAlignment="1">
      <alignment vertical="center" wrapText="1"/>
    </xf>
    <xf numFmtId="0" fontId="41" fillId="0" borderId="80" xfId="0" applyFont="1" applyBorder="1" applyAlignment="1">
      <alignment vertical="center" wrapText="1"/>
    </xf>
    <xf numFmtId="0" fontId="41" fillId="0" borderId="8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48" fillId="12" borderId="71" xfId="0" applyFont="1" applyFill="1" applyBorder="1" applyAlignment="1">
      <alignment horizontal="center" vertical="center" wrapText="1"/>
    </xf>
    <xf numFmtId="0" fontId="48" fillId="12" borderId="72" xfId="0" applyFont="1" applyFill="1" applyBorder="1" applyAlignment="1">
      <alignment horizontal="center" vertical="center" wrapText="1"/>
    </xf>
    <xf numFmtId="0" fontId="48" fillId="12" borderId="73" xfId="0" applyFont="1" applyFill="1" applyBorder="1" applyAlignment="1">
      <alignment horizontal="center" vertical="center" wrapText="1"/>
    </xf>
    <xf numFmtId="0" fontId="48" fillId="12" borderId="74" xfId="0" applyFont="1" applyFill="1" applyBorder="1" applyAlignment="1">
      <alignment horizontal="center" vertical="center" wrapText="1"/>
    </xf>
    <xf numFmtId="0" fontId="48" fillId="12" borderId="0" xfId="0" applyFont="1" applyFill="1" applyBorder="1" applyAlignment="1">
      <alignment horizontal="center" vertical="center" wrapText="1"/>
    </xf>
    <xf numFmtId="0" fontId="48" fillId="12" borderId="75" xfId="0" applyFont="1" applyFill="1" applyBorder="1" applyAlignment="1">
      <alignment horizontal="center" vertical="center" wrapText="1"/>
    </xf>
    <xf numFmtId="0" fontId="48" fillId="12" borderId="76" xfId="0" applyFont="1" applyFill="1" applyBorder="1" applyAlignment="1">
      <alignment horizontal="center" vertical="center" wrapText="1"/>
    </xf>
    <xf numFmtId="0" fontId="48" fillId="12" borderId="77" xfId="0" applyFont="1" applyFill="1" applyBorder="1" applyAlignment="1">
      <alignment horizontal="center" vertical="center" wrapText="1"/>
    </xf>
    <xf numFmtId="0" fontId="48" fillId="12" borderId="78" xfId="0" applyFont="1" applyFill="1" applyBorder="1" applyAlignment="1">
      <alignment horizontal="center" vertical="center" wrapText="1"/>
    </xf>
    <xf numFmtId="1" fontId="49" fillId="13" borderId="71" xfId="0" applyNumberFormat="1" applyFont="1" applyFill="1" applyBorder="1" applyAlignment="1">
      <alignment horizontal="center" vertical="center" wrapText="1"/>
    </xf>
    <xf numFmtId="1" fontId="49" fillId="13" borderId="72" xfId="0" applyNumberFormat="1" applyFont="1" applyFill="1" applyBorder="1" applyAlignment="1">
      <alignment horizontal="center" vertical="center" wrapText="1"/>
    </xf>
    <xf numFmtId="1" fontId="49" fillId="13" borderId="73" xfId="0" applyNumberFormat="1" applyFont="1" applyFill="1" applyBorder="1" applyAlignment="1">
      <alignment horizontal="center" vertical="center" wrapText="1"/>
    </xf>
    <xf numFmtId="1" fontId="49" fillId="13" borderId="74" xfId="0" applyNumberFormat="1" applyFont="1" applyFill="1" applyBorder="1" applyAlignment="1">
      <alignment horizontal="center" vertical="center" wrapText="1"/>
    </xf>
    <xf numFmtId="1" fontId="49" fillId="13" borderId="0" xfId="0" applyNumberFormat="1" applyFont="1" applyFill="1" applyBorder="1" applyAlignment="1">
      <alignment horizontal="center" vertical="center" wrapText="1"/>
    </xf>
    <xf numFmtId="1" fontId="49" fillId="13" borderId="75" xfId="0" applyNumberFormat="1" applyFont="1" applyFill="1" applyBorder="1" applyAlignment="1">
      <alignment horizontal="center" vertical="center" wrapText="1"/>
    </xf>
    <xf numFmtId="1" fontId="49" fillId="13" borderId="76" xfId="0" applyNumberFormat="1" applyFont="1" applyFill="1" applyBorder="1" applyAlignment="1">
      <alignment horizontal="center" vertical="center" wrapText="1"/>
    </xf>
    <xf numFmtId="1" fontId="49" fillId="13" borderId="77" xfId="0" applyNumberFormat="1" applyFont="1" applyFill="1" applyBorder="1" applyAlignment="1">
      <alignment horizontal="center" vertical="center" wrapText="1"/>
    </xf>
    <xf numFmtId="1" fontId="49" fillId="13" borderId="78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0" fontId="41" fillId="0" borderId="27" xfId="0" applyFont="1" applyFill="1" applyBorder="1" applyAlignment="1">
      <alignment horizontal="center" vertical="center" wrapText="1"/>
    </xf>
    <xf numFmtId="0" fontId="41" fillId="0" borderId="41" xfId="0" applyFont="1" applyFill="1" applyBorder="1" applyAlignment="1">
      <alignment horizontal="center" vertical="center" wrapText="1"/>
    </xf>
    <xf numFmtId="0" fontId="41" fillId="0" borderId="26" xfId="0" applyFont="1" applyFill="1" applyBorder="1" applyAlignment="1">
      <alignment horizontal="center" vertical="center" wrapText="1"/>
    </xf>
    <xf numFmtId="0" fontId="41" fillId="0" borderId="33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center" wrapText="1"/>
    </xf>
    <xf numFmtId="0" fontId="41" fillId="0" borderId="46" xfId="0" applyFont="1" applyFill="1" applyBorder="1" applyAlignment="1">
      <alignment horizontal="center" vertical="center" wrapText="1"/>
    </xf>
    <xf numFmtId="0" fontId="41" fillId="0" borderId="25" xfId="0" applyFont="1" applyFill="1" applyBorder="1" applyAlignment="1">
      <alignment horizontal="center" vertical="center" wrapText="1"/>
    </xf>
    <xf numFmtId="0" fontId="41" fillId="0" borderId="54" xfId="0" applyFont="1" applyFill="1" applyBorder="1" applyAlignment="1">
      <alignment horizontal="center" vertical="center" wrapText="1"/>
    </xf>
    <xf numFmtId="0" fontId="41" fillId="0" borderId="11" xfId="0" applyFont="1" applyFill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1" fillId="0" borderId="46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54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41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 wrapText="1"/>
    </xf>
    <xf numFmtId="0" fontId="4" fillId="10" borderId="54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1" fillId="9" borderId="27" xfId="0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 wrapText="1"/>
    </xf>
    <xf numFmtId="0" fontId="41" fillId="9" borderId="26" xfId="0" applyFont="1" applyFill="1" applyBorder="1" applyAlignment="1">
      <alignment horizontal="center" vertical="center" wrapText="1"/>
    </xf>
    <xf numFmtId="0" fontId="41" fillId="9" borderId="33" xfId="0" applyFont="1" applyFill="1" applyBorder="1" applyAlignment="1">
      <alignment horizontal="center" vertical="center" wrapText="1"/>
    </xf>
    <xf numFmtId="0" fontId="41" fillId="9" borderId="0" xfId="0" applyFont="1" applyFill="1" applyBorder="1" applyAlignment="1">
      <alignment horizontal="center" vertical="center" wrapText="1"/>
    </xf>
    <xf numFmtId="0" fontId="41" fillId="9" borderId="46" xfId="0" applyFont="1" applyFill="1" applyBorder="1" applyAlignment="1">
      <alignment horizontal="center" vertical="center" wrapText="1"/>
    </xf>
    <xf numFmtId="0" fontId="41" fillId="9" borderId="25" xfId="0" applyFont="1" applyFill="1" applyBorder="1" applyAlignment="1">
      <alignment horizontal="center" vertical="center" wrapText="1"/>
    </xf>
    <xf numFmtId="0" fontId="41" fillId="9" borderId="54" xfId="0" applyFont="1" applyFill="1" applyBorder="1" applyAlignment="1">
      <alignment horizontal="center" vertical="center" wrapText="1"/>
    </xf>
    <xf numFmtId="0" fontId="41" fillId="9" borderId="11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0" borderId="46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32" fillId="0" borderId="27" xfId="0" applyFont="1" applyFill="1" applyBorder="1" applyAlignment="1">
      <alignment horizontal="center" vertical="center" wrapText="1"/>
    </xf>
    <xf numFmtId="0" fontId="32" fillId="0" borderId="41" xfId="0" applyFont="1" applyFill="1" applyBorder="1" applyAlignment="1">
      <alignment horizontal="center" vertical="center" wrapText="1"/>
    </xf>
    <xf numFmtId="0" fontId="32" fillId="0" borderId="26" xfId="0" applyFont="1" applyFill="1" applyBorder="1" applyAlignment="1">
      <alignment horizontal="center" vertical="center" wrapText="1"/>
    </xf>
    <xf numFmtId="0" fontId="32" fillId="0" borderId="33" xfId="0" applyFont="1" applyFill="1" applyBorder="1" applyAlignment="1">
      <alignment horizontal="center" vertical="center" wrapText="1"/>
    </xf>
    <xf numFmtId="0" fontId="32" fillId="0" borderId="46" xfId="0" applyFont="1" applyFill="1" applyBorder="1" applyAlignment="1">
      <alignment horizontal="center" vertical="center" wrapText="1"/>
    </xf>
    <xf numFmtId="0" fontId="32" fillId="0" borderId="25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41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33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46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54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1" fillId="10" borderId="27" xfId="0" applyFont="1" applyFill="1" applyBorder="1" applyAlignment="1">
      <alignment horizontal="center" vertical="center" wrapText="1"/>
    </xf>
    <xf numFmtId="0" fontId="41" fillId="10" borderId="41" xfId="0" applyFont="1" applyFill="1" applyBorder="1" applyAlignment="1">
      <alignment horizontal="center" vertical="center" wrapText="1"/>
    </xf>
    <xf numFmtId="0" fontId="41" fillId="10" borderId="26" xfId="0" applyFont="1" applyFill="1" applyBorder="1" applyAlignment="1">
      <alignment horizontal="center" vertical="center" wrapText="1"/>
    </xf>
    <xf numFmtId="0" fontId="41" fillId="10" borderId="33" xfId="0" applyFont="1" applyFill="1" applyBorder="1" applyAlignment="1">
      <alignment horizontal="center" vertical="center" wrapText="1"/>
    </xf>
    <xf numFmtId="0" fontId="41" fillId="10" borderId="0" xfId="0" applyFont="1" applyFill="1" applyBorder="1" applyAlignment="1">
      <alignment horizontal="center" vertical="center" wrapText="1"/>
    </xf>
    <xf numFmtId="0" fontId="41" fillId="10" borderId="46" xfId="0" applyFont="1" applyFill="1" applyBorder="1" applyAlignment="1">
      <alignment horizontal="center" vertical="center" wrapText="1"/>
    </xf>
    <xf numFmtId="0" fontId="41" fillId="10" borderId="25" xfId="0" applyFont="1" applyFill="1" applyBorder="1" applyAlignment="1">
      <alignment horizontal="center" vertical="center" wrapText="1"/>
    </xf>
    <xf numFmtId="0" fontId="41" fillId="10" borderId="54" xfId="0" applyFont="1" applyFill="1" applyBorder="1" applyAlignment="1">
      <alignment horizontal="center" vertical="center" wrapText="1"/>
    </xf>
    <xf numFmtId="0" fontId="41" fillId="10" borderId="11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1" fillId="0" borderId="8" xfId="0" applyFont="1" applyFill="1" applyBorder="1" applyAlignment="1">
      <alignment horizontal="center" vertical="center" wrapText="1"/>
    </xf>
    <xf numFmtId="0" fontId="41" fillId="0" borderId="52" xfId="0" applyFont="1" applyFill="1" applyBorder="1" applyAlignment="1">
      <alignment horizontal="center" vertical="center" wrapText="1"/>
    </xf>
    <xf numFmtId="0" fontId="41" fillId="0" borderId="53" xfId="0" applyFont="1" applyFill="1" applyBorder="1" applyAlignment="1">
      <alignment horizontal="center" vertical="center" wrapText="1"/>
    </xf>
    <xf numFmtId="0" fontId="41" fillId="0" borderId="55" xfId="0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center" vertical="center" wrapText="1"/>
    </xf>
    <xf numFmtId="0" fontId="41" fillId="9" borderId="8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1" fontId="4" fillId="6" borderId="27" xfId="0" applyNumberFormat="1" applyFont="1" applyFill="1" applyBorder="1" applyAlignment="1">
      <alignment horizontal="center" vertical="center" wrapText="1"/>
    </xf>
    <xf numFmtId="1" fontId="4" fillId="6" borderId="41" xfId="0" applyNumberFormat="1" applyFont="1" applyFill="1" applyBorder="1" applyAlignment="1">
      <alignment horizontal="center" vertical="center" wrapText="1"/>
    </xf>
    <xf numFmtId="1" fontId="4" fillId="6" borderId="26" xfId="0" applyNumberFormat="1" applyFont="1" applyFill="1" applyBorder="1" applyAlignment="1">
      <alignment horizontal="center" vertical="center" wrapText="1"/>
    </xf>
    <xf numFmtId="1" fontId="4" fillId="6" borderId="33" xfId="0" applyNumberFormat="1" applyFont="1" applyFill="1" applyBorder="1" applyAlignment="1">
      <alignment horizontal="center" vertical="center" wrapText="1"/>
    </xf>
    <xf numFmtId="1" fontId="4" fillId="6" borderId="0" xfId="0" applyNumberFormat="1" applyFont="1" applyFill="1" applyBorder="1" applyAlignment="1">
      <alignment horizontal="center" vertical="center" wrapText="1"/>
    </xf>
    <xf numFmtId="1" fontId="4" fillId="6" borderId="46" xfId="0" applyNumberFormat="1" applyFont="1" applyFill="1" applyBorder="1" applyAlignment="1">
      <alignment horizontal="center" vertical="center" wrapText="1"/>
    </xf>
    <xf numFmtId="1" fontId="4" fillId="6" borderId="25" xfId="0" applyNumberFormat="1" applyFont="1" applyFill="1" applyBorder="1" applyAlignment="1">
      <alignment horizontal="center" vertical="center" wrapText="1"/>
    </xf>
    <xf numFmtId="1" fontId="4" fillId="6" borderId="54" xfId="0" applyNumberFormat="1" applyFont="1" applyFill="1" applyBorder="1" applyAlignment="1">
      <alignment horizontal="center" vertical="center" wrapText="1"/>
    </xf>
    <xf numFmtId="1" fontId="4" fillId="6" borderId="11" xfId="0" applyNumberFormat="1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3" borderId="27" xfId="0" applyFont="1" applyFill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center" vertical="center" wrapText="1"/>
    </xf>
    <xf numFmtId="0" fontId="41" fillId="3" borderId="26" xfId="0" applyFont="1" applyFill="1" applyBorder="1" applyAlignment="1">
      <alignment horizontal="center" vertical="center" wrapText="1"/>
    </xf>
    <xf numFmtId="0" fontId="41" fillId="3" borderId="33" xfId="0" applyFont="1" applyFill="1" applyBorder="1" applyAlignment="1">
      <alignment horizontal="center" vertical="center" wrapText="1"/>
    </xf>
    <xf numFmtId="0" fontId="41" fillId="3" borderId="0" xfId="0" applyFont="1" applyFill="1" applyBorder="1" applyAlignment="1">
      <alignment horizontal="center" vertical="center" wrapText="1"/>
    </xf>
    <xf numFmtId="0" fontId="41" fillId="3" borderId="46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54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vertical="center" wrapText="1"/>
    </xf>
    <xf numFmtId="0" fontId="4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1" fillId="0" borderId="62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" fontId="4" fillId="8" borderId="8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3" xr:uid="{5ED4A333-BE3F-4444-B6E7-024BCE22E309}"/>
    <cellStyle name="Normal 4" xfId="2" xr:uid="{B4BA3551-00E6-4E26-B624-E7E3D20283F3}"/>
    <cellStyle name="Normal 5" xfId="5" xr:uid="{CB84C820-FE91-424E-A4CC-A92E2B378987}"/>
    <cellStyle name="Normal 7" xfId="4" xr:uid="{E97DBA0B-5EDB-4768-A1BB-522A50A87BC5}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40821</xdr:colOff>
      <xdr:row>4</xdr:row>
      <xdr:rowOff>54430</xdr:rowOff>
    </xdr:from>
    <xdr:to>
      <xdr:col>27</xdr:col>
      <xdr:colOff>38100</xdr:colOff>
      <xdr:row>13</xdr:row>
      <xdr:rowOff>113370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DCE13-8ECD-4177-AA15-64533AB22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21" y="283030"/>
          <a:ext cx="1311729" cy="1087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7826-DB72-4617-AE6B-20F5900FABD4}">
  <dimension ref="A1:O199"/>
  <sheetViews>
    <sheetView topLeftCell="A154" zoomScale="85" zoomScaleNormal="85" workbookViewId="0">
      <selection activeCell="H169" sqref="H169"/>
    </sheetView>
  </sheetViews>
  <sheetFormatPr defaultColWidth="9" defaultRowHeight="15.75" x14ac:dyDescent="0.25"/>
  <cols>
    <col min="1" max="1" width="6.85546875" style="26" bestFit="1" customWidth="1"/>
    <col min="2" max="2" width="11.85546875" style="26" customWidth="1"/>
    <col min="3" max="3" width="68" style="27" bestFit="1" customWidth="1"/>
    <col min="4" max="4" width="16.85546875" style="26" customWidth="1"/>
    <col min="5" max="5" width="20.28515625" style="26" hidden="1" customWidth="1"/>
    <col min="6" max="6" width="39.7109375" style="26" hidden="1" customWidth="1"/>
    <col min="7" max="7" width="47.7109375" style="1" bestFit="1" customWidth="1"/>
    <col min="8" max="8" width="17.7109375" style="26" customWidth="1"/>
    <col min="9" max="9" width="28.85546875" style="26" customWidth="1"/>
    <col min="10" max="10" width="10.140625" style="26" customWidth="1"/>
    <col min="11" max="11" width="19.5703125" style="26" bestFit="1" customWidth="1"/>
    <col min="12" max="12" width="19.5703125" style="26" customWidth="1"/>
    <col min="13" max="13" width="47.7109375" style="26" bestFit="1" customWidth="1"/>
    <col min="14" max="14" width="9" style="1"/>
    <col min="15" max="15" width="13.7109375" style="1" bestFit="1" customWidth="1"/>
    <col min="16" max="16384" width="9" style="1"/>
  </cols>
  <sheetData>
    <row r="1" spans="1:13" ht="16.5" thickBot="1" x14ac:dyDescent="0.3">
      <c r="A1" s="87"/>
      <c r="B1" s="87"/>
      <c r="C1" s="87"/>
      <c r="D1" s="88"/>
      <c r="E1" s="87"/>
      <c r="F1" s="87"/>
      <c r="G1" s="87"/>
      <c r="H1" s="88"/>
      <c r="I1" s="88"/>
      <c r="J1" s="87"/>
      <c r="K1" s="87"/>
      <c r="L1" s="87"/>
      <c r="M1" s="87"/>
    </row>
    <row r="2" spans="1:13" ht="18" x14ac:dyDescent="0.25">
      <c r="A2" s="271" t="s">
        <v>136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3"/>
    </row>
    <row r="3" spans="1:13" s="28" customFormat="1" ht="32.25" thickBot="1" x14ac:dyDescent="0.3">
      <c r="A3" s="51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85" t="s">
        <v>133</v>
      </c>
      <c r="M3" s="52" t="s">
        <v>11</v>
      </c>
    </row>
    <row r="4" spans="1:13" s="2" customFormat="1" x14ac:dyDescent="0.25">
      <c r="A4" s="144" t="s">
        <v>12</v>
      </c>
      <c r="B4" s="147">
        <f>SUM(B5:B19)</f>
        <v>15</v>
      </c>
      <c r="C4" s="145" t="s">
        <v>13</v>
      </c>
      <c r="D4" s="146"/>
      <c r="E4" s="146"/>
      <c r="F4" s="146"/>
      <c r="G4" s="146"/>
      <c r="H4" s="146"/>
      <c r="I4" s="146"/>
      <c r="J4" s="147">
        <f>SUM(J5:J19)</f>
        <v>15</v>
      </c>
      <c r="K4" s="147"/>
      <c r="L4" s="147"/>
      <c r="M4" s="148"/>
    </row>
    <row r="5" spans="1:13" s="60" customFormat="1" x14ac:dyDescent="0.25">
      <c r="A5" s="168">
        <v>1</v>
      </c>
      <c r="B5" s="56">
        <v>1</v>
      </c>
      <c r="C5" s="63" t="s">
        <v>67</v>
      </c>
      <c r="D5" s="62">
        <v>1755699</v>
      </c>
      <c r="E5" s="62">
        <v>1046413298</v>
      </c>
      <c r="F5" s="57">
        <v>8697168</v>
      </c>
      <c r="G5" s="79" t="s">
        <v>137</v>
      </c>
      <c r="H5" s="58" t="s">
        <v>14</v>
      </c>
      <c r="I5" s="59" t="s">
        <v>15</v>
      </c>
      <c r="J5" s="56">
        <v>1</v>
      </c>
      <c r="K5" s="56" t="s">
        <v>16</v>
      </c>
      <c r="L5" s="56" t="s">
        <v>134</v>
      </c>
      <c r="M5" s="150"/>
    </row>
    <row r="6" spans="1:13" x14ac:dyDescent="0.25">
      <c r="A6" s="149">
        <f>A5+1</f>
        <v>2</v>
      </c>
      <c r="B6" s="56">
        <v>1</v>
      </c>
      <c r="C6" s="61" t="s">
        <v>68</v>
      </c>
      <c r="D6" s="62">
        <v>1756126</v>
      </c>
      <c r="E6" s="62">
        <v>2598360739</v>
      </c>
      <c r="F6" s="57">
        <v>7278822</v>
      </c>
      <c r="G6" s="15" t="s">
        <v>138</v>
      </c>
      <c r="H6" s="56" t="s">
        <v>17</v>
      </c>
      <c r="I6" s="56" t="s">
        <v>15</v>
      </c>
      <c r="J6" s="56">
        <v>1</v>
      </c>
      <c r="K6" s="56" t="s">
        <v>16</v>
      </c>
      <c r="L6" s="56" t="s">
        <v>134</v>
      </c>
      <c r="M6" s="150"/>
    </row>
    <row r="7" spans="1:13" s="60" customFormat="1" x14ac:dyDescent="0.25">
      <c r="A7" s="149">
        <f t="shared" ref="A7:A9" si="0">A6+1</f>
        <v>3</v>
      </c>
      <c r="B7" s="56">
        <v>1</v>
      </c>
      <c r="C7" s="63" t="s">
        <v>18</v>
      </c>
      <c r="D7" s="56">
        <v>1756243</v>
      </c>
      <c r="E7" s="62">
        <v>1111146245</v>
      </c>
      <c r="F7" s="57">
        <v>7279586</v>
      </c>
      <c r="G7" s="61" t="s">
        <v>139</v>
      </c>
      <c r="H7" s="58" t="s">
        <v>14</v>
      </c>
      <c r="I7" s="56" t="s">
        <v>15</v>
      </c>
      <c r="J7" s="56">
        <v>1</v>
      </c>
      <c r="K7" s="56" t="s">
        <v>16</v>
      </c>
      <c r="L7" s="56" t="s">
        <v>134</v>
      </c>
      <c r="M7" s="150"/>
    </row>
    <row r="8" spans="1:13" s="60" customFormat="1" x14ac:dyDescent="0.25">
      <c r="A8" s="84">
        <f t="shared" si="0"/>
        <v>4</v>
      </c>
      <c r="B8" s="34">
        <v>1</v>
      </c>
      <c r="C8" s="119" t="s">
        <v>108</v>
      </c>
      <c r="D8" s="32" t="s">
        <v>348</v>
      </c>
      <c r="E8" s="108">
        <v>2603661741</v>
      </c>
      <c r="F8" s="109"/>
      <c r="G8" s="33" t="s">
        <v>339</v>
      </c>
      <c r="H8" s="34" t="s">
        <v>17</v>
      </c>
      <c r="I8" s="34" t="s">
        <v>341</v>
      </c>
      <c r="J8" s="34">
        <v>1</v>
      </c>
      <c r="K8" s="34" t="s">
        <v>16</v>
      </c>
      <c r="L8" s="34" t="s">
        <v>134</v>
      </c>
      <c r="M8" s="39"/>
    </row>
    <row r="9" spans="1:13" s="60" customFormat="1" x14ac:dyDescent="0.25">
      <c r="A9" s="12">
        <f t="shared" si="0"/>
        <v>5</v>
      </c>
      <c r="B9" s="56">
        <v>1</v>
      </c>
      <c r="C9" s="63" t="s">
        <v>69</v>
      </c>
      <c r="D9" s="56">
        <v>1756274</v>
      </c>
      <c r="E9" s="62">
        <v>2605358106</v>
      </c>
      <c r="F9" s="57">
        <v>7291799</v>
      </c>
      <c r="G9" s="61" t="s">
        <v>140</v>
      </c>
      <c r="H9" s="56" t="s">
        <v>17</v>
      </c>
      <c r="I9" s="59" t="s">
        <v>15</v>
      </c>
      <c r="J9" s="56">
        <v>1</v>
      </c>
      <c r="K9" s="56" t="s">
        <v>16</v>
      </c>
      <c r="L9" s="56" t="s">
        <v>134</v>
      </c>
      <c r="M9" s="151"/>
    </row>
    <row r="10" spans="1:13" s="60" customFormat="1" x14ac:dyDescent="0.25">
      <c r="A10" s="149">
        <f t="shared" ref="A10:A19" si="1">A9+1</f>
        <v>6</v>
      </c>
      <c r="B10" s="56">
        <v>1</v>
      </c>
      <c r="C10" s="63" t="s">
        <v>141</v>
      </c>
      <c r="D10" s="62">
        <v>1756026</v>
      </c>
      <c r="E10" s="62">
        <v>2593672039</v>
      </c>
      <c r="F10" s="57">
        <v>8755423</v>
      </c>
      <c r="G10" s="64" t="s">
        <v>142</v>
      </c>
      <c r="H10" s="56" t="s">
        <v>17</v>
      </c>
      <c r="I10" s="59" t="s">
        <v>15</v>
      </c>
      <c r="J10" s="56">
        <v>1</v>
      </c>
      <c r="K10" s="56" t="s">
        <v>16</v>
      </c>
      <c r="L10" s="56" t="s">
        <v>135</v>
      </c>
      <c r="M10" s="151"/>
    </row>
    <row r="11" spans="1:13" s="60" customFormat="1" x14ac:dyDescent="0.25">
      <c r="A11" s="149">
        <f t="shared" si="1"/>
        <v>7</v>
      </c>
      <c r="B11" s="56">
        <v>1</v>
      </c>
      <c r="C11" s="63" t="s">
        <v>19</v>
      </c>
      <c r="D11" s="62">
        <v>1755841</v>
      </c>
      <c r="E11" s="62">
        <v>1084986205</v>
      </c>
      <c r="F11" s="57">
        <v>8701080</v>
      </c>
      <c r="G11" s="61" t="s">
        <v>143</v>
      </c>
      <c r="H11" s="58" t="s">
        <v>14</v>
      </c>
      <c r="I11" s="59" t="s">
        <v>15</v>
      </c>
      <c r="J11" s="56">
        <v>1</v>
      </c>
      <c r="K11" s="56" t="s">
        <v>16</v>
      </c>
      <c r="L11" s="56" t="s">
        <v>134</v>
      </c>
      <c r="M11" s="150"/>
    </row>
    <row r="12" spans="1:13" s="60" customFormat="1" x14ac:dyDescent="0.25">
      <c r="A12" s="149">
        <f t="shared" si="1"/>
        <v>8</v>
      </c>
      <c r="B12" s="56">
        <v>1</v>
      </c>
      <c r="C12" s="63" t="s">
        <v>77</v>
      </c>
      <c r="D12" s="62">
        <v>1755796</v>
      </c>
      <c r="E12" s="62">
        <v>2575630724</v>
      </c>
      <c r="F12" s="57">
        <v>8700272</v>
      </c>
      <c r="G12" s="61" t="s">
        <v>144</v>
      </c>
      <c r="H12" s="56" t="s">
        <v>17</v>
      </c>
      <c r="I12" s="56" t="s">
        <v>15</v>
      </c>
      <c r="J12" s="56">
        <v>1</v>
      </c>
      <c r="K12" s="56" t="s">
        <v>16</v>
      </c>
      <c r="L12" s="56" t="s">
        <v>134</v>
      </c>
      <c r="M12" s="150"/>
    </row>
    <row r="13" spans="1:13" s="66" customFormat="1" x14ac:dyDescent="0.25">
      <c r="A13" s="149">
        <f t="shared" si="1"/>
        <v>9</v>
      </c>
      <c r="B13" s="56">
        <v>1</v>
      </c>
      <c r="C13" s="42" t="s">
        <v>145</v>
      </c>
      <c r="D13" s="3">
        <v>1755609</v>
      </c>
      <c r="E13" s="3">
        <v>2566403214</v>
      </c>
      <c r="F13" s="3">
        <v>8706544</v>
      </c>
      <c r="G13" s="86" t="s">
        <v>109</v>
      </c>
      <c r="H13" s="3" t="s">
        <v>17</v>
      </c>
      <c r="I13" s="3" t="s">
        <v>15</v>
      </c>
      <c r="J13" s="3">
        <v>1</v>
      </c>
      <c r="K13" s="3" t="s">
        <v>16</v>
      </c>
      <c r="L13" s="3" t="s">
        <v>134</v>
      </c>
      <c r="M13" s="39"/>
    </row>
    <row r="14" spans="1:13" s="60" customFormat="1" x14ac:dyDescent="0.25">
      <c r="A14" s="149">
        <f t="shared" si="1"/>
        <v>10</v>
      </c>
      <c r="B14" s="56">
        <v>1</v>
      </c>
      <c r="C14" s="42" t="s">
        <v>20</v>
      </c>
      <c r="D14" s="62">
        <v>1755845</v>
      </c>
      <c r="E14" s="62">
        <v>2577685080</v>
      </c>
      <c r="F14" s="57">
        <v>8701662</v>
      </c>
      <c r="G14" s="43" t="s">
        <v>146</v>
      </c>
      <c r="H14" s="56" t="s">
        <v>17</v>
      </c>
      <c r="I14" s="59" t="s">
        <v>15</v>
      </c>
      <c r="J14" s="56">
        <v>1</v>
      </c>
      <c r="K14" s="56" t="s">
        <v>16</v>
      </c>
      <c r="L14" s="56" t="s">
        <v>134</v>
      </c>
      <c r="M14" s="150"/>
    </row>
    <row r="15" spans="1:13" s="60" customFormat="1" x14ac:dyDescent="0.25">
      <c r="A15" s="149">
        <f t="shared" si="1"/>
        <v>11</v>
      </c>
      <c r="B15" s="56">
        <v>1</v>
      </c>
      <c r="C15" s="63" t="s">
        <v>75</v>
      </c>
      <c r="D15" s="56">
        <v>1755800</v>
      </c>
      <c r="E15" s="62">
        <v>2575631136</v>
      </c>
      <c r="F15" s="57">
        <v>8714159</v>
      </c>
      <c r="G15" s="67" t="s">
        <v>147</v>
      </c>
      <c r="H15" s="56" t="s">
        <v>17</v>
      </c>
      <c r="I15" s="56" t="s">
        <v>15</v>
      </c>
      <c r="J15" s="56">
        <v>1</v>
      </c>
      <c r="K15" s="56" t="s">
        <v>16</v>
      </c>
      <c r="L15" s="56" t="s">
        <v>134</v>
      </c>
      <c r="M15" s="91"/>
    </row>
    <row r="16" spans="1:13" s="60" customFormat="1" x14ac:dyDescent="0.25">
      <c r="A16" s="149">
        <f t="shared" si="1"/>
        <v>12</v>
      </c>
      <c r="B16" s="56">
        <v>1</v>
      </c>
      <c r="C16" s="68" t="s">
        <v>110</v>
      </c>
      <c r="D16" s="69">
        <v>1756144</v>
      </c>
      <c r="E16" s="62">
        <v>2598988018</v>
      </c>
      <c r="F16" s="57">
        <v>7271463</v>
      </c>
      <c r="G16" s="68" t="s">
        <v>148</v>
      </c>
      <c r="H16" s="69" t="s">
        <v>17</v>
      </c>
      <c r="I16" s="69" t="s">
        <v>15</v>
      </c>
      <c r="J16" s="56">
        <v>1</v>
      </c>
      <c r="K16" s="56" t="s">
        <v>16</v>
      </c>
      <c r="L16" s="56" t="s">
        <v>134</v>
      </c>
      <c r="M16" s="152"/>
    </row>
    <row r="17" spans="1:15" s="60" customFormat="1" x14ac:dyDescent="0.25">
      <c r="A17" s="149">
        <f t="shared" si="1"/>
        <v>13</v>
      </c>
      <c r="B17" s="124">
        <v>1</v>
      </c>
      <c r="C17" s="123" t="s">
        <v>149</v>
      </c>
      <c r="D17" s="7">
        <v>1754209</v>
      </c>
      <c r="E17" s="38">
        <v>2476439936</v>
      </c>
      <c r="F17" s="82">
        <v>7306996</v>
      </c>
      <c r="G17" s="8" t="s">
        <v>150</v>
      </c>
      <c r="H17" s="7" t="s">
        <v>66</v>
      </c>
      <c r="I17" s="7" t="s">
        <v>15</v>
      </c>
      <c r="J17" s="7">
        <v>1</v>
      </c>
      <c r="K17" s="7" t="s">
        <v>16</v>
      </c>
      <c r="L17" s="7" t="s">
        <v>134</v>
      </c>
      <c r="M17" s="153"/>
    </row>
    <row r="18" spans="1:15" s="60" customFormat="1" x14ac:dyDescent="0.25">
      <c r="A18" s="149">
        <f t="shared" si="1"/>
        <v>14</v>
      </c>
      <c r="B18" s="56">
        <v>1</v>
      </c>
      <c r="C18" s="63" t="s">
        <v>21</v>
      </c>
      <c r="D18" s="35">
        <v>1756346</v>
      </c>
      <c r="E18" s="62">
        <v>1097766198</v>
      </c>
      <c r="F18" s="57">
        <v>7311692</v>
      </c>
      <c r="G18" s="61" t="s">
        <v>151</v>
      </c>
      <c r="H18" s="58" t="s">
        <v>14</v>
      </c>
      <c r="I18" s="59" t="s">
        <v>15</v>
      </c>
      <c r="J18" s="59">
        <v>1</v>
      </c>
      <c r="K18" s="59" t="s">
        <v>16</v>
      </c>
      <c r="L18" s="59" t="s">
        <v>134</v>
      </c>
      <c r="M18" s="150"/>
    </row>
    <row r="19" spans="1:15" s="60" customFormat="1" x14ac:dyDescent="0.25">
      <c r="A19" s="149">
        <f t="shared" si="1"/>
        <v>15</v>
      </c>
      <c r="B19" s="56">
        <v>1</v>
      </c>
      <c r="C19" s="63" t="s">
        <v>78</v>
      </c>
      <c r="D19" s="35">
        <v>1754134</v>
      </c>
      <c r="E19" s="62">
        <v>2174001798</v>
      </c>
      <c r="F19" s="57">
        <v>7292268</v>
      </c>
      <c r="G19" s="61" t="s">
        <v>152</v>
      </c>
      <c r="H19" s="65" t="s">
        <v>17</v>
      </c>
      <c r="I19" s="59" t="s">
        <v>15</v>
      </c>
      <c r="J19" s="59">
        <v>1</v>
      </c>
      <c r="K19" s="59" t="s">
        <v>16</v>
      </c>
      <c r="L19" s="59" t="s">
        <v>134</v>
      </c>
      <c r="M19" s="150"/>
    </row>
    <row r="20" spans="1:15" s="2" customFormat="1" x14ac:dyDescent="0.25">
      <c r="A20" s="154" t="s">
        <v>22</v>
      </c>
      <c r="B20" s="53">
        <f>SUM(B21:B63)</f>
        <v>39</v>
      </c>
      <c r="C20" s="54" t="s">
        <v>23</v>
      </c>
      <c r="D20" s="55"/>
      <c r="E20" s="62"/>
      <c r="F20" s="57"/>
      <c r="G20" s="55"/>
      <c r="H20" s="55"/>
      <c r="I20" s="55"/>
      <c r="J20" s="53">
        <f>SUM(J21:J63)</f>
        <v>40</v>
      </c>
      <c r="K20" s="53"/>
      <c r="L20" s="53"/>
      <c r="M20" s="151"/>
    </row>
    <row r="21" spans="1:15" s="2" customFormat="1" x14ac:dyDescent="0.25">
      <c r="A21" s="149">
        <f>A19+1</f>
        <v>16</v>
      </c>
      <c r="B21" s="56">
        <v>1</v>
      </c>
      <c r="C21" s="63" t="s">
        <v>153</v>
      </c>
      <c r="D21" s="74">
        <v>1756087</v>
      </c>
      <c r="E21" s="62">
        <v>2463260477</v>
      </c>
      <c r="F21" s="57">
        <v>8791830</v>
      </c>
      <c r="G21" s="68" t="s">
        <v>154</v>
      </c>
      <c r="H21" s="69" t="s">
        <v>50</v>
      </c>
      <c r="I21" s="69" t="s">
        <v>15</v>
      </c>
      <c r="J21" s="69">
        <v>1</v>
      </c>
      <c r="K21" s="69" t="s">
        <v>16</v>
      </c>
      <c r="L21" s="69" t="s">
        <v>135</v>
      </c>
      <c r="M21" s="155"/>
      <c r="O21" s="143"/>
    </row>
    <row r="22" spans="1:15" s="60" customFormat="1" x14ac:dyDescent="0.25">
      <c r="A22" s="16">
        <f>A21+1</f>
        <v>17</v>
      </c>
      <c r="B22" s="19"/>
      <c r="C22" s="134" t="s">
        <v>126</v>
      </c>
      <c r="D22" s="17">
        <v>1756452</v>
      </c>
      <c r="E22" s="40">
        <v>2617831793</v>
      </c>
      <c r="F22" s="136" t="s">
        <v>132</v>
      </c>
      <c r="G22" s="18" t="s">
        <v>155</v>
      </c>
      <c r="H22" s="19" t="s">
        <v>53</v>
      </c>
      <c r="I22" s="19" t="s">
        <v>15</v>
      </c>
      <c r="J22" s="19">
        <v>1</v>
      </c>
      <c r="K22" s="19" t="s">
        <v>16</v>
      </c>
      <c r="L22" s="19" t="s">
        <v>134</v>
      </c>
      <c r="M22" s="31"/>
    </row>
    <row r="23" spans="1:15" s="60" customFormat="1" x14ac:dyDescent="0.25">
      <c r="A23" s="149">
        <f>A22+1</f>
        <v>18</v>
      </c>
      <c r="B23" s="69">
        <v>1</v>
      </c>
      <c r="C23" s="68" t="s">
        <v>356</v>
      </c>
      <c r="D23" s="74">
        <v>1756461</v>
      </c>
      <c r="E23" s="62">
        <v>2619119809</v>
      </c>
      <c r="F23" s="57">
        <v>7195062</v>
      </c>
      <c r="G23" s="68" t="s">
        <v>156</v>
      </c>
      <c r="H23" s="69" t="s">
        <v>17</v>
      </c>
      <c r="I23" s="69" t="s">
        <v>15</v>
      </c>
      <c r="J23" s="69">
        <v>1</v>
      </c>
      <c r="K23" s="69" t="s">
        <v>16</v>
      </c>
      <c r="L23" s="69" t="s">
        <v>134</v>
      </c>
      <c r="M23" s="155"/>
    </row>
    <row r="24" spans="1:15" s="60" customFormat="1" x14ac:dyDescent="0.25">
      <c r="A24" s="149">
        <f t="shared" ref="A24:A44" si="2">A23+1</f>
        <v>19</v>
      </c>
      <c r="B24" s="69">
        <v>1</v>
      </c>
      <c r="C24" s="73" t="s">
        <v>357</v>
      </c>
      <c r="D24" s="35">
        <v>1753288</v>
      </c>
      <c r="E24" s="62">
        <v>2368533887</v>
      </c>
      <c r="F24" s="57">
        <v>7195061</v>
      </c>
      <c r="G24" s="68" t="s">
        <v>157</v>
      </c>
      <c r="H24" s="56" t="s">
        <v>53</v>
      </c>
      <c r="I24" s="59" t="s">
        <v>15</v>
      </c>
      <c r="J24" s="65">
        <v>1</v>
      </c>
      <c r="K24" s="69" t="s">
        <v>16</v>
      </c>
      <c r="L24" s="69" t="s">
        <v>134</v>
      </c>
      <c r="M24" s="155"/>
    </row>
    <row r="25" spans="1:15" s="60" customFormat="1" x14ac:dyDescent="0.25">
      <c r="A25" s="16">
        <f t="shared" si="2"/>
        <v>20</v>
      </c>
      <c r="B25" s="19"/>
      <c r="C25" s="134" t="s">
        <v>127</v>
      </c>
      <c r="D25" s="17">
        <v>1756457</v>
      </c>
      <c r="E25" s="40">
        <v>2617829706</v>
      </c>
      <c r="F25" s="136">
        <v>7201159</v>
      </c>
      <c r="G25" s="18" t="s">
        <v>158</v>
      </c>
      <c r="H25" s="19" t="s">
        <v>17</v>
      </c>
      <c r="I25" s="19" t="s">
        <v>15</v>
      </c>
      <c r="J25" s="19">
        <v>1</v>
      </c>
      <c r="K25" s="19" t="s">
        <v>16</v>
      </c>
      <c r="L25" s="19" t="s">
        <v>134</v>
      </c>
      <c r="M25" s="31"/>
    </row>
    <row r="26" spans="1:15" s="60" customFormat="1" x14ac:dyDescent="0.25">
      <c r="A26" s="50"/>
      <c r="B26" s="7">
        <v>1</v>
      </c>
      <c r="C26" s="6" t="s">
        <v>159</v>
      </c>
      <c r="D26" s="21">
        <v>1756270</v>
      </c>
      <c r="E26" s="21">
        <v>2605357801</v>
      </c>
      <c r="F26" s="21"/>
      <c r="G26" s="128" t="s">
        <v>112</v>
      </c>
      <c r="H26" s="21" t="s">
        <v>17</v>
      </c>
      <c r="I26" s="7" t="s">
        <v>15</v>
      </c>
      <c r="J26" s="21">
        <v>1</v>
      </c>
      <c r="K26" s="21" t="s">
        <v>76</v>
      </c>
      <c r="L26" s="21" t="s">
        <v>134</v>
      </c>
      <c r="M26" s="153"/>
    </row>
    <row r="27" spans="1:15" s="60" customFormat="1" x14ac:dyDescent="0.25">
      <c r="A27" s="16">
        <f>A25+1</f>
        <v>21</v>
      </c>
      <c r="B27" s="19"/>
      <c r="C27" s="101" t="s">
        <v>159</v>
      </c>
      <c r="D27" s="17">
        <v>1756196</v>
      </c>
      <c r="E27" s="40">
        <v>2601407550</v>
      </c>
      <c r="F27" s="136">
        <v>7316235</v>
      </c>
      <c r="G27" s="101" t="s">
        <v>160</v>
      </c>
      <c r="H27" s="19" t="s">
        <v>17</v>
      </c>
      <c r="I27" s="19" t="s">
        <v>15</v>
      </c>
      <c r="J27" s="19">
        <v>1</v>
      </c>
      <c r="K27" s="19" t="s">
        <v>16</v>
      </c>
      <c r="L27" s="19" t="s">
        <v>134</v>
      </c>
      <c r="M27" s="31" t="s">
        <v>399</v>
      </c>
    </row>
    <row r="28" spans="1:15" s="60" customFormat="1" x14ac:dyDescent="0.25">
      <c r="A28" s="149">
        <f t="shared" si="2"/>
        <v>22</v>
      </c>
      <c r="B28" s="56">
        <v>1</v>
      </c>
      <c r="C28" s="64" t="s">
        <v>24</v>
      </c>
      <c r="D28" s="35">
        <v>1756147</v>
      </c>
      <c r="E28" s="62">
        <v>2598988349</v>
      </c>
      <c r="F28" s="57">
        <v>7278829</v>
      </c>
      <c r="G28" s="64" t="s">
        <v>161</v>
      </c>
      <c r="H28" s="56" t="s">
        <v>53</v>
      </c>
      <c r="I28" s="59" t="s">
        <v>15</v>
      </c>
      <c r="J28" s="65">
        <v>1</v>
      </c>
      <c r="K28" s="56" t="s">
        <v>16</v>
      </c>
      <c r="L28" s="56" t="s">
        <v>134</v>
      </c>
      <c r="M28" s="151"/>
    </row>
    <row r="29" spans="1:15" s="60" customFormat="1" x14ac:dyDescent="0.25">
      <c r="A29" s="149">
        <f t="shared" si="2"/>
        <v>23</v>
      </c>
      <c r="B29" s="56">
        <v>1</v>
      </c>
      <c r="C29" s="64" t="s">
        <v>101</v>
      </c>
      <c r="D29" s="35">
        <v>1755950</v>
      </c>
      <c r="E29" s="62">
        <v>1050322823</v>
      </c>
      <c r="F29" s="57">
        <v>8319283</v>
      </c>
      <c r="G29" s="61" t="s">
        <v>162</v>
      </c>
      <c r="H29" s="58" t="s">
        <v>14</v>
      </c>
      <c r="I29" s="59" t="s">
        <v>15</v>
      </c>
      <c r="J29" s="65">
        <v>1</v>
      </c>
      <c r="K29" s="56" t="s">
        <v>16</v>
      </c>
      <c r="L29" s="56" t="s">
        <v>135</v>
      </c>
      <c r="M29" s="156"/>
    </row>
    <row r="30" spans="1:15" s="60" customFormat="1" x14ac:dyDescent="0.25">
      <c r="A30" s="149">
        <f t="shared" si="2"/>
        <v>24</v>
      </c>
      <c r="B30" s="56">
        <v>1</v>
      </c>
      <c r="C30" s="64" t="s">
        <v>163</v>
      </c>
      <c r="D30" s="35">
        <v>1756179</v>
      </c>
      <c r="E30" s="62">
        <v>2600159137</v>
      </c>
      <c r="F30" s="57">
        <v>7283943</v>
      </c>
      <c r="G30" s="61" t="s">
        <v>164</v>
      </c>
      <c r="H30" s="65" t="s">
        <v>17</v>
      </c>
      <c r="I30" s="59" t="s">
        <v>15</v>
      </c>
      <c r="J30" s="65">
        <v>1</v>
      </c>
      <c r="K30" s="56" t="s">
        <v>16</v>
      </c>
      <c r="L30" s="56" t="s">
        <v>134</v>
      </c>
      <c r="M30" s="156"/>
    </row>
    <row r="31" spans="1:15" s="60" customFormat="1" x14ac:dyDescent="0.25">
      <c r="A31" s="149">
        <f t="shared" si="2"/>
        <v>25</v>
      </c>
      <c r="B31" s="56">
        <v>1</v>
      </c>
      <c r="C31" s="8" t="s">
        <v>337</v>
      </c>
      <c r="D31" s="7">
        <v>1756336</v>
      </c>
      <c r="E31" s="7">
        <v>2609951245</v>
      </c>
      <c r="F31" s="57">
        <v>7318574</v>
      </c>
      <c r="G31" s="8" t="s">
        <v>118</v>
      </c>
      <c r="H31" s="7" t="s">
        <v>17</v>
      </c>
      <c r="I31" s="7" t="s">
        <v>15</v>
      </c>
      <c r="J31" s="7">
        <v>1</v>
      </c>
      <c r="K31" s="7" t="s">
        <v>16</v>
      </c>
      <c r="L31" s="3" t="s">
        <v>134</v>
      </c>
      <c r="M31" s="157"/>
    </row>
    <row r="32" spans="1:15" x14ac:dyDescent="0.25">
      <c r="A32" s="149">
        <f>A31+1</f>
        <v>26</v>
      </c>
      <c r="B32" s="56">
        <v>1</v>
      </c>
      <c r="C32" s="63" t="s">
        <v>52</v>
      </c>
      <c r="D32" s="62">
        <v>1755615</v>
      </c>
      <c r="E32" s="62">
        <v>2566403073</v>
      </c>
      <c r="F32" s="57">
        <v>8697734</v>
      </c>
      <c r="G32" s="64" t="s">
        <v>165</v>
      </c>
      <c r="H32" s="65" t="s">
        <v>17</v>
      </c>
      <c r="I32" s="59" t="s">
        <v>15</v>
      </c>
      <c r="J32" s="65">
        <v>1</v>
      </c>
      <c r="K32" s="56" t="s">
        <v>16</v>
      </c>
      <c r="L32" s="56" t="s">
        <v>134</v>
      </c>
      <c r="M32" s="151"/>
    </row>
    <row r="33" spans="1:13" s="60" customFormat="1" x14ac:dyDescent="0.25">
      <c r="A33" s="149">
        <f t="shared" si="2"/>
        <v>27</v>
      </c>
      <c r="B33" s="56">
        <v>1</v>
      </c>
      <c r="C33" s="63" t="s">
        <v>70</v>
      </c>
      <c r="D33" s="62">
        <v>1755685</v>
      </c>
      <c r="E33" s="62">
        <v>1122864364</v>
      </c>
      <c r="F33" s="57">
        <v>8700313</v>
      </c>
      <c r="G33" s="64" t="s">
        <v>166</v>
      </c>
      <c r="H33" s="58" t="s">
        <v>14</v>
      </c>
      <c r="I33" s="59" t="s">
        <v>15</v>
      </c>
      <c r="J33" s="65">
        <v>1</v>
      </c>
      <c r="K33" s="56" t="s">
        <v>16</v>
      </c>
      <c r="L33" s="56" t="s">
        <v>134</v>
      </c>
      <c r="M33" s="158"/>
    </row>
    <row r="34" spans="1:13" s="60" customFormat="1" x14ac:dyDescent="0.25">
      <c r="A34" s="149">
        <f t="shared" si="2"/>
        <v>28</v>
      </c>
      <c r="B34" s="56">
        <v>1</v>
      </c>
      <c r="C34" s="63" t="s">
        <v>71</v>
      </c>
      <c r="D34" s="62">
        <v>1755718</v>
      </c>
      <c r="E34" s="62">
        <v>2570348678</v>
      </c>
      <c r="F34" s="57">
        <v>8697732</v>
      </c>
      <c r="G34" s="64" t="s">
        <v>167</v>
      </c>
      <c r="H34" s="65" t="s">
        <v>17</v>
      </c>
      <c r="I34" s="59" t="s">
        <v>15</v>
      </c>
      <c r="J34" s="65">
        <v>1</v>
      </c>
      <c r="K34" s="56" t="s">
        <v>16</v>
      </c>
      <c r="L34" s="56" t="s">
        <v>134</v>
      </c>
      <c r="M34" s="151"/>
    </row>
    <row r="35" spans="1:13" x14ac:dyDescent="0.25">
      <c r="A35" s="149">
        <f t="shared" si="2"/>
        <v>29</v>
      </c>
      <c r="B35" s="56">
        <v>1</v>
      </c>
      <c r="C35" s="63" t="s">
        <v>79</v>
      </c>
      <c r="D35" s="35">
        <v>1755994</v>
      </c>
      <c r="E35" s="62">
        <v>2591744251</v>
      </c>
      <c r="F35" s="57">
        <v>8732131</v>
      </c>
      <c r="G35" s="43" t="s">
        <v>168</v>
      </c>
      <c r="H35" s="56" t="s">
        <v>74</v>
      </c>
      <c r="I35" s="59" t="s">
        <v>15</v>
      </c>
      <c r="J35" s="65">
        <v>1</v>
      </c>
      <c r="K35" s="56" t="s">
        <v>16</v>
      </c>
      <c r="L35" s="56" t="s">
        <v>134</v>
      </c>
      <c r="M35" s="159"/>
    </row>
    <row r="36" spans="1:13" x14ac:dyDescent="0.25">
      <c r="A36" s="149">
        <f t="shared" si="2"/>
        <v>30</v>
      </c>
      <c r="B36" s="56">
        <v>1</v>
      </c>
      <c r="C36" s="63" t="s">
        <v>102</v>
      </c>
      <c r="D36" s="35">
        <v>1755710</v>
      </c>
      <c r="E36" s="62">
        <v>2569927508</v>
      </c>
      <c r="F36" s="57">
        <v>8697737</v>
      </c>
      <c r="G36" s="43" t="s">
        <v>170</v>
      </c>
      <c r="H36" s="56" t="s">
        <v>17</v>
      </c>
      <c r="I36" s="59" t="s">
        <v>15</v>
      </c>
      <c r="J36" s="65">
        <v>1</v>
      </c>
      <c r="K36" s="56" t="s">
        <v>16</v>
      </c>
      <c r="L36" s="56" t="s">
        <v>135</v>
      </c>
      <c r="M36" s="160"/>
    </row>
    <row r="37" spans="1:13" x14ac:dyDescent="0.25">
      <c r="A37" s="149">
        <f t="shared" si="2"/>
        <v>31</v>
      </c>
      <c r="B37" s="56">
        <v>1</v>
      </c>
      <c r="C37" s="63" t="s">
        <v>130</v>
      </c>
      <c r="D37" s="62">
        <v>1755709</v>
      </c>
      <c r="E37" s="62">
        <v>2569927326</v>
      </c>
      <c r="F37" s="57">
        <v>8697730</v>
      </c>
      <c r="G37" s="68" t="s">
        <v>169</v>
      </c>
      <c r="H37" s="65" t="s">
        <v>17</v>
      </c>
      <c r="I37" s="59" t="s">
        <v>15</v>
      </c>
      <c r="J37" s="65">
        <v>1</v>
      </c>
      <c r="K37" s="56" t="s">
        <v>16</v>
      </c>
      <c r="L37" s="56" t="s">
        <v>135</v>
      </c>
      <c r="M37" s="151"/>
    </row>
    <row r="38" spans="1:13" s="60" customFormat="1" x14ac:dyDescent="0.25">
      <c r="A38" s="149">
        <f t="shared" si="2"/>
        <v>32</v>
      </c>
      <c r="B38" s="56">
        <v>1</v>
      </c>
      <c r="C38" s="63" t="s">
        <v>25</v>
      </c>
      <c r="D38" s="62">
        <v>1755982</v>
      </c>
      <c r="E38" s="62">
        <v>2590291692</v>
      </c>
      <c r="F38" s="57">
        <v>8731644</v>
      </c>
      <c r="G38" s="64" t="s">
        <v>171</v>
      </c>
      <c r="H38" s="65" t="s">
        <v>53</v>
      </c>
      <c r="I38" s="59" t="s">
        <v>15</v>
      </c>
      <c r="J38" s="65">
        <v>1</v>
      </c>
      <c r="K38" s="56" t="s">
        <v>16</v>
      </c>
      <c r="L38" s="56" t="s">
        <v>134</v>
      </c>
      <c r="M38" s="159"/>
    </row>
    <row r="39" spans="1:13" x14ac:dyDescent="0.25">
      <c r="A39" s="149">
        <f t="shared" si="2"/>
        <v>33</v>
      </c>
      <c r="B39" s="56">
        <v>1</v>
      </c>
      <c r="C39" s="63" t="s">
        <v>26</v>
      </c>
      <c r="D39" s="62">
        <v>1755567</v>
      </c>
      <c r="E39" s="62">
        <v>2563973169</v>
      </c>
      <c r="F39" s="57">
        <v>8667127</v>
      </c>
      <c r="G39" s="64" t="s">
        <v>172</v>
      </c>
      <c r="H39" s="65" t="s">
        <v>17</v>
      </c>
      <c r="I39" s="59" t="s">
        <v>15</v>
      </c>
      <c r="J39" s="65">
        <v>1</v>
      </c>
      <c r="K39" s="56" t="s">
        <v>16</v>
      </c>
      <c r="L39" s="56" t="s">
        <v>134</v>
      </c>
      <c r="M39" s="151"/>
    </row>
    <row r="40" spans="1:13" x14ac:dyDescent="0.25">
      <c r="A40" s="149">
        <f t="shared" si="2"/>
        <v>34</v>
      </c>
      <c r="B40" s="56">
        <v>1</v>
      </c>
      <c r="C40" s="63" t="s">
        <v>104</v>
      </c>
      <c r="D40" s="62">
        <v>1756124</v>
      </c>
      <c r="E40" s="62">
        <v>2595788213</v>
      </c>
      <c r="F40" s="57">
        <v>8791363</v>
      </c>
      <c r="G40" s="64" t="s">
        <v>173</v>
      </c>
      <c r="H40" s="65" t="s">
        <v>50</v>
      </c>
      <c r="I40" s="59" t="s">
        <v>15</v>
      </c>
      <c r="J40" s="65">
        <v>1</v>
      </c>
      <c r="K40" s="56" t="s">
        <v>16</v>
      </c>
      <c r="L40" s="56" t="s">
        <v>134</v>
      </c>
      <c r="M40" s="151"/>
    </row>
    <row r="41" spans="1:13" x14ac:dyDescent="0.25">
      <c r="A41" s="149">
        <f t="shared" si="2"/>
        <v>35</v>
      </c>
      <c r="B41" s="56">
        <v>1</v>
      </c>
      <c r="C41" s="63" t="s">
        <v>111</v>
      </c>
      <c r="D41" s="71">
        <v>1755838</v>
      </c>
      <c r="E41" s="62">
        <v>2575986159</v>
      </c>
      <c r="F41" s="57">
        <v>8701658</v>
      </c>
      <c r="G41" s="68" t="s">
        <v>175</v>
      </c>
      <c r="H41" s="69" t="s">
        <v>17</v>
      </c>
      <c r="I41" s="69" t="s">
        <v>15</v>
      </c>
      <c r="J41" s="69">
        <v>1</v>
      </c>
      <c r="K41" s="69" t="s">
        <v>16</v>
      </c>
      <c r="L41" s="69" t="s">
        <v>135</v>
      </c>
      <c r="M41" s="155"/>
    </row>
    <row r="42" spans="1:13" x14ac:dyDescent="0.25">
      <c r="A42" s="149">
        <f t="shared" si="2"/>
        <v>36</v>
      </c>
      <c r="B42" s="69">
        <v>1</v>
      </c>
      <c r="C42" s="63" t="s">
        <v>174</v>
      </c>
      <c r="D42" s="9">
        <v>1756488</v>
      </c>
      <c r="E42" s="35">
        <v>2622239461</v>
      </c>
      <c r="F42" s="120" t="s">
        <v>132</v>
      </c>
      <c r="G42" s="43" t="s">
        <v>334</v>
      </c>
      <c r="H42" s="35" t="s">
        <v>17</v>
      </c>
      <c r="I42" s="35" t="s">
        <v>15</v>
      </c>
      <c r="J42" s="35">
        <v>1</v>
      </c>
      <c r="K42" s="35" t="s">
        <v>16</v>
      </c>
      <c r="L42" s="35" t="s">
        <v>135</v>
      </c>
      <c r="M42" s="161"/>
    </row>
    <row r="43" spans="1:13" s="60" customFormat="1" x14ac:dyDescent="0.25">
      <c r="A43" s="149">
        <f t="shared" si="2"/>
        <v>37</v>
      </c>
      <c r="B43" s="56">
        <v>1</v>
      </c>
      <c r="C43" s="63" t="s">
        <v>27</v>
      </c>
      <c r="D43" s="62">
        <v>1755716</v>
      </c>
      <c r="E43" s="62">
        <v>2570348538</v>
      </c>
      <c r="F43" s="57">
        <v>8697735</v>
      </c>
      <c r="G43" s="64" t="s">
        <v>176</v>
      </c>
      <c r="H43" s="65" t="s">
        <v>17</v>
      </c>
      <c r="I43" s="59" t="s">
        <v>15</v>
      </c>
      <c r="J43" s="65">
        <v>1</v>
      </c>
      <c r="K43" s="56" t="s">
        <v>16</v>
      </c>
      <c r="L43" s="56" t="s">
        <v>134</v>
      </c>
      <c r="M43" s="151"/>
    </row>
    <row r="44" spans="1:13" s="60" customFormat="1" x14ac:dyDescent="0.25">
      <c r="A44" s="149">
        <f t="shared" si="2"/>
        <v>38</v>
      </c>
      <c r="B44" s="56">
        <v>1</v>
      </c>
      <c r="C44" s="63" t="s">
        <v>80</v>
      </c>
      <c r="D44" s="62">
        <v>1755717</v>
      </c>
      <c r="E44" s="62">
        <v>2570381786</v>
      </c>
      <c r="F44" s="57">
        <v>8697733</v>
      </c>
      <c r="G44" s="64" t="s">
        <v>177</v>
      </c>
      <c r="H44" s="65" t="s">
        <v>17</v>
      </c>
      <c r="I44" s="59" t="s">
        <v>15</v>
      </c>
      <c r="J44" s="65">
        <v>1</v>
      </c>
      <c r="K44" s="56" t="s">
        <v>16</v>
      </c>
      <c r="L44" s="56" t="s">
        <v>134</v>
      </c>
      <c r="M44" s="151"/>
    </row>
    <row r="45" spans="1:13" s="60" customFormat="1" x14ac:dyDescent="0.25">
      <c r="A45" s="149">
        <f t="shared" ref="A45:A62" si="3">A44+1</f>
        <v>39</v>
      </c>
      <c r="B45" s="56">
        <v>1</v>
      </c>
      <c r="C45" s="63" t="s">
        <v>105</v>
      </c>
      <c r="D45" s="62">
        <v>1755721</v>
      </c>
      <c r="E45" s="62">
        <v>2570349478</v>
      </c>
      <c r="F45" s="57">
        <v>8697731</v>
      </c>
      <c r="G45" s="64" t="s">
        <v>178</v>
      </c>
      <c r="H45" s="65" t="s">
        <v>17</v>
      </c>
      <c r="I45" s="59" t="s">
        <v>15</v>
      </c>
      <c r="J45" s="65">
        <v>1</v>
      </c>
      <c r="K45" s="56" t="s">
        <v>16</v>
      </c>
      <c r="L45" s="56" t="s">
        <v>134</v>
      </c>
      <c r="M45" s="151"/>
    </row>
    <row r="46" spans="1:13" s="60" customFormat="1" x14ac:dyDescent="0.25">
      <c r="A46" s="149">
        <f t="shared" si="3"/>
        <v>40</v>
      </c>
      <c r="B46" s="48">
        <v>1</v>
      </c>
      <c r="C46" s="112" t="s">
        <v>125</v>
      </c>
      <c r="D46" s="92"/>
      <c r="E46" s="92"/>
      <c r="F46" s="92"/>
      <c r="G46" s="89" t="s">
        <v>51</v>
      </c>
      <c r="H46" s="48"/>
      <c r="I46" s="49"/>
      <c r="J46" s="48"/>
      <c r="K46" s="48"/>
      <c r="L46" s="48" t="s">
        <v>135</v>
      </c>
      <c r="M46" s="162"/>
    </row>
    <row r="47" spans="1:13" s="60" customFormat="1" x14ac:dyDescent="0.25">
      <c r="A47" s="149">
        <f>A46+1</f>
        <v>41</v>
      </c>
      <c r="B47" s="56">
        <v>1</v>
      </c>
      <c r="C47" s="63" t="s">
        <v>28</v>
      </c>
      <c r="D47" s="35">
        <v>1755802</v>
      </c>
      <c r="E47" s="62">
        <v>2575631318</v>
      </c>
      <c r="F47" s="57">
        <v>8701661</v>
      </c>
      <c r="G47" s="67" t="s">
        <v>179</v>
      </c>
      <c r="H47" s="59" t="s">
        <v>17</v>
      </c>
      <c r="I47" s="59" t="s">
        <v>15</v>
      </c>
      <c r="J47" s="59">
        <v>1</v>
      </c>
      <c r="K47" s="59" t="s">
        <v>16</v>
      </c>
      <c r="L47" s="59" t="s">
        <v>134</v>
      </c>
      <c r="M47" s="151"/>
    </row>
    <row r="48" spans="1:13" s="93" customFormat="1" x14ac:dyDescent="0.25">
      <c r="A48" s="12">
        <f t="shared" si="3"/>
        <v>42</v>
      </c>
      <c r="B48" s="140">
        <v>1</v>
      </c>
      <c r="C48" s="36" t="s">
        <v>100</v>
      </c>
      <c r="D48" s="137">
        <v>1756551</v>
      </c>
      <c r="E48" s="37"/>
      <c r="F48" s="138"/>
      <c r="G48" s="139" t="s">
        <v>352</v>
      </c>
      <c r="H48" s="140" t="s">
        <v>44</v>
      </c>
      <c r="I48" s="132" t="s">
        <v>15</v>
      </c>
      <c r="J48" s="141">
        <v>1</v>
      </c>
      <c r="K48" s="140" t="s">
        <v>16</v>
      </c>
      <c r="L48" s="140" t="s">
        <v>134</v>
      </c>
      <c r="M48" s="23"/>
    </row>
    <row r="49" spans="1:13" s="93" customFormat="1" x14ac:dyDescent="0.25">
      <c r="A49" s="12">
        <f t="shared" si="3"/>
        <v>43</v>
      </c>
      <c r="B49" s="3">
        <v>1</v>
      </c>
      <c r="C49" s="36" t="s">
        <v>128</v>
      </c>
      <c r="D49" s="137">
        <v>1756544</v>
      </c>
      <c r="E49" s="37"/>
      <c r="F49" s="138"/>
      <c r="G49" s="139" t="s">
        <v>347</v>
      </c>
      <c r="H49" s="140" t="s">
        <v>17</v>
      </c>
      <c r="I49" s="132" t="s">
        <v>15</v>
      </c>
      <c r="J49" s="141">
        <v>1</v>
      </c>
      <c r="K49" s="70" t="s">
        <v>16</v>
      </c>
      <c r="L49" s="140" t="s">
        <v>135</v>
      </c>
      <c r="M49" s="163"/>
    </row>
    <row r="50" spans="1:13" s="93" customFormat="1" x14ac:dyDescent="0.25">
      <c r="A50" s="12">
        <f t="shared" si="3"/>
        <v>44</v>
      </c>
      <c r="B50" s="56">
        <v>1</v>
      </c>
      <c r="C50" s="63" t="s">
        <v>29</v>
      </c>
      <c r="D50" s="62">
        <v>1755526</v>
      </c>
      <c r="E50" s="62">
        <v>2561284510</v>
      </c>
      <c r="F50" s="57">
        <v>8681535</v>
      </c>
      <c r="G50" s="61" t="s">
        <v>180</v>
      </c>
      <c r="H50" s="56" t="s">
        <v>17</v>
      </c>
      <c r="I50" s="59" t="s">
        <v>15</v>
      </c>
      <c r="J50" s="56">
        <v>1</v>
      </c>
      <c r="K50" s="56" t="s">
        <v>16</v>
      </c>
      <c r="L50" s="56" t="s">
        <v>135</v>
      </c>
      <c r="M50" s="151"/>
    </row>
    <row r="51" spans="1:13" s="93" customFormat="1" x14ac:dyDescent="0.25">
      <c r="A51" s="12">
        <f t="shared" si="3"/>
        <v>45</v>
      </c>
      <c r="B51" s="56">
        <v>1</v>
      </c>
      <c r="C51" s="63" t="s">
        <v>95</v>
      </c>
      <c r="D51" s="62">
        <v>1756187</v>
      </c>
      <c r="E51" s="62">
        <v>2600161836</v>
      </c>
      <c r="F51" s="57">
        <v>7283259</v>
      </c>
      <c r="G51" s="64" t="s">
        <v>181</v>
      </c>
      <c r="H51" s="56" t="s">
        <v>50</v>
      </c>
      <c r="I51" s="59" t="s">
        <v>15</v>
      </c>
      <c r="J51" s="56">
        <v>1</v>
      </c>
      <c r="K51" s="56" t="s">
        <v>16</v>
      </c>
      <c r="L51" s="56" t="s">
        <v>135</v>
      </c>
      <c r="M51" s="160"/>
    </row>
    <row r="52" spans="1:13" s="60" customFormat="1" x14ac:dyDescent="0.25">
      <c r="A52" s="149">
        <f>A51+1</f>
        <v>46</v>
      </c>
      <c r="B52" s="56">
        <v>1</v>
      </c>
      <c r="C52" s="63" t="s">
        <v>92</v>
      </c>
      <c r="D52" s="62">
        <v>1756058</v>
      </c>
      <c r="E52" s="62">
        <v>2593672401</v>
      </c>
      <c r="F52" s="57">
        <v>8731688</v>
      </c>
      <c r="G52" s="64" t="s">
        <v>182</v>
      </c>
      <c r="H52" s="56" t="s">
        <v>50</v>
      </c>
      <c r="I52" s="59" t="s">
        <v>15</v>
      </c>
      <c r="J52" s="65">
        <v>1</v>
      </c>
      <c r="K52" s="56" t="s">
        <v>16</v>
      </c>
      <c r="L52" s="56" t="s">
        <v>135</v>
      </c>
      <c r="M52" s="151"/>
    </row>
    <row r="53" spans="1:13" s="60" customFormat="1" x14ac:dyDescent="0.25">
      <c r="A53" s="149">
        <f t="shared" si="3"/>
        <v>47</v>
      </c>
      <c r="B53" s="56">
        <v>1</v>
      </c>
      <c r="C53" s="63" t="s">
        <v>93</v>
      </c>
      <c r="D53" s="62">
        <v>1756074</v>
      </c>
      <c r="E53" s="62">
        <v>2593834738</v>
      </c>
      <c r="F53" s="57">
        <v>8732004</v>
      </c>
      <c r="G53" s="64" t="s">
        <v>183</v>
      </c>
      <c r="H53" s="56" t="s">
        <v>50</v>
      </c>
      <c r="I53" s="59" t="s">
        <v>15</v>
      </c>
      <c r="J53" s="65">
        <v>1</v>
      </c>
      <c r="K53" s="56" t="s">
        <v>16</v>
      </c>
      <c r="L53" s="56" t="s">
        <v>135</v>
      </c>
      <c r="M53" s="164"/>
    </row>
    <row r="54" spans="1:13" s="60" customFormat="1" x14ac:dyDescent="0.25">
      <c r="A54" s="149">
        <f>A53+1</f>
        <v>48</v>
      </c>
      <c r="B54" s="56">
        <v>1</v>
      </c>
      <c r="C54" s="63" t="s">
        <v>94</v>
      </c>
      <c r="D54" s="62">
        <v>1756463</v>
      </c>
      <c r="E54" s="62">
        <v>2619120492</v>
      </c>
      <c r="F54" s="57">
        <v>7195064</v>
      </c>
      <c r="G54" s="63" t="s">
        <v>184</v>
      </c>
      <c r="H54" s="56" t="s">
        <v>50</v>
      </c>
      <c r="I54" s="59" t="s">
        <v>15</v>
      </c>
      <c r="J54" s="56">
        <v>1</v>
      </c>
      <c r="K54" s="56" t="s">
        <v>16</v>
      </c>
      <c r="L54" s="56" t="s">
        <v>135</v>
      </c>
      <c r="M54" s="164"/>
    </row>
    <row r="55" spans="1:13" s="60" customFormat="1" x14ac:dyDescent="0.25">
      <c r="A55" s="149">
        <f t="shared" si="3"/>
        <v>49</v>
      </c>
      <c r="B55" s="56">
        <v>1</v>
      </c>
      <c r="C55" s="63" t="s">
        <v>185</v>
      </c>
      <c r="D55" s="62">
        <v>1755788</v>
      </c>
      <c r="E55" s="62">
        <v>2575884719</v>
      </c>
      <c r="F55" s="57">
        <v>8701660</v>
      </c>
      <c r="G55" s="64" t="s">
        <v>186</v>
      </c>
      <c r="H55" s="56" t="s">
        <v>44</v>
      </c>
      <c r="I55" s="59" t="s">
        <v>15</v>
      </c>
      <c r="J55" s="65">
        <v>1</v>
      </c>
      <c r="K55" s="56" t="s">
        <v>16</v>
      </c>
      <c r="L55" s="56" t="s">
        <v>134</v>
      </c>
      <c r="M55" s="164"/>
    </row>
    <row r="56" spans="1:13" s="60" customFormat="1" x14ac:dyDescent="0.25">
      <c r="A56" s="133">
        <f t="shared" si="3"/>
        <v>50</v>
      </c>
      <c r="B56" s="48">
        <v>1</v>
      </c>
      <c r="C56" s="112" t="s">
        <v>187</v>
      </c>
      <c r="D56" s="92"/>
      <c r="E56" s="92"/>
      <c r="F56" s="92"/>
      <c r="G56" s="89" t="s">
        <v>51</v>
      </c>
      <c r="H56" s="48"/>
      <c r="I56" s="49"/>
      <c r="J56" s="48"/>
      <c r="K56" s="48"/>
      <c r="L56" s="48" t="s">
        <v>134</v>
      </c>
      <c r="M56" s="178"/>
    </row>
    <row r="57" spans="1:13" s="60" customFormat="1" x14ac:dyDescent="0.25">
      <c r="A57" s="149">
        <f t="shared" si="3"/>
        <v>51</v>
      </c>
      <c r="B57" s="56">
        <v>1</v>
      </c>
      <c r="C57" s="63" t="s">
        <v>30</v>
      </c>
      <c r="D57" s="62">
        <v>1755785</v>
      </c>
      <c r="E57" s="62">
        <v>2575884651</v>
      </c>
      <c r="F57" s="57">
        <v>8709564</v>
      </c>
      <c r="G57" s="61" t="s">
        <v>188</v>
      </c>
      <c r="H57" s="56" t="s">
        <v>44</v>
      </c>
      <c r="I57" s="59" t="s">
        <v>15</v>
      </c>
      <c r="J57" s="56">
        <v>1</v>
      </c>
      <c r="K57" s="56" t="s">
        <v>16</v>
      </c>
      <c r="L57" s="56" t="s">
        <v>134</v>
      </c>
      <c r="M57" s="151"/>
    </row>
    <row r="58" spans="1:13" s="60" customFormat="1" x14ac:dyDescent="0.25">
      <c r="A58" s="149">
        <f t="shared" si="3"/>
        <v>52</v>
      </c>
      <c r="B58" s="56">
        <v>1</v>
      </c>
      <c r="C58" s="63" t="s">
        <v>31</v>
      </c>
      <c r="D58" s="62">
        <v>1754719</v>
      </c>
      <c r="E58" s="62">
        <v>2493494195</v>
      </c>
      <c r="F58" s="121" t="s">
        <v>132</v>
      </c>
      <c r="G58" s="64" t="s">
        <v>190</v>
      </c>
      <c r="H58" s="56" t="s">
        <v>72</v>
      </c>
      <c r="I58" s="59" t="s">
        <v>15</v>
      </c>
      <c r="J58" s="56">
        <v>1</v>
      </c>
      <c r="K58" s="56" t="s">
        <v>16</v>
      </c>
      <c r="L58" s="56" t="s">
        <v>134</v>
      </c>
      <c r="M58" s="151"/>
    </row>
    <row r="59" spans="1:13" s="60" customFormat="1" x14ac:dyDescent="0.25">
      <c r="A59" s="149">
        <f t="shared" si="3"/>
        <v>53</v>
      </c>
      <c r="B59" s="56">
        <v>1</v>
      </c>
      <c r="C59" s="63" t="s">
        <v>106</v>
      </c>
      <c r="D59" s="71">
        <v>1755962</v>
      </c>
      <c r="E59" s="62">
        <v>2587332111</v>
      </c>
      <c r="F59" s="57">
        <v>8731650</v>
      </c>
      <c r="G59" s="68" t="s">
        <v>191</v>
      </c>
      <c r="H59" s="69" t="s">
        <v>74</v>
      </c>
      <c r="I59" s="69" t="s">
        <v>15</v>
      </c>
      <c r="J59" s="69">
        <v>1</v>
      </c>
      <c r="K59" s="69" t="s">
        <v>16</v>
      </c>
      <c r="L59" s="69" t="s">
        <v>134</v>
      </c>
      <c r="M59" s="151"/>
    </row>
    <row r="60" spans="1:13" s="60" customFormat="1" x14ac:dyDescent="0.25">
      <c r="A60" s="149">
        <f t="shared" si="3"/>
        <v>54</v>
      </c>
      <c r="B60" s="56">
        <v>1</v>
      </c>
      <c r="C60" s="63" t="s">
        <v>192</v>
      </c>
      <c r="D60" s="62">
        <v>1755794</v>
      </c>
      <c r="E60" s="62">
        <v>2575884867</v>
      </c>
      <c r="F60" s="57">
        <v>8705972</v>
      </c>
      <c r="G60" s="64" t="s">
        <v>193</v>
      </c>
      <c r="H60" s="56" t="s">
        <v>44</v>
      </c>
      <c r="I60" s="59" t="s">
        <v>15</v>
      </c>
      <c r="J60" s="56">
        <v>1</v>
      </c>
      <c r="K60" s="56" t="s">
        <v>16</v>
      </c>
      <c r="L60" s="56" t="s">
        <v>135</v>
      </c>
      <c r="M60" s="151"/>
    </row>
    <row r="61" spans="1:13" s="60" customFormat="1" x14ac:dyDescent="0.25">
      <c r="A61" s="149">
        <f t="shared" si="3"/>
        <v>55</v>
      </c>
      <c r="B61" s="69">
        <v>1</v>
      </c>
      <c r="C61" s="63" t="s">
        <v>194</v>
      </c>
      <c r="D61" s="71">
        <v>1756138</v>
      </c>
      <c r="E61" s="62">
        <v>2597992250</v>
      </c>
      <c r="F61" s="57">
        <v>7281526</v>
      </c>
      <c r="G61" s="68" t="s">
        <v>195</v>
      </c>
      <c r="H61" s="69" t="s">
        <v>53</v>
      </c>
      <c r="I61" s="69" t="s">
        <v>15</v>
      </c>
      <c r="J61" s="69">
        <v>1</v>
      </c>
      <c r="K61" s="69" t="s">
        <v>16</v>
      </c>
      <c r="L61" s="69" t="s">
        <v>135</v>
      </c>
      <c r="M61" s="155"/>
    </row>
    <row r="62" spans="1:13" s="60" customFormat="1" x14ac:dyDescent="0.25">
      <c r="A62" s="133">
        <f t="shared" si="3"/>
        <v>56</v>
      </c>
      <c r="B62" s="48">
        <v>1</v>
      </c>
      <c r="C62" s="112" t="s">
        <v>394</v>
      </c>
      <c r="D62" s="92"/>
      <c r="E62" s="92"/>
      <c r="F62" s="92"/>
      <c r="G62" s="89" t="s">
        <v>51</v>
      </c>
      <c r="H62" s="48"/>
      <c r="I62" s="49"/>
      <c r="J62" s="48"/>
      <c r="K62" s="48"/>
      <c r="L62" s="48" t="s">
        <v>134</v>
      </c>
      <c r="M62" s="178"/>
    </row>
    <row r="63" spans="1:13" s="60" customFormat="1" x14ac:dyDescent="0.25">
      <c r="A63" s="16">
        <f>A61+1</f>
        <v>56</v>
      </c>
      <c r="B63" s="19"/>
      <c r="C63" s="134" t="s">
        <v>338</v>
      </c>
      <c r="D63" s="17">
        <v>9604372</v>
      </c>
      <c r="E63" s="40"/>
      <c r="F63" s="136"/>
      <c r="G63" s="18" t="s">
        <v>395</v>
      </c>
      <c r="H63" s="19" t="s">
        <v>54</v>
      </c>
      <c r="I63" s="19" t="s">
        <v>103</v>
      </c>
      <c r="J63" s="19">
        <v>1</v>
      </c>
      <c r="K63" s="19" t="s">
        <v>16</v>
      </c>
      <c r="L63" s="19" t="s">
        <v>135</v>
      </c>
      <c r="M63" s="195" t="s">
        <v>396</v>
      </c>
    </row>
    <row r="64" spans="1:13" s="2" customFormat="1" x14ac:dyDescent="0.25">
      <c r="A64" s="154" t="s">
        <v>32</v>
      </c>
      <c r="B64" s="53">
        <f>SUM(B65:B170)</f>
        <v>105</v>
      </c>
      <c r="C64" s="54" t="s">
        <v>33</v>
      </c>
      <c r="D64" s="55"/>
      <c r="E64" s="62"/>
      <c r="F64" s="57"/>
      <c r="G64" s="55"/>
      <c r="H64" s="56"/>
      <c r="I64" s="55"/>
      <c r="J64" s="53">
        <f>SUM(J65:J169)</f>
        <v>96</v>
      </c>
      <c r="K64" s="53"/>
      <c r="L64" s="53"/>
      <c r="M64" s="165"/>
    </row>
    <row r="65" spans="1:13" s="60" customFormat="1" x14ac:dyDescent="0.25">
      <c r="A65" s="149">
        <f>A63+1</f>
        <v>57</v>
      </c>
      <c r="B65" s="7">
        <v>1</v>
      </c>
      <c r="C65" s="123" t="s">
        <v>34</v>
      </c>
      <c r="D65" s="7">
        <v>1756539</v>
      </c>
      <c r="E65" s="38"/>
      <c r="F65" s="82"/>
      <c r="G65" s="8" t="s">
        <v>349</v>
      </c>
      <c r="H65" s="7" t="s">
        <v>17</v>
      </c>
      <c r="I65" s="7" t="s">
        <v>15</v>
      </c>
      <c r="J65" s="7">
        <v>1</v>
      </c>
      <c r="K65" s="7" t="s">
        <v>16</v>
      </c>
      <c r="L65" s="7" t="s">
        <v>134</v>
      </c>
      <c r="M65" s="20"/>
    </row>
    <row r="66" spans="1:13" s="60" customFormat="1" x14ac:dyDescent="0.25">
      <c r="A66" s="149">
        <f t="shared" ref="A66:A131" si="4">A65+1</f>
        <v>58</v>
      </c>
      <c r="B66" s="56">
        <v>1</v>
      </c>
      <c r="C66" s="99" t="s">
        <v>129</v>
      </c>
      <c r="D66" s="59">
        <v>1756464</v>
      </c>
      <c r="E66" s="100">
        <v>2125840955</v>
      </c>
      <c r="F66" s="57">
        <v>7992729</v>
      </c>
      <c r="G66" s="67" t="s">
        <v>196</v>
      </c>
      <c r="H66" s="59" t="s">
        <v>197</v>
      </c>
      <c r="I66" s="59" t="s">
        <v>15</v>
      </c>
      <c r="J66" s="59">
        <v>1</v>
      </c>
      <c r="K66" s="59" t="s">
        <v>16</v>
      </c>
      <c r="L66" s="59" t="s">
        <v>135</v>
      </c>
      <c r="M66" s="151"/>
    </row>
    <row r="67" spans="1:13" s="60" customFormat="1" x14ac:dyDescent="0.25">
      <c r="A67" s="149">
        <f t="shared" si="4"/>
        <v>59</v>
      </c>
      <c r="B67" s="56">
        <v>1</v>
      </c>
      <c r="C67" s="63" t="s">
        <v>198</v>
      </c>
      <c r="D67" s="56">
        <v>1755953</v>
      </c>
      <c r="E67" s="62">
        <v>1056399643</v>
      </c>
      <c r="F67" s="57">
        <v>8890783</v>
      </c>
      <c r="G67" s="61" t="s">
        <v>199</v>
      </c>
      <c r="H67" s="58" t="s">
        <v>14</v>
      </c>
      <c r="I67" s="59" t="s">
        <v>15</v>
      </c>
      <c r="J67" s="56">
        <v>1</v>
      </c>
      <c r="K67" s="56" t="s">
        <v>16</v>
      </c>
      <c r="L67" s="56" t="s">
        <v>134</v>
      </c>
      <c r="M67" s="151"/>
    </row>
    <row r="68" spans="1:13" s="60" customFormat="1" x14ac:dyDescent="0.25">
      <c r="A68" s="149">
        <f t="shared" si="4"/>
        <v>60</v>
      </c>
      <c r="B68" s="56">
        <v>1</v>
      </c>
      <c r="C68" s="63" t="s">
        <v>81</v>
      </c>
      <c r="D68" s="56">
        <v>1755668</v>
      </c>
      <c r="E68" s="62">
        <v>2581989411</v>
      </c>
      <c r="F68" s="57">
        <v>8301144</v>
      </c>
      <c r="G68" s="61" t="s">
        <v>200</v>
      </c>
      <c r="H68" s="56" t="s">
        <v>17</v>
      </c>
      <c r="I68" s="59" t="s">
        <v>15</v>
      </c>
      <c r="J68" s="56">
        <v>1</v>
      </c>
      <c r="K68" s="56" t="s">
        <v>16</v>
      </c>
      <c r="L68" s="56" t="s">
        <v>134</v>
      </c>
      <c r="M68" s="151"/>
    </row>
    <row r="69" spans="1:13" s="60" customFormat="1" x14ac:dyDescent="0.25">
      <c r="A69" s="149">
        <f t="shared" si="4"/>
        <v>61</v>
      </c>
      <c r="B69" s="56">
        <v>1</v>
      </c>
      <c r="C69" s="63" t="s">
        <v>35</v>
      </c>
      <c r="D69" s="62">
        <v>1755862</v>
      </c>
      <c r="E69" s="62">
        <v>2577684810</v>
      </c>
      <c r="F69" s="57">
        <v>8701657</v>
      </c>
      <c r="G69" s="61" t="s">
        <v>201</v>
      </c>
      <c r="H69" s="56" t="s">
        <v>17</v>
      </c>
      <c r="I69" s="59" t="s">
        <v>15</v>
      </c>
      <c r="J69" s="56">
        <v>1</v>
      </c>
      <c r="K69" s="56" t="s">
        <v>16</v>
      </c>
      <c r="L69" s="56" t="s">
        <v>134</v>
      </c>
      <c r="M69" s="151"/>
    </row>
    <row r="70" spans="1:13" s="60" customFormat="1" x14ac:dyDescent="0.25">
      <c r="A70" s="149">
        <f t="shared" si="4"/>
        <v>62</v>
      </c>
      <c r="B70" s="56">
        <v>1</v>
      </c>
      <c r="C70" s="63" t="s">
        <v>107</v>
      </c>
      <c r="D70" s="62">
        <v>1755908</v>
      </c>
      <c r="E70" s="62">
        <v>2583832434</v>
      </c>
      <c r="F70" s="57">
        <v>8720225</v>
      </c>
      <c r="G70" s="61" t="s">
        <v>202</v>
      </c>
      <c r="H70" s="56" t="s">
        <v>17</v>
      </c>
      <c r="I70" s="59" t="s">
        <v>15</v>
      </c>
      <c r="J70" s="56">
        <v>1</v>
      </c>
      <c r="K70" s="56" t="s">
        <v>16</v>
      </c>
      <c r="L70" s="56" t="s">
        <v>134</v>
      </c>
      <c r="M70" s="151"/>
    </row>
    <row r="71" spans="1:13" s="60" customFormat="1" x14ac:dyDescent="0.25">
      <c r="A71" s="149">
        <f t="shared" si="4"/>
        <v>63</v>
      </c>
      <c r="B71" s="56">
        <v>1</v>
      </c>
      <c r="C71" s="73" t="s">
        <v>203</v>
      </c>
      <c r="D71" s="71">
        <v>1755947</v>
      </c>
      <c r="E71" s="62">
        <v>1044681011</v>
      </c>
      <c r="F71" s="57">
        <v>8802249</v>
      </c>
      <c r="G71" s="68" t="s">
        <v>204</v>
      </c>
      <c r="H71" s="58" t="s">
        <v>14</v>
      </c>
      <c r="I71" s="69" t="s">
        <v>15</v>
      </c>
      <c r="J71" s="69">
        <v>1</v>
      </c>
      <c r="K71" s="69" t="s">
        <v>16</v>
      </c>
      <c r="L71" s="69" t="s">
        <v>134</v>
      </c>
      <c r="M71" s="155"/>
    </row>
    <row r="72" spans="1:13" s="60" customFormat="1" x14ac:dyDescent="0.25">
      <c r="A72" s="149">
        <f t="shared" si="4"/>
        <v>64</v>
      </c>
      <c r="B72" s="56">
        <v>1</v>
      </c>
      <c r="C72" s="63" t="s">
        <v>205</v>
      </c>
      <c r="D72" s="62">
        <v>1756090</v>
      </c>
      <c r="E72" s="62">
        <v>1072563859</v>
      </c>
      <c r="F72" s="57">
        <v>8289847</v>
      </c>
      <c r="G72" s="61" t="s">
        <v>206</v>
      </c>
      <c r="H72" s="58" t="s">
        <v>14</v>
      </c>
      <c r="I72" s="59" t="s">
        <v>15</v>
      </c>
      <c r="J72" s="56">
        <v>1</v>
      </c>
      <c r="K72" s="56" t="s">
        <v>16</v>
      </c>
      <c r="L72" s="56" t="s">
        <v>134</v>
      </c>
      <c r="M72" s="151"/>
    </row>
    <row r="73" spans="1:13" s="60" customFormat="1" x14ac:dyDescent="0.25">
      <c r="A73" s="149">
        <f t="shared" si="4"/>
        <v>65</v>
      </c>
      <c r="B73" s="56">
        <v>1</v>
      </c>
      <c r="C73" s="73" t="s">
        <v>207</v>
      </c>
      <c r="D73" s="71">
        <v>1756145</v>
      </c>
      <c r="E73" s="62">
        <v>2362782837</v>
      </c>
      <c r="F73" s="121" t="s">
        <v>208</v>
      </c>
      <c r="G73" s="68" t="s">
        <v>209</v>
      </c>
      <c r="H73" s="69" t="s">
        <v>210</v>
      </c>
      <c r="I73" s="69" t="s">
        <v>15</v>
      </c>
      <c r="J73" s="69">
        <v>1</v>
      </c>
      <c r="K73" s="69" t="s">
        <v>16</v>
      </c>
      <c r="L73" s="69" t="s">
        <v>134</v>
      </c>
      <c r="M73" s="155"/>
    </row>
    <row r="74" spans="1:13" s="60" customFormat="1" x14ac:dyDescent="0.25">
      <c r="A74" s="149">
        <f t="shared" si="4"/>
        <v>66</v>
      </c>
      <c r="B74" s="56">
        <v>1</v>
      </c>
      <c r="C74" s="73" t="s">
        <v>211</v>
      </c>
      <c r="D74" s="71">
        <v>1756146</v>
      </c>
      <c r="E74" s="62">
        <v>1101412987</v>
      </c>
      <c r="F74" s="57">
        <v>7277339</v>
      </c>
      <c r="G74" s="68" t="s">
        <v>212</v>
      </c>
      <c r="H74" s="58" t="s">
        <v>14</v>
      </c>
      <c r="I74" s="69" t="s">
        <v>15</v>
      </c>
      <c r="J74" s="69">
        <v>1</v>
      </c>
      <c r="K74" s="69" t="s">
        <v>16</v>
      </c>
      <c r="L74" s="69" t="s">
        <v>134</v>
      </c>
      <c r="M74" s="155"/>
    </row>
    <row r="75" spans="1:13" s="60" customFormat="1" x14ac:dyDescent="0.25">
      <c r="A75" s="149">
        <f t="shared" si="4"/>
        <v>67</v>
      </c>
      <c r="B75" s="56">
        <v>1</v>
      </c>
      <c r="C75" s="73" t="s">
        <v>36</v>
      </c>
      <c r="D75" s="71">
        <v>1755661</v>
      </c>
      <c r="E75" s="62">
        <v>2568163477</v>
      </c>
      <c r="F75" s="57">
        <v>8709852</v>
      </c>
      <c r="G75" s="68" t="s">
        <v>213</v>
      </c>
      <c r="H75" s="58" t="s">
        <v>17</v>
      </c>
      <c r="I75" s="69" t="s">
        <v>15</v>
      </c>
      <c r="J75" s="69">
        <v>1</v>
      </c>
      <c r="K75" s="69" t="s">
        <v>16</v>
      </c>
      <c r="L75" s="69" t="s">
        <v>134</v>
      </c>
      <c r="M75" s="155"/>
    </row>
    <row r="76" spans="1:13" s="60" customFormat="1" x14ac:dyDescent="0.25">
      <c r="A76" s="149">
        <f t="shared" si="4"/>
        <v>68</v>
      </c>
      <c r="B76" s="56">
        <v>1</v>
      </c>
      <c r="C76" s="73" t="s">
        <v>82</v>
      </c>
      <c r="D76" s="71">
        <v>1755874</v>
      </c>
      <c r="E76" s="62">
        <v>2581989114</v>
      </c>
      <c r="F76" s="57">
        <v>8709854</v>
      </c>
      <c r="G76" s="68" t="s">
        <v>214</v>
      </c>
      <c r="H76" s="58" t="s">
        <v>17</v>
      </c>
      <c r="I76" s="69" t="s">
        <v>15</v>
      </c>
      <c r="J76" s="69">
        <v>1</v>
      </c>
      <c r="K76" s="69" t="s">
        <v>16</v>
      </c>
      <c r="L76" s="69" t="s">
        <v>134</v>
      </c>
      <c r="M76" s="155"/>
    </row>
    <row r="77" spans="1:13" s="66" customFormat="1" x14ac:dyDescent="0.25">
      <c r="A77" s="149">
        <f t="shared" si="4"/>
        <v>69</v>
      </c>
      <c r="B77" s="56">
        <v>1</v>
      </c>
      <c r="C77" s="63" t="s">
        <v>83</v>
      </c>
      <c r="D77" s="62">
        <v>1756355</v>
      </c>
      <c r="E77" s="62">
        <v>2611807872</v>
      </c>
      <c r="F77" s="57">
        <v>7309899</v>
      </c>
      <c r="G77" s="61" t="s">
        <v>216</v>
      </c>
      <c r="H77" s="56" t="s">
        <v>17</v>
      </c>
      <c r="I77" s="59" t="s">
        <v>15</v>
      </c>
      <c r="J77" s="56">
        <v>1</v>
      </c>
      <c r="K77" s="56" t="s">
        <v>16</v>
      </c>
      <c r="L77" s="56" t="s">
        <v>134</v>
      </c>
      <c r="M77" s="151"/>
    </row>
    <row r="78" spans="1:13" s="66" customFormat="1" x14ac:dyDescent="0.25">
      <c r="A78" s="149">
        <f t="shared" si="4"/>
        <v>70</v>
      </c>
      <c r="B78" s="56">
        <v>1</v>
      </c>
      <c r="C78" s="63" t="s">
        <v>215</v>
      </c>
      <c r="D78" s="62">
        <v>1756377</v>
      </c>
      <c r="E78" s="62">
        <v>2613437470</v>
      </c>
      <c r="F78" s="57">
        <v>7310907</v>
      </c>
      <c r="G78" s="61" t="s">
        <v>217</v>
      </c>
      <c r="H78" s="56" t="s">
        <v>17</v>
      </c>
      <c r="I78" s="59" t="s">
        <v>15</v>
      </c>
      <c r="J78" s="56">
        <v>1</v>
      </c>
      <c r="K78" s="56" t="s">
        <v>16</v>
      </c>
      <c r="L78" s="56" t="s">
        <v>134</v>
      </c>
      <c r="M78" s="151"/>
    </row>
    <row r="79" spans="1:13" s="66" customFormat="1" x14ac:dyDescent="0.25">
      <c r="A79" s="149">
        <f t="shared" si="4"/>
        <v>71</v>
      </c>
      <c r="B79" s="56">
        <v>1</v>
      </c>
      <c r="C79" s="63" t="s">
        <v>37</v>
      </c>
      <c r="D79" s="62">
        <v>1755772</v>
      </c>
      <c r="E79" s="62">
        <v>2572764021</v>
      </c>
      <c r="F79" s="57">
        <v>8710234</v>
      </c>
      <c r="G79" s="61" t="s">
        <v>218</v>
      </c>
      <c r="H79" s="56" t="s">
        <v>17</v>
      </c>
      <c r="I79" s="59" t="s">
        <v>15</v>
      </c>
      <c r="J79" s="56">
        <v>1</v>
      </c>
      <c r="K79" s="56" t="s">
        <v>16</v>
      </c>
      <c r="L79" s="56" t="s">
        <v>134</v>
      </c>
      <c r="M79" s="151"/>
    </row>
    <row r="80" spans="1:13" s="60" customFormat="1" x14ac:dyDescent="0.25">
      <c r="A80" s="12">
        <f t="shared" si="4"/>
        <v>72</v>
      </c>
      <c r="B80" s="56">
        <v>1</v>
      </c>
      <c r="C80" s="63" t="s">
        <v>38</v>
      </c>
      <c r="D80" s="37">
        <v>1755770</v>
      </c>
      <c r="E80" s="37">
        <v>2572763627</v>
      </c>
      <c r="F80" s="138">
        <v>8720489</v>
      </c>
      <c r="G80" s="5" t="s">
        <v>219</v>
      </c>
      <c r="H80" s="56" t="s">
        <v>17</v>
      </c>
      <c r="I80" s="59" t="s">
        <v>15</v>
      </c>
      <c r="J80" s="56">
        <v>1</v>
      </c>
      <c r="K80" s="56" t="s">
        <v>16</v>
      </c>
      <c r="L80" s="56" t="s">
        <v>134</v>
      </c>
      <c r="M80" s="151"/>
    </row>
    <row r="81" spans="1:13" s="60" customFormat="1" x14ac:dyDescent="0.25">
      <c r="A81" s="149">
        <f t="shared" si="4"/>
        <v>73</v>
      </c>
      <c r="B81" s="56">
        <v>1</v>
      </c>
      <c r="C81" s="63" t="s">
        <v>39</v>
      </c>
      <c r="D81" s="37">
        <v>1755754</v>
      </c>
      <c r="E81" s="37">
        <v>2572762629</v>
      </c>
      <c r="F81" s="138">
        <v>8710235</v>
      </c>
      <c r="G81" s="5" t="s">
        <v>220</v>
      </c>
      <c r="H81" s="56" t="s">
        <v>73</v>
      </c>
      <c r="I81" s="59" t="s">
        <v>15</v>
      </c>
      <c r="J81" s="56">
        <v>1</v>
      </c>
      <c r="K81" s="56" t="s">
        <v>16</v>
      </c>
      <c r="L81" s="56" t="s">
        <v>134</v>
      </c>
      <c r="M81" s="151"/>
    </row>
    <row r="82" spans="1:13" s="60" customFormat="1" x14ac:dyDescent="0.25">
      <c r="A82" s="12">
        <f t="shared" si="4"/>
        <v>74</v>
      </c>
      <c r="B82" s="56">
        <v>1</v>
      </c>
      <c r="C82" s="63" t="s">
        <v>40</v>
      </c>
      <c r="D82" s="35">
        <v>1755636</v>
      </c>
      <c r="E82" s="62">
        <v>2567236696</v>
      </c>
      <c r="F82" s="57">
        <v>8696564</v>
      </c>
      <c r="G82" s="61" t="s">
        <v>221</v>
      </c>
      <c r="H82" s="56" t="s">
        <v>17</v>
      </c>
      <c r="I82" s="59" t="s">
        <v>15</v>
      </c>
      <c r="J82" s="59">
        <v>1</v>
      </c>
      <c r="K82" s="59" t="s">
        <v>16</v>
      </c>
      <c r="L82" s="59" t="s">
        <v>134</v>
      </c>
      <c r="M82" s="151"/>
    </row>
    <row r="83" spans="1:13" s="60" customFormat="1" x14ac:dyDescent="0.25">
      <c r="A83" s="149">
        <f t="shared" si="4"/>
        <v>75</v>
      </c>
      <c r="B83" s="56">
        <v>1</v>
      </c>
      <c r="C83" s="63" t="s">
        <v>41</v>
      </c>
      <c r="D83" s="62">
        <v>1755803</v>
      </c>
      <c r="E83" s="62">
        <v>2575631367</v>
      </c>
      <c r="F83" s="121" t="s">
        <v>222</v>
      </c>
      <c r="G83" s="61" t="s">
        <v>223</v>
      </c>
      <c r="H83" s="56" t="s">
        <v>17</v>
      </c>
      <c r="I83" s="59" t="s">
        <v>15</v>
      </c>
      <c r="J83" s="56">
        <v>1</v>
      </c>
      <c r="K83" s="56" t="s">
        <v>16</v>
      </c>
      <c r="L83" s="56" t="s">
        <v>134</v>
      </c>
      <c r="M83" s="151"/>
    </row>
    <row r="84" spans="1:13" s="60" customFormat="1" x14ac:dyDescent="0.25">
      <c r="A84" s="12">
        <f t="shared" si="4"/>
        <v>76</v>
      </c>
      <c r="B84" s="56">
        <v>1</v>
      </c>
      <c r="C84" s="63" t="s">
        <v>42</v>
      </c>
      <c r="D84" s="62">
        <v>1755807</v>
      </c>
      <c r="E84" s="62">
        <v>2574509010</v>
      </c>
      <c r="F84" s="57">
        <v>8710231</v>
      </c>
      <c r="G84" s="61" t="s">
        <v>224</v>
      </c>
      <c r="H84" s="56" t="s">
        <v>17</v>
      </c>
      <c r="I84" s="59" t="s">
        <v>15</v>
      </c>
      <c r="J84" s="56">
        <v>1</v>
      </c>
      <c r="K84" s="56" t="s">
        <v>16</v>
      </c>
      <c r="L84" s="56" t="s">
        <v>134</v>
      </c>
      <c r="M84" s="151"/>
    </row>
    <row r="85" spans="1:13" s="60" customFormat="1" x14ac:dyDescent="0.25">
      <c r="A85" s="149">
        <f t="shared" si="4"/>
        <v>77</v>
      </c>
      <c r="B85" s="56">
        <v>1</v>
      </c>
      <c r="C85" s="63" t="s">
        <v>43</v>
      </c>
      <c r="D85" s="62">
        <v>1755640</v>
      </c>
      <c r="E85" s="62">
        <v>2567935081</v>
      </c>
      <c r="F85" s="57">
        <v>7279585</v>
      </c>
      <c r="G85" s="61" t="s">
        <v>225</v>
      </c>
      <c r="H85" s="56" t="s">
        <v>17</v>
      </c>
      <c r="I85" s="59" t="s">
        <v>15</v>
      </c>
      <c r="J85" s="56">
        <v>1</v>
      </c>
      <c r="K85" s="56" t="s">
        <v>16</v>
      </c>
      <c r="L85" s="56" t="s">
        <v>134</v>
      </c>
      <c r="M85" s="151"/>
    </row>
    <row r="86" spans="1:13" s="60" customFormat="1" x14ac:dyDescent="0.25">
      <c r="A86" s="12">
        <f t="shared" si="4"/>
        <v>78</v>
      </c>
      <c r="B86" s="56">
        <v>1</v>
      </c>
      <c r="C86" s="63" t="s">
        <v>84</v>
      </c>
      <c r="D86" s="56">
        <v>1755885</v>
      </c>
      <c r="E86" s="62">
        <v>2581989429</v>
      </c>
      <c r="F86" s="57">
        <v>8709850</v>
      </c>
      <c r="G86" s="68" t="s">
        <v>226</v>
      </c>
      <c r="H86" s="56" t="s">
        <v>17</v>
      </c>
      <c r="I86" s="59" t="s">
        <v>15</v>
      </c>
      <c r="J86" s="56">
        <v>1</v>
      </c>
      <c r="K86" s="56" t="s">
        <v>16</v>
      </c>
      <c r="L86" s="56" t="s">
        <v>134</v>
      </c>
      <c r="M86" s="166"/>
    </row>
    <row r="87" spans="1:13" s="60" customFormat="1" x14ac:dyDescent="0.25">
      <c r="A87" s="12">
        <f t="shared" si="4"/>
        <v>79</v>
      </c>
      <c r="B87" s="3">
        <v>1</v>
      </c>
      <c r="C87" s="36" t="s">
        <v>85</v>
      </c>
      <c r="D87" s="62">
        <v>1755941</v>
      </c>
      <c r="E87" s="62">
        <v>2583839085</v>
      </c>
      <c r="F87" s="57">
        <v>8710236</v>
      </c>
      <c r="G87" s="68" t="s">
        <v>228</v>
      </c>
      <c r="H87" s="56" t="s">
        <v>73</v>
      </c>
      <c r="I87" s="59" t="s">
        <v>15</v>
      </c>
      <c r="J87" s="65">
        <v>1</v>
      </c>
      <c r="K87" s="56" t="s">
        <v>16</v>
      </c>
      <c r="L87" s="56" t="s">
        <v>134</v>
      </c>
      <c r="M87" s="167"/>
    </row>
    <row r="88" spans="1:13" s="60" customFormat="1" x14ac:dyDescent="0.25">
      <c r="A88" s="12">
        <f t="shared" si="4"/>
        <v>80</v>
      </c>
      <c r="B88" s="187">
        <v>1</v>
      </c>
      <c r="C88" s="188" t="s">
        <v>86</v>
      </c>
      <c r="D88" s="189">
        <v>1755942</v>
      </c>
      <c r="E88" s="189">
        <v>2583839176</v>
      </c>
      <c r="F88" s="190">
        <v>7291790</v>
      </c>
      <c r="G88" s="191" t="s">
        <v>230</v>
      </c>
      <c r="H88" s="187" t="s">
        <v>73</v>
      </c>
      <c r="I88" s="192" t="s">
        <v>15</v>
      </c>
      <c r="J88" s="193">
        <v>1</v>
      </c>
      <c r="K88" s="187" t="s">
        <v>16</v>
      </c>
      <c r="L88" s="187" t="s">
        <v>134</v>
      </c>
      <c r="M88" s="194" t="s">
        <v>402</v>
      </c>
    </row>
    <row r="89" spans="1:13" s="60" customFormat="1" x14ac:dyDescent="0.25">
      <c r="A89" s="149">
        <f t="shared" si="4"/>
        <v>81</v>
      </c>
      <c r="B89" s="56">
        <v>1</v>
      </c>
      <c r="C89" s="63" t="s">
        <v>87</v>
      </c>
      <c r="D89" s="62">
        <v>1755959</v>
      </c>
      <c r="E89" s="62">
        <v>2586653665</v>
      </c>
      <c r="F89" s="57">
        <v>8731630</v>
      </c>
      <c r="G89" s="68" t="s">
        <v>232</v>
      </c>
      <c r="H89" s="56" t="s">
        <v>17</v>
      </c>
      <c r="I89" s="59" t="s">
        <v>15</v>
      </c>
      <c r="J89" s="65">
        <v>1</v>
      </c>
      <c r="K89" s="56" t="s">
        <v>16</v>
      </c>
      <c r="L89" s="56" t="s">
        <v>134</v>
      </c>
      <c r="M89" s="151"/>
    </row>
    <row r="90" spans="1:13" s="66" customFormat="1" x14ac:dyDescent="0.25">
      <c r="A90" s="12">
        <f t="shared" si="4"/>
        <v>82</v>
      </c>
      <c r="B90" s="35">
        <v>1</v>
      </c>
      <c r="C90" s="63" t="s">
        <v>88</v>
      </c>
      <c r="D90" s="62">
        <v>1755960</v>
      </c>
      <c r="E90" s="62">
        <v>2587218955</v>
      </c>
      <c r="F90" s="57">
        <v>8731625</v>
      </c>
      <c r="G90" s="68" t="s">
        <v>234</v>
      </c>
      <c r="H90" s="56" t="s">
        <v>17</v>
      </c>
      <c r="I90" s="59" t="s">
        <v>15</v>
      </c>
      <c r="J90" s="65">
        <v>1</v>
      </c>
      <c r="K90" s="56" t="s">
        <v>16</v>
      </c>
      <c r="L90" s="56" t="s">
        <v>134</v>
      </c>
      <c r="M90" s="151"/>
    </row>
    <row r="91" spans="1:13" s="60" customFormat="1" x14ac:dyDescent="0.25">
      <c r="A91" s="149">
        <f t="shared" si="4"/>
        <v>83</v>
      </c>
      <c r="B91" s="56">
        <v>1</v>
      </c>
      <c r="C91" s="63" t="s">
        <v>89</v>
      </c>
      <c r="D91" s="62">
        <v>1755963</v>
      </c>
      <c r="E91" s="62">
        <v>2587332228</v>
      </c>
      <c r="F91" s="57">
        <v>8731670</v>
      </c>
      <c r="G91" s="68" t="s">
        <v>236</v>
      </c>
      <c r="H91" s="56" t="s">
        <v>44</v>
      </c>
      <c r="I91" s="59" t="s">
        <v>15</v>
      </c>
      <c r="J91" s="65">
        <v>1</v>
      </c>
      <c r="K91" s="56" t="s">
        <v>16</v>
      </c>
      <c r="L91" s="56" t="s">
        <v>134</v>
      </c>
      <c r="M91" s="151"/>
    </row>
    <row r="92" spans="1:13" s="60" customFormat="1" x14ac:dyDescent="0.25">
      <c r="A92" s="12">
        <f t="shared" si="4"/>
        <v>84</v>
      </c>
      <c r="B92" s="56">
        <v>1</v>
      </c>
      <c r="C92" s="63" t="s">
        <v>229</v>
      </c>
      <c r="D92" s="62">
        <v>1755964</v>
      </c>
      <c r="E92" s="62">
        <v>2587332475</v>
      </c>
      <c r="F92" s="57">
        <v>8731637</v>
      </c>
      <c r="G92" s="68" t="s">
        <v>238</v>
      </c>
      <c r="H92" s="56" t="s">
        <v>44</v>
      </c>
      <c r="I92" s="59" t="s">
        <v>15</v>
      </c>
      <c r="J92" s="65">
        <v>1</v>
      </c>
      <c r="K92" s="56" t="s">
        <v>16</v>
      </c>
      <c r="L92" s="56" t="s">
        <v>134</v>
      </c>
      <c r="M92" s="151"/>
    </row>
    <row r="93" spans="1:13" s="60" customFormat="1" x14ac:dyDescent="0.25">
      <c r="A93" s="149">
        <f t="shared" si="4"/>
        <v>85</v>
      </c>
      <c r="B93" s="56">
        <v>1</v>
      </c>
      <c r="C93" s="63" t="s">
        <v>231</v>
      </c>
      <c r="D93" s="62">
        <v>1755965</v>
      </c>
      <c r="E93" s="62">
        <v>2587332665</v>
      </c>
      <c r="F93" s="57">
        <v>8731660</v>
      </c>
      <c r="G93" s="68" t="s">
        <v>240</v>
      </c>
      <c r="H93" s="56" t="s">
        <v>44</v>
      </c>
      <c r="I93" s="59" t="s">
        <v>15</v>
      </c>
      <c r="J93" s="65">
        <v>1</v>
      </c>
      <c r="K93" s="56" t="s">
        <v>16</v>
      </c>
      <c r="L93" s="56" t="s">
        <v>134</v>
      </c>
      <c r="M93" s="151"/>
    </row>
    <row r="94" spans="1:13" s="60" customFormat="1" x14ac:dyDescent="0.25">
      <c r="A94" s="12">
        <f t="shared" si="4"/>
        <v>86</v>
      </c>
      <c r="B94" s="56">
        <v>1</v>
      </c>
      <c r="C94" s="63" t="s">
        <v>233</v>
      </c>
      <c r="D94" s="62">
        <v>1756154</v>
      </c>
      <c r="E94" s="62">
        <v>2598997647</v>
      </c>
      <c r="F94" s="57">
        <v>7280030</v>
      </c>
      <c r="G94" s="72" t="s">
        <v>242</v>
      </c>
      <c r="H94" s="65" t="s">
        <v>73</v>
      </c>
      <c r="I94" s="56" t="s">
        <v>15</v>
      </c>
      <c r="J94" s="56">
        <v>1</v>
      </c>
      <c r="K94" s="56" t="s">
        <v>16</v>
      </c>
      <c r="L94" s="56" t="s">
        <v>134</v>
      </c>
      <c r="M94" s="151"/>
    </row>
    <row r="95" spans="1:13" s="60" customFormat="1" x14ac:dyDescent="0.25">
      <c r="A95" s="149">
        <f t="shared" si="4"/>
        <v>87</v>
      </c>
      <c r="B95" s="56">
        <v>1</v>
      </c>
      <c r="C95" s="63" t="s">
        <v>235</v>
      </c>
      <c r="D95" s="62">
        <v>1755786</v>
      </c>
      <c r="E95" s="62">
        <v>2575884677</v>
      </c>
      <c r="F95" s="57">
        <v>7280025</v>
      </c>
      <c r="G95" s="72" t="s">
        <v>244</v>
      </c>
      <c r="H95" s="65" t="s">
        <v>44</v>
      </c>
      <c r="I95" s="56" t="s">
        <v>15</v>
      </c>
      <c r="J95" s="56">
        <v>1</v>
      </c>
      <c r="K95" s="56" t="s">
        <v>16</v>
      </c>
      <c r="L95" s="56" t="s">
        <v>134</v>
      </c>
      <c r="M95" s="151"/>
    </row>
    <row r="96" spans="1:13" s="60" customFormat="1" x14ac:dyDescent="0.25">
      <c r="A96" s="12">
        <f t="shared" si="4"/>
        <v>88</v>
      </c>
      <c r="B96" s="56">
        <v>1</v>
      </c>
      <c r="C96" s="63" t="s">
        <v>237</v>
      </c>
      <c r="D96" s="56">
        <v>1756351</v>
      </c>
      <c r="E96" s="62">
        <v>2611196672</v>
      </c>
      <c r="F96" s="57">
        <v>7307035</v>
      </c>
      <c r="G96" s="61" t="s">
        <v>246</v>
      </c>
      <c r="H96" s="56" t="s">
        <v>17</v>
      </c>
      <c r="I96" s="56" t="s">
        <v>15</v>
      </c>
      <c r="J96" s="56">
        <v>1</v>
      </c>
      <c r="K96" s="56" t="s">
        <v>16</v>
      </c>
      <c r="L96" s="56" t="s">
        <v>134</v>
      </c>
      <c r="M96" s="75"/>
    </row>
    <row r="97" spans="1:13" s="60" customFormat="1" x14ac:dyDescent="0.25">
      <c r="A97" s="149">
        <f t="shared" si="4"/>
        <v>89</v>
      </c>
      <c r="B97" s="56">
        <v>1</v>
      </c>
      <c r="C97" s="63" t="s">
        <v>239</v>
      </c>
      <c r="D97" s="71">
        <v>1756381</v>
      </c>
      <c r="E97" s="62">
        <v>2613438718</v>
      </c>
      <c r="F97" s="57">
        <v>7313124</v>
      </c>
      <c r="G97" s="68" t="s">
        <v>248</v>
      </c>
      <c r="H97" s="69" t="s">
        <v>249</v>
      </c>
      <c r="I97" s="69" t="s">
        <v>15</v>
      </c>
      <c r="J97" s="69">
        <v>1</v>
      </c>
      <c r="K97" s="56" t="s">
        <v>16</v>
      </c>
      <c r="L97" s="56" t="s">
        <v>134</v>
      </c>
      <c r="M97" s="151"/>
    </row>
    <row r="98" spans="1:13" s="60" customFormat="1" x14ac:dyDescent="0.25">
      <c r="A98" s="12">
        <f t="shared" si="4"/>
        <v>90</v>
      </c>
      <c r="B98" s="56">
        <v>1</v>
      </c>
      <c r="C98" s="63" t="s">
        <v>241</v>
      </c>
      <c r="D98" s="83">
        <v>1756380</v>
      </c>
      <c r="E98" s="83">
        <v>2613438494</v>
      </c>
      <c r="F98" s="120" t="s">
        <v>132</v>
      </c>
      <c r="G98" s="44" t="s">
        <v>252</v>
      </c>
      <c r="H98" s="22" t="s">
        <v>73</v>
      </c>
      <c r="I98" s="13" t="s">
        <v>15</v>
      </c>
      <c r="J98" s="30">
        <v>1</v>
      </c>
      <c r="K98" s="13" t="s">
        <v>16</v>
      </c>
      <c r="L98" s="13" t="s">
        <v>134</v>
      </c>
      <c r="M98" s="158"/>
    </row>
    <row r="99" spans="1:13" s="60" customFormat="1" x14ac:dyDescent="0.25">
      <c r="A99" s="149">
        <f t="shared" si="4"/>
        <v>91</v>
      </c>
      <c r="B99" s="56">
        <v>1</v>
      </c>
      <c r="C99" s="63" t="s">
        <v>243</v>
      </c>
      <c r="D99" s="117">
        <v>1756545</v>
      </c>
      <c r="E99" s="118"/>
      <c r="F99" s="118"/>
      <c r="G99" s="118" t="s">
        <v>346</v>
      </c>
      <c r="H99" s="117" t="s">
        <v>17</v>
      </c>
      <c r="I99" s="117" t="s">
        <v>15</v>
      </c>
      <c r="J99" s="117">
        <v>1</v>
      </c>
      <c r="K99" s="13" t="s">
        <v>16</v>
      </c>
      <c r="L99" s="13" t="s">
        <v>134</v>
      </c>
      <c r="M99" s="135"/>
    </row>
    <row r="100" spans="1:13" s="60" customFormat="1" x14ac:dyDescent="0.25">
      <c r="A100" s="12">
        <f t="shared" si="4"/>
        <v>92</v>
      </c>
      <c r="B100" s="69">
        <v>1</v>
      </c>
      <c r="C100" s="63" t="s">
        <v>245</v>
      </c>
      <c r="D100" s="37">
        <v>1756533</v>
      </c>
      <c r="E100" s="37"/>
      <c r="F100" s="37"/>
      <c r="G100" s="8" t="s">
        <v>345</v>
      </c>
      <c r="H100" s="3" t="s">
        <v>17</v>
      </c>
      <c r="I100" s="4" t="s">
        <v>15</v>
      </c>
      <c r="J100" s="3">
        <v>1</v>
      </c>
      <c r="K100" s="13" t="s">
        <v>16</v>
      </c>
      <c r="L100" s="3" t="s">
        <v>134</v>
      </c>
      <c r="M100" s="14"/>
    </row>
    <row r="101" spans="1:13" s="60" customFormat="1" ht="15" customHeight="1" x14ac:dyDescent="0.25">
      <c r="A101" s="149">
        <f t="shared" si="4"/>
        <v>93</v>
      </c>
      <c r="B101" s="3">
        <v>1</v>
      </c>
      <c r="C101" s="36" t="s">
        <v>247</v>
      </c>
      <c r="D101" s="37">
        <v>1756552</v>
      </c>
      <c r="E101" s="37"/>
      <c r="F101" s="37"/>
      <c r="G101" s="8" t="s">
        <v>350</v>
      </c>
      <c r="H101" s="3" t="s">
        <v>44</v>
      </c>
      <c r="I101" s="4" t="s">
        <v>15</v>
      </c>
      <c r="J101" s="3">
        <v>1</v>
      </c>
      <c r="K101" s="3" t="s">
        <v>16</v>
      </c>
      <c r="L101" s="3" t="s">
        <v>134</v>
      </c>
      <c r="M101" s="14"/>
    </row>
    <row r="102" spans="1:13" s="60" customFormat="1" x14ac:dyDescent="0.25">
      <c r="A102" s="186">
        <f t="shared" si="4"/>
        <v>94</v>
      </c>
      <c r="B102" s="187">
        <v>1</v>
      </c>
      <c r="C102" s="188" t="s">
        <v>250</v>
      </c>
      <c r="D102" s="189">
        <v>1755902</v>
      </c>
      <c r="E102" s="189">
        <v>2583837477</v>
      </c>
      <c r="F102" s="190">
        <v>8730143</v>
      </c>
      <c r="G102" s="191" t="s">
        <v>227</v>
      </c>
      <c r="H102" s="187" t="s">
        <v>17</v>
      </c>
      <c r="I102" s="192" t="s">
        <v>15</v>
      </c>
      <c r="J102" s="193">
        <v>1</v>
      </c>
      <c r="K102" s="187" t="s">
        <v>16</v>
      </c>
      <c r="L102" s="187" t="s">
        <v>134</v>
      </c>
      <c r="M102" s="194" t="s">
        <v>401</v>
      </c>
    </row>
    <row r="103" spans="1:13" s="60" customFormat="1" x14ac:dyDescent="0.25">
      <c r="A103" s="12">
        <f>A102+1</f>
        <v>95</v>
      </c>
      <c r="B103" s="3">
        <v>1</v>
      </c>
      <c r="C103" s="36" t="s">
        <v>251</v>
      </c>
      <c r="D103" s="38">
        <v>1756567</v>
      </c>
      <c r="E103" s="38"/>
      <c r="F103" s="38"/>
      <c r="G103" s="8" t="s">
        <v>397</v>
      </c>
      <c r="H103" s="117" t="s">
        <v>17</v>
      </c>
      <c r="I103" s="3" t="s">
        <v>15</v>
      </c>
      <c r="J103" s="10">
        <v>1</v>
      </c>
      <c r="K103" s="3" t="s">
        <v>16</v>
      </c>
      <c r="L103" s="3" t="s">
        <v>134</v>
      </c>
      <c r="M103" s="39"/>
    </row>
    <row r="104" spans="1:13" s="60" customFormat="1" x14ac:dyDescent="0.25">
      <c r="A104" s="12">
        <f t="shared" si="4"/>
        <v>96</v>
      </c>
      <c r="B104" s="69">
        <v>1</v>
      </c>
      <c r="C104" s="63" t="s">
        <v>253</v>
      </c>
      <c r="D104" s="37">
        <v>1756568</v>
      </c>
      <c r="E104" s="37"/>
      <c r="F104" s="37"/>
      <c r="G104" s="8" t="s">
        <v>398</v>
      </c>
      <c r="H104" s="3" t="s">
        <v>17</v>
      </c>
      <c r="I104" s="4" t="s">
        <v>15</v>
      </c>
      <c r="J104" s="3">
        <v>1</v>
      </c>
      <c r="K104" s="13" t="s">
        <v>16</v>
      </c>
      <c r="L104" s="3" t="s">
        <v>134</v>
      </c>
      <c r="M104" s="14"/>
    </row>
    <row r="105" spans="1:13" s="60" customFormat="1" x14ac:dyDescent="0.25">
      <c r="A105" s="149">
        <f t="shared" si="4"/>
        <v>97</v>
      </c>
      <c r="B105" s="90">
        <v>1</v>
      </c>
      <c r="C105" s="94" t="s">
        <v>254</v>
      </c>
      <c r="D105" s="179"/>
      <c r="E105" s="179"/>
      <c r="F105" s="179"/>
      <c r="G105" s="89" t="s">
        <v>51</v>
      </c>
      <c r="H105" s="179"/>
      <c r="I105" s="179"/>
      <c r="J105" s="179"/>
      <c r="K105" s="179"/>
      <c r="L105" s="179"/>
      <c r="M105" s="185"/>
    </row>
    <row r="106" spans="1:13" s="60" customFormat="1" x14ac:dyDescent="0.25">
      <c r="A106" s="12">
        <f t="shared" si="4"/>
        <v>98</v>
      </c>
      <c r="B106" s="90">
        <v>1</v>
      </c>
      <c r="C106" s="112" t="s">
        <v>358</v>
      </c>
      <c r="D106" s="179"/>
      <c r="E106" s="179"/>
      <c r="F106" s="179"/>
      <c r="G106" s="89" t="s">
        <v>340</v>
      </c>
      <c r="H106" s="179"/>
      <c r="I106" s="179"/>
      <c r="J106" s="179"/>
      <c r="K106" s="179"/>
      <c r="L106" s="179"/>
      <c r="M106" s="185"/>
    </row>
    <row r="107" spans="1:13" s="60" customFormat="1" x14ac:dyDescent="0.25">
      <c r="A107" s="149">
        <f t="shared" si="4"/>
        <v>99</v>
      </c>
      <c r="B107" s="90">
        <v>1</v>
      </c>
      <c r="C107" s="94" t="s">
        <v>359</v>
      </c>
      <c r="D107" s="179"/>
      <c r="E107" s="179"/>
      <c r="F107" s="179"/>
      <c r="G107" s="89" t="s">
        <v>354</v>
      </c>
      <c r="H107" s="179"/>
      <c r="I107" s="179"/>
      <c r="J107" s="179"/>
      <c r="K107" s="179"/>
      <c r="L107" s="179"/>
      <c r="M107" s="185"/>
    </row>
    <row r="108" spans="1:13" s="60" customFormat="1" x14ac:dyDescent="0.25">
      <c r="A108" s="12">
        <f t="shared" si="4"/>
        <v>100</v>
      </c>
      <c r="B108" s="90">
        <v>1</v>
      </c>
      <c r="C108" s="94" t="s">
        <v>360</v>
      </c>
      <c r="D108" s="179"/>
      <c r="E108" s="179"/>
      <c r="F108" s="179"/>
      <c r="G108" s="89" t="s">
        <v>361</v>
      </c>
      <c r="H108" s="179"/>
      <c r="I108" s="179"/>
      <c r="J108" s="179"/>
      <c r="K108" s="179"/>
      <c r="L108" s="179"/>
      <c r="M108" s="185"/>
    </row>
    <row r="109" spans="1:13" s="95" customFormat="1" x14ac:dyDescent="0.25">
      <c r="A109" s="149">
        <f t="shared" si="4"/>
        <v>101</v>
      </c>
      <c r="B109" s="69">
        <v>1</v>
      </c>
      <c r="C109" s="73" t="s">
        <v>45</v>
      </c>
      <c r="D109" s="62">
        <v>1756073</v>
      </c>
      <c r="E109" s="62">
        <v>2593672864</v>
      </c>
      <c r="F109" s="57">
        <v>8732016</v>
      </c>
      <c r="G109" s="72" t="s">
        <v>255</v>
      </c>
      <c r="H109" s="56" t="s">
        <v>50</v>
      </c>
      <c r="I109" s="59" t="s">
        <v>15</v>
      </c>
      <c r="J109" s="56">
        <v>1</v>
      </c>
      <c r="K109" s="56" t="s">
        <v>16</v>
      </c>
      <c r="L109" s="56" t="s">
        <v>135</v>
      </c>
      <c r="M109" s="169"/>
    </row>
    <row r="110" spans="1:13" s="96" customFormat="1" x14ac:dyDescent="0.25">
      <c r="A110" s="12">
        <f t="shared" si="4"/>
        <v>102</v>
      </c>
      <c r="B110" s="3">
        <v>1</v>
      </c>
      <c r="C110" s="123" t="s">
        <v>46</v>
      </c>
      <c r="D110" s="62">
        <v>1756234</v>
      </c>
      <c r="E110" s="62">
        <v>2604638037</v>
      </c>
      <c r="F110" s="57">
        <v>7291461</v>
      </c>
      <c r="G110" s="72" t="s">
        <v>256</v>
      </c>
      <c r="H110" s="56" t="s">
        <v>44</v>
      </c>
      <c r="I110" s="59" t="s">
        <v>15</v>
      </c>
      <c r="J110" s="56">
        <v>1</v>
      </c>
      <c r="K110" s="56" t="s">
        <v>16</v>
      </c>
      <c r="L110" s="56" t="s">
        <v>134</v>
      </c>
      <c r="M110" s="151"/>
    </row>
    <row r="111" spans="1:13" s="96" customFormat="1" x14ac:dyDescent="0.25">
      <c r="A111" s="149">
        <f t="shared" si="4"/>
        <v>103</v>
      </c>
      <c r="B111" s="56">
        <v>1</v>
      </c>
      <c r="C111" s="73" t="s">
        <v>96</v>
      </c>
      <c r="D111" s="62">
        <v>1756235</v>
      </c>
      <c r="E111" s="62">
        <v>2604638383</v>
      </c>
      <c r="F111" s="121" t="s">
        <v>189</v>
      </c>
      <c r="G111" s="72" t="s">
        <v>257</v>
      </c>
      <c r="H111" s="56" t="s">
        <v>44</v>
      </c>
      <c r="I111" s="59" t="s">
        <v>15</v>
      </c>
      <c r="J111" s="56">
        <v>1</v>
      </c>
      <c r="K111" s="59" t="s">
        <v>16</v>
      </c>
      <c r="L111" s="59" t="s">
        <v>134</v>
      </c>
      <c r="M111" s="151"/>
    </row>
    <row r="112" spans="1:13" s="96" customFormat="1" x14ac:dyDescent="0.25">
      <c r="A112" s="12">
        <f t="shared" si="4"/>
        <v>104</v>
      </c>
      <c r="B112" s="76">
        <v>1</v>
      </c>
      <c r="C112" s="97" t="s">
        <v>97</v>
      </c>
      <c r="D112" s="77">
        <v>9604304</v>
      </c>
      <c r="E112" s="77">
        <v>2559077827</v>
      </c>
      <c r="F112" s="121">
        <v>8720154</v>
      </c>
      <c r="G112" s="98" t="s">
        <v>258</v>
      </c>
      <c r="H112" s="76" t="s">
        <v>54</v>
      </c>
      <c r="I112" s="76" t="s">
        <v>259</v>
      </c>
      <c r="J112" s="76">
        <v>1</v>
      </c>
      <c r="K112" s="76" t="s">
        <v>16</v>
      </c>
      <c r="L112" s="76" t="s">
        <v>135</v>
      </c>
      <c r="M112" s="75"/>
    </row>
    <row r="113" spans="1:13" s="96" customFormat="1" x14ac:dyDescent="0.25">
      <c r="A113" s="149">
        <f t="shared" si="4"/>
        <v>105</v>
      </c>
      <c r="B113" s="76">
        <v>1</v>
      </c>
      <c r="C113" s="97" t="s">
        <v>98</v>
      </c>
      <c r="D113" s="77">
        <v>9601007</v>
      </c>
      <c r="E113" s="77">
        <v>2419020454</v>
      </c>
      <c r="F113" s="121">
        <v>8720188</v>
      </c>
      <c r="G113" s="78" t="s">
        <v>261</v>
      </c>
      <c r="H113" s="76" t="s">
        <v>54</v>
      </c>
      <c r="I113" s="76" t="s">
        <v>259</v>
      </c>
      <c r="J113" s="76">
        <v>1</v>
      </c>
      <c r="K113" s="76" t="s">
        <v>16</v>
      </c>
      <c r="L113" s="76" t="s">
        <v>135</v>
      </c>
      <c r="M113" s="75"/>
    </row>
    <row r="114" spans="1:13" s="96" customFormat="1" x14ac:dyDescent="0.25">
      <c r="A114" s="12">
        <f t="shared" si="4"/>
        <v>106</v>
      </c>
      <c r="B114" s="90">
        <v>1</v>
      </c>
      <c r="C114" s="94" t="s">
        <v>99</v>
      </c>
      <c r="D114" s="180"/>
      <c r="E114" s="180"/>
      <c r="F114" s="180"/>
      <c r="G114" s="89" t="s">
        <v>51</v>
      </c>
      <c r="H114" s="181"/>
      <c r="I114" s="181"/>
      <c r="J114" s="181"/>
      <c r="K114" s="181"/>
      <c r="L114" s="181"/>
      <c r="M114" s="182"/>
    </row>
    <row r="115" spans="1:13" s="96" customFormat="1" x14ac:dyDescent="0.25">
      <c r="A115" s="149">
        <f t="shared" si="4"/>
        <v>107</v>
      </c>
      <c r="B115" s="90">
        <v>1</v>
      </c>
      <c r="C115" s="94" t="s">
        <v>260</v>
      </c>
      <c r="D115" s="142"/>
      <c r="E115" s="142"/>
      <c r="F115" s="142"/>
      <c r="G115" s="89" t="s">
        <v>340</v>
      </c>
      <c r="H115" s="142"/>
      <c r="I115" s="142"/>
      <c r="J115" s="142"/>
      <c r="K115" s="142"/>
      <c r="L115" s="142"/>
      <c r="M115" s="170"/>
    </row>
    <row r="116" spans="1:13" s="96" customFormat="1" x14ac:dyDescent="0.25">
      <c r="A116" s="12">
        <f t="shared" si="4"/>
        <v>108</v>
      </c>
      <c r="B116" s="48">
        <v>1</v>
      </c>
      <c r="C116" s="94" t="s">
        <v>262</v>
      </c>
      <c r="D116" s="142"/>
      <c r="E116" s="142"/>
      <c r="F116" s="142"/>
      <c r="G116" s="89" t="s">
        <v>354</v>
      </c>
      <c r="H116" s="142"/>
      <c r="I116" s="142"/>
      <c r="J116" s="142"/>
      <c r="K116" s="142"/>
      <c r="L116" s="142"/>
      <c r="M116" s="170"/>
    </row>
    <row r="117" spans="1:13" s="96" customFormat="1" x14ac:dyDescent="0.25">
      <c r="A117" s="12">
        <f t="shared" si="4"/>
        <v>109</v>
      </c>
      <c r="B117" s="69">
        <v>1</v>
      </c>
      <c r="C117" s="113" t="s">
        <v>48</v>
      </c>
      <c r="D117" s="38">
        <v>1755742</v>
      </c>
      <c r="E117" s="62">
        <v>2571806765</v>
      </c>
      <c r="F117" s="57">
        <v>8705970</v>
      </c>
      <c r="G117" s="47" t="s">
        <v>263</v>
      </c>
      <c r="H117" s="69" t="s">
        <v>73</v>
      </c>
      <c r="I117" s="69" t="s">
        <v>15</v>
      </c>
      <c r="J117" s="69">
        <v>1</v>
      </c>
      <c r="K117" s="69" t="s">
        <v>16</v>
      </c>
      <c r="L117" s="69" t="s">
        <v>135</v>
      </c>
      <c r="M117" s="155"/>
    </row>
    <row r="118" spans="1:13" s="96" customFormat="1" x14ac:dyDescent="0.25">
      <c r="A118" s="149">
        <f t="shared" si="4"/>
        <v>110</v>
      </c>
      <c r="B118" s="69">
        <v>1</v>
      </c>
      <c r="C118" s="113" t="s">
        <v>120</v>
      </c>
      <c r="D118" s="38">
        <v>1755969</v>
      </c>
      <c r="E118" s="62">
        <v>2587333606</v>
      </c>
      <c r="F118" s="57">
        <v>8731717</v>
      </c>
      <c r="G118" s="47" t="s">
        <v>264</v>
      </c>
      <c r="H118" s="69" t="s">
        <v>74</v>
      </c>
      <c r="I118" s="69" t="s">
        <v>15</v>
      </c>
      <c r="J118" s="69">
        <v>1</v>
      </c>
      <c r="K118" s="69" t="s">
        <v>16</v>
      </c>
      <c r="L118" s="69" t="s">
        <v>135</v>
      </c>
      <c r="M118" s="155"/>
    </row>
    <row r="119" spans="1:13" s="96" customFormat="1" x14ac:dyDescent="0.25">
      <c r="A119" s="12">
        <f t="shared" si="4"/>
        <v>111</v>
      </c>
      <c r="B119" s="69">
        <v>1</v>
      </c>
      <c r="C119" s="113" t="s">
        <v>56</v>
      </c>
      <c r="D119" s="38">
        <v>1755810</v>
      </c>
      <c r="E119" s="62">
        <v>2574509630</v>
      </c>
      <c r="F119" s="57">
        <v>8705968</v>
      </c>
      <c r="G119" s="47" t="s">
        <v>265</v>
      </c>
      <c r="H119" s="69" t="s">
        <v>73</v>
      </c>
      <c r="I119" s="69" t="s">
        <v>15</v>
      </c>
      <c r="J119" s="69">
        <v>1</v>
      </c>
      <c r="K119" s="69" t="s">
        <v>16</v>
      </c>
      <c r="L119" s="69" t="s">
        <v>135</v>
      </c>
      <c r="M119" s="155"/>
    </row>
    <row r="120" spans="1:13" s="96" customFormat="1" x14ac:dyDescent="0.25">
      <c r="A120" s="149">
        <f t="shared" si="4"/>
        <v>112</v>
      </c>
      <c r="B120" s="69">
        <v>1</v>
      </c>
      <c r="C120" s="113" t="s">
        <v>57</v>
      </c>
      <c r="D120" s="111">
        <v>1756152</v>
      </c>
      <c r="E120" s="62">
        <v>2598997191</v>
      </c>
      <c r="F120" s="57">
        <v>7280059</v>
      </c>
      <c r="G120" s="99" t="s">
        <v>266</v>
      </c>
      <c r="H120" s="59" t="s">
        <v>91</v>
      </c>
      <c r="I120" s="59" t="s">
        <v>15</v>
      </c>
      <c r="J120" s="41">
        <v>1</v>
      </c>
      <c r="K120" s="59" t="s">
        <v>16</v>
      </c>
      <c r="L120" s="59" t="s">
        <v>135</v>
      </c>
      <c r="M120" s="155"/>
    </row>
    <row r="121" spans="1:13" s="96" customFormat="1" x14ac:dyDescent="0.25">
      <c r="A121" s="12">
        <f t="shared" si="4"/>
        <v>113</v>
      </c>
      <c r="B121" s="69">
        <v>1</v>
      </c>
      <c r="C121" s="113" t="s">
        <v>58</v>
      </c>
      <c r="D121" s="38">
        <v>1755744</v>
      </c>
      <c r="E121" s="62">
        <v>2571806823</v>
      </c>
      <c r="F121" s="57">
        <v>8705967</v>
      </c>
      <c r="G121" s="47" t="s">
        <v>267</v>
      </c>
      <c r="H121" s="69" t="s">
        <v>73</v>
      </c>
      <c r="I121" s="69" t="s">
        <v>15</v>
      </c>
      <c r="J121" s="69">
        <v>1</v>
      </c>
      <c r="K121" s="69" t="s">
        <v>16</v>
      </c>
      <c r="L121" s="69" t="s">
        <v>135</v>
      </c>
      <c r="M121" s="155"/>
    </row>
    <row r="122" spans="1:13" s="96" customFormat="1" x14ac:dyDescent="0.25">
      <c r="A122" s="149">
        <f t="shared" si="4"/>
        <v>114</v>
      </c>
      <c r="B122" s="69">
        <v>1</v>
      </c>
      <c r="C122" s="113" t="s">
        <v>59</v>
      </c>
      <c r="D122" s="38">
        <v>1755745</v>
      </c>
      <c r="E122" s="62">
        <v>2571806872</v>
      </c>
      <c r="F122" s="57">
        <v>8713938</v>
      </c>
      <c r="G122" s="106" t="s">
        <v>268</v>
      </c>
      <c r="H122" s="69" t="s">
        <v>73</v>
      </c>
      <c r="I122" s="69" t="s">
        <v>15</v>
      </c>
      <c r="J122" s="69">
        <v>1</v>
      </c>
      <c r="K122" s="69" t="s">
        <v>16</v>
      </c>
      <c r="L122" s="69" t="s">
        <v>135</v>
      </c>
      <c r="M122" s="155"/>
    </row>
    <row r="123" spans="1:13" s="96" customFormat="1" x14ac:dyDescent="0.25">
      <c r="A123" s="12">
        <f t="shared" si="4"/>
        <v>115</v>
      </c>
      <c r="B123" s="69">
        <v>1</v>
      </c>
      <c r="C123" s="113" t="s">
        <v>60</v>
      </c>
      <c r="D123" s="38">
        <v>1755822</v>
      </c>
      <c r="E123" s="62">
        <v>2575884990</v>
      </c>
      <c r="F123" s="57">
        <v>8709844</v>
      </c>
      <c r="G123" s="107" t="s">
        <v>269</v>
      </c>
      <c r="H123" s="69" t="s">
        <v>17</v>
      </c>
      <c r="I123" s="69" t="s">
        <v>15</v>
      </c>
      <c r="J123" s="69">
        <v>1</v>
      </c>
      <c r="K123" s="69" t="s">
        <v>16</v>
      </c>
      <c r="L123" s="69" t="s">
        <v>135</v>
      </c>
      <c r="M123" s="155"/>
    </row>
    <row r="124" spans="1:13" s="96" customFormat="1" x14ac:dyDescent="0.25">
      <c r="A124" s="149">
        <f t="shared" si="4"/>
        <v>116</v>
      </c>
      <c r="B124" s="7">
        <v>1</v>
      </c>
      <c r="C124" s="113" t="s">
        <v>121</v>
      </c>
      <c r="D124" s="38">
        <v>1755937</v>
      </c>
      <c r="E124" s="38">
        <v>2583838707</v>
      </c>
      <c r="F124" s="82">
        <v>8709848</v>
      </c>
      <c r="G124" s="107" t="s">
        <v>270</v>
      </c>
      <c r="H124" s="7" t="s">
        <v>73</v>
      </c>
      <c r="I124" s="7" t="s">
        <v>15</v>
      </c>
      <c r="J124" s="7">
        <v>1</v>
      </c>
      <c r="K124" s="7" t="s">
        <v>16</v>
      </c>
      <c r="L124" s="7" t="s">
        <v>135</v>
      </c>
      <c r="M124" s="20"/>
    </row>
    <row r="125" spans="1:13" s="96" customFormat="1" x14ac:dyDescent="0.25">
      <c r="A125" s="12">
        <f t="shared" si="4"/>
        <v>117</v>
      </c>
      <c r="B125" s="7">
        <v>1</v>
      </c>
      <c r="C125" s="113" t="s">
        <v>122</v>
      </c>
      <c r="D125" s="38">
        <v>1755938</v>
      </c>
      <c r="E125" s="38">
        <v>2583838798</v>
      </c>
      <c r="F125" s="82">
        <v>8730165</v>
      </c>
      <c r="G125" s="107" t="s">
        <v>271</v>
      </c>
      <c r="H125" s="7" t="s">
        <v>73</v>
      </c>
      <c r="I125" s="7" t="s">
        <v>15</v>
      </c>
      <c r="J125" s="7">
        <v>1</v>
      </c>
      <c r="K125" s="7" t="s">
        <v>16</v>
      </c>
      <c r="L125" s="7" t="s">
        <v>135</v>
      </c>
      <c r="M125" s="20"/>
    </row>
    <row r="126" spans="1:13" s="96" customFormat="1" x14ac:dyDescent="0.25">
      <c r="A126" s="149">
        <f t="shared" si="4"/>
        <v>118</v>
      </c>
      <c r="B126" s="7">
        <v>1</v>
      </c>
      <c r="C126" s="113" t="s">
        <v>123</v>
      </c>
      <c r="D126" s="38">
        <v>1755939</v>
      </c>
      <c r="E126" s="38">
        <v>2583838863</v>
      </c>
      <c r="F126" s="82">
        <v>8709847</v>
      </c>
      <c r="G126" s="107" t="s">
        <v>272</v>
      </c>
      <c r="H126" s="7" t="s">
        <v>73</v>
      </c>
      <c r="I126" s="7" t="s">
        <v>15</v>
      </c>
      <c r="J126" s="7">
        <v>1</v>
      </c>
      <c r="K126" s="7" t="s">
        <v>16</v>
      </c>
      <c r="L126" s="7" t="s">
        <v>135</v>
      </c>
      <c r="M126" s="20"/>
    </row>
    <row r="127" spans="1:13" s="96" customFormat="1" x14ac:dyDescent="0.25">
      <c r="A127" s="12">
        <f t="shared" si="4"/>
        <v>119</v>
      </c>
      <c r="B127" s="7">
        <v>1</v>
      </c>
      <c r="C127" s="113" t="s">
        <v>124</v>
      </c>
      <c r="D127" s="38">
        <v>1755940</v>
      </c>
      <c r="E127" s="38">
        <v>2583859117</v>
      </c>
      <c r="F127" s="82">
        <v>7290519</v>
      </c>
      <c r="G127" s="107" t="s">
        <v>273</v>
      </c>
      <c r="H127" s="7" t="s">
        <v>73</v>
      </c>
      <c r="I127" s="7" t="s">
        <v>15</v>
      </c>
      <c r="J127" s="7">
        <v>1</v>
      </c>
      <c r="K127" s="7" t="s">
        <v>16</v>
      </c>
      <c r="L127" s="7" t="s">
        <v>135</v>
      </c>
      <c r="M127" s="20"/>
    </row>
    <row r="128" spans="1:13" s="96" customFormat="1" x14ac:dyDescent="0.25">
      <c r="A128" s="149">
        <f t="shared" si="4"/>
        <v>120</v>
      </c>
      <c r="B128" s="7">
        <v>1</v>
      </c>
      <c r="C128" s="113" t="s">
        <v>355</v>
      </c>
      <c r="D128" s="38">
        <v>1756158</v>
      </c>
      <c r="E128" s="38">
        <v>2598998025</v>
      </c>
      <c r="F128" s="82">
        <v>7283265</v>
      </c>
      <c r="G128" s="107" t="s">
        <v>274</v>
      </c>
      <c r="H128" s="7" t="s">
        <v>91</v>
      </c>
      <c r="I128" s="7" t="s">
        <v>15</v>
      </c>
      <c r="J128" s="7">
        <v>1</v>
      </c>
      <c r="K128" s="7" t="s">
        <v>16</v>
      </c>
      <c r="L128" s="7" t="s">
        <v>135</v>
      </c>
      <c r="M128" s="20"/>
    </row>
    <row r="129" spans="1:13" s="96" customFormat="1" x14ac:dyDescent="0.25">
      <c r="A129" s="12">
        <f t="shared" si="4"/>
        <v>121</v>
      </c>
      <c r="B129" s="7">
        <v>1</v>
      </c>
      <c r="C129" s="113" t="s">
        <v>362</v>
      </c>
      <c r="D129" s="38">
        <v>1754561</v>
      </c>
      <c r="E129" s="38">
        <v>2487968386</v>
      </c>
      <c r="F129" s="82">
        <v>7307041</v>
      </c>
      <c r="G129" s="107" t="s">
        <v>275</v>
      </c>
      <c r="H129" s="7" t="s">
        <v>197</v>
      </c>
      <c r="I129" s="7" t="s">
        <v>15</v>
      </c>
      <c r="J129" s="7">
        <v>1</v>
      </c>
      <c r="K129" s="7" t="s">
        <v>16</v>
      </c>
      <c r="L129" s="7" t="s">
        <v>135</v>
      </c>
      <c r="M129" s="20"/>
    </row>
    <row r="130" spans="1:13" s="96" customFormat="1" x14ac:dyDescent="0.25">
      <c r="A130" s="149">
        <f t="shared" si="4"/>
        <v>122</v>
      </c>
      <c r="B130" s="7">
        <v>1</v>
      </c>
      <c r="C130" s="113" t="s">
        <v>363</v>
      </c>
      <c r="D130" s="38">
        <v>1756373</v>
      </c>
      <c r="E130" s="38">
        <v>2611808409</v>
      </c>
      <c r="F130" s="82">
        <v>7310880</v>
      </c>
      <c r="G130" s="106" t="s">
        <v>290</v>
      </c>
      <c r="H130" s="7" t="s">
        <v>73</v>
      </c>
      <c r="I130" s="7" t="s">
        <v>15</v>
      </c>
      <c r="J130" s="7">
        <v>1</v>
      </c>
      <c r="K130" s="7" t="s">
        <v>16</v>
      </c>
      <c r="L130" s="7" t="s">
        <v>134</v>
      </c>
      <c r="M130" s="129"/>
    </row>
    <row r="131" spans="1:13" s="96" customFormat="1" x14ac:dyDescent="0.25">
      <c r="A131" s="12">
        <f t="shared" si="4"/>
        <v>123</v>
      </c>
      <c r="B131" s="7">
        <v>1</v>
      </c>
      <c r="C131" s="113" t="s">
        <v>364</v>
      </c>
      <c r="D131" s="38">
        <v>1756372</v>
      </c>
      <c r="E131" s="38">
        <v>2611808367</v>
      </c>
      <c r="F131" s="82">
        <v>7313105</v>
      </c>
      <c r="G131" s="106" t="s">
        <v>303</v>
      </c>
      <c r="H131" s="7" t="s">
        <v>73</v>
      </c>
      <c r="I131" s="7" t="s">
        <v>15</v>
      </c>
      <c r="J131" s="7">
        <v>1</v>
      </c>
      <c r="K131" s="7" t="s">
        <v>16</v>
      </c>
      <c r="L131" s="7" t="s">
        <v>134</v>
      </c>
      <c r="M131" s="129"/>
    </row>
    <row r="132" spans="1:13" s="96" customFormat="1" x14ac:dyDescent="0.25">
      <c r="A132" s="149">
        <f t="shared" ref="A132:A169" si="5">A131+1</f>
        <v>124</v>
      </c>
      <c r="B132" s="7">
        <v>1</v>
      </c>
      <c r="C132" s="113" t="s">
        <v>365</v>
      </c>
      <c r="D132" s="38">
        <v>1756260</v>
      </c>
      <c r="E132" s="38">
        <v>2605357132</v>
      </c>
      <c r="F132" s="82">
        <v>7290514</v>
      </c>
      <c r="G132" s="8" t="s">
        <v>284</v>
      </c>
      <c r="H132" s="7" t="s">
        <v>91</v>
      </c>
      <c r="I132" s="7" t="s">
        <v>15</v>
      </c>
      <c r="J132" s="7">
        <v>1</v>
      </c>
      <c r="K132" s="7" t="s">
        <v>16</v>
      </c>
      <c r="L132" s="7" t="s">
        <v>135</v>
      </c>
      <c r="M132" s="20"/>
    </row>
    <row r="133" spans="1:13" s="96" customFormat="1" x14ac:dyDescent="0.25">
      <c r="A133" s="12">
        <f t="shared" si="5"/>
        <v>125</v>
      </c>
      <c r="B133" s="7">
        <v>1</v>
      </c>
      <c r="C133" s="113" t="s">
        <v>366</v>
      </c>
      <c r="D133" s="7">
        <v>1756264</v>
      </c>
      <c r="E133" s="38">
        <v>2605357447</v>
      </c>
      <c r="F133" s="82">
        <v>7290510</v>
      </c>
      <c r="G133" s="46" t="s">
        <v>276</v>
      </c>
      <c r="H133" s="7" t="s">
        <v>91</v>
      </c>
      <c r="I133" s="7" t="s">
        <v>15</v>
      </c>
      <c r="J133" s="7">
        <v>1</v>
      </c>
      <c r="K133" s="7" t="s">
        <v>16</v>
      </c>
      <c r="L133" s="7" t="s">
        <v>135</v>
      </c>
      <c r="M133" s="155"/>
    </row>
    <row r="134" spans="1:13" s="96" customFormat="1" x14ac:dyDescent="0.25">
      <c r="A134" s="149">
        <f t="shared" si="5"/>
        <v>126</v>
      </c>
      <c r="B134" s="7">
        <v>1</v>
      </c>
      <c r="C134" s="113" t="s">
        <v>367</v>
      </c>
      <c r="D134" s="71">
        <v>1756258</v>
      </c>
      <c r="E134" s="62">
        <v>2605356993</v>
      </c>
      <c r="F134" s="57">
        <v>7291802</v>
      </c>
      <c r="G134" s="47" t="s">
        <v>289</v>
      </c>
      <c r="H134" s="69" t="s">
        <v>91</v>
      </c>
      <c r="I134" s="69" t="s">
        <v>15</v>
      </c>
      <c r="J134" s="69">
        <v>1</v>
      </c>
      <c r="K134" s="69" t="s">
        <v>16</v>
      </c>
      <c r="L134" s="69" t="s">
        <v>134</v>
      </c>
      <c r="M134" s="171"/>
    </row>
    <row r="135" spans="1:13" s="96" customFormat="1" x14ac:dyDescent="0.25">
      <c r="A135" s="84">
        <f t="shared" si="5"/>
        <v>127</v>
      </c>
      <c r="B135" s="34">
        <v>1</v>
      </c>
      <c r="C135" s="196" t="s">
        <v>368</v>
      </c>
      <c r="D135" s="108">
        <v>9600372</v>
      </c>
      <c r="E135" s="108">
        <v>2347655694</v>
      </c>
      <c r="F135" s="109" t="s">
        <v>277</v>
      </c>
      <c r="G135" s="110" t="s">
        <v>278</v>
      </c>
      <c r="H135" s="34" t="s">
        <v>50</v>
      </c>
      <c r="I135" s="34" t="s">
        <v>55</v>
      </c>
      <c r="J135" s="34">
        <v>1</v>
      </c>
      <c r="K135" s="34" t="s">
        <v>16</v>
      </c>
      <c r="L135" s="34" t="s">
        <v>135</v>
      </c>
      <c r="M135" s="172"/>
    </row>
    <row r="136" spans="1:13" s="96" customFormat="1" x14ac:dyDescent="0.25">
      <c r="A136" s="149">
        <f t="shared" si="5"/>
        <v>128</v>
      </c>
      <c r="B136" s="69">
        <v>1</v>
      </c>
      <c r="C136" s="113" t="s">
        <v>369</v>
      </c>
      <c r="D136" s="38">
        <v>1756259</v>
      </c>
      <c r="E136" s="62">
        <v>2605357066</v>
      </c>
      <c r="F136" s="57">
        <v>7290507</v>
      </c>
      <c r="G136" s="68" t="s">
        <v>279</v>
      </c>
      <c r="H136" s="69" t="s">
        <v>91</v>
      </c>
      <c r="I136" s="69" t="s">
        <v>15</v>
      </c>
      <c r="J136" s="69">
        <v>1</v>
      </c>
      <c r="K136" s="69" t="s">
        <v>16</v>
      </c>
      <c r="L136" s="69" t="s">
        <v>135</v>
      </c>
      <c r="M136" s="155"/>
    </row>
    <row r="137" spans="1:13" s="66" customFormat="1" x14ac:dyDescent="0.25">
      <c r="A137" s="12">
        <f t="shared" si="5"/>
        <v>129</v>
      </c>
      <c r="B137" s="69">
        <v>1</v>
      </c>
      <c r="C137" s="113" t="s">
        <v>353</v>
      </c>
      <c r="D137" s="38">
        <v>1755741</v>
      </c>
      <c r="E137" s="62">
        <v>2571806732</v>
      </c>
      <c r="F137" s="57">
        <v>8705974</v>
      </c>
      <c r="G137" s="47" t="s">
        <v>280</v>
      </c>
      <c r="H137" s="69" t="s">
        <v>73</v>
      </c>
      <c r="I137" s="69" t="s">
        <v>15</v>
      </c>
      <c r="J137" s="69">
        <v>1</v>
      </c>
      <c r="K137" s="69" t="s">
        <v>16</v>
      </c>
      <c r="L137" s="69" t="s">
        <v>135</v>
      </c>
      <c r="M137" s="173"/>
    </row>
    <row r="138" spans="1:13" s="96" customFormat="1" x14ac:dyDescent="0.25">
      <c r="A138" s="149">
        <f t="shared" si="5"/>
        <v>130</v>
      </c>
      <c r="B138" s="7">
        <v>1</v>
      </c>
      <c r="C138" s="113" t="s">
        <v>370</v>
      </c>
      <c r="D138" s="38">
        <v>1755746</v>
      </c>
      <c r="E138" s="38">
        <v>2571806898</v>
      </c>
      <c r="F138" s="82">
        <v>8705966</v>
      </c>
      <c r="G138" s="106" t="s">
        <v>281</v>
      </c>
      <c r="H138" s="7" t="s">
        <v>73</v>
      </c>
      <c r="I138" s="7" t="s">
        <v>15</v>
      </c>
      <c r="J138" s="7">
        <v>1</v>
      </c>
      <c r="K138" s="7" t="s">
        <v>16</v>
      </c>
      <c r="L138" s="7" t="s">
        <v>134</v>
      </c>
      <c r="M138" s="129"/>
    </row>
    <row r="139" spans="1:13" s="96" customFormat="1" x14ac:dyDescent="0.25">
      <c r="A139" s="12">
        <f t="shared" si="5"/>
        <v>131</v>
      </c>
      <c r="B139" s="7">
        <v>1</v>
      </c>
      <c r="C139" s="113" t="s">
        <v>371</v>
      </c>
      <c r="D139" s="38">
        <v>1755743</v>
      </c>
      <c r="E139" s="38">
        <v>2571806807</v>
      </c>
      <c r="F139" s="82">
        <v>8705973</v>
      </c>
      <c r="G139" s="106" t="s">
        <v>282</v>
      </c>
      <c r="H139" s="7" t="s">
        <v>73</v>
      </c>
      <c r="I139" s="7" t="s">
        <v>15</v>
      </c>
      <c r="J139" s="7">
        <v>1</v>
      </c>
      <c r="K139" s="7" t="s">
        <v>16</v>
      </c>
      <c r="L139" s="7" t="s">
        <v>135</v>
      </c>
      <c r="M139" s="20"/>
    </row>
    <row r="140" spans="1:13" s="96" customFormat="1" x14ac:dyDescent="0.25">
      <c r="A140" s="149">
        <f t="shared" si="5"/>
        <v>132</v>
      </c>
      <c r="B140" s="7">
        <v>1</v>
      </c>
      <c r="C140" s="113" t="s">
        <v>372</v>
      </c>
      <c r="D140" s="38">
        <v>1755935</v>
      </c>
      <c r="E140" s="38">
        <v>2583838459</v>
      </c>
      <c r="F140" s="82">
        <v>8709851</v>
      </c>
      <c r="G140" s="8" t="s">
        <v>283</v>
      </c>
      <c r="H140" s="7" t="s">
        <v>73</v>
      </c>
      <c r="I140" s="7" t="s">
        <v>15</v>
      </c>
      <c r="J140" s="7">
        <v>1</v>
      </c>
      <c r="K140" s="7" t="s">
        <v>16</v>
      </c>
      <c r="L140" s="7" t="s">
        <v>135</v>
      </c>
      <c r="M140" s="20"/>
    </row>
    <row r="141" spans="1:13" s="96" customFormat="1" x14ac:dyDescent="0.25">
      <c r="A141" s="12">
        <f t="shared" si="5"/>
        <v>133</v>
      </c>
      <c r="B141" s="7">
        <v>1</v>
      </c>
      <c r="C141" s="113" t="s">
        <v>373</v>
      </c>
      <c r="D141" s="38">
        <v>1756388</v>
      </c>
      <c r="E141" s="38">
        <v>2613439872</v>
      </c>
      <c r="F141" s="82">
        <v>7316224</v>
      </c>
      <c r="G141" s="106" t="s">
        <v>297</v>
      </c>
      <c r="H141" s="7" t="s">
        <v>91</v>
      </c>
      <c r="I141" s="7" t="s">
        <v>15</v>
      </c>
      <c r="J141" s="7">
        <v>1</v>
      </c>
      <c r="K141" s="7" t="s">
        <v>16</v>
      </c>
      <c r="L141" s="7" t="s">
        <v>134</v>
      </c>
      <c r="M141" s="129"/>
    </row>
    <row r="142" spans="1:13" s="96" customFormat="1" x14ac:dyDescent="0.25">
      <c r="A142" s="149">
        <f t="shared" si="5"/>
        <v>134</v>
      </c>
      <c r="B142" s="7">
        <v>1</v>
      </c>
      <c r="C142" s="113" t="s">
        <v>374</v>
      </c>
      <c r="D142" s="38">
        <v>1756261</v>
      </c>
      <c r="E142" s="38">
        <v>2605357215</v>
      </c>
      <c r="F142" s="82">
        <v>7290515</v>
      </c>
      <c r="G142" s="8" t="s">
        <v>285</v>
      </c>
      <c r="H142" s="7" t="s">
        <v>91</v>
      </c>
      <c r="I142" s="7" t="s">
        <v>15</v>
      </c>
      <c r="J142" s="7">
        <v>1</v>
      </c>
      <c r="K142" s="7" t="s">
        <v>16</v>
      </c>
      <c r="L142" s="7" t="s">
        <v>135</v>
      </c>
      <c r="M142" s="20"/>
    </row>
    <row r="143" spans="1:13" s="96" customFormat="1" x14ac:dyDescent="0.25">
      <c r="A143" s="12">
        <f t="shared" si="5"/>
        <v>135</v>
      </c>
      <c r="B143" s="7">
        <v>1</v>
      </c>
      <c r="C143" s="113" t="s">
        <v>375</v>
      </c>
      <c r="D143" s="38">
        <v>1756262</v>
      </c>
      <c r="E143" s="38">
        <v>2605357314</v>
      </c>
      <c r="F143" s="82">
        <v>7290517</v>
      </c>
      <c r="G143" s="8" t="s">
        <v>286</v>
      </c>
      <c r="H143" s="7" t="s">
        <v>91</v>
      </c>
      <c r="I143" s="7" t="s">
        <v>15</v>
      </c>
      <c r="J143" s="7">
        <v>1</v>
      </c>
      <c r="K143" s="7" t="s">
        <v>16</v>
      </c>
      <c r="L143" s="7" t="s">
        <v>135</v>
      </c>
      <c r="M143" s="20"/>
    </row>
    <row r="144" spans="1:13" s="96" customFormat="1" x14ac:dyDescent="0.25">
      <c r="A144" s="149">
        <f t="shared" si="5"/>
        <v>136</v>
      </c>
      <c r="B144" s="7">
        <v>1</v>
      </c>
      <c r="C144" s="113" t="s">
        <v>376</v>
      </c>
      <c r="D144" s="38">
        <v>1755967</v>
      </c>
      <c r="E144" s="38">
        <v>2587332988</v>
      </c>
      <c r="F144" s="82">
        <v>8731734</v>
      </c>
      <c r="G144" s="8" t="s">
        <v>287</v>
      </c>
      <c r="H144" s="7" t="s">
        <v>74</v>
      </c>
      <c r="I144" s="7" t="s">
        <v>15</v>
      </c>
      <c r="J144" s="7">
        <v>1</v>
      </c>
      <c r="K144" s="7" t="s">
        <v>16</v>
      </c>
      <c r="L144" s="7" t="s">
        <v>135</v>
      </c>
      <c r="M144" s="20"/>
    </row>
    <row r="145" spans="1:13" s="96" customFormat="1" ht="15" customHeight="1" x14ac:dyDescent="0.25">
      <c r="A145" s="12">
        <f t="shared" si="5"/>
        <v>137</v>
      </c>
      <c r="B145" s="7">
        <v>1</v>
      </c>
      <c r="C145" s="113" t="s">
        <v>377</v>
      </c>
      <c r="D145" s="38">
        <v>1755968</v>
      </c>
      <c r="E145" s="38">
        <v>2587333218</v>
      </c>
      <c r="F145" s="82">
        <v>8731723</v>
      </c>
      <c r="G145" s="8" t="s">
        <v>288</v>
      </c>
      <c r="H145" s="7" t="s">
        <v>74</v>
      </c>
      <c r="I145" s="7" t="s">
        <v>15</v>
      </c>
      <c r="J145" s="7">
        <v>1</v>
      </c>
      <c r="K145" s="7" t="s">
        <v>16</v>
      </c>
      <c r="L145" s="7" t="s">
        <v>135</v>
      </c>
      <c r="M145" s="20"/>
    </row>
    <row r="146" spans="1:13" s="96" customFormat="1" x14ac:dyDescent="0.25">
      <c r="A146" s="149">
        <f t="shared" si="5"/>
        <v>138</v>
      </c>
      <c r="B146" s="7">
        <v>1</v>
      </c>
      <c r="C146" s="113" t="s">
        <v>378</v>
      </c>
      <c r="D146" s="38">
        <v>1756227</v>
      </c>
      <c r="E146" s="38">
        <v>2604640140</v>
      </c>
      <c r="F146" s="82">
        <v>7291467</v>
      </c>
      <c r="G146" s="106" t="s">
        <v>298</v>
      </c>
      <c r="H146" s="7" t="s">
        <v>91</v>
      </c>
      <c r="I146" s="7" t="s">
        <v>15</v>
      </c>
      <c r="J146" s="7">
        <v>1</v>
      </c>
      <c r="K146" s="7" t="s">
        <v>16</v>
      </c>
      <c r="L146" s="7" t="s">
        <v>134</v>
      </c>
      <c r="M146" s="129"/>
    </row>
    <row r="147" spans="1:13" s="96" customFormat="1" x14ac:dyDescent="0.25">
      <c r="A147" s="12">
        <f t="shared" si="5"/>
        <v>139</v>
      </c>
      <c r="B147" s="7">
        <v>1</v>
      </c>
      <c r="C147" s="113" t="s">
        <v>379</v>
      </c>
      <c r="D147" s="38">
        <v>1756217</v>
      </c>
      <c r="E147" s="38">
        <v>2604638987</v>
      </c>
      <c r="F147" s="82">
        <v>7306452</v>
      </c>
      <c r="G147" s="106" t="s">
        <v>299</v>
      </c>
      <c r="H147" s="7" t="s">
        <v>91</v>
      </c>
      <c r="I147" s="7" t="s">
        <v>15</v>
      </c>
      <c r="J147" s="7">
        <v>1</v>
      </c>
      <c r="K147" s="7" t="s">
        <v>16</v>
      </c>
      <c r="L147" s="7" t="s">
        <v>134</v>
      </c>
      <c r="M147" s="129"/>
    </row>
    <row r="148" spans="1:13" s="96" customFormat="1" x14ac:dyDescent="0.25">
      <c r="A148" s="149">
        <f t="shared" si="5"/>
        <v>140</v>
      </c>
      <c r="B148" s="7">
        <v>1</v>
      </c>
      <c r="C148" s="113" t="s">
        <v>380</v>
      </c>
      <c r="D148" s="38">
        <v>1756267</v>
      </c>
      <c r="E148" s="38">
        <v>2605357595</v>
      </c>
      <c r="F148" s="82">
        <v>7291797</v>
      </c>
      <c r="G148" s="106" t="s">
        <v>300</v>
      </c>
      <c r="H148" s="7" t="s">
        <v>91</v>
      </c>
      <c r="I148" s="7" t="s">
        <v>15</v>
      </c>
      <c r="J148" s="7">
        <v>1</v>
      </c>
      <c r="K148" s="7" t="s">
        <v>16</v>
      </c>
      <c r="L148" s="7" t="s">
        <v>134</v>
      </c>
      <c r="M148" s="129"/>
    </row>
    <row r="149" spans="1:13" s="96" customFormat="1" x14ac:dyDescent="0.25">
      <c r="A149" s="12">
        <f t="shared" si="5"/>
        <v>141</v>
      </c>
      <c r="B149" s="7">
        <v>1</v>
      </c>
      <c r="C149" s="113" t="s">
        <v>381</v>
      </c>
      <c r="D149" s="130">
        <v>1756358</v>
      </c>
      <c r="E149" s="38">
        <v>2611807963</v>
      </c>
      <c r="F149" s="82">
        <v>7312406</v>
      </c>
      <c r="G149" s="131" t="s">
        <v>291</v>
      </c>
      <c r="H149" s="130" t="s">
        <v>73</v>
      </c>
      <c r="I149" s="130" t="s">
        <v>15</v>
      </c>
      <c r="J149" s="130">
        <v>1</v>
      </c>
      <c r="K149" s="130" t="s">
        <v>16</v>
      </c>
      <c r="L149" s="130" t="s">
        <v>134</v>
      </c>
      <c r="M149" s="129"/>
    </row>
    <row r="150" spans="1:13" s="66" customFormat="1" x14ac:dyDescent="0.25">
      <c r="A150" s="149">
        <f t="shared" si="5"/>
        <v>142</v>
      </c>
      <c r="B150" s="7">
        <v>1</v>
      </c>
      <c r="C150" s="113" t="s">
        <v>382</v>
      </c>
      <c r="D150" s="38">
        <v>1756359</v>
      </c>
      <c r="E150" s="38">
        <v>2611807989</v>
      </c>
      <c r="F150" s="38">
        <v>7310892</v>
      </c>
      <c r="G150" s="106" t="s">
        <v>301</v>
      </c>
      <c r="H150" s="7" t="s">
        <v>91</v>
      </c>
      <c r="I150" s="7" t="s">
        <v>15</v>
      </c>
      <c r="J150" s="7">
        <v>1</v>
      </c>
      <c r="K150" s="7" t="s">
        <v>16</v>
      </c>
      <c r="L150" s="7" t="s">
        <v>134</v>
      </c>
      <c r="M150" s="129"/>
    </row>
    <row r="151" spans="1:13" s="66" customFormat="1" x14ac:dyDescent="0.25">
      <c r="A151" s="12">
        <f t="shared" si="5"/>
        <v>143</v>
      </c>
      <c r="B151" s="7">
        <v>1</v>
      </c>
      <c r="C151" s="113" t="s">
        <v>383</v>
      </c>
      <c r="D151" s="7">
        <v>1756284</v>
      </c>
      <c r="E151" s="38">
        <v>2607343379</v>
      </c>
      <c r="F151" s="82">
        <v>7307059</v>
      </c>
      <c r="G151" s="8" t="s">
        <v>292</v>
      </c>
      <c r="H151" s="7" t="s">
        <v>73</v>
      </c>
      <c r="I151" s="7" t="s">
        <v>15</v>
      </c>
      <c r="J151" s="7">
        <v>1</v>
      </c>
      <c r="K151" s="7" t="s">
        <v>16</v>
      </c>
      <c r="L151" s="7" t="s">
        <v>134</v>
      </c>
      <c r="M151" s="20"/>
    </row>
    <row r="152" spans="1:13" s="66" customFormat="1" x14ac:dyDescent="0.25">
      <c r="A152" s="149">
        <f t="shared" si="5"/>
        <v>144</v>
      </c>
      <c r="B152" s="7">
        <v>1</v>
      </c>
      <c r="C152" s="113" t="s">
        <v>384</v>
      </c>
      <c r="D152" s="21">
        <v>1756390</v>
      </c>
      <c r="E152" s="21"/>
      <c r="F152" s="21"/>
      <c r="G152" s="8" t="s">
        <v>131</v>
      </c>
      <c r="H152" s="7" t="s">
        <v>66</v>
      </c>
      <c r="I152" s="7" t="s">
        <v>15</v>
      </c>
      <c r="J152" s="4">
        <v>1</v>
      </c>
      <c r="K152" s="4" t="s">
        <v>16</v>
      </c>
      <c r="L152" s="37"/>
      <c r="M152" s="20"/>
    </row>
    <row r="153" spans="1:13" s="66" customFormat="1" x14ac:dyDescent="0.25">
      <c r="A153" s="12">
        <f t="shared" si="5"/>
        <v>145</v>
      </c>
      <c r="B153" s="7">
        <v>1</v>
      </c>
      <c r="C153" s="113" t="s">
        <v>385</v>
      </c>
      <c r="D153" s="38">
        <v>1755944</v>
      </c>
      <c r="E153" s="38">
        <v>2583839325</v>
      </c>
      <c r="F153" s="82">
        <v>8730149</v>
      </c>
      <c r="G153" s="106" t="s">
        <v>293</v>
      </c>
      <c r="H153" s="7" t="s">
        <v>73</v>
      </c>
      <c r="I153" s="7" t="s">
        <v>15</v>
      </c>
      <c r="J153" s="7">
        <v>1</v>
      </c>
      <c r="K153" s="7" t="s">
        <v>16</v>
      </c>
      <c r="L153" s="7" t="s">
        <v>134</v>
      </c>
      <c r="M153" s="20"/>
    </row>
    <row r="154" spans="1:13" s="66" customFormat="1" x14ac:dyDescent="0.25">
      <c r="A154" s="149">
        <f t="shared" si="5"/>
        <v>146</v>
      </c>
      <c r="B154" s="7">
        <v>1</v>
      </c>
      <c r="C154" s="113" t="s">
        <v>386</v>
      </c>
      <c r="D154" s="38">
        <v>1755936</v>
      </c>
      <c r="E154" s="38">
        <v>2583838624</v>
      </c>
      <c r="F154" s="82">
        <v>7283262</v>
      </c>
      <c r="G154" s="106" t="s">
        <v>294</v>
      </c>
      <c r="H154" s="7" t="s">
        <v>73</v>
      </c>
      <c r="I154" s="7" t="s">
        <v>15</v>
      </c>
      <c r="J154" s="7">
        <v>1</v>
      </c>
      <c r="K154" s="7" t="s">
        <v>16</v>
      </c>
      <c r="L154" s="7" t="s">
        <v>134</v>
      </c>
      <c r="M154" s="20"/>
    </row>
    <row r="155" spans="1:13" s="66" customFormat="1" x14ac:dyDescent="0.25">
      <c r="A155" s="12">
        <f t="shared" si="5"/>
        <v>147</v>
      </c>
      <c r="B155" s="7">
        <v>1</v>
      </c>
      <c r="C155" s="113" t="s">
        <v>387</v>
      </c>
      <c r="D155" s="38">
        <v>1756151</v>
      </c>
      <c r="E155" s="38">
        <v>2598989313</v>
      </c>
      <c r="F155" s="82">
        <v>7201752</v>
      </c>
      <c r="G155" s="106" t="s">
        <v>295</v>
      </c>
      <c r="H155" s="7" t="s">
        <v>91</v>
      </c>
      <c r="I155" s="7" t="s">
        <v>15</v>
      </c>
      <c r="J155" s="7">
        <v>1</v>
      </c>
      <c r="K155" s="7" t="s">
        <v>16</v>
      </c>
      <c r="L155" s="7" t="s">
        <v>134</v>
      </c>
      <c r="M155" s="174"/>
    </row>
    <row r="156" spans="1:13" s="66" customFormat="1" x14ac:dyDescent="0.25">
      <c r="A156" s="149">
        <f t="shared" si="5"/>
        <v>148</v>
      </c>
      <c r="B156" s="7">
        <v>1</v>
      </c>
      <c r="C156" s="113" t="s">
        <v>388</v>
      </c>
      <c r="D156" s="38">
        <v>1756153</v>
      </c>
      <c r="E156" s="38">
        <v>2598997324</v>
      </c>
      <c r="F156" s="82">
        <v>7280053</v>
      </c>
      <c r="G156" s="106" t="s">
        <v>296</v>
      </c>
      <c r="H156" s="7" t="s">
        <v>91</v>
      </c>
      <c r="I156" s="7" t="s">
        <v>15</v>
      </c>
      <c r="J156" s="7">
        <v>1</v>
      </c>
      <c r="K156" s="7" t="s">
        <v>16</v>
      </c>
      <c r="L156" s="7" t="s">
        <v>134</v>
      </c>
      <c r="M156" s="174"/>
    </row>
    <row r="157" spans="1:13" s="66" customFormat="1" x14ac:dyDescent="0.25">
      <c r="A157" s="12">
        <f t="shared" si="5"/>
        <v>149</v>
      </c>
      <c r="B157" s="7">
        <v>1</v>
      </c>
      <c r="C157" s="113" t="s">
        <v>389</v>
      </c>
      <c r="D157" s="38">
        <v>1756266</v>
      </c>
      <c r="E157" s="38">
        <v>2605357561</v>
      </c>
      <c r="F157" s="82">
        <v>7291792</v>
      </c>
      <c r="G157" s="106" t="s">
        <v>302</v>
      </c>
      <c r="H157" s="7" t="s">
        <v>91</v>
      </c>
      <c r="I157" s="7" t="s">
        <v>15</v>
      </c>
      <c r="J157" s="7">
        <v>1</v>
      </c>
      <c r="K157" s="7" t="s">
        <v>16</v>
      </c>
      <c r="L157" s="7" t="s">
        <v>134</v>
      </c>
      <c r="M157" s="129"/>
    </row>
    <row r="158" spans="1:13" s="11" customFormat="1" x14ac:dyDescent="0.25">
      <c r="A158" s="149">
        <f t="shared" si="5"/>
        <v>150</v>
      </c>
      <c r="B158" s="34">
        <v>1</v>
      </c>
      <c r="C158" s="183" t="s">
        <v>390</v>
      </c>
      <c r="D158" s="108">
        <v>9602301</v>
      </c>
      <c r="E158" s="108"/>
      <c r="F158" s="109"/>
      <c r="G158" s="110" t="s">
        <v>344</v>
      </c>
      <c r="H158" s="34" t="s">
        <v>90</v>
      </c>
      <c r="I158" s="34" t="s">
        <v>103</v>
      </c>
      <c r="J158" s="34">
        <v>1</v>
      </c>
      <c r="K158" s="34" t="s">
        <v>16</v>
      </c>
      <c r="L158" s="34" t="s">
        <v>134</v>
      </c>
      <c r="M158" s="184"/>
    </row>
    <row r="159" spans="1:13" s="11" customFormat="1" x14ac:dyDescent="0.25">
      <c r="A159" s="12">
        <f t="shared" si="5"/>
        <v>151</v>
      </c>
      <c r="B159" s="34">
        <v>1</v>
      </c>
      <c r="C159" s="183" t="s">
        <v>391</v>
      </c>
      <c r="D159" s="108">
        <v>9604334</v>
      </c>
      <c r="E159" s="108"/>
      <c r="F159" s="109"/>
      <c r="G159" s="110" t="s">
        <v>343</v>
      </c>
      <c r="H159" s="34" t="s">
        <v>90</v>
      </c>
      <c r="I159" s="34" t="s">
        <v>103</v>
      </c>
      <c r="J159" s="34">
        <v>1</v>
      </c>
      <c r="K159" s="34" t="s">
        <v>16</v>
      </c>
      <c r="L159" s="34" t="s">
        <v>134</v>
      </c>
      <c r="M159" s="184"/>
    </row>
    <row r="160" spans="1:13" s="96" customFormat="1" x14ac:dyDescent="0.25">
      <c r="A160" s="12">
        <f t="shared" si="5"/>
        <v>152</v>
      </c>
      <c r="B160" s="90">
        <v>1</v>
      </c>
      <c r="C160" s="94" t="s">
        <v>392</v>
      </c>
      <c r="D160" s="180"/>
      <c r="E160" s="180"/>
      <c r="F160" s="180"/>
      <c r="G160" s="89" t="s">
        <v>51</v>
      </c>
      <c r="H160" s="181"/>
      <c r="I160" s="181"/>
      <c r="J160" s="181"/>
      <c r="K160" s="181"/>
      <c r="L160" s="181"/>
      <c r="M160" s="182"/>
    </row>
    <row r="161" spans="1:13" s="96" customFormat="1" x14ac:dyDescent="0.25">
      <c r="A161" s="149">
        <f t="shared" si="5"/>
        <v>153</v>
      </c>
      <c r="B161" s="90">
        <v>1</v>
      </c>
      <c r="C161" s="94" t="s">
        <v>393</v>
      </c>
      <c r="D161" s="142"/>
      <c r="E161" s="142"/>
      <c r="F161" s="142"/>
      <c r="G161" s="89" t="s">
        <v>340</v>
      </c>
      <c r="H161" s="142"/>
      <c r="I161" s="142"/>
      <c r="J161" s="142"/>
      <c r="K161" s="142"/>
      <c r="L161" s="142"/>
      <c r="M161" s="170"/>
    </row>
    <row r="162" spans="1:13" s="66" customFormat="1" x14ac:dyDescent="0.25">
      <c r="A162" s="149">
        <f t="shared" si="5"/>
        <v>154</v>
      </c>
      <c r="B162" s="56">
        <v>1</v>
      </c>
      <c r="C162" s="63" t="s">
        <v>304</v>
      </c>
      <c r="D162" s="114">
        <v>1756466</v>
      </c>
      <c r="E162" s="115">
        <v>2611563996</v>
      </c>
      <c r="F162" s="120" t="s">
        <v>132</v>
      </c>
      <c r="G162" s="61" t="s">
        <v>306</v>
      </c>
      <c r="H162" s="114" t="s">
        <v>63</v>
      </c>
      <c r="I162" s="59" t="s">
        <v>15</v>
      </c>
      <c r="J162" s="56">
        <v>1</v>
      </c>
      <c r="K162" s="59" t="s">
        <v>16</v>
      </c>
      <c r="L162" s="59" t="s">
        <v>134</v>
      </c>
      <c r="M162" s="151"/>
    </row>
    <row r="163" spans="1:13" s="66" customFormat="1" x14ac:dyDescent="0.25">
      <c r="A163" s="12">
        <f t="shared" si="5"/>
        <v>155</v>
      </c>
      <c r="B163" s="69">
        <v>1</v>
      </c>
      <c r="C163" s="63" t="s">
        <v>307</v>
      </c>
      <c r="D163" s="62">
        <v>1755793</v>
      </c>
      <c r="E163" s="62">
        <v>2574934812</v>
      </c>
      <c r="F163" s="57">
        <v>8712473</v>
      </c>
      <c r="G163" s="72" t="s">
        <v>308</v>
      </c>
      <c r="H163" s="56" t="s">
        <v>44</v>
      </c>
      <c r="I163" s="59" t="s">
        <v>15</v>
      </c>
      <c r="J163" s="41">
        <v>1</v>
      </c>
      <c r="K163" s="59" t="s">
        <v>16</v>
      </c>
      <c r="L163" s="59" t="s">
        <v>134</v>
      </c>
      <c r="M163" s="175"/>
    </row>
    <row r="164" spans="1:13" s="66" customFormat="1" x14ac:dyDescent="0.25">
      <c r="A164" s="149">
        <f t="shared" si="5"/>
        <v>156</v>
      </c>
      <c r="B164" s="69">
        <v>1</v>
      </c>
      <c r="C164" s="63" t="s">
        <v>309</v>
      </c>
      <c r="D164" s="62">
        <v>1755861</v>
      </c>
      <c r="E164" s="62">
        <v>2577684802</v>
      </c>
      <c r="F164" s="57">
        <v>8710228</v>
      </c>
      <c r="G164" s="72" t="s">
        <v>310</v>
      </c>
      <c r="H164" s="56" t="s">
        <v>17</v>
      </c>
      <c r="I164" s="59" t="s">
        <v>15</v>
      </c>
      <c r="J164" s="41">
        <v>1</v>
      </c>
      <c r="K164" s="59" t="s">
        <v>16</v>
      </c>
      <c r="L164" s="59" t="s">
        <v>134</v>
      </c>
      <c r="M164" s="175"/>
    </row>
    <row r="165" spans="1:13" s="66" customFormat="1" x14ac:dyDescent="0.25">
      <c r="A165" s="12">
        <f t="shared" si="5"/>
        <v>157</v>
      </c>
      <c r="B165" s="69">
        <v>1</v>
      </c>
      <c r="C165" s="63" t="s">
        <v>311</v>
      </c>
      <c r="D165" s="62">
        <v>1756318</v>
      </c>
      <c r="E165" s="62">
        <v>2608038465</v>
      </c>
      <c r="F165" s="57">
        <v>7307002</v>
      </c>
      <c r="G165" s="72" t="s">
        <v>312</v>
      </c>
      <c r="H165" s="56" t="s">
        <v>66</v>
      </c>
      <c r="I165" s="59" t="s">
        <v>15</v>
      </c>
      <c r="J165" s="41">
        <v>1</v>
      </c>
      <c r="K165" s="59" t="s">
        <v>16</v>
      </c>
      <c r="L165" s="59" t="s">
        <v>134</v>
      </c>
      <c r="M165" s="175"/>
    </row>
    <row r="166" spans="1:13" s="66" customFormat="1" x14ac:dyDescent="0.25">
      <c r="A166" s="149">
        <f t="shared" si="5"/>
        <v>158</v>
      </c>
      <c r="B166" s="69">
        <v>1</v>
      </c>
      <c r="C166" s="63" t="s">
        <v>313</v>
      </c>
      <c r="D166" s="62">
        <v>1756411</v>
      </c>
      <c r="E166" s="62">
        <v>2551755016</v>
      </c>
      <c r="F166" s="57">
        <v>7197540</v>
      </c>
      <c r="G166" s="72" t="s">
        <v>314</v>
      </c>
      <c r="H166" s="56" t="s">
        <v>54</v>
      </c>
      <c r="I166" s="59" t="s">
        <v>15</v>
      </c>
      <c r="J166" s="41">
        <v>1</v>
      </c>
      <c r="K166" s="59" t="s">
        <v>16</v>
      </c>
      <c r="L166" s="59" t="s">
        <v>135</v>
      </c>
      <c r="M166" s="175"/>
    </row>
    <row r="167" spans="1:13" s="66" customFormat="1" x14ac:dyDescent="0.25">
      <c r="A167" s="12">
        <f t="shared" si="5"/>
        <v>159</v>
      </c>
      <c r="B167" s="69">
        <v>1</v>
      </c>
      <c r="C167" s="63" t="s">
        <v>315</v>
      </c>
      <c r="D167" s="62">
        <v>1756208</v>
      </c>
      <c r="E167" s="62">
        <v>2299844064</v>
      </c>
      <c r="F167" s="57">
        <v>8950192</v>
      </c>
      <c r="G167" s="72" t="s">
        <v>316</v>
      </c>
      <c r="H167" s="56" t="s">
        <v>63</v>
      </c>
      <c r="I167" s="59" t="s">
        <v>15</v>
      </c>
      <c r="J167" s="41">
        <v>1</v>
      </c>
      <c r="K167" s="59" t="s">
        <v>16</v>
      </c>
      <c r="L167" s="59" t="s">
        <v>134</v>
      </c>
      <c r="M167" s="175"/>
    </row>
    <row r="168" spans="1:13" s="66" customFormat="1" x14ac:dyDescent="0.25">
      <c r="A168" s="149">
        <f t="shared" si="5"/>
        <v>160</v>
      </c>
      <c r="B168" s="69">
        <v>1</v>
      </c>
      <c r="C168" s="63" t="s">
        <v>317</v>
      </c>
      <c r="D168" s="62">
        <v>1756310</v>
      </c>
      <c r="E168" s="62">
        <v>2583890963</v>
      </c>
      <c r="F168" s="120" t="s">
        <v>277</v>
      </c>
      <c r="G168" s="72" t="s">
        <v>318</v>
      </c>
      <c r="H168" s="56" t="s">
        <v>63</v>
      </c>
      <c r="I168" s="59" t="s">
        <v>15</v>
      </c>
      <c r="J168" s="41">
        <v>1</v>
      </c>
      <c r="K168" s="59" t="s">
        <v>16</v>
      </c>
      <c r="L168" s="59" t="s">
        <v>134</v>
      </c>
      <c r="M168" s="175"/>
    </row>
    <row r="169" spans="1:13" s="60" customFormat="1" x14ac:dyDescent="0.25">
      <c r="A169" s="12">
        <f t="shared" si="5"/>
        <v>161</v>
      </c>
      <c r="B169" s="3">
        <v>1</v>
      </c>
      <c r="C169" s="36" t="s">
        <v>319</v>
      </c>
      <c r="D169" s="37">
        <v>1756550</v>
      </c>
      <c r="E169" s="37"/>
      <c r="F169" s="37"/>
      <c r="G169" s="5" t="s">
        <v>351</v>
      </c>
      <c r="H169" s="3" t="s">
        <v>44</v>
      </c>
      <c r="I169" s="4" t="s">
        <v>15</v>
      </c>
      <c r="J169" s="3">
        <v>1</v>
      </c>
      <c r="K169" s="3" t="s">
        <v>16</v>
      </c>
      <c r="L169" s="3" t="s">
        <v>134</v>
      </c>
      <c r="M169" s="176"/>
    </row>
    <row r="170" spans="1:13" s="60" customFormat="1" x14ac:dyDescent="0.25">
      <c r="A170" s="149"/>
      <c r="B170" s="56"/>
      <c r="C170" s="63"/>
      <c r="D170" s="102"/>
      <c r="E170" s="102"/>
      <c r="F170" s="103"/>
      <c r="G170" s="103"/>
      <c r="H170" s="102"/>
      <c r="I170" s="102"/>
      <c r="J170" s="102"/>
      <c r="K170" s="102"/>
      <c r="L170" s="102"/>
      <c r="M170" s="177"/>
    </row>
    <row r="171" spans="1:13" s="60" customFormat="1" ht="19.5" thickBot="1" x14ac:dyDescent="0.3">
      <c r="A171" s="199"/>
      <c r="B171" s="200">
        <f>SUM(B4,B20,B64)</f>
        <v>159</v>
      </c>
      <c r="C171" s="201"/>
      <c r="D171" s="202"/>
      <c r="E171" s="203"/>
      <c r="F171" s="203"/>
      <c r="G171" s="201"/>
      <c r="H171" s="204"/>
      <c r="I171" s="205"/>
      <c r="J171" s="200">
        <f>SUM(J4,J20,J64)</f>
        <v>151</v>
      </c>
      <c r="K171" s="206"/>
      <c r="L171" s="206"/>
      <c r="M171" s="207"/>
    </row>
    <row r="172" spans="1:13" ht="18.75" thickBot="1" x14ac:dyDescent="0.3">
      <c r="A172" s="24" t="str">
        <f>"Total: " &amp; J171 &amp; "/" &amp; B171</f>
        <v>Total: 151/159</v>
      </c>
      <c r="B172" s="208"/>
      <c r="C172" s="25" t="s">
        <v>49</v>
      </c>
      <c r="D172" s="116">
        <f>COUNTIF(H5:H169, "Saudi")</f>
        <v>10</v>
      </c>
      <c r="E172" s="208"/>
      <c r="F172" s="208"/>
      <c r="G172" s="45" t="s">
        <v>61</v>
      </c>
      <c r="H172" s="197">
        <f>D172/J171*100</f>
        <v>6.6225165562913908</v>
      </c>
      <c r="I172" s="209"/>
      <c r="J172" s="208"/>
      <c r="K172" s="198" t="s">
        <v>400</v>
      </c>
      <c r="L172" s="210">
        <f>COUNTIF(G4:G171,"vacancy*")</f>
        <v>12</v>
      </c>
      <c r="M172" s="211"/>
    </row>
    <row r="175" spans="1:13" x14ac:dyDescent="0.25">
      <c r="D175" s="104"/>
    </row>
    <row r="176" spans="1:13" x14ac:dyDescent="0.25">
      <c r="D176" s="104"/>
    </row>
    <row r="177" spans="1:13" ht="23.25" x14ac:dyDescent="0.25">
      <c r="A177" s="274" t="s">
        <v>320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6"/>
    </row>
    <row r="178" spans="1:13" ht="31.5" x14ac:dyDescent="0.25">
      <c r="A178" s="51" t="s">
        <v>0</v>
      </c>
      <c r="B178" s="29" t="s">
        <v>1</v>
      </c>
      <c r="C178" s="29" t="s">
        <v>2</v>
      </c>
      <c r="D178" s="29" t="s">
        <v>3</v>
      </c>
      <c r="E178" s="29" t="s">
        <v>4</v>
      </c>
      <c r="F178" s="29" t="s">
        <v>5</v>
      </c>
      <c r="G178" s="29" t="s">
        <v>6</v>
      </c>
      <c r="H178" s="29" t="s">
        <v>7</v>
      </c>
      <c r="I178" s="29" t="s">
        <v>8</v>
      </c>
      <c r="J178" s="29" t="s">
        <v>9</v>
      </c>
      <c r="K178" s="29" t="s">
        <v>10</v>
      </c>
      <c r="L178" s="85" t="s">
        <v>133</v>
      </c>
      <c r="M178" s="52" t="s">
        <v>11</v>
      </c>
    </row>
    <row r="179" spans="1:13" x14ac:dyDescent="0.25">
      <c r="A179" s="35">
        <v>1</v>
      </c>
      <c r="B179" s="74"/>
      <c r="C179" s="126" t="s">
        <v>321</v>
      </c>
      <c r="D179" s="69">
        <v>1756480</v>
      </c>
      <c r="E179" s="35"/>
      <c r="F179" s="83" t="s">
        <v>305</v>
      </c>
      <c r="G179" s="126" t="s">
        <v>322</v>
      </c>
      <c r="H179" s="69" t="s">
        <v>17</v>
      </c>
      <c r="I179" s="69" t="s">
        <v>15</v>
      </c>
      <c r="J179" s="69">
        <v>1</v>
      </c>
      <c r="K179" s="69" t="s">
        <v>16</v>
      </c>
      <c r="L179" s="69" t="s">
        <v>323</v>
      </c>
      <c r="M179" s="74" t="s">
        <v>321</v>
      </c>
    </row>
    <row r="180" spans="1:13" x14ac:dyDescent="0.25">
      <c r="A180" s="35">
        <v>2</v>
      </c>
      <c r="B180" s="74"/>
      <c r="C180" s="126" t="s">
        <v>342</v>
      </c>
      <c r="D180" s="69">
        <v>1756387</v>
      </c>
      <c r="E180" s="35">
        <v>2613439724</v>
      </c>
      <c r="F180" s="83" t="s">
        <v>132</v>
      </c>
      <c r="G180" s="126" t="s">
        <v>324</v>
      </c>
      <c r="H180" s="69" t="s">
        <v>91</v>
      </c>
      <c r="I180" s="69" t="s">
        <v>15</v>
      </c>
      <c r="J180" s="69">
        <v>1</v>
      </c>
      <c r="K180" s="69" t="s">
        <v>16</v>
      </c>
      <c r="L180" s="69" t="s">
        <v>323</v>
      </c>
      <c r="M180" s="74" t="s">
        <v>325</v>
      </c>
    </row>
    <row r="181" spans="1:13" x14ac:dyDescent="0.25">
      <c r="A181" s="35">
        <v>3</v>
      </c>
      <c r="B181" s="74"/>
      <c r="C181" s="126" t="s">
        <v>342</v>
      </c>
      <c r="D181" s="69">
        <v>1756385</v>
      </c>
      <c r="E181" s="35">
        <v>2613439328</v>
      </c>
      <c r="F181" s="83">
        <v>7313138</v>
      </c>
      <c r="G181" s="126" t="s">
        <v>326</v>
      </c>
      <c r="H181" s="69" t="s">
        <v>91</v>
      </c>
      <c r="I181" s="69" t="s">
        <v>15</v>
      </c>
      <c r="J181" s="69">
        <v>1</v>
      </c>
      <c r="K181" s="69" t="s">
        <v>16</v>
      </c>
      <c r="L181" s="69" t="s">
        <v>323</v>
      </c>
      <c r="M181" s="74" t="s">
        <v>325</v>
      </c>
    </row>
    <row r="182" spans="1:13" x14ac:dyDescent="0.25">
      <c r="A182" s="35">
        <v>4</v>
      </c>
      <c r="B182" s="74"/>
      <c r="C182" s="73" t="s">
        <v>113</v>
      </c>
      <c r="D182" s="71">
        <v>1756389</v>
      </c>
      <c r="E182" s="35">
        <v>2613440045</v>
      </c>
      <c r="F182" s="83" t="s">
        <v>132</v>
      </c>
      <c r="G182" s="47" t="s">
        <v>327</v>
      </c>
      <c r="H182" s="69" t="s">
        <v>91</v>
      </c>
      <c r="I182" s="69" t="s">
        <v>15</v>
      </c>
      <c r="J182" s="69">
        <v>1</v>
      </c>
      <c r="K182" s="69" t="s">
        <v>16</v>
      </c>
      <c r="L182" s="69" t="s">
        <v>323</v>
      </c>
      <c r="M182" s="74" t="s">
        <v>328</v>
      </c>
    </row>
    <row r="183" spans="1:13" x14ac:dyDescent="0.25">
      <c r="A183" s="35">
        <v>5</v>
      </c>
      <c r="B183" s="74"/>
      <c r="C183" s="126" t="s">
        <v>113</v>
      </c>
      <c r="D183" s="69">
        <v>1756393</v>
      </c>
      <c r="E183" s="35">
        <v>2613441142</v>
      </c>
      <c r="F183" s="83" t="s">
        <v>132</v>
      </c>
      <c r="G183" s="126" t="s">
        <v>329</v>
      </c>
      <c r="H183" s="69" t="s">
        <v>91</v>
      </c>
      <c r="I183" s="69" t="s">
        <v>15</v>
      </c>
      <c r="J183" s="69">
        <v>1</v>
      </c>
      <c r="K183" s="69" t="s">
        <v>16</v>
      </c>
      <c r="L183" s="69" t="s">
        <v>323</v>
      </c>
      <c r="M183" s="74" t="s">
        <v>328</v>
      </c>
    </row>
    <row r="184" spans="1:13" x14ac:dyDescent="0.25">
      <c r="A184" s="35">
        <v>6</v>
      </c>
      <c r="B184" s="74"/>
      <c r="C184" s="126" t="s">
        <v>113</v>
      </c>
      <c r="D184" s="71">
        <v>1756263</v>
      </c>
      <c r="E184" s="35">
        <v>2605357363</v>
      </c>
      <c r="F184" s="83">
        <v>7292996</v>
      </c>
      <c r="G184" s="68" t="s">
        <v>330</v>
      </c>
      <c r="H184" s="69" t="s">
        <v>91</v>
      </c>
      <c r="I184" s="69" t="s">
        <v>15</v>
      </c>
      <c r="J184" s="69">
        <v>1</v>
      </c>
      <c r="K184" s="69" t="s">
        <v>16</v>
      </c>
      <c r="L184" s="69" t="s">
        <v>323</v>
      </c>
      <c r="M184" s="74" t="s">
        <v>331</v>
      </c>
    </row>
    <row r="185" spans="1:13" x14ac:dyDescent="0.25">
      <c r="A185" s="35">
        <v>7</v>
      </c>
      <c r="B185" s="74"/>
      <c r="C185" s="126" t="s">
        <v>113</v>
      </c>
      <c r="D185" s="69">
        <v>1756386</v>
      </c>
      <c r="E185" s="35">
        <v>2613439542</v>
      </c>
      <c r="F185" s="83">
        <v>7318159</v>
      </c>
      <c r="G185" s="126" t="s">
        <v>332</v>
      </c>
      <c r="H185" s="69" t="s">
        <v>91</v>
      </c>
      <c r="I185" s="69" t="s">
        <v>15</v>
      </c>
      <c r="J185" s="69">
        <v>1</v>
      </c>
      <c r="K185" s="69" t="s">
        <v>16</v>
      </c>
      <c r="L185" s="69" t="s">
        <v>323</v>
      </c>
      <c r="M185" s="74" t="s">
        <v>333</v>
      </c>
    </row>
    <row r="186" spans="1:13" x14ac:dyDescent="0.25">
      <c r="A186" s="127">
        <v>8</v>
      </c>
      <c r="B186" s="127"/>
      <c r="C186" s="80" t="s">
        <v>114</v>
      </c>
      <c r="D186" s="127">
        <v>9603507</v>
      </c>
      <c r="E186" s="127">
        <v>2391382864</v>
      </c>
      <c r="F186" s="127"/>
      <c r="G186" s="81" t="s">
        <v>116</v>
      </c>
      <c r="H186" s="127" t="s">
        <v>47</v>
      </c>
      <c r="I186" s="127" t="s">
        <v>117</v>
      </c>
      <c r="J186" s="32">
        <v>1</v>
      </c>
      <c r="K186" s="32" t="s">
        <v>16</v>
      </c>
      <c r="L186" s="32" t="s">
        <v>134</v>
      </c>
      <c r="M186" s="122" t="s">
        <v>336</v>
      </c>
    </row>
    <row r="187" spans="1:13" ht="16.5" x14ac:dyDescent="0.25">
      <c r="D187" s="125"/>
    </row>
    <row r="188" spans="1:13" ht="16.5" x14ac:dyDescent="0.25">
      <c r="D188" s="105"/>
    </row>
    <row r="189" spans="1:13" ht="16.5" x14ac:dyDescent="0.25">
      <c r="D189" s="105"/>
    </row>
    <row r="190" spans="1:13" ht="16.5" x14ac:dyDescent="0.25">
      <c r="D190" s="105"/>
    </row>
    <row r="191" spans="1:13" ht="16.5" x14ac:dyDescent="0.25">
      <c r="D191" s="105"/>
    </row>
    <row r="192" spans="1:13" ht="16.5" x14ac:dyDescent="0.25">
      <c r="D192" s="105"/>
    </row>
    <row r="193" spans="4:4" ht="16.5" x14ac:dyDescent="0.25">
      <c r="D193" s="105"/>
    </row>
    <row r="194" spans="4:4" ht="16.5" x14ac:dyDescent="0.25">
      <c r="D194" s="105"/>
    </row>
    <row r="195" spans="4:4" ht="16.5" x14ac:dyDescent="0.25">
      <c r="D195" s="105"/>
    </row>
    <row r="196" spans="4:4" ht="16.5" x14ac:dyDescent="0.25">
      <c r="D196" s="105"/>
    </row>
    <row r="197" spans="4:4" ht="16.5" x14ac:dyDescent="0.25">
      <c r="D197" s="105"/>
    </row>
    <row r="198" spans="4:4" ht="16.5" x14ac:dyDescent="0.25">
      <c r="D198" s="105"/>
    </row>
    <row r="199" spans="4:4" ht="16.5" x14ac:dyDescent="0.25">
      <c r="D199" s="105"/>
    </row>
  </sheetData>
  <autoFilter ref="A3:M169" xr:uid="{090046A7-5BC2-40E4-9D51-F84BA86DAB03}"/>
  <mergeCells count="2">
    <mergeCell ref="A2:M2"/>
    <mergeCell ref="A177:M177"/>
  </mergeCells>
  <conditionalFormatting sqref="G128">
    <cfRule type="duplicateValues" dxfId="11" priority="17"/>
  </conditionalFormatting>
  <conditionalFormatting sqref="G127">
    <cfRule type="duplicateValues" dxfId="10" priority="16"/>
  </conditionalFormatting>
  <conditionalFormatting sqref="G123">
    <cfRule type="duplicateValues" dxfId="9" priority="15"/>
  </conditionalFormatting>
  <conditionalFormatting sqref="G124">
    <cfRule type="duplicateValues" dxfId="8" priority="14"/>
  </conditionalFormatting>
  <conditionalFormatting sqref="G126">
    <cfRule type="duplicateValues" dxfId="7" priority="13"/>
  </conditionalFormatting>
  <conditionalFormatting sqref="G125">
    <cfRule type="duplicateValues" dxfId="6" priority="11"/>
  </conditionalFormatting>
  <conditionalFormatting sqref="G129">
    <cfRule type="duplicateValues" dxfId="5" priority="10"/>
  </conditionalFormatting>
  <conditionalFormatting sqref="D186">
    <cfRule type="duplicateValues" dxfId="4" priority="38"/>
  </conditionalFormatting>
  <conditionalFormatting sqref="G186">
    <cfRule type="duplicateValues" dxfId="3" priority="39"/>
  </conditionalFormatting>
  <conditionalFormatting sqref="D152">
    <cfRule type="duplicateValues" dxfId="2" priority="4"/>
  </conditionalFormatting>
  <conditionalFormatting sqref="D13">
    <cfRule type="duplicateValues" dxfId="1" priority="3"/>
  </conditionalFormatting>
  <conditionalFormatting sqref="D26">
    <cfRule type="duplicateValues" dxfId="0" priority="1"/>
  </conditionalFormatting>
  <pageMargins left="0.7" right="0.7" top="0.75" bottom="0.75" header="0.3" footer="0.3"/>
  <pageSetup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8850-29C6-42A9-9CD0-6C598A03FE6E}">
  <dimension ref="C2:RP343"/>
  <sheetViews>
    <sheetView showGridLines="0" tabSelected="1" topLeftCell="A43" zoomScale="70" zoomScaleNormal="70" zoomScaleSheetLayoutView="40" workbookViewId="0">
      <selection activeCell="EF184" sqref="EF184"/>
    </sheetView>
  </sheetViews>
  <sheetFormatPr defaultColWidth="0.85546875" defaultRowHeight="5.0999999999999996" customHeight="1" x14ac:dyDescent="0.25"/>
  <cols>
    <col min="1" max="16384" width="0.85546875" style="212"/>
  </cols>
  <sheetData>
    <row r="2" spans="3:484" ht="5.0999999999999996" customHeight="1" thickBot="1" x14ac:dyDescent="0.3"/>
    <row r="3" spans="3:484" s="216" customFormat="1" ht="5.0999999999999996" customHeight="1" thickTop="1" x14ac:dyDescent="0.25">
      <c r="C3" s="213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  <c r="CE3" s="214"/>
      <c r="CF3" s="214"/>
      <c r="CG3" s="214"/>
      <c r="CH3" s="214"/>
      <c r="CI3" s="214"/>
      <c r="CJ3" s="214"/>
      <c r="CK3" s="214"/>
      <c r="CL3" s="214"/>
      <c r="CM3" s="214"/>
      <c r="CN3" s="214"/>
      <c r="CO3" s="214"/>
      <c r="CP3" s="214"/>
      <c r="CQ3" s="214"/>
      <c r="CR3" s="214"/>
      <c r="CS3" s="214"/>
      <c r="CT3" s="214"/>
      <c r="CU3" s="214"/>
      <c r="CV3" s="214"/>
      <c r="CW3" s="214"/>
      <c r="CX3" s="214"/>
      <c r="CY3" s="214"/>
      <c r="CZ3" s="214"/>
      <c r="DA3" s="214"/>
      <c r="DB3" s="214"/>
      <c r="DC3" s="214"/>
      <c r="DD3" s="214"/>
      <c r="DE3" s="214"/>
      <c r="DF3" s="214"/>
      <c r="DG3" s="214"/>
      <c r="DH3" s="214"/>
      <c r="DI3" s="214"/>
      <c r="DJ3" s="214"/>
      <c r="DK3" s="214"/>
      <c r="DL3" s="214"/>
      <c r="DM3" s="214"/>
      <c r="DN3" s="214"/>
      <c r="DO3" s="214"/>
      <c r="DP3" s="214"/>
      <c r="DQ3" s="214"/>
      <c r="DR3" s="214"/>
      <c r="DS3" s="214"/>
      <c r="DT3" s="214"/>
      <c r="DU3" s="214"/>
      <c r="DV3" s="214"/>
      <c r="DW3" s="214"/>
      <c r="DX3" s="214"/>
      <c r="DY3" s="214"/>
      <c r="DZ3" s="214"/>
      <c r="EA3" s="214"/>
      <c r="EB3" s="214"/>
      <c r="EC3" s="214"/>
      <c r="ED3" s="214"/>
      <c r="EE3" s="214"/>
      <c r="EF3" s="214"/>
      <c r="EG3" s="214"/>
      <c r="EH3" s="214"/>
      <c r="EI3" s="214"/>
      <c r="EJ3" s="214"/>
      <c r="EK3" s="214"/>
      <c r="EL3" s="214"/>
      <c r="EM3" s="214"/>
      <c r="EN3" s="214"/>
      <c r="EO3" s="214"/>
      <c r="EP3" s="214"/>
      <c r="EQ3" s="214"/>
      <c r="ER3" s="214"/>
      <c r="ES3" s="214"/>
      <c r="ET3" s="214"/>
      <c r="EU3" s="214"/>
      <c r="EV3" s="214"/>
      <c r="EW3" s="214"/>
      <c r="EX3" s="214"/>
      <c r="EY3" s="214"/>
      <c r="EZ3" s="214"/>
      <c r="FA3" s="214"/>
      <c r="FB3" s="214"/>
      <c r="FC3" s="214"/>
      <c r="FD3" s="214"/>
      <c r="FE3" s="214"/>
      <c r="FF3" s="214"/>
      <c r="FG3" s="214"/>
      <c r="FH3" s="214"/>
      <c r="FI3" s="214"/>
      <c r="FJ3" s="214"/>
      <c r="FK3" s="214"/>
      <c r="FL3" s="214"/>
      <c r="FM3" s="214"/>
      <c r="FN3" s="214"/>
      <c r="FO3" s="214"/>
      <c r="FP3" s="214"/>
      <c r="FQ3" s="214"/>
      <c r="FR3" s="214"/>
      <c r="FS3" s="214"/>
      <c r="FT3" s="214"/>
      <c r="FU3" s="214"/>
      <c r="FV3" s="214"/>
      <c r="FW3" s="214"/>
      <c r="FX3" s="214"/>
      <c r="FY3" s="214"/>
      <c r="FZ3" s="214"/>
      <c r="GA3" s="214"/>
      <c r="GB3" s="214"/>
      <c r="GC3" s="214"/>
      <c r="GD3" s="214"/>
      <c r="GE3" s="214"/>
      <c r="GF3" s="214"/>
      <c r="GG3" s="214"/>
      <c r="GH3" s="214"/>
      <c r="GI3" s="214"/>
      <c r="GJ3" s="214"/>
      <c r="GK3" s="214"/>
      <c r="GL3" s="214"/>
      <c r="GM3" s="214"/>
      <c r="GN3" s="214"/>
      <c r="GO3" s="214"/>
      <c r="GP3" s="214"/>
      <c r="GQ3" s="214"/>
      <c r="GR3" s="214"/>
      <c r="GS3" s="214"/>
      <c r="GT3" s="214"/>
      <c r="GU3" s="214"/>
      <c r="GV3" s="214"/>
      <c r="GW3" s="214"/>
      <c r="GX3" s="214"/>
      <c r="GY3" s="214"/>
      <c r="GZ3" s="214"/>
      <c r="HA3" s="214"/>
      <c r="HB3" s="214"/>
      <c r="HC3" s="214"/>
      <c r="HD3" s="214"/>
      <c r="HE3" s="214"/>
      <c r="HF3" s="214"/>
      <c r="HG3" s="214"/>
      <c r="HH3" s="214"/>
      <c r="HI3" s="214"/>
      <c r="HJ3" s="214"/>
      <c r="HK3" s="214"/>
      <c r="HL3" s="214"/>
      <c r="HM3" s="214"/>
      <c r="HN3" s="214"/>
      <c r="HO3" s="214"/>
      <c r="HP3" s="214"/>
      <c r="HQ3" s="214"/>
      <c r="HR3" s="214"/>
      <c r="HS3" s="214"/>
      <c r="HT3" s="214"/>
      <c r="HU3" s="214"/>
      <c r="HV3" s="214"/>
      <c r="HW3" s="214"/>
      <c r="HX3" s="214"/>
      <c r="HY3" s="214"/>
      <c r="HZ3" s="214"/>
      <c r="IA3" s="214"/>
      <c r="IB3" s="214"/>
      <c r="IC3" s="214"/>
      <c r="ID3" s="214"/>
      <c r="IE3" s="214"/>
      <c r="IF3" s="214"/>
      <c r="IG3" s="214"/>
      <c r="IH3" s="214"/>
      <c r="II3" s="214"/>
      <c r="IJ3" s="214"/>
      <c r="IK3" s="214"/>
      <c r="IL3" s="214"/>
      <c r="IM3" s="214"/>
      <c r="IN3" s="214"/>
      <c r="IO3" s="214"/>
      <c r="IP3" s="214"/>
      <c r="IQ3" s="214"/>
      <c r="IR3" s="214"/>
      <c r="IS3" s="214"/>
      <c r="IT3" s="214"/>
      <c r="IU3" s="214"/>
      <c r="IV3" s="214"/>
      <c r="IW3" s="214"/>
      <c r="IX3" s="214"/>
      <c r="IY3" s="214"/>
      <c r="IZ3" s="214"/>
      <c r="JA3" s="214"/>
      <c r="JB3" s="214"/>
      <c r="JC3" s="214"/>
      <c r="JD3" s="214"/>
      <c r="JE3" s="214"/>
      <c r="JF3" s="214"/>
      <c r="JG3" s="214"/>
      <c r="JH3" s="214"/>
      <c r="JI3" s="214"/>
      <c r="JJ3" s="214"/>
      <c r="JK3" s="214"/>
      <c r="JL3" s="214"/>
      <c r="JM3" s="214"/>
      <c r="JN3" s="214"/>
      <c r="JO3" s="214"/>
      <c r="JP3" s="214"/>
      <c r="JQ3" s="214"/>
      <c r="JR3" s="214"/>
      <c r="JS3" s="214"/>
      <c r="JT3" s="214"/>
      <c r="JU3" s="214"/>
      <c r="JV3" s="214"/>
      <c r="JW3" s="214"/>
      <c r="JX3" s="214"/>
      <c r="JY3" s="214"/>
      <c r="JZ3" s="214"/>
      <c r="KA3" s="214"/>
      <c r="KB3" s="214"/>
      <c r="KC3" s="214"/>
      <c r="KD3" s="214"/>
      <c r="KE3" s="214"/>
      <c r="KF3" s="214"/>
      <c r="KG3" s="214"/>
      <c r="KH3" s="214"/>
      <c r="KI3" s="214"/>
      <c r="KJ3" s="214"/>
      <c r="KK3" s="214"/>
      <c r="KL3" s="214"/>
      <c r="KM3" s="214"/>
      <c r="KN3" s="214"/>
      <c r="KO3" s="214"/>
      <c r="KP3" s="214"/>
      <c r="KQ3" s="214"/>
      <c r="KR3" s="214"/>
      <c r="KS3" s="214"/>
      <c r="KT3" s="214"/>
      <c r="KU3" s="214"/>
      <c r="KV3" s="214"/>
      <c r="KW3" s="214"/>
      <c r="KX3" s="214"/>
      <c r="KY3" s="214"/>
      <c r="KZ3" s="214"/>
      <c r="LA3" s="214"/>
      <c r="LB3" s="214"/>
      <c r="LC3" s="214"/>
      <c r="LD3" s="214"/>
      <c r="LE3" s="214"/>
      <c r="LF3" s="214"/>
      <c r="LG3" s="214"/>
      <c r="LH3" s="214"/>
      <c r="LI3" s="214"/>
      <c r="LJ3" s="214"/>
      <c r="LK3" s="214"/>
      <c r="LL3" s="214"/>
      <c r="LM3" s="214"/>
      <c r="LN3" s="214"/>
      <c r="LO3" s="214"/>
      <c r="LP3" s="214"/>
      <c r="LQ3" s="214"/>
      <c r="LR3" s="214"/>
      <c r="LS3" s="214"/>
      <c r="LT3" s="214"/>
      <c r="LU3" s="214"/>
      <c r="LV3" s="214"/>
      <c r="LW3" s="214"/>
      <c r="LX3" s="214"/>
      <c r="LY3" s="214"/>
      <c r="LZ3" s="214"/>
      <c r="MA3" s="214"/>
      <c r="MB3" s="214"/>
      <c r="MC3" s="214"/>
      <c r="MD3" s="214"/>
      <c r="ME3" s="214"/>
      <c r="MF3" s="214"/>
      <c r="MG3" s="214"/>
      <c r="MH3" s="214"/>
      <c r="MI3" s="214"/>
      <c r="MJ3" s="214"/>
      <c r="MK3" s="214"/>
      <c r="ML3" s="214"/>
      <c r="MM3" s="214"/>
      <c r="MN3" s="214"/>
      <c r="MO3" s="214"/>
      <c r="MP3" s="214"/>
      <c r="MQ3" s="214"/>
      <c r="MR3" s="214"/>
      <c r="MS3" s="214"/>
      <c r="MT3" s="214"/>
      <c r="MU3" s="214"/>
      <c r="MV3" s="214"/>
      <c r="MW3" s="214"/>
      <c r="MX3" s="214"/>
      <c r="MY3" s="214"/>
      <c r="MZ3" s="214"/>
      <c r="NA3" s="214"/>
      <c r="NB3" s="214"/>
      <c r="NC3" s="214"/>
      <c r="ND3" s="214"/>
      <c r="NE3" s="214"/>
      <c r="NF3" s="214"/>
      <c r="NG3" s="214"/>
      <c r="NH3" s="214"/>
      <c r="NI3" s="214"/>
      <c r="NJ3" s="214"/>
      <c r="NK3" s="214"/>
      <c r="NL3" s="214"/>
      <c r="NM3" s="214"/>
      <c r="NN3" s="214"/>
      <c r="NO3" s="214"/>
      <c r="NP3" s="214"/>
      <c r="NQ3" s="214"/>
      <c r="NR3" s="214"/>
      <c r="NS3" s="214"/>
      <c r="NT3" s="214"/>
      <c r="NU3" s="214"/>
      <c r="NV3" s="214"/>
      <c r="NW3" s="214"/>
      <c r="NX3" s="214"/>
      <c r="NY3" s="214"/>
      <c r="NZ3" s="214"/>
      <c r="OA3" s="214"/>
      <c r="OB3" s="214"/>
      <c r="OC3" s="214"/>
      <c r="OD3" s="214"/>
      <c r="OE3" s="214"/>
      <c r="OF3" s="214"/>
      <c r="OG3" s="214"/>
      <c r="OH3" s="214"/>
      <c r="OI3" s="214"/>
      <c r="OJ3" s="214"/>
      <c r="OK3" s="214"/>
      <c r="OL3" s="214"/>
      <c r="OM3" s="214"/>
      <c r="ON3" s="214"/>
      <c r="OO3" s="214"/>
      <c r="OP3" s="214"/>
      <c r="OQ3" s="214"/>
      <c r="OR3" s="214"/>
      <c r="OS3" s="214"/>
      <c r="OT3" s="214"/>
      <c r="OU3" s="214"/>
      <c r="OV3" s="214"/>
      <c r="OW3" s="214"/>
      <c r="OX3" s="214"/>
      <c r="OY3" s="214"/>
      <c r="OZ3" s="214"/>
      <c r="PA3" s="214"/>
      <c r="PB3" s="214"/>
      <c r="PC3" s="214"/>
      <c r="PD3" s="214"/>
      <c r="PE3" s="214"/>
      <c r="PF3" s="214"/>
      <c r="PG3" s="214"/>
      <c r="PH3" s="214"/>
      <c r="PI3" s="214"/>
      <c r="PJ3" s="214"/>
      <c r="PK3" s="214"/>
      <c r="PL3" s="214"/>
      <c r="PM3" s="214"/>
      <c r="PN3" s="214"/>
      <c r="PO3" s="214"/>
      <c r="PP3" s="214"/>
      <c r="PQ3" s="214"/>
      <c r="PR3" s="214"/>
      <c r="PS3" s="214"/>
      <c r="PT3" s="214"/>
      <c r="PU3" s="214"/>
      <c r="PV3" s="214"/>
      <c r="PW3" s="214"/>
      <c r="PX3" s="214"/>
      <c r="PY3" s="214"/>
      <c r="PZ3" s="214"/>
      <c r="QA3" s="214"/>
      <c r="QB3" s="214"/>
      <c r="QC3" s="214"/>
      <c r="QD3" s="214"/>
      <c r="QE3" s="214"/>
      <c r="QF3" s="214"/>
      <c r="QG3" s="214"/>
      <c r="QH3" s="214"/>
      <c r="QI3" s="214"/>
      <c r="QJ3" s="214"/>
      <c r="QK3" s="214"/>
      <c r="QL3" s="214"/>
      <c r="QM3" s="214"/>
      <c r="QN3" s="214"/>
      <c r="QO3" s="214"/>
      <c r="QP3" s="214"/>
      <c r="QQ3" s="214"/>
      <c r="QR3" s="215"/>
    </row>
    <row r="4" spans="3:484" s="216" customFormat="1" ht="5.0999999999999996" customHeight="1" thickBot="1" x14ac:dyDescent="0.3">
      <c r="C4" s="217"/>
      <c r="D4" s="218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L4" s="219"/>
      <c r="BM4" s="219"/>
      <c r="BN4" s="219"/>
      <c r="BO4" s="219"/>
      <c r="BP4" s="219"/>
      <c r="BQ4" s="219"/>
      <c r="BR4" s="219"/>
      <c r="BS4" s="219"/>
      <c r="BT4" s="219"/>
      <c r="BU4" s="219"/>
      <c r="BV4" s="219"/>
      <c r="BW4" s="219"/>
      <c r="BX4" s="219"/>
      <c r="BY4" s="219"/>
      <c r="BZ4" s="219"/>
      <c r="CA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N4" s="219"/>
      <c r="CO4" s="219"/>
      <c r="CP4" s="219"/>
      <c r="CQ4" s="219"/>
      <c r="CR4" s="219"/>
      <c r="CS4" s="219"/>
      <c r="CT4" s="219"/>
      <c r="CU4" s="219"/>
      <c r="CV4" s="219"/>
      <c r="CW4" s="219"/>
      <c r="CX4" s="219"/>
      <c r="CY4" s="219"/>
      <c r="CZ4" s="219"/>
      <c r="DA4" s="219"/>
      <c r="DB4" s="219"/>
      <c r="DC4" s="219"/>
      <c r="DD4" s="219"/>
      <c r="DE4" s="219"/>
      <c r="DF4" s="219"/>
      <c r="DG4" s="219"/>
      <c r="DH4" s="219"/>
      <c r="DI4" s="219"/>
      <c r="DJ4" s="219"/>
      <c r="DK4" s="219"/>
      <c r="DL4" s="219"/>
      <c r="DM4" s="219"/>
      <c r="DN4" s="219"/>
      <c r="DO4" s="219"/>
      <c r="DP4" s="219"/>
      <c r="DQ4" s="219"/>
      <c r="DR4" s="219"/>
      <c r="DS4" s="219"/>
      <c r="DT4" s="219"/>
      <c r="DU4" s="219"/>
      <c r="DV4" s="219"/>
      <c r="DW4" s="219"/>
      <c r="DX4" s="219"/>
      <c r="DY4" s="219"/>
      <c r="DZ4" s="219"/>
      <c r="EA4" s="219"/>
      <c r="EB4" s="219"/>
      <c r="EC4" s="219"/>
      <c r="ED4" s="219"/>
      <c r="EE4" s="219"/>
      <c r="EF4" s="219"/>
      <c r="EG4" s="219"/>
      <c r="EH4" s="219"/>
      <c r="EI4" s="219"/>
      <c r="EJ4" s="219"/>
      <c r="EK4" s="219"/>
      <c r="EL4" s="219"/>
      <c r="EM4" s="219"/>
      <c r="EN4" s="219"/>
      <c r="EO4" s="219"/>
      <c r="EP4" s="219"/>
      <c r="EQ4" s="219"/>
      <c r="ER4" s="219"/>
      <c r="ES4" s="219"/>
      <c r="ET4" s="219"/>
      <c r="EU4" s="219"/>
      <c r="EV4" s="219"/>
      <c r="EW4" s="219"/>
      <c r="EX4" s="219"/>
      <c r="EY4" s="219"/>
      <c r="EZ4" s="219"/>
      <c r="FA4" s="219"/>
      <c r="FB4" s="219"/>
      <c r="FC4" s="219"/>
      <c r="FD4" s="219"/>
      <c r="FE4" s="219"/>
      <c r="FF4" s="219"/>
      <c r="FG4" s="219"/>
      <c r="FH4" s="219"/>
      <c r="FI4" s="219"/>
      <c r="FJ4" s="219"/>
      <c r="FK4" s="219"/>
      <c r="FL4" s="219"/>
      <c r="FM4" s="219"/>
      <c r="FN4" s="219"/>
      <c r="FO4" s="219"/>
      <c r="FP4" s="219"/>
      <c r="FQ4" s="219"/>
      <c r="FR4" s="219"/>
      <c r="FS4" s="219"/>
      <c r="FT4" s="219"/>
      <c r="FU4" s="219"/>
      <c r="FV4" s="219"/>
      <c r="FW4" s="219"/>
      <c r="FX4" s="219"/>
      <c r="FY4" s="219"/>
      <c r="FZ4" s="219"/>
      <c r="GA4" s="219"/>
      <c r="GB4" s="219"/>
      <c r="GC4" s="219"/>
      <c r="GD4" s="219"/>
      <c r="GE4" s="219"/>
      <c r="GF4" s="219"/>
      <c r="GG4" s="219"/>
      <c r="GH4" s="219"/>
      <c r="GI4" s="219"/>
      <c r="GJ4" s="219"/>
      <c r="GK4" s="219"/>
      <c r="GL4" s="219"/>
      <c r="GM4" s="219"/>
      <c r="GN4" s="219"/>
      <c r="GO4" s="219"/>
      <c r="GP4" s="219"/>
      <c r="GQ4" s="219"/>
      <c r="GR4" s="219"/>
      <c r="GS4" s="219"/>
      <c r="GT4" s="219"/>
      <c r="GU4" s="219"/>
      <c r="GV4" s="219"/>
      <c r="GW4" s="219"/>
      <c r="GX4" s="219"/>
      <c r="GY4" s="219"/>
      <c r="GZ4" s="219"/>
      <c r="HA4" s="219"/>
      <c r="HB4" s="219"/>
      <c r="HC4" s="219"/>
      <c r="HD4" s="219"/>
      <c r="HE4" s="219"/>
      <c r="HF4" s="219"/>
      <c r="HG4" s="219"/>
      <c r="HH4" s="219"/>
      <c r="HI4" s="219"/>
      <c r="HJ4" s="219"/>
      <c r="HK4" s="219"/>
      <c r="HL4" s="219"/>
      <c r="HM4" s="219"/>
      <c r="HN4" s="219"/>
      <c r="HO4" s="219"/>
      <c r="HP4" s="219"/>
      <c r="HQ4" s="219"/>
      <c r="HR4" s="219"/>
      <c r="HS4" s="219"/>
      <c r="HT4" s="219"/>
      <c r="HU4" s="219"/>
      <c r="HV4" s="219"/>
      <c r="HW4" s="219"/>
      <c r="HX4" s="219"/>
      <c r="HY4" s="219"/>
      <c r="HZ4" s="219"/>
      <c r="IA4" s="219"/>
      <c r="IB4" s="219"/>
      <c r="IC4" s="219"/>
      <c r="ID4" s="219"/>
      <c r="IE4" s="219"/>
      <c r="IF4" s="219"/>
      <c r="IG4" s="219"/>
      <c r="IH4" s="219"/>
      <c r="II4" s="219"/>
      <c r="IJ4" s="219"/>
      <c r="IK4" s="219"/>
      <c r="IL4" s="219"/>
      <c r="IM4" s="219"/>
      <c r="IN4" s="219"/>
      <c r="IO4" s="219"/>
      <c r="IP4" s="219"/>
      <c r="IQ4" s="219"/>
      <c r="IR4" s="219"/>
      <c r="IS4" s="219"/>
      <c r="IT4" s="219"/>
      <c r="IU4" s="219"/>
      <c r="IV4" s="219"/>
      <c r="IW4" s="219"/>
      <c r="IX4" s="219"/>
      <c r="IY4" s="219"/>
      <c r="IZ4" s="219"/>
      <c r="JA4" s="219"/>
      <c r="JB4" s="219"/>
      <c r="JC4" s="219"/>
      <c r="JD4" s="219"/>
      <c r="JE4" s="219"/>
      <c r="JF4" s="219"/>
      <c r="JG4" s="219"/>
      <c r="JH4" s="219"/>
      <c r="JI4" s="219"/>
      <c r="JJ4" s="219"/>
      <c r="JK4" s="219"/>
      <c r="JL4" s="219"/>
      <c r="JM4" s="219"/>
      <c r="JN4" s="219"/>
      <c r="JO4" s="219"/>
      <c r="JP4" s="219"/>
      <c r="JQ4" s="219"/>
      <c r="JR4" s="219"/>
      <c r="JS4" s="219"/>
      <c r="JT4" s="219"/>
      <c r="JU4" s="219"/>
      <c r="JV4" s="219"/>
      <c r="JW4" s="219"/>
      <c r="JX4" s="219"/>
      <c r="JY4" s="219"/>
      <c r="JZ4" s="219"/>
      <c r="KA4" s="219"/>
      <c r="KB4" s="219"/>
      <c r="KC4" s="219"/>
      <c r="KD4" s="219"/>
      <c r="KE4" s="219"/>
      <c r="KF4" s="219"/>
      <c r="KG4" s="219"/>
      <c r="KH4" s="219"/>
      <c r="KI4" s="219"/>
      <c r="KJ4" s="219"/>
      <c r="KK4" s="219"/>
      <c r="KL4" s="219"/>
      <c r="KM4" s="219"/>
      <c r="KN4" s="219"/>
      <c r="KO4" s="219"/>
      <c r="KP4" s="219"/>
      <c r="KQ4" s="219"/>
      <c r="KR4" s="219"/>
      <c r="KS4" s="219"/>
      <c r="KT4" s="219"/>
      <c r="KU4" s="219"/>
      <c r="KV4" s="219"/>
      <c r="KW4" s="219"/>
      <c r="KX4" s="219"/>
      <c r="KY4" s="219"/>
      <c r="KZ4" s="219"/>
      <c r="LA4" s="219"/>
      <c r="LB4" s="219"/>
      <c r="LC4" s="219"/>
      <c r="LD4" s="219"/>
      <c r="LE4" s="219"/>
      <c r="LF4" s="219"/>
      <c r="LG4" s="219"/>
      <c r="LH4" s="219"/>
      <c r="LI4" s="219"/>
      <c r="LJ4" s="219"/>
      <c r="LK4" s="219"/>
      <c r="LL4" s="219"/>
      <c r="LM4" s="219"/>
      <c r="LN4" s="219"/>
      <c r="LO4" s="219"/>
      <c r="LP4" s="219"/>
      <c r="LQ4" s="219"/>
      <c r="LR4" s="219"/>
      <c r="LS4" s="219"/>
      <c r="LT4" s="219"/>
      <c r="LU4" s="219"/>
      <c r="LV4" s="219"/>
      <c r="LW4" s="219"/>
      <c r="LX4" s="219"/>
      <c r="LY4" s="219"/>
      <c r="LZ4" s="219"/>
      <c r="MA4" s="219"/>
      <c r="MB4" s="219"/>
      <c r="MC4" s="219"/>
      <c r="MD4" s="219"/>
      <c r="ME4" s="219"/>
      <c r="MF4" s="219"/>
      <c r="MG4" s="219"/>
      <c r="MH4" s="219"/>
      <c r="MI4" s="219"/>
      <c r="MJ4" s="219"/>
      <c r="MK4" s="219"/>
      <c r="ML4" s="219"/>
      <c r="MM4" s="219"/>
      <c r="MN4" s="219"/>
      <c r="MO4" s="219"/>
      <c r="MP4" s="219"/>
      <c r="MQ4" s="219"/>
      <c r="MR4" s="219"/>
      <c r="MS4" s="219"/>
      <c r="MT4" s="219"/>
      <c r="MU4" s="219"/>
      <c r="MV4" s="219"/>
      <c r="MW4" s="219"/>
      <c r="MX4" s="219"/>
      <c r="MY4" s="219"/>
      <c r="MZ4" s="219"/>
      <c r="NA4" s="219"/>
      <c r="NB4" s="219"/>
      <c r="NC4" s="219"/>
      <c r="ND4" s="219"/>
      <c r="NE4" s="219"/>
      <c r="NF4" s="219"/>
      <c r="NG4" s="219"/>
      <c r="NH4" s="219"/>
      <c r="NI4" s="219"/>
      <c r="NJ4" s="219"/>
      <c r="NK4" s="219"/>
      <c r="NL4" s="219"/>
      <c r="NM4" s="219"/>
      <c r="NN4" s="219"/>
      <c r="NO4" s="219"/>
      <c r="NP4" s="219"/>
      <c r="NQ4" s="219"/>
      <c r="NR4" s="219"/>
      <c r="NS4" s="219"/>
      <c r="NT4" s="219"/>
      <c r="NU4" s="219"/>
      <c r="NV4" s="219"/>
      <c r="NW4" s="219"/>
      <c r="NX4" s="219"/>
      <c r="NY4" s="219"/>
      <c r="NZ4" s="219"/>
      <c r="OA4" s="219"/>
      <c r="OB4" s="219"/>
      <c r="OC4" s="219"/>
      <c r="OD4" s="219"/>
      <c r="OE4" s="219"/>
      <c r="OF4" s="219"/>
      <c r="OG4" s="219"/>
      <c r="OH4" s="219"/>
      <c r="OI4" s="219"/>
      <c r="OJ4" s="219"/>
      <c r="OK4" s="219"/>
      <c r="OL4" s="219"/>
      <c r="OM4" s="219"/>
      <c r="ON4" s="219"/>
      <c r="OO4" s="219"/>
      <c r="OP4" s="219"/>
      <c r="OQ4" s="219"/>
      <c r="OR4" s="219"/>
      <c r="OS4" s="219"/>
      <c r="OT4" s="219"/>
      <c r="OU4" s="219"/>
      <c r="OV4" s="219"/>
      <c r="OW4" s="219"/>
      <c r="OX4" s="219"/>
      <c r="OY4" s="219"/>
      <c r="OZ4" s="219"/>
      <c r="PA4" s="219"/>
      <c r="PB4" s="219"/>
      <c r="PC4" s="219"/>
      <c r="PD4" s="219"/>
      <c r="PE4" s="219"/>
      <c r="PF4" s="219"/>
      <c r="PG4" s="219"/>
      <c r="PH4" s="219"/>
      <c r="PI4" s="219"/>
      <c r="PJ4" s="219"/>
      <c r="PK4" s="219"/>
      <c r="PL4" s="219"/>
      <c r="PM4" s="219"/>
      <c r="PN4" s="219"/>
      <c r="PO4" s="219"/>
      <c r="PP4" s="219"/>
      <c r="PQ4" s="219"/>
      <c r="PR4" s="219"/>
      <c r="PS4" s="219"/>
      <c r="PT4" s="219"/>
      <c r="PU4" s="219"/>
      <c r="PV4" s="219"/>
      <c r="PW4" s="219"/>
      <c r="PX4" s="219"/>
      <c r="PY4" s="219"/>
      <c r="PZ4" s="219"/>
      <c r="QA4" s="219"/>
      <c r="QB4" s="219"/>
      <c r="QC4" s="219"/>
      <c r="QD4" s="219"/>
      <c r="QE4" s="219"/>
      <c r="QF4" s="219"/>
      <c r="QG4" s="219"/>
      <c r="QH4" s="219"/>
      <c r="QI4" s="219"/>
      <c r="QJ4" s="219"/>
      <c r="QK4" s="219"/>
      <c r="QL4" s="219"/>
      <c r="QM4" s="219"/>
      <c r="QN4" s="219"/>
      <c r="QO4" s="219"/>
      <c r="QP4" s="219"/>
      <c r="QQ4" s="220"/>
      <c r="QR4" s="221"/>
    </row>
    <row r="5" spans="3:484" s="216" customFormat="1" ht="9.6" customHeight="1" x14ac:dyDescent="0.25">
      <c r="C5" s="217"/>
      <c r="D5" s="222"/>
      <c r="E5" s="417" t="s">
        <v>403</v>
      </c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8"/>
      <c r="AK5" s="418"/>
      <c r="AL5" s="418"/>
      <c r="AM5" s="418"/>
      <c r="AN5" s="418"/>
      <c r="AO5" s="418"/>
      <c r="AP5" s="418"/>
      <c r="AQ5" s="418"/>
      <c r="AR5" s="418"/>
      <c r="AS5" s="418"/>
      <c r="AT5" s="418"/>
      <c r="AU5" s="418"/>
      <c r="AV5" s="418"/>
      <c r="AW5" s="418"/>
      <c r="AX5" s="418"/>
      <c r="AY5" s="418"/>
      <c r="AZ5" s="418"/>
      <c r="BA5" s="418"/>
      <c r="BB5" s="418"/>
      <c r="BC5" s="418"/>
      <c r="BD5" s="418"/>
      <c r="BE5" s="418"/>
      <c r="BF5" s="418"/>
      <c r="BG5" s="418"/>
      <c r="BH5" s="418"/>
      <c r="BI5" s="418"/>
      <c r="BJ5" s="418"/>
      <c r="BK5" s="418"/>
      <c r="BL5" s="418"/>
      <c r="BM5" s="418"/>
      <c r="BN5" s="418"/>
      <c r="BO5" s="418"/>
      <c r="BP5" s="418"/>
      <c r="BQ5" s="418"/>
      <c r="BR5" s="418"/>
      <c r="BS5" s="418"/>
      <c r="BT5" s="418"/>
      <c r="BU5" s="418"/>
      <c r="BV5" s="418"/>
      <c r="BW5" s="418"/>
      <c r="BX5" s="418"/>
      <c r="BY5" s="418"/>
      <c r="BZ5" s="418"/>
      <c r="CA5" s="418"/>
      <c r="CB5" s="418"/>
      <c r="CC5" s="418"/>
      <c r="CD5" s="418"/>
      <c r="CE5" s="418"/>
      <c r="CF5" s="418"/>
      <c r="CG5" s="418"/>
      <c r="CH5" s="418"/>
      <c r="CI5" s="418"/>
      <c r="CJ5" s="418"/>
      <c r="CK5" s="418"/>
      <c r="CL5" s="418"/>
      <c r="CM5" s="418"/>
      <c r="CN5" s="418"/>
      <c r="CO5" s="418"/>
      <c r="CP5" s="418"/>
      <c r="CQ5" s="418"/>
      <c r="CR5" s="418"/>
      <c r="CS5" s="418"/>
      <c r="CT5" s="418"/>
      <c r="CU5" s="418"/>
      <c r="CV5" s="418"/>
      <c r="CW5" s="418"/>
      <c r="CX5" s="418"/>
      <c r="CY5" s="418"/>
      <c r="CZ5" s="418"/>
      <c r="DA5" s="418"/>
      <c r="DB5" s="418"/>
      <c r="DC5" s="418"/>
      <c r="DD5" s="418"/>
      <c r="DE5" s="418"/>
      <c r="DF5" s="418"/>
      <c r="DG5" s="418"/>
      <c r="DH5" s="418"/>
      <c r="DI5" s="418"/>
      <c r="DJ5" s="418"/>
      <c r="DK5" s="418"/>
      <c r="DL5" s="418"/>
      <c r="DM5" s="418"/>
      <c r="DN5" s="418"/>
      <c r="DO5" s="418"/>
      <c r="DP5" s="418"/>
      <c r="DQ5" s="418"/>
      <c r="DR5" s="418"/>
      <c r="DS5" s="418"/>
      <c r="DT5" s="418"/>
      <c r="DU5" s="418"/>
      <c r="DV5" s="418"/>
      <c r="DW5" s="418"/>
      <c r="DX5" s="418"/>
      <c r="DY5" s="418"/>
      <c r="DZ5" s="418"/>
      <c r="EA5" s="418"/>
      <c r="EB5" s="418"/>
      <c r="EC5" s="418"/>
      <c r="ED5" s="418"/>
      <c r="EE5" s="418"/>
      <c r="EF5" s="418"/>
      <c r="EG5" s="418"/>
      <c r="EH5" s="418"/>
      <c r="EI5" s="418"/>
      <c r="EJ5" s="418"/>
      <c r="EK5" s="418"/>
      <c r="EL5" s="418"/>
      <c r="EM5" s="418"/>
      <c r="EN5" s="418"/>
      <c r="EO5" s="418"/>
      <c r="EP5" s="418"/>
      <c r="EQ5" s="418"/>
      <c r="ER5" s="418"/>
      <c r="ES5" s="418"/>
      <c r="ET5" s="418"/>
      <c r="EU5" s="418"/>
      <c r="EV5" s="418"/>
      <c r="EW5" s="418"/>
      <c r="EX5" s="418"/>
      <c r="EY5" s="418"/>
      <c r="EZ5" s="418"/>
      <c r="FA5" s="418"/>
      <c r="FB5" s="418"/>
      <c r="FC5" s="418"/>
      <c r="FD5" s="418"/>
      <c r="FE5" s="418"/>
      <c r="FF5" s="418"/>
      <c r="FG5" s="418"/>
      <c r="FH5" s="418"/>
      <c r="FI5" s="418"/>
      <c r="FJ5" s="418"/>
      <c r="FK5" s="418"/>
      <c r="FL5" s="418"/>
      <c r="FM5" s="418"/>
      <c r="FN5" s="418"/>
      <c r="FO5" s="418"/>
      <c r="FP5" s="418"/>
      <c r="FQ5" s="418"/>
      <c r="FR5" s="418"/>
      <c r="FS5" s="418"/>
      <c r="FT5" s="418"/>
      <c r="FU5" s="418"/>
      <c r="FV5" s="418"/>
      <c r="FW5" s="418"/>
      <c r="FX5" s="418"/>
      <c r="FY5" s="418"/>
      <c r="FZ5" s="418"/>
      <c r="GA5" s="418"/>
      <c r="GB5" s="418"/>
      <c r="GC5" s="418"/>
      <c r="GD5" s="418"/>
      <c r="GE5" s="418"/>
      <c r="GF5" s="418"/>
      <c r="GG5" s="418"/>
      <c r="GH5" s="418"/>
      <c r="GI5" s="418"/>
      <c r="GJ5" s="418"/>
      <c r="GK5" s="418"/>
      <c r="GL5" s="418"/>
      <c r="GM5" s="418"/>
      <c r="GN5" s="418"/>
      <c r="GO5" s="418"/>
      <c r="GP5" s="418"/>
      <c r="GQ5" s="418"/>
      <c r="GR5" s="418"/>
      <c r="GS5" s="418"/>
      <c r="GT5" s="418"/>
      <c r="GU5" s="418"/>
      <c r="GV5" s="418"/>
      <c r="GW5" s="418"/>
      <c r="GX5" s="418"/>
      <c r="GY5" s="418"/>
      <c r="GZ5" s="418"/>
      <c r="HA5" s="418"/>
      <c r="HB5" s="418"/>
      <c r="HC5" s="418"/>
      <c r="HD5" s="418"/>
      <c r="HE5" s="418"/>
      <c r="HF5" s="418"/>
      <c r="HG5" s="418"/>
      <c r="HH5" s="418"/>
      <c r="HI5" s="418"/>
      <c r="HJ5" s="418"/>
      <c r="HK5" s="418"/>
      <c r="HL5" s="418"/>
      <c r="HM5" s="418"/>
      <c r="HN5" s="418"/>
      <c r="HO5" s="418"/>
      <c r="HP5" s="418"/>
      <c r="HQ5" s="418"/>
      <c r="HR5" s="418"/>
      <c r="HS5" s="418"/>
      <c r="HT5" s="418"/>
      <c r="HU5" s="418"/>
      <c r="HV5" s="418"/>
      <c r="HW5" s="418"/>
      <c r="HX5" s="418"/>
      <c r="HY5" s="418"/>
      <c r="HZ5" s="418"/>
      <c r="IA5" s="418"/>
      <c r="IB5" s="418"/>
      <c r="IC5" s="418"/>
      <c r="ID5" s="418"/>
      <c r="IE5" s="418"/>
      <c r="IF5" s="418"/>
      <c r="IG5" s="418"/>
      <c r="IH5" s="418"/>
      <c r="II5" s="418"/>
      <c r="IJ5" s="418"/>
      <c r="IK5" s="418"/>
      <c r="IL5" s="418"/>
      <c r="IM5" s="418"/>
      <c r="IN5" s="418"/>
      <c r="IO5" s="418"/>
      <c r="IP5" s="418"/>
      <c r="IQ5" s="418"/>
      <c r="IR5" s="418"/>
      <c r="IS5" s="418"/>
      <c r="IT5" s="418"/>
      <c r="IU5" s="418"/>
      <c r="IV5" s="418"/>
      <c r="IW5" s="418"/>
      <c r="IX5" s="418"/>
      <c r="IY5" s="418"/>
      <c r="IZ5" s="418"/>
      <c r="JA5" s="418"/>
      <c r="JB5" s="418"/>
      <c r="JC5" s="418"/>
      <c r="JD5" s="418"/>
      <c r="JE5" s="418"/>
      <c r="JF5" s="418"/>
      <c r="JG5" s="418"/>
      <c r="JH5" s="418"/>
      <c r="JI5" s="418"/>
      <c r="JJ5" s="418"/>
      <c r="JK5" s="418"/>
      <c r="JL5" s="418"/>
      <c r="JM5" s="418"/>
      <c r="JN5" s="418"/>
      <c r="JO5" s="418"/>
      <c r="JP5" s="418"/>
      <c r="JQ5" s="418"/>
      <c r="JR5" s="418"/>
      <c r="JS5" s="418"/>
      <c r="JT5" s="418"/>
      <c r="JU5" s="418"/>
      <c r="JV5" s="418"/>
      <c r="JW5" s="418"/>
      <c r="JX5" s="418"/>
      <c r="JY5" s="418"/>
      <c r="JZ5" s="418"/>
      <c r="KA5" s="418"/>
      <c r="KB5" s="418"/>
      <c r="KC5" s="418"/>
      <c r="KD5" s="418"/>
      <c r="KE5" s="418"/>
      <c r="KF5" s="418"/>
      <c r="KG5" s="418"/>
      <c r="KH5" s="418"/>
      <c r="KI5" s="418"/>
      <c r="KJ5" s="418"/>
      <c r="KK5" s="418"/>
      <c r="KL5" s="418"/>
      <c r="KM5" s="418"/>
      <c r="KN5" s="418"/>
      <c r="KO5" s="418"/>
      <c r="KP5" s="418"/>
      <c r="KQ5" s="418"/>
      <c r="KR5" s="418"/>
      <c r="KS5" s="418"/>
      <c r="KT5" s="418"/>
      <c r="KU5" s="418"/>
      <c r="KV5" s="418"/>
      <c r="KW5" s="418"/>
      <c r="KX5" s="418"/>
      <c r="KY5" s="418"/>
      <c r="KZ5" s="418"/>
      <c r="LA5" s="418"/>
      <c r="LB5" s="418"/>
      <c r="LC5" s="418"/>
      <c r="LD5" s="418"/>
      <c r="LE5" s="418"/>
      <c r="LF5" s="418"/>
      <c r="LG5" s="418"/>
      <c r="LH5" s="418"/>
      <c r="LI5" s="418"/>
      <c r="LJ5" s="418"/>
      <c r="LK5" s="418"/>
      <c r="LL5" s="418"/>
      <c r="LM5" s="418"/>
      <c r="LN5" s="418"/>
      <c r="LO5" s="418"/>
      <c r="LP5" s="418"/>
      <c r="LQ5" s="418"/>
      <c r="LR5" s="418"/>
      <c r="LS5" s="418"/>
      <c r="LT5" s="418"/>
      <c r="LU5" s="418"/>
      <c r="LV5" s="418"/>
      <c r="LW5" s="418"/>
      <c r="LX5" s="418"/>
      <c r="LY5" s="418"/>
      <c r="LZ5" s="418"/>
      <c r="MA5" s="418"/>
      <c r="MB5" s="418"/>
      <c r="MC5" s="418"/>
      <c r="MD5" s="418"/>
      <c r="ME5" s="418"/>
      <c r="MF5" s="418"/>
      <c r="MG5" s="418"/>
      <c r="MH5" s="418"/>
      <c r="MI5" s="418"/>
      <c r="MJ5" s="418"/>
      <c r="MK5" s="418"/>
      <c r="ML5" s="418"/>
      <c r="MM5" s="418"/>
      <c r="MN5" s="418"/>
      <c r="MO5" s="418"/>
      <c r="MP5" s="418"/>
      <c r="MQ5" s="418"/>
      <c r="MR5" s="418"/>
      <c r="MS5" s="418"/>
      <c r="MT5" s="418"/>
      <c r="MU5" s="418"/>
      <c r="MV5" s="418"/>
      <c r="MW5" s="418"/>
      <c r="MX5" s="418"/>
      <c r="MY5" s="418"/>
      <c r="MZ5" s="418"/>
      <c r="NA5" s="418"/>
      <c r="NB5" s="418"/>
      <c r="NC5" s="418"/>
      <c r="ND5" s="418"/>
      <c r="NE5" s="418"/>
      <c r="NF5" s="418"/>
      <c r="NG5" s="418"/>
      <c r="NH5" s="418"/>
      <c r="NI5" s="418"/>
      <c r="NJ5" s="418"/>
      <c r="NK5" s="418"/>
      <c r="NL5" s="418"/>
      <c r="NM5" s="418"/>
      <c r="NN5" s="418"/>
      <c r="NO5" s="418"/>
      <c r="NP5" s="418"/>
      <c r="NQ5" s="418"/>
      <c r="NR5" s="418"/>
      <c r="NS5" s="418"/>
      <c r="NT5" s="418"/>
      <c r="NU5" s="418"/>
      <c r="NV5" s="418"/>
      <c r="NW5" s="418"/>
      <c r="NX5" s="418"/>
      <c r="NY5" s="418"/>
      <c r="NZ5" s="418"/>
      <c r="OA5" s="418"/>
      <c r="OB5" s="418"/>
      <c r="OC5" s="418"/>
      <c r="OD5" s="418"/>
      <c r="OE5" s="418"/>
      <c r="OF5" s="418"/>
      <c r="OG5" s="418"/>
      <c r="OH5" s="418"/>
      <c r="OI5" s="418"/>
      <c r="OJ5" s="418"/>
      <c r="OK5" s="418"/>
      <c r="OL5" s="418"/>
      <c r="OM5" s="418"/>
      <c r="ON5" s="418"/>
      <c r="OO5" s="418"/>
      <c r="OP5" s="418"/>
      <c r="OQ5" s="418"/>
      <c r="OR5" s="418"/>
      <c r="OS5" s="418"/>
      <c r="OT5" s="418"/>
      <c r="OU5" s="418"/>
      <c r="OV5" s="418"/>
      <c r="OW5" s="418"/>
      <c r="OX5" s="418"/>
      <c r="OY5" s="418"/>
      <c r="OZ5" s="418"/>
      <c r="PA5" s="418"/>
      <c r="PB5" s="418"/>
      <c r="PC5" s="418"/>
      <c r="PD5" s="418"/>
      <c r="PE5" s="418"/>
      <c r="PF5" s="418"/>
      <c r="PG5" s="418"/>
      <c r="PH5" s="418"/>
      <c r="PI5" s="418"/>
      <c r="PJ5" s="418"/>
      <c r="PK5" s="418"/>
      <c r="PL5" s="418"/>
      <c r="PM5" s="418"/>
      <c r="PN5" s="418"/>
      <c r="PO5" s="418"/>
      <c r="PP5" s="418"/>
      <c r="PQ5" s="418"/>
      <c r="PR5" s="418"/>
      <c r="PS5" s="418"/>
      <c r="PT5" s="418"/>
      <c r="PU5" s="418"/>
      <c r="PV5" s="418"/>
      <c r="PW5" s="418"/>
      <c r="PX5" s="418"/>
      <c r="PY5" s="418"/>
      <c r="PZ5" s="418"/>
      <c r="QA5" s="418"/>
      <c r="QB5" s="418"/>
      <c r="QC5" s="418"/>
      <c r="QD5" s="418"/>
      <c r="QE5" s="418"/>
      <c r="QF5" s="418"/>
      <c r="QG5" s="418"/>
      <c r="QH5" s="418"/>
      <c r="QI5" s="418"/>
      <c r="QJ5" s="418"/>
      <c r="QK5" s="418"/>
      <c r="QL5" s="418"/>
      <c r="QM5" s="418"/>
      <c r="QN5" s="418"/>
      <c r="QO5" s="418"/>
      <c r="QP5" s="419"/>
      <c r="QQ5" s="223"/>
      <c r="QR5" s="221"/>
    </row>
    <row r="6" spans="3:484" s="216" customFormat="1" ht="9.6" customHeight="1" x14ac:dyDescent="0.25">
      <c r="C6" s="217"/>
      <c r="D6" s="222"/>
      <c r="E6" s="420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1"/>
      <c r="CV6" s="421"/>
      <c r="CW6" s="421"/>
      <c r="CX6" s="421"/>
      <c r="CY6" s="421"/>
      <c r="CZ6" s="421"/>
      <c r="DA6" s="421"/>
      <c r="DB6" s="421"/>
      <c r="DC6" s="421"/>
      <c r="DD6" s="421"/>
      <c r="DE6" s="421"/>
      <c r="DF6" s="421"/>
      <c r="DG6" s="421"/>
      <c r="DH6" s="421"/>
      <c r="DI6" s="421"/>
      <c r="DJ6" s="421"/>
      <c r="DK6" s="421"/>
      <c r="DL6" s="421"/>
      <c r="DM6" s="421"/>
      <c r="DN6" s="421"/>
      <c r="DO6" s="421"/>
      <c r="DP6" s="421"/>
      <c r="DQ6" s="421"/>
      <c r="DR6" s="421"/>
      <c r="DS6" s="421"/>
      <c r="DT6" s="421"/>
      <c r="DU6" s="421"/>
      <c r="DV6" s="421"/>
      <c r="DW6" s="421"/>
      <c r="DX6" s="421"/>
      <c r="DY6" s="421"/>
      <c r="DZ6" s="421"/>
      <c r="EA6" s="421"/>
      <c r="EB6" s="421"/>
      <c r="EC6" s="421"/>
      <c r="ED6" s="421"/>
      <c r="EE6" s="421"/>
      <c r="EF6" s="421"/>
      <c r="EG6" s="421"/>
      <c r="EH6" s="421"/>
      <c r="EI6" s="421"/>
      <c r="EJ6" s="421"/>
      <c r="EK6" s="421"/>
      <c r="EL6" s="421"/>
      <c r="EM6" s="421"/>
      <c r="EN6" s="421"/>
      <c r="EO6" s="421"/>
      <c r="EP6" s="421"/>
      <c r="EQ6" s="421"/>
      <c r="ER6" s="421"/>
      <c r="ES6" s="421"/>
      <c r="ET6" s="421"/>
      <c r="EU6" s="421"/>
      <c r="EV6" s="421"/>
      <c r="EW6" s="421"/>
      <c r="EX6" s="421"/>
      <c r="EY6" s="421"/>
      <c r="EZ6" s="421"/>
      <c r="FA6" s="421"/>
      <c r="FB6" s="421"/>
      <c r="FC6" s="421"/>
      <c r="FD6" s="421"/>
      <c r="FE6" s="421"/>
      <c r="FF6" s="421"/>
      <c r="FG6" s="421"/>
      <c r="FH6" s="421"/>
      <c r="FI6" s="421"/>
      <c r="FJ6" s="421"/>
      <c r="FK6" s="421"/>
      <c r="FL6" s="421"/>
      <c r="FM6" s="421"/>
      <c r="FN6" s="421"/>
      <c r="FO6" s="421"/>
      <c r="FP6" s="421"/>
      <c r="FQ6" s="421"/>
      <c r="FR6" s="421"/>
      <c r="FS6" s="421"/>
      <c r="FT6" s="421"/>
      <c r="FU6" s="421"/>
      <c r="FV6" s="421"/>
      <c r="FW6" s="421"/>
      <c r="FX6" s="421"/>
      <c r="FY6" s="421"/>
      <c r="FZ6" s="421"/>
      <c r="GA6" s="421"/>
      <c r="GB6" s="421"/>
      <c r="GC6" s="421"/>
      <c r="GD6" s="421"/>
      <c r="GE6" s="421"/>
      <c r="GF6" s="421"/>
      <c r="GG6" s="421"/>
      <c r="GH6" s="421"/>
      <c r="GI6" s="421"/>
      <c r="GJ6" s="421"/>
      <c r="GK6" s="421"/>
      <c r="GL6" s="421"/>
      <c r="GM6" s="421"/>
      <c r="GN6" s="421"/>
      <c r="GO6" s="421"/>
      <c r="GP6" s="421"/>
      <c r="GQ6" s="421"/>
      <c r="GR6" s="421"/>
      <c r="GS6" s="421"/>
      <c r="GT6" s="421"/>
      <c r="GU6" s="421"/>
      <c r="GV6" s="421"/>
      <c r="GW6" s="421"/>
      <c r="GX6" s="421"/>
      <c r="GY6" s="421"/>
      <c r="GZ6" s="421"/>
      <c r="HA6" s="421"/>
      <c r="HB6" s="421"/>
      <c r="HC6" s="421"/>
      <c r="HD6" s="421"/>
      <c r="HE6" s="421"/>
      <c r="HF6" s="421"/>
      <c r="HG6" s="421"/>
      <c r="HH6" s="421"/>
      <c r="HI6" s="421"/>
      <c r="HJ6" s="421"/>
      <c r="HK6" s="421"/>
      <c r="HL6" s="421"/>
      <c r="HM6" s="421"/>
      <c r="HN6" s="421"/>
      <c r="HO6" s="421"/>
      <c r="HP6" s="421"/>
      <c r="HQ6" s="421"/>
      <c r="HR6" s="421"/>
      <c r="HS6" s="421"/>
      <c r="HT6" s="421"/>
      <c r="HU6" s="421"/>
      <c r="HV6" s="421"/>
      <c r="HW6" s="421"/>
      <c r="HX6" s="421"/>
      <c r="HY6" s="421"/>
      <c r="HZ6" s="421"/>
      <c r="IA6" s="421"/>
      <c r="IB6" s="421"/>
      <c r="IC6" s="421"/>
      <c r="ID6" s="421"/>
      <c r="IE6" s="421"/>
      <c r="IF6" s="421"/>
      <c r="IG6" s="421"/>
      <c r="IH6" s="421"/>
      <c r="II6" s="421"/>
      <c r="IJ6" s="421"/>
      <c r="IK6" s="421"/>
      <c r="IL6" s="421"/>
      <c r="IM6" s="421"/>
      <c r="IN6" s="421"/>
      <c r="IO6" s="421"/>
      <c r="IP6" s="421"/>
      <c r="IQ6" s="421"/>
      <c r="IR6" s="421"/>
      <c r="IS6" s="421"/>
      <c r="IT6" s="421"/>
      <c r="IU6" s="421"/>
      <c r="IV6" s="421"/>
      <c r="IW6" s="421"/>
      <c r="IX6" s="421"/>
      <c r="IY6" s="421"/>
      <c r="IZ6" s="421"/>
      <c r="JA6" s="421"/>
      <c r="JB6" s="421"/>
      <c r="JC6" s="421"/>
      <c r="JD6" s="421"/>
      <c r="JE6" s="421"/>
      <c r="JF6" s="421"/>
      <c r="JG6" s="421"/>
      <c r="JH6" s="421"/>
      <c r="JI6" s="421"/>
      <c r="JJ6" s="421"/>
      <c r="JK6" s="421"/>
      <c r="JL6" s="421"/>
      <c r="JM6" s="421"/>
      <c r="JN6" s="421"/>
      <c r="JO6" s="421"/>
      <c r="JP6" s="421"/>
      <c r="JQ6" s="421"/>
      <c r="JR6" s="421"/>
      <c r="JS6" s="421"/>
      <c r="JT6" s="421"/>
      <c r="JU6" s="421"/>
      <c r="JV6" s="421"/>
      <c r="JW6" s="421"/>
      <c r="JX6" s="421"/>
      <c r="JY6" s="421"/>
      <c r="JZ6" s="421"/>
      <c r="KA6" s="421"/>
      <c r="KB6" s="421"/>
      <c r="KC6" s="421"/>
      <c r="KD6" s="421"/>
      <c r="KE6" s="421"/>
      <c r="KF6" s="421"/>
      <c r="KG6" s="421"/>
      <c r="KH6" s="421"/>
      <c r="KI6" s="421"/>
      <c r="KJ6" s="421"/>
      <c r="KK6" s="421"/>
      <c r="KL6" s="421"/>
      <c r="KM6" s="421"/>
      <c r="KN6" s="421"/>
      <c r="KO6" s="421"/>
      <c r="KP6" s="421"/>
      <c r="KQ6" s="421"/>
      <c r="KR6" s="421"/>
      <c r="KS6" s="421"/>
      <c r="KT6" s="421"/>
      <c r="KU6" s="421"/>
      <c r="KV6" s="421"/>
      <c r="KW6" s="421"/>
      <c r="KX6" s="421"/>
      <c r="KY6" s="421"/>
      <c r="KZ6" s="421"/>
      <c r="LA6" s="421"/>
      <c r="LB6" s="421"/>
      <c r="LC6" s="421"/>
      <c r="LD6" s="421"/>
      <c r="LE6" s="421"/>
      <c r="LF6" s="421"/>
      <c r="LG6" s="421"/>
      <c r="LH6" s="421"/>
      <c r="LI6" s="421"/>
      <c r="LJ6" s="421"/>
      <c r="LK6" s="421"/>
      <c r="LL6" s="421"/>
      <c r="LM6" s="421"/>
      <c r="LN6" s="421"/>
      <c r="LO6" s="421"/>
      <c r="LP6" s="421"/>
      <c r="LQ6" s="421"/>
      <c r="LR6" s="421"/>
      <c r="LS6" s="421"/>
      <c r="LT6" s="421"/>
      <c r="LU6" s="421"/>
      <c r="LV6" s="421"/>
      <c r="LW6" s="421"/>
      <c r="LX6" s="421"/>
      <c r="LY6" s="421"/>
      <c r="LZ6" s="421"/>
      <c r="MA6" s="421"/>
      <c r="MB6" s="421"/>
      <c r="MC6" s="421"/>
      <c r="MD6" s="421"/>
      <c r="ME6" s="421"/>
      <c r="MF6" s="421"/>
      <c r="MG6" s="421"/>
      <c r="MH6" s="421"/>
      <c r="MI6" s="421"/>
      <c r="MJ6" s="421"/>
      <c r="MK6" s="421"/>
      <c r="ML6" s="421"/>
      <c r="MM6" s="421"/>
      <c r="MN6" s="421"/>
      <c r="MO6" s="421"/>
      <c r="MP6" s="421"/>
      <c r="MQ6" s="421"/>
      <c r="MR6" s="421"/>
      <c r="MS6" s="421"/>
      <c r="MT6" s="421"/>
      <c r="MU6" s="421"/>
      <c r="MV6" s="421"/>
      <c r="MW6" s="421"/>
      <c r="MX6" s="421"/>
      <c r="MY6" s="421"/>
      <c r="MZ6" s="421"/>
      <c r="NA6" s="421"/>
      <c r="NB6" s="421"/>
      <c r="NC6" s="421"/>
      <c r="ND6" s="421"/>
      <c r="NE6" s="421"/>
      <c r="NF6" s="421"/>
      <c r="NG6" s="421"/>
      <c r="NH6" s="421"/>
      <c r="NI6" s="421"/>
      <c r="NJ6" s="421"/>
      <c r="NK6" s="421"/>
      <c r="NL6" s="421"/>
      <c r="NM6" s="421"/>
      <c r="NN6" s="421"/>
      <c r="NO6" s="421"/>
      <c r="NP6" s="421"/>
      <c r="NQ6" s="421"/>
      <c r="NR6" s="421"/>
      <c r="NS6" s="421"/>
      <c r="NT6" s="421"/>
      <c r="NU6" s="421"/>
      <c r="NV6" s="421"/>
      <c r="NW6" s="421"/>
      <c r="NX6" s="421"/>
      <c r="NY6" s="421"/>
      <c r="NZ6" s="421"/>
      <c r="OA6" s="421"/>
      <c r="OB6" s="421"/>
      <c r="OC6" s="421"/>
      <c r="OD6" s="421"/>
      <c r="OE6" s="421"/>
      <c r="OF6" s="421"/>
      <c r="OG6" s="421"/>
      <c r="OH6" s="421"/>
      <c r="OI6" s="421"/>
      <c r="OJ6" s="421"/>
      <c r="OK6" s="421"/>
      <c r="OL6" s="421"/>
      <c r="OM6" s="421"/>
      <c r="ON6" s="421"/>
      <c r="OO6" s="421"/>
      <c r="OP6" s="421"/>
      <c r="OQ6" s="421"/>
      <c r="OR6" s="421"/>
      <c r="OS6" s="421"/>
      <c r="OT6" s="421"/>
      <c r="OU6" s="421"/>
      <c r="OV6" s="421"/>
      <c r="OW6" s="421"/>
      <c r="OX6" s="421"/>
      <c r="OY6" s="421"/>
      <c r="OZ6" s="421"/>
      <c r="PA6" s="421"/>
      <c r="PB6" s="421"/>
      <c r="PC6" s="421"/>
      <c r="PD6" s="421"/>
      <c r="PE6" s="421"/>
      <c r="PF6" s="421"/>
      <c r="PG6" s="421"/>
      <c r="PH6" s="421"/>
      <c r="PI6" s="421"/>
      <c r="PJ6" s="421"/>
      <c r="PK6" s="421"/>
      <c r="PL6" s="421"/>
      <c r="PM6" s="421"/>
      <c r="PN6" s="421"/>
      <c r="PO6" s="421"/>
      <c r="PP6" s="421"/>
      <c r="PQ6" s="421"/>
      <c r="PR6" s="421"/>
      <c r="PS6" s="421"/>
      <c r="PT6" s="421"/>
      <c r="PU6" s="421"/>
      <c r="PV6" s="421"/>
      <c r="PW6" s="421"/>
      <c r="PX6" s="421"/>
      <c r="PY6" s="421"/>
      <c r="PZ6" s="421"/>
      <c r="QA6" s="421"/>
      <c r="QB6" s="421"/>
      <c r="QC6" s="421"/>
      <c r="QD6" s="421"/>
      <c r="QE6" s="421"/>
      <c r="QF6" s="421"/>
      <c r="QG6" s="421"/>
      <c r="QH6" s="421"/>
      <c r="QI6" s="421"/>
      <c r="QJ6" s="421"/>
      <c r="QK6" s="421"/>
      <c r="QL6" s="421"/>
      <c r="QM6" s="421"/>
      <c r="QN6" s="421"/>
      <c r="QO6" s="421"/>
      <c r="QP6" s="422"/>
      <c r="QQ6" s="223"/>
      <c r="QR6" s="221"/>
    </row>
    <row r="7" spans="3:484" s="216" customFormat="1" ht="9.6" customHeight="1" x14ac:dyDescent="0.25">
      <c r="C7" s="217"/>
      <c r="D7" s="222"/>
      <c r="E7" s="420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1"/>
      <c r="BY7" s="421"/>
      <c r="BZ7" s="421"/>
      <c r="CA7" s="421"/>
      <c r="CB7" s="421"/>
      <c r="CC7" s="421"/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  <c r="CO7" s="421"/>
      <c r="CP7" s="421"/>
      <c r="CQ7" s="421"/>
      <c r="CR7" s="421"/>
      <c r="CS7" s="421"/>
      <c r="CT7" s="421"/>
      <c r="CU7" s="421"/>
      <c r="CV7" s="421"/>
      <c r="CW7" s="421"/>
      <c r="CX7" s="421"/>
      <c r="CY7" s="421"/>
      <c r="CZ7" s="421"/>
      <c r="DA7" s="421"/>
      <c r="DB7" s="421"/>
      <c r="DC7" s="421"/>
      <c r="DD7" s="421"/>
      <c r="DE7" s="421"/>
      <c r="DF7" s="421"/>
      <c r="DG7" s="421"/>
      <c r="DH7" s="421"/>
      <c r="DI7" s="421"/>
      <c r="DJ7" s="421"/>
      <c r="DK7" s="421"/>
      <c r="DL7" s="421"/>
      <c r="DM7" s="421"/>
      <c r="DN7" s="421"/>
      <c r="DO7" s="421"/>
      <c r="DP7" s="421"/>
      <c r="DQ7" s="421"/>
      <c r="DR7" s="421"/>
      <c r="DS7" s="421"/>
      <c r="DT7" s="421"/>
      <c r="DU7" s="421"/>
      <c r="DV7" s="421"/>
      <c r="DW7" s="421"/>
      <c r="DX7" s="421"/>
      <c r="DY7" s="421"/>
      <c r="DZ7" s="421"/>
      <c r="EA7" s="421"/>
      <c r="EB7" s="421"/>
      <c r="EC7" s="421"/>
      <c r="ED7" s="421"/>
      <c r="EE7" s="421"/>
      <c r="EF7" s="421"/>
      <c r="EG7" s="421"/>
      <c r="EH7" s="421"/>
      <c r="EI7" s="421"/>
      <c r="EJ7" s="421"/>
      <c r="EK7" s="421"/>
      <c r="EL7" s="421"/>
      <c r="EM7" s="421"/>
      <c r="EN7" s="421"/>
      <c r="EO7" s="421"/>
      <c r="EP7" s="421"/>
      <c r="EQ7" s="421"/>
      <c r="ER7" s="421"/>
      <c r="ES7" s="421"/>
      <c r="ET7" s="421"/>
      <c r="EU7" s="421"/>
      <c r="EV7" s="421"/>
      <c r="EW7" s="421"/>
      <c r="EX7" s="421"/>
      <c r="EY7" s="421"/>
      <c r="EZ7" s="421"/>
      <c r="FA7" s="421"/>
      <c r="FB7" s="421"/>
      <c r="FC7" s="421"/>
      <c r="FD7" s="421"/>
      <c r="FE7" s="421"/>
      <c r="FF7" s="421"/>
      <c r="FG7" s="421"/>
      <c r="FH7" s="421"/>
      <c r="FI7" s="421"/>
      <c r="FJ7" s="421"/>
      <c r="FK7" s="421"/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1"/>
      <c r="GN7" s="421"/>
      <c r="GO7" s="421"/>
      <c r="GP7" s="421"/>
      <c r="GQ7" s="421"/>
      <c r="GR7" s="421"/>
      <c r="GS7" s="421"/>
      <c r="GT7" s="421"/>
      <c r="GU7" s="421"/>
      <c r="GV7" s="421"/>
      <c r="GW7" s="421"/>
      <c r="GX7" s="421"/>
      <c r="GY7" s="421"/>
      <c r="GZ7" s="421"/>
      <c r="HA7" s="421"/>
      <c r="HB7" s="421"/>
      <c r="HC7" s="421"/>
      <c r="HD7" s="421"/>
      <c r="HE7" s="421"/>
      <c r="HF7" s="421"/>
      <c r="HG7" s="421"/>
      <c r="HH7" s="421"/>
      <c r="HI7" s="421"/>
      <c r="HJ7" s="421"/>
      <c r="HK7" s="421"/>
      <c r="HL7" s="421"/>
      <c r="HM7" s="421"/>
      <c r="HN7" s="421"/>
      <c r="HO7" s="421"/>
      <c r="HP7" s="421"/>
      <c r="HQ7" s="421"/>
      <c r="HR7" s="421"/>
      <c r="HS7" s="421"/>
      <c r="HT7" s="421"/>
      <c r="HU7" s="421"/>
      <c r="HV7" s="421"/>
      <c r="HW7" s="421"/>
      <c r="HX7" s="421"/>
      <c r="HY7" s="421"/>
      <c r="HZ7" s="421"/>
      <c r="IA7" s="421"/>
      <c r="IB7" s="421"/>
      <c r="IC7" s="421"/>
      <c r="ID7" s="421"/>
      <c r="IE7" s="421"/>
      <c r="IF7" s="421"/>
      <c r="IG7" s="421"/>
      <c r="IH7" s="421"/>
      <c r="II7" s="421"/>
      <c r="IJ7" s="421"/>
      <c r="IK7" s="421"/>
      <c r="IL7" s="421"/>
      <c r="IM7" s="421"/>
      <c r="IN7" s="421"/>
      <c r="IO7" s="421"/>
      <c r="IP7" s="421"/>
      <c r="IQ7" s="421"/>
      <c r="IR7" s="421"/>
      <c r="IS7" s="421"/>
      <c r="IT7" s="421"/>
      <c r="IU7" s="421"/>
      <c r="IV7" s="421"/>
      <c r="IW7" s="421"/>
      <c r="IX7" s="421"/>
      <c r="IY7" s="421"/>
      <c r="IZ7" s="421"/>
      <c r="JA7" s="421"/>
      <c r="JB7" s="421"/>
      <c r="JC7" s="421"/>
      <c r="JD7" s="421"/>
      <c r="JE7" s="421"/>
      <c r="JF7" s="421"/>
      <c r="JG7" s="421"/>
      <c r="JH7" s="421"/>
      <c r="JI7" s="421"/>
      <c r="JJ7" s="421"/>
      <c r="JK7" s="421"/>
      <c r="JL7" s="421"/>
      <c r="JM7" s="421"/>
      <c r="JN7" s="421"/>
      <c r="JO7" s="421"/>
      <c r="JP7" s="421"/>
      <c r="JQ7" s="421"/>
      <c r="JR7" s="421"/>
      <c r="JS7" s="421"/>
      <c r="JT7" s="421"/>
      <c r="JU7" s="421"/>
      <c r="JV7" s="421"/>
      <c r="JW7" s="421"/>
      <c r="JX7" s="421"/>
      <c r="JY7" s="421"/>
      <c r="JZ7" s="421"/>
      <c r="KA7" s="421"/>
      <c r="KB7" s="421"/>
      <c r="KC7" s="421"/>
      <c r="KD7" s="421"/>
      <c r="KE7" s="421"/>
      <c r="KF7" s="421"/>
      <c r="KG7" s="421"/>
      <c r="KH7" s="421"/>
      <c r="KI7" s="421"/>
      <c r="KJ7" s="421"/>
      <c r="KK7" s="421"/>
      <c r="KL7" s="421"/>
      <c r="KM7" s="421"/>
      <c r="KN7" s="421"/>
      <c r="KO7" s="421"/>
      <c r="KP7" s="421"/>
      <c r="KQ7" s="421"/>
      <c r="KR7" s="421"/>
      <c r="KS7" s="421"/>
      <c r="KT7" s="421"/>
      <c r="KU7" s="421"/>
      <c r="KV7" s="421"/>
      <c r="KW7" s="421"/>
      <c r="KX7" s="421"/>
      <c r="KY7" s="421"/>
      <c r="KZ7" s="421"/>
      <c r="LA7" s="421"/>
      <c r="LB7" s="421"/>
      <c r="LC7" s="421"/>
      <c r="LD7" s="421"/>
      <c r="LE7" s="421"/>
      <c r="LF7" s="421"/>
      <c r="LG7" s="421"/>
      <c r="LH7" s="421"/>
      <c r="LI7" s="421"/>
      <c r="LJ7" s="421"/>
      <c r="LK7" s="421"/>
      <c r="LL7" s="421"/>
      <c r="LM7" s="421"/>
      <c r="LN7" s="421"/>
      <c r="LO7" s="421"/>
      <c r="LP7" s="421"/>
      <c r="LQ7" s="421"/>
      <c r="LR7" s="421"/>
      <c r="LS7" s="421"/>
      <c r="LT7" s="421"/>
      <c r="LU7" s="421"/>
      <c r="LV7" s="421"/>
      <c r="LW7" s="421"/>
      <c r="LX7" s="421"/>
      <c r="LY7" s="421"/>
      <c r="LZ7" s="421"/>
      <c r="MA7" s="421"/>
      <c r="MB7" s="421"/>
      <c r="MC7" s="421"/>
      <c r="MD7" s="421"/>
      <c r="ME7" s="421"/>
      <c r="MF7" s="421"/>
      <c r="MG7" s="421"/>
      <c r="MH7" s="421"/>
      <c r="MI7" s="421"/>
      <c r="MJ7" s="421"/>
      <c r="MK7" s="421"/>
      <c r="ML7" s="421"/>
      <c r="MM7" s="421"/>
      <c r="MN7" s="421"/>
      <c r="MO7" s="421"/>
      <c r="MP7" s="421"/>
      <c r="MQ7" s="421"/>
      <c r="MR7" s="421"/>
      <c r="MS7" s="421"/>
      <c r="MT7" s="421"/>
      <c r="MU7" s="421"/>
      <c r="MV7" s="421"/>
      <c r="MW7" s="421"/>
      <c r="MX7" s="421"/>
      <c r="MY7" s="421"/>
      <c r="MZ7" s="421"/>
      <c r="NA7" s="421"/>
      <c r="NB7" s="421"/>
      <c r="NC7" s="421"/>
      <c r="ND7" s="421"/>
      <c r="NE7" s="421"/>
      <c r="NF7" s="421"/>
      <c r="NG7" s="421"/>
      <c r="NH7" s="421"/>
      <c r="NI7" s="421"/>
      <c r="NJ7" s="421"/>
      <c r="NK7" s="421"/>
      <c r="NL7" s="421"/>
      <c r="NM7" s="421"/>
      <c r="NN7" s="421"/>
      <c r="NO7" s="421"/>
      <c r="NP7" s="421"/>
      <c r="NQ7" s="421"/>
      <c r="NR7" s="421"/>
      <c r="NS7" s="421"/>
      <c r="NT7" s="421"/>
      <c r="NU7" s="421"/>
      <c r="NV7" s="421"/>
      <c r="NW7" s="421"/>
      <c r="NX7" s="421"/>
      <c r="NY7" s="421"/>
      <c r="NZ7" s="421"/>
      <c r="OA7" s="421"/>
      <c r="OB7" s="421"/>
      <c r="OC7" s="421"/>
      <c r="OD7" s="421"/>
      <c r="OE7" s="421"/>
      <c r="OF7" s="421"/>
      <c r="OG7" s="421"/>
      <c r="OH7" s="421"/>
      <c r="OI7" s="421"/>
      <c r="OJ7" s="421"/>
      <c r="OK7" s="421"/>
      <c r="OL7" s="421"/>
      <c r="OM7" s="421"/>
      <c r="ON7" s="421"/>
      <c r="OO7" s="421"/>
      <c r="OP7" s="421"/>
      <c r="OQ7" s="421"/>
      <c r="OR7" s="421"/>
      <c r="OS7" s="421"/>
      <c r="OT7" s="421"/>
      <c r="OU7" s="421"/>
      <c r="OV7" s="421"/>
      <c r="OW7" s="421"/>
      <c r="OX7" s="421"/>
      <c r="OY7" s="421"/>
      <c r="OZ7" s="421"/>
      <c r="PA7" s="421"/>
      <c r="PB7" s="421"/>
      <c r="PC7" s="421"/>
      <c r="PD7" s="421"/>
      <c r="PE7" s="421"/>
      <c r="PF7" s="421"/>
      <c r="PG7" s="421"/>
      <c r="PH7" s="421"/>
      <c r="PI7" s="421"/>
      <c r="PJ7" s="421"/>
      <c r="PK7" s="421"/>
      <c r="PL7" s="421"/>
      <c r="PM7" s="421"/>
      <c r="PN7" s="421"/>
      <c r="PO7" s="421"/>
      <c r="PP7" s="421"/>
      <c r="PQ7" s="421"/>
      <c r="PR7" s="421"/>
      <c r="PS7" s="421"/>
      <c r="PT7" s="421"/>
      <c r="PU7" s="421"/>
      <c r="PV7" s="421"/>
      <c r="PW7" s="421"/>
      <c r="PX7" s="421"/>
      <c r="PY7" s="421"/>
      <c r="PZ7" s="421"/>
      <c r="QA7" s="421"/>
      <c r="QB7" s="421"/>
      <c r="QC7" s="421"/>
      <c r="QD7" s="421"/>
      <c r="QE7" s="421"/>
      <c r="QF7" s="421"/>
      <c r="QG7" s="421"/>
      <c r="QH7" s="421"/>
      <c r="QI7" s="421"/>
      <c r="QJ7" s="421"/>
      <c r="QK7" s="421"/>
      <c r="QL7" s="421"/>
      <c r="QM7" s="421"/>
      <c r="QN7" s="421"/>
      <c r="QO7" s="421"/>
      <c r="QP7" s="422"/>
      <c r="QQ7" s="223"/>
      <c r="QR7" s="221"/>
    </row>
    <row r="8" spans="3:484" s="216" customFormat="1" ht="9.6" customHeight="1" x14ac:dyDescent="0.25">
      <c r="C8" s="217"/>
      <c r="D8" s="222"/>
      <c r="E8" s="420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/>
      <c r="CH8" s="421"/>
      <c r="CI8" s="421"/>
      <c r="CJ8" s="421"/>
      <c r="CK8" s="421"/>
      <c r="CL8" s="421"/>
      <c r="CM8" s="421"/>
      <c r="CN8" s="421"/>
      <c r="CO8" s="421"/>
      <c r="CP8" s="421"/>
      <c r="CQ8" s="421"/>
      <c r="CR8" s="421"/>
      <c r="CS8" s="421"/>
      <c r="CT8" s="421"/>
      <c r="CU8" s="421"/>
      <c r="CV8" s="421"/>
      <c r="CW8" s="421"/>
      <c r="CX8" s="421"/>
      <c r="CY8" s="421"/>
      <c r="CZ8" s="421"/>
      <c r="DA8" s="421"/>
      <c r="DB8" s="421"/>
      <c r="DC8" s="421"/>
      <c r="DD8" s="421"/>
      <c r="DE8" s="421"/>
      <c r="DF8" s="421"/>
      <c r="DG8" s="421"/>
      <c r="DH8" s="421"/>
      <c r="DI8" s="421"/>
      <c r="DJ8" s="421"/>
      <c r="DK8" s="421"/>
      <c r="DL8" s="421"/>
      <c r="DM8" s="421"/>
      <c r="DN8" s="421"/>
      <c r="DO8" s="421"/>
      <c r="DP8" s="421"/>
      <c r="DQ8" s="421"/>
      <c r="DR8" s="421"/>
      <c r="DS8" s="421"/>
      <c r="DT8" s="421"/>
      <c r="DU8" s="421"/>
      <c r="DV8" s="421"/>
      <c r="DW8" s="421"/>
      <c r="DX8" s="421"/>
      <c r="DY8" s="421"/>
      <c r="DZ8" s="421"/>
      <c r="EA8" s="421"/>
      <c r="EB8" s="421"/>
      <c r="EC8" s="421"/>
      <c r="ED8" s="421"/>
      <c r="EE8" s="421"/>
      <c r="EF8" s="421"/>
      <c r="EG8" s="421"/>
      <c r="EH8" s="421"/>
      <c r="EI8" s="421"/>
      <c r="EJ8" s="421"/>
      <c r="EK8" s="421"/>
      <c r="EL8" s="421"/>
      <c r="EM8" s="421"/>
      <c r="EN8" s="421"/>
      <c r="EO8" s="421"/>
      <c r="EP8" s="421"/>
      <c r="EQ8" s="421"/>
      <c r="ER8" s="421"/>
      <c r="ES8" s="421"/>
      <c r="ET8" s="421"/>
      <c r="EU8" s="421"/>
      <c r="EV8" s="421"/>
      <c r="EW8" s="421"/>
      <c r="EX8" s="421"/>
      <c r="EY8" s="421"/>
      <c r="EZ8" s="421"/>
      <c r="FA8" s="421"/>
      <c r="FB8" s="421"/>
      <c r="FC8" s="421"/>
      <c r="FD8" s="421"/>
      <c r="FE8" s="421"/>
      <c r="FF8" s="421"/>
      <c r="FG8" s="421"/>
      <c r="FH8" s="421"/>
      <c r="FI8" s="421"/>
      <c r="FJ8" s="421"/>
      <c r="FK8" s="421"/>
      <c r="FL8" s="421"/>
      <c r="FM8" s="421"/>
      <c r="FN8" s="421"/>
      <c r="FO8" s="421"/>
      <c r="FP8" s="421"/>
      <c r="FQ8" s="421"/>
      <c r="FR8" s="421"/>
      <c r="FS8" s="421"/>
      <c r="FT8" s="421"/>
      <c r="FU8" s="421"/>
      <c r="FV8" s="421"/>
      <c r="FW8" s="421"/>
      <c r="FX8" s="421"/>
      <c r="FY8" s="421"/>
      <c r="FZ8" s="421"/>
      <c r="GA8" s="421"/>
      <c r="GB8" s="421"/>
      <c r="GC8" s="421"/>
      <c r="GD8" s="421"/>
      <c r="GE8" s="421"/>
      <c r="GF8" s="421"/>
      <c r="GG8" s="421"/>
      <c r="GH8" s="421"/>
      <c r="GI8" s="421"/>
      <c r="GJ8" s="421"/>
      <c r="GK8" s="421"/>
      <c r="GL8" s="421"/>
      <c r="GM8" s="421"/>
      <c r="GN8" s="421"/>
      <c r="GO8" s="421"/>
      <c r="GP8" s="421"/>
      <c r="GQ8" s="421"/>
      <c r="GR8" s="421"/>
      <c r="GS8" s="421"/>
      <c r="GT8" s="421"/>
      <c r="GU8" s="421"/>
      <c r="GV8" s="421"/>
      <c r="GW8" s="421"/>
      <c r="GX8" s="421"/>
      <c r="GY8" s="421"/>
      <c r="GZ8" s="421"/>
      <c r="HA8" s="421"/>
      <c r="HB8" s="421"/>
      <c r="HC8" s="421"/>
      <c r="HD8" s="421"/>
      <c r="HE8" s="421"/>
      <c r="HF8" s="421"/>
      <c r="HG8" s="421"/>
      <c r="HH8" s="421"/>
      <c r="HI8" s="421"/>
      <c r="HJ8" s="421"/>
      <c r="HK8" s="421"/>
      <c r="HL8" s="421"/>
      <c r="HM8" s="421"/>
      <c r="HN8" s="421"/>
      <c r="HO8" s="421"/>
      <c r="HP8" s="421"/>
      <c r="HQ8" s="421"/>
      <c r="HR8" s="421"/>
      <c r="HS8" s="421"/>
      <c r="HT8" s="421"/>
      <c r="HU8" s="421"/>
      <c r="HV8" s="421"/>
      <c r="HW8" s="421"/>
      <c r="HX8" s="421"/>
      <c r="HY8" s="421"/>
      <c r="HZ8" s="421"/>
      <c r="IA8" s="421"/>
      <c r="IB8" s="421"/>
      <c r="IC8" s="421"/>
      <c r="ID8" s="421"/>
      <c r="IE8" s="421"/>
      <c r="IF8" s="421"/>
      <c r="IG8" s="421"/>
      <c r="IH8" s="421"/>
      <c r="II8" s="421"/>
      <c r="IJ8" s="421"/>
      <c r="IK8" s="421"/>
      <c r="IL8" s="421"/>
      <c r="IM8" s="421"/>
      <c r="IN8" s="421"/>
      <c r="IO8" s="421"/>
      <c r="IP8" s="421"/>
      <c r="IQ8" s="421"/>
      <c r="IR8" s="421"/>
      <c r="IS8" s="421"/>
      <c r="IT8" s="421"/>
      <c r="IU8" s="421"/>
      <c r="IV8" s="421"/>
      <c r="IW8" s="421"/>
      <c r="IX8" s="421"/>
      <c r="IY8" s="421"/>
      <c r="IZ8" s="421"/>
      <c r="JA8" s="421"/>
      <c r="JB8" s="421"/>
      <c r="JC8" s="421"/>
      <c r="JD8" s="421"/>
      <c r="JE8" s="421"/>
      <c r="JF8" s="421"/>
      <c r="JG8" s="421"/>
      <c r="JH8" s="421"/>
      <c r="JI8" s="421"/>
      <c r="JJ8" s="421"/>
      <c r="JK8" s="421"/>
      <c r="JL8" s="421"/>
      <c r="JM8" s="421"/>
      <c r="JN8" s="421"/>
      <c r="JO8" s="421"/>
      <c r="JP8" s="421"/>
      <c r="JQ8" s="421"/>
      <c r="JR8" s="421"/>
      <c r="JS8" s="421"/>
      <c r="JT8" s="421"/>
      <c r="JU8" s="421"/>
      <c r="JV8" s="421"/>
      <c r="JW8" s="421"/>
      <c r="JX8" s="421"/>
      <c r="JY8" s="421"/>
      <c r="JZ8" s="421"/>
      <c r="KA8" s="421"/>
      <c r="KB8" s="421"/>
      <c r="KC8" s="421"/>
      <c r="KD8" s="421"/>
      <c r="KE8" s="421"/>
      <c r="KF8" s="421"/>
      <c r="KG8" s="421"/>
      <c r="KH8" s="421"/>
      <c r="KI8" s="421"/>
      <c r="KJ8" s="421"/>
      <c r="KK8" s="421"/>
      <c r="KL8" s="421"/>
      <c r="KM8" s="421"/>
      <c r="KN8" s="421"/>
      <c r="KO8" s="421"/>
      <c r="KP8" s="421"/>
      <c r="KQ8" s="421"/>
      <c r="KR8" s="421"/>
      <c r="KS8" s="421"/>
      <c r="KT8" s="421"/>
      <c r="KU8" s="421"/>
      <c r="KV8" s="421"/>
      <c r="KW8" s="421"/>
      <c r="KX8" s="421"/>
      <c r="KY8" s="421"/>
      <c r="KZ8" s="421"/>
      <c r="LA8" s="421"/>
      <c r="LB8" s="421"/>
      <c r="LC8" s="421"/>
      <c r="LD8" s="421"/>
      <c r="LE8" s="421"/>
      <c r="LF8" s="421"/>
      <c r="LG8" s="421"/>
      <c r="LH8" s="421"/>
      <c r="LI8" s="421"/>
      <c r="LJ8" s="421"/>
      <c r="LK8" s="421"/>
      <c r="LL8" s="421"/>
      <c r="LM8" s="421"/>
      <c r="LN8" s="421"/>
      <c r="LO8" s="421"/>
      <c r="LP8" s="421"/>
      <c r="LQ8" s="421"/>
      <c r="LR8" s="421"/>
      <c r="LS8" s="421"/>
      <c r="LT8" s="421"/>
      <c r="LU8" s="421"/>
      <c r="LV8" s="421"/>
      <c r="LW8" s="421"/>
      <c r="LX8" s="421"/>
      <c r="LY8" s="421"/>
      <c r="LZ8" s="421"/>
      <c r="MA8" s="421"/>
      <c r="MB8" s="421"/>
      <c r="MC8" s="421"/>
      <c r="MD8" s="421"/>
      <c r="ME8" s="421"/>
      <c r="MF8" s="421"/>
      <c r="MG8" s="421"/>
      <c r="MH8" s="421"/>
      <c r="MI8" s="421"/>
      <c r="MJ8" s="421"/>
      <c r="MK8" s="421"/>
      <c r="ML8" s="421"/>
      <c r="MM8" s="421"/>
      <c r="MN8" s="421"/>
      <c r="MO8" s="421"/>
      <c r="MP8" s="421"/>
      <c r="MQ8" s="421"/>
      <c r="MR8" s="421"/>
      <c r="MS8" s="421"/>
      <c r="MT8" s="421"/>
      <c r="MU8" s="421"/>
      <c r="MV8" s="421"/>
      <c r="MW8" s="421"/>
      <c r="MX8" s="421"/>
      <c r="MY8" s="421"/>
      <c r="MZ8" s="421"/>
      <c r="NA8" s="421"/>
      <c r="NB8" s="421"/>
      <c r="NC8" s="421"/>
      <c r="ND8" s="421"/>
      <c r="NE8" s="421"/>
      <c r="NF8" s="421"/>
      <c r="NG8" s="421"/>
      <c r="NH8" s="421"/>
      <c r="NI8" s="421"/>
      <c r="NJ8" s="421"/>
      <c r="NK8" s="421"/>
      <c r="NL8" s="421"/>
      <c r="NM8" s="421"/>
      <c r="NN8" s="421"/>
      <c r="NO8" s="421"/>
      <c r="NP8" s="421"/>
      <c r="NQ8" s="421"/>
      <c r="NR8" s="421"/>
      <c r="NS8" s="421"/>
      <c r="NT8" s="421"/>
      <c r="NU8" s="421"/>
      <c r="NV8" s="421"/>
      <c r="NW8" s="421"/>
      <c r="NX8" s="421"/>
      <c r="NY8" s="421"/>
      <c r="NZ8" s="421"/>
      <c r="OA8" s="421"/>
      <c r="OB8" s="421"/>
      <c r="OC8" s="421"/>
      <c r="OD8" s="421"/>
      <c r="OE8" s="421"/>
      <c r="OF8" s="421"/>
      <c r="OG8" s="421"/>
      <c r="OH8" s="421"/>
      <c r="OI8" s="421"/>
      <c r="OJ8" s="421"/>
      <c r="OK8" s="421"/>
      <c r="OL8" s="421"/>
      <c r="OM8" s="421"/>
      <c r="ON8" s="421"/>
      <c r="OO8" s="421"/>
      <c r="OP8" s="421"/>
      <c r="OQ8" s="421"/>
      <c r="OR8" s="421"/>
      <c r="OS8" s="421"/>
      <c r="OT8" s="421"/>
      <c r="OU8" s="421"/>
      <c r="OV8" s="421"/>
      <c r="OW8" s="421"/>
      <c r="OX8" s="421"/>
      <c r="OY8" s="421"/>
      <c r="OZ8" s="421"/>
      <c r="PA8" s="421"/>
      <c r="PB8" s="421"/>
      <c r="PC8" s="421"/>
      <c r="PD8" s="421"/>
      <c r="PE8" s="421"/>
      <c r="PF8" s="421"/>
      <c r="PG8" s="421"/>
      <c r="PH8" s="421"/>
      <c r="PI8" s="421"/>
      <c r="PJ8" s="421"/>
      <c r="PK8" s="421"/>
      <c r="PL8" s="421"/>
      <c r="PM8" s="421"/>
      <c r="PN8" s="421"/>
      <c r="PO8" s="421"/>
      <c r="PP8" s="421"/>
      <c r="PQ8" s="421"/>
      <c r="PR8" s="421"/>
      <c r="PS8" s="421"/>
      <c r="PT8" s="421"/>
      <c r="PU8" s="421"/>
      <c r="PV8" s="421"/>
      <c r="PW8" s="421"/>
      <c r="PX8" s="421"/>
      <c r="PY8" s="421"/>
      <c r="PZ8" s="421"/>
      <c r="QA8" s="421"/>
      <c r="QB8" s="421"/>
      <c r="QC8" s="421"/>
      <c r="QD8" s="421"/>
      <c r="QE8" s="421"/>
      <c r="QF8" s="421"/>
      <c r="QG8" s="421"/>
      <c r="QH8" s="421"/>
      <c r="QI8" s="421"/>
      <c r="QJ8" s="421"/>
      <c r="QK8" s="421"/>
      <c r="QL8" s="421"/>
      <c r="QM8" s="421"/>
      <c r="QN8" s="421"/>
      <c r="QO8" s="421"/>
      <c r="QP8" s="422"/>
      <c r="QQ8" s="223"/>
      <c r="QR8" s="221"/>
      <c r="QS8" s="224"/>
      <c r="QT8" s="224"/>
      <c r="QU8" s="224"/>
      <c r="QV8" s="224"/>
      <c r="RK8" s="224"/>
      <c r="RL8" s="224"/>
      <c r="RM8" s="224"/>
      <c r="RN8" s="224"/>
      <c r="RO8" s="224"/>
    </row>
    <row r="9" spans="3:484" s="216" customFormat="1" ht="9.6" customHeight="1" x14ac:dyDescent="0.25">
      <c r="C9" s="217"/>
      <c r="D9" s="222"/>
      <c r="E9" s="420" t="s">
        <v>404</v>
      </c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421"/>
      <c r="AC9" s="421"/>
      <c r="AD9" s="421"/>
      <c r="AE9" s="421"/>
      <c r="AF9" s="421"/>
      <c r="AG9" s="421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1"/>
      <c r="BY9" s="421"/>
      <c r="BZ9" s="421"/>
      <c r="CA9" s="421"/>
      <c r="CB9" s="421"/>
      <c r="CC9" s="421"/>
      <c r="CD9" s="421"/>
      <c r="CE9" s="421"/>
      <c r="CF9" s="421"/>
      <c r="CG9" s="421"/>
      <c r="CH9" s="421"/>
      <c r="CI9" s="421"/>
      <c r="CJ9" s="421"/>
      <c r="CK9" s="421"/>
      <c r="CL9" s="421"/>
      <c r="CM9" s="421"/>
      <c r="CN9" s="421"/>
      <c r="CO9" s="421"/>
      <c r="CP9" s="421"/>
      <c r="CQ9" s="421"/>
      <c r="CR9" s="421"/>
      <c r="CS9" s="421"/>
      <c r="CT9" s="421"/>
      <c r="CU9" s="421"/>
      <c r="CV9" s="421"/>
      <c r="CW9" s="421"/>
      <c r="CX9" s="421"/>
      <c r="CY9" s="421"/>
      <c r="CZ9" s="421"/>
      <c r="DA9" s="421"/>
      <c r="DB9" s="421"/>
      <c r="DC9" s="421"/>
      <c r="DD9" s="421"/>
      <c r="DE9" s="421"/>
      <c r="DF9" s="421"/>
      <c r="DG9" s="421"/>
      <c r="DH9" s="421"/>
      <c r="DI9" s="421"/>
      <c r="DJ9" s="421"/>
      <c r="DK9" s="421"/>
      <c r="DL9" s="421"/>
      <c r="DM9" s="421"/>
      <c r="DN9" s="421"/>
      <c r="DO9" s="421"/>
      <c r="DP9" s="421"/>
      <c r="DQ9" s="421"/>
      <c r="DR9" s="421"/>
      <c r="DS9" s="421"/>
      <c r="DT9" s="421"/>
      <c r="DU9" s="421"/>
      <c r="DV9" s="421"/>
      <c r="DW9" s="421"/>
      <c r="DX9" s="421"/>
      <c r="DY9" s="421"/>
      <c r="DZ9" s="421"/>
      <c r="EA9" s="421"/>
      <c r="EB9" s="421"/>
      <c r="EC9" s="421"/>
      <c r="ED9" s="421"/>
      <c r="EE9" s="421"/>
      <c r="EF9" s="421"/>
      <c r="EG9" s="421"/>
      <c r="EH9" s="421"/>
      <c r="EI9" s="421"/>
      <c r="EJ9" s="421"/>
      <c r="EK9" s="421"/>
      <c r="EL9" s="421"/>
      <c r="EM9" s="421"/>
      <c r="EN9" s="421"/>
      <c r="EO9" s="421"/>
      <c r="EP9" s="421"/>
      <c r="EQ9" s="421"/>
      <c r="ER9" s="421"/>
      <c r="ES9" s="421"/>
      <c r="ET9" s="421"/>
      <c r="EU9" s="421"/>
      <c r="EV9" s="421"/>
      <c r="EW9" s="421"/>
      <c r="EX9" s="421"/>
      <c r="EY9" s="421"/>
      <c r="EZ9" s="421"/>
      <c r="FA9" s="421"/>
      <c r="FB9" s="421"/>
      <c r="FC9" s="421"/>
      <c r="FD9" s="421"/>
      <c r="FE9" s="421"/>
      <c r="FF9" s="421"/>
      <c r="FG9" s="421"/>
      <c r="FH9" s="421"/>
      <c r="FI9" s="421"/>
      <c r="FJ9" s="421"/>
      <c r="FK9" s="421"/>
      <c r="FL9" s="421"/>
      <c r="FM9" s="421"/>
      <c r="FN9" s="421"/>
      <c r="FO9" s="421"/>
      <c r="FP9" s="421"/>
      <c r="FQ9" s="421"/>
      <c r="FR9" s="421"/>
      <c r="FS9" s="421"/>
      <c r="FT9" s="421"/>
      <c r="FU9" s="421"/>
      <c r="FV9" s="421"/>
      <c r="FW9" s="421"/>
      <c r="FX9" s="421"/>
      <c r="FY9" s="421"/>
      <c r="FZ9" s="421"/>
      <c r="GA9" s="421"/>
      <c r="GB9" s="421"/>
      <c r="GC9" s="421"/>
      <c r="GD9" s="421"/>
      <c r="GE9" s="421"/>
      <c r="GF9" s="421"/>
      <c r="GG9" s="421"/>
      <c r="GH9" s="421"/>
      <c r="GI9" s="421"/>
      <c r="GJ9" s="421"/>
      <c r="GK9" s="421"/>
      <c r="GL9" s="421"/>
      <c r="GM9" s="421"/>
      <c r="GN9" s="421"/>
      <c r="GO9" s="421"/>
      <c r="GP9" s="421"/>
      <c r="GQ9" s="421"/>
      <c r="GR9" s="421"/>
      <c r="GS9" s="421"/>
      <c r="GT9" s="421"/>
      <c r="GU9" s="421"/>
      <c r="GV9" s="421"/>
      <c r="GW9" s="421"/>
      <c r="GX9" s="421"/>
      <c r="GY9" s="421"/>
      <c r="GZ9" s="421"/>
      <c r="HA9" s="421"/>
      <c r="HB9" s="421"/>
      <c r="HC9" s="421"/>
      <c r="HD9" s="421"/>
      <c r="HE9" s="421"/>
      <c r="HF9" s="421"/>
      <c r="HG9" s="421"/>
      <c r="HH9" s="421"/>
      <c r="HI9" s="421"/>
      <c r="HJ9" s="421"/>
      <c r="HK9" s="421"/>
      <c r="HL9" s="421"/>
      <c r="HM9" s="421"/>
      <c r="HN9" s="421"/>
      <c r="HO9" s="421"/>
      <c r="HP9" s="421"/>
      <c r="HQ9" s="421"/>
      <c r="HR9" s="421"/>
      <c r="HS9" s="421"/>
      <c r="HT9" s="421"/>
      <c r="HU9" s="421"/>
      <c r="HV9" s="421"/>
      <c r="HW9" s="421"/>
      <c r="HX9" s="421"/>
      <c r="HY9" s="421"/>
      <c r="HZ9" s="421"/>
      <c r="IA9" s="421"/>
      <c r="IB9" s="421"/>
      <c r="IC9" s="421"/>
      <c r="ID9" s="421"/>
      <c r="IE9" s="421"/>
      <c r="IF9" s="421"/>
      <c r="IG9" s="421"/>
      <c r="IH9" s="421"/>
      <c r="II9" s="421"/>
      <c r="IJ9" s="421"/>
      <c r="IK9" s="421"/>
      <c r="IL9" s="421"/>
      <c r="IM9" s="421"/>
      <c r="IN9" s="421"/>
      <c r="IO9" s="421"/>
      <c r="IP9" s="421"/>
      <c r="IQ9" s="421"/>
      <c r="IR9" s="421"/>
      <c r="IS9" s="421"/>
      <c r="IT9" s="421"/>
      <c r="IU9" s="421"/>
      <c r="IV9" s="421"/>
      <c r="IW9" s="421"/>
      <c r="IX9" s="421"/>
      <c r="IY9" s="421"/>
      <c r="IZ9" s="421"/>
      <c r="JA9" s="421"/>
      <c r="JB9" s="421"/>
      <c r="JC9" s="421"/>
      <c r="JD9" s="421"/>
      <c r="JE9" s="421"/>
      <c r="JF9" s="421"/>
      <c r="JG9" s="421"/>
      <c r="JH9" s="421"/>
      <c r="JI9" s="421"/>
      <c r="JJ9" s="421"/>
      <c r="JK9" s="421"/>
      <c r="JL9" s="421"/>
      <c r="JM9" s="421"/>
      <c r="JN9" s="421"/>
      <c r="JO9" s="421"/>
      <c r="JP9" s="421"/>
      <c r="JQ9" s="421"/>
      <c r="JR9" s="421"/>
      <c r="JS9" s="421"/>
      <c r="JT9" s="421"/>
      <c r="JU9" s="421"/>
      <c r="JV9" s="421"/>
      <c r="JW9" s="421"/>
      <c r="JX9" s="421"/>
      <c r="JY9" s="421"/>
      <c r="JZ9" s="421"/>
      <c r="KA9" s="421"/>
      <c r="KB9" s="421"/>
      <c r="KC9" s="421"/>
      <c r="KD9" s="421"/>
      <c r="KE9" s="421"/>
      <c r="KF9" s="421"/>
      <c r="KG9" s="421"/>
      <c r="KH9" s="421"/>
      <c r="KI9" s="421"/>
      <c r="KJ9" s="421"/>
      <c r="KK9" s="421"/>
      <c r="KL9" s="421"/>
      <c r="KM9" s="421"/>
      <c r="KN9" s="421"/>
      <c r="KO9" s="421"/>
      <c r="KP9" s="421"/>
      <c r="KQ9" s="421"/>
      <c r="KR9" s="421"/>
      <c r="KS9" s="421"/>
      <c r="KT9" s="421"/>
      <c r="KU9" s="421"/>
      <c r="KV9" s="421"/>
      <c r="KW9" s="421"/>
      <c r="KX9" s="421"/>
      <c r="KY9" s="421"/>
      <c r="KZ9" s="421"/>
      <c r="LA9" s="421"/>
      <c r="LB9" s="421"/>
      <c r="LC9" s="421"/>
      <c r="LD9" s="421"/>
      <c r="LE9" s="421"/>
      <c r="LF9" s="421"/>
      <c r="LG9" s="421"/>
      <c r="LH9" s="421"/>
      <c r="LI9" s="421"/>
      <c r="LJ9" s="421"/>
      <c r="LK9" s="421"/>
      <c r="LL9" s="421"/>
      <c r="LM9" s="421"/>
      <c r="LN9" s="421"/>
      <c r="LO9" s="421"/>
      <c r="LP9" s="421"/>
      <c r="LQ9" s="421"/>
      <c r="LR9" s="421"/>
      <c r="LS9" s="421"/>
      <c r="LT9" s="421"/>
      <c r="LU9" s="421"/>
      <c r="LV9" s="421"/>
      <c r="LW9" s="421"/>
      <c r="LX9" s="421"/>
      <c r="LY9" s="421"/>
      <c r="LZ9" s="421"/>
      <c r="MA9" s="421"/>
      <c r="MB9" s="421"/>
      <c r="MC9" s="421"/>
      <c r="MD9" s="421"/>
      <c r="ME9" s="421"/>
      <c r="MF9" s="421"/>
      <c r="MG9" s="421"/>
      <c r="MH9" s="421"/>
      <c r="MI9" s="421"/>
      <c r="MJ9" s="421"/>
      <c r="MK9" s="421"/>
      <c r="ML9" s="421"/>
      <c r="MM9" s="421"/>
      <c r="MN9" s="421"/>
      <c r="MO9" s="421"/>
      <c r="MP9" s="421"/>
      <c r="MQ9" s="421"/>
      <c r="MR9" s="421"/>
      <c r="MS9" s="421"/>
      <c r="MT9" s="421"/>
      <c r="MU9" s="421"/>
      <c r="MV9" s="421"/>
      <c r="MW9" s="421"/>
      <c r="MX9" s="421"/>
      <c r="MY9" s="421"/>
      <c r="MZ9" s="421"/>
      <c r="NA9" s="421"/>
      <c r="NB9" s="421"/>
      <c r="NC9" s="421"/>
      <c r="ND9" s="421"/>
      <c r="NE9" s="421"/>
      <c r="NF9" s="421"/>
      <c r="NG9" s="421"/>
      <c r="NH9" s="421"/>
      <c r="NI9" s="421"/>
      <c r="NJ9" s="421"/>
      <c r="NK9" s="421"/>
      <c r="NL9" s="421"/>
      <c r="NM9" s="421"/>
      <c r="NN9" s="421"/>
      <c r="NO9" s="421"/>
      <c r="NP9" s="421"/>
      <c r="NQ9" s="421"/>
      <c r="NR9" s="421"/>
      <c r="NS9" s="421"/>
      <c r="NT9" s="421"/>
      <c r="NU9" s="421"/>
      <c r="NV9" s="421"/>
      <c r="NW9" s="421"/>
      <c r="NX9" s="421"/>
      <c r="NY9" s="421"/>
      <c r="NZ9" s="421"/>
      <c r="OA9" s="421"/>
      <c r="OB9" s="421"/>
      <c r="OC9" s="421"/>
      <c r="OD9" s="421"/>
      <c r="OE9" s="421"/>
      <c r="OF9" s="421"/>
      <c r="OG9" s="421"/>
      <c r="OH9" s="421"/>
      <c r="OI9" s="421"/>
      <c r="OJ9" s="421"/>
      <c r="OK9" s="421"/>
      <c r="OL9" s="421"/>
      <c r="OM9" s="421"/>
      <c r="ON9" s="421"/>
      <c r="OO9" s="421"/>
      <c r="OP9" s="421"/>
      <c r="OQ9" s="421"/>
      <c r="OR9" s="421"/>
      <c r="OS9" s="421"/>
      <c r="OT9" s="421"/>
      <c r="OU9" s="421"/>
      <c r="OV9" s="421"/>
      <c r="OW9" s="421"/>
      <c r="OX9" s="421"/>
      <c r="OY9" s="421"/>
      <c r="OZ9" s="421"/>
      <c r="PA9" s="421"/>
      <c r="PB9" s="421"/>
      <c r="PC9" s="421"/>
      <c r="PD9" s="421"/>
      <c r="PE9" s="421"/>
      <c r="PF9" s="421"/>
      <c r="PG9" s="421"/>
      <c r="PH9" s="421"/>
      <c r="PI9" s="421"/>
      <c r="PJ9" s="421"/>
      <c r="PK9" s="421"/>
      <c r="PL9" s="421"/>
      <c r="PM9" s="421"/>
      <c r="PN9" s="421"/>
      <c r="PO9" s="421"/>
      <c r="PP9" s="421"/>
      <c r="PQ9" s="421"/>
      <c r="PR9" s="421"/>
      <c r="PS9" s="421"/>
      <c r="PT9" s="421"/>
      <c r="PU9" s="421"/>
      <c r="PV9" s="421"/>
      <c r="PW9" s="421"/>
      <c r="PX9" s="421"/>
      <c r="PY9" s="421"/>
      <c r="PZ9" s="421"/>
      <c r="QA9" s="421"/>
      <c r="QB9" s="421"/>
      <c r="QC9" s="421"/>
      <c r="QD9" s="421"/>
      <c r="QE9" s="421"/>
      <c r="QF9" s="421"/>
      <c r="QG9" s="421"/>
      <c r="QH9" s="421"/>
      <c r="QI9" s="421"/>
      <c r="QJ9" s="421"/>
      <c r="QK9" s="421"/>
      <c r="QL9" s="421"/>
      <c r="QM9" s="421"/>
      <c r="QN9" s="421"/>
      <c r="QO9" s="421"/>
      <c r="QP9" s="422"/>
      <c r="QQ9" s="223"/>
      <c r="QR9" s="221"/>
      <c r="QS9" s="224"/>
      <c r="QT9" s="224"/>
      <c r="QU9" s="224"/>
      <c r="QV9" s="224"/>
      <c r="QW9" s="225"/>
      <c r="RK9" s="224"/>
      <c r="RL9" s="224"/>
      <c r="RM9" s="224"/>
      <c r="RN9" s="224"/>
      <c r="RO9" s="224"/>
      <c r="RP9" s="225"/>
    </row>
    <row r="10" spans="3:484" s="216" customFormat="1" ht="9.6" customHeight="1" x14ac:dyDescent="0.25">
      <c r="C10" s="217"/>
      <c r="D10" s="222"/>
      <c r="E10" s="420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1"/>
      <c r="BY10" s="421"/>
      <c r="BZ10" s="421"/>
      <c r="CA10" s="421"/>
      <c r="CB10" s="421"/>
      <c r="CC10" s="421"/>
      <c r="CD10" s="421"/>
      <c r="CE10" s="421"/>
      <c r="CF10" s="421"/>
      <c r="CG10" s="421"/>
      <c r="CH10" s="421"/>
      <c r="CI10" s="421"/>
      <c r="CJ10" s="421"/>
      <c r="CK10" s="421"/>
      <c r="CL10" s="421"/>
      <c r="CM10" s="421"/>
      <c r="CN10" s="421"/>
      <c r="CO10" s="421"/>
      <c r="CP10" s="421"/>
      <c r="CQ10" s="421"/>
      <c r="CR10" s="421"/>
      <c r="CS10" s="421"/>
      <c r="CT10" s="421"/>
      <c r="CU10" s="421"/>
      <c r="CV10" s="421"/>
      <c r="CW10" s="421"/>
      <c r="CX10" s="421"/>
      <c r="CY10" s="421"/>
      <c r="CZ10" s="421"/>
      <c r="DA10" s="421"/>
      <c r="DB10" s="421"/>
      <c r="DC10" s="421"/>
      <c r="DD10" s="421"/>
      <c r="DE10" s="421"/>
      <c r="DF10" s="421"/>
      <c r="DG10" s="421"/>
      <c r="DH10" s="421"/>
      <c r="DI10" s="421"/>
      <c r="DJ10" s="421"/>
      <c r="DK10" s="421"/>
      <c r="DL10" s="421"/>
      <c r="DM10" s="421"/>
      <c r="DN10" s="421"/>
      <c r="DO10" s="421"/>
      <c r="DP10" s="421"/>
      <c r="DQ10" s="421"/>
      <c r="DR10" s="421"/>
      <c r="DS10" s="421"/>
      <c r="DT10" s="421"/>
      <c r="DU10" s="421"/>
      <c r="DV10" s="421"/>
      <c r="DW10" s="421"/>
      <c r="DX10" s="421"/>
      <c r="DY10" s="421"/>
      <c r="DZ10" s="421"/>
      <c r="EA10" s="421"/>
      <c r="EB10" s="421"/>
      <c r="EC10" s="421"/>
      <c r="ED10" s="421"/>
      <c r="EE10" s="421"/>
      <c r="EF10" s="421"/>
      <c r="EG10" s="421"/>
      <c r="EH10" s="421"/>
      <c r="EI10" s="421"/>
      <c r="EJ10" s="421"/>
      <c r="EK10" s="421"/>
      <c r="EL10" s="421"/>
      <c r="EM10" s="421"/>
      <c r="EN10" s="421"/>
      <c r="EO10" s="421"/>
      <c r="EP10" s="421"/>
      <c r="EQ10" s="421"/>
      <c r="ER10" s="421"/>
      <c r="ES10" s="421"/>
      <c r="ET10" s="421"/>
      <c r="EU10" s="421"/>
      <c r="EV10" s="421"/>
      <c r="EW10" s="421"/>
      <c r="EX10" s="421"/>
      <c r="EY10" s="421"/>
      <c r="EZ10" s="421"/>
      <c r="FA10" s="421"/>
      <c r="FB10" s="421"/>
      <c r="FC10" s="421"/>
      <c r="FD10" s="421"/>
      <c r="FE10" s="421"/>
      <c r="FF10" s="421"/>
      <c r="FG10" s="421"/>
      <c r="FH10" s="421"/>
      <c r="FI10" s="421"/>
      <c r="FJ10" s="421"/>
      <c r="FK10" s="421"/>
      <c r="FL10" s="421"/>
      <c r="FM10" s="421"/>
      <c r="FN10" s="421"/>
      <c r="FO10" s="421"/>
      <c r="FP10" s="421"/>
      <c r="FQ10" s="421"/>
      <c r="FR10" s="421"/>
      <c r="FS10" s="421"/>
      <c r="FT10" s="421"/>
      <c r="FU10" s="421"/>
      <c r="FV10" s="421"/>
      <c r="FW10" s="421"/>
      <c r="FX10" s="421"/>
      <c r="FY10" s="421"/>
      <c r="FZ10" s="421"/>
      <c r="GA10" s="421"/>
      <c r="GB10" s="421"/>
      <c r="GC10" s="421"/>
      <c r="GD10" s="421"/>
      <c r="GE10" s="421"/>
      <c r="GF10" s="421"/>
      <c r="GG10" s="421"/>
      <c r="GH10" s="421"/>
      <c r="GI10" s="421"/>
      <c r="GJ10" s="421"/>
      <c r="GK10" s="421"/>
      <c r="GL10" s="421"/>
      <c r="GM10" s="421"/>
      <c r="GN10" s="421"/>
      <c r="GO10" s="421"/>
      <c r="GP10" s="421"/>
      <c r="GQ10" s="421"/>
      <c r="GR10" s="421"/>
      <c r="GS10" s="421"/>
      <c r="GT10" s="421"/>
      <c r="GU10" s="421"/>
      <c r="GV10" s="421"/>
      <c r="GW10" s="421"/>
      <c r="GX10" s="421"/>
      <c r="GY10" s="421"/>
      <c r="GZ10" s="421"/>
      <c r="HA10" s="421"/>
      <c r="HB10" s="421"/>
      <c r="HC10" s="421"/>
      <c r="HD10" s="421"/>
      <c r="HE10" s="421"/>
      <c r="HF10" s="421"/>
      <c r="HG10" s="421"/>
      <c r="HH10" s="421"/>
      <c r="HI10" s="421"/>
      <c r="HJ10" s="421"/>
      <c r="HK10" s="421"/>
      <c r="HL10" s="421"/>
      <c r="HM10" s="421"/>
      <c r="HN10" s="421"/>
      <c r="HO10" s="421"/>
      <c r="HP10" s="421"/>
      <c r="HQ10" s="421"/>
      <c r="HR10" s="421"/>
      <c r="HS10" s="421"/>
      <c r="HT10" s="421"/>
      <c r="HU10" s="421"/>
      <c r="HV10" s="421"/>
      <c r="HW10" s="421"/>
      <c r="HX10" s="421"/>
      <c r="HY10" s="421"/>
      <c r="HZ10" s="421"/>
      <c r="IA10" s="421"/>
      <c r="IB10" s="421"/>
      <c r="IC10" s="421"/>
      <c r="ID10" s="421"/>
      <c r="IE10" s="421"/>
      <c r="IF10" s="421"/>
      <c r="IG10" s="421"/>
      <c r="IH10" s="421"/>
      <c r="II10" s="421"/>
      <c r="IJ10" s="421"/>
      <c r="IK10" s="421"/>
      <c r="IL10" s="421"/>
      <c r="IM10" s="421"/>
      <c r="IN10" s="421"/>
      <c r="IO10" s="421"/>
      <c r="IP10" s="421"/>
      <c r="IQ10" s="421"/>
      <c r="IR10" s="421"/>
      <c r="IS10" s="421"/>
      <c r="IT10" s="421"/>
      <c r="IU10" s="421"/>
      <c r="IV10" s="421"/>
      <c r="IW10" s="421"/>
      <c r="IX10" s="421"/>
      <c r="IY10" s="421"/>
      <c r="IZ10" s="421"/>
      <c r="JA10" s="421"/>
      <c r="JB10" s="421"/>
      <c r="JC10" s="421"/>
      <c r="JD10" s="421"/>
      <c r="JE10" s="421"/>
      <c r="JF10" s="421"/>
      <c r="JG10" s="421"/>
      <c r="JH10" s="421"/>
      <c r="JI10" s="421"/>
      <c r="JJ10" s="421"/>
      <c r="JK10" s="421"/>
      <c r="JL10" s="421"/>
      <c r="JM10" s="421"/>
      <c r="JN10" s="421"/>
      <c r="JO10" s="421"/>
      <c r="JP10" s="421"/>
      <c r="JQ10" s="421"/>
      <c r="JR10" s="421"/>
      <c r="JS10" s="421"/>
      <c r="JT10" s="421"/>
      <c r="JU10" s="421"/>
      <c r="JV10" s="421"/>
      <c r="JW10" s="421"/>
      <c r="JX10" s="421"/>
      <c r="JY10" s="421"/>
      <c r="JZ10" s="421"/>
      <c r="KA10" s="421"/>
      <c r="KB10" s="421"/>
      <c r="KC10" s="421"/>
      <c r="KD10" s="421"/>
      <c r="KE10" s="421"/>
      <c r="KF10" s="421"/>
      <c r="KG10" s="421"/>
      <c r="KH10" s="421"/>
      <c r="KI10" s="421"/>
      <c r="KJ10" s="421"/>
      <c r="KK10" s="421"/>
      <c r="KL10" s="421"/>
      <c r="KM10" s="421"/>
      <c r="KN10" s="421"/>
      <c r="KO10" s="421"/>
      <c r="KP10" s="421"/>
      <c r="KQ10" s="421"/>
      <c r="KR10" s="421"/>
      <c r="KS10" s="421"/>
      <c r="KT10" s="421"/>
      <c r="KU10" s="421"/>
      <c r="KV10" s="421"/>
      <c r="KW10" s="421"/>
      <c r="KX10" s="421"/>
      <c r="KY10" s="421"/>
      <c r="KZ10" s="421"/>
      <c r="LA10" s="421"/>
      <c r="LB10" s="421"/>
      <c r="LC10" s="421"/>
      <c r="LD10" s="421"/>
      <c r="LE10" s="421"/>
      <c r="LF10" s="421"/>
      <c r="LG10" s="421"/>
      <c r="LH10" s="421"/>
      <c r="LI10" s="421"/>
      <c r="LJ10" s="421"/>
      <c r="LK10" s="421"/>
      <c r="LL10" s="421"/>
      <c r="LM10" s="421"/>
      <c r="LN10" s="421"/>
      <c r="LO10" s="421"/>
      <c r="LP10" s="421"/>
      <c r="LQ10" s="421"/>
      <c r="LR10" s="421"/>
      <c r="LS10" s="421"/>
      <c r="LT10" s="421"/>
      <c r="LU10" s="421"/>
      <c r="LV10" s="421"/>
      <c r="LW10" s="421"/>
      <c r="LX10" s="421"/>
      <c r="LY10" s="421"/>
      <c r="LZ10" s="421"/>
      <c r="MA10" s="421"/>
      <c r="MB10" s="421"/>
      <c r="MC10" s="421"/>
      <c r="MD10" s="421"/>
      <c r="ME10" s="421"/>
      <c r="MF10" s="421"/>
      <c r="MG10" s="421"/>
      <c r="MH10" s="421"/>
      <c r="MI10" s="421"/>
      <c r="MJ10" s="421"/>
      <c r="MK10" s="421"/>
      <c r="ML10" s="421"/>
      <c r="MM10" s="421"/>
      <c r="MN10" s="421"/>
      <c r="MO10" s="421"/>
      <c r="MP10" s="421"/>
      <c r="MQ10" s="421"/>
      <c r="MR10" s="421"/>
      <c r="MS10" s="421"/>
      <c r="MT10" s="421"/>
      <c r="MU10" s="421"/>
      <c r="MV10" s="421"/>
      <c r="MW10" s="421"/>
      <c r="MX10" s="421"/>
      <c r="MY10" s="421"/>
      <c r="MZ10" s="421"/>
      <c r="NA10" s="421"/>
      <c r="NB10" s="421"/>
      <c r="NC10" s="421"/>
      <c r="ND10" s="421"/>
      <c r="NE10" s="421"/>
      <c r="NF10" s="421"/>
      <c r="NG10" s="421"/>
      <c r="NH10" s="421"/>
      <c r="NI10" s="421"/>
      <c r="NJ10" s="421"/>
      <c r="NK10" s="421"/>
      <c r="NL10" s="421"/>
      <c r="NM10" s="421"/>
      <c r="NN10" s="421"/>
      <c r="NO10" s="421"/>
      <c r="NP10" s="421"/>
      <c r="NQ10" s="421"/>
      <c r="NR10" s="421"/>
      <c r="NS10" s="421"/>
      <c r="NT10" s="421"/>
      <c r="NU10" s="421"/>
      <c r="NV10" s="421"/>
      <c r="NW10" s="421"/>
      <c r="NX10" s="421"/>
      <c r="NY10" s="421"/>
      <c r="NZ10" s="421"/>
      <c r="OA10" s="421"/>
      <c r="OB10" s="421"/>
      <c r="OC10" s="421"/>
      <c r="OD10" s="421"/>
      <c r="OE10" s="421"/>
      <c r="OF10" s="421"/>
      <c r="OG10" s="421"/>
      <c r="OH10" s="421"/>
      <c r="OI10" s="421"/>
      <c r="OJ10" s="421"/>
      <c r="OK10" s="421"/>
      <c r="OL10" s="421"/>
      <c r="OM10" s="421"/>
      <c r="ON10" s="421"/>
      <c r="OO10" s="421"/>
      <c r="OP10" s="421"/>
      <c r="OQ10" s="421"/>
      <c r="OR10" s="421"/>
      <c r="OS10" s="421"/>
      <c r="OT10" s="421"/>
      <c r="OU10" s="421"/>
      <c r="OV10" s="421"/>
      <c r="OW10" s="421"/>
      <c r="OX10" s="421"/>
      <c r="OY10" s="421"/>
      <c r="OZ10" s="421"/>
      <c r="PA10" s="421"/>
      <c r="PB10" s="421"/>
      <c r="PC10" s="421"/>
      <c r="PD10" s="421"/>
      <c r="PE10" s="421"/>
      <c r="PF10" s="421"/>
      <c r="PG10" s="421"/>
      <c r="PH10" s="421"/>
      <c r="PI10" s="421"/>
      <c r="PJ10" s="421"/>
      <c r="PK10" s="421"/>
      <c r="PL10" s="421"/>
      <c r="PM10" s="421"/>
      <c r="PN10" s="421"/>
      <c r="PO10" s="421"/>
      <c r="PP10" s="421"/>
      <c r="PQ10" s="421"/>
      <c r="PR10" s="421"/>
      <c r="PS10" s="421"/>
      <c r="PT10" s="421"/>
      <c r="PU10" s="421"/>
      <c r="PV10" s="421"/>
      <c r="PW10" s="421"/>
      <c r="PX10" s="421"/>
      <c r="PY10" s="421"/>
      <c r="PZ10" s="421"/>
      <c r="QA10" s="421"/>
      <c r="QB10" s="421"/>
      <c r="QC10" s="421"/>
      <c r="QD10" s="421"/>
      <c r="QE10" s="421"/>
      <c r="QF10" s="421"/>
      <c r="QG10" s="421"/>
      <c r="QH10" s="421"/>
      <c r="QI10" s="421"/>
      <c r="QJ10" s="421"/>
      <c r="QK10" s="421"/>
      <c r="QL10" s="421"/>
      <c r="QM10" s="421"/>
      <c r="QN10" s="421"/>
      <c r="QO10" s="421"/>
      <c r="QP10" s="422"/>
      <c r="QQ10" s="223"/>
      <c r="QR10" s="221"/>
      <c r="QS10" s="224"/>
      <c r="QT10" s="224"/>
      <c r="QU10" s="224"/>
      <c r="QV10" s="224"/>
      <c r="QW10" s="225"/>
      <c r="RK10" s="224"/>
      <c r="RL10" s="224"/>
      <c r="RM10" s="224"/>
      <c r="RN10" s="224"/>
      <c r="RO10" s="224"/>
      <c r="RP10" s="225"/>
    </row>
    <row r="11" spans="3:484" s="216" customFormat="1" ht="9.6" customHeight="1" x14ac:dyDescent="0.25">
      <c r="C11" s="217"/>
      <c r="D11" s="222"/>
      <c r="E11" s="420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1"/>
      <c r="BY11" s="421"/>
      <c r="BZ11" s="421"/>
      <c r="CA11" s="421"/>
      <c r="CB11" s="421"/>
      <c r="CC11" s="421"/>
      <c r="CD11" s="421"/>
      <c r="CE11" s="421"/>
      <c r="CF11" s="421"/>
      <c r="CG11" s="421"/>
      <c r="CH11" s="421"/>
      <c r="CI11" s="421"/>
      <c r="CJ11" s="421"/>
      <c r="CK11" s="421"/>
      <c r="CL11" s="421"/>
      <c r="CM11" s="421"/>
      <c r="CN11" s="421"/>
      <c r="CO11" s="421"/>
      <c r="CP11" s="421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1"/>
      <c r="ES11" s="421"/>
      <c r="ET11" s="421"/>
      <c r="EU11" s="421"/>
      <c r="EV11" s="421"/>
      <c r="EW11" s="421"/>
      <c r="EX11" s="421"/>
      <c r="EY11" s="421"/>
      <c r="EZ11" s="421"/>
      <c r="FA11" s="421"/>
      <c r="FB11" s="421"/>
      <c r="FC11" s="421"/>
      <c r="FD11" s="421"/>
      <c r="FE11" s="421"/>
      <c r="FF11" s="421"/>
      <c r="FG11" s="421"/>
      <c r="FH11" s="421"/>
      <c r="FI11" s="421"/>
      <c r="FJ11" s="421"/>
      <c r="FK11" s="421"/>
      <c r="FL11" s="421"/>
      <c r="FM11" s="421"/>
      <c r="FN11" s="421"/>
      <c r="FO11" s="421"/>
      <c r="FP11" s="421"/>
      <c r="FQ11" s="421"/>
      <c r="FR11" s="421"/>
      <c r="FS11" s="421"/>
      <c r="FT11" s="421"/>
      <c r="FU11" s="421"/>
      <c r="FV11" s="421"/>
      <c r="FW11" s="421"/>
      <c r="FX11" s="421"/>
      <c r="FY11" s="421"/>
      <c r="FZ11" s="421"/>
      <c r="GA11" s="421"/>
      <c r="GB11" s="421"/>
      <c r="GC11" s="421"/>
      <c r="GD11" s="421"/>
      <c r="GE11" s="421"/>
      <c r="GF11" s="421"/>
      <c r="GG11" s="421"/>
      <c r="GH11" s="421"/>
      <c r="GI11" s="421"/>
      <c r="GJ11" s="421"/>
      <c r="GK11" s="421"/>
      <c r="GL11" s="421"/>
      <c r="GM11" s="421"/>
      <c r="GN11" s="421"/>
      <c r="GO11" s="421"/>
      <c r="GP11" s="421"/>
      <c r="GQ11" s="421"/>
      <c r="GR11" s="421"/>
      <c r="GS11" s="421"/>
      <c r="GT11" s="421"/>
      <c r="GU11" s="421"/>
      <c r="GV11" s="421"/>
      <c r="GW11" s="421"/>
      <c r="GX11" s="421"/>
      <c r="GY11" s="421"/>
      <c r="GZ11" s="421"/>
      <c r="HA11" s="421"/>
      <c r="HB11" s="421"/>
      <c r="HC11" s="421"/>
      <c r="HD11" s="421"/>
      <c r="HE11" s="421"/>
      <c r="HF11" s="421"/>
      <c r="HG11" s="421"/>
      <c r="HH11" s="421"/>
      <c r="HI11" s="421"/>
      <c r="HJ11" s="421"/>
      <c r="HK11" s="421"/>
      <c r="HL11" s="421"/>
      <c r="HM11" s="421"/>
      <c r="HN11" s="421"/>
      <c r="HO11" s="421"/>
      <c r="HP11" s="421"/>
      <c r="HQ11" s="421"/>
      <c r="HR11" s="421"/>
      <c r="HS11" s="421"/>
      <c r="HT11" s="421"/>
      <c r="HU11" s="421"/>
      <c r="HV11" s="421"/>
      <c r="HW11" s="421"/>
      <c r="HX11" s="421"/>
      <c r="HY11" s="421"/>
      <c r="HZ11" s="421"/>
      <c r="IA11" s="421"/>
      <c r="IB11" s="421"/>
      <c r="IC11" s="421"/>
      <c r="ID11" s="421"/>
      <c r="IE11" s="421"/>
      <c r="IF11" s="421"/>
      <c r="IG11" s="421"/>
      <c r="IH11" s="421"/>
      <c r="II11" s="421"/>
      <c r="IJ11" s="421"/>
      <c r="IK11" s="421"/>
      <c r="IL11" s="421"/>
      <c r="IM11" s="421"/>
      <c r="IN11" s="421"/>
      <c r="IO11" s="421"/>
      <c r="IP11" s="421"/>
      <c r="IQ11" s="421"/>
      <c r="IR11" s="421"/>
      <c r="IS11" s="421"/>
      <c r="IT11" s="421"/>
      <c r="IU11" s="421"/>
      <c r="IV11" s="421"/>
      <c r="IW11" s="421"/>
      <c r="IX11" s="421"/>
      <c r="IY11" s="421"/>
      <c r="IZ11" s="421"/>
      <c r="JA11" s="421"/>
      <c r="JB11" s="421"/>
      <c r="JC11" s="421"/>
      <c r="JD11" s="421"/>
      <c r="JE11" s="421"/>
      <c r="JF11" s="421"/>
      <c r="JG11" s="421"/>
      <c r="JH11" s="421"/>
      <c r="JI11" s="421"/>
      <c r="JJ11" s="421"/>
      <c r="JK11" s="421"/>
      <c r="JL11" s="421"/>
      <c r="JM11" s="421"/>
      <c r="JN11" s="421"/>
      <c r="JO11" s="421"/>
      <c r="JP11" s="421"/>
      <c r="JQ11" s="421"/>
      <c r="JR11" s="421"/>
      <c r="JS11" s="421"/>
      <c r="JT11" s="421"/>
      <c r="JU11" s="421"/>
      <c r="JV11" s="421"/>
      <c r="JW11" s="421"/>
      <c r="JX11" s="421"/>
      <c r="JY11" s="421"/>
      <c r="JZ11" s="421"/>
      <c r="KA11" s="421"/>
      <c r="KB11" s="421"/>
      <c r="KC11" s="421"/>
      <c r="KD11" s="421"/>
      <c r="KE11" s="421"/>
      <c r="KF11" s="421"/>
      <c r="KG11" s="421"/>
      <c r="KH11" s="421"/>
      <c r="KI11" s="421"/>
      <c r="KJ11" s="421"/>
      <c r="KK11" s="421"/>
      <c r="KL11" s="421"/>
      <c r="KM11" s="421"/>
      <c r="KN11" s="421"/>
      <c r="KO11" s="421"/>
      <c r="KP11" s="421"/>
      <c r="KQ11" s="421"/>
      <c r="KR11" s="421"/>
      <c r="KS11" s="421"/>
      <c r="KT11" s="421"/>
      <c r="KU11" s="421"/>
      <c r="KV11" s="421"/>
      <c r="KW11" s="421"/>
      <c r="KX11" s="421"/>
      <c r="KY11" s="421"/>
      <c r="KZ11" s="421"/>
      <c r="LA11" s="421"/>
      <c r="LB11" s="421"/>
      <c r="LC11" s="421"/>
      <c r="LD11" s="421"/>
      <c r="LE11" s="421"/>
      <c r="LF11" s="421"/>
      <c r="LG11" s="421"/>
      <c r="LH11" s="421"/>
      <c r="LI11" s="421"/>
      <c r="LJ11" s="421"/>
      <c r="LK11" s="421"/>
      <c r="LL11" s="421"/>
      <c r="LM11" s="421"/>
      <c r="LN11" s="421"/>
      <c r="LO11" s="421"/>
      <c r="LP11" s="421"/>
      <c r="LQ11" s="421"/>
      <c r="LR11" s="421"/>
      <c r="LS11" s="421"/>
      <c r="LT11" s="421"/>
      <c r="LU11" s="421"/>
      <c r="LV11" s="421"/>
      <c r="LW11" s="421"/>
      <c r="LX11" s="421"/>
      <c r="LY11" s="421"/>
      <c r="LZ11" s="421"/>
      <c r="MA11" s="421"/>
      <c r="MB11" s="421"/>
      <c r="MC11" s="421"/>
      <c r="MD11" s="421"/>
      <c r="ME11" s="421"/>
      <c r="MF11" s="421"/>
      <c r="MG11" s="421"/>
      <c r="MH11" s="421"/>
      <c r="MI11" s="421"/>
      <c r="MJ11" s="421"/>
      <c r="MK11" s="421"/>
      <c r="ML11" s="421"/>
      <c r="MM11" s="421"/>
      <c r="MN11" s="421"/>
      <c r="MO11" s="421"/>
      <c r="MP11" s="421"/>
      <c r="MQ11" s="421"/>
      <c r="MR11" s="421"/>
      <c r="MS11" s="421"/>
      <c r="MT11" s="421"/>
      <c r="MU11" s="421"/>
      <c r="MV11" s="421"/>
      <c r="MW11" s="421"/>
      <c r="MX11" s="421"/>
      <c r="MY11" s="421"/>
      <c r="MZ11" s="421"/>
      <c r="NA11" s="421"/>
      <c r="NB11" s="421"/>
      <c r="NC11" s="421"/>
      <c r="ND11" s="421"/>
      <c r="NE11" s="421"/>
      <c r="NF11" s="421"/>
      <c r="NG11" s="421"/>
      <c r="NH11" s="421"/>
      <c r="NI11" s="421"/>
      <c r="NJ11" s="421"/>
      <c r="NK11" s="421"/>
      <c r="NL11" s="421"/>
      <c r="NM11" s="421"/>
      <c r="NN11" s="421"/>
      <c r="NO11" s="421"/>
      <c r="NP11" s="421"/>
      <c r="NQ11" s="421"/>
      <c r="NR11" s="421"/>
      <c r="NS11" s="421"/>
      <c r="NT11" s="421"/>
      <c r="NU11" s="421"/>
      <c r="NV11" s="421"/>
      <c r="NW11" s="421"/>
      <c r="NX11" s="421"/>
      <c r="NY11" s="421"/>
      <c r="NZ11" s="421"/>
      <c r="OA11" s="421"/>
      <c r="OB11" s="421"/>
      <c r="OC11" s="421"/>
      <c r="OD11" s="421"/>
      <c r="OE11" s="421"/>
      <c r="OF11" s="421"/>
      <c r="OG11" s="421"/>
      <c r="OH11" s="421"/>
      <c r="OI11" s="421"/>
      <c r="OJ11" s="421"/>
      <c r="OK11" s="421"/>
      <c r="OL11" s="421"/>
      <c r="OM11" s="421"/>
      <c r="ON11" s="421"/>
      <c r="OO11" s="421"/>
      <c r="OP11" s="421"/>
      <c r="OQ11" s="421"/>
      <c r="OR11" s="421"/>
      <c r="OS11" s="421"/>
      <c r="OT11" s="421"/>
      <c r="OU11" s="421"/>
      <c r="OV11" s="421"/>
      <c r="OW11" s="421"/>
      <c r="OX11" s="421"/>
      <c r="OY11" s="421"/>
      <c r="OZ11" s="421"/>
      <c r="PA11" s="421"/>
      <c r="PB11" s="421"/>
      <c r="PC11" s="421"/>
      <c r="PD11" s="421"/>
      <c r="PE11" s="421"/>
      <c r="PF11" s="421"/>
      <c r="PG11" s="421"/>
      <c r="PH11" s="421"/>
      <c r="PI11" s="421"/>
      <c r="PJ11" s="421"/>
      <c r="PK11" s="421"/>
      <c r="PL11" s="421"/>
      <c r="PM11" s="421"/>
      <c r="PN11" s="421"/>
      <c r="PO11" s="421"/>
      <c r="PP11" s="421"/>
      <c r="PQ11" s="421"/>
      <c r="PR11" s="421"/>
      <c r="PS11" s="421"/>
      <c r="PT11" s="421"/>
      <c r="PU11" s="421"/>
      <c r="PV11" s="421"/>
      <c r="PW11" s="421"/>
      <c r="PX11" s="421"/>
      <c r="PY11" s="421"/>
      <c r="PZ11" s="421"/>
      <c r="QA11" s="421"/>
      <c r="QB11" s="421"/>
      <c r="QC11" s="421"/>
      <c r="QD11" s="421"/>
      <c r="QE11" s="421"/>
      <c r="QF11" s="421"/>
      <c r="QG11" s="421"/>
      <c r="QH11" s="421"/>
      <c r="QI11" s="421"/>
      <c r="QJ11" s="421"/>
      <c r="QK11" s="421"/>
      <c r="QL11" s="421"/>
      <c r="QM11" s="421"/>
      <c r="QN11" s="421"/>
      <c r="QO11" s="421"/>
      <c r="QP11" s="422"/>
      <c r="QQ11" s="223"/>
      <c r="QR11" s="221"/>
    </row>
    <row r="12" spans="3:484" s="216" customFormat="1" ht="9.6" customHeight="1" x14ac:dyDescent="0.25">
      <c r="C12" s="217"/>
      <c r="D12" s="222"/>
      <c r="E12" s="420" t="s">
        <v>405</v>
      </c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1"/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21"/>
      <c r="CB12" s="421"/>
      <c r="CC12" s="421"/>
      <c r="CD12" s="421"/>
      <c r="CE12" s="421"/>
      <c r="CF12" s="421"/>
      <c r="CG12" s="421"/>
      <c r="CH12" s="421"/>
      <c r="CI12" s="421"/>
      <c r="CJ12" s="421"/>
      <c r="CK12" s="421"/>
      <c r="CL12" s="421"/>
      <c r="CM12" s="421"/>
      <c r="CN12" s="421"/>
      <c r="CO12" s="421"/>
      <c r="CP12" s="421"/>
      <c r="CQ12" s="421"/>
      <c r="CR12" s="421"/>
      <c r="CS12" s="421"/>
      <c r="CT12" s="421"/>
      <c r="CU12" s="421"/>
      <c r="CV12" s="421"/>
      <c r="CW12" s="421"/>
      <c r="CX12" s="421"/>
      <c r="CY12" s="421"/>
      <c r="CZ12" s="421"/>
      <c r="DA12" s="421"/>
      <c r="DB12" s="421"/>
      <c r="DC12" s="421"/>
      <c r="DD12" s="421"/>
      <c r="DE12" s="421"/>
      <c r="DF12" s="421"/>
      <c r="DG12" s="421"/>
      <c r="DH12" s="421"/>
      <c r="DI12" s="421"/>
      <c r="DJ12" s="421"/>
      <c r="DK12" s="421"/>
      <c r="DL12" s="421"/>
      <c r="DM12" s="421"/>
      <c r="DN12" s="421"/>
      <c r="DO12" s="421"/>
      <c r="DP12" s="421"/>
      <c r="DQ12" s="421"/>
      <c r="DR12" s="421"/>
      <c r="DS12" s="421"/>
      <c r="DT12" s="421"/>
      <c r="DU12" s="421"/>
      <c r="DV12" s="421"/>
      <c r="DW12" s="421"/>
      <c r="DX12" s="421"/>
      <c r="DY12" s="421"/>
      <c r="DZ12" s="421"/>
      <c r="EA12" s="421"/>
      <c r="EB12" s="421"/>
      <c r="EC12" s="421"/>
      <c r="ED12" s="421"/>
      <c r="EE12" s="421"/>
      <c r="EF12" s="421"/>
      <c r="EG12" s="421"/>
      <c r="EH12" s="421"/>
      <c r="EI12" s="421"/>
      <c r="EJ12" s="421"/>
      <c r="EK12" s="421"/>
      <c r="EL12" s="421"/>
      <c r="EM12" s="421"/>
      <c r="EN12" s="421"/>
      <c r="EO12" s="421"/>
      <c r="EP12" s="421"/>
      <c r="EQ12" s="421"/>
      <c r="ER12" s="421"/>
      <c r="ES12" s="421"/>
      <c r="ET12" s="421"/>
      <c r="EU12" s="421"/>
      <c r="EV12" s="421"/>
      <c r="EW12" s="421"/>
      <c r="EX12" s="421"/>
      <c r="EY12" s="421"/>
      <c r="EZ12" s="421"/>
      <c r="FA12" s="421"/>
      <c r="FB12" s="421"/>
      <c r="FC12" s="421"/>
      <c r="FD12" s="421"/>
      <c r="FE12" s="421"/>
      <c r="FF12" s="421"/>
      <c r="FG12" s="421"/>
      <c r="FH12" s="421"/>
      <c r="FI12" s="421"/>
      <c r="FJ12" s="421"/>
      <c r="FK12" s="421"/>
      <c r="FL12" s="421"/>
      <c r="FM12" s="421"/>
      <c r="FN12" s="421"/>
      <c r="FO12" s="421"/>
      <c r="FP12" s="421"/>
      <c r="FQ12" s="421"/>
      <c r="FR12" s="421"/>
      <c r="FS12" s="421"/>
      <c r="FT12" s="421"/>
      <c r="FU12" s="421"/>
      <c r="FV12" s="421"/>
      <c r="FW12" s="421"/>
      <c r="FX12" s="421"/>
      <c r="FY12" s="421"/>
      <c r="FZ12" s="421"/>
      <c r="GA12" s="421"/>
      <c r="GB12" s="421"/>
      <c r="GC12" s="421"/>
      <c r="GD12" s="421"/>
      <c r="GE12" s="421"/>
      <c r="GF12" s="421"/>
      <c r="GG12" s="421"/>
      <c r="GH12" s="421"/>
      <c r="GI12" s="421"/>
      <c r="GJ12" s="421"/>
      <c r="GK12" s="421"/>
      <c r="GL12" s="421"/>
      <c r="GM12" s="421"/>
      <c r="GN12" s="421"/>
      <c r="GO12" s="421"/>
      <c r="GP12" s="421"/>
      <c r="GQ12" s="421"/>
      <c r="GR12" s="421"/>
      <c r="GS12" s="421"/>
      <c r="GT12" s="421"/>
      <c r="GU12" s="421"/>
      <c r="GV12" s="421"/>
      <c r="GW12" s="421"/>
      <c r="GX12" s="421"/>
      <c r="GY12" s="421"/>
      <c r="GZ12" s="421"/>
      <c r="HA12" s="421"/>
      <c r="HB12" s="421"/>
      <c r="HC12" s="421"/>
      <c r="HD12" s="421"/>
      <c r="HE12" s="421"/>
      <c r="HF12" s="421"/>
      <c r="HG12" s="421"/>
      <c r="HH12" s="421"/>
      <c r="HI12" s="421"/>
      <c r="HJ12" s="421"/>
      <c r="HK12" s="421"/>
      <c r="HL12" s="421"/>
      <c r="HM12" s="421"/>
      <c r="HN12" s="421"/>
      <c r="HO12" s="421"/>
      <c r="HP12" s="421"/>
      <c r="HQ12" s="421"/>
      <c r="HR12" s="421"/>
      <c r="HS12" s="421"/>
      <c r="HT12" s="421"/>
      <c r="HU12" s="421"/>
      <c r="HV12" s="421"/>
      <c r="HW12" s="421"/>
      <c r="HX12" s="421"/>
      <c r="HY12" s="421"/>
      <c r="HZ12" s="421"/>
      <c r="IA12" s="421"/>
      <c r="IB12" s="421"/>
      <c r="IC12" s="421"/>
      <c r="ID12" s="421"/>
      <c r="IE12" s="421"/>
      <c r="IF12" s="421"/>
      <c r="IG12" s="421"/>
      <c r="IH12" s="421"/>
      <c r="II12" s="421"/>
      <c r="IJ12" s="421"/>
      <c r="IK12" s="421"/>
      <c r="IL12" s="421"/>
      <c r="IM12" s="421"/>
      <c r="IN12" s="421"/>
      <c r="IO12" s="421"/>
      <c r="IP12" s="421"/>
      <c r="IQ12" s="421"/>
      <c r="IR12" s="421"/>
      <c r="IS12" s="421"/>
      <c r="IT12" s="421"/>
      <c r="IU12" s="421"/>
      <c r="IV12" s="421"/>
      <c r="IW12" s="421"/>
      <c r="IX12" s="421"/>
      <c r="IY12" s="421"/>
      <c r="IZ12" s="421"/>
      <c r="JA12" s="421"/>
      <c r="JB12" s="421"/>
      <c r="JC12" s="421"/>
      <c r="JD12" s="421"/>
      <c r="JE12" s="421"/>
      <c r="JF12" s="421"/>
      <c r="JG12" s="421"/>
      <c r="JH12" s="421"/>
      <c r="JI12" s="421"/>
      <c r="JJ12" s="421"/>
      <c r="JK12" s="421"/>
      <c r="JL12" s="421"/>
      <c r="JM12" s="421"/>
      <c r="JN12" s="421"/>
      <c r="JO12" s="421"/>
      <c r="JP12" s="421"/>
      <c r="JQ12" s="421"/>
      <c r="JR12" s="421"/>
      <c r="JS12" s="421"/>
      <c r="JT12" s="421"/>
      <c r="JU12" s="421"/>
      <c r="JV12" s="421"/>
      <c r="JW12" s="421"/>
      <c r="JX12" s="421"/>
      <c r="JY12" s="421"/>
      <c r="JZ12" s="421"/>
      <c r="KA12" s="421"/>
      <c r="KB12" s="421"/>
      <c r="KC12" s="421"/>
      <c r="KD12" s="421"/>
      <c r="KE12" s="421"/>
      <c r="KF12" s="421"/>
      <c r="KG12" s="421"/>
      <c r="KH12" s="421"/>
      <c r="KI12" s="421"/>
      <c r="KJ12" s="421"/>
      <c r="KK12" s="421"/>
      <c r="KL12" s="421"/>
      <c r="KM12" s="421"/>
      <c r="KN12" s="421"/>
      <c r="KO12" s="421"/>
      <c r="KP12" s="421"/>
      <c r="KQ12" s="421"/>
      <c r="KR12" s="421"/>
      <c r="KS12" s="421"/>
      <c r="KT12" s="421"/>
      <c r="KU12" s="421"/>
      <c r="KV12" s="421"/>
      <c r="KW12" s="421"/>
      <c r="KX12" s="421"/>
      <c r="KY12" s="421"/>
      <c r="KZ12" s="421"/>
      <c r="LA12" s="421"/>
      <c r="LB12" s="421"/>
      <c r="LC12" s="421"/>
      <c r="LD12" s="421"/>
      <c r="LE12" s="421"/>
      <c r="LF12" s="421"/>
      <c r="LG12" s="421"/>
      <c r="LH12" s="421"/>
      <c r="LI12" s="421"/>
      <c r="LJ12" s="421"/>
      <c r="LK12" s="421"/>
      <c r="LL12" s="421"/>
      <c r="LM12" s="421"/>
      <c r="LN12" s="421"/>
      <c r="LO12" s="421"/>
      <c r="LP12" s="421"/>
      <c r="LQ12" s="421"/>
      <c r="LR12" s="421"/>
      <c r="LS12" s="421"/>
      <c r="LT12" s="421"/>
      <c r="LU12" s="421"/>
      <c r="LV12" s="421"/>
      <c r="LW12" s="421"/>
      <c r="LX12" s="421"/>
      <c r="LY12" s="421"/>
      <c r="LZ12" s="421"/>
      <c r="MA12" s="421"/>
      <c r="MB12" s="421"/>
      <c r="MC12" s="421"/>
      <c r="MD12" s="421"/>
      <c r="ME12" s="421"/>
      <c r="MF12" s="421"/>
      <c r="MG12" s="421"/>
      <c r="MH12" s="421"/>
      <c r="MI12" s="421"/>
      <c r="MJ12" s="421"/>
      <c r="MK12" s="421"/>
      <c r="ML12" s="421"/>
      <c r="MM12" s="421"/>
      <c r="MN12" s="421"/>
      <c r="MO12" s="421"/>
      <c r="MP12" s="421"/>
      <c r="MQ12" s="421"/>
      <c r="MR12" s="421"/>
      <c r="MS12" s="421"/>
      <c r="MT12" s="421"/>
      <c r="MU12" s="421"/>
      <c r="MV12" s="421"/>
      <c r="MW12" s="421"/>
      <c r="MX12" s="421"/>
      <c r="MY12" s="421"/>
      <c r="MZ12" s="421"/>
      <c r="NA12" s="421"/>
      <c r="NB12" s="421"/>
      <c r="NC12" s="421"/>
      <c r="ND12" s="421"/>
      <c r="NE12" s="421"/>
      <c r="NF12" s="421"/>
      <c r="NG12" s="421"/>
      <c r="NH12" s="421"/>
      <c r="NI12" s="421"/>
      <c r="NJ12" s="421"/>
      <c r="NK12" s="421"/>
      <c r="NL12" s="421"/>
      <c r="NM12" s="421"/>
      <c r="NN12" s="421"/>
      <c r="NO12" s="421"/>
      <c r="NP12" s="421"/>
      <c r="NQ12" s="421"/>
      <c r="NR12" s="421"/>
      <c r="NS12" s="421"/>
      <c r="NT12" s="421"/>
      <c r="NU12" s="421"/>
      <c r="NV12" s="421"/>
      <c r="NW12" s="421"/>
      <c r="NX12" s="421"/>
      <c r="NY12" s="421"/>
      <c r="NZ12" s="421"/>
      <c r="OA12" s="421"/>
      <c r="OB12" s="421"/>
      <c r="OC12" s="421"/>
      <c r="OD12" s="421"/>
      <c r="OE12" s="421"/>
      <c r="OF12" s="421"/>
      <c r="OG12" s="421"/>
      <c r="OH12" s="421"/>
      <c r="OI12" s="421"/>
      <c r="OJ12" s="421"/>
      <c r="OK12" s="421"/>
      <c r="OL12" s="421"/>
      <c r="OM12" s="421"/>
      <c r="ON12" s="421"/>
      <c r="OO12" s="421"/>
      <c r="OP12" s="421"/>
      <c r="OQ12" s="421"/>
      <c r="OR12" s="421"/>
      <c r="OS12" s="421"/>
      <c r="OT12" s="421"/>
      <c r="OU12" s="421"/>
      <c r="OV12" s="421"/>
      <c r="OW12" s="421"/>
      <c r="OX12" s="421"/>
      <c r="OY12" s="421"/>
      <c r="OZ12" s="421"/>
      <c r="PA12" s="421"/>
      <c r="PB12" s="421"/>
      <c r="PC12" s="421"/>
      <c r="PD12" s="421"/>
      <c r="PE12" s="421"/>
      <c r="PF12" s="421"/>
      <c r="PG12" s="421"/>
      <c r="PH12" s="421"/>
      <c r="PI12" s="421"/>
      <c r="PJ12" s="421"/>
      <c r="PK12" s="421"/>
      <c r="PL12" s="421"/>
      <c r="PM12" s="421"/>
      <c r="PN12" s="421"/>
      <c r="PO12" s="421"/>
      <c r="PP12" s="421"/>
      <c r="PQ12" s="421"/>
      <c r="PR12" s="421"/>
      <c r="PS12" s="421"/>
      <c r="PT12" s="421"/>
      <c r="PU12" s="421"/>
      <c r="PV12" s="421"/>
      <c r="PW12" s="421"/>
      <c r="PX12" s="421"/>
      <c r="PY12" s="421"/>
      <c r="PZ12" s="421"/>
      <c r="QA12" s="421"/>
      <c r="QB12" s="421"/>
      <c r="QC12" s="421"/>
      <c r="QD12" s="421"/>
      <c r="QE12" s="421"/>
      <c r="QF12" s="421"/>
      <c r="QG12" s="421"/>
      <c r="QH12" s="421"/>
      <c r="QI12" s="421"/>
      <c r="QJ12" s="421"/>
      <c r="QK12" s="421"/>
      <c r="QL12" s="421"/>
      <c r="QM12" s="421"/>
      <c r="QN12" s="421"/>
      <c r="QO12" s="421"/>
      <c r="QP12" s="422"/>
      <c r="QQ12" s="223"/>
      <c r="QR12" s="221"/>
    </row>
    <row r="13" spans="3:484" s="216" customFormat="1" ht="9.6" customHeight="1" x14ac:dyDescent="0.25">
      <c r="C13" s="217"/>
      <c r="D13" s="222"/>
      <c r="E13" s="420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21"/>
      <c r="AL13" s="421"/>
      <c r="AM13" s="421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1"/>
      <c r="BY13" s="421"/>
      <c r="BZ13" s="421"/>
      <c r="CA13" s="421"/>
      <c r="CB13" s="421"/>
      <c r="CC13" s="421"/>
      <c r="CD13" s="421"/>
      <c r="CE13" s="421"/>
      <c r="CF13" s="421"/>
      <c r="CG13" s="421"/>
      <c r="CH13" s="421"/>
      <c r="CI13" s="421"/>
      <c r="CJ13" s="421"/>
      <c r="CK13" s="421"/>
      <c r="CL13" s="421"/>
      <c r="CM13" s="421"/>
      <c r="CN13" s="421"/>
      <c r="CO13" s="421"/>
      <c r="CP13" s="421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1"/>
      <c r="ET13" s="421"/>
      <c r="EU13" s="421"/>
      <c r="EV13" s="421"/>
      <c r="EW13" s="421"/>
      <c r="EX13" s="421"/>
      <c r="EY13" s="421"/>
      <c r="EZ13" s="421"/>
      <c r="FA13" s="421"/>
      <c r="FB13" s="421"/>
      <c r="FC13" s="421"/>
      <c r="FD13" s="421"/>
      <c r="FE13" s="421"/>
      <c r="FF13" s="421"/>
      <c r="FG13" s="421"/>
      <c r="FH13" s="421"/>
      <c r="FI13" s="421"/>
      <c r="FJ13" s="421"/>
      <c r="FK13" s="421"/>
      <c r="FL13" s="421"/>
      <c r="FM13" s="421"/>
      <c r="FN13" s="421"/>
      <c r="FO13" s="421"/>
      <c r="FP13" s="421"/>
      <c r="FQ13" s="421"/>
      <c r="FR13" s="421"/>
      <c r="FS13" s="421"/>
      <c r="FT13" s="421"/>
      <c r="FU13" s="421"/>
      <c r="FV13" s="421"/>
      <c r="FW13" s="421"/>
      <c r="FX13" s="421"/>
      <c r="FY13" s="421"/>
      <c r="FZ13" s="421"/>
      <c r="GA13" s="421"/>
      <c r="GB13" s="421"/>
      <c r="GC13" s="421"/>
      <c r="GD13" s="421"/>
      <c r="GE13" s="421"/>
      <c r="GF13" s="421"/>
      <c r="GG13" s="421"/>
      <c r="GH13" s="421"/>
      <c r="GI13" s="421"/>
      <c r="GJ13" s="421"/>
      <c r="GK13" s="421"/>
      <c r="GL13" s="421"/>
      <c r="GM13" s="421"/>
      <c r="GN13" s="421"/>
      <c r="GO13" s="421"/>
      <c r="GP13" s="421"/>
      <c r="GQ13" s="421"/>
      <c r="GR13" s="421"/>
      <c r="GS13" s="421"/>
      <c r="GT13" s="421"/>
      <c r="GU13" s="421"/>
      <c r="GV13" s="421"/>
      <c r="GW13" s="421"/>
      <c r="GX13" s="421"/>
      <c r="GY13" s="421"/>
      <c r="GZ13" s="421"/>
      <c r="HA13" s="421"/>
      <c r="HB13" s="421"/>
      <c r="HC13" s="421"/>
      <c r="HD13" s="421"/>
      <c r="HE13" s="421"/>
      <c r="HF13" s="421"/>
      <c r="HG13" s="421"/>
      <c r="HH13" s="421"/>
      <c r="HI13" s="421"/>
      <c r="HJ13" s="421"/>
      <c r="HK13" s="421"/>
      <c r="HL13" s="421"/>
      <c r="HM13" s="421"/>
      <c r="HN13" s="421"/>
      <c r="HO13" s="421"/>
      <c r="HP13" s="421"/>
      <c r="HQ13" s="421"/>
      <c r="HR13" s="421"/>
      <c r="HS13" s="421"/>
      <c r="HT13" s="421"/>
      <c r="HU13" s="421"/>
      <c r="HV13" s="421"/>
      <c r="HW13" s="421"/>
      <c r="HX13" s="421"/>
      <c r="HY13" s="421"/>
      <c r="HZ13" s="421"/>
      <c r="IA13" s="421"/>
      <c r="IB13" s="421"/>
      <c r="IC13" s="421"/>
      <c r="ID13" s="421"/>
      <c r="IE13" s="421"/>
      <c r="IF13" s="421"/>
      <c r="IG13" s="421"/>
      <c r="IH13" s="421"/>
      <c r="II13" s="421"/>
      <c r="IJ13" s="421"/>
      <c r="IK13" s="421"/>
      <c r="IL13" s="421"/>
      <c r="IM13" s="421"/>
      <c r="IN13" s="421"/>
      <c r="IO13" s="421"/>
      <c r="IP13" s="421"/>
      <c r="IQ13" s="421"/>
      <c r="IR13" s="421"/>
      <c r="IS13" s="421"/>
      <c r="IT13" s="421"/>
      <c r="IU13" s="421"/>
      <c r="IV13" s="421"/>
      <c r="IW13" s="421"/>
      <c r="IX13" s="421"/>
      <c r="IY13" s="421"/>
      <c r="IZ13" s="421"/>
      <c r="JA13" s="421"/>
      <c r="JB13" s="421"/>
      <c r="JC13" s="421"/>
      <c r="JD13" s="421"/>
      <c r="JE13" s="421"/>
      <c r="JF13" s="421"/>
      <c r="JG13" s="421"/>
      <c r="JH13" s="421"/>
      <c r="JI13" s="421"/>
      <c r="JJ13" s="421"/>
      <c r="JK13" s="421"/>
      <c r="JL13" s="421"/>
      <c r="JM13" s="421"/>
      <c r="JN13" s="421"/>
      <c r="JO13" s="421"/>
      <c r="JP13" s="421"/>
      <c r="JQ13" s="421"/>
      <c r="JR13" s="421"/>
      <c r="JS13" s="421"/>
      <c r="JT13" s="421"/>
      <c r="JU13" s="421"/>
      <c r="JV13" s="421"/>
      <c r="JW13" s="421"/>
      <c r="JX13" s="421"/>
      <c r="JY13" s="421"/>
      <c r="JZ13" s="421"/>
      <c r="KA13" s="421"/>
      <c r="KB13" s="421"/>
      <c r="KC13" s="421"/>
      <c r="KD13" s="421"/>
      <c r="KE13" s="421"/>
      <c r="KF13" s="421"/>
      <c r="KG13" s="421"/>
      <c r="KH13" s="421"/>
      <c r="KI13" s="421"/>
      <c r="KJ13" s="421"/>
      <c r="KK13" s="421"/>
      <c r="KL13" s="421"/>
      <c r="KM13" s="421"/>
      <c r="KN13" s="421"/>
      <c r="KO13" s="421"/>
      <c r="KP13" s="421"/>
      <c r="KQ13" s="421"/>
      <c r="KR13" s="421"/>
      <c r="KS13" s="421"/>
      <c r="KT13" s="421"/>
      <c r="KU13" s="421"/>
      <c r="KV13" s="421"/>
      <c r="KW13" s="421"/>
      <c r="KX13" s="421"/>
      <c r="KY13" s="421"/>
      <c r="KZ13" s="421"/>
      <c r="LA13" s="421"/>
      <c r="LB13" s="421"/>
      <c r="LC13" s="421"/>
      <c r="LD13" s="421"/>
      <c r="LE13" s="421"/>
      <c r="LF13" s="421"/>
      <c r="LG13" s="421"/>
      <c r="LH13" s="421"/>
      <c r="LI13" s="421"/>
      <c r="LJ13" s="421"/>
      <c r="LK13" s="421"/>
      <c r="LL13" s="421"/>
      <c r="LM13" s="421"/>
      <c r="LN13" s="421"/>
      <c r="LO13" s="421"/>
      <c r="LP13" s="421"/>
      <c r="LQ13" s="421"/>
      <c r="LR13" s="421"/>
      <c r="LS13" s="421"/>
      <c r="LT13" s="421"/>
      <c r="LU13" s="421"/>
      <c r="LV13" s="421"/>
      <c r="LW13" s="421"/>
      <c r="LX13" s="421"/>
      <c r="LY13" s="421"/>
      <c r="LZ13" s="421"/>
      <c r="MA13" s="421"/>
      <c r="MB13" s="421"/>
      <c r="MC13" s="421"/>
      <c r="MD13" s="421"/>
      <c r="ME13" s="421"/>
      <c r="MF13" s="421"/>
      <c r="MG13" s="421"/>
      <c r="MH13" s="421"/>
      <c r="MI13" s="421"/>
      <c r="MJ13" s="421"/>
      <c r="MK13" s="421"/>
      <c r="ML13" s="421"/>
      <c r="MM13" s="421"/>
      <c r="MN13" s="421"/>
      <c r="MO13" s="421"/>
      <c r="MP13" s="421"/>
      <c r="MQ13" s="421"/>
      <c r="MR13" s="421"/>
      <c r="MS13" s="421"/>
      <c r="MT13" s="421"/>
      <c r="MU13" s="421"/>
      <c r="MV13" s="421"/>
      <c r="MW13" s="421"/>
      <c r="MX13" s="421"/>
      <c r="MY13" s="421"/>
      <c r="MZ13" s="421"/>
      <c r="NA13" s="421"/>
      <c r="NB13" s="421"/>
      <c r="NC13" s="421"/>
      <c r="ND13" s="421"/>
      <c r="NE13" s="421"/>
      <c r="NF13" s="421"/>
      <c r="NG13" s="421"/>
      <c r="NH13" s="421"/>
      <c r="NI13" s="421"/>
      <c r="NJ13" s="421"/>
      <c r="NK13" s="421"/>
      <c r="NL13" s="421"/>
      <c r="NM13" s="421"/>
      <c r="NN13" s="421"/>
      <c r="NO13" s="421"/>
      <c r="NP13" s="421"/>
      <c r="NQ13" s="421"/>
      <c r="NR13" s="421"/>
      <c r="NS13" s="421"/>
      <c r="NT13" s="421"/>
      <c r="NU13" s="421"/>
      <c r="NV13" s="421"/>
      <c r="NW13" s="421"/>
      <c r="NX13" s="421"/>
      <c r="NY13" s="421"/>
      <c r="NZ13" s="421"/>
      <c r="OA13" s="421"/>
      <c r="OB13" s="421"/>
      <c r="OC13" s="421"/>
      <c r="OD13" s="421"/>
      <c r="OE13" s="421"/>
      <c r="OF13" s="421"/>
      <c r="OG13" s="421"/>
      <c r="OH13" s="421"/>
      <c r="OI13" s="421"/>
      <c r="OJ13" s="421"/>
      <c r="OK13" s="421"/>
      <c r="OL13" s="421"/>
      <c r="OM13" s="421"/>
      <c r="ON13" s="421"/>
      <c r="OO13" s="421"/>
      <c r="OP13" s="421"/>
      <c r="OQ13" s="421"/>
      <c r="OR13" s="421"/>
      <c r="OS13" s="421"/>
      <c r="OT13" s="421"/>
      <c r="OU13" s="421"/>
      <c r="OV13" s="421"/>
      <c r="OW13" s="421"/>
      <c r="OX13" s="421"/>
      <c r="OY13" s="421"/>
      <c r="OZ13" s="421"/>
      <c r="PA13" s="421"/>
      <c r="PB13" s="421"/>
      <c r="PC13" s="421"/>
      <c r="PD13" s="421"/>
      <c r="PE13" s="421"/>
      <c r="PF13" s="421"/>
      <c r="PG13" s="421"/>
      <c r="PH13" s="421"/>
      <c r="PI13" s="421"/>
      <c r="PJ13" s="421"/>
      <c r="PK13" s="421"/>
      <c r="PL13" s="421"/>
      <c r="PM13" s="421"/>
      <c r="PN13" s="421"/>
      <c r="PO13" s="421"/>
      <c r="PP13" s="421"/>
      <c r="PQ13" s="421"/>
      <c r="PR13" s="421"/>
      <c r="PS13" s="421"/>
      <c r="PT13" s="421"/>
      <c r="PU13" s="421"/>
      <c r="PV13" s="421"/>
      <c r="PW13" s="421"/>
      <c r="PX13" s="421"/>
      <c r="PY13" s="421"/>
      <c r="PZ13" s="421"/>
      <c r="QA13" s="421"/>
      <c r="QB13" s="421"/>
      <c r="QC13" s="421"/>
      <c r="QD13" s="421"/>
      <c r="QE13" s="421"/>
      <c r="QF13" s="421"/>
      <c r="QG13" s="421"/>
      <c r="QH13" s="421"/>
      <c r="QI13" s="421"/>
      <c r="QJ13" s="421"/>
      <c r="QK13" s="421"/>
      <c r="QL13" s="421"/>
      <c r="QM13" s="421"/>
      <c r="QN13" s="421"/>
      <c r="QO13" s="421"/>
      <c r="QP13" s="422"/>
      <c r="QQ13" s="223"/>
      <c r="QR13" s="221"/>
    </row>
    <row r="14" spans="3:484" s="216" customFormat="1" ht="9.6" customHeight="1" x14ac:dyDescent="0.25">
      <c r="C14" s="217"/>
      <c r="D14" s="222"/>
      <c r="E14" s="420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1"/>
      <c r="BR14" s="421"/>
      <c r="BS14" s="421"/>
      <c r="BT14" s="421"/>
      <c r="BU14" s="421"/>
      <c r="BV14" s="421"/>
      <c r="BW14" s="421"/>
      <c r="BX14" s="421"/>
      <c r="BY14" s="421"/>
      <c r="BZ14" s="421"/>
      <c r="CA14" s="421"/>
      <c r="CB14" s="421"/>
      <c r="CC14" s="421"/>
      <c r="CD14" s="421"/>
      <c r="CE14" s="421"/>
      <c r="CF14" s="421"/>
      <c r="CG14" s="421"/>
      <c r="CH14" s="421"/>
      <c r="CI14" s="421"/>
      <c r="CJ14" s="421"/>
      <c r="CK14" s="421"/>
      <c r="CL14" s="421"/>
      <c r="CM14" s="421"/>
      <c r="CN14" s="421"/>
      <c r="CO14" s="421"/>
      <c r="CP14" s="421"/>
      <c r="CQ14" s="421"/>
      <c r="CR14" s="421"/>
      <c r="CS14" s="421"/>
      <c r="CT14" s="421"/>
      <c r="CU14" s="421"/>
      <c r="CV14" s="421"/>
      <c r="CW14" s="421"/>
      <c r="CX14" s="421"/>
      <c r="CY14" s="421"/>
      <c r="CZ14" s="421"/>
      <c r="DA14" s="421"/>
      <c r="DB14" s="421"/>
      <c r="DC14" s="421"/>
      <c r="DD14" s="421"/>
      <c r="DE14" s="421"/>
      <c r="DF14" s="421"/>
      <c r="DG14" s="421"/>
      <c r="DH14" s="421"/>
      <c r="DI14" s="421"/>
      <c r="DJ14" s="421"/>
      <c r="DK14" s="421"/>
      <c r="DL14" s="421"/>
      <c r="DM14" s="421"/>
      <c r="DN14" s="421"/>
      <c r="DO14" s="421"/>
      <c r="DP14" s="421"/>
      <c r="DQ14" s="421"/>
      <c r="DR14" s="421"/>
      <c r="DS14" s="421"/>
      <c r="DT14" s="421"/>
      <c r="DU14" s="421"/>
      <c r="DV14" s="421"/>
      <c r="DW14" s="421"/>
      <c r="DX14" s="421"/>
      <c r="DY14" s="421"/>
      <c r="DZ14" s="421"/>
      <c r="EA14" s="421"/>
      <c r="EB14" s="421"/>
      <c r="EC14" s="421"/>
      <c r="ED14" s="421"/>
      <c r="EE14" s="421"/>
      <c r="EF14" s="421"/>
      <c r="EG14" s="421"/>
      <c r="EH14" s="421"/>
      <c r="EI14" s="421"/>
      <c r="EJ14" s="421"/>
      <c r="EK14" s="421"/>
      <c r="EL14" s="421"/>
      <c r="EM14" s="421"/>
      <c r="EN14" s="421"/>
      <c r="EO14" s="421"/>
      <c r="EP14" s="421"/>
      <c r="EQ14" s="421"/>
      <c r="ER14" s="421"/>
      <c r="ES14" s="421"/>
      <c r="ET14" s="421"/>
      <c r="EU14" s="421"/>
      <c r="EV14" s="421"/>
      <c r="EW14" s="421"/>
      <c r="EX14" s="421"/>
      <c r="EY14" s="421"/>
      <c r="EZ14" s="421"/>
      <c r="FA14" s="421"/>
      <c r="FB14" s="421"/>
      <c r="FC14" s="421"/>
      <c r="FD14" s="421"/>
      <c r="FE14" s="421"/>
      <c r="FF14" s="421"/>
      <c r="FG14" s="421"/>
      <c r="FH14" s="421"/>
      <c r="FI14" s="421"/>
      <c r="FJ14" s="421"/>
      <c r="FK14" s="421"/>
      <c r="FL14" s="421"/>
      <c r="FM14" s="421"/>
      <c r="FN14" s="421"/>
      <c r="FO14" s="421"/>
      <c r="FP14" s="421"/>
      <c r="FQ14" s="421"/>
      <c r="FR14" s="421"/>
      <c r="FS14" s="421"/>
      <c r="FT14" s="421"/>
      <c r="FU14" s="421"/>
      <c r="FV14" s="421"/>
      <c r="FW14" s="421"/>
      <c r="FX14" s="421"/>
      <c r="FY14" s="421"/>
      <c r="FZ14" s="421"/>
      <c r="GA14" s="421"/>
      <c r="GB14" s="421"/>
      <c r="GC14" s="421"/>
      <c r="GD14" s="421"/>
      <c r="GE14" s="421"/>
      <c r="GF14" s="421"/>
      <c r="GG14" s="421"/>
      <c r="GH14" s="421"/>
      <c r="GI14" s="421"/>
      <c r="GJ14" s="421"/>
      <c r="GK14" s="421"/>
      <c r="GL14" s="421"/>
      <c r="GM14" s="421"/>
      <c r="GN14" s="421"/>
      <c r="GO14" s="421"/>
      <c r="GP14" s="421"/>
      <c r="GQ14" s="421"/>
      <c r="GR14" s="421"/>
      <c r="GS14" s="421"/>
      <c r="GT14" s="421"/>
      <c r="GU14" s="421"/>
      <c r="GV14" s="421"/>
      <c r="GW14" s="421"/>
      <c r="GX14" s="421"/>
      <c r="GY14" s="421"/>
      <c r="GZ14" s="421"/>
      <c r="HA14" s="421"/>
      <c r="HB14" s="421"/>
      <c r="HC14" s="421"/>
      <c r="HD14" s="421"/>
      <c r="HE14" s="421"/>
      <c r="HF14" s="421"/>
      <c r="HG14" s="421"/>
      <c r="HH14" s="421"/>
      <c r="HI14" s="421"/>
      <c r="HJ14" s="421"/>
      <c r="HK14" s="421"/>
      <c r="HL14" s="421"/>
      <c r="HM14" s="421"/>
      <c r="HN14" s="421"/>
      <c r="HO14" s="421"/>
      <c r="HP14" s="421"/>
      <c r="HQ14" s="421"/>
      <c r="HR14" s="421"/>
      <c r="HS14" s="421"/>
      <c r="HT14" s="421"/>
      <c r="HU14" s="421"/>
      <c r="HV14" s="421"/>
      <c r="HW14" s="421"/>
      <c r="HX14" s="421"/>
      <c r="HY14" s="421"/>
      <c r="HZ14" s="421"/>
      <c r="IA14" s="421"/>
      <c r="IB14" s="421"/>
      <c r="IC14" s="421"/>
      <c r="ID14" s="421"/>
      <c r="IE14" s="421"/>
      <c r="IF14" s="421"/>
      <c r="IG14" s="421"/>
      <c r="IH14" s="421"/>
      <c r="II14" s="421"/>
      <c r="IJ14" s="421"/>
      <c r="IK14" s="421"/>
      <c r="IL14" s="421"/>
      <c r="IM14" s="421"/>
      <c r="IN14" s="421"/>
      <c r="IO14" s="421"/>
      <c r="IP14" s="421"/>
      <c r="IQ14" s="421"/>
      <c r="IR14" s="421"/>
      <c r="IS14" s="421"/>
      <c r="IT14" s="421"/>
      <c r="IU14" s="421"/>
      <c r="IV14" s="421"/>
      <c r="IW14" s="421"/>
      <c r="IX14" s="421"/>
      <c r="IY14" s="421"/>
      <c r="IZ14" s="421"/>
      <c r="JA14" s="421"/>
      <c r="JB14" s="421"/>
      <c r="JC14" s="421"/>
      <c r="JD14" s="421"/>
      <c r="JE14" s="421"/>
      <c r="JF14" s="421"/>
      <c r="JG14" s="421"/>
      <c r="JH14" s="421"/>
      <c r="JI14" s="421"/>
      <c r="JJ14" s="421"/>
      <c r="JK14" s="421"/>
      <c r="JL14" s="421"/>
      <c r="JM14" s="421"/>
      <c r="JN14" s="421"/>
      <c r="JO14" s="421"/>
      <c r="JP14" s="421"/>
      <c r="JQ14" s="421"/>
      <c r="JR14" s="421"/>
      <c r="JS14" s="421"/>
      <c r="JT14" s="421"/>
      <c r="JU14" s="421"/>
      <c r="JV14" s="421"/>
      <c r="JW14" s="421"/>
      <c r="JX14" s="421"/>
      <c r="JY14" s="421"/>
      <c r="JZ14" s="421"/>
      <c r="KA14" s="421"/>
      <c r="KB14" s="421"/>
      <c r="KC14" s="421"/>
      <c r="KD14" s="421"/>
      <c r="KE14" s="421"/>
      <c r="KF14" s="421"/>
      <c r="KG14" s="421"/>
      <c r="KH14" s="421"/>
      <c r="KI14" s="421"/>
      <c r="KJ14" s="421"/>
      <c r="KK14" s="421"/>
      <c r="KL14" s="421"/>
      <c r="KM14" s="421"/>
      <c r="KN14" s="421"/>
      <c r="KO14" s="421"/>
      <c r="KP14" s="421"/>
      <c r="KQ14" s="421"/>
      <c r="KR14" s="421"/>
      <c r="KS14" s="421"/>
      <c r="KT14" s="421"/>
      <c r="KU14" s="421"/>
      <c r="KV14" s="421"/>
      <c r="KW14" s="421"/>
      <c r="KX14" s="421"/>
      <c r="KY14" s="421"/>
      <c r="KZ14" s="421"/>
      <c r="LA14" s="421"/>
      <c r="LB14" s="421"/>
      <c r="LC14" s="421"/>
      <c r="LD14" s="421"/>
      <c r="LE14" s="421"/>
      <c r="LF14" s="421"/>
      <c r="LG14" s="421"/>
      <c r="LH14" s="421"/>
      <c r="LI14" s="421"/>
      <c r="LJ14" s="421"/>
      <c r="LK14" s="421"/>
      <c r="LL14" s="421"/>
      <c r="LM14" s="421"/>
      <c r="LN14" s="421"/>
      <c r="LO14" s="421"/>
      <c r="LP14" s="421"/>
      <c r="LQ14" s="421"/>
      <c r="LR14" s="421"/>
      <c r="LS14" s="421"/>
      <c r="LT14" s="421"/>
      <c r="LU14" s="421"/>
      <c r="LV14" s="421"/>
      <c r="LW14" s="421"/>
      <c r="LX14" s="421"/>
      <c r="LY14" s="421"/>
      <c r="LZ14" s="421"/>
      <c r="MA14" s="421"/>
      <c r="MB14" s="421"/>
      <c r="MC14" s="421"/>
      <c r="MD14" s="421"/>
      <c r="ME14" s="421"/>
      <c r="MF14" s="421"/>
      <c r="MG14" s="421"/>
      <c r="MH14" s="421"/>
      <c r="MI14" s="421"/>
      <c r="MJ14" s="421"/>
      <c r="MK14" s="421"/>
      <c r="ML14" s="421"/>
      <c r="MM14" s="421"/>
      <c r="MN14" s="421"/>
      <c r="MO14" s="421"/>
      <c r="MP14" s="421"/>
      <c r="MQ14" s="421"/>
      <c r="MR14" s="421"/>
      <c r="MS14" s="421"/>
      <c r="MT14" s="421"/>
      <c r="MU14" s="421"/>
      <c r="MV14" s="421"/>
      <c r="MW14" s="421"/>
      <c r="MX14" s="421"/>
      <c r="MY14" s="421"/>
      <c r="MZ14" s="421"/>
      <c r="NA14" s="421"/>
      <c r="NB14" s="421"/>
      <c r="NC14" s="421"/>
      <c r="ND14" s="421"/>
      <c r="NE14" s="421"/>
      <c r="NF14" s="421"/>
      <c r="NG14" s="421"/>
      <c r="NH14" s="421"/>
      <c r="NI14" s="421"/>
      <c r="NJ14" s="421"/>
      <c r="NK14" s="421"/>
      <c r="NL14" s="421"/>
      <c r="NM14" s="421"/>
      <c r="NN14" s="421"/>
      <c r="NO14" s="421"/>
      <c r="NP14" s="421"/>
      <c r="NQ14" s="421"/>
      <c r="NR14" s="421"/>
      <c r="NS14" s="421"/>
      <c r="NT14" s="421"/>
      <c r="NU14" s="421"/>
      <c r="NV14" s="421"/>
      <c r="NW14" s="421"/>
      <c r="NX14" s="421"/>
      <c r="NY14" s="421"/>
      <c r="NZ14" s="421"/>
      <c r="OA14" s="421"/>
      <c r="OB14" s="421"/>
      <c r="OC14" s="421"/>
      <c r="OD14" s="421"/>
      <c r="OE14" s="421"/>
      <c r="OF14" s="421"/>
      <c r="OG14" s="421"/>
      <c r="OH14" s="421"/>
      <c r="OI14" s="421"/>
      <c r="OJ14" s="421"/>
      <c r="OK14" s="421"/>
      <c r="OL14" s="421"/>
      <c r="OM14" s="421"/>
      <c r="ON14" s="421"/>
      <c r="OO14" s="421"/>
      <c r="OP14" s="421"/>
      <c r="OQ14" s="421"/>
      <c r="OR14" s="421"/>
      <c r="OS14" s="421"/>
      <c r="OT14" s="421"/>
      <c r="OU14" s="421"/>
      <c r="OV14" s="421"/>
      <c r="OW14" s="421"/>
      <c r="OX14" s="421"/>
      <c r="OY14" s="421"/>
      <c r="OZ14" s="421"/>
      <c r="PA14" s="421"/>
      <c r="PB14" s="421"/>
      <c r="PC14" s="421"/>
      <c r="PD14" s="421"/>
      <c r="PE14" s="421"/>
      <c r="PF14" s="421"/>
      <c r="PG14" s="421"/>
      <c r="PH14" s="421"/>
      <c r="PI14" s="421"/>
      <c r="PJ14" s="421"/>
      <c r="PK14" s="421"/>
      <c r="PL14" s="421"/>
      <c r="PM14" s="421"/>
      <c r="PN14" s="421"/>
      <c r="PO14" s="421"/>
      <c r="PP14" s="421"/>
      <c r="PQ14" s="421"/>
      <c r="PR14" s="421"/>
      <c r="PS14" s="421"/>
      <c r="PT14" s="421"/>
      <c r="PU14" s="421"/>
      <c r="PV14" s="421"/>
      <c r="PW14" s="421"/>
      <c r="PX14" s="421"/>
      <c r="PY14" s="421"/>
      <c r="PZ14" s="421"/>
      <c r="QA14" s="421"/>
      <c r="QB14" s="421"/>
      <c r="QC14" s="421"/>
      <c r="QD14" s="421"/>
      <c r="QE14" s="421"/>
      <c r="QF14" s="421"/>
      <c r="QG14" s="421"/>
      <c r="QH14" s="421"/>
      <c r="QI14" s="421"/>
      <c r="QJ14" s="421"/>
      <c r="QK14" s="421"/>
      <c r="QL14" s="421"/>
      <c r="QM14" s="421"/>
      <c r="QN14" s="421"/>
      <c r="QO14" s="421"/>
      <c r="QP14" s="422"/>
      <c r="QQ14" s="223"/>
      <c r="QR14" s="221"/>
    </row>
    <row r="15" spans="3:484" s="216" customFormat="1" ht="9.6" customHeight="1" thickBot="1" x14ac:dyDescent="0.3">
      <c r="C15" s="217"/>
      <c r="D15" s="222"/>
      <c r="E15" s="423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4"/>
      <c r="DF15" s="424"/>
      <c r="DG15" s="424"/>
      <c r="DH15" s="424"/>
      <c r="DI15" s="424"/>
      <c r="DJ15" s="424"/>
      <c r="DK15" s="424"/>
      <c r="DL15" s="424"/>
      <c r="DM15" s="424"/>
      <c r="DN15" s="424"/>
      <c r="DO15" s="424"/>
      <c r="DP15" s="424"/>
      <c r="DQ15" s="424"/>
      <c r="DR15" s="424"/>
      <c r="DS15" s="424"/>
      <c r="DT15" s="424"/>
      <c r="DU15" s="424"/>
      <c r="DV15" s="424"/>
      <c r="DW15" s="424"/>
      <c r="DX15" s="424"/>
      <c r="DY15" s="424"/>
      <c r="DZ15" s="424"/>
      <c r="EA15" s="424"/>
      <c r="EB15" s="424"/>
      <c r="EC15" s="424"/>
      <c r="ED15" s="424"/>
      <c r="EE15" s="424"/>
      <c r="EF15" s="424"/>
      <c r="EG15" s="424"/>
      <c r="EH15" s="424"/>
      <c r="EI15" s="424"/>
      <c r="EJ15" s="424"/>
      <c r="EK15" s="424"/>
      <c r="EL15" s="424"/>
      <c r="EM15" s="424"/>
      <c r="EN15" s="424"/>
      <c r="EO15" s="424"/>
      <c r="EP15" s="424"/>
      <c r="EQ15" s="424"/>
      <c r="ER15" s="424"/>
      <c r="ES15" s="424"/>
      <c r="ET15" s="424"/>
      <c r="EU15" s="424"/>
      <c r="EV15" s="424"/>
      <c r="EW15" s="424"/>
      <c r="EX15" s="424"/>
      <c r="EY15" s="424"/>
      <c r="EZ15" s="424"/>
      <c r="FA15" s="424"/>
      <c r="FB15" s="424"/>
      <c r="FC15" s="424"/>
      <c r="FD15" s="424"/>
      <c r="FE15" s="424"/>
      <c r="FF15" s="424"/>
      <c r="FG15" s="424"/>
      <c r="FH15" s="424"/>
      <c r="FI15" s="424"/>
      <c r="FJ15" s="424"/>
      <c r="FK15" s="424"/>
      <c r="FL15" s="424"/>
      <c r="FM15" s="424"/>
      <c r="FN15" s="424"/>
      <c r="FO15" s="424"/>
      <c r="FP15" s="424"/>
      <c r="FQ15" s="424"/>
      <c r="FR15" s="424"/>
      <c r="FS15" s="424"/>
      <c r="FT15" s="424"/>
      <c r="FU15" s="424"/>
      <c r="FV15" s="424"/>
      <c r="FW15" s="424"/>
      <c r="FX15" s="424"/>
      <c r="FY15" s="424"/>
      <c r="FZ15" s="424"/>
      <c r="GA15" s="424"/>
      <c r="GB15" s="424"/>
      <c r="GC15" s="424"/>
      <c r="GD15" s="424"/>
      <c r="GE15" s="424"/>
      <c r="GF15" s="424"/>
      <c r="GG15" s="424"/>
      <c r="GH15" s="424"/>
      <c r="GI15" s="424"/>
      <c r="GJ15" s="424"/>
      <c r="GK15" s="424"/>
      <c r="GL15" s="424"/>
      <c r="GM15" s="424"/>
      <c r="GN15" s="424"/>
      <c r="GO15" s="424"/>
      <c r="GP15" s="424"/>
      <c r="GQ15" s="424"/>
      <c r="GR15" s="424"/>
      <c r="GS15" s="424"/>
      <c r="GT15" s="424"/>
      <c r="GU15" s="424"/>
      <c r="GV15" s="424"/>
      <c r="GW15" s="424"/>
      <c r="GX15" s="424"/>
      <c r="GY15" s="424"/>
      <c r="GZ15" s="424"/>
      <c r="HA15" s="424"/>
      <c r="HB15" s="424"/>
      <c r="HC15" s="424"/>
      <c r="HD15" s="424"/>
      <c r="HE15" s="424"/>
      <c r="HF15" s="424"/>
      <c r="HG15" s="424"/>
      <c r="HH15" s="424"/>
      <c r="HI15" s="424"/>
      <c r="HJ15" s="424"/>
      <c r="HK15" s="424"/>
      <c r="HL15" s="424"/>
      <c r="HM15" s="424"/>
      <c r="HN15" s="424"/>
      <c r="HO15" s="424"/>
      <c r="HP15" s="424"/>
      <c r="HQ15" s="424"/>
      <c r="HR15" s="424"/>
      <c r="HS15" s="424"/>
      <c r="HT15" s="424"/>
      <c r="HU15" s="424"/>
      <c r="HV15" s="424"/>
      <c r="HW15" s="424"/>
      <c r="HX15" s="424"/>
      <c r="HY15" s="424"/>
      <c r="HZ15" s="424"/>
      <c r="IA15" s="424"/>
      <c r="IB15" s="424"/>
      <c r="IC15" s="424"/>
      <c r="ID15" s="424"/>
      <c r="IE15" s="424"/>
      <c r="IF15" s="424"/>
      <c r="IG15" s="424"/>
      <c r="IH15" s="424"/>
      <c r="II15" s="424"/>
      <c r="IJ15" s="424"/>
      <c r="IK15" s="424"/>
      <c r="IL15" s="424"/>
      <c r="IM15" s="424"/>
      <c r="IN15" s="424"/>
      <c r="IO15" s="424"/>
      <c r="IP15" s="424"/>
      <c r="IQ15" s="424"/>
      <c r="IR15" s="424"/>
      <c r="IS15" s="424"/>
      <c r="IT15" s="424"/>
      <c r="IU15" s="424"/>
      <c r="IV15" s="424"/>
      <c r="IW15" s="424"/>
      <c r="IX15" s="424"/>
      <c r="IY15" s="424"/>
      <c r="IZ15" s="424"/>
      <c r="JA15" s="424"/>
      <c r="JB15" s="424"/>
      <c r="JC15" s="424"/>
      <c r="JD15" s="424"/>
      <c r="JE15" s="424"/>
      <c r="JF15" s="424"/>
      <c r="JG15" s="424"/>
      <c r="JH15" s="424"/>
      <c r="JI15" s="424"/>
      <c r="JJ15" s="424"/>
      <c r="JK15" s="424"/>
      <c r="JL15" s="424"/>
      <c r="JM15" s="424"/>
      <c r="JN15" s="424"/>
      <c r="JO15" s="424"/>
      <c r="JP15" s="424"/>
      <c r="JQ15" s="424"/>
      <c r="JR15" s="424"/>
      <c r="JS15" s="424"/>
      <c r="JT15" s="424"/>
      <c r="JU15" s="424"/>
      <c r="JV15" s="424"/>
      <c r="JW15" s="424"/>
      <c r="JX15" s="424"/>
      <c r="JY15" s="424"/>
      <c r="JZ15" s="424"/>
      <c r="KA15" s="424"/>
      <c r="KB15" s="424"/>
      <c r="KC15" s="424"/>
      <c r="KD15" s="424"/>
      <c r="KE15" s="424"/>
      <c r="KF15" s="424"/>
      <c r="KG15" s="424"/>
      <c r="KH15" s="424"/>
      <c r="KI15" s="424"/>
      <c r="KJ15" s="424"/>
      <c r="KK15" s="424"/>
      <c r="KL15" s="424"/>
      <c r="KM15" s="424"/>
      <c r="KN15" s="424"/>
      <c r="KO15" s="424"/>
      <c r="KP15" s="424"/>
      <c r="KQ15" s="424"/>
      <c r="KR15" s="424"/>
      <c r="KS15" s="424"/>
      <c r="KT15" s="424"/>
      <c r="KU15" s="424"/>
      <c r="KV15" s="424"/>
      <c r="KW15" s="424"/>
      <c r="KX15" s="424"/>
      <c r="KY15" s="424"/>
      <c r="KZ15" s="424"/>
      <c r="LA15" s="424"/>
      <c r="LB15" s="424"/>
      <c r="LC15" s="424"/>
      <c r="LD15" s="424"/>
      <c r="LE15" s="424"/>
      <c r="LF15" s="424"/>
      <c r="LG15" s="424"/>
      <c r="LH15" s="424"/>
      <c r="LI15" s="424"/>
      <c r="LJ15" s="424"/>
      <c r="LK15" s="424"/>
      <c r="LL15" s="424"/>
      <c r="LM15" s="424"/>
      <c r="LN15" s="424"/>
      <c r="LO15" s="424"/>
      <c r="LP15" s="424"/>
      <c r="LQ15" s="424"/>
      <c r="LR15" s="424"/>
      <c r="LS15" s="424"/>
      <c r="LT15" s="424"/>
      <c r="LU15" s="424"/>
      <c r="LV15" s="424"/>
      <c r="LW15" s="424"/>
      <c r="LX15" s="424"/>
      <c r="LY15" s="424"/>
      <c r="LZ15" s="424"/>
      <c r="MA15" s="424"/>
      <c r="MB15" s="424"/>
      <c r="MC15" s="424"/>
      <c r="MD15" s="424"/>
      <c r="ME15" s="424"/>
      <c r="MF15" s="424"/>
      <c r="MG15" s="424"/>
      <c r="MH15" s="424"/>
      <c r="MI15" s="424"/>
      <c r="MJ15" s="424"/>
      <c r="MK15" s="424"/>
      <c r="ML15" s="424"/>
      <c r="MM15" s="424"/>
      <c r="MN15" s="424"/>
      <c r="MO15" s="424"/>
      <c r="MP15" s="424"/>
      <c r="MQ15" s="424"/>
      <c r="MR15" s="424"/>
      <c r="MS15" s="424"/>
      <c r="MT15" s="424"/>
      <c r="MU15" s="424"/>
      <c r="MV15" s="424"/>
      <c r="MW15" s="424"/>
      <c r="MX15" s="424"/>
      <c r="MY15" s="424"/>
      <c r="MZ15" s="424"/>
      <c r="NA15" s="424"/>
      <c r="NB15" s="424"/>
      <c r="NC15" s="424"/>
      <c r="ND15" s="424"/>
      <c r="NE15" s="424"/>
      <c r="NF15" s="424"/>
      <c r="NG15" s="424"/>
      <c r="NH15" s="424"/>
      <c r="NI15" s="424"/>
      <c r="NJ15" s="424"/>
      <c r="NK15" s="424"/>
      <c r="NL15" s="424"/>
      <c r="NM15" s="424"/>
      <c r="NN15" s="424"/>
      <c r="NO15" s="424"/>
      <c r="NP15" s="424"/>
      <c r="NQ15" s="424"/>
      <c r="NR15" s="424"/>
      <c r="NS15" s="424"/>
      <c r="NT15" s="424"/>
      <c r="NU15" s="424"/>
      <c r="NV15" s="424"/>
      <c r="NW15" s="424"/>
      <c r="NX15" s="424"/>
      <c r="NY15" s="424"/>
      <c r="NZ15" s="424"/>
      <c r="OA15" s="424"/>
      <c r="OB15" s="424"/>
      <c r="OC15" s="424"/>
      <c r="OD15" s="424"/>
      <c r="OE15" s="424"/>
      <c r="OF15" s="424"/>
      <c r="OG15" s="424"/>
      <c r="OH15" s="424"/>
      <c r="OI15" s="424"/>
      <c r="OJ15" s="424"/>
      <c r="OK15" s="424"/>
      <c r="OL15" s="424"/>
      <c r="OM15" s="424"/>
      <c r="ON15" s="424"/>
      <c r="OO15" s="424"/>
      <c r="OP15" s="424"/>
      <c r="OQ15" s="424"/>
      <c r="OR15" s="424"/>
      <c r="OS15" s="424"/>
      <c r="OT15" s="424"/>
      <c r="OU15" s="424"/>
      <c r="OV15" s="424"/>
      <c r="OW15" s="424"/>
      <c r="OX15" s="424"/>
      <c r="OY15" s="424"/>
      <c r="OZ15" s="424"/>
      <c r="PA15" s="424"/>
      <c r="PB15" s="424"/>
      <c r="PC15" s="424"/>
      <c r="PD15" s="424"/>
      <c r="PE15" s="424"/>
      <c r="PF15" s="424"/>
      <c r="PG15" s="424"/>
      <c r="PH15" s="424"/>
      <c r="PI15" s="424"/>
      <c r="PJ15" s="424"/>
      <c r="PK15" s="424"/>
      <c r="PL15" s="424"/>
      <c r="PM15" s="424"/>
      <c r="PN15" s="424"/>
      <c r="PO15" s="424"/>
      <c r="PP15" s="424"/>
      <c r="PQ15" s="424"/>
      <c r="PR15" s="424"/>
      <c r="PS15" s="424"/>
      <c r="PT15" s="424"/>
      <c r="PU15" s="424"/>
      <c r="PV15" s="424"/>
      <c r="PW15" s="424"/>
      <c r="PX15" s="424"/>
      <c r="PY15" s="424"/>
      <c r="PZ15" s="424"/>
      <c r="QA15" s="424"/>
      <c r="QB15" s="424"/>
      <c r="QC15" s="424"/>
      <c r="QD15" s="424"/>
      <c r="QE15" s="424"/>
      <c r="QF15" s="424"/>
      <c r="QG15" s="424"/>
      <c r="QH15" s="424"/>
      <c r="QI15" s="424"/>
      <c r="QJ15" s="424"/>
      <c r="QK15" s="424"/>
      <c r="QL15" s="424"/>
      <c r="QM15" s="424"/>
      <c r="QN15" s="424"/>
      <c r="QO15" s="424"/>
      <c r="QP15" s="425"/>
      <c r="QQ15" s="223"/>
      <c r="QR15" s="221"/>
    </row>
    <row r="16" spans="3:484" ht="5.0999999999999996" customHeight="1" x14ac:dyDescent="0.25">
      <c r="C16" s="226"/>
      <c r="D16" s="227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8"/>
      <c r="AX16" s="228"/>
      <c r="AY16" s="228"/>
      <c r="AZ16" s="228"/>
      <c r="BA16" s="228"/>
      <c r="BB16" s="228"/>
      <c r="BC16" s="228"/>
      <c r="BD16" s="228"/>
      <c r="BE16" s="228"/>
      <c r="BF16" s="228"/>
      <c r="BG16" s="228"/>
      <c r="BH16" s="228"/>
      <c r="BI16" s="228"/>
      <c r="BJ16" s="228"/>
      <c r="BK16" s="228"/>
      <c r="BL16" s="228"/>
      <c r="BM16" s="228"/>
      <c r="BN16" s="228"/>
      <c r="BO16" s="228"/>
      <c r="BP16" s="228"/>
      <c r="BQ16" s="228"/>
      <c r="BR16" s="228"/>
      <c r="BS16" s="228"/>
      <c r="BT16" s="228"/>
      <c r="BU16" s="228"/>
      <c r="BV16" s="228"/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  <c r="CG16" s="228"/>
      <c r="CH16" s="228"/>
      <c r="CI16" s="228"/>
      <c r="CJ16" s="228"/>
      <c r="CK16" s="228"/>
      <c r="CL16" s="228"/>
      <c r="CM16" s="228"/>
      <c r="CN16" s="228"/>
      <c r="CO16" s="228"/>
      <c r="CP16" s="228"/>
      <c r="CQ16" s="228"/>
      <c r="CR16" s="228"/>
      <c r="CS16" s="228"/>
      <c r="CT16" s="228"/>
      <c r="CU16" s="228"/>
      <c r="CV16" s="228"/>
      <c r="CW16" s="228"/>
      <c r="CX16" s="228"/>
      <c r="CY16" s="228"/>
      <c r="CZ16" s="228"/>
      <c r="DA16" s="228"/>
      <c r="DB16" s="228"/>
      <c r="DC16" s="228"/>
      <c r="DD16" s="228"/>
      <c r="DE16" s="228"/>
      <c r="DF16" s="228"/>
      <c r="DG16" s="228"/>
      <c r="DH16" s="228"/>
      <c r="DI16" s="228"/>
      <c r="DJ16" s="228"/>
      <c r="DK16" s="228"/>
      <c r="DL16" s="228"/>
      <c r="DM16" s="228"/>
      <c r="DN16" s="228"/>
      <c r="DO16" s="228"/>
      <c r="DP16" s="228"/>
      <c r="DQ16" s="228"/>
      <c r="DR16" s="228"/>
      <c r="DS16" s="228"/>
      <c r="DT16" s="228"/>
      <c r="DU16" s="228"/>
      <c r="DV16" s="228"/>
      <c r="DW16" s="228"/>
      <c r="DX16" s="228"/>
      <c r="DY16" s="228"/>
      <c r="DZ16" s="228"/>
      <c r="EA16" s="228"/>
      <c r="EB16" s="228"/>
      <c r="EC16" s="228"/>
      <c r="ED16" s="228"/>
      <c r="EE16" s="228"/>
      <c r="EF16" s="228"/>
      <c r="EG16" s="228"/>
      <c r="EH16" s="228"/>
      <c r="EI16" s="228"/>
      <c r="EJ16" s="228"/>
      <c r="EK16" s="228"/>
      <c r="EL16" s="228"/>
      <c r="EM16" s="228"/>
      <c r="EN16" s="228"/>
      <c r="EO16" s="228"/>
      <c r="EP16" s="228"/>
      <c r="EQ16" s="228"/>
      <c r="ER16" s="228"/>
      <c r="ES16" s="228"/>
      <c r="ET16" s="228"/>
      <c r="EU16" s="228"/>
      <c r="EV16" s="228"/>
      <c r="EW16" s="228"/>
      <c r="EX16" s="228"/>
      <c r="EY16" s="228"/>
      <c r="EZ16" s="228"/>
      <c r="FA16" s="228"/>
      <c r="FB16" s="228"/>
      <c r="FC16" s="228"/>
      <c r="FD16" s="228"/>
      <c r="FE16" s="228"/>
      <c r="FF16" s="228"/>
      <c r="FG16" s="228"/>
      <c r="FH16" s="228"/>
      <c r="FI16" s="228"/>
      <c r="FJ16" s="228"/>
      <c r="FK16" s="228"/>
      <c r="FL16" s="228"/>
      <c r="FM16" s="228"/>
      <c r="FN16" s="228"/>
      <c r="FO16" s="228"/>
      <c r="FP16" s="228"/>
      <c r="FQ16" s="228"/>
      <c r="FR16" s="228"/>
      <c r="FS16" s="228"/>
      <c r="FT16" s="228"/>
      <c r="FU16" s="228"/>
      <c r="FV16" s="228"/>
      <c r="FW16" s="228"/>
      <c r="FX16" s="228"/>
      <c r="FY16" s="228"/>
      <c r="FZ16" s="228"/>
      <c r="GA16" s="228"/>
      <c r="GB16" s="228"/>
      <c r="GC16" s="228"/>
      <c r="GD16" s="228"/>
      <c r="GE16" s="228"/>
      <c r="GF16" s="228"/>
      <c r="GG16" s="228"/>
      <c r="GH16" s="228"/>
      <c r="GI16" s="228"/>
      <c r="GJ16" s="228"/>
      <c r="GK16" s="228"/>
      <c r="GL16" s="228"/>
      <c r="GM16" s="228"/>
      <c r="GN16" s="228"/>
      <c r="GO16" s="228"/>
      <c r="GP16" s="228"/>
      <c r="GQ16" s="228"/>
      <c r="GR16" s="228"/>
      <c r="GS16" s="228"/>
      <c r="GT16" s="228"/>
      <c r="GU16" s="228"/>
      <c r="GV16" s="228"/>
      <c r="GW16" s="228"/>
      <c r="GX16" s="228"/>
      <c r="GY16" s="228"/>
      <c r="GZ16" s="228"/>
      <c r="HA16" s="228"/>
      <c r="HB16" s="228"/>
      <c r="HC16" s="228"/>
      <c r="HD16" s="228"/>
      <c r="HE16" s="228"/>
      <c r="HF16" s="228"/>
      <c r="HG16" s="228"/>
      <c r="HH16" s="228"/>
      <c r="HI16" s="228"/>
      <c r="HJ16" s="228"/>
      <c r="HK16" s="228"/>
      <c r="HL16" s="228"/>
      <c r="HM16" s="228"/>
      <c r="HN16" s="228"/>
      <c r="HO16" s="228"/>
      <c r="HP16" s="228"/>
      <c r="HQ16" s="228"/>
      <c r="HR16" s="228"/>
      <c r="HS16" s="228"/>
      <c r="HT16" s="228"/>
      <c r="HU16" s="228"/>
      <c r="HV16" s="228"/>
      <c r="HW16" s="228"/>
      <c r="HX16" s="228"/>
      <c r="HY16" s="228"/>
      <c r="HZ16" s="228"/>
      <c r="IA16" s="228"/>
      <c r="IB16" s="228"/>
      <c r="IC16" s="228"/>
      <c r="ID16" s="228"/>
      <c r="IE16" s="228"/>
      <c r="IF16" s="228"/>
      <c r="IG16" s="228"/>
      <c r="IH16" s="228"/>
      <c r="II16" s="228"/>
      <c r="IJ16" s="228"/>
      <c r="IK16" s="228"/>
      <c r="IL16" s="228"/>
      <c r="IM16" s="228"/>
      <c r="IN16" s="228"/>
      <c r="IO16" s="228"/>
      <c r="IP16" s="228"/>
      <c r="IQ16" s="228"/>
      <c r="IR16" s="228"/>
      <c r="IS16" s="228"/>
      <c r="IT16" s="229"/>
      <c r="IU16" s="229"/>
      <c r="IV16" s="229"/>
      <c r="IW16" s="229"/>
      <c r="IX16" s="229"/>
      <c r="IY16" s="229"/>
      <c r="IZ16" s="229"/>
      <c r="JA16" s="229"/>
      <c r="JB16" s="229"/>
      <c r="JC16" s="229"/>
      <c r="JD16" s="229"/>
      <c r="JE16" s="229"/>
      <c r="JF16" s="229"/>
      <c r="JG16" s="229"/>
      <c r="JH16" s="229"/>
      <c r="JI16" s="229"/>
      <c r="JJ16" s="229"/>
      <c r="JK16" s="229"/>
      <c r="JL16" s="229"/>
      <c r="JM16" s="229"/>
      <c r="JN16" s="229"/>
      <c r="JO16" s="229"/>
      <c r="JP16" s="229"/>
      <c r="JQ16" s="229"/>
      <c r="JR16" s="229"/>
      <c r="JS16" s="229"/>
      <c r="JT16" s="229"/>
      <c r="JU16" s="229"/>
      <c r="JV16" s="229"/>
      <c r="JW16" s="229"/>
      <c r="JX16" s="229"/>
      <c r="JY16" s="229"/>
      <c r="JZ16" s="229"/>
      <c r="KA16" s="229"/>
      <c r="KB16" s="229"/>
      <c r="KC16" s="229"/>
      <c r="KD16" s="229"/>
      <c r="KE16" s="229"/>
      <c r="KF16" s="229"/>
      <c r="KG16" s="229"/>
      <c r="KH16" s="229"/>
      <c r="KI16" s="229"/>
      <c r="KJ16" s="229"/>
      <c r="KK16" s="229"/>
      <c r="KL16" s="229"/>
      <c r="KM16" s="229"/>
      <c r="KN16" s="229"/>
      <c r="KO16" s="229"/>
      <c r="KP16" s="229"/>
      <c r="KQ16" s="229"/>
      <c r="KR16" s="229"/>
      <c r="KS16" s="229"/>
      <c r="KT16" s="229"/>
      <c r="KU16" s="229"/>
      <c r="KV16" s="229"/>
      <c r="KW16" s="229"/>
      <c r="KX16" s="229"/>
      <c r="KY16" s="229"/>
      <c r="KZ16" s="229"/>
      <c r="LA16" s="229"/>
      <c r="LB16" s="229"/>
      <c r="LC16" s="229"/>
      <c r="LD16" s="229"/>
      <c r="LE16" s="229"/>
      <c r="LF16" s="229"/>
      <c r="LG16" s="229"/>
      <c r="LH16" s="229"/>
      <c r="LI16" s="229"/>
      <c r="LJ16" s="229"/>
      <c r="LK16" s="229"/>
      <c r="LL16" s="229"/>
      <c r="LM16" s="229"/>
      <c r="LN16" s="229"/>
      <c r="LO16" s="229"/>
      <c r="LP16" s="229"/>
      <c r="LQ16" s="229"/>
      <c r="LR16" s="229"/>
      <c r="LS16" s="229"/>
      <c r="LT16" s="229"/>
      <c r="LU16" s="228"/>
      <c r="LV16" s="228"/>
      <c r="LW16" s="228"/>
      <c r="LX16" s="228"/>
      <c r="LY16" s="228"/>
      <c r="LZ16" s="228"/>
      <c r="MA16" s="228"/>
      <c r="MB16" s="228"/>
      <c r="MC16" s="228"/>
      <c r="MD16" s="228"/>
      <c r="ME16" s="228"/>
      <c r="MF16" s="228"/>
      <c r="MG16" s="228"/>
      <c r="MH16" s="228"/>
      <c r="MI16" s="228"/>
      <c r="MJ16" s="228"/>
      <c r="MK16" s="228"/>
      <c r="ML16" s="228"/>
      <c r="MM16" s="228"/>
      <c r="MN16" s="228"/>
      <c r="MO16" s="228"/>
      <c r="MP16" s="228"/>
      <c r="MQ16" s="228"/>
      <c r="MR16" s="228"/>
      <c r="MS16" s="228"/>
      <c r="MT16" s="228"/>
      <c r="MU16" s="228"/>
      <c r="MV16" s="228"/>
      <c r="MW16" s="228"/>
      <c r="MX16" s="228"/>
      <c r="MY16" s="228"/>
      <c r="MZ16" s="228"/>
      <c r="NA16" s="228"/>
      <c r="NB16" s="228"/>
      <c r="NC16" s="228"/>
      <c r="ND16" s="228"/>
      <c r="NE16" s="228"/>
      <c r="NF16" s="228"/>
      <c r="NG16" s="228"/>
      <c r="NH16" s="228"/>
      <c r="NI16" s="228"/>
      <c r="NJ16" s="228"/>
      <c r="NK16" s="228"/>
      <c r="NL16" s="228"/>
      <c r="NM16" s="228"/>
      <c r="NN16" s="228"/>
      <c r="NO16" s="228"/>
      <c r="NP16" s="228"/>
      <c r="NQ16" s="228"/>
      <c r="NR16" s="228"/>
      <c r="NS16" s="228"/>
      <c r="NT16" s="228"/>
      <c r="NU16" s="228"/>
      <c r="NV16" s="228"/>
      <c r="NW16" s="228"/>
      <c r="NX16" s="228"/>
      <c r="NY16" s="228"/>
      <c r="NZ16" s="228"/>
      <c r="OA16" s="228"/>
      <c r="OB16" s="228"/>
      <c r="OC16" s="228"/>
      <c r="OD16" s="228"/>
      <c r="OE16" s="228"/>
      <c r="OF16" s="228"/>
      <c r="OG16" s="228"/>
      <c r="OH16" s="228"/>
      <c r="OI16" s="228"/>
      <c r="OJ16" s="228"/>
      <c r="OK16" s="228"/>
      <c r="OL16" s="228"/>
      <c r="OM16" s="228"/>
      <c r="ON16" s="228"/>
      <c r="OO16" s="228"/>
      <c r="OP16" s="228"/>
      <c r="OQ16" s="228"/>
      <c r="OR16" s="228"/>
      <c r="OS16" s="228"/>
      <c r="OT16" s="228"/>
      <c r="OU16" s="228"/>
      <c r="OV16" s="228"/>
      <c r="OW16" s="228"/>
      <c r="OX16" s="228"/>
      <c r="OY16" s="228"/>
      <c r="OZ16" s="228"/>
      <c r="PA16" s="228"/>
      <c r="PB16" s="228"/>
      <c r="PC16" s="228"/>
      <c r="PD16" s="228"/>
      <c r="PE16" s="228"/>
      <c r="PF16" s="228"/>
      <c r="PG16" s="228"/>
      <c r="PH16" s="228"/>
      <c r="PI16" s="228"/>
      <c r="PJ16" s="228"/>
      <c r="PK16" s="228"/>
      <c r="PL16" s="228"/>
      <c r="PM16" s="228"/>
      <c r="PN16" s="228"/>
      <c r="PO16" s="228"/>
      <c r="PP16" s="228"/>
      <c r="PQ16" s="228"/>
      <c r="PR16" s="228"/>
      <c r="PS16" s="228"/>
      <c r="PT16" s="228"/>
      <c r="PU16" s="228"/>
      <c r="PV16" s="228"/>
      <c r="PW16" s="228"/>
      <c r="PX16" s="228"/>
      <c r="PY16" s="228"/>
      <c r="PZ16" s="228"/>
      <c r="QA16" s="228"/>
      <c r="QB16" s="228"/>
      <c r="QC16" s="228"/>
      <c r="QD16" s="228"/>
      <c r="QE16" s="228"/>
      <c r="QF16" s="228"/>
      <c r="QG16" s="228"/>
      <c r="QH16" s="228"/>
      <c r="QI16" s="228"/>
      <c r="QJ16" s="228"/>
      <c r="QK16" s="228"/>
      <c r="QL16" s="228"/>
      <c r="QM16" s="228"/>
      <c r="QN16" s="228"/>
      <c r="QO16" s="228"/>
      <c r="QP16" s="228"/>
      <c r="QQ16" s="230"/>
      <c r="QR16" s="231"/>
    </row>
    <row r="17" spans="3:460" ht="5.0999999999999996" customHeight="1" x14ac:dyDescent="0.25">
      <c r="C17" s="226"/>
      <c r="D17" s="227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28"/>
      <c r="CL17" s="228"/>
      <c r="CM17" s="228"/>
      <c r="CN17" s="228"/>
      <c r="CO17" s="228"/>
      <c r="CP17" s="228"/>
      <c r="CQ17" s="228"/>
      <c r="CR17" s="228"/>
      <c r="CS17" s="228"/>
      <c r="CT17" s="228"/>
      <c r="CU17" s="228"/>
      <c r="CV17" s="228"/>
      <c r="CW17" s="228"/>
      <c r="CX17" s="228"/>
      <c r="CY17" s="228"/>
      <c r="CZ17" s="228"/>
      <c r="DA17" s="228"/>
      <c r="DB17" s="228"/>
      <c r="DC17" s="228"/>
      <c r="DD17" s="228"/>
      <c r="DE17" s="228"/>
      <c r="DF17" s="228"/>
      <c r="DG17" s="228"/>
      <c r="DH17" s="228"/>
      <c r="DI17" s="228"/>
      <c r="DJ17" s="228"/>
      <c r="DK17" s="228"/>
      <c r="DL17" s="228"/>
      <c r="DM17" s="228"/>
      <c r="DN17" s="228"/>
      <c r="DO17" s="228"/>
      <c r="DP17" s="228"/>
      <c r="DQ17" s="228"/>
      <c r="DR17" s="228"/>
      <c r="DS17" s="228"/>
      <c r="DT17" s="228"/>
      <c r="DU17" s="228"/>
      <c r="DV17" s="228"/>
      <c r="DW17" s="228"/>
      <c r="DX17" s="228"/>
      <c r="DY17" s="228"/>
      <c r="DZ17" s="228"/>
      <c r="EA17" s="228"/>
      <c r="EB17" s="228"/>
      <c r="EC17" s="228"/>
      <c r="ED17" s="228"/>
      <c r="EE17" s="228"/>
      <c r="EF17" s="228"/>
      <c r="EG17" s="228"/>
      <c r="EH17" s="228"/>
      <c r="EI17" s="228"/>
      <c r="EJ17" s="228"/>
      <c r="EK17" s="228"/>
      <c r="EL17" s="228"/>
      <c r="EM17" s="228"/>
      <c r="EN17" s="228"/>
      <c r="EO17" s="228"/>
      <c r="EP17" s="228"/>
      <c r="EQ17" s="228"/>
      <c r="ER17" s="228"/>
      <c r="ES17" s="228"/>
      <c r="ET17" s="228"/>
      <c r="EU17" s="228"/>
      <c r="EV17" s="228"/>
      <c r="EW17" s="228"/>
      <c r="EX17" s="228"/>
      <c r="EY17" s="228"/>
      <c r="EZ17" s="228"/>
      <c r="FA17" s="228"/>
      <c r="FB17" s="228"/>
      <c r="FC17" s="228"/>
      <c r="FD17" s="228"/>
      <c r="FE17" s="228"/>
      <c r="FF17" s="228"/>
      <c r="FG17" s="228"/>
      <c r="FH17" s="228"/>
      <c r="FI17" s="228"/>
      <c r="FJ17" s="228"/>
      <c r="FK17" s="228"/>
      <c r="FL17" s="228"/>
      <c r="FM17" s="228"/>
      <c r="FN17" s="228"/>
      <c r="FO17" s="228"/>
      <c r="FP17" s="228"/>
      <c r="FQ17" s="228"/>
      <c r="FR17" s="228"/>
      <c r="FS17" s="228"/>
      <c r="FT17" s="228"/>
      <c r="FU17" s="228"/>
      <c r="FV17" s="228"/>
      <c r="FW17" s="228"/>
      <c r="FX17" s="228"/>
      <c r="FY17" s="228"/>
      <c r="FZ17" s="228"/>
      <c r="GA17" s="228"/>
      <c r="GB17" s="228"/>
      <c r="GC17" s="228"/>
      <c r="GD17" s="228"/>
      <c r="GE17" s="228"/>
      <c r="GF17" s="228"/>
      <c r="GG17" s="228"/>
      <c r="GH17" s="228"/>
      <c r="GI17" s="228"/>
      <c r="GJ17" s="228"/>
      <c r="GK17" s="228"/>
      <c r="GL17" s="228"/>
      <c r="GM17" s="228"/>
      <c r="GN17" s="228"/>
      <c r="GO17" s="228"/>
      <c r="GP17" s="228"/>
      <c r="GQ17" s="228"/>
      <c r="GR17" s="228"/>
      <c r="GS17" s="228"/>
      <c r="GT17" s="228"/>
      <c r="GU17" s="228"/>
      <c r="GV17" s="228"/>
      <c r="GW17" s="228"/>
      <c r="GX17" s="228"/>
      <c r="GY17" s="228"/>
      <c r="GZ17" s="228"/>
      <c r="HA17" s="228"/>
      <c r="HB17" s="228"/>
      <c r="HC17" s="228"/>
      <c r="HD17" s="228"/>
      <c r="HE17" s="228"/>
      <c r="HF17" s="228"/>
      <c r="HG17" s="228"/>
      <c r="HH17" s="228"/>
      <c r="HI17" s="228"/>
      <c r="HJ17" s="228"/>
      <c r="HK17" s="228"/>
      <c r="HL17" s="228"/>
      <c r="HM17" s="228"/>
      <c r="HN17" s="228"/>
      <c r="HO17" s="228"/>
      <c r="HP17" s="228"/>
      <c r="HQ17" s="228"/>
      <c r="HR17" s="228"/>
      <c r="HS17" s="228"/>
      <c r="HT17" s="228"/>
      <c r="HU17" s="228"/>
      <c r="HV17" s="228"/>
      <c r="HW17" s="228"/>
      <c r="HX17" s="228"/>
      <c r="HY17" s="228"/>
      <c r="HZ17" s="228"/>
      <c r="IA17" s="228"/>
      <c r="IB17" s="228"/>
      <c r="IC17" s="228"/>
      <c r="ID17" s="228"/>
      <c r="IE17" s="228"/>
      <c r="IF17" s="228"/>
      <c r="IG17" s="228"/>
      <c r="IH17" s="228"/>
      <c r="II17" s="228"/>
      <c r="IJ17" s="228"/>
      <c r="IK17" s="228"/>
      <c r="IL17" s="228"/>
      <c r="IM17" s="228"/>
      <c r="IN17" s="228"/>
      <c r="IO17" s="228"/>
      <c r="IP17" s="228"/>
      <c r="IQ17" s="228"/>
      <c r="IR17" s="228"/>
      <c r="IS17" s="228"/>
      <c r="IT17" s="229"/>
      <c r="IU17" s="229"/>
      <c r="IV17" s="229"/>
      <c r="IW17" s="229"/>
      <c r="IX17" s="229"/>
      <c r="IY17" s="229"/>
      <c r="IZ17" s="229"/>
      <c r="JA17" s="229"/>
      <c r="JB17" s="229"/>
      <c r="JC17" s="229"/>
      <c r="JD17" s="229"/>
      <c r="JE17" s="229"/>
      <c r="JF17" s="229"/>
      <c r="JG17" s="229"/>
      <c r="JH17" s="229"/>
      <c r="JI17" s="229"/>
      <c r="JJ17" s="229"/>
      <c r="JK17" s="229"/>
      <c r="JL17" s="229"/>
      <c r="JM17" s="229"/>
      <c r="JN17" s="229"/>
      <c r="JO17" s="229"/>
      <c r="JP17" s="229"/>
      <c r="JQ17" s="229"/>
      <c r="JR17" s="229"/>
      <c r="JS17" s="229"/>
      <c r="JT17" s="229"/>
      <c r="JU17" s="229"/>
      <c r="JV17" s="229"/>
      <c r="JW17" s="229"/>
      <c r="JX17" s="229"/>
      <c r="JY17" s="229"/>
      <c r="JZ17" s="229"/>
      <c r="KA17" s="229"/>
      <c r="KB17" s="229"/>
      <c r="KC17" s="229"/>
      <c r="KD17" s="229"/>
      <c r="KE17" s="229"/>
      <c r="KF17" s="229"/>
      <c r="KG17" s="229"/>
      <c r="KH17" s="229"/>
      <c r="KI17" s="229"/>
      <c r="KJ17" s="229"/>
      <c r="KK17" s="229"/>
      <c r="KL17" s="229"/>
      <c r="KM17" s="229"/>
      <c r="KN17" s="229"/>
      <c r="KO17" s="229"/>
      <c r="KP17" s="229"/>
      <c r="KQ17" s="229"/>
      <c r="KR17" s="229"/>
      <c r="KS17" s="229"/>
      <c r="KT17" s="229"/>
      <c r="KU17" s="229"/>
      <c r="KV17" s="229"/>
      <c r="KW17" s="229"/>
      <c r="KX17" s="229"/>
      <c r="KY17" s="229"/>
      <c r="KZ17" s="229"/>
      <c r="LA17" s="229"/>
      <c r="LB17" s="229"/>
      <c r="LC17" s="229"/>
      <c r="LD17" s="229"/>
      <c r="LE17" s="229"/>
      <c r="LF17" s="229"/>
      <c r="LG17" s="229"/>
      <c r="LH17" s="229"/>
      <c r="LI17" s="229"/>
      <c r="LJ17" s="229"/>
      <c r="LK17" s="229"/>
      <c r="LL17" s="229"/>
      <c r="LM17" s="229"/>
      <c r="LN17" s="229"/>
      <c r="LO17" s="229"/>
      <c r="LP17" s="229"/>
      <c r="LQ17" s="229"/>
      <c r="LR17" s="229"/>
      <c r="LS17" s="229"/>
      <c r="LT17" s="229"/>
      <c r="LU17" s="228"/>
      <c r="LV17" s="228"/>
      <c r="LW17" s="228"/>
      <c r="LX17" s="228"/>
      <c r="LY17" s="228"/>
      <c r="LZ17" s="228"/>
      <c r="MA17" s="228"/>
      <c r="MB17" s="228"/>
      <c r="MC17" s="228"/>
      <c r="MD17" s="228"/>
      <c r="ME17" s="228"/>
      <c r="MF17" s="228"/>
      <c r="MG17" s="228"/>
      <c r="MH17" s="228"/>
      <c r="MI17" s="228"/>
      <c r="MJ17" s="228"/>
      <c r="MK17" s="228"/>
      <c r="ML17" s="228"/>
      <c r="MM17" s="228"/>
      <c r="MN17" s="228"/>
      <c r="MO17" s="228"/>
      <c r="MP17" s="228"/>
      <c r="MQ17" s="228"/>
      <c r="MR17" s="228"/>
      <c r="MS17" s="228"/>
      <c r="MT17" s="228"/>
      <c r="MU17" s="228"/>
      <c r="MV17" s="228"/>
      <c r="MW17" s="228"/>
      <c r="MX17" s="228"/>
      <c r="MY17" s="228"/>
      <c r="MZ17" s="228"/>
      <c r="NA17" s="228"/>
      <c r="NB17" s="228"/>
      <c r="NC17" s="228"/>
      <c r="ND17" s="228"/>
      <c r="NE17" s="228"/>
      <c r="NF17" s="228"/>
      <c r="NG17" s="228"/>
      <c r="NH17" s="228"/>
      <c r="NI17" s="228"/>
      <c r="NJ17" s="228"/>
      <c r="NK17" s="228"/>
      <c r="NL17" s="228"/>
      <c r="NM17" s="228"/>
      <c r="NN17" s="228"/>
      <c r="NO17" s="228"/>
      <c r="NP17" s="228"/>
      <c r="NQ17" s="228"/>
      <c r="NR17" s="228"/>
      <c r="NS17" s="228"/>
      <c r="NT17" s="228"/>
      <c r="NU17" s="228"/>
      <c r="NV17" s="228"/>
      <c r="NW17" s="228"/>
      <c r="NX17" s="228"/>
      <c r="NY17" s="228"/>
      <c r="NZ17" s="228"/>
      <c r="OA17" s="228"/>
      <c r="OB17" s="228"/>
      <c r="OC17" s="228"/>
      <c r="OD17" s="228"/>
      <c r="OE17" s="228"/>
      <c r="OF17" s="228"/>
      <c r="OG17" s="228"/>
      <c r="OH17" s="228"/>
      <c r="OI17" s="228"/>
      <c r="OJ17" s="228"/>
      <c r="OK17" s="228"/>
      <c r="OL17" s="228"/>
      <c r="OM17" s="228"/>
      <c r="ON17" s="228"/>
      <c r="OO17" s="228"/>
      <c r="OP17" s="228"/>
      <c r="OQ17" s="228"/>
      <c r="OR17" s="228"/>
      <c r="OS17" s="228"/>
      <c r="OT17" s="228"/>
      <c r="OU17" s="228"/>
      <c r="OV17" s="228"/>
      <c r="OW17" s="228"/>
      <c r="OX17" s="228"/>
      <c r="OY17" s="228"/>
      <c r="OZ17" s="228"/>
      <c r="PA17" s="228"/>
      <c r="PB17" s="228"/>
      <c r="PC17" s="228"/>
      <c r="PD17" s="228"/>
      <c r="PE17" s="228"/>
      <c r="PF17" s="228"/>
      <c r="PG17" s="228"/>
      <c r="PH17" s="228"/>
      <c r="PI17" s="228"/>
      <c r="PJ17" s="228"/>
      <c r="PK17" s="228"/>
      <c r="PL17" s="228"/>
      <c r="PM17" s="228"/>
      <c r="PN17" s="228"/>
      <c r="PO17" s="228"/>
      <c r="PP17" s="228"/>
      <c r="PQ17" s="228"/>
      <c r="PR17" s="228"/>
      <c r="PS17" s="228"/>
      <c r="PT17" s="228"/>
      <c r="PU17" s="228"/>
      <c r="PV17" s="228"/>
      <c r="PW17" s="228"/>
      <c r="PX17" s="228"/>
      <c r="PY17" s="228"/>
      <c r="PZ17" s="228"/>
      <c r="QA17" s="228"/>
      <c r="QB17" s="228"/>
      <c r="QC17" s="228"/>
      <c r="QD17" s="228"/>
      <c r="QE17" s="228"/>
      <c r="QF17" s="228"/>
      <c r="QG17" s="228"/>
      <c r="QH17" s="228"/>
      <c r="QI17" s="228"/>
      <c r="QJ17" s="228"/>
      <c r="QK17" s="228"/>
      <c r="QL17" s="228"/>
      <c r="QM17" s="228"/>
      <c r="QN17" s="228"/>
      <c r="QO17" s="228"/>
      <c r="QP17" s="228"/>
      <c r="QQ17" s="230"/>
      <c r="QR17" s="231"/>
    </row>
    <row r="18" spans="3:460" ht="5.0999999999999996" customHeight="1" x14ac:dyDescent="0.25">
      <c r="C18" s="226"/>
      <c r="D18" s="227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8"/>
      <c r="BK18" s="228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28"/>
      <c r="CL18" s="228"/>
      <c r="CM18" s="228"/>
      <c r="CN18" s="228"/>
      <c r="CO18" s="228"/>
      <c r="CP18" s="228"/>
      <c r="CQ18" s="228"/>
      <c r="CR18" s="228"/>
      <c r="CS18" s="228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8"/>
      <c r="DE18" s="228"/>
      <c r="DF18" s="228"/>
      <c r="DG18" s="228"/>
      <c r="DH18" s="228"/>
      <c r="DI18" s="228"/>
      <c r="DJ18" s="228"/>
      <c r="DK18" s="228"/>
      <c r="DL18" s="228"/>
      <c r="DM18" s="228"/>
      <c r="DN18" s="228"/>
      <c r="DO18" s="228"/>
      <c r="DP18" s="228"/>
      <c r="DQ18" s="228"/>
      <c r="DR18" s="228"/>
      <c r="DS18" s="228"/>
      <c r="DT18" s="228"/>
      <c r="DU18" s="228"/>
      <c r="DV18" s="228"/>
      <c r="DW18" s="228"/>
      <c r="DX18" s="228"/>
      <c r="DY18" s="228"/>
      <c r="DZ18" s="228"/>
      <c r="EA18" s="228"/>
      <c r="EB18" s="228"/>
      <c r="EC18" s="228"/>
      <c r="ED18" s="228"/>
      <c r="EE18" s="228"/>
      <c r="EF18" s="228"/>
      <c r="EG18" s="228"/>
      <c r="EH18" s="228"/>
      <c r="EI18" s="228"/>
      <c r="EJ18" s="228"/>
      <c r="EK18" s="228"/>
      <c r="EL18" s="228"/>
      <c r="EM18" s="228"/>
      <c r="EN18" s="228"/>
      <c r="EO18" s="228"/>
      <c r="EP18" s="228"/>
      <c r="EQ18" s="228"/>
      <c r="ER18" s="228"/>
      <c r="ES18" s="228"/>
      <c r="ET18" s="228"/>
      <c r="EU18" s="228"/>
      <c r="EV18" s="228"/>
      <c r="EW18" s="228"/>
      <c r="EX18" s="228"/>
      <c r="EY18" s="228"/>
      <c r="EZ18" s="228"/>
      <c r="FA18" s="228"/>
      <c r="FB18" s="228"/>
      <c r="FC18" s="228"/>
      <c r="FD18" s="228"/>
      <c r="FE18" s="228"/>
      <c r="FF18" s="228"/>
      <c r="FG18" s="228"/>
      <c r="ME18" s="426"/>
      <c r="MF18" s="426"/>
      <c r="MG18" s="426"/>
      <c r="MH18" s="426"/>
      <c r="MI18" s="426"/>
      <c r="MJ18" s="426"/>
      <c r="MK18" s="426"/>
      <c r="ML18" s="426"/>
      <c r="MM18" s="426"/>
      <c r="MN18" s="426"/>
      <c r="MO18" s="426"/>
      <c r="MP18" s="426"/>
      <c r="MQ18" s="426"/>
      <c r="MR18" s="426"/>
      <c r="MS18" s="426"/>
      <c r="MT18" s="426"/>
      <c r="MU18" s="426"/>
      <c r="MV18" s="426"/>
      <c r="MW18" s="426"/>
      <c r="MX18" s="426"/>
      <c r="MY18" s="426"/>
      <c r="MZ18" s="426"/>
      <c r="NA18" s="426"/>
      <c r="NB18" s="426"/>
      <c r="NC18" s="426"/>
      <c r="ND18" s="426"/>
      <c r="NE18" s="426"/>
      <c r="NF18" s="426"/>
      <c r="NG18" s="426"/>
      <c r="NH18" s="426"/>
      <c r="NI18" s="426"/>
      <c r="QK18" s="228"/>
      <c r="QL18" s="228"/>
      <c r="QM18" s="228"/>
      <c r="QN18" s="228"/>
      <c r="QO18" s="228"/>
      <c r="QP18" s="228"/>
      <c r="QQ18" s="230"/>
      <c r="QR18" s="231"/>
    </row>
    <row r="19" spans="3:460" ht="5.0999999999999996" customHeight="1" x14ac:dyDescent="0.25">
      <c r="C19" s="226"/>
      <c r="D19" s="227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8"/>
      <c r="CV19" s="228"/>
      <c r="CW19" s="228"/>
      <c r="CX19" s="228"/>
      <c r="CY19" s="228"/>
      <c r="CZ19" s="228"/>
      <c r="DA19" s="228"/>
      <c r="DB19" s="228"/>
      <c r="DC19" s="228"/>
      <c r="DD19" s="228"/>
      <c r="DE19" s="228"/>
      <c r="DF19" s="228"/>
      <c r="DG19" s="228"/>
      <c r="DH19" s="228"/>
      <c r="DI19" s="228"/>
      <c r="DJ19" s="228"/>
      <c r="DK19" s="228"/>
      <c r="DL19" s="228"/>
      <c r="DM19" s="228"/>
      <c r="DN19" s="228"/>
      <c r="DO19" s="228"/>
      <c r="DP19" s="228"/>
      <c r="DQ19" s="228"/>
      <c r="DR19" s="228"/>
      <c r="DS19" s="228"/>
      <c r="DT19" s="228"/>
      <c r="DU19" s="228"/>
      <c r="DV19" s="228"/>
      <c r="DW19" s="228"/>
      <c r="DX19" s="228"/>
      <c r="DY19" s="228"/>
      <c r="DZ19" s="228"/>
      <c r="EA19" s="228"/>
      <c r="EB19" s="228"/>
      <c r="EC19" s="228"/>
      <c r="ED19" s="228"/>
      <c r="EE19" s="228"/>
      <c r="EF19" s="228"/>
      <c r="EG19" s="228"/>
      <c r="EH19" s="228"/>
      <c r="EI19" s="228"/>
      <c r="EJ19" s="228"/>
      <c r="EK19" s="228"/>
      <c r="EL19" s="228"/>
      <c r="EM19" s="228"/>
      <c r="EN19" s="228"/>
      <c r="EO19" s="228"/>
      <c r="EP19" s="228"/>
      <c r="EQ19" s="228"/>
      <c r="ER19" s="228"/>
      <c r="ES19" s="228"/>
      <c r="ET19" s="228"/>
      <c r="EU19" s="228"/>
      <c r="EV19" s="228"/>
      <c r="EW19" s="228"/>
      <c r="EX19" s="228"/>
      <c r="EY19" s="228"/>
      <c r="EZ19" s="228"/>
      <c r="FA19" s="228"/>
      <c r="FB19" s="228"/>
      <c r="FC19" s="228"/>
      <c r="FD19" s="228"/>
      <c r="FE19" s="228"/>
      <c r="FF19" s="228"/>
      <c r="FG19" s="228"/>
      <c r="FH19" s="228"/>
      <c r="FI19" s="228"/>
      <c r="FJ19" s="228"/>
      <c r="FK19" s="228"/>
      <c r="FL19" s="228"/>
      <c r="FM19" s="228"/>
      <c r="FN19" s="228"/>
      <c r="FO19" s="228"/>
      <c r="FP19" s="228"/>
      <c r="FQ19" s="228"/>
      <c r="FR19" s="228"/>
      <c r="FS19" s="228"/>
      <c r="FT19" s="228"/>
      <c r="FU19" s="228"/>
      <c r="FV19" s="228"/>
      <c r="FW19" s="228"/>
      <c r="FX19" s="228"/>
      <c r="FY19" s="228"/>
      <c r="FZ19" s="228"/>
      <c r="GA19" s="228"/>
      <c r="GB19" s="228"/>
      <c r="GC19" s="228"/>
      <c r="GD19" s="228"/>
      <c r="GE19" s="228"/>
      <c r="GF19" s="228"/>
      <c r="GG19" s="228"/>
      <c r="GH19" s="228"/>
      <c r="GI19" s="228"/>
      <c r="GJ19" s="228"/>
      <c r="GK19" s="228"/>
      <c r="GL19" s="228"/>
      <c r="GM19" s="228"/>
      <c r="GN19" s="228"/>
      <c r="GO19" s="228"/>
      <c r="GP19" s="228"/>
      <c r="GQ19" s="228"/>
      <c r="GR19" s="228"/>
      <c r="GS19" s="228"/>
      <c r="GT19" s="228"/>
      <c r="GU19" s="228"/>
      <c r="GV19" s="228"/>
      <c r="GW19" s="228"/>
      <c r="GX19" s="228"/>
      <c r="GY19" s="228"/>
      <c r="GZ19" s="228"/>
      <c r="HC19" s="372" t="s">
        <v>406</v>
      </c>
      <c r="HD19" s="373"/>
      <c r="HE19" s="373"/>
      <c r="HF19" s="373"/>
      <c r="HG19" s="373"/>
      <c r="HH19" s="373"/>
      <c r="HI19" s="373"/>
      <c r="HJ19" s="373"/>
      <c r="HK19" s="373"/>
      <c r="HL19" s="373"/>
      <c r="HM19" s="373"/>
      <c r="HN19" s="373"/>
      <c r="HO19" s="373"/>
      <c r="HP19" s="373"/>
      <c r="HQ19" s="373"/>
      <c r="HR19" s="373"/>
      <c r="HS19" s="373"/>
      <c r="HT19" s="373"/>
      <c r="HU19" s="373"/>
      <c r="HV19" s="373"/>
      <c r="HW19" s="373"/>
      <c r="HX19" s="373"/>
      <c r="HY19" s="373"/>
      <c r="HZ19" s="373"/>
      <c r="IA19" s="373"/>
      <c r="IB19" s="373"/>
      <c r="IC19" s="373"/>
      <c r="ID19" s="373"/>
      <c r="IE19" s="373"/>
      <c r="IF19" s="373"/>
      <c r="IG19" s="373"/>
      <c r="IH19" s="373"/>
      <c r="II19" s="373"/>
      <c r="IJ19" s="373"/>
      <c r="IK19" s="373"/>
      <c r="IL19" s="373"/>
      <c r="IM19" s="373"/>
      <c r="IN19" s="373"/>
      <c r="IO19" s="373"/>
      <c r="IP19" s="373"/>
      <c r="IQ19" s="427"/>
      <c r="IR19" s="430">
        <v>1</v>
      </c>
      <c r="IS19" s="430"/>
      <c r="IT19" s="430"/>
      <c r="IU19" s="430"/>
      <c r="IV19" s="228"/>
      <c r="IW19" s="228"/>
      <c r="IX19" s="228"/>
      <c r="IY19" s="228"/>
      <c r="IZ19" s="228"/>
      <c r="JA19" s="228"/>
      <c r="JB19" s="228"/>
      <c r="JC19" s="228"/>
      <c r="JD19" s="228"/>
      <c r="JE19" s="228"/>
      <c r="JF19" s="228"/>
      <c r="JG19" s="228"/>
      <c r="JH19" s="228"/>
      <c r="JI19" s="228"/>
      <c r="JJ19" s="228"/>
      <c r="JK19" s="228"/>
      <c r="JL19" s="228"/>
      <c r="JM19" s="228"/>
      <c r="JN19" s="228"/>
      <c r="JO19" s="228"/>
      <c r="JP19" s="228"/>
      <c r="JQ19" s="228"/>
      <c r="JR19" s="228"/>
      <c r="JS19" s="228"/>
      <c r="JT19" s="228"/>
      <c r="JU19" s="228"/>
      <c r="JV19" s="228"/>
      <c r="JW19" s="228"/>
      <c r="JX19" s="228"/>
      <c r="JY19" s="228"/>
      <c r="JZ19" s="228"/>
      <c r="KA19" s="228"/>
      <c r="KB19" s="228"/>
      <c r="KC19" s="228"/>
      <c r="KD19" s="228"/>
      <c r="KE19" s="228"/>
      <c r="KF19" s="228"/>
      <c r="KG19" s="228"/>
      <c r="KH19" s="228"/>
      <c r="KI19" s="228"/>
      <c r="KJ19" s="228"/>
      <c r="KK19" s="228"/>
      <c r="KL19" s="228"/>
      <c r="KM19" s="228"/>
      <c r="KN19" s="228"/>
      <c r="KO19" s="228"/>
      <c r="LC19" s="228"/>
      <c r="LD19" s="228"/>
      <c r="LE19" s="228"/>
      <c r="LF19" s="228"/>
      <c r="LG19" s="228"/>
      <c r="LH19" s="228"/>
      <c r="LI19" s="228"/>
      <c r="LJ19" s="228"/>
      <c r="LK19" s="228"/>
      <c r="LL19" s="228"/>
      <c r="LM19" s="228"/>
      <c r="LN19" s="228"/>
      <c r="LO19" s="228"/>
      <c r="LP19" s="228"/>
      <c r="LQ19" s="228"/>
      <c r="LR19" s="228"/>
      <c r="LS19" s="228"/>
      <c r="LT19" s="228"/>
      <c r="LU19" s="228"/>
      <c r="LV19" s="228"/>
      <c r="LW19" s="228"/>
      <c r="LX19" s="228"/>
      <c r="LY19" s="228"/>
      <c r="LZ19" s="228"/>
      <c r="MA19" s="228"/>
      <c r="MB19" s="228"/>
      <c r="MC19" s="228"/>
      <c r="MD19" s="228"/>
      <c r="ME19" s="426"/>
      <c r="MF19" s="426"/>
      <c r="MG19" s="426"/>
      <c r="MH19" s="426"/>
      <c r="MI19" s="426"/>
      <c r="MJ19" s="426"/>
      <c r="MK19" s="426"/>
      <c r="ML19" s="426"/>
      <c r="MM19" s="426"/>
      <c r="MN19" s="426"/>
      <c r="MO19" s="426"/>
      <c r="MP19" s="426"/>
      <c r="MQ19" s="426"/>
      <c r="MR19" s="426"/>
      <c r="MS19" s="426"/>
      <c r="MT19" s="426"/>
      <c r="MU19" s="426"/>
      <c r="MV19" s="426"/>
      <c r="MW19" s="426"/>
      <c r="MX19" s="426"/>
      <c r="MY19" s="426"/>
      <c r="MZ19" s="426"/>
      <c r="NA19" s="426"/>
      <c r="NB19" s="426"/>
      <c r="NC19" s="426"/>
      <c r="ND19" s="426"/>
      <c r="NE19" s="426"/>
      <c r="NF19" s="426"/>
      <c r="NG19" s="426"/>
      <c r="NH19" s="426"/>
      <c r="NI19" s="426"/>
      <c r="QK19" s="228"/>
      <c r="QL19" s="228"/>
      <c r="QM19" s="228"/>
      <c r="QN19" s="228"/>
      <c r="QO19" s="228"/>
      <c r="QP19" s="228"/>
      <c r="QQ19" s="230"/>
      <c r="QR19" s="231"/>
    </row>
    <row r="20" spans="3:460" ht="5.0999999999999996" customHeight="1" x14ac:dyDescent="0.25">
      <c r="C20" s="226"/>
      <c r="D20" s="227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28"/>
      <c r="BK20" s="228"/>
      <c r="BL20" s="228"/>
      <c r="BM20" s="228"/>
      <c r="BN20" s="228"/>
      <c r="BO20" s="228"/>
      <c r="BP20" s="228"/>
      <c r="BQ20" s="228"/>
      <c r="BR20" s="228"/>
      <c r="BS20" s="228"/>
      <c r="BT20" s="228"/>
      <c r="BU20" s="228"/>
      <c r="BV20" s="228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28"/>
      <c r="CK20" s="228"/>
      <c r="CL20" s="228"/>
      <c r="CM20" s="228"/>
      <c r="CN20" s="228"/>
      <c r="CO20" s="228"/>
      <c r="CP20" s="228"/>
      <c r="CQ20" s="228"/>
      <c r="CR20" s="228"/>
      <c r="CS20" s="228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8"/>
      <c r="DE20" s="228"/>
      <c r="DF20" s="228"/>
      <c r="DG20" s="228"/>
      <c r="DH20" s="228"/>
      <c r="DI20" s="228"/>
      <c r="DJ20" s="228"/>
      <c r="DK20" s="228"/>
      <c r="DL20" s="228"/>
      <c r="DM20" s="228"/>
      <c r="DN20" s="228"/>
      <c r="DO20" s="228"/>
      <c r="DP20" s="228"/>
      <c r="DQ20" s="228"/>
      <c r="DR20" s="228"/>
      <c r="DS20" s="228"/>
      <c r="DT20" s="228"/>
      <c r="DU20" s="228"/>
      <c r="DV20" s="228"/>
      <c r="DW20" s="228"/>
      <c r="DX20" s="228"/>
      <c r="DY20" s="228"/>
      <c r="DZ20" s="228"/>
      <c r="EA20" s="228"/>
      <c r="EB20" s="228"/>
      <c r="EC20" s="228"/>
      <c r="ED20" s="228"/>
      <c r="EE20" s="228"/>
      <c r="EF20" s="228"/>
      <c r="EG20" s="228"/>
      <c r="EH20" s="228"/>
      <c r="EI20" s="228"/>
      <c r="EJ20" s="228"/>
      <c r="EK20" s="228"/>
      <c r="EL20" s="228"/>
      <c r="EM20" s="228"/>
      <c r="EN20" s="228"/>
      <c r="EO20" s="228"/>
      <c r="EP20" s="228"/>
      <c r="EQ20" s="228"/>
      <c r="ER20" s="228"/>
      <c r="ES20" s="228"/>
      <c r="ET20" s="228"/>
      <c r="EU20" s="228"/>
      <c r="EV20" s="228"/>
      <c r="EW20" s="228"/>
      <c r="EX20" s="228"/>
      <c r="EY20" s="228"/>
      <c r="EZ20" s="228"/>
      <c r="FA20" s="228"/>
      <c r="FB20" s="228"/>
      <c r="FC20" s="228"/>
      <c r="FD20" s="228"/>
      <c r="FE20" s="228"/>
      <c r="FF20" s="228"/>
      <c r="FG20" s="228"/>
      <c r="FH20" s="228"/>
      <c r="FI20" s="228"/>
      <c r="FJ20" s="228"/>
      <c r="FK20" s="228"/>
      <c r="FL20" s="228"/>
      <c r="FM20" s="228"/>
      <c r="FN20" s="228"/>
      <c r="FO20" s="228"/>
      <c r="FP20" s="228"/>
      <c r="FQ20" s="228"/>
      <c r="FR20" s="228"/>
      <c r="FS20" s="228"/>
      <c r="FT20" s="228"/>
      <c r="FU20" s="228"/>
      <c r="FV20" s="228"/>
      <c r="FW20" s="228"/>
      <c r="FX20" s="228"/>
      <c r="FY20" s="228"/>
      <c r="FZ20" s="228"/>
      <c r="GA20" s="228"/>
      <c r="GB20" s="228"/>
      <c r="GC20" s="228"/>
      <c r="GD20" s="228"/>
      <c r="GE20" s="228"/>
      <c r="GF20" s="228"/>
      <c r="GG20" s="228"/>
      <c r="GH20" s="228"/>
      <c r="GI20" s="228"/>
      <c r="GJ20" s="228"/>
      <c r="GK20" s="228"/>
      <c r="GL20" s="228"/>
      <c r="GM20" s="228"/>
      <c r="GN20" s="228"/>
      <c r="GO20" s="228"/>
      <c r="GP20" s="228"/>
      <c r="GQ20" s="228"/>
      <c r="GR20" s="228"/>
      <c r="GS20" s="228"/>
      <c r="GT20" s="228"/>
      <c r="GU20" s="228"/>
      <c r="GV20" s="228"/>
      <c r="GW20" s="228"/>
      <c r="GX20" s="228"/>
      <c r="GY20" s="228"/>
      <c r="GZ20" s="228"/>
      <c r="HC20" s="375"/>
      <c r="HD20" s="376"/>
      <c r="HE20" s="376"/>
      <c r="HF20" s="376"/>
      <c r="HG20" s="376"/>
      <c r="HH20" s="376"/>
      <c r="HI20" s="376"/>
      <c r="HJ20" s="376"/>
      <c r="HK20" s="376"/>
      <c r="HL20" s="376"/>
      <c r="HM20" s="376"/>
      <c r="HN20" s="376"/>
      <c r="HO20" s="376"/>
      <c r="HP20" s="376"/>
      <c r="HQ20" s="376"/>
      <c r="HR20" s="376"/>
      <c r="HS20" s="376"/>
      <c r="HT20" s="376"/>
      <c r="HU20" s="376"/>
      <c r="HV20" s="376"/>
      <c r="HW20" s="376"/>
      <c r="HX20" s="376"/>
      <c r="HY20" s="376"/>
      <c r="HZ20" s="376"/>
      <c r="IA20" s="376"/>
      <c r="IB20" s="376"/>
      <c r="IC20" s="376"/>
      <c r="ID20" s="376"/>
      <c r="IE20" s="376"/>
      <c r="IF20" s="376"/>
      <c r="IG20" s="376"/>
      <c r="IH20" s="376"/>
      <c r="II20" s="376"/>
      <c r="IJ20" s="376"/>
      <c r="IK20" s="376"/>
      <c r="IL20" s="376"/>
      <c r="IM20" s="376"/>
      <c r="IN20" s="376"/>
      <c r="IO20" s="376"/>
      <c r="IP20" s="376"/>
      <c r="IQ20" s="428"/>
      <c r="IR20" s="430"/>
      <c r="IS20" s="430"/>
      <c r="IT20" s="430"/>
      <c r="IU20" s="430"/>
      <c r="IV20" s="228"/>
      <c r="IW20" s="228"/>
      <c r="IX20" s="228"/>
      <c r="IY20" s="228"/>
      <c r="IZ20" s="228"/>
      <c r="JA20" s="228"/>
      <c r="JB20" s="228"/>
      <c r="JC20" s="228"/>
      <c r="JD20" s="228"/>
      <c r="JE20" s="228"/>
      <c r="JF20" s="228"/>
      <c r="JG20" s="228"/>
      <c r="JH20" s="228"/>
      <c r="JI20" s="228"/>
      <c r="JJ20" s="228"/>
      <c r="JK20" s="228"/>
      <c r="JL20" s="228"/>
      <c r="JM20" s="228"/>
      <c r="JN20" s="228"/>
      <c r="JO20" s="228"/>
      <c r="JP20" s="228"/>
      <c r="JQ20" s="228"/>
      <c r="JR20" s="228"/>
      <c r="JS20" s="228"/>
      <c r="JT20" s="228"/>
      <c r="JU20" s="228"/>
      <c r="JV20" s="228"/>
      <c r="JW20" s="228"/>
      <c r="JX20" s="228"/>
      <c r="JY20" s="228"/>
      <c r="JZ20" s="228"/>
      <c r="KA20" s="228"/>
      <c r="KB20" s="228"/>
      <c r="KC20" s="228"/>
      <c r="KD20" s="228"/>
      <c r="KE20" s="228"/>
      <c r="KF20" s="228"/>
      <c r="KG20" s="228"/>
      <c r="KH20" s="228"/>
      <c r="KI20" s="228"/>
      <c r="KJ20" s="228"/>
      <c r="KK20" s="228"/>
      <c r="KL20" s="228"/>
      <c r="KM20" s="228"/>
      <c r="KN20" s="228"/>
      <c r="KO20" s="228"/>
      <c r="LC20" s="228"/>
      <c r="LD20" s="228"/>
      <c r="LE20" s="228"/>
      <c r="LF20" s="228"/>
      <c r="LG20" s="228"/>
      <c r="LH20" s="228"/>
      <c r="LI20" s="228"/>
      <c r="LJ20" s="228"/>
      <c r="LK20" s="228"/>
      <c r="LL20" s="228"/>
      <c r="LM20" s="228"/>
      <c r="LN20" s="228"/>
      <c r="LO20" s="228"/>
      <c r="LP20" s="228"/>
      <c r="LQ20" s="228"/>
      <c r="LR20" s="228"/>
      <c r="LS20" s="228"/>
      <c r="LT20" s="228"/>
      <c r="LU20" s="228"/>
      <c r="LV20" s="228"/>
      <c r="LW20" s="228"/>
      <c r="LX20" s="228"/>
      <c r="LY20" s="228"/>
      <c r="LZ20" s="228"/>
      <c r="MA20" s="228"/>
      <c r="MB20" s="228"/>
      <c r="MC20" s="228"/>
      <c r="MD20" s="228"/>
      <c r="ME20" s="426"/>
      <c r="MF20" s="426"/>
      <c r="MG20" s="426"/>
      <c r="MH20" s="426"/>
      <c r="MI20" s="426"/>
      <c r="MJ20" s="426"/>
      <c r="MK20" s="426"/>
      <c r="ML20" s="426"/>
      <c r="MM20" s="426"/>
      <c r="MN20" s="426"/>
      <c r="MO20" s="426"/>
      <c r="MP20" s="426"/>
      <c r="MQ20" s="426"/>
      <c r="MR20" s="426"/>
      <c r="MS20" s="426"/>
      <c r="MT20" s="426"/>
      <c r="MU20" s="426"/>
      <c r="MV20" s="426"/>
      <c r="MW20" s="426"/>
      <c r="MX20" s="426"/>
      <c r="MY20" s="426"/>
      <c r="MZ20" s="426"/>
      <c r="NA20" s="426"/>
      <c r="NB20" s="426"/>
      <c r="NC20" s="426"/>
      <c r="ND20" s="426"/>
      <c r="NE20" s="426"/>
      <c r="NF20" s="426"/>
      <c r="NG20" s="426"/>
      <c r="NH20" s="426"/>
      <c r="NI20" s="426"/>
      <c r="QK20" s="228"/>
      <c r="QL20" s="228"/>
      <c r="QM20" s="228"/>
      <c r="QN20" s="228"/>
      <c r="QO20" s="228"/>
      <c r="QP20" s="228"/>
      <c r="QQ20" s="230"/>
      <c r="QR20" s="231"/>
    </row>
    <row r="21" spans="3:460" ht="5.0999999999999996" customHeight="1" x14ac:dyDescent="0.25">
      <c r="C21" s="226"/>
      <c r="D21" s="227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8"/>
      <c r="BK21" s="228"/>
      <c r="BL21" s="228"/>
      <c r="BM21" s="228"/>
      <c r="BN21" s="228"/>
      <c r="BO21" s="228"/>
      <c r="BP21" s="228"/>
      <c r="BQ21" s="228"/>
      <c r="BR21" s="228"/>
      <c r="BS21" s="228"/>
      <c r="BT21" s="228"/>
      <c r="BU21" s="228"/>
      <c r="BV21" s="228"/>
      <c r="BW21" s="228"/>
      <c r="BX21" s="228"/>
      <c r="BY21" s="228"/>
      <c r="BZ21" s="228"/>
      <c r="CA21" s="228"/>
      <c r="CB21" s="228"/>
      <c r="CC21" s="228"/>
      <c r="CD21" s="228"/>
      <c r="CE21" s="228"/>
      <c r="CF21" s="228"/>
      <c r="CG21" s="228"/>
      <c r="CH21" s="228"/>
      <c r="CI21" s="228"/>
      <c r="CJ21" s="228"/>
      <c r="CK21" s="228"/>
      <c r="CL21" s="228"/>
      <c r="CM21" s="228"/>
      <c r="CN21" s="228"/>
      <c r="CO21" s="228"/>
      <c r="CP21" s="228"/>
      <c r="CQ21" s="228"/>
      <c r="CR21" s="228"/>
      <c r="CS21" s="228"/>
      <c r="CT21" s="228"/>
      <c r="CU21" s="228"/>
      <c r="CV21" s="228"/>
      <c r="CW21" s="228"/>
      <c r="CX21" s="228"/>
      <c r="CY21" s="228"/>
      <c r="CZ21" s="228"/>
      <c r="DA21" s="228"/>
      <c r="DB21" s="228"/>
      <c r="DC21" s="228"/>
      <c r="DD21" s="228"/>
      <c r="DE21" s="228"/>
      <c r="DF21" s="228"/>
      <c r="DG21" s="228"/>
      <c r="DH21" s="228"/>
      <c r="DI21" s="228"/>
      <c r="DJ21" s="228"/>
      <c r="DK21" s="228"/>
      <c r="DL21" s="228"/>
      <c r="DM21" s="228"/>
      <c r="DN21" s="228"/>
      <c r="DO21" s="228"/>
      <c r="DP21" s="228"/>
      <c r="DQ21" s="228"/>
      <c r="DR21" s="228"/>
      <c r="DS21" s="228"/>
      <c r="DT21" s="228"/>
      <c r="DU21" s="228"/>
      <c r="DV21" s="228"/>
      <c r="DW21" s="228"/>
      <c r="DX21" s="228"/>
      <c r="DY21" s="228"/>
      <c r="DZ21" s="228"/>
      <c r="EA21" s="228"/>
      <c r="EB21" s="228"/>
      <c r="EC21" s="228"/>
      <c r="ED21" s="228"/>
      <c r="EE21" s="228"/>
      <c r="EF21" s="228"/>
      <c r="EG21" s="228"/>
      <c r="EH21" s="228"/>
      <c r="EI21" s="228"/>
      <c r="EJ21" s="228"/>
      <c r="EK21" s="228"/>
      <c r="EL21" s="228"/>
      <c r="EM21" s="228"/>
      <c r="EN21" s="228"/>
      <c r="EO21" s="228"/>
      <c r="EP21" s="228"/>
      <c r="EQ21" s="228"/>
      <c r="ER21" s="228"/>
      <c r="ES21" s="228"/>
      <c r="ET21" s="228"/>
      <c r="EU21" s="228"/>
      <c r="EV21" s="228"/>
      <c r="EW21" s="228"/>
      <c r="EX21" s="228"/>
      <c r="EY21" s="228"/>
      <c r="EZ21" s="228"/>
      <c r="FA21" s="228"/>
      <c r="FB21" s="228"/>
      <c r="FC21" s="228"/>
      <c r="FD21" s="228"/>
      <c r="FE21" s="228"/>
      <c r="FF21" s="228"/>
      <c r="FG21" s="228"/>
      <c r="FH21" s="228"/>
      <c r="FI21" s="228"/>
      <c r="FJ21" s="228"/>
      <c r="FK21" s="228"/>
      <c r="FL21" s="228"/>
      <c r="FM21" s="228"/>
      <c r="FN21" s="228"/>
      <c r="FO21" s="228"/>
      <c r="FP21" s="228"/>
      <c r="FQ21" s="228"/>
      <c r="FR21" s="228"/>
      <c r="FS21" s="228"/>
      <c r="FT21" s="228"/>
      <c r="FU21" s="228"/>
      <c r="FV21" s="228"/>
      <c r="FW21" s="228"/>
      <c r="FX21" s="228"/>
      <c r="FY21" s="228"/>
      <c r="FZ21" s="228"/>
      <c r="GA21" s="228"/>
      <c r="GB21" s="228"/>
      <c r="GC21" s="228"/>
      <c r="GD21" s="228"/>
      <c r="GE21" s="228"/>
      <c r="GF21" s="228"/>
      <c r="GG21" s="228"/>
      <c r="GH21" s="228"/>
      <c r="GI21" s="228"/>
      <c r="GJ21" s="228"/>
      <c r="GK21" s="228"/>
      <c r="GL21" s="228"/>
      <c r="GM21" s="228"/>
      <c r="GN21" s="228"/>
      <c r="GO21" s="228"/>
      <c r="GP21" s="228"/>
      <c r="GQ21" s="228"/>
      <c r="GR21" s="228"/>
      <c r="GS21" s="228"/>
      <c r="GT21" s="228"/>
      <c r="GU21" s="228"/>
      <c r="GV21" s="228"/>
      <c r="GW21" s="228"/>
      <c r="GX21" s="228"/>
      <c r="GY21" s="228"/>
      <c r="GZ21" s="228"/>
      <c r="HC21" s="375"/>
      <c r="HD21" s="376"/>
      <c r="HE21" s="376"/>
      <c r="HF21" s="376"/>
      <c r="HG21" s="376"/>
      <c r="HH21" s="376"/>
      <c r="HI21" s="376"/>
      <c r="HJ21" s="376"/>
      <c r="HK21" s="376"/>
      <c r="HL21" s="376"/>
      <c r="HM21" s="376"/>
      <c r="HN21" s="376"/>
      <c r="HO21" s="376"/>
      <c r="HP21" s="376"/>
      <c r="HQ21" s="376"/>
      <c r="HR21" s="376"/>
      <c r="HS21" s="376"/>
      <c r="HT21" s="376"/>
      <c r="HU21" s="376"/>
      <c r="HV21" s="376"/>
      <c r="HW21" s="376"/>
      <c r="HX21" s="376"/>
      <c r="HY21" s="376"/>
      <c r="HZ21" s="376"/>
      <c r="IA21" s="376"/>
      <c r="IB21" s="376"/>
      <c r="IC21" s="376"/>
      <c r="ID21" s="376"/>
      <c r="IE21" s="376"/>
      <c r="IF21" s="376"/>
      <c r="IG21" s="376"/>
      <c r="IH21" s="376"/>
      <c r="II21" s="376"/>
      <c r="IJ21" s="376"/>
      <c r="IK21" s="376"/>
      <c r="IL21" s="376"/>
      <c r="IM21" s="376"/>
      <c r="IN21" s="376"/>
      <c r="IO21" s="376"/>
      <c r="IP21" s="376"/>
      <c r="IQ21" s="428"/>
      <c r="IR21" s="430"/>
      <c r="IS21" s="430"/>
      <c r="IT21" s="430"/>
      <c r="IU21" s="430"/>
      <c r="IV21" s="228"/>
      <c r="IW21" s="228"/>
      <c r="IX21" s="228"/>
      <c r="IY21" s="228"/>
      <c r="IZ21" s="228"/>
      <c r="JA21" s="228"/>
      <c r="JB21" s="228"/>
      <c r="JC21" s="228"/>
      <c r="JD21" s="228"/>
      <c r="JE21" s="228"/>
      <c r="JF21" s="228"/>
      <c r="JG21" s="228"/>
      <c r="JH21" s="228"/>
      <c r="JI21" s="228"/>
      <c r="JJ21" s="228"/>
      <c r="JK21" s="228"/>
      <c r="JL21" s="228"/>
      <c r="JM21" s="228"/>
      <c r="JN21" s="228"/>
      <c r="JO21" s="228"/>
      <c r="JP21" s="228"/>
      <c r="JQ21" s="228"/>
      <c r="JR21" s="228"/>
      <c r="JS21" s="228"/>
      <c r="JT21" s="228"/>
      <c r="JU21" s="228"/>
      <c r="JV21" s="228"/>
      <c r="JW21" s="228"/>
      <c r="JX21" s="228"/>
      <c r="JY21" s="228"/>
      <c r="JZ21" s="228"/>
      <c r="KA21" s="228"/>
      <c r="KB21" s="228"/>
      <c r="KC21" s="228"/>
      <c r="KD21" s="228"/>
      <c r="KE21" s="228"/>
      <c r="KF21" s="228"/>
      <c r="KG21" s="228"/>
      <c r="KH21" s="228"/>
      <c r="KI21" s="228"/>
      <c r="KJ21" s="228"/>
      <c r="KK21" s="228"/>
      <c r="KL21" s="228"/>
      <c r="KM21" s="228"/>
      <c r="KN21" s="228"/>
      <c r="KO21" s="228"/>
      <c r="LC21" s="228"/>
      <c r="LD21" s="228"/>
      <c r="LE21" s="228"/>
      <c r="LF21" s="228"/>
      <c r="LG21" s="228"/>
      <c r="LH21" s="228"/>
      <c r="LI21" s="228"/>
      <c r="LJ21" s="228"/>
      <c r="LK21" s="228"/>
      <c r="LL21" s="228"/>
      <c r="LM21" s="228"/>
      <c r="LN21" s="228"/>
      <c r="LO21" s="228"/>
      <c r="LP21" s="228"/>
      <c r="LQ21" s="228"/>
      <c r="LR21" s="228"/>
      <c r="LS21" s="228"/>
      <c r="LT21" s="228"/>
      <c r="LU21" s="228"/>
      <c r="LV21" s="228"/>
      <c r="LW21" s="228"/>
      <c r="LX21" s="228"/>
      <c r="LY21" s="228"/>
      <c r="LZ21" s="228"/>
      <c r="MA21" s="228"/>
      <c r="MB21" s="228"/>
      <c r="MC21" s="228"/>
      <c r="MD21" s="228"/>
      <c r="ME21" s="426"/>
      <c r="MF21" s="426"/>
      <c r="MG21" s="426"/>
      <c r="MH21" s="426"/>
      <c r="MI21" s="426"/>
      <c r="MJ21" s="426"/>
      <c r="MK21" s="426"/>
      <c r="ML21" s="426"/>
      <c r="MM21" s="426"/>
      <c r="MN21" s="426"/>
      <c r="MO21" s="426"/>
      <c r="MP21" s="426"/>
      <c r="MQ21" s="426"/>
      <c r="MR21" s="426"/>
      <c r="MS21" s="426"/>
      <c r="MT21" s="426"/>
      <c r="MU21" s="426"/>
      <c r="MV21" s="426"/>
      <c r="MW21" s="426"/>
      <c r="MX21" s="426"/>
      <c r="MY21" s="426"/>
      <c r="MZ21" s="426"/>
      <c r="NA21" s="426"/>
      <c r="NB21" s="426"/>
      <c r="NC21" s="426"/>
      <c r="ND21" s="426"/>
      <c r="NE21" s="426"/>
      <c r="NF21" s="426"/>
      <c r="NG21" s="426"/>
      <c r="NH21" s="426"/>
      <c r="NI21" s="426"/>
      <c r="QK21" s="228"/>
      <c r="QL21" s="228"/>
      <c r="QM21" s="228"/>
      <c r="QN21" s="228"/>
      <c r="QO21" s="228"/>
      <c r="QP21" s="228"/>
      <c r="QQ21" s="230"/>
      <c r="QR21" s="231"/>
    </row>
    <row r="22" spans="3:460" ht="5.0999999999999996" customHeight="1" x14ac:dyDescent="0.25">
      <c r="C22" s="226"/>
      <c r="D22" s="227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8"/>
      <c r="BK22" s="228"/>
      <c r="BL22" s="228"/>
      <c r="BM22" s="228"/>
      <c r="BN22" s="228"/>
      <c r="BO22" s="228"/>
      <c r="BP22" s="228"/>
      <c r="BQ22" s="228"/>
      <c r="BR22" s="228"/>
      <c r="BS22" s="228"/>
      <c r="BT22" s="228"/>
      <c r="BU22" s="228"/>
      <c r="BV22" s="228"/>
      <c r="BW22" s="228"/>
      <c r="BX22" s="228"/>
      <c r="BY22" s="228"/>
      <c r="BZ22" s="228"/>
      <c r="CA22" s="228"/>
      <c r="CB22" s="228"/>
      <c r="CC22" s="228"/>
      <c r="CD22" s="228"/>
      <c r="CE22" s="228"/>
      <c r="CF22" s="228"/>
      <c r="CG22" s="228"/>
      <c r="CH22" s="228"/>
      <c r="CI22" s="228"/>
      <c r="CJ22" s="228"/>
      <c r="CK22" s="228"/>
      <c r="CL22" s="228"/>
      <c r="CM22" s="228"/>
      <c r="CN22" s="228"/>
      <c r="CO22" s="228"/>
      <c r="CP22" s="228"/>
      <c r="CQ22" s="228"/>
      <c r="CR22" s="228"/>
      <c r="CS22" s="228"/>
      <c r="CT22" s="228"/>
      <c r="CU22" s="228"/>
      <c r="CV22" s="228"/>
      <c r="CW22" s="228"/>
      <c r="CX22" s="228"/>
      <c r="CY22" s="228"/>
      <c r="CZ22" s="228"/>
      <c r="DA22" s="228"/>
      <c r="DB22" s="228"/>
      <c r="DC22" s="228"/>
      <c r="DD22" s="228"/>
      <c r="DE22" s="228"/>
      <c r="DF22" s="228"/>
      <c r="DG22" s="228"/>
      <c r="DH22" s="228"/>
      <c r="DI22" s="228"/>
      <c r="DJ22" s="228"/>
      <c r="DK22" s="228"/>
      <c r="DL22" s="228"/>
      <c r="DM22" s="228"/>
      <c r="DN22" s="228"/>
      <c r="DO22" s="228"/>
      <c r="DP22" s="228"/>
      <c r="DQ22" s="228"/>
      <c r="DR22" s="228"/>
      <c r="DS22" s="228"/>
      <c r="DT22" s="228"/>
      <c r="DU22" s="228"/>
      <c r="DV22" s="228"/>
      <c r="DW22" s="228"/>
      <c r="DX22" s="228"/>
      <c r="DY22" s="228"/>
      <c r="DZ22" s="228"/>
      <c r="EA22" s="228"/>
      <c r="EB22" s="228"/>
      <c r="EC22" s="228"/>
      <c r="ED22" s="228"/>
      <c r="EE22" s="228"/>
      <c r="EF22" s="228"/>
      <c r="EG22" s="228"/>
      <c r="EH22" s="228"/>
      <c r="EI22" s="228"/>
      <c r="EJ22" s="228"/>
      <c r="EK22" s="228"/>
      <c r="EL22" s="228"/>
      <c r="EM22" s="228"/>
      <c r="EN22" s="228"/>
      <c r="EO22" s="228"/>
      <c r="EP22" s="228"/>
      <c r="EQ22" s="228"/>
      <c r="ER22" s="228"/>
      <c r="ES22" s="228"/>
      <c r="ET22" s="228"/>
      <c r="EU22" s="228"/>
      <c r="EV22" s="228"/>
      <c r="EW22" s="228"/>
      <c r="EX22" s="228"/>
      <c r="EY22" s="228"/>
      <c r="EZ22" s="228"/>
      <c r="FA22" s="228"/>
      <c r="FB22" s="228"/>
      <c r="FC22" s="228"/>
      <c r="FD22" s="228"/>
      <c r="FE22" s="228"/>
      <c r="FF22" s="228"/>
      <c r="FG22" s="228"/>
      <c r="FH22" s="228"/>
      <c r="FI22" s="228"/>
      <c r="FJ22" s="228"/>
      <c r="FK22" s="228"/>
      <c r="FL22" s="228"/>
      <c r="FM22" s="228"/>
      <c r="FN22" s="228"/>
      <c r="FO22" s="228"/>
      <c r="FP22" s="228"/>
      <c r="FQ22" s="228"/>
      <c r="FR22" s="228"/>
      <c r="FS22" s="228"/>
      <c r="FT22" s="228"/>
      <c r="FU22" s="228"/>
      <c r="FV22" s="228"/>
      <c r="FW22" s="228"/>
      <c r="FX22" s="228"/>
      <c r="FY22" s="228"/>
      <c r="FZ22" s="228"/>
      <c r="GA22" s="228"/>
      <c r="GB22" s="228"/>
      <c r="GC22" s="228"/>
      <c r="GD22" s="228"/>
      <c r="GE22" s="228"/>
      <c r="GF22" s="228"/>
      <c r="GG22" s="228"/>
      <c r="GH22" s="228"/>
      <c r="GI22" s="228"/>
      <c r="GJ22" s="228"/>
      <c r="GK22" s="228"/>
      <c r="GL22" s="228"/>
      <c r="GM22" s="228"/>
      <c r="GN22" s="228"/>
      <c r="GO22" s="228"/>
      <c r="GP22" s="228"/>
      <c r="GQ22" s="228"/>
      <c r="GR22" s="228"/>
      <c r="GS22" s="228"/>
      <c r="GT22" s="228"/>
      <c r="GU22" s="228"/>
      <c r="GV22" s="228"/>
      <c r="GW22" s="228"/>
      <c r="GX22" s="228"/>
      <c r="GY22" s="228"/>
      <c r="GZ22" s="228"/>
      <c r="HC22" s="375"/>
      <c r="HD22" s="376"/>
      <c r="HE22" s="376"/>
      <c r="HF22" s="376"/>
      <c r="HG22" s="376"/>
      <c r="HH22" s="376"/>
      <c r="HI22" s="376"/>
      <c r="HJ22" s="376"/>
      <c r="HK22" s="376"/>
      <c r="HL22" s="376"/>
      <c r="HM22" s="376"/>
      <c r="HN22" s="376"/>
      <c r="HO22" s="376"/>
      <c r="HP22" s="376"/>
      <c r="HQ22" s="376"/>
      <c r="HR22" s="376"/>
      <c r="HS22" s="376"/>
      <c r="HT22" s="376"/>
      <c r="HU22" s="376"/>
      <c r="HV22" s="376"/>
      <c r="HW22" s="376"/>
      <c r="HX22" s="376"/>
      <c r="HY22" s="376"/>
      <c r="HZ22" s="376"/>
      <c r="IA22" s="376"/>
      <c r="IB22" s="376"/>
      <c r="IC22" s="376"/>
      <c r="ID22" s="376"/>
      <c r="IE22" s="376"/>
      <c r="IF22" s="376"/>
      <c r="IG22" s="376"/>
      <c r="IH22" s="376"/>
      <c r="II22" s="376"/>
      <c r="IJ22" s="376"/>
      <c r="IK22" s="376"/>
      <c r="IL22" s="376"/>
      <c r="IM22" s="376"/>
      <c r="IN22" s="376"/>
      <c r="IO22" s="376"/>
      <c r="IP22" s="376"/>
      <c r="IQ22" s="428"/>
      <c r="IR22" s="430"/>
      <c r="IS22" s="430"/>
      <c r="IT22" s="430"/>
      <c r="IU22" s="430"/>
      <c r="IV22" s="228"/>
      <c r="IW22" s="228"/>
      <c r="IX22" s="228"/>
      <c r="IY22" s="228"/>
      <c r="IZ22" s="228"/>
      <c r="JA22" s="228"/>
      <c r="JB22" s="228"/>
      <c r="JC22" s="228"/>
      <c r="JD22" s="228"/>
      <c r="JE22" s="228"/>
      <c r="JF22" s="228"/>
      <c r="JG22" s="228"/>
      <c r="JH22" s="228"/>
      <c r="JI22" s="228"/>
      <c r="JJ22" s="228"/>
      <c r="JK22" s="228"/>
      <c r="JL22" s="228"/>
      <c r="JM22" s="228"/>
      <c r="JN22" s="228"/>
      <c r="JO22" s="228"/>
      <c r="JP22" s="228"/>
      <c r="JQ22" s="228"/>
      <c r="JR22" s="228"/>
      <c r="JS22" s="228"/>
      <c r="JT22" s="228"/>
      <c r="JU22" s="228"/>
      <c r="JV22" s="228"/>
      <c r="JW22" s="228"/>
      <c r="JX22" s="228"/>
      <c r="JY22" s="228"/>
      <c r="JZ22" s="228"/>
      <c r="KA22" s="228"/>
      <c r="KB22" s="228"/>
      <c r="KC22" s="228"/>
      <c r="KD22" s="228"/>
      <c r="KE22" s="228"/>
      <c r="KF22" s="228"/>
      <c r="KG22" s="228"/>
      <c r="KH22" s="228"/>
      <c r="KI22" s="228"/>
      <c r="KJ22" s="228"/>
      <c r="KK22" s="228"/>
      <c r="KL22" s="228"/>
      <c r="KM22" s="228"/>
      <c r="KN22" s="228"/>
      <c r="KO22" s="228"/>
      <c r="LC22" s="228"/>
      <c r="LD22" s="228"/>
      <c r="LE22" s="228"/>
      <c r="LF22" s="228"/>
      <c r="LG22" s="228"/>
      <c r="LH22" s="228"/>
      <c r="LI22" s="228"/>
      <c r="LJ22" s="228"/>
      <c r="LK22" s="228"/>
      <c r="LL22" s="228"/>
      <c r="LM22" s="228"/>
      <c r="LN22" s="228"/>
      <c r="LO22" s="228"/>
      <c r="LP22" s="228"/>
      <c r="LQ22" s="228"/>
      <c r="LR22" s="228"/>
      <c r="LS22" s="228"/>
      <c r="LT22" s="228"/>
      <c r="LU22" s="228"/>
      <c r="LV22" s="228"/>
      <c r="LW22" s="228"/>
      <c r="LX22" s="228"/>
      <c r="LY22" s="228"/>
      <c r="LZ22" s="228"/>
      <c r="MA22" s="228"/>
      <c r="MB22" s="228"/>
      <c r="MC22" s="228"/>
      <c r="MD22" s="228"/>
      <c r="ME22" s="228"/>
      <c r="MF22" s="228"/>
      <c r="MG22" s="228"/>
      <c r="MH22" s="228"/>
      <c r="MI22" s="228"/>
      <c r="MJ22" s="228"/>
      <c r="MK22" s="228"/>
      <c r="ML22" s="228"/>
      <c r="MM22" s="228"/>
      <c r="QK22" s="228"/>
      <c r="QL22" s="228"/>
      <c r="QM22" s="228"/>
      <c r="QN22" s="228"/>
      <c r="QO22" s="228"/>
      <c r="QP22" s="228"/>
      <c r="QQ22" s="230"/>
      <c r="QR22" s="231"/>
    </row>
    <row r="23" spans="3:460" ht="5.0999999999999996" customHeight="1" x14ac:dyDescent="0.25">
      <c r="C23" s="226"/>
      <c r="D23" s="227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28"/>
      <c r="BK23" s="228"/>
      <c r="BL23" s="228"/>
      <c r="BM23" s="228"/>
      <c r="BN23" s="228"/>
      <c r="BO23" s="228"/>
      <c r="BP23" s="228"/>
      <c r="BQ23" s="228"/>
      <c r="BR23" s="228"/>
      <c r="BS23" s="228"/>
      <c r="BT23" s="228"/>
      <c r="BU23" s="228"/>
      <c r="BV23" s="228"/>
      <c r="BW23" s="228"/>
      <c r="BX23" s="228"/>
      <c r="BY23" s="228"/>
      <c r="BZ23" s="228"/>
      <c r="CA23" s="228"/>
      <c r="CB23" s="228"/>
      <c r="CC23" s="228"/>
      <c r="CD23" s="228"/>
      <c r="CE23" s="228"/>
      <c r="CF23" s="228"/>
      <c r="CG23" s="228"/>
      <c r="CH23" s="228"/>
      <c r="CI23" s="228"/>
      <c r="CJ23" s="228"/>
      <c r="CK23" s="228"/>
      <c r="CL23" s="228"/>
      <c r="CM23" s="228"/>
      <c r="CN23" s="228"/>
      <c r="CO23" s="228"/>
      <c r="CP23" s="228"/>
      <c r="CQ23" s="228"/>
      <c r="CR23" s="228"/>
      <c r="CS23" s="228"/>
      <c r="CT23" s="228"/>
      <c r="CU23" s="228"/>
      <c r="CV23" s="228"/>
      <c r="CW23" s="228"/>
      <c r="CX23" s="228"/>
      <c r="CY23" s="228"/>
      <c r="CZ23" s="228"/>
      <c r="DA23" s="228"/>
      <c r="DB23" s="228"/>
      <c r="DC23" s="228"/>
      <c r="DD23" s="228"/>
      <c r="DE23" s="228"/>
      <c r="DF23" s="228"/>
      <c r="DG23" s="228"/>
      <c r="DH23" s="228"/>
      <c r="DI23" s="228"/>
      <c r="DJ23" s="228"/>
      <c r="DK23" s="228"/>
      <c r="DL23" s="228"/>
      <c r="DM23" s="228"/>
      <c r="DN23" s="228"/>
      <c r="DO23" s="228"/>
      <c r="DP23" s="228"/>
      <c r="DQ23" s="228"/>
      <c r="DR23" s="228"/>
      <c r="DS23" s="228"/>
      <c r="DT23" s="228"/>
      <c r="DU23" s="228"/>
      <c r="DV23" s="228"/>
      <c r="DW23" s="228"/>
      <c r="DX23" s="228"/>
      <c r="DY23" s="228"/>
      <c r="DZ23" s="228"/>
      <c r="EA23" s="228"/>
      <c r="EB23" s="228"/>
      <c r="EC23" s="228"/>
      <c r="ED23" s="228"/>
      <c r="EE23" s="228"/>
      <c r="EF23" s="228"/>
      <c r="EG23" s="228"/>
      <c r="EH23" s="228"/>
      <c r="EI23" s="228"/>
      <c r="EJ23" s="228"/>
      <c r="EK23" s="228"/>
      <c r="EL23" s="228"/>
      <c r="EM23" s="228"/>
      <c r="EN23" s="228"/>
      <c r="EO23" s="228"/>
      <c r="EP23" s="228"/>
      <c r="EQ23" s="228"/>
      <c r="ER23" s="228"/>
      <c r="ES23" s="228"/>
      <c r="ET23" s="228"/>
      <c r="EU23" s="228"/>
      <c r="EV23" s="228"/>
      <c r="EW23" s="228"/>
      <c r="EX23" s="228"/>
      <c r="EY23" s="228"/>
      <c r="EZ23" s="228"/>
      <c r="FA23" s="228"/>
      <c r="FB23" s="228"/>
      <c r="FC23" s="228"/>
      <c r="FD23" s="228"/>
      <c r="FE23" s="228"/>
      <c r="FF23" s="228"/>
      <c r="FG23" s="228"/>
      <c r="FH23" s="228"/>
      <c r="FI23" s="228"/>
      <c r="FJ23" s="228"/>
      <c r="FK23" s="228"/>
      <c r="FL23" s="228"/>
      <c r="FM23" s="228"/>
      <c r="FN23" s="228"/>
      <c r="FO23" s="228"/>
      <c r="FP23" s="228"/>
      <c r="FQ23" s="228"/>
      <c r="FR23" s="228"/>
      <c r="FS23" s="228"/>
      <c r="FT23" s="228"/>
      <c r="FU23" s="228"/>
      <c r="FV23" s="228"/>
      <c r="FW23" s="228"/>
      <c r="FX23" s="228"/>
      <c r="FY23" s="228"/>
      <c r="FZ23" s="228"/>
      <c r="GA23" s="228"/>
      <c r="GB23" s="228"/>
      <c r="GC23" s="228"/>
      <c r="GD23" s="228"/>
      <c r="GE23" s="228"/>
      <c r="GF23" s="228"/>
      <c r="GG23" s="228"/>
      <c r="GH23" s="228"/>
      <c r="GI23" s="228"/>
      <c r="GJ23" s="228"/>
      <c r="GK23" s="228"/>
      <c r="GL23" s="228"/>
      <c r="GM23" s="228"/>
      <c r="GN23" s="228"/>
      <c r="GO23" s="228"/>
      <c r="GP23" s="228"/>
      <c r="GQ23" s="228"/>
      <c r="GR23" s="228"/>
      <c r="GS23" s="228"/>
      <c r="GT23" s="228"/>
      <c r="GU23" s="228"/>
      <c r="GV23" s="228"/>
      <c r="GW23" s="228"/>
      <c r="GX23" s="228"/>
      <c r="GY23" s="228"/>
      <c r="GZ23" s="228"/>
      <c r="HC23" s="375"/>
      <c r="HD23" s="376"/>
      <c r="HE23" s="376"/>
      <c r="HF23" s="376"/>
      <c r="HG23" s="376"/>
      <c r="HH23" s="376"/>
      <c r="HI23" s="376"/>
      <c r="HJ23" s="376"/>
      <c r="HK23" s="376"/>
      <c r="HL23" s="376"/>
      <c r="HM23" s="376"/>
      <c r="HN23" s="376"/>
      <c r="HO23" s="376"/>
      <c r="HP23" s="376"/>
      <c r="HQ23" s="376"/>
      <c r="HR23" s="376"/>
      <c r="HS23" s="376"/>
      <c r="HT23" s="376"/>
      <c r="HU23" s="376"/>
      <c r="HV23" s="376"/>
      <c r="HW23" s="376"/>
      <c r="HX23" s="376"/>
      <c r="HY23" s="376"/>
      <c r="HZ23" s="376"/>
      <c r="IA23" s="376"/>
      <c r="IB23" s="376"/>
      <c r="IC23" s="376"/>
      <c r="ID23" s="376"/>
      <c r="IE23" s="376"/>
      <c r="IF23" s="376"/>
      <c r="IG23" s="376"/>
      <c r="IH23" s="376"/>
      <c r="II23" s="376"/>
      <c r="IJ23" s="376"/>
      <c r="IK23" s="376"/>
      <c r="IL23" s="376"/>
      <c r="IM23" s="376"/>
      <c r="IN23" s="376"/>
      <c r="IO23" s="376"/>
      <c r="IP23" s="376"/>
      <c r="IQ23" s="428"/>
      <c r="IR23" s="430"/>
      <c r="IS23" s="430"/>
      <c r="IT23" s="430"/>
      <c r="IU23" s="430"/>
      <c r="IV23" s="228"/>
      <c r="IW23" s="228"/>
      <c r="IX23" s="228"/>
      <c r="IY23" s="228"/>
      <c r="IZ23" s="228"/>
      <c r="JA23" s="228"/>
      <c r="JB23" s="228"/>
      <c r="JC23" s="228"/>
      <c r="JD23" s="228"/>
      <c r="JE23" s="228"/>
      <c r="JF23" s="228"/>
      <c r="JG23" s="228"/>
      <c r="JH23" s="228"/>
      <c r="JI23" s="228"/>
      <c r="JJ23" s="228"/>
      <c r="JK23" s="228"/>
      <c r="JL23" s="228"/>
      <c r="JM23" s="228"/>
      <c r="JN23" s="228"/>
      <c r="JO23" s="228"/>
      <c r="JP23" s="228"/>
      <c r="JQ23" s="228"/>
      <c r="JR23" s="228"/>
      <c r="JS23" s="228"/>
      <c r="JT23" s="228"/>
      <c r="JU23" s="228"/>
      <c r="JV23" s="228"/>
      <c r="JW23" s="228"/>
      <c r="JX23" s="228"/>
      <c r="JY23" s="228"/>
      <c r="JZ23" s="228"/>
      <c r="KA23" s="228"/>
      <c r="KB23" s="228"/>
      <c r="KC23" s="228"/>
      <c r="KD23" s="228"/>
      <c r="KE23" s="228"/>
      <c r="KF23" s="228"/>
      <c r="KG23" s="228"/>
      <c r="KH23" s="228"/>
      <c r="KI23" s="228"/>
      <c r="KJ23" s="228"/>
      <c r="KK23" s="228"/>
      <c r="KL23" s="228"/>
      <c r="KM23" s="228"/>
      <c r="KN23" s="228"/>
      <c r="KO23" s="228"/>
      <c r="LC23" s="228"/>
      <c r="LD23" s="228"/>
      <c r="LE23" s="228"/>
      <c r="LF23" s="228"/>
      <c r="LG23" s="228"/>
      <c r="LH23" s="228"/>
      <c r="LI23" s="228"/>
      <c r="LJ23" s="228"/>
      <c r="LK23" s="228"/>
      <c r="LL23" s="228"/>
      <c r="LM23" s="228"/>
      <c r="LN23" s="228"/>
      <c r="LO23" s="228"/>
      <c r="LP23" s="228"/>
      <c r="LQ23" s="228"/>
      <c r="LR23" s="228"/>
      <c r="LS23" s="228"/>
      <c r="LT23" s="228"/>
      <c r="LU23" s="228"/>
      <c r="LV23" s="228"/>
      <c r="LW23" s="228"/>
      <c r="LX23" s="228"/>
      <c r="LY23" s="228"/>
      <c r="LZ23" s="228"/>
      <c r="MA23" s="228"/>
      <c r="MB23" s="228"/>
      <c r="MC23" s="228"/>
      <c r="MD23" s="228"/>
      <c r="ME23" s="228"/>
      <c r="MF23" s="228"/>
      <c r="MG23" s="228"/>
      <c r="MH23" s="228"/>
      <c r="MI23" s="228"/>
      <c r="MJ23" s="228"/>
      <c r="MK23" s="228"/>
      <c r="ML23" s="228"/>
      <c r="MM23" s="228"/>
      <c r="QK23" s="228"/>
      <c r="QL23" s="228"/>
      <c r="QM23" s="228"/>
      <c r="QN23" s="228"/>
      <c r="QO23" s="228"/>
      <c r="QP23" s="228"/>
      <c r="QQ23" s="230"/>
      <c r="QR23" s="231"/>
    </row>
    <row r="24" spans="3:460" ht="5.0999999999999996" customHeight="1" x14ac:dyDescent="0.25">
      <c r="C24" s="226"/>
      <c r="D24" s="227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8"/>
      <c r="BK24" s="228"/>
      <c r="BL24" s="228"/>
      <c r="BM24" s="228"/>
      <c r="BN24" s="228"/>
      <c r="BO24" s="228"/>
      <c r="BP24" s="228"/>
      <c r="BQ24" s="228"/>
      <c r="BR24" s="228"/>
      <c r="BS24" s="228"/>
      <c r="BT24" s="228"/>
      <c r="BU24" s="228"/>
      <c r="BV24" s="228"/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  <c r="CG24" s="228"/>
      <c r="CH24" s="228"/>
      <c r="CI24" s="228"/>
      <c r="CJ24" s="228"/>
      <c r="CK24" s="228"/>
      <c r="CL24" s="228"/>
      <c r="CM24" s="228"/>
      <c r="CN24" s="228"/>
      <c r="CO24" s="228"/>
      <c r="CP24" s="228"/>
      <c r="CQ24" s="228"/>
      <c r="CR24" s="228"/>
      <c r="CS24" s="228"/>
      <c r="CT24" s="228"/>
      <c r="CU24" s="228"/>
      <c r="CV24" s="228"/>
      <c r="CW24" s="228"/>
      <c r="CX24" s="228"/>
      <c r="CY24" s="228"/>
      <c r="CZ24" s="228"/>
      <c r="DA24" s="228"/>
      <c r="DB24" s="228"/>
      <c r="DC24" s="228"/>
      <c r="DD24" s="228"/>
      <c r="DE24" s="228"/>
      <c r="DF24" s="228"/>
      <c r="DG24" s="228"/>
      <c r="DH24" s="228"/>
      <c r="DI24" s="228"/>
      <c r="DJ24" s="228"/>
      <c r="DK24" s="228"/>
      <c r="DL24" s="228"/>
      <c r="DM24" s="228"/>
      <c r="DN24" s="228"/>
      <c r="DO24" s="228"/>
      <c r="DP24" s="228"/>
      <c r="DQ24" s="228"/>
      <c r="DR24" s="228"/>
      <c r="DS24" s="228"/>
      <c r="DT24" s="228"/>
      <c r="DU24" s="228"/>
      <c r="DV24" s="228"/>
      <c r="DW24" s="228"/>
      <c r="DX24" s="228"/>
      <c r="DY24" s="228"/>
      <c r="DZ24" s="228"/>
      <c r="EA24" s="228"/>
      <c r="EB24" s="228"/>
      <c r="EC24" s="228"/>
      <c r="ED24" s="228"/>
      <c r="EE24" s="228"/>
      <c r="EF24" s="228"/>
      <c r="EG24" s="228"/>
      <c r="EH24" s="228"/>
      <c r="EI24" s="228"/>
      <c r="EJ24" s="228"/>
      <c r="EK24" s="228"/>
      <c r="EL24" s="228"/>
      <c r="EM24" s="228"/>
      <c r="EN24" s="228"/>
      <c r="EO24" s="228"/>
      <c r="EP24" s="228"/>
      <c r="EQ24" s="228"/>
      <c r="ER24" s="228"/>
      <c r="ES24" s="228"/>
      <c r="ET24" s="228"/>
      <c r="EU24" s="228"/>
      <c r="EV24" s="228"/>
      <c r="EW24" s="228"/>
      <c r="EX24" s="228"/>
      <c r="EY24" s="228"/>
      <c r="EZ24" s="228"/>
      <c r="FA24" s="228"/>
      <c r="FB24" s="228"/>
      <c r="FC24" s="228"/>
      <c r="FD24" s="228"/>
      <c r="FE24" s="228"/>
      <c r="FF24" s="228"/>
      <c r="FG24" s="228"/>
      <c r="FH24" s="228"/>
      <c r="FI24" s="228"/>
      <c r="FJ24" s="228"/>
      <c r="FK24" s="228"/>
      <c r="FL24" s="228"/>
      <c r="FM24" s="228"/>
      <c r="FN24" s="228"/>
      <c r="FO24" s="228"/>
      <c r="FP24" s="228"/>
      <c r="FQ24" s="228"/>
      <c r="FR24" s="228"/>
      <c r="FS24" s="228"/>
      <c r="FT24" s="228"/>
      <c r="FU24" s="228"/>
      <c r="FV24" s="228"/>
      <c r="FW24" s="228"/>
      <c r="FX24" s="228"/>
      <c r="FY24" s="228"/>
      <c r="FZ24" s="228"/>
      <c r="GA24" s="228"/>
      <c r="GB24" s="228"/>
      <c r="GC24" s="228"/>
      <c r="GD24" s="228"/>
      <c r="GE24" s="228"/>
      <c r="GF24" s="228"/>
      <c r="GG24" s="228"/>
      <c r="GH24" s="228"/>
      <c r="GI24" s="228"/>
      <c r="GJ24" s="228"/>
      <c r="GK24" s="228"/>
      <c r="GL24" s="228"/>
      <c r="GM24" s="228"/>
      <c r="GN24" s="228"/>
      <c r="GO24" s="228"/>
      <c r="GP24" s="228"/>
      <c r="GQ24" s="228"/>
      <c r="GR24" s="228"/>
      <c r="GS24" s="228"/>
      <c r="GT24" s="228"/>
      <c r="GU24" s="228"/>
      <c r="GV24" s="228"/>
      <c r="GW24" s="228"/>
      <c r="GX24" s="228"/>
      <c r="GY24" s="228"/>
      <c r="GZ24" s="228"/>
      <c r="HC24" s="375"/>
      <c r="HD24" s="376"/>
      <c r="HE24" s="376"/>
      <c r="HF24" s="376"/>
      <c r="HG24" s="376"/>
      <c r="HH24" s="376"/>
      <c r="HI24" s="376"/>
      <c r="HJ24" s="376"/>
      <c r="HK24" s="376"/>
      <c r="HL24" s="376"/>
      <c r="HM24" s="376"/>
      <c r="HN24" s="376"/>
      <c r="HO24" s="376"/>
      <c r="HP24" s="376"/>
      <c r="HQ24" s="376"/>
      <c r="HR24" s="376"/>
      <c r="HS24" s="376"/>
      <c r="HT24" s="376"/>
      <c r="HU24" s="376"/>
      <c r="HV24" s="376"/>
      <c r="HW24" s="376"/>
      <c r="HX24" s="376"/>
      <c r="HY24" s="376"/>
      <c r="HZ24" s="376"/>
      <c r="IA24" s="376"/>
      <c r="IB24" s="376"/>
      <c r="IC24" s="376"/>
      <c r="ID24" s="376"/>
      <c r="IE24" s="376"/>
      <c r="IF24" s="376"/>
      <c r="IG24" s="376"/>
      <c r="IH24" s="376"/>
      <c r="II24" s="376"/>
      <c r="IJ24" s="376"/>
      <c r="IK24" s="376"/>
      <c r="IL24" s="376"/>
      <c r="IM24" s="376"/>
      <c r="IN24" s="376"/>
      <c r="IO24" s="376"/>
      <c r="IP24" s="376"/>
      <c r="IQ24" s="428"/>
      <c r="IR24" s="430"/>
      <c r="IS24" s="430"/>
      <c r="IT24" s="430"/>
      <c r="IU24" s="430"/>
      <c r="IV24" s="228"/>
      <c r="IW24" s="228"/>
      <c r="IX24" s="228"/>
      <c r="IY24" s="228"/>
      <c r="IZ24" s="228"/>
      <c r="JA24" s="228"/>
      <c r="JB24" s="228"/>
      <c r="JC24" s="228"/>
      <c r="JD24" s="228"/>
      <c r="JE24" s="228"/>
      <c r="JF24" s="228"/>
      <c r="JG24" s="228"/>
      <c r="JH24" s="228"/>
      <c r="JI24" s="228"/>
      <c r="JJ24" s="228"/>
      <c r="JK24" s="228"/>
      <c r="JL24" s="228"/>
      <c r="JM24" s="228"/>
      <c r="JN24" s="228"/>
      <c r="JO24" s="228"/>
      <c r="JP24" s="228"/>
      <c r="JQ24" s="228"/>
      <c r="JR24" s="228"/>
      <c r="JS24" s="228"/>
      <c r="JT24" s="228"/>
      <c r="JU24" s="228"/>
      <c r="JV24" s="228"/>
      <c r="JW24" s="228"/>
      <c r="JX24" s="228"/>
      <c r="JY24" s="228"/>
      <c r="JZ24" s="228"/>
      <c r="KA24" s="228"/>
      <c r="KB24" s="228"/>
      <c r="KC24" s="228"/>
      <c r="KD24" s="228"/>
      <c r="KE24" s="228"/>
      <c r="KF24" s="228"/>
      <c r="KG24" s="228"/>
      <c r="KH24" s="228"/>
      <c r="KI24" s="228"/>
      <c r="KJ24" s="228"/>
      <c r="KK24" s="228"/>
      <c r="KL24" s="228"/>
      <c r="KM24" s="228"/>
      <c r="KN24" s="228"/>
      <c r="KO24" s="228"/>
      <c r="LC24" s="228"/>
      <c r="LD24" s="228"/>
      <c r="LE24" s="228"/>
      <c r="LF24" s="228"/>
      <c r="LG24" s="228"/>
      <c r="LH24" s="228"/>
      <c r="LI24" s="228"/>
      <c r="LJ24" s="228"/>
      <c r="LK24" s="228"/>
      <c r="LL24" s="228"/>
      <c r="LM24" s="228"/>
      <c r="LN24" s="228"/>
      <c r="LO24" s="228"/>
      <c r="LP24" s="228"/>
      <c r="LQ24" s="228"/>
      <c r="LR24" s="228"/>
      <c r="LS24" s="228"/>
      <c r="LT24" s="228"/>
      <c r="LU24" s="228"/>
      <c r="LV24" s="228"/>
      <c r="LW24" s="228"/>
      <c r="LX24" s="228"/>
      <c r="LY24" s="228"/>
      <c r="LZ24" s="228"/>
      <c r="MA24" s="228"/>
      <c r="MB24" s="228"/>
      <c r="MC24" s="228"/>
      <c r="MD24" s="228"/>
      <c r="ME24" s="228"/>
      <c r="MF24" s="228"/>
      <c r="MG24" s="228"/>
      <c r="MH24" s="228"/>
      <c r="MI24" s="228"/>
      <c r="MJ24" s="228"/>
      <c r="MK24" s="228"/>
      <c r="ML24" s="228"/>
      <c r="MM24" s="228"/>
      <c r="QK24" s="228"/>
      <c r="QL24" s="228"/>
      <c r="QM24" s="228"/>
      <c r="QN24" s="228"/>
      <c r="QO24" s="228"/>
      <c r="QP24" s="228"/>
      <c r="QQ24" s="230"/>
      <c r="QR24" s="231"/>
    </row>
    <row r="25" spans="3:460" ht="5.0999999999999996" customHeight="1" x14ac:dyDescent="0.25">
      <c r="C25" s="226"/>
      <c r="D25" s="227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2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228"/>
      <c r="DK25" s="228"/>
      <c r="DL25" s="228"/>
      <c r="DM25" s="228"/>
      <c r="DN25" s="228"/>
      <c r="DO25" s="228"/>
      <c r="DP25" s="228"/>
      <c r="DQ25" s="228"/>
      <c r="DR25" s="228"/>
      <c r="DS25" s="228"/>
      <c r="DT25" s="228"/>
      <c r="DU25" s="228"/>
      <c r="DV25" s="228"/>
      <c r="DW25" s="228"/>
      <c r="DX25" s="228"/>
      <c r="DY25" s="228"/>
      <c r="DZ25" s="228"/>
      <c r="EA25" s="228"/>
      <c r="EB25" s="228"/>
      <c r="EC25" s="228"/>
      <c r="ED25" s="228"/>
      <c r="EE25" s="228"/>
      <c r="EF25" s="228"/>
      <c r="EG25" s="228"/>
      <c r="EH25" s="228"/>
      <c r="EI25" s="228"/>
      <c r="EJ25" s="228"/>
      <c r="EK25" s="228"/>
      <c r="EL25" s="228"/>
      <c r="EM25" s="228"/>
      <c r="EN25" s="228"/>
      <c r="EO25" s="228"/>
      <c r="EP25" s="228"/>
      <c r="EQ25" s="228"/>
      <c r="ER25" s="228"/>
      <c r="ES25" s="228"/>
      <c r="ET25" s="228"/>
      <c r="EU25" s="228"/>
      <c r="EV25" s="228"/>
      <c r="EW25" s="228"/>
      <c r="EX25" s="228"/>
      <c r="EY25" s="228"/>
      <c r="EZ25" s="228"/>
      <c r="FA25" s="228"/>
      <c r="FB25" s="228"/>
      <c r="FC25" s="228"/>
      <c r="FD25" s="228"/>
      <c r="FE25" s="228"/>
      <c r="FF25" s="228"/>
      <c r="FG25" s="228"/>
      <c r="FH25" s="228"/>
      <c r="FI25" s="228"/>
      <c r="FJ25" s="228"/>
      <c r="FK25" s="228"/>
      <c r="FL25" s="228"/>
      <c r="FM25" s="228"/>
      <c r="FN25" s="228"/>
      <c r="FO25" s="228"/>
      <c r="FP25" s="228"/>
      <c r="FQ25" s="228"/>
      <c r="FR25" s="228"/>
      <c r="FS25" s="228"/>
      <c r="FT25" s="228"/>
      <c r="FU25" s="228"/>
      <c r="FV25" s="228"/>
      <c r="FW25" s="228"/>
      <c r="FX25" s="228"/>
      <c r="FY25" s="228"/>
      <c r="FZ25" s="228"/>
      <c r="GA25" s="228"/>
      <c r="GB25" s="228"/>
      <c r="GC25" s="228"/>
      <c r="GD25" s="228"/>
      <c r="GE25" s="228"/>
      <c r="GF25" s="228"/>
      <c r="GG25" s="228"/>
      <c r="GH25" s="228"/>
      <c r="GI25" s="228"/>
      <c r="GJ25" s="228"/>
      <c r="GK25" s="228"/>
      <c r="GL25" s="228"/>
      <c r="GM25" s="228"/>
      <c r="GN25" s="228"/>
      <c r="GO25" s="228"/>
      <c r="GP25" s="228"/>
      <c r="GQ25" s="228"/>
      <c r="GR25" s="228"/>
      <c r="GS25" s="228"/>
      <c r="GT25" s="228"/>
      <c r="GU25" s="228"/>
      <c r="GV25" s="228"/>
      <c r="GW25" s="228"/>
      <c r="GX25" s="228"/>
      <c r="GY25" s="228"/>
      <c r="GZ25" s="228"/>
      <c r="HC25" s="375"/>
      <c r="HD25" s="376"/>
      <c r="HE25" s="376"/>
      <c r="HF25" s="376"/>
      <c r="HG25" s="376"/>
      <c r="HH25" s="376"/>
      <c r="HI25" s="376"/>
      <c r="HJ25" s="376"/>
      <c r="HK25" s="376"/>
      <c r="HL25" s="376"/>
      <c r="HM25" s="376"/>
      <c r="HN25" s="376"/>
      <c r="HO25" s="376"/>
      <c r="HP25" s="376"/>
      <c r="HQ25" s="376"/>
      <c r="HR25" s="376"/>
      <c r="HS25" s="376"/>
      <c r="HT25" s="376"/>
      <c r="HU25" s="376"/>
      <c r="HV25" s="376"/>
      <c r="HW25" s="376"/>
      <c r="HX25" s="376"/>
      <c r="HY25" s="376"/>
      <c r="HZ25" s="376"/>
      <c r="IA25" s="376"/>
      <c r="IB25" s="376"/>
      <c r="IC25" s="376"/>
      <c r="ID25" s="376"/>
      <c r="IE25" s="376"/>
      <c r="IF25" s="376"/>
      <c r="IG25" s="376"/>
      <c r="IH25" s="376"/>
      <c r="II25" s="376"/>
      <c r="IJ25" s="376"/>
      <c r="IK25" s="376"/>
      <c r="IL25" s="376"/>
      <c r="IM25" s="376"/>
      <c r="IN25" s="376"/>
      <c r="IO25" s="376"/>
      <c r="IP25" s="376"/>
      <c r="IQ25" s="428"/>
      <c r="IR25" s="430"/>
      <c r="IS25" s="430"/>
      <c r="IT25" s="430"/>
      <c r="IU25" s="430"/>
      <c r="KA25" s="228"/>
      <c r="KB25" s="228"/>
      <c r="KC25" s="228"/>
      <c r="KD25" s="228"/>
      <c r="KE25" s="228"/>
      <c r="KF25" s="228"/>
      <c r="KG25" s="228"/>
      <c r="KH25" s="228"/>
      <c r="KI25" s="228"/>
      <c r="KJ25" s="228"/>
      <c r="KK25" s="228"/>
      <c r="KL25" s="228"/>
      <c r="KM25" s="228"/>
      <c r="KN25" s="228"/>
      <c r="KO25" s="228"/>
      <c r="LC25" s="228"/>
      <c r="LD25" s="228"/>
      <c r="LE25" s="228"/>
      <c r="LF25" s="228"/>
      <c r="LG25" s="228"/>
      <c r="LH25" s="228"/>
      <c r="LI25" s="228"/>
      <c r="LJ25" s="228"/>
      <c r="LK25" s="228"/>
      <c r="LL25" s="228"/>
      <c r="LM25" s="228"/>
      <c r="LN25" s="228"/>
      <c r="LO25" s="228"/>
      <c r="LP25" s="228"/>
      <c r="LQ25" s="228"/>
      <c r="LR25" s="228"/>
      <c r="LS25" s="228"/>
      <c r="LT25" s="228"/>
      <c r="LU25" s="228"/>
      <c r="LV25" s="228"/>
      <c r="LW25" s="228"/>
      <c r="LX25" s="228"/>
      <c r="LY25" s="228"/>
      <c r="LZ25" s="228"/>
      <c r="MA25" s="228"/>
      <c r="MB25" s="228"/>
      <c r="MC25" s="228"/>
      <c r="MD25" s="228"/>
      <c r="ME25" s="228"/>
      <c r="MF25" s="228"/>
      <c r="MG25" s="228"/>
      <c r="MH25" s="228"/>
      <c r="MI25" s="228"/>
      <c r="MJ25" s="228"/>
      <c r="MK25" s="228"/>
      <c r="ML25" s="228"/>
      <c r="MM25" s="228"/>
      <c r="QK25" s="228"/>
      <c r="QL25" s="228"/>
      <c r="QM25" s="228"/>
      <c r="QN25" s="228"/>
      <c r="QO25" s="228"/>
      <c r="QP25" s="228"/>
      <c r="QQ25" s="230"/>
      <c r="QR25" s="231"/>
    </row>
    <row r="26" spans="3:460" ht="5.0999999999999996" customHeight="1" x14ac:dyDescent="0.25">
      <c r="C26" s="226"/>
      <c r="D26" s="227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  <c r="CG26" s="228"/>
      <c r="CH26" s="228"/>
      <c r="CI26" s="228"/>
      <c r="CJ26" s="228"/>
      <c r="CK26" s="228"/>
      <c r="CL26" s="228"/>
      <c r="CM26" s="228"/>
      <c r="CN26" s="228"/>
      <c r="CO26" s="228"/>
      <c r="CP26" s="228"/>
      <c r="CQ26" s="228"/>
      <c r="CR26" s="228"/>
      <c r="CS26" s="228"/>
      <c r="CT26" s="228"/>
      <c r="CU26" s="228"/>
      <c r="CV26" s="228"/>
      <c r="CW26" s="228"/>
      <c r="CX26" s="228"/>
      <c r="CY26" s="228"/>
      <c r="CZ26" s="228"/>
      <c r="DA26" s="228"/>
      <c r="DB26" s="228"/>
      <c r="DC26" s="228"/>
      <c r="DD26" s="228"/>
      <c r="DE26" s="228"/>
      <c r="DF26" s="228"/>
      <c r="DG26" s="228"/>
      <c r="DH26" s="228"/>
      <c r="DI26" s="228"/>
      <c r="DJ26" s="228"/>
      <c r="DK26" s="228"/>
      <c r="DL26" s="228"/>
      <c r="DM26" s="228"/>
      <c r="DN26" s="228"/>
      <c r="DO26" s="228"/>
      <c r="DP26" s="228"/>
      <c r="DQ26" s="228"/>
      <c r="DR26" s="228"/>
      <c r="DS26" s="228"/>
      <c r="DT26" s="228"/>
      <c r="DU26" s="228"/>
      <c r="DV26" s="228"/>
      <c r="DW26" s="228"/>
      <c r="DX26" s="228"/>
      <c r="DY26" s="228"/>
      <c r="DZ26" s="228"/>
      <c r="EA26" s="228"/>
      <c r="EB26" s="228"/>
      <c r="EC26" s="228"/>
      <c r="ED26" s="228"/>
      <c r="EE26" s="228"/>
      <c r="EF26" s="228"/>
      <c r="EG26" s="228"/>
      <c r="EH26" s="228"/>
      <c r="EI26" s="228"/>
      <c r="EJ26" s="228"/>
      <c r="EK26" s="228"/>
      <c r="EL26" s="228"/>
      <c r="EM26" s="228"/>
      <c r="EN26" s="228"/>
      <c r="EO26" s="228"/>
      <c r="EP26" s="228"/>
      <c r="EQ26" s="228"/>
      <c r="ER26" s="228"/>
      <c r="ES26" s="228"/>
      <c r="ET26" s="228"/>
      <c r="EU26" s="228"/>
      <c r="EV26" s="228"/>
      <c r="HC26" s="375"/>
      <c r="HD26" s="376"/>
      <c r="HE26" s="376"/>
      <c r="HF26" s="376"/>
      <c r="HG26" s="376"/>
      <c r="HH26" s="376"/>
      <c r="HI26" s="376"/>
      <c r="HJ26" s="376"/>
      <c r="HK26" s="376"/>
      <c r="HL26" s="376"/>
      <c r="HM26" s="376"/>
      <c r="HN26" s="376"/>
      <c r="HO26" s="376"/>
      <c r="HP26" s="376"/>
      <c r="HQ26" s="376"/>
      <c r="HR26" s="376"/>
      <c r="HS26" s="376"/>
      <c r="HT26" s="376"/>
      <c r="HU26" s="376"/>
      <c r="HV26" s="376"/>
      <c r="HW26" s="376"/>
      <c r="HX26" s="376"/>
      <c r="HY26" s="376"/>
      <c r="HZ26" s="376"/>
      <c r="IA26" s="376"/>
      <c r="IB26" s="376"/>
      <c r="IC26" s="376"/>
      <c r="ID26" s="376"/>
      <c r="IE26" s="376"/>
      <c r="IF26" s="376"/>
      <c r="IG26" s="376"/>
      <c r="IH26" s="376"/>
      <c r="II26" s="376"/>
      <c r="IJ26" s="376"/>
      <c r="IK26" s="376"/>
      <c r="IL26" s="376"/>
      <c r="IM26" s="376"/>
      <c r="IN26" s="376"/>
      <c r="IO26" s="376"/>
      <c r="IP26" s="376"/>
      <c r="IQ26" s="428"/>
      <c r="IR26" s="430"/>
      <c r="IS26" s="430"/>
      <c r="IT26" s="430"/>
      <c r="IU26" s="430"/>
      <c r="KA26" s="228"/>
      <c r="KB26" s="228"/>
      <c r="KC26" s="228"/>
      <c r="KD26" s="228"/>
      <c r="KE26" s="228"/>
      <c r="KF26" s="228"/>
      <c r="KG26" s="228"/>
      <c r="KH26" s="228"/>
      <c r="KI26" s="228"/>
      <c r="KJ26" s="228"/>
      <c r="KK26" s="228"/>
      <c r="KL26" s="228"/>
      <c r="KM26" s="228"/>
      <c r="KN26" s="228"/>
      <c r="KO26" s="228"/>
      <c r="LC26" s="228"/>
      <c r="LD26" s="228"/>
      <c r="LE26" s="228"/>
      <c r="LF26" s="228"/>
      <c r="LG26" s="228"/>
      <c r="LH26" s="228"/>
      <c r="LI26" s="228"/>
      <c r="LJ26" s="228"/>
      <c r="LK26" s="228"/>
      <c r="LL26" s="228"/>
      <c r="LM26" s="228"/>
      <c r="LN26" s="228"/>
      <c r="LO26" s="228"/>
      <c r="LP26" s="228"/>
      <c r="LQ26" s="228"/>
      <c r="LR26" s="228"/>
      <c r="LS26" s="228"/>
      <c r="LT26" s="228"/>
      <c r="LU26" s="228"/>
      <c r="LV26" s="228"/>
      <c r="LW26" s="228"/>
      <c r="LX26" s="228"/>
      <c r="LY26" s="228"/>
      <c r="LZ26" s="228"/>
      <c r="MA26" s="228"/>
      <c r="MB26" s="228"/>
      <c r="MC26" s="228"/>
      <c r="MD26" s="228"/>
      <c r="ME26" s="228"/>
      <c r="MF26" s="228"/>
      <c r="MG26" s="228"/>
      <c r="MH26" s="228"/>
      <c r="MI26" s="228"/>
      <c r="MJ26" s="228"/>
      <c r="MK26" s="228"/>
      <c r="ML26" s="228"/>
      <c r="MM26" s="228"/>
      <c r="QK26" s="228"/>
      <c r="QL26" s="228"/>
      <c r="QM26" s="228"/>
      <c r="QN26" s="228"/>
      <c r="QO26" s="228"/>
      <c r="QP26" s="228"/>
      <c r="QQ26" s="230"/>
      <c r="QR26" s="231"/>
    </row>
    <row r="27" spans="3:460" ht="5.0999999999999996" customHeight="1" x14ac:dyDescent="0.25">
      <c r="C27" s="226"/>
      <c r="D27" s="227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228"/>
      <c r="DL27" s="228"/>
      <c r="DM27" s="228"/>
      <c r="DN27" s="228"/>
      <c r="DO27" s="228"/>
      <c r="DP27" s="228"/>
      <c r="DQ27" s="228"/>
      <c r="DR27" s="228"/>
      <c r="DS27" s="228"/>
      <c r="DT27" s="228"/>
      <c r="DU27" s="228"/>
      <c r="DV27" s="228"/>
      <c r="DW27" s="228"/>
      <c r="DX27" s="228"/>
      <c r="DY27" s="228"/>
      <c r="DZ27" s="228"/>
      <c r="EA27" s="228"/>
      <c r="EB27" s="228"/>
      <c r="EC27" s="228"/>
      <c r="ED27" s="228"/>
      <c r="EE27" s="228"/>
      <c r="EF27" s="228"/>
      <c r="EG27" s="228"/>
      <c r="EH27" s="228"/>
      <c r="EI27" s="228"/>
      <c r="EJ27" s="228"/>
      <c r="EK27" s="228"/>
      <c r="EL27" s="228"/>
      <c r="EM27" s="228"/>
      <c r="EN27" s="228"/>
      <c r="EO27" s="228"/>
      <c r="EP27" s="228"/>
      <c r="EQ27" s="228"/>
      <c r="ER27" s="228"/>
      <c r="ES27" s="228"/>
      <c r="ET27" s="228"/>
      <c r="EU27" s="228"/>
      <c r="EV27" s="228"/>
      <c r="HC27" s="378"/>
      <c r="HD27" s="379"/>
      <c r="HE27" s="379"/>
      <c r="HF27" s="379"/>
      <c r="HG27" s="379"/>
      <c r="HH27" s="379"/>
      <c r="HI27" s="379"/>
      <c r="HJ27" s="379"/>
      <c r="HK27" s="379"/>
      <c r="HL27" s="379"/>
      <c r="HM27" s="379"/>
      <c r="HN27" s="379"/>
      <c r="HO27" s="379"/>
      <c r="HP27" s="379"/>
      <c r="HQ27" s="379"/>
      <c r="HR27" s="379"/>
      <c r="HS27" s="379"/>
      <c r="HT27" s="379"/>
      <c r="HU27" s="379"/>
      <c r="HV27" s="379"/>
      <c r="HW27" s="379"/>
      <c r="HX27" s="379"/>
      <c r="HY27" s="379"/>
      <c r="HZ27" s="379"/>
      <c r="IA27" s="379"/>
      <c r="IB27" s="379"/>
      <c r="IC27" s="379"/>
      <c r="ID27" s="379"/>
      <c r="IE27" s="379"/>
      <c r="IF27" s="379"/>
      <c r="IG27" s="379"/>
      <c r="IH27" s="379"/>
      <c r="II27" s="379"/>
      <c r="IJ27" s="379"/>
      <c r="IK27" s="379"/>
      <c r="IL27" s="379"/>
      <c r="IM27" s="379"/>
      <c r="IN27" s="379"/>
      <c r="IO27" s="379"/>
      <c r="IP27" s="379"/>
      <c r="IQ27" s="429"/>
      <c r="IR27" s="430"/>
      <c r="IS27" s="430"/>
      <c r="IT27" s="430"/>
      <c r="IU27" s="430"/>
      <c r="KA27" s="228"/>
      <c r="KB27" s="228"/>
      <c r="KC27" s="228"/>
      <c r="KD27" s="228"/>
      <c r="KE27" s="228"/>
      <c r="KF27" s="228"/>
      <c r="KG27" s="228"/>
      <c r="KH27" s="228"/>
      <c r="KI27" s="228"/>
      <c r="KJ27" s="228"/>
      <c r="KK27" s="228"/>
      <c r="KL27" s="228"/>
      <c r="KM27" s="228"/>
      <c r="KN27" s="228"/>
      <c r="KO27" s="228"/>
      <c r="LC27" s="228"/>
      <c r="LD27" s="228"/>
      <c r="LE27" s="228"/>
      <c r="LF27" s="228"/>
      <c r="LG27" s="228"/>
      <c r="LH27" s="228"/>
      <c r="LI27" s="228"/>
      <c r="LJ27" s="228"/>
      <c r="LK27" s="228"/>
      <c r="LL27" s="228"/>
      <c r="LM27" s="228"/>
      <c r="LN27" s="228"/>
      <c r="LO27" s="228"/>
      <c r="LP27" s="228"/>
      <c r="LQ27" s="228"/>
      <c r="LR27" s="228"/>
      <c r="LS27" s="228"/>
      <c r="LT27" s="228"/>
      <c r="LU27" s="228"/>
      <c r="LV27" s="228"/>
      <c r="LW27" s="228"/>
      <c r="LX27" s="228"/>
      <c r="LY27" s="228"/>
      <c r="LZ27" s="228"/>
      <c r="MA27" s="228"/>
      <c r="MB27" s="228"/>
      <c r="MC27" s="228"/>
      <c r="MD27" s="228"/>
      <c r="ME27" s="228"/>
      <c r="MF27" s="228"/>
      <c r="MG27" s="228"/>
      <c r="MH27" s="228"/>
      <c r="MI27" s="228"/>
      <c r="MJ27" s="228"/>
      <c r="MK27" s="228"/>
      <c r="ML27" s="228"/>
      <c r="MM27" s="228"/>
      <c r="QK27" s="228"/>
      <c r="QL27" s="228"/>
      <c r="QM27" s="228"/>
      <c r="QN27" s="228"/>
      <c r="QO27" s="228"/>
      <c r="QP27" s="228"/>
      <c r="QQ27" s="230"/>
      <c r="QR27" s="231"/>
    </row>
    <row r="28" spans="3:460" ht="5.0999999999999996" customHeight="1" x14ac:dyDescent="0.25">
      <c r="C28" s="226"/>
      <c r="D28" s="227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228"/>
      <c r="DL28" s="228"/>
      <c r="DM28" s="228"/>
      <c r="DN28" s="228"/>
      <c r="DO28" s="228"/>
      <c r="DP28" s="228"/>
      <c r="DQ28" s="228"/>
      <c r="DR28" s="228"/>
      <c r="DS28" s="228"/>
      <c r="DT28" s="228"/>
      <c r="DU28" s="228"/>
      <c r="DV28" s="228"/>
      <c r="DW28" s="228"/>
      <c r="DX28" s="228"/>
      <c r="DY28" s="228"/>
      <c r="DZ28" s="228"/>
      <c r="EA28" s="228"/>
      <c r="EB28" s="228"/>
      <c r="EC28" s="228"/>
      <c r="ED28" s="228"/>
      <c r="EE28" s="228"/>
      <c r="EF28" s="228"/>
      <c r="EG28" s="228"/>
      <c r="EH28" s="228"/>
      <c r="EI28" s="228"/>
      <c r="EJ28" s="228"/>
      <c r="EK28" s="228"/>
      <c r="EL28" s="228"/>
      <c r="EM28" s="228"/>
      <c r="EN28" s="228"/>
      <c r="EO28" s="228"/>
      <c r="EP28" s="228"/>
      <c r="EQ28" s="228"/>
      <c r="ER28" s="228"/>
      <c r="ES28" s="228"/>
      <c r="ET28" s="228"/>
      <c r="EU28" s="228"/>
      <c r="EV28" s="228"/>
      <c r="HA28" s="232"/>
      <c r="HK28" s="228"/>
      <c r="HL28" s="228"/>
      <c r="HM28" s="228"/>
      <c r="HN28" s="228"/>
      <c r="HO28" s="228"/>
      <c r="HP28" s="228"/>
      <c r="HQ28" s="228"/>
      <c r="HR28" s="228"/>
      <c r="HS28" s="228"/>
      <c r="HT28" s="228"/>
      <c r="HU28" s="228"/>
      <c r="HV28" s="228"/>
      <c r="HW28" s="233"/>
      <c r="HX28" s="228"/>
      <c r="HY28" s="228"/>
      <c r="HZ28" s="228"/>
      <c r="IA28" s="228"/>
      <c r="IB28" s="228"/>
      <c r="IC28" s="228"/>
      <c r="ID28" s="228"/>
      <c r="IE28" s="228"/>
      <c r="IF28" s="228"/>
      <c r="IG28" s="228"/>
      <c r="IH28" s="228"/>
      <c r="II28" s="228"/>
      <c r="JB28" s="229"/>
      <c r="JC28" s="229"/>
      <c r="JD28" s="229"/>
      <c r="JE28" s="229"/>
      <c r="JF28" s="229"/>
      <c r="JG28" s="229"/>
      <c r="JH28" s="229"/>
      <c r="JI28" s="229"/>
      <c r="KA28" s="228"/>
      <c r="KB28" s="228"/>
      <c r="KC28" s="228"/>
      <c r="KD28" s="228"/>
      <c r="KE28" s="228"/>
      <c r="KF28" s="228"/>
      <c r="KG28" s="228"/>
      <c r="KH28" s="228"/>
      <c r="KI28" s="228"/>
      <c r="KJ28" s="228"/>
      <c r="KK28" s="228"/>
      <c r="KL28" s="228"/>
      <c r="KM28" s="228"/>
      <c r="KN28" s="228"/>
      <c r="KO28" s="228"/>
      <c r="LC28" s="228"/>
      <c r="LD28" s="228"/>
      <c r="LE28" s="228"/>
      <c r="LF28" s="228"/>
      <c r="LG28" s="228"/>
      <c r="LH28" s="228"/>
      <c r="LI28" s="228"/>
      <c r="LJ28" s="228"/>
      <c r="LK28" s="228"/>
      <c r="LL28" s="228"/>
      <c r="LM28" s="228"/>
      <c r="LN28" s="228"/>
      <c r="LO28" s="228"/>
      <c r="LP28" s="228"/>
      <c r="LQ28" s="228"/>
      <c r="LR28" s="228"/>
      <c r="LS28" s="228"/>
      <c r="LT28" s="228"/>
      <c r="LU28" s="228"/>
      <c r="LV28" s="228"/>
      <c r="LW28" s="228"/>
      <c r="LX28" s="228"/>
      <c r="QK28" s="228"/>
      <c r="QL28" s="228"/>
      <c r="QM28" s="228"/>
      <c r="QN28" s="228"/>
      <c r="QO28" s="228"/>
      <c r="QP28" s="228"/>
      <c r="QQ28" s="230"/>
      <c r="QR28" s="231"/>
    </row>
    <row r="29" spans="3:460" ht="5.0999999999999996" customHeight="1" x14ac:dyDescent="0.25">
      <c r="C29" s="226"/>
      <c r="D29" s="227"/>
      <c r="E29" s="229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8"/>
      <c r="BL29" s="228"/>
      <c r="BM29" s="228"/>
      <c r="BN29" s="228"/>
      <c r="BO29" s="228"/>
      <c r="BP29" s="228"/>
      <c r="BQ29" s="228"/>
      <c r="BR29" s="228"/>
      <c r="BS29" s="228"/>
      <c r="BT29" s="228"/>
      <c r="BU29" s="228"/>
      <c r="BV29" s="228"/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  <c r="CG29" s="228"/>
      <c r="CH29" s="228"/>
      <c r="CI29" s="228"/>
      <c r="CJ29" s="228"/>
      <c r="CK29" s="228"/>
      <c r="CL29" s="228"/>
      <c r="CM29" s="228"/>
      <c r="CN29" s="228"/>
      <c r="CO29" s="228"/>
      <c r="CP29" s="228"/>
      <c r="CQ29" s="228"/>
      <c r="CR29" s="228"/>
      <c r="CS29" s="228"/>
      <c r="CT29" s="228"/>
      <c r="CU29" s="228"/>
      <c r="CV29" s="228"/>
      <c r="CW29" s="228"/>
      <c r="CX29" s="228"/>
      <c r="CY29" s="228"/>
      <c r="CZ29" s="228"/>
      <c r="DA29" s="228"/>
      <c r="DB29" s="228"/>
      <c r="DC29" s="228"/>
      <c r="DD29" s="228"/>
      <c r="DE29" s="228"/>
      <c r="DF29" s="228"/>
      <c r="DG29" s="228"/>
      <c r="DH29" s="228"/>
      <c r="DI29" s="228"/>
      <c r="DJ29" s="228"/>
      <c r="DK29" s="228"/>
      <c r="DL29" s="228"/>
      <c r="DM29" s="228"/>
      <c r="DN29" s="228"/>
      <c r="DO29" s="228"/>
      <c r="DP29" s="228"/>
      <c r="DQ29" s="228"/>
      <c r="DR29" s="228"/>
      <c r="DS29" s="228"/>
      <c r="DT29" s="228"/>
      <c r="DU29" s="228"/>
      <c r="DV29" s="228"/>
      <c r="DW29" s="228"/>
      <c r="DX29" s="228"/>
      <c r="DY29" s="228"/>
      <c r="DZ29" s="228"/>
      <c r="EA29" s="228"/>
      <c r="EB29" s="228"/>
      <c r="EC29" s="228"/>
      <c r="ED29" s="228"/>
      <c r="EE29" s="228"/>
      <c r="EF29" s="228"/>
      <c r="EG29" s="228"/>
      <c r="EH29" s="228"/>
      <c r="EI29" s="228"/>
      <c r="EJ29" s="228"/>
      <c r="EK29" s="228"/>
      <c r="EL29" s="228"/>
      <c r="EM29" s="228"/>
      <c r="EN29" s="228"/>
      <c r="EO29" s="228"/>
      <c r="EP29" s="228"/>
      <c r="EQ29" s="228"/>
      <c r="ER29" s="228"/>
      <c r="ES29" s="228"/>
      <c r="ET29" s="228"/>
      <c r="EU29" s="228"/>
      <c r="EV29" s="228"/>
      <c r="HA29" s="232"/>
      <c r="HK29" s="228"/>
      <c r="HL29" s="228"/>
      <c r="HM29" s="228"/>
      <c r="HN29" s="228"/>
      <c r="HO29" s="228"/>
      <c r="HP29" s="228"/>
      <c r="HQ29" s="228"/>
      <c r="HR29" s="228"/>
      <c r="HS29" s="228"/>
      <c r="HT29" s="228"/>
      <c r="HU29" s="228"/>
      <c r="HV29" s="228"/>
      <c r="HW29" s="233"/>
      <c r="HX29" s="228"/>
      <c r="HY29" s="228"/>
      <c r="HZ29" s="228"/>
      <c r="IA29" s="228"/>
      <c r="IB29" s="228"/>
      <c r="IC29" s="228"/>
      <c r="ID29" s="228"/>
      <c r="IE29" s="228"/>
      <c r="IF29" s="228"/>
      <c r="IG29" s="228"/>
      <c r="IH29" s="228"/>
      <c r="II29" s="228"/>
      <c r="JB29" s="229"/>
      <c r="JC29" s="229"/>
      <c r="JD29" s="229"/>
      <c r="JE29" s="229"/>
      <c r="JF29" s="229"/>
      <c r="JG29" s="229"/>
      <c r="JH29" s="229"/>
      <c r="JI29" s="229"/>
      <c r="KA29" s="228"/>
      <c r="KB29" s="228"/>
      <c r="KC29" s="228"/>
      <c r="KD29" s="228"/>
      <c r="KE29" s="228"/>
      <c r="KF29" s="228"/>
      <c r="KG29" s="228"/>
      <c r="KH29" s="228"/>
      <c r="KI29" s="228"/>
      <c r="KJ29" s="228"/>
      <c r="KK29" s="228"/>
      <c r="KL29" s="228"/>
      <c r="KM29" s="228"/>
      <c r="KN29" s="228"/>
      <c r="KO29" s="228"/>
      <c r="LC29" s="228"/>
      <c r="LD29" s="228"/>
      <c r="LE29" s="228"/>
      <c r="LF29" s="228"/>
      <c r="LG29" s="228"/>
      <c r="LH29" s="228"/>
      <c r="LI29" s="228"/>
      <c r="LJ29" s="228"/>
      <c r="LK29" s="228"/>
      <c r="LL29" s="228"/>
      <c r="LM29" s="228"/>
      <c r="LN29" s="228"/>
      <c r="LO29" s="228"/>
      <c r="LP29" s="228"/>
      <c r="LQ29" s="228"/>
      <c r="LR29" s="228"/>
      <c r="LS29" s="228"/>
      <c r="LT29" s="228"/>
      <c r="LU29" s="228"/>
      <c r="LV29" s="228"/>
      <c r="LW29" s="228"/>
      <c r="LX29" s="228"/>
      <c r="QQ29" s="230"/>
      <c r="QR29" s="231"/>
    </row>
    <row r="30" spans="3:460" ht="5.0999999999999996" customHeight="1" x14ac:dyDescent="0.25">
      <c r="C30" s="226"/>
      <c r="D30" s="227"/>
      <c r="E30" s="229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29"/>
      <c r="BU30" s="229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29"/>
      <c r="CH30" s="229"/>
      <c r="CI30" s="229"/>
      <c r="CJ30" s="229"/>
      <c r="CK30" s="229"/>
      <c r="CL30" s="229"/>
      <c r="CM30" s="229"/>
      <c r="CN30" s="229"/>
      <c r="CO30" s="229"/>
      <c r="CP30" s="229"/>
      <c r="CQ30" s="229"/>
      <c r="CR30" s="229"/>
      <c r="CS30" s="229"/>
      <c r="CT30" s="229"/>
      <c r="CU30" s="229"/>
      <c r="CV30" s="229"/>
      <c r="CW30" s="229"/>
      <c r="CX30" s="229"/>
      <c r="CY30" s="229"/>
      <c r="CZ30" s="229"/>
      <c r="DA30" s="229"/>
      <c r="DB30" s="229"/>
      <c r="DC30" s="229"/>
      <c r="DD30" s="229"/>
      <c r="DE30" s="229"/>
      <c r="DF30" s="229"/>
      <c r="DG30" s="229"/>
      <c r="DH30" s="229"/>
      <c r="DI30" s="229"/>
      <c r="DJ30" s="229"/>
      <c r="DK30" s="229"/>
      <c r="DL30" s="229"/>
      <c r="DM30" s="229"/>
      <c r="DN30" s="229"/>
      <c r="DO30" s="229"/>
      <c r="DP30" s="229"/>
      <c r="DQ30" s="229"/>
      <c r="DR30" s="229"/>
      <c r="DS30" s="229"/>
      <c r="DT30" s="229"/>
      <c r="DU30" s="229"/>
      <c r="DV30" s="229"/>
      <c r="DW30" s="229"/>
      <c r="DX30" s="229"/>
      <c r="DY30" s="229"/>
      <c r="DZ30" s="229"/>
      <c r="EA30" s="229"/>
      <c r="EB30" s="229"/>
      <c r="EC30" s="229"/>
      <c r="ED30" s="229"/>
      <c r="EE30" s="229"/>
      <c r="EF30" s="229"/>
      <c r="EG30" s="229"/>
      <c r="EH30" s="229"/>
      <c r="EI30" s="229"/>
      <c r="EJ30" s="229"/>
      <c r="EK30" s="229"/>
      <c r="EL30" s="229"/>
      <c r="EM30" s="229"/>
      <c r="EN30" s="229"/>
      <c r="EO30" s="229"/>
      <c r="EP30" s="229"/>
      <c r="EQ30" s="229"/>
      <c r="ER30" s="229"/>
      <c r="ES30" s="229"/>
      <c r="ET30" s="229"/>
      <c r="EU30" s="229"/>
      <c r="EV30" s="229"/>
      <c r="EW30" s="229"/>
      <c r="EX30" s="229"/>
      <c r="EY30" s="229"/>
      <c r="EZ30" s="229"/>
      <c r="FA30" s="229"/>
      <c r="FB30" s="229"/>
      <c r="FC30" s="229"/>
      <c r="FD30" s="229"/>
      <c r="FE30" s="229"/>
      <c r="FF30" s="229"/>
      <c r="FG30" s="229"/>
      <c r="FH30" s="229"/>
      <c r="FI30" s="229"/>
      <c r="FJ30" s="229"/>
      <c r="FK30" s="229"/>
      <c r="FL30" s="229"/>
      <c r="FM30" s="229"/>
      <c r="FN30" s="229"/>
      <c r="FO30" s="229"/>
      <c r="FP30" s="229"/>
      <c r="FQ30" s="229"/>
      <c r="FR30" s="229"/>
      <c r="FS30" s="229"/>
      <c r="FT30" s="229"/>
      <c r="FU30" s="229"/>
      <c r="FV30" s="229"/>
      <c r="FW30" s="229"/>
      <c r="FX30" s="229"/>
      <c r="FY30" s="229"/>
      <c r="FZ30" s="229"/>
      <c r="GA30" s="229"/>
      <c r="GB30" s="229"/>
      <c r="GC30" s="229"/>
      <c r="GD30" s="229"/>
      <c r="GE30" s="229"/>
      <c r="GF30" s="229"/>
      <c r="GG30" s="229"/>
      <c r="GH30" s="229"/>
      <c r="GI30" s="229"/>
      <c r="GJ30" s="229"/>
      <c r="GK30" s="229"/>
      <c r="GL30" s="229"/>
      <c r="GM30" s="229"/>
      <c r="GN30" s="229"/>
      <c r="GO30" s="229"/>
      <c r="GP30" s="229"/>
      <c r="GQ30" s="229"/>
      <c r="GR30" s="229"/>
      <c r="GS30" s="229"/>
      <c r="GT30" s="229"/>
      <c r="GU30" s="229"/>
      <c r="GV30" s="229"/>
      <c r="GW30" s="229"/>
      <c r="GX30" s="229"/>
      <c r="GY30" s="229"/>
      <c r="GZ30" s="229"/>
      <c r="HA30" s="229"/>
      <c r="HB30" s="229"/>
      <c r="HC30" s="229"/>
      <c r="HD30" s="229"/>
      <c r="HE30" s="229"/>
      <c r="HF30" s="229"/>
      <c r="HG30" s="229"/>
      <c r="HH30" s="229"/>
      <c r="HI30" s="229"/>
      <c r="HJ30" s="229"/>
      <c r="HK30" s="229"/>
      <c r="HL30" s="229"/>
      <c r="HM30" s="229"/>
      <c r="HN30" s="229"/>
      <c r="HO30" s="229"/>
      <c r="HP30" s="229"/>
      <c r="HQ30" s="229"/>
      <c r="HR30" s="229"/>
      <c r="HS30" s="229"/>
      <c r="HT30" s="229"/>
      <c r="HU30" s="229"/>
      <c r="HV30" s="229"/>
      <c r="HW30" s="234"/>
      <c r="HX30" s="229"/>
      <c r="HY30" s="229"/>
      <c r="HZ30" s="229"/>
      <c r="IA30" s="229"/>
      <c r="IB30" s="229"/>
      <c r="IC30" s="229"/>
      <c r="ID30" s="229"/>
      <c r="IE30" s="229"/>
      <c r="IF30" s="229"/>
      <c r="IG30" s="229"/>
      <c r="IH30" s="229"/>
      <c r="II30" s="229"/>
      <c r="IJ30" s="235"/>
      <c r="IK30" s="235"/>
      <c r="IL30" s="235"/>
      <c r="IM30" s="235"/>
      <c r="IN30" s="235"/>
      <c r="IO30" s="235"/>
      <c r="IP30" s="235"/>
      <c r="IQ30" s="235"/>
      <c r="IR30" s="235"/>
      <c r="IS30" s="235"/>
      <c r="IT30" s="235"/>
      <c r="IU30" s="235"/>
      <c r="IV30" s="235"/>
      <c r="IW30" s="235"/>
      <c r="IX30" s="235"/>
      <c r="IY30" s="235"/>
      <c r="IZ30" s="235"/>
      <c r="JA30" s="229"/>
      <c r="JB30" s="229"/>
      <c r="JC30" s="229"/>
      <c r="JD30" s="229"/>
      <c r="JE30" s="229"/>
      <c r="JF30" s="229"/>
      <c r="JG30" s="229"/>
      <c r="JH30" s="229"/>
      <c r="JI30" s="229"/>
      <c r="JJ30" s="235"/>
      <c r="JK30" s="235"/>
      <c r="JL30" s="229"/>
      <c r="JM30" s="229"/>
      <c r="JN30" s="229"/>
      <c r="JO30" s="229"/>
      <c r="JP30" s="229"/>
      <c r="JQ30" s="229"/>
      <c r="JR30" s="229"/>
      <c r="JS30" s="229"/>
      <c r="JT30" s="229"/>
      <c r="JU30" s="229"/>
      <c r="JV30" s="229"/>
      <c r="JW30" s="229"/>
      <c r="JX30" s="229"/>
      <c r="JY30" s="229"/>
      <c r="JZ30" s="229"/>
      <c r="KA30" s="229"/>
      <c r="KB30" s="229"/>
      <c r="KC30" s="229"/>
      <c r="QQ30" s="230"/>
      <c r="QR30" s="231"/>
    </row>
    <row r="31" spans="3:460" ht="5.0999999999999996" customHeight="1" x14ac:dyDescent="0.25">
      <c r="C31" s="226"/>
      <c r="D31" s="227"/>
      <c r="E31" s="229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29"/>
      <c r="CQ31" s="229"/>
      <c r="CR31" s="229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29"/>
      <c r="DV31" s="229"/>
      <c r="DW31" s="229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29"/>
      <c r="FB31" s="229"/>
      <c r="FC31" s="229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29"/>
      <c r="GG31" s="229"/>
      <c r="GH31" s="229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29"/>
      <c r="HM31" s="229"/>
      <c r="HN31" s="229"/>
      <c r="HO31" s="229"/>
      <c r="HP31" s="229"/>
      <c r="HQ31" s="229"/>
      <c r="HR31" s="229"/>
      <c r="HS31" s="229"/>
      <c r="HT31" s="229"/>
      <c r="HU31" s="229"/>
      <c r="HV31" s="229"/>
      <c r="HW31" s="234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35"/>
      <c r="IK31" s="235"/>
      <c r="IL31" s="235"/>
      <c r="IM31" s="235"/>
      <c r="IN31" s="235"/>
      <c r="IO31" s="235"/>
      <c r="IP31" s="235"/>
      <c r="IQ31" s="235"/>
      <c r="IR31" s="235"/>
      <c r="IS31" s="235"/>
      <c r="IT31" s="235"/>
      <c r="IU31" s="235"/>
      <c r="IV31" s="235"/>
      <c r="IW31" s="235"/>
      <c r="IX31" s="235"/>
      <c r="IY31" s="235"/>
      <c r="IZ31" s="235"/>
      <c r="JA31" s="229"/>
      <c r="JB31" s="229"/>
      <c r="JC31" s="229"/>
      <c r="JD31" s="229"/>
      <c r="JE31" s="229"/>
      <c r="JF31" s="229"/>
      <c r="JG31" s="229"/>
      <c r="JH31" s="229"/>
      <c r="JI31" s="229"/>
      <c r="JJ31" s="235"/>
      <c r="JK31" s="235"/>
      <c r="JL31" s="229"/>
      <c r="JM31" s="229"/>
      <c r="JN31" s="229"/>
      <c r="JO31" s="229"/>
      <c r="JP31" s="229"/>
      <c r="JQ31" s="229"/>
      <c r="JR31" s="229"/>
      <c r="JS31" s="229"/>
      <c r="JT31" s="229"/>
      <c r="JU31" s="229"/>
      <c r="JV31" s="229"/>
      <c r="JW31" s="229"/>
      <c r="JX31" s="229"/>
      <c r="JY31" s="229"/>
      <c r="JZ31" s="229"/>
      <c r="KA31" s="229"/>
      <c r="KB31" s="229"/>
      <c r="KC31" s="229"/>
      <c r="QQ31" s="230"/>
      <c r="QR31" s="231"/>
    </row>
    <row r="32" spans="3:460" ht="5.0999999999999996" customHeight="1" x14ac:dyDescent="0.25">
      <c r="C32" s="226"/>
      <c r="D32" s="227"/>
      <c r="E32" s="229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  <c r="CL32" s="229"/>
      <c r="CM32" s="229"/>
      <c r="CN32" s="229"/>
      <c r="CO32" s="229"/>
      <c r="CP32" s="229"/>
      <c r="CQ32" s="229"/>
      <c r="CR32" s="229"/>
      <c r="CS32" s="229"/>
      <c r="CT32" s="229"/>
      <c r="CU32" s="229"/>
      <c r="CV32" s="229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29"/>
      <c r="DH32" s="229"/>
      <c r="DI32" s="229"/>
      <c r="DJ32" s="229"/>
      <c r="DK32" s="229"/>
      <c r="DL32" s="229"/>
      <c r="DM32" s="229"/>
      <c r="DN32" s="229"/>
      <c r="DO32" s="229"/>
      <c r="DP32" s="229"/>
      <c r="DQ32" s="229"/>
      <c r="DR32" s="229"/>
      <c r="DS32" s="229"/>
      <c r="DT32" s="229"/>
      <c r="DU32" s="229"/>
      <c r="DV32" s="229"/>
      <c r="DW32" s="229"/>
      <c r="DX32" s="229"/>
      <c r="DY32" s="229"/>
      <c r="DZ32" s="229"/>
      <c r="EA32" s="229"/>
      <c r="EB32" s="229"/>
      <c r="EC32" s="229"/>
      <c r="ED32" s="229"/>
      <c r="EE32" s="229"/>
      <c r="EF32" s="229"/>
      <c r="EG32" s="229"/>
      <c r="EH32" s="229"/>
      <c r="EI32" s="229"/>
      <c r="EJ32" s="229"/>
      <c r="EK32" s="229"/>
      <c r="EL32" s="229"/>
      <c r="EM32" s="229"/>
      <c r="EN32" s="229"/>
      <c r="EO32" s="229"/>
      <c r="EP32" s="229"/>
      <c r="EQ32" s="229"/>
      <c r="ER32" s="229"/>
      <c r="ES32" s="229"/>
      <c r="ET32" s="229"/>
      <c r="EU32" s="229"/>
      <c r="EV32" s="229"/>
      <c r="EW32" s="229"/>
      <c r="EX32" s="229"/>
      <c r="EY32" s="229"/>
      <c r="EZ32" s="229"/>
      <c r="FA32" s="229"/>
      <c r="FB32" s="229"/>
      <c r="FC32" s="229"/>
      <c r="FD32" s="229"/>
      <c r="FE32" s="229"/>
      <c r="FF32" s="229"/>
      <c r="FG32" s="229"/>
      <c r="FH32" s="229"/>
      <c r="FI32" s="229"/>
      <c r="FJ32" s="229"/>
      <c r="FK32" s="229"/>
      <c r="FL32" s="229"/>
      <c r="FM32" s="229"/>
      <c r="FN32" s="229"/>
      <c r="FO32" s="229"/>
      <c r="FP32" s="229"/>
      <c r="FQ32" s="229"/>
      <c r="FR32" s="229"/>
      <c r="FS32" s="229"/>
      <c r="FT32" s="229"/>
      <c r="FU32" s="229"/>
      <c r="FV32" s="229"/>
      <c r="FW32" s="229"/>
      <c r="FX32" s="229"/>
      <c r="FY32" s="229"/>
      <c r="FZ32" s="229"/>
      <c r="GA32" s="229"/>
      <c r="GB32" s="229"/>
      <c r="GC32" s="229"/>
      <c r="GD32" s="229"/>
      <c r="GE32" s="229"/>
      <c r="GF32" s="229"/>
      <c r="GG32" s="229"/>
      <c r="GH32" s="229"/>
      <c r="GI32" s="229"/>
      <c r="GJ32" s="229"/>
      <c r="GK32" s="229"/>
      <c r="GL32" s="229"/>
      <c r="GM32" s="229"/>
      <c r="GN32" s="229"/>
      <c r="GO32" s="229"/>
      <c r="GP32" s="229"/>
      <c r="GQ32" s="229"/>
      <c r="GR32" s="229"/>
      <c r="GS32" s="229"/>
      <c r="GT32" s="229"/>
      <c r="GU32" s="229"/>
      <c r="GV32" s="229"/>
      <c r="GW32" s="229"/>
      <c r="GX32" s="229"/>
      <c r="GY32" s="229"/>
      <c r="GZ32" s="229"/>
      <c r="HA32" s="229"/>
      <c r="HB32" s="229"/>
      <c r="HC32" s="229"/>
      <c r="HD32" s="229"/>
      <c r="HE32" s="229"/>
      <c r="HF32" s="229"/>
      <c r="HG32" s="229"/>
      <c r="HH32" s="229"/>
      <c r="HI32" s="229"/>
      <c r="HJ32" s="229"/>
      <c r="HK32" s="229"/>
      <c r="HL32" s="229"/>
      <c r="HM32" s="229"/>
      <c r="HN32" s="229"/>
      <c r="HO32" s="229"/>
      <c r="HP32" s="229"/>
      <c r="HQ32" s="229"/>
      <c r="HR32" s="229"/>
      <c r="HS32" s="229"/>
      <c r="HT32" s="229"/>
      <c r="HU32" s="229"/>
      <c r="HV32" s="229"/>
      <c r="HW32" s="234"/>
      <c r="HX32" s="229"/>
      <c r="HY32" s="229"/>
      <c r="HZ32" s="229"/>
      <c r="IA32" s="229"/>
      <c r="IB32" s="229"/>
      <c r="IC32" s="229"/>
      <c r="ID32" s="229"/>
      <c r="IE32" s="229"/>
      <c r="IF32" s="229"/>
      <c r="IG32" s="229"/>
      <c r="IH32" s="229"/>
      <c r="II32" s="229"/>
      <c r="IJ32" s="229"/>
      <c r="IK32" s="229"/>
      <c r="IL32" s="229"/>
      <c r="IM32" s="229"/>
      <c r="IN32" s="229"/>
      <c r="IO32" s="229"/>
      <c r="IP32" s="229"/>
      <c r="IQ32" s="229"/>
      <c r="IR32" s="229"/>
      <c r="IS32" s="229"/>
      <c r="IT32" s="229"/>
      <c r="IU32" s="229"/>
      <c r="IV32" s="229"/>
      <c r="IW32" s="229"/>
      <c r="IX32" s="229"/>
      <c r="IY32" s="229"/>
      <c r="IZ32" s="229"/>
      <c r="JA32" s="229"/>
      <c r="JB32" s="229"/>
      <c r="JC32" s="229"/>
      <c r="JD32" s="229"/>
      <c r="JE32" s="229"/>
      <c r="JF32" s="229"/>
      <c r="JG32" s="229"/>
      <c r="JH32" s="229"/>
      <c r="JI32" s="229"/>
      <c r="JL32" s="229"/>
      <c r="JM32" s="229"/>
      <c r="JN32" s="229"/>
      <c r="JO32" s="229"/>
      <c r="JP32" s="229"/>
      <c r="JQ32" s="229"/>
      <c r="JR32" s="229"/>
      <c r="JS32" s="229"/>
      <c r="JT32" s="229"/>
      <c r="JU32" s="229"/>
      <c r="JV32" s="229"/>
      <c r="JW32" s="229"/>
      <c r="JX32" s="229"/>
      <c r="JY32" s="229"/>
      <c r="JZ32" s="229"/>
      <c r="KA32" s="229"/>
      <c r="KB32" s="229"/>
      <c r="KC32" s="229"/>
      <c r="QO32" s="229"/>
      <c r="QP32" s="229"/>
      <c r="QQ32" s="230"/>
      <c r="QR32" s="231"/>
    </row>
    <row r="33" spans="3:460" ht="5.0999999999999996" customHeight="1" thickBot="1" x14ac:dyDescent="0.3">
      <c r="C33" s="226"/>
      <c r="D33" s="227"/>
      <c r="E33" s="229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6"/>
      <c r="CB33" s="236"/>
      <c r="CC33" s="236"/>
      <c r="CD33" s="236"/>
      <c r="CE33" s="236"/>
      <c r="CF33" s="236"/>
      <c r="CG33" s="236"/>
      <c r="CH33" s="236"/>
      <c r="CI33" s="236"/>
      <c r="CJ33" s="236"/>
      <c r="CK33" s="236"/>
      <c r="CL33" s="236"/>
      <c r="CM33" s="236"/>
      <c r="CN33" s="236"/>
      <c r="CO33" s="236"/>
      <c r="CP33" s="236"/>
      <c r="CQ33" s="236"/>
      <c r="CR33" s="236"/>
      <c r="CS33" s="229"/>
      <c r="CT33" s="229"/>
      <c r="CU33" s="229"/>
      <c r="CV33" s="229"/>
      <c r="CW33" s="229"/>
      <c r="CX33" s="229"/>
      <c r="CY33" s="229"/>
      <c r="CZ33" s="229"/>
      <c r="DA33" s="229"/>
      <c r="DB33" s="229"/>
      <c r="DC33" s="229"/>
      <c r="DD33" s="229"/>
      <c r="DE33" s="229"/>
      <c r="DF33" s="229"/>
      <c r="DG33" s="229"/>
      <c r="DH33" s="229"/>
      <c r="DI33" s="229"/>
      <c r="DJ33" s="229"/>
      <c r="DK33" s="236"/>
      <c r="DL33" s="236"/>
      <c r="DM33" s="236"/>
      <c r="DN33" s="236"/>
      <c r="DO33" s="236"/>
      <c r="DP33" s="236"/>
      <c r="DQ33" s="236"/>
      <c r="DR33" s="236"/>
      <c r="DS33" s="236"/>
      <c r="DT33" s="236"/>
      <c r="DU33" s="236"/>
      <c r="DV33" s="236"/>
      <c r="DW33" s="236"/>
      <c r="DX33" s="236"/>
      <c r="DY33" s="236"/>
      <c r="DZ33" s="236"/>
      <c r="EA33" s="236"/>
      <c r="EB33" s="236"/>
      <c r="EC33" s="236"/>
      <c r="ED33" s="236"/>
      <c r="EE33" s="236"/>
      <c r="EF33" s="236"/>
      <c r="EG33" s="236"/>
      <c r="EH33" s="236"/>
      <c r="EI33" s="236"/>
      <c r="EJ33" s="236"/>
      <c r="EK33" s="236"/>
      <c r="EL33" s="236"/>
      <c r="EM33" s="236"/>
      <c r="EN33" s="236"/>
      <c r="EO33" s="236"/>
      <c r="EP33" s="236"/>
      <c r="EQ33" s="236"/>
      <c r="ER33" s="236"/>
      <c r="ES33" s="236"/>
      <c r="ET33" s="236"/>
      <c r="EU33" s="236"/>
      <c r="EV33" s="236"/>
      <c r="EW33" s="236"/>
      <c r="EX33" s="236"/>
      <c r="EY33" s="236"/>
      <c r="EZ33" s="236"/>
      <c r="FA33" s="236"/>
      <c r="FB33" s="236"/>
      <c r="FC33" s="236"/>
      <c r="FD33" s="229"/>
      <c r="FE33" s="229"/>
      <c r="FF33" s="229"/>
      <c r="FG33" s="229"/>
      <c r="FH33" s="229"/>
      <c r="FI33" s="229"/>
      <c r="FJ33" s="229"/>
      <c r="FK33" s="229"/>
      <c r="FL33" s="229"/>
      <c r="FM33" s="229"/>
      <c r="FN33" s="229"/>
      <c r="FO33" s="229"/>
      <c r="FP33" s="229"/>
      <c r="FQ33" s="229"/>
      <c r="FR33" s="229"/>
      <c r="FS33" s="229"/>
      <c r="FT33" s="229"/>
      <c r="FU33" s="229"/>
      <c r="FV33" s="229"/>
      <c r="FW33" s="229"/>
      <c r="FX33" s="229"/>
      <c r="FY33" s="229"/>
      <c r="FZ33" s="229"/>
      <c r="GA33" s="229"/>
      <c r="GB33" s="229"/>
      <c r="GC33" s="229"/>
      <c r="GD33" s="229"/>
      <c r="GE33" s="229"/>
      <c r="GF33" s="229"/>
      <c r="GG33" s="229"/>
      <c r="GH33" s="229"/>
      <c r="GI33" s="229"/>
      <c r="GJ33" s="229"/>
      <c r="GK33" s="229"/>
      <c r="GL33" s="229"/>
      <c r="GM33" s="229"/>
      <c r="GN33" s="229"/>
      <c r="GO33" s="229"/>
      <c r="GP33" s="229"/>
      <c r="GQ33" s="229"/>
      <c r="GR33" s="229"/>
      <c r="GS33" s="229"/>
      <c r="GT33" s="229"/>
      <c r="GU33" s="229"/>
      <c r="GV33" s="229"/>
      <c r="GW33" s="229"/>
      <c r="GX33" s="229"/>
      <c r="GY33" s="229"/>
      <c r="GZ33" s="229"/>
      <c r="HA33" s="229"/>
      <c r="HB33" s="229"/>
      <c r="HC33" s="229"/>
      <c r="HD33" s="229"/>
      <c r="HE33" s="229"/>
      <c r="HF33" s="229"/>
      <c r="HG33" s="229"/>
      <c r="HH33" s="229"/>
      <c r="HI33" s="229"/>
      <c r="HJ33" s="229"/>
      <c r="HK33" s="229"/>
      <c r="HL33" s="229"/>
      <c r="HM33" s="229"/>
      <c r="HN33" s="229"/>
      <c r="HO33" s="229"/>
      <c r="HP33" s="229"/>
      <c r="HQ33" s="229"/>
      <c r="HR33" s="229"/>
      <c r="HS33" s="229"/>
      <c r="HT33" s="229"/>
      <c r="HU33" s="229"/>
      <c r="HV33" s="237"/>
      <c r="HW33" s="234"/>
      <c r="HX33" s="229"/>
      <c r="HY33" s="229"/>
      <c r="HZ33" s="229"/>
      <c r="IA33" s="229"/>
      <c r="IB33" s="229"/>
      <c r="IC33" s="229"/>
      <c r="ID33" s="229"/>
      <c r="IE33" s="229"/>
      <c r="IF33" s="229"/>
      <c r="IG33" s="229"/>
      <c r="IH33" s="229"/>
      <c r="II33" s="229"/>
      <c r="IJ33" s="229"/>
      <c r="IK33" s="229"/>
      <c r="IL33" s="229"/>
      <c r="IM33" s="229"/>
      <c r="IN33" s="229"/>
      <c r="IO33" s="229"/>
      <c r="IP33" s="229"/>
      <c r="IQ33" s="229"/>
      <c r="IR33" s="229"/>
      <c r="IS33" s="229"/>
      <c r="IT33" s="229"/>
      <c r="IU33" s="229"/>
      <c r="IV33" s="229"/>
      <c r="IW33" s="229"/>
      <c r="IX33" s="229"/>
      <c r="IY33" s="229"/>
      <c r="IZ33" s="229"/>
      <c r="JA33" s="229"/>
      <c r="JB33" s="229"/>
      <c r="JC33" s="229"/>
      <c r="JD33" s="229"/>
      <c r="JE33" s="229"/>
      <c r="JF33" s="229"/>
      <c r="JG33" s="229"/>
      <c r="JH33" s="229"/>
      <c r="JI33" s="229"/>
      <c r="JJ33" s="229"/>
      <c r="JK33" s="229"/>
      <c r="JL33" s="229"/>
      <c r="JM33" s="229"/>
      <c r="JN33" s="229"/>
      <c r="JO33" s="229"/>
      <c r="JP33" s="229"/>
      <c r="JQ33" s="229"/>
      <c r="JR33" s="229"/>
      <c r="JS33" s="229"/>
      <c r="JT33" s="229"/>
      <c r="JU33" s="229"/>
      <c r="JV33" s="229"/>
      <c r="JW33" s="229"/>
      <c r="JX33" s="229"/>
      <c r="JY33" s="229"/>
      <c r="JZ33" s="229"/>
      <c r="KA33" s="229"/>
      <c r="KB33" s="229"/>
      <c r="KC33" s="229"/>
      <c r="KN33" s="229"/>
      <c r="KO33" s="229"/>
      <c r="LL33" s="229"/>
      <c r="LM33" s="229"/>
      <c r="LN33" s="229"/>
      <c r="LO33" s="229"/>
      <c r="LP33" s="229"/>
      <c r="LQ33" s="229"/>
      <c r="LR33" s="229"/>
      <c r="LS33" s="229"/>
      <c r="LT33" s="229"/>
      <c r="LU33" s="229"/>
      <c r="LV33" s="229"/>
      <c r="LW33" s="229"/>
      <c r="LX33" s="229"/>
      <c r="QO33" s="229"/>
      <c r="QP33" s="229"/>
      <c r="QQ33" s="230"/>
      <c r="QR33" s="231"/>
    </row>
    <row r="34" spans="3:460" ht="5.0999999999999996" customHeight="1" x14ac:dyDescent="0.25">
      <c r="C34" s="226"/>
      <c r="D34" s="227"/>
      <c r="E34" s="229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38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I34" s="229"/>
      <c r="BJ34" s="229"/>
      <c r="BK34" s="229"/>
      <c r="BL34" s="229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29"/>
      <c r="CQ34" s="229"/>
      <c r="CR34" s="229"/>
      <c r="CS34" s="239"/>
      <c r="CT34" s="239"/>
      <c r="CU34" s="239"/>
      <c r="CV34" s="239"/>
      <c r="CW34" s="239"/>
      <c r="CX34" s="239"/>
      <c r="CY34" s="239"/>
      <c r="CZ34" s="239"/>
      <c r="DA34" s="239"/>
      <c r="DB34" s="239"/>
      <c r="DC34" s="239"/>
      <c r="DD34" s="239"/>
      <c r="DE34" s="239"/>
      <c r="DF34" s="239"/>
      <c r="DG34" s="239"/>
      <c r="DH34" s="239"/>
      <c r="DI34" s="239"/>
      <c r="DJ34" s="23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29"/>
      <c r="DV34" s="229"/>
      <c r="DW34" s="229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38"/>
      <c r="EI34" s="23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29"/>
      <c r="FB34" s="229"/>
      <c r="FC34" s="229"/>
      <c r="FD34" s="239"/>
      <c r="FE34" s="239"/>
      <c r="FF34" s="239"/>
      <c r="FG34" s="239"/>
      <c r="FH34" s="239"/>
      <c r="FI34" s="239"/>
      <c r="FJ34" s="239"/>
      <c r="FK34" s="239"/>
      <c r="FL34" s="239"/>
      <c r="FM34" s="239"/>
      <c r="FN34" s="239"/>
      <c r="FO34" s="239"/>
      <c r="FP34" s="239"/>
      <c r="FQ34" s="239"/>
      <c r="FR34" s="239"/>
      <c r="FS34" s="239"/>
      <c r="FT34" s="239"/>
      <c r="FU34" s="239"/>
      <c r="FV34" s="239"/>
      <c r="FW34" s="239"/>
      <c r="FX34" s="239"/>
      <c r="FY34" s="239"/>
      <c r="FZ34" s="239"/>
      <c r="GA34" s="239"/>
      <c r="GB34" s="239"/>
      <c r="GC34" s="239"/>
      <c r="GD34" s="239"/>
      <c r="GE34" s="239"/>
      <c r="GF34" s="239"/>
      <c r="GG34" s="239"/>
      <c r="GH34" s="239"/>
      <c r="GI34" s="239"/>
      <c r="GJ34" s="239"/>
      <c r="GK34" s="239"/>
      <c r="GL34" s="239"/>
      <c r="GM34" s="239"/>
      <c r="GN34" s="239"/>
      <c r="GO34" s="239"/>
      <c r="GP34" s="239"/>
      <c r="GQ34" s="239"/>
      <c r="GR34" s="239"/>
      <c r="GS34" s="239"/>
      <c r="GT34" s="239"/>
      <c r="GU34" s="239"/>
      <c r="GV34" s="239"/>
      <c r="GW34" s="239"/>
      <c r="GX34" s="239"/>
      <c r="GY34" s="239"/>
      <c r="GZ34" s="239"/>
      <c r="HA34" s="239"/>
      <c r="HB34" s="239"/>
      <c r="HC34" s="239"/>
      <c r="HD34" s="239"/>
      <c r="HE34" s="239"/>
      <c r="HF34" s="239"/>
      <c r="HG34" s="239"/>
      <c r="HH34" s="239"/>
      <c r="HI34" s="239"/>
      <c r="HJ34" s="239"/>
      <c r="HK34" s="239"/>
      <c r="HL34" s="239"/>
      <c r="HM34" s="239"/>
      <c r="HN34" s="239"/>
      <c r="HO34" s="239"/>
      <c r="HP34" s="239"/>
      <c r="HQ34" s="239"/>
      <c r="HR34" s="239"/>
      <c r="HS34" s="239"/>
      <c r="HT34" s="239"/>
      <c r="HU34" s="239"/>
      <c r="HV34" s="239"/>
      <c r="HW34" s="239"/>
      <c r="HX34" s="239"/>
      <c r="HY34" s="239"/>
      <c r="HZ34" s="239"/>
      <c r="IA34" s="239"/>
      <c r="IB34" s="239"/>
      <c r="IC34" s="239"/>
      <c r="ID34" s="239"/>
      <c r="IE34" s="239"/>
      <c r="IF34" s="239"/>
      <c r="IG34" s="239"/>
      <c r="IH34" s="239"/>
      <c r="II34" s="239"/>
      <c r="IJ34" s="239"/>
      <c r="IK34" s="239"/>
      <c r="IL34" s="239"/>
      <c r="IM34" s="239"/>
      <c r="IN34" s="239"/>
      <c r="IO34" s="239"/>
      <c r="IP34" s="239"/>
      <c r="IQ34" s="239"/>
      <c r="IR34" s="239"/>
      <c r="IS34" s="239"/>
      <c r="IT34" s="239"/>
      <c r="IU34" s="239"/>
      <c r="IV34" s="239"/>
      <c r="IW34" s="239"/>
      <c r="IX34" s="239"/>
      <c r="IY34" s="239"/>
      <c r="IZ34" s="239"/>
      <c r="JA34" s="239"/>
      <c r="JB34" s="239"/>
      <c r="JC34" s="239"/>
      <c r="JD34" s="239"/>
      <c r="JE34" s="239"/>
      <c r="JF34" s="239"/>
      <c r="JG34" s="239"/>
      <c r="JH34" s="239"/>
      <c r="JI34" s="239"/>
      <c r="JJ34" s="239"/>
      <c r="JK34" s="239"/>
      <c r="JL34" s="239"/>
      <c r="JM34" s="239"/>
      <c r="JN34" s="239"/>
      <c r="JO34" s="239"/>
      <c r="JP34" s="239"/>
      <c r="JQ34" s="239"/>
      <c r="JR34" s="239"/>
      <c r="JS34" s="239"/>
      <c r="JT34" s="239"/>
      <c r="JU34" s="239"/>
      <c r="JV34" s="239"/>
      <c r="JW34" s="239"/>
      <c r="JX34" s="239"/>
      <c r="JY34" s="239"/>
      <c r="JZ34" s="239"/>
      <c r="KA34" s="239"/>
      <c r="KB34" s="239"/>
      <c r="KC34" s="238"/>
      <c r="KD34" s="239"/>
      <c r="KE34" s="239"/>
      <c r="KF34" s="239"/>
      <c r="KG34" s="239"/>
      <c r="KH34" s="239"/>
      <c r="KI34" s="239"/>
      <c r="KJ34" s="239"/>
      <c r="KK34" s="239"/>
      <c r="KL34" s="239"/>
      <c r="KM34" s="239"/>
      <c r="KN34" s="239"/>
      <c r="KO34" s="239"/>
      <c r="KP34" s="239"/>
      <c r="KQ34" s="239"/>
      <c r="KR34" s="239"/>
      <c r="KS34" s="239"/>
      <c r="KT34" s="239"/>
      <c r="KU34" s="239"/>
      <c r="KV34" s="239"/>
      <c r="KW34" s="239"/>
      <c r="KX34" s="239"/>
      <c r="KY34" s="239"/>
      <c r="KZ34" s="239"/>
      <c r="LA34" s="239"/>
      <c r="LB34" s="239"/>
      <c r="LC34" s="239"/>
      <c r="LD34" s="239"/>
      <c r="LE34" s="239"/>
      <c r="LF34" s="239"/>
      <c r="LG34" s="239"/>
      <c r="LH34" s="239"/>
      <c r="LI34" s="239"/>
      <c r="LJ34" s="239"/>
      <c r="LK34" s="239"/>
      <c r="LL34" s="239"/>
      <c r="LM34" s="239"/>
      <c r="LN34" s="239"/>
      <c r="LO34" s="239"/>
      <c r="LP34" s="239"/>
      <c r="LQ34" s="239"/>
      <c r="LR34" s="239"/>
      <c r="LS34" s="239"/>
      <c r="LT34" s="239"/>
      <c r="LU34" s="239"/>
      <c r="LV34" s="239"/>
      <c r="LW34" s="239"/>
      <c r="LX34" s="240"/>
      <c r="LY34" s="240"/>
      <c r="LZ34" s="240"/>
      <c r="MA34" s="240"/>
      <c r="MB34" s="240"/>
      <c r="MC34" s="240"/>
      <c r="MD34" s="240"/>
      <c r="ME34" s="239"/>
      <c r="MF34" s="239"/>
      <c r="MG34" s="239"/>
      <c r="MH34" s="239"/>
      <c r="MI34" s="239"/>
      <c r="MJ34" s="239"/>
      <c r="MK34" s="239"/>
      <c r="ML34" s="239"/>
      <c r="MM34" s="239"/>
      <c r="MN34" s="239"/>
      <c r="MO34" s="239"/>
      <c r="MP34" s="239"/>
      <c r="MQ34" s="239"/>
      <c r="MR34" s="239"/>
      <c r="MS34" s="239"/>
      <c r="MT34" s="239"/>
      <c r="MU34" s="239"/>
      <c r="MV34" s="239"/>
      <c r="MW34" s="239"/>
      <c r="MX34" s="239"/>
      <c r="MY34" s="239"/>
      <c r="MZ34" s="239"/>
      <c r="NA34" s="239"/>
      <c r="NB34" s="239"/>
      <c r="NC34" s="239"/>
      <c r="ND34" s="239"/>
      <c r="NE34" s="239"/>
      <c r="NF34" s="239"/>
      <c r="NG34" s="239"/>
      <c r="NH34" s="239"/>
      <c r="NI34" s="239"/>
      <c r="NJ34" s="239"/>
      <c r="NK34" s="239"/>
      <c r="NL34" s="239"/>
      <c r="NM34" s="239"/>
      <c r="NN34" s="239"/>
      <c r="NO34" s="239"/>
      <c r="NP34" s="239"/>
      <c r="NQ34" s="239"/>
      <c r="NR34" s="239"/>
      <c r="NS34" s="239"/>
      <c r="NT34" s="239"/>
      <c r="NU34" s="239"/>
      <c r="NV34" s="239"/>
      <c r="NW34" s="239"/>
      <c r="NX34" s="239"/>
      <c r="NY34" s="239"/>
      <c r="NZ34" s="239"/>
      <c r="OA34" s="239"/>
      <c r="OB34" s="239"/>
      <c r="OC34" s="239"/>
      <c r="OD34" s="239"/>
      <c r="OE34" s="239"/>
      <c r="OF34" s="239"/>
      <c r="OG34" s="239"/>
      <c r="OH34" s="239"/>
      <c r="OI34" s="239"/>
      <c r="OJ34" s="239"/>
      <c r="OK34" s="239"/>
      <c r="OL34" s="239"/>
      <c r="OM34" s="239"/>
      <c r="ON34" s="239"/>
      <c r="OO34" s="241"/>
      <c r="QO34" s="229"/>
      <c r="QP34" s="229"/>
      <c r="QQ34" s="230"/>
      <c r="QR34" s="231"/>
    </row>
    <row r="35" spans="3:460" ht="5.0999999999999996" customHeight="1" x14ac:dyDescent="0.25">
      <c r="C35" s="226"/>
      <c r="D35" s="227"/>
      <c r="E35" s="229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9"/>
      <c r="Q35" s="229"/>
      <c r="R35" s="229"/>
      <c r="S35" s="229"/>
      <c r="T35" s="229"/>
      <c r="U35" s="229"/>
      <c r="V35" s="229"/>
      <c r="W35" s="228"/>
      <c r="AC35" s="228"/>
      <c r="AD35" s="228"/>
      <c r="AE35" s="229"/>
      <c r="AF35" s="234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I35" s="229"/>
      <c r="BJ35" s="229"/>
      <c r="BK35" s="229"/>
      <c r="BL35" s="229"/>
      <c r="BM35" s="229"/>
      <c r="BN35" s="229"/>
      <c r="BO35" s="229"/>
      <c r="BP35" s="229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229"/>
      <c r="CG35" s="229"/>
      <c r="CH35" s="229"/>
      <c r="CI35" s="229"/>
      <c r="CJ35" s="229"/>
      <c r="CK35" s="229"/>
      <c r="CL35" s="229"/>
      <c r="CM35" s="229"/>
      <c r="CN35" s="229"/>
      <c r="CO35" s="229"/>
      <c r="CP35" s="229"/>
      <c r="CQ35" s="229"/>
      <c r="CR35" s="229"/>
      <c r="CS35" s="229"/>
      <c r="CT35" s="229"/>
      <c r="CU35" s="229"/>
      <c r="CV35" s="229"/>
      <c r="CW35" s="229"/>
      <c r="CX35" s="229"/>
      <c r="CY35" s="229"/>
      <c r="CZ35" s="229"/>
      <c r="DA35" s="229"/>
      <c r="DB35" s="229"/>
      <c r="DC35" s="229"/>
      <c r="DD35" s="229"/>
      <c r="DE35" s="229"/>
      <c r="DF35" s="229"/>
      <c r="DG35" s="229"/>
      <c r="DH35" s="229"/>
      <c r="DI35" s="229"/>
      <c r="DJ35" s="229"/>
      <c r="DK35" s="229"/>
      <c r="DL35" s="229"/>
      <c r="DM35" s="229"/>
      <c r="DN35" s="229"/>
      <c r="DO35" s="229"/>
      <c r="DP35" s="229"/>
      <c r="DQ35" s="229"/>
      <c r="DR35" s="229"/>
      <c r="DS35" s="229"/>
      <c r="DT35" s="229"/>
      <c r="DU35" s="229"/>
      <c r="DV35" s="229"/>
      <c r="DW35" s="229"/>
      <c r="DX35" s="229"/>
      <c r="DY35" s="229"/>
      <c r="DZ35" s="229"/>
      <c r="EA35" s="229"/>
      <c r="EB35" s="229"/>
      <c r="EC35" s="229"/>
      <c r="ED35" s="229"/>
      <c r="EE35" s="229"/>
      <c r="EF35" s="229"/>
      <c r="EG35" s="229"/>
      <c r="EH35" s="234"/>
      <c r="EI35" s="229"/>
      <c r="EJ35" s="229"/>
      <c r="EK35" s="229"/>
      <c r="EL35" s="229"/>
      <c r="EM35" s="229"/>
      <c r="EN35" s="229"/>
      <c r="EO35" s="229"/>
      <c r="EP35" s="229"/>
      <c r="EQ35" s="229"/>
      <c r="ER35" s="229"/>
      <c r="ES35" s="229"/>
      <c r="ET35" s="229"/>
      <c r="EU35" s="229"/>
      <c r="EV35" s="229"/>
      <c r="EW35" s="229"/>
      <c r="EX35" s="229"/>
      <c r="EY35" s="229"/>
      <c r="EZ35" s="229"/>
      <c r="FA35" s="229"/>
      <c r="FB35" s="229"/>
      <c r="FC35" s="229"/>
      <c r="FD35" s="229"/>
      <c r="FE35" s="229"/>
      <c r="FF35" s="229"/>
      <c r="FG35" s="229"/>
      <c r="FH35" s="229"/>
      <c r="FI35" s="229"/>
      <c r="FJ35" s="229"/>
      <c r="FK35" s="229"/>
      <c r="FL35" s="229"/>
      <c r="FM35" s="229"/>
      <c r="FN35" s="229"/>
      <c r="FO35" s="229"/>
      <c r="FP35" s="229"/>
      <c r="FQ35" s="229"/>
      <c r="FR35" s="229"/>
      <c r="FS35" s="229"/>
      <c r="FT35" s="229"/>
      <c r="FU35" s="229"/>
      <c r="FV35" s="229"/>
      <c r="FW35" s="229"/>
      <c r="FX35" s="229"/>
      <c r="FY35" s="229"/>
      <c r="FZ35" s="229"/>
      <c r="GA35" s="229"/>
      <c r="GB35" s="229"/>
      <c r="GC35" s="229"/>
      <c r="GD35" s="229"/>
      <c r="GE35" s="229"/>
      <c r="GF35" s="229"/>
      <c r="GG35" s="229"/>
      <c r="GH35" s="229"/>
      <c r="GI35" s="229"/>
      <c r="GJ35" s="229"/>
      <c r="GK35" s="229"/>
      <c r="GL35" s="229"/>
      <c r="GM35" s="229"/>
      <c r="GN35" s="229"/>
      <c r="GO35" s="229"/>
      <c r="GP35" s="229"/>
      <c r="GQ35" s="229"/>
      <c r="GR35" s="229"/>
      <c r="GS35" s="229"/>
      <c r="GT35" s="229"/>
      <c r="GU35" s="229"/>
      <c r="GV35" s="229"/>
      <c r="GW35" s="229"/>
      <c r="GX35" s="229"/>
      <c r="GY35" s="229"/>
      <c r="GZ35" s="229"/>
      <c r="HA35" s="229"/>
      <c r="HB35" s="229"/>
      <c r="HC35" s="229"/>
      <c r="HD35" s="229"/>
      <c r="HE35" s="229"/>
      <c r="HF35" s="229"/>
      <c r="HG35" s="229"/>
      <c r="HH35" s="229"/>
      <c r="HI35" s="229"/>
      <c r="HJ35" s="229"/>
      <c r="HK35" s="229"/>
      <c r="HL35" s="229"/>
      <c r="HM35" s="229"/>
      <c r="HN35" s="229"/>
      <c r="HO35" s="229"/>
      <c r="HP35" s="229"/>
      <c r="HQ35" s="229"/>
      <c r="HR35" s="229"/>
      <c r="HS35" s="229"/>
      <c r="HT35" s="229"/>
      <c r="HU35" s="229"/>
      <c r="HV35" s="229"/>
      <c r="HW35" s="229"/>
      <c r="HX35" s="229"/>
      <c r="HY35" s="229"/>
      <c r="HZ35" s="229"/>
      <c r="IA35" s="229"/>
      <c r="IB35" s="229"/>
      <c r="IC35" s="229"/>
      <c r="ID35" s="229"/>
      <c r="IE35" s="229"/>
      <c r="IF35" s="229"/>
      <c r="IG35" s="229"/>
      <c r="IH35" s="229"/>
      <c r="II35" s="229"/>
      <c r="IJ35" s="229"/>
      <c r="IK35" s="229"/>
      <c r="IL35" s="229"/>
      <c r="IM35" s="229"/>
      <c r="IN35" s="229"/>
      <c r="IO35" s="229"/>
      <c r="IP35" s="229"/>
      <c r="IQ35" s="229"/>
      <c r="IR35" s="229"/>
      <c r="IS35" s="229"/>
      <c r="IT35" s="229"/>
      <c r="IU35" s="229"/>
      <c r="IV35" s="229"/>
      <c r="IW35" s="229"/>
      <c r="IX35" s="229"/>
      <c r="IY35" s="229"/>
      <c r="IZ35" s="229"/>
      <c r="JA35" s="229"/>
      <c r="JB35" s="229"/>
      <c r="JC35" s="229"/>
      <c r="JD35" s="229"/>
      <c r="JE35" s="229"/>
      <c r="JF35" s="229"/>
      <c r="JG35" s="229"/>
      <c r="JH35" s="229"/>
      <c r="JI35" s="229"/>
      <c r="JJ35" s="229"/>
      <c r="JK35" s="229"/>
      <c r="JL35" s="229"/>
      <c r="JM35" s="229"/>
      <c r="JN35" s="229"/>
      <c r="JO35" s="229"/>
      <c r="JP35" s="229"/>
      <c r="JQ35" s="229"/>
      <c r="JR35" s="229"/>
      <c r="JS35" s="229"/>
      <c r="JT35" s="229"/>
      <c r="JU35" s="229"/>
      <c r="JV35" s="229"/>
      <c r="JW35" s="229"/>
      <c r="JX35" s="229"/>
      <c r="JY35" s="229"/>
      <c r="JZ35" s="229"/>
      <c r="KA35" s="229"/>
      <c r="KB35" s="229"/>
      <c r="KC35" s="234"/>
      <c r="KD35" s="229"/>
      <c r="KE35" s="229"/>
      <c r="KF35" s="229"/>
      <c r="KG35" s="229"/>
      <c r="KH35" s="229"/>
      <c r="KI35" s="229"/>
      <c r="KJ35" s="229"/>
      <c r="KK35" s="229"/>
      <c r="KL35" s="229"/>
      <c r="KM35" s="229"/>
      <c r="KN35" s="229"/>
      <c r="KO35" s="229"/>
      <c r="KP35" s="229"/>
      <c r="KQ35" s="229"/>
      <c r="KR35" s="229"/>
      <c r="KS35" s="229"/>
      <c r="KT35" s="229"/>
      <c r="KU35" s="229"/>
      <c r="KV35" s="229"/>
      <c r="KW35" s="229"/>
      <c r="KX35" s="229"/>
      <c r="KY35" s="229"/>
      <c r="KZ35" s="229"/>
      <c r="LA35" s="229"/>
      <c r="LB35" s="229"/>
      <c r="LC35" s="229"/>
      <c r="LD35" s="229"/>
      <c r="LE35" s="229"/>
      <c r="LF35" s="229"/>
      <c r="LG35" s="229"/>
      <c r="LH35" s="229"/>
      <c r="LI35" s="229"/>
      <c r="LJ35" s="229"/>
      <c r="LK35" s="229"/>
      <c r="LL35" s="229"/>
      <c r="LM35" s="229"/>
      <c r="LN35" s="229"/>
      <c r="LO35" s="229"/>
      <c r="LP35" s="229"/>
      <c r="LQ35" s="229"/>
      <c r="LR35" s="229"/>
      <c r="LS35" s="229"/>
      <c r="LT35" s="229"/>
      <c r="LU35" s="229"/>
      <c r="LV35" s="229"/>
      <c r="LW35" s="229"/>
      <c r="LX35" s="229"/>
      <c r="LY35" s="229"/>
      <c r="LZ35" s="229"/>
      <c r="MA35" s="229"/>
      <c r="MB35" s="229"/>
      <c r="MC35" s="229"/>
      <c r="MD35" s="229"/>
      <c r="ME35" s="229"/>
      <c r="MF35" s="229"/>
      <c r="MG35" s="229"/>
      <c r="MH35" s="229"/>
      <c r="MI35" s="229"/>
      <c r="MJ35" s="229"/>
      <c r="MK35" s="229"/>
      <c r="ML35" s="229"/>
      <c r="MM35" s="229"/>
      <c r="MN35" s="229"/>
      <c r="MO35" s="229"/>
      <c r="MP35" s="229"/>
      <c r="MQ35" s="229"/>
      <c r="MR35" s="229"/>
      <c r="MS35" s="229"/>
      <c r="MT35" s="229"/>
      <c r="MU35" s="229"/>
      <c r="MV35" s="229"/>
      <c r="MW35" s="229"/>
      <c r="MX35" s="229"/>
      <c r="MY35" s="229"/>
      <c r="MZ35" s="229"/>
      <c r="NA35" s="229"/>
      <c r="NB35" s="229"/>
      <c r="NC35" s="229"/>
      <c r="ND35" s="229"/>
      <c r="NE35" s="229"/>
      <c r="NF35" s="229"/>
      <c r="NG35" s="229"/>
      <c r="NH35" s="229"/>
      <c r="NI35" s="229"/>
      <c r="NJ35" s="229"/>
      <c r="NK35" s="229"/>
      <c r="NL35" s="229"/>
      <c r="NM35" s="229"/>
      <c r="NN35" s="229"/>
      <c r="NO35" s="229"/>
      <c r="NP35" s="229"/>
      <c r="NQ35" s="229"/>
      <c r="NR35" s="229"/>
      <c r="NS35" s="229"/>
      <c r="NT35" s="229"/>
      <c r="NU35" s="229"/>
      <c r="NV35" s="229"/>
      <c r="NW35" s="229"/>
      <c r="NX35" s="229"/>
      <c r="NY35" s="229"/>
      <c r="NZ35" s="229"/>
      <c r="OA35" s="229"/>
      <c r="OB35" s="229"/>
      <c r="OC35" s="229"/>
      <c r="OD35" s="229"/>
      <c r="OE35" s="229"/>
      <c r="OF35" s="229"/>
      <c r="OG35" s="229"/>
      <c r="OH35" s="229"/>
      <c r="OI35" s="229"/>
      <c r="OJ35" s="229"/>
      <c r="OK35" s="229"/>
      <c r="OL35" s="229"/>
      <c r="OM35" s="229"/>
      <c r="ON35" s="229"/>
      <c r="OO35" s="237"/>
      <c r="QO35" s="229"/>
      <c r="QP35" s="229"/>
      <c r="QQ35" s="230"/>
      <c r="QR35" s="231"/>
    </row>
    <row r="36" spans="3:460" ht="5.0999999999999996" customHeight="1" x14ac:dyDescent="0.25">
      <c r="C36" s="226"/>
      <c r="D36" s="227"/>
      <c r="E36" s="229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AC36" s="228"/>
      <c r="AD36" s="228"/>
      <c r="AE36" s="228"/>
      <c r="AF36" s="242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I36" s="228"/>
      <c r="BJ36" s="228"/>
      <c r="BK36" s="229"/>
      <c r="BL36" s="229"/>
      <c r="BM36" s="229"/>
      <c r="BN36" s="229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29"/>
      <c r="CG36" s="229"/>
      <c r="CH36" s="229"/>
      <c r="CI36" s="229"/>
      <c r="CJ36" s="229"/>
      <c r="CK36" s="229"/>
      <c r="CL36" s="229"/>
      <c r="CM36" s="229"/>
      <c r="CN36" s="229"/>
      <c r="CO36" s="229"/>
      <c r="CP36" s="229"/>
      <c r="CQ36" s="229"/>
      <c r="CR36" s="229"/>
      <c r="CS36" s="229"/>
      <c r="CT36" s="229"/>
      <c r="CU36" s="229"/>
      <c r="CV36" s="229"/>
      <c r="CW36" s="229"/>
      <c r="CX36" s="229"/>
      <c r="CY36" s="229"/>
      <c r="CZ36" s="229"/>
      <c r="DA36" s="229"/>
      <c r="DB36" s="229"/>
      <c r="DC36" s="229"/>
      <c r="DD36" s="229"/>
      <c r="DE36" s="229"/>
      <c r="DF36" s="229"/>
      <c r="DG36" s="229"/>
      <c r="DH36" s="229"/>
      <c r="DI36" s="229"/>
      <c r="DJ36" s="229"/>
      <c r="DK36" s="229"/>
      <c r="DL36" s="229"/>
      <c r="DM36" s="229"/>
      <c r="DN36" s="229"/>
      <c r="DO36" s="229"/>
      <c r="DP36" s="229"/>
      <c r="DQ36" s="229"/>
      <c r="DR36" s="229"/>
      <c r="DS36" s="229"/>
      <c r="DT36" s="229"/>
      <c r="DU36" s="229"/>
      <c r="DV36" s="229"/>
      <c r="DW36" s="229"/>
      <c r="DX36" s="229"/>
      <c r="DY36" s="229"/>
      <c r="DZ36" s="229"/>
      <c r="EA36" s="229"/>
      <c r="EB36" s="229"/>
      <c r="EC36" s="229"/>
      <c r="ED36" s="229"/>
      <c r="EE36" s="229"/>
      <c r="EF36" s="229"/>
      <c r="EG36" s="229"/>
      <c r="EH36" s="234"/>
      <c r="EI36" s="229"/>
      <c r="EJ36" s="229"/>
      <c r="EK36" s="229"/>
      <c r="EL36" s="229"/>
      <c r="EM36" s="229"/>
      <c r="EN36" s="229"/>
      <c r="EO36" s="229"/>
      <c r="EP36" s="229"/>
      <c r="EQ36" s="229"/>
      <c r="ER36" s="229"/>
      <c r="ES36" s="229"/>
      <c r="ET36" s="229"/>
      <c r="EU36" s="229"/>
      <c r="EV36" s="229"/>
      <c r="EX36" s="229"/>
      <c r="EY36" s="229"/>
      <c r="EZ36" s="229"/>
      <c r="FA36" s="229"/>
      <c r="FB36" s="229"/>
      <c r="FC36" s="229"/>
      <c r="FD36" s="229"/>
      <c r="FE36" s="229"/>
      <c r="FF36" s="229"/>
      <c r="FG36" s="229"/>
      <c r="FH36" s="229"/>
      <c r="FI36" s="229"/>
      <c r="FJ36" s="229"/>
      <c r="FK36" s="229"/>
      <c r="FL36" s="229"/>
      <c r="FM36" s="229"/>
      <c r="FN36" s="229"/>
      <c r="FO36" s="229"/>
      <c r="FP36" s="229"/>
      <c r="FQ36" s="229"/>
      <c r="FR36" s="229"/>
      <c r="FS36" s="229"/>
      <c r="FT36" s="229"/>
      <c r="FU36" s="229"/>
      <c r="FV36" s="229"/>
      <c r="FW36" s="229"/>
      <c r="FX36" s="229"/>
      <c r="FY36" s="229"/>
      <c r="FZ36" s="229"/>
      <c r="GA36" s="229"/>
      <c r="GB36" s="229"/>
      <c r="GC36" s="229"/>
      <c r="GD36" s="229"/>
      <c r="GE36" s="229"/>
      <c r="GF36" s="229"/>
      <c r="GG36" s="229"/>
      <c r="GH36" s="229"/>
      <c r="GI36" s="229"/>
      <c r="GJ36" s="229"/>
      <c r="GK36" s="229"/>
      <c r="GL36" s="229"/>
      <c r="GM36" s="229"/>
      <c r="GN36" s="229"/>
      <c r="GO36" s="229"/>
      <c r="GP36" s="229"/>
      <c r="GQ36" s="229"/>
      <c r="GR36" s="229"/>
      <c r="GS36" s="229"/>
      <c r="GT36" s="229"/>
      <c r="GU36" s="229"/>
      <c r="GV36" s="229"/>
      <c r="GW36" s="229"/>
      <c r="GX36" s="229"/>
      <c r="GY36" s="229"/>
      <c r="GZ36" s="229"/>
      <c r="HA36" s="243"/>
      <c r="HB36" s="229"/>
      <c r="HC36" s="229"/>
      <c r="HD36" s="229"/>
      <c r="HE36" s="229"/>
      <c r="HF36" s="229"/>
      <c r="HG36" s="229"/>
      <c r="HH36" s="229"/>
      <c r="HI36" s="229"/>
      <c r="HJ36" s="229"/>
      <c r="HK36" s="229"/>
      <c r="HL36" s="229"/>
      <c r="HM36" s="229"/>
      <c r="HN36" s="229"/>
      <c r="HO36" s="229"/>
      <c r="HP36" s="229"/>
      <c r="HQ36" s="229"/>
      <c r="HR36" s="229"/>
      <c r="HS36" s="229"/>
      <c r="HT36" s="229"/>
      <c r="HU36" s="229"/>
      <c r="HV36" s="229"/>
      <c r="HW36" s="229"/>
      <c r="HX36" s="229"/>
      <c r="HY36" s="229"/>
      <c r="HZ36" s="229"/>
      <c r="IA36" s="229"/>
      <c r="IB36" s="229"/>
      <c r="IC36" s="229"/>
      <c r="ID36" s="229"/>
      <c r="IE36" s="229"/>
      <c r="IF36" s="229"/>
      <c r="IG36" s="229"/>
      <c r="IH36" s="229"/>
      <c r="II36" s="229"/>
      <c r="IJ36" s="229"/>
      <c r="IK36" s="229"/>
      <c r="IL36" s="229"/>
      <c r="IM36" s="229"/>
      <c r="IN36" s="229"/>
      <c r="IO36" s="229"/>
      <c r="IP36" s="229"/>
      <c r="IQ36" s="229"/>
      <c r="IR36" s="229"/>
      <c r="IS36" s="229"/>
      <c r="IT36" s="229"/>
      <c r="IU36" s="229"/>
      <c r="IV36" s="229"/>
      <c r="IW36" s="229"/>
      <c r="IX36" s="229"/>
      <c r="IY36" s="229"/>
      <c r="IZ36" s="229"/>
      <c r="JA36" s="229"/>
      <c r="JB36" s="229"/>
      <c r="JC36" s="229"/>
      <c r="JD36" s="229"/>
      <c r="JE36" s="229"/>
      <c r="JF36" s="229"/>
      <c r="JG36" s="229"/>
      <c r="JH36" s="229"/>
      <c r="JI36" s="229"/>
      <c r="JJ36" s="229"/>
      <c r="JK36" s="229"/>
      <c r="JL36" s="229"/>
      <c r="JM36" s="229"/>
      <c r="JZ36" s="229"/>
      <c r="KA36" s="229"/>
      <c r="KB36" s="229"/>
      <c r="KC36" s="234"/>
      <c r="KD36" s="229"/>
      <c r="KE36" s="229"/>
      <c r="KF36" s="229"/>
      <c r="KG36" s="229"/>
      <c r="KH36" s="229"/>
      <c r="KI36" s="229"/>
      <c r="KJ36" s="229"/>
      <c r="KK36" s="229"/>
      <c r="KL36" s="229"/>
      <c r="KM36" s="229"/>
      <c r="LJ36" s="229"/>
      <c r="LK36" s="229"/>
      <c r="LL36" s="229"/>
      <c r="LM36" s="229"/>
      <c r="LN36" s="229"/>
      <c r="LO36" s="229"/>
      <c r="LP36" s="229"/>
      <c r="LQ36" s="229"/>
      <c r="LR36" s="229"/>
      <c r="LS36" s="229"/>
      <c r="LT36" s="229"/>
      <c r="LU36" s="229"/>
      <c r="LV36" s="229"/>
      <c r="LW36" s="229"/>
      <c r="LX36" s="229"/>
      <c r="LY36" s="229"/>
      <c r="LZ36" s="229"/>
      <c r="MA36" s="229"/>
      <c r="MB36" s="229"/>
      <c r="MC36" s="229"/>
      <c r="MD36" s="229"/>
      <c r="ME36" s="229"/>
      <c r="MF36" s="229"/>
      <c r="MG36" s="229"/>
      <c r="MH36" s="229"/>
      <c r="MI36" s="229"/>
      <c r="MJ36" s="229"/>
      <c r="MK36" s="229"/>
      <c r="ML36" s="229"/>
      <c r="NS36" s="372" t="s">
        <v>407</v>
      </c>
      <c r="NT36" s="373"/>
      <c r="NU36" s="373"/>
      <c r="NV36" s="373"/>
      <c r="NW36" s="373"/>
      <c r="NX36" s="373"/>
      <c r="NY36" s="373"/>
      <c r="NZ36" s="373"/>
      <c r="OA36" s="373"/>
      <c r="OB36" s="373"/>
      <c r="OC36" s="373"/>
      <c r="OD36" s="373"/>
      <c r="OE36" s="373"/>
      <c r="OF36" s="373"/>
      <c r="OG36" s="373"/>
      <c r="OH36" s="373"/>
      <c r="OI36" s="373"/>
      <c r="OJ36" s="373"/>
      <c r="OK36" s="373"/>
      <c r="OL36" s="373"/>
      <c r="OM36" s="373"/>
      <c r="ON36" s="373"/>
      <c r="OO36" s="373"/>
      <c r="OP36" s="373"/>
      <c r="OQ36" s="373"/>
      <c r="OR36" s="373"/>
      <c r="OS36" s="373"/>
      <c r="OT36" s="373"/>
      <c r="OU36" s="373"/>
      <c r="OV36" s="373"/>
      <c r="OW36" s="373"/>
      <c r="OX36" s="373"/>
      <c r="OY36" s="373"/>
      <c r="OZ36" s="373"/>
      <c r="PA36" s="373"/>
      <c r="PB36" s="373"/>
      <c r="PC36" s="373"/>
      <c r="PD36" s="373"/>
      <c r="PE36" s="373"/>
      <c r="PF36" s="373"/>
      <c r="PG36" s="427"/>
      <c r="PH36" s="431">
        <f>SUM(PK53,PL68,OJ64)</f>
        <v>2</v>
      </c>
      <c r="PI36" s="373"/>
      <c r="PJ36" s="373"/>
      <c r="PK36" s="373"/>
      <c r="PL36" s="373"/>
      <c r="PM36" s="374"/>
      <c r="PN36" s="229"/>
      <c r="PO36" s="229"/>
      <c r="PP36" s="229"/>
      <c r="PQ36" s="229"/>
      <c r="PR36" s="229"/>
      <c r="PS36" s="229"/>
      <c r="PT36" s="229"/>
      <c r="PU36" s="229"/>
      <c r="PV36" s="229"/>
      <c r="PW36" s="229"/>
      <c r="PX36" s="229"/>
      <c r="PY36" s="229"/>
      <c r="PZ36" s="229"/>
      <c r="QA36" s="229"/>
      <c r="QB36" s="229"/>
      <c r="QC36" s="229"/>
      <c r="QD36" s="229"/>
      <c r="QE36" s="229"/>
      <c r="QF36" s="229"/>
      <c r="QG36" s="229"/>
      <c r="QH36" s="229"/>
      <c r="QI36" s="229"/>
      <c r="QJ36" s="229"/>
      <c r="QK36" s="229"/>
      <c r="QL36" s="229"/>
      <c r="QM36" s="229"/>
      <c r="QN36" s="229"/>
      <c r="QQ36" s="230"/>
      <c r="QR36" s="231"/>
    </row>
    <row r="37" spans="3:460" ht="5.0999999999999996" customHeight="1" x14ac:dyDescent="0.25">
      <c r="C37" s="226"/>
      <c r="D37" s="227"/>
      <c r="E37" s="229"/>
      <c r="F37" s="228"/>
      <c r="G37" s="228"/>
      <c r="H37" s="228"/>
      <c r="I37" s="430" t="s">
        <v>408</v>
      </c>
      <c r="J37" s="430"/>
      <c r="K37" s="430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430"/>
      <c r="Y37" s="430"/>
      <c r="Z37" s="430"/>
      <c r="AA37" s="430"/>
      <c r="AB37" s="430"/>
      <c r="AC37" s="430"/>
      <c r="AD37" s="430"/>
      <c r="AE37" s="430"/>
      <c r="AF37" s="430"/>
      <c r="AG37" s="430"/>
      <c r="AH37" s="430"/>
      <c r="AI37" s="430"/>
      <c r="AJ37" s="430"/>
      <c r="AK37" s="430"/>
      <c r="AL37" s="430"/>
      <c r="AM37" s="430"/>
      <c r="AN37" s="430"/>
      <c r="AO37" s="430"/>
      <c r="AP37" s="430"/>
      <c r="AQ37" s="430"/>
      <c r="AR37" s="430"/>
      <c r="AS37" s="430"/>
      <c r="AT37" s="430"/>
      <c r="AU37" s="430"/>
      <c r="AV37" s="430"/>
      <c r="AW37" s="430"/>
      <c r="AX37" s="430">
        <f>SUM(AX48:BB87)</f>
        <v>12</v>
      </c>
      <c r="AY37" s="430"/>
      <c r="AZ37" s="430"/>
      <c r="BA37" s="430"/>
      <c r="BB37" s="430"/>
      <c r="BC37" s="228"/>
      <c r="BD37" s="228"/>
      <c r="BI37" s="228"/>
      <c r="BJ37" s="228"/>
      <c r="BK37" s="228"/>
      <c r="BL37" s="228"/>
      <c r="BM37" s="228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 t="s">
        <v>409</v>
      </c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29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>
        <v>2</v>
      </c>
      <c r="DQ37" s="229"/>
      <c r="DR37" s="229"/>
      <c r="DS37" s="229"/>
      <c r="DT37" s="229"/>
      <c r="DU37" s="229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34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X37" s="229"/>
      <c r="EY37" s="229"/>
      <c r="EZ37" s="229"/>
      <c r="FA37" s="229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29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43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29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29"/>
      <c r="IS37" s="229"/>
      <c r="IT37" s="229"/>
      <c r="IU37" s="229"/>
      <c r="IV37" s="229"/>
      <c r="IW37" s="229"/>
      <c r="IX37" s="229"/>
      <c r="IY37" s="229"/>
      <c r="IZ37" s="229"/>
      <c r="JA37" s="229"/>
      <c r="JB37" s="229"/>
      <c r="JC37" s="229"/>
      <c r="JD37" s="229"/>
      <c r="JE37" s="229"/>
      <c r="JF37" s="229"/>
      <c r="JG37" s="229"/>
      <c r="JH37" s="229"/>
      <c r="JI37" s="229"/>
      <c r="JJ37" s="229"/>
      <c r="JK37" s="229"/>
      <c r="JL37" s="229"/>
      <c r="JM37" s="229"/>
      <c r="JZ37" s="229"/>
      <c r="KA37" s="229"/>
      <c r="KB37" s="229"/>
      <c r="KC37" s="234"/>
      <c r="KD37" s="229"/>
      <c r="KE37" s="229"/>
      <c r="KF37" s="229"/>
      <c r="KG37" s="229"/>
      <c r="KH37" s="229"/>
      <c r="KI37" s="229"/>
      <c r="KJ37" s="229"/>
      <c r="KK37" s="229"/>
      <c r="KL37" s="229"/>
      <c r="KM37" s="229"/>
      <c r="LJ37" s="229"/>
      <c r="LK37" s="229"/>
      <c r="LL37" s="229"/>
      <c r="LM37" s="229"/>
      <c r="LN37" s="229"/>
      <c r="LO37" s="229"/>
      <c r="LP37" s="229"/>
      <c r="LQ37" s="229"/>
      <c r="LR37" s="229"/>
      <c r="LS37" s="229"/>
      <c r="LT37" s="229"/>
      <c r="LU37" s="229"/>
      <c r="LV37" s="229"/>
      <c r="LW37" s="229"/>
      <c r="LX37" s="229"/>
      <c r="LY37" s="229"/>
      <c r="LZ37" s="229"/>
      <c r="MA37" s="229"/>
      <c r="MB37" s="229"/>
      <c r="MC37" s="229"/>
      <c r="MD37" s="229"/>
      <c r="ME37" s="229"/>
      <c r="MF37" s="229"/>
      <c r="MG37" s="229"/>
      <c r="MH37" s="229"/>
      <c r="MI37" s="229"/>
      <c r="MJ37" s="229"/>
      <c r="MK37" s="229"/>
      <c r="ML37" s="229"/>
      <c r="NS37" s="375"/>
      <c r="NT37" s="376"/>
      <c r="NU37" s="376"/>
      <c r="NV37" s="376"/>
      <c r="NW37" s="376"/>
      <c r="NX37" s="376"/>
      <c r="NY37" s="376"/>
      <c r="NZ37" s="376"/>
      <c r="OA37" s="376"/>
      <c r="OB37" s="376"/>
      <c r="OC37" s="376"/>
      <c r="OD37" s="376"/>
      <c r="OE37" s="376"/>
      <c r="OF37" s="376"/>
      <c r="OG37" s="376"/>
      <c r="OH37" s="376"/>
      <c r="OI37" s="376"/>
      <c r="OJ37" s="376"/>
      <c r="OK37" s="376"/>
      <c r="OL37" s="376"/>
      <c r="OM37" s="376"/>
      <c r="ON37" s="376"/>
      <c r="OO37" s="376"/>
      <c r="OP37" s="376"/>
      <c r="OQ37" s="376"/>
      <c r="OR37" s="376"/>
      <c r="OS37" s="376"/>
      <c r="OT37" s="376"/>
      <c r="OU37" s="376"/>
      <c r="OV37" s="376"/>
      <c r="OW37" s="376"/>
      <c r="OX37" s="376"/>
      <c r="OY37" s="376"/>
      <c r="OZ37" s="376"/>
      <c r="PA37" s="376"/>
      <c r="PB37" s="376"/>
      <c r="PC37" s="376"/>
      <c r="PD37" s="376"/>
      <c r="PE37" s="376"/>
      <c r="PF37" s="376"/>
      <c r="PG37" s="428"/>
      <c r="PH37" s="432"/>
      <c r="PI37" s="376"/>
      <c r="PJ37" s="376"/>
      <c r="PK37" s="376"/>
      <c r="PL37" s="376"/>
      <c r="PM37" s="377"/>
      <c r="PR37" s="229"/>
      <c r="PS37" s="229"/>
      <c r="QQ37" s="230"/>
      <c r="QR37" s="231"/>
    </row>
    <row r="38" spans="3:460" ht="5.0999999999999996" customHeight="1" x14ac:dyDescent="0.25">
      <c r="C38" s="226"/>
      <c r="D38" s="227"/>
      <c r="E38" s="229"/>
      <c r="F38" s="228"/>
      <c r="G38" s="228"/>
      <c r="H38" s="228"/>
      <c r="I38" s="430"/>
      <c r="J38" s="430"/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  <c r="AA38" s="430"/>
      <c r="AB38" s="430"/>
      <c r="AC38" s="430"/>
      <c r="AD38" s="430"/>
      <c r="AE38" s="430"/>
      <c r="AF38" s="430"/>
      <c r="AG38" s="430"/>
      <c r="AH38" s="430"/>
      <c r="AI38" s="430"/>
      <c r="AJ38" s="430"/>
      <c r="AK38" s="430"/>
      <c r="AL38" s="430"/>
      <c r="AM38" s="430"/>
      <c r="AN38" s="430"/>
      <c r="AO38" s="430"/>
      <c r="AP38" s="430"/>
      <c r="AQ38" s="430"/>
      <c r="AR38" s="430"/>
      <c r="AS38" s="430"/>
      <c r="AT38" s="430"/>
      <c r="AU38" s="430"/>
      <c r="AV38" s="430"/>
      <c r="AW38" s="430"/>
      <c r="AX38" s="430"/>
      <c r="AY38" s="430"/>
      <c r="AZ38" s="430"/>
      <c r="BA38" s="430"/>
      <c r="BB38" s="430"/>
      <c r="BC38" s="228"/>
      <c r="BD38" s="228"/>
      <c r="BI38" s="228"/>
      <c r="BJ38" s="228"/>
      <c r="BK38" s="228"/>
      <c r="BL38" s="228"/>
      <c r="BM38" s="228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  <c r="CL38" s="229"/>
      <c r="CM38" s="229"/>
      <c r="CN38" s="229"/>
      <c r="CO38" s="229"/>
      <c r="CP38" s="229"/>
      <c r="CQ38" s="229"/>
      <c r="CR38" s="229"/>
      <c r="CS38" s="229"/>
      <c r="CT38" s="229"/>
      <c r="CU38" s="229"/>
      <c r="CV38" s="229"/>
      <c r="CW38" s="229"/>
      <c r="CX38" s="229"/>
      <c r="CY38" s="229"/>
      <c r="CZ38" s="229"/>
      <c r="DA38" s="229"/>
      <c r="DB38" s="229"/>
      <c r="DC38" s="229"/>
      <c r="DD38" s="229"/>
      <c r="DE38" s="229"/>
      <c r="DF38" s="229"/>
      <c r="DG38" s="229"/>
      <c r="DH38" s="229"/>
      <c r="DI38" s="229"/>
      <c r="DJ38" s="229"/>
      <c r="DK38" s="229"/>
      <c r="DL38" s="229"/>
      <c r="DM38" s="229"/>
      <c r="DN38" s="229"/>
      <c r="DO38" s="229"/>
      <c r="DP38" s="229"/>
      <c r="DQ38" s="229"/>
      <c r="DR38" s="229"/>
      <c r="DS38" s="229"/>
      <c r="DT38" s="229"/>
      <c r="DU38" s="229"/>
      <c r="DV38" s="229"/>
      <c r="DW38" s="229"/>
      <c r="DX38" s="229"/>
      <c r="DY38" s="229"/>
      <c r="DZ38" s="229"/>
      <c r="EA38" s="229"/>
      <c r="EB38" s="229"/>
      <c r="EC38" s="229"/>
      <c r="ED38" s="229"/>
      <c r="EE38" s="229"/>
      <c r="EF38" s="229"/>
      <c r="EG38" s="229"/>
      <c r="EH38" s="234"/>
      <c r="EI38" s="229"/>
      <c r="EJ38" s="229"/>
      <c r="EK38" s="229"/>
      <c r="EL38" s="229"/>
      <c r="EM38" s="229"/>
      <c r="EN38" s="229"/>
      <c r="EO38" s="229"/>
      <c r="EP38" s="229"/>
      <c r="EQ38" s="229"/>
      <c r="ER38" s="229"/>
      <c r="ES38" s="229"/>
      <c r="ET38" s="229"/>
      <c r="EU38" s="229"/>
      <c r="EV38" s="229"/>
      <c r="EX38" s="229"/>
      <c r="EY38" s="229"/>
      <c r="EZ38" s="229"/>
      <c r="FA38" s="229"/>
      <c r="FB38" s="229"/>
      <c r="FC38" s="229"/>
      <c r="FD38" s="229"/>
      <c r="FE38" s="229"/>
      <c r="FF38" s="229"/>
      <c r="FG38" s="229"/>
      <c r="FH38" s="229"/>
      <c r="FI38" s="229"/>
      <c r="FJ38" s="229"/>
      <c r="FK38" s="229"/>
      <c r="FL38" s="229"/>
      <c r="FM38" s="229"/>
      <c r="FN38" s="229"/>
      <c r="FO38" s="229"/>
      <c r="FP38" s="229"/>
      <c r="FQ38" s="229"/>
      <c r="FR38" s="229"/>
      <c r="FS38" s="229"/>
      <c r="FT38" s="229"/>
      <c r="FU38" s="229"/>
      <c r="FV38" s="229"/>
      <c r="FW38" s="229"/>
      <c r="FX38" s="229"/>
      <c r="FY38" s="229"/>
      <c r="FZ38" s="229"/>
      <c r="GA38" s="229"/>
      <c r="GB38" s="229"/>
      <c r="GC38" s="229"/>
      <c r="GD38" s="229"/>
      <c r="GE38" s="229"/>
      <c r="GF38" s="229"/>
      <c r="GG38" s="229"/>
      <c r="GH38" s="229"/>
      <c r="GI38" s="229"/>
      <c r="GJ38" s="229"/>
      <c r="GK38" s="229"/>
      <c r="GL38" s="229"/>
      <c r="GM38" s="229"/>
      <c r="GN38" s="229"/>
      <c r="GO38" s="229"/>
      <c r="GP38" s="229"/>
      <c r="GQ38" s="229"/>
      <c r="GR38" s="229"/>
      <c r="GS38" s="229"/>
      <c r="GT38" s="229"/>
      <c r="GU38" s="229"/>
      <c r="GV38" s="229"/>
      <c r="GW38" s="229"/>
      <c r="GX38" s="229"/>
      <c r="GY38" s="229"/>
      <c r="GZ38" s="229"/>
      <c r="HA38" s="243"/>
      <c r="HB38" s="229"/>
      <c r="HC38" s="229"/>
      <c r="HD38" s="229"/>
      <c r="HE38" s="229"/>
      <c r="HF38" s="229"/>
      <c r="HG38" s="229"/>
      <c r="HH38" s="229"/>
      <c r="HI38" s="229"/>
      <c r="HJ38" s="229"/>
      <c r="HK38" s="229"/>
      <c r="HL38" s="229"/>
      <c r="HM38" s="229"/>
      <c r="HN38" s="229"/>
      <c r="HO38" s="229"/>
      <c r="HP38" s="229"/>
      <c r="HQ38" s="229"/>
      <c r="HR38" s="229"/>
      <c r="HS38" s="229"/>
      <c r="HT38" s="229"/>
      <c r="HU38" s="229"/>
      <c r="HV38" s="229"/>
      <c r="HW38" s="229"/>
      <c r="HX38" s="229"/>
      <c r="HY38" s="229"/>
      <c r="HZ38" s="229"/>
      <c r="IA38" s="229"/>
      <c r="IB38" s="229"/>
      <c r="IC38" s="229"/>
      <c r="ID38" s="229"/>
      <c r="IE38" s="229"/>
      <c r="IF38" s="229"/>
      <c r="IG38" s="229"/>
      <c r="IH38" s="229"/>
      <c r="II38" s="229"/>
      <c r="IJ38" s="229"/>
      <c r="IK38" s="229"/>
      <c r="IL38" s="229"/>
      <c r="IM38" s="229"/>
      <c r="IN38" s="229"/>
      <c r="IO38" s="229"/>
      <c r="IP38" s="229"/>
      <c r="IQ38" s="229"/>
      <c r="IR38" s="229"/>
      <c r="IS38" s="229"/>
      <c r="IT38" s="229"/>
      <c r="IU38" s="229"/>
      <c r="IV38" s="229"/>
      <c r="IW38" s="229"/>
      <c r="IX38" s="229"/>
      <c r="IY38" s="229"/>
      <c r="IZ38" s="229"/>
      <c r="JA38" s="229"/>
      <c r="JB38" s="229"/>
      <c r="JC38" s="229"/>
      <c r="JD38" s="229"/>
      <c r="JE38" s="229"/>
      <c r="JF38" s="229"/>
      <c r="JG38" s="229"/>
      <c r="JH38" s="229"/>
      <c r="JI38" s="229"/>
      <c r="JJ38" s="229"/>
      <c r="JK38" s="229"/>
      <c r="JL38" s="229"/>
      <c r="JM38" s="229"/>
      <c r="JN38" s="229"/>
      <c r="JO38" s="229"/>
      <c r="JP38" s="229"/>
      <c r="JQ38" s="229"/>
      <c r="JR38" s="229"/>
      <c r="JS38" s="229"/>
      <c r="JT38" s="229"/>
      <c r="JZ38" s="229"/>
      <c r="KA38" s="229"/>
      <c r="KB38" s="229"/>
      <c r="KC38" s="234"/>
      <c r="KD38" s="229"/>
      <c r="KE38" s="229"/>
      <c r="KF38" s="229"/>
      <c r="KG38" s="229"/>
      <c r="KH38" s="229"/>
      <c r="KI38" s="229"/>
      <c r="KJ38" s="229"/>
      <c r="KK38" s="229"/>
      <c r="KL38" s="229"/>
      <c r="KM38" s="229"/>
      <c r="LJ38" s="229"/>
      <c r="LK38" s="229"/>
      <c r="LL38" s="229"/>
      <c r="LM38" s="229"/>
      <c r="LN38" s="229"/>
      <c r="LO38" s="229"/>
      <c r="LP38" s="229"/>
      <c r="LQ38" s="229"/>
      <c r="LR38" s="229"/>
      <c r="LS38" s="229"/>
      <c r="LT38" s="229"/>
      <c r="LU38" s="229"/>
      <c r="LV38" s="229"/>
      <c r="LW38" s="229"/>
      <c r="LX38" s="229"/>
      <c r="LY38" s="229"/>
      <c r="LZ38" s="229"/>
      <c r="MA38" s="229"/>
      <c r="MB38" s="229"/>
      <c r="MC38" s="229"/>
      <c r="MD38" s="229"/>
      <c r="ME38" s="229"/>
      <c r="MF38" s="229"/>
      <c r="MG38" s="229"/>
      <c r="MH38" s="229"/>
      <c r="MI38" s="229"/>
      <c r="MJ38" s="229"/>
      <c r="MK38" s="229"/>
      <c r="ML38" s="229"/>
      <c r="NS38" s="375"/>
      <c r="NT38" s="376"/>
      <c r="NU38" s="376"/>
      <c r="NV38" s="376"/>
      <c r="NW38" s="376"/>
      <c r="NX38" s="376"/>
      <c r="NY38" s="376"/>
      <c r="NZ38" s="376"/>
      <c r="OA38" s="376"/>
      <c r="OB38" s="376"/>
      <c r="OC38" s="376"/>
      <c r="OD38" s="376"/>
      <c r="OE38" s="376"/>
      <c r="OF38" s="376"/>
      <c r="OG38" s="376"/>
      <c r="OH38" s="376"/>
      <c r="OI38" s="376"/>
      <c r="OJ38" s="376"/>
      <c r="OK38" s="376"/>
      <c r="OL38" s="376"/>
      <c r="OM38" s="376"/>
      <c r="ON38" s="376"/>
      <c r="OO38" s="376"/>
      <c r="OP38" s="376"/>
      <c r="OQ38" s="376"/>
      <c r="OR38" s="376"/>
      <c r="OS38" s="376"/>
      <c r="OT38" s="376"/>
      <c r="OU38" s="376"/>
      <c r="OV38" s="376"/>
      <c r="OW38" s="376"/>
      <c r="OX38" s="376"/>
      <c r="OY38" s="376"/>
      <c r="OZ38" s="376"/>
      <c r="PA38" s="376"/>
      <c r="PB38" s="376"/>
      <c r="PC38" s="376"/>
      <c r="PD38" s="376"/>
      <c r="PE38" s="376"/>
      <c r="PF38" s="376"/>
      <c r="PG38" s="428"/>
      <c r="PH38" s="432"/>
      <c r="PI38" s="376"/>
      <c r="PJ38" s="376"/>
      <c r="PK38" s="376"/>
      <c r="PL38" s="376"/>
      <c r="PM38" s="377"/>
      <c r="PR38" s="229"/>
      <c r="PS38" s="229"/>
      <c r="QQ38" s="230"/>
      <c r="QR38" s="231"/>
    </row>
    <row r="39" spans="3:460" ht="5.0999999999999996" customHeight="1" x14ac:dyDescent="0.25">
      <c r="C39" s="226"/>
      <c r="D39" s="227"/>
      <c r="E39" s="229"/>
      <c r="F39" s="228"/>
      <c r="G39" s="228"/>
      <c r="H39" s="228"/>
      <c r="I39" s="430"/>
      <c r="J39" s="430"/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  <c r="AA39" s="430"/>
      <c r="AB39" s="430"/>
      <c r="AC39" s="430"/>
      <c r="AD39" s="430"/>
      <c r="AE39" s="430"/>
      <c r="AF39" s="430"/>
      <c r="AG39" s="430"/>
      <c r="AH39" s="430"/>
      <c r="AI39" s="430"/>
      <c r="AJ39" s="430"/>
      <c r="AK39" s="430"/>
      <c r="AL39" s="430"/>
      <c r="AM39" s="430"/>
      <c r="AN39" s="430"/>
      <c r="AO39" s="430"/>
      <c r="AP39" s="430"/>
      <c r="AQ39" s="430"/>
      <c r="AR39" s="430"/>
      <c r="AS39" s="430"/>
      <c r="AT39" s="430"/>
      <c r="AU39" s="430"/>
      <c r="AV39" s="430"/>
      <c r="AW39" s="430"/>
      <c r="AX39" s="430"/>
      <c r="AY39" s="430"/>
      <c r="AZ39" s="430"/>
      <c r="BA39" s="430"/>
      <c r="BB39" s="430"/>
      <c r="BC39" s="228"/>
      <c r="BD39" s="228"/>
      <c r="BI39" s="228"/>
      <c r="BJ39" s="228"/>
      <c r="BK39" s="228"/>
      <c r="BL39" s="228"/>
      <c r="BM39" s="228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29"/>
      <c r="CK39" s="229"/>
      <c r="CL39" s="229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29"/>
      <c r="DB39" s="229"/>
      <c r="DC39" s="229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29"/>
      <c r="DS39" s="229"/>
      <c r="DT39" s="229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34"/>
      <c r="EI39" s="229"/>
      <c r="EJ39" s="229"/>
      <c r="EK39" s="229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29"/>
      <c r="FA39" s="229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29"/>
      <c r="GB39" s="229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II39" s="229"/>
      <c r="IJ39" s="229"/>
      <c r="IK39" s="229"/>
      <c r="IL39" s="229"/>
      <c r="IM39" s="229"/>
      <c r="IN39" s="229"/>
      <c r="IO39" s="229"/>
      <c r="IP39" s="229"/>
      <c r="IQ39" s="229"/>
      <c r="IR39" s="229"/>
      <c r="IS39" s="229"/>
      <c r="IT39" s="229"/>
      <c r="IU39" s="229"/>
      <c r="IV39" s="229"/>
      <c r="IW39" s="229"/>
      <c r="IX39" s="229"/>
      <c r="KC39" s="234"/>
      <c r="KD39" s="229"/>
      <c r="KE39" s="229"/>
      <c r="NS39" s="375"/>
      <c r="NT39" s="376"/>
      <c r="NU39" s="376"/>
      <c r="NV39" s="376"/>
      <c r="NW39" s="376"/>
      <c r="NX39" s="376"/>
      <c r="NY39" s="376"/>
      <c r="NZ39" s="376"/>
      <c r="OA39" s="376"/>
      <c r="OB39" s="376"/>
      <c r="OC39" s="376"/>
      <c r="OD39" s="376"/>
      <c r="OE39" s="376"/>
      <c r="OF39" s="376"/>
      <c r="OG39" s="376"/>
      <c r="OH39" s="376"/>
      <c r="OI39" s="376"/>
      <c r="OJ39" s="376"/>
      <c r="OK39" s="376"/>
      <c r="OL39" s="376"/>
      <c r="OM39" s="376"/>
      <c r="ON39" s="376"/>
      <c r="OO39" s="376"/>
      <c r="OP39" s="376"/>
      <c r="OQ39" s="376"/>
      <c r="OR39" s="376"/>
      <c r="OS39" s="376"/>
      <c r="OT39" s="376"/>
      <c r="OU39" s="376"/>
      <c r="OV39" s="376"/>
      <c r="OW39" s="376"/>
      <c r="OX39" s="376"/>
      <c r="OY39" s="376"/>
      <c r="OZ39" s="376"/>
      <c r="PA39" s="376"/>
      <c r="PB39" s="376"/>
      <c r="PC39" s="376"/>
      <c r="PD39" s="376"/>
      <c r="PE39" s="376"/>
      <c r="PF39" s="376"/>
      <c r="PG39" s="428"/>
      <c r="PH39" s="432"/>
      <c r="PI39" s="376"/>
      <c r="PJ39" s="376"/>
      <c r="PK39" s="376"/>
      <c r="PL39" s="376"/>
      <c r="PM39" s="377"/>
      <c r="PR39" s="229"/>
      <c r="PS39" s="229"/>
      <c r="QQ39" s="230"/>
      <c r="QR39" s="231"/>
    </row>
    <row r="40" spans="3:460" ht="5.0999999999999996" customHeight="1" x14ac:dyDescent="0.25">
      <c r="C40" s="226"/>
      <c r="D40" s="227"/>
      <c r="E40" s="229"/>
      <c r="F40" s="228"/>
      <c r="G40" s="228"/>
      <c r="H40" s="228"/>
      <c r="I40" s="430"/>
      <c r="J40" s="430"/>
      <c r="K40" s="430"/>
      <c r="L40" s="430"/>
      <c r="M40" s="430"/>
      <c r="N40" s="430"/>
      <c r="O40" s="430"/>
      <c r="P40" s="430"/>
      <c r="Q40" s="430"/>
      <c r="R40" s="430"/>
      <c r="S40" s="430"/>
      <c r="T40" s="430"/>
      <c r="U40" s="430"/>
      <c r="V40" s="430"/>
      <c r="W40" s="430"/>
      <c r="X40" s="430"/>
      <c r="Y40" s="430"/>
      <c r="Z40" s="430"/>
      <c r="AA40" s="430"/>
      <c r="AB40" s="430"/>
      <c r="AC40" s="430"/>
      <c r="AD40" s="430"/>
      <c r="AE40" s="430"/>
      <c r="AF40" s="430"/>
      <c r="AG40" s="430"/>
      <c r="AH40" s="430"/>
      <c r="AI40" s="430"/>
      <c r="AJ40" s="430"/>
      <c r="AK40" s="430"/>
      <c r="AL40" s="430"/>
      <c r="AM40" s="430"/>
      <c r="AN40" s="430"/>
      <c r="AO40" s="430"/>
      <c r="AP40" s="430"/>
      <c r="AQ40" s="430"/>
      <c r="AR40" s="430"/>
      <c r="AS40" s="430"/>
      <c r="AT40" s="430"/>
      <c r="AU40" s="430"/>
      <c r="AV40" s="430"/>
      <c r="AW40" s="430"/>
      <c r="AX40" s="430"/>
      <c r="AY40" s="430"/>
      <c r="AZ40" s="430"/>
      <c r="BA40" s="430"/>
      <c r="BB40" s="430"/>
      <c r="BC40" s="228"/>
      <c r="BD40" s="228"/>
      <c r="BI40" s="228"/>
      <c r="BJ40" s="228"/>
      <c r="BK40" s="228"/>
      <c r="BL40" s="228"/>
      <c r="BM40" s="228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229"/>
      <c r="CG40" s="229"/>
      <c r="CH40" s="229"/>
      <c r="CI40" s="229"/>
      <c r="CJ40" s="229"/>
      <c r="CK40" s="229"/>
      <c r="CL40" s="229"/>
      <c r="CM40" s="229"/>
      <c r="CN40" s="229"/>
      <c r="CO40" s="229"/>
      <c r="CP40" s="229"/>
      <c r="CQ40" s="229"/>
      <c r="CR40" s="229"/>
      <c r="CS40" s="229"/>
      <c r="CT40" s="229"/>
      <c r="CU40" s="229"/>
      <c r="CV40" s="229"/>
      <c r="CW40" s="229"/>
      <c r="CX40" s="229"/>
      <c r="CY40" s="229"/>
      <c r="CZ40" s="229"/>
      <c r="DA40" s="229"/>
      <c r="DB40" s="229"/>
      <c r="DC40" s="229"/>
      <c r="DD40" s="229"/>
      <c r="DE40" s="229"/>
      <c r="DF40" s="229"/>
      <c r="DG40" s="229"/>
      <c r="DH40" s="229"/>
      <c r="DI40" s="229"/>
      <c r="DJ40" s="229"/>
      <c r="DK40" s="229"/>
      <c r="DL40" s="229"/>
      <c r="DM40" s="229"/>
      <c r="DN40" s="229"/>
      <c r="DO40" s="229"/>
      <c r="DP40" s="229"/>
      <c r="DQ40" s="229"/>
      <c r="DR40" s="229"/>
      <c r="DS40" s="229"/>
      <c r="DT40" s="229"/>
      <c r="DU40" s="229"/>
      <c r="DV40" s="229"/>
      <c r="DW40" s="229"/>
      <c r="DX40" s="229"/>
      <c r="DY40" s="229"/>
      <c r="DZ40" s="229"/>
      <c r="EA40" s="229"/>
      <c r="EB40" s="229"/>
      <c r="EC40" s="229"/>
      <c r="ED40" s="229"/>
      <c r="EE40" s="229"/>
      <c r="EF40" s="229"/>
      <c r="EG40" s="229"/>
      <c r="EH40" s="234"/>
      <c r="EI40" s="229"/>
      <c r="EJ40" s="229"/>
      <c r="EK40" s="229"/>
      <c r="EL40" s="229"/>
      <c r="EM40" s="229"/>
      <c r="EN40" s="229"/>
      <c r="EO40" s="229"/>
      <c r="EP40" s="229"/>
      <c r="EQ40" s="229"/>
      <c r="ER40" s="229"/>
      <c r="ES40" s="229"/>
      <c r="ET40" s="229"/>
      <c r="EU40" s="229"/>
      <c r="EV40" s="229"/>
      <c r="EW40" s="229"/>
      <c r="EX40" s="229"/>
      <c r="EY40" s="229"/>
      <c r="EZ40" s="229"/>
      <c r="FA40" s="229"/>
      <c r="FB40" s="229"/>
      <c r="FC40" s="229"/>
      <c r="FD40" s="229"/>
      <c r="FE40" s="229"/>
      <c r="FF40" s="229"/>
      <c r="FG40" s="229"/>
      <c r="FH40" s="229"/>
      <c r="FI40" s="229"/>
      <c r="FJ40" s="229"/>
      <c r="FK40" s="229"/>
      <c r="FL40" s="229"/>
      <c r="FM40" s="229"/>
      <c r="FN40" s="229"/>
      <c r="FO40" s="229"/>
      <c r="FP40" s="229"/>
      <c r="FQ40" s="229"/>
      <c r="FR40" s="229"/>
      <c r="FS40" s="229"/>
      <c r="FT40" s="229"/>
      <c r="FU40" s="229"/>
      <c r="FV40" s="229"/>
      <c r="FW40" s="229"/>
      <c r="FX40" s="229"/>
      <c r="FY40" s="229"/>
      <c r="FZ40" s="229"/>
      <c r="GA40" s="229"/>
      <c r="GB40" s="229"/>
      <c r="GC40" s="229"/>
      <c r="GD40" s="229"/>
      <c r="GE40" s="229"/>
      <c r="GF40" s="229"/>
      <c r="GG40" s="229"/>
      <c r="GH40" s="229"/>
      <c r="GI40" s="229"/>
      <c r="GJ40" s="229"/>
      <c r="GK40" s="229"/>
      <c r="GL40" s="229"/>
      <c r="GM40" s="229"/>
      <c r="GN40" s="229"/>
      <c r="GO40" s="229"/>
      <c r="GP40" s="229"/>
      <c r="GQ40" s="229"/>
      <c r="GR40" s="229"/>
      <c r="GS40" s="229"/>
      <c r="GT40" s="229"/>
      <c r="GU40" s="229"/>
      <c r="GV40" s="229"/>
      <c r="GW40" s="229"/>
      <c r="GX40" s="229"/>
      <c r="II40" s="229"/>
      <c r="IJ40" s="229"/>
      <c r="IK40" s="229"/>
      <c r="IL40" s="229"/>
      <c r="IM40" s="229"/>
      <c r="IN40" s="229"/>
      <c r="IO40" s="229"/>
      <c r="IP40" s="229"/>
      <c r="IQ40" s="229"/>
      <c r="IR40" s="229"/>
      <c r="IS40" s="229"/>
      <c r="IT40" s="229"/>
      <c r="IU40" s="229"/>
      <c r="IV40" s="229"/>
      <c r="IW40" s="229"/>
      <c r="IX40" s="229"/>
      <c r="KC40" s="234"/>
      <c r="KD40" s="229"/>
      <c r="KE40" s="229"/>
      <c r="NS40" s="375"/>
      <c r="NT40" s="376"/>
      <c r="NU40" s="376"/>
      <c r="NV40" s="376"/>
      <c r="NW40" s="376"/>
      <c r="NX40" s="376"/>
      <c r="NY40" s="376"/>
      <c r="NZ40" s="376"/>
      <c r="OA40" s="376"/>
      <c r="OB40" s="376"/>
      <c r="OC40" s="376"/>
      <c r="OD40" s="376"/>
      <c r="OE40" s="376"/>
      <c r="OF40" s="376"/>
      <c r="OG40" s="376"/>
      <c r="OH40" s="376"/>
      <c r="OI40" s="376"/>
      <c r="OJ40" s="376"/>
      <c r="OK40" s="376"/>
      <c r="OL40" s="376"/>
      <c r="OM40" s="376"/>
      <c r="ON40" s="376"/>
      <c r="OO40" s="376"/>
      <c r="OP40" s="376"/>
      <c r="OQ40" s="376"/>
      <c r="OR40" s="376"/>
      <c r="OS40" s="376"/>
      <c r="OT40" s="376"/>
      <c r="OU40" s="376"/>
      <c r="OV40" s="376"/>
      <c r="OW40" s="376"/>
      <c r="OX40" s="376"/>
      <c r="OY40" s="376"/>
      <c r="OZ40" s="376"/>
      <c r="PA40" s="376"/>
      <c r="PB40" s="376"/>
      <c r="PC40" s="376"/>
      <c r="PD40" s="376"/>
      <c r="PE40" s="376"/>
      <c r="PF40" s="376"/>
      <c r="PG40" s="428"/>
      <c r="PH40" s="432"/>
      <c r="PI40" s="376"/>
      <c r="PJ40" s="376"/>
      <c r="PK40" s="376"/>
      <c r="PL40" s="376"/>
      <c r="PM40" s="377"/>
      <c r="PR40" s="229"/>
      <c r="PS40" s="229"/>
      <c r="QQ40" s="230"/>
      <c r="QR40" s="231"/>
    </row>
    <row r="41" spans="3:460" ht="5.0999999999999996" customHeight="1" x14ac:dyDescent="0.25">
      <c r="C41" s="226"/>
      <c r="D41" s="227"/>
      <c r="E41" s="229"/>
      <c r="F41" s="228"/>
      <c r="G41" s="228"/>
      <c r="H41" s="228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0"/>
      <c r="AZ41" s="430"/>
      <c r="BA41" s="430"/>
      <c r="BB41" s="430"/>
      <c r="BC41" s="228"/>
      <c r="BD41" s="228"/>
      <c r="BI41" s="228"/>
      <c r="BJ41" s="228"/>
      <c r="BK41" s="228"/>
      <c r="BL41" s="228"/>
      <c r="BM41" s="228"/>
      <c r="BN41" s="229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29"/>
      <c r="CG41" s="229"/>
      <c r="CH41" s="229"/>
      <c r="CI41" s="229"/>
      <c r="CJ41" s="229"/>
      <c r="CK41" s="229"/>
      <c r="CL41" s="229"/>
      <c r="CM41" s="229"/>
      <c r="CN41" s="229"/>
      <c r="CO41" s="229"/>
      <c r="CP41" s="229"/>
      <c r="CQ41" s="229"/>
      <c r="CR41" s="229"/>
      <c r="CS41" s="229"/>
      <c r="CT41" s="229"/>
      <c r="CU41" s="229"/>
      <c r="CV41" s="229"/>
      <c r="CW41" s="229"/>
      <c r="CX41" s="229"/>
      <c r="CY41" s="229"/>
      <c r="CZ41" s="229"/>
      <c r="DA41" s="229"/>
      <c r="DB41" s="229"/>
      <c r="DC41" s="229"/>
      <c r="DD41" s="229"/>
      <c r="DE41" s="229"/>
      <c r="DF41" s="229"/>
      <c r="DG41" s="229"/>
      <c r="DH41" s="229"/>
      <c r="DI41" s="229"/>
      <c r="DJ41" s="229"/>
      <c r="DK41" s="229"/>
      <c r="DL41" s="229"/>
      <c r="DM41" s="229"/>
      <c r="DN41" s="229"/>
      <c r="DO41" s="229"/>
      <c r="DP41" s="229"/>
      <c r="DQ41" s="229"/>
      <c r="DR41" s="229"/>
      <c r="DS41" s="229"/>
      <c r="DT41" s="229"/>
      <c r="DU41" s="229"/>
      <c r="DV41" s="229"/>
      <c r="DW41" s="229"/>
      <c r="DX41" s="229"/>
      <c r="DY41" s="229"/>
      <c r="DZ41" s="229"/>
      <c r="EA41" s="229"/>
      <c r="EB41" s="229"/>
      <c r="EC41" s="229"/>
      <c r="ED41" s="229"/>
      <c r="EE41" s="229"/>
      <c r="EF41" s="229"/>
      <c r="EG41" s="229"/>
      <c r="EH41" s="234"/>
      <c r="EI41" s="229"/>
      <c r="EJ41" s="229"/>
      <c r="EK41" s="229"/>
      <c r="EL41" s="229"/>
      <c r="EM41" s="229"/>
      <c r="EN41" s="229"/>
      <c r="EO41" s="229"/>
      <c r="EP41" s="229"/>
      <c r="EQ41" s="229"/>
      <c r="ER41" s="229"/>
      <c r="ES41" s="229"/>
      <c r="ET41" s="229"/>
      <c r="EU41" s="229"/>
      <c r="EV41" s="229"/>
      <c r="EW41" s="229"/>
      <c r="EX41" s="229"/>
      <c r="EY41" s="229"/>
      <c r="EZ41" s="229"/>
      <c r="FA41" s="229"/>
      <c r="FB41" s="229"/>
      <c r="FC41" s="229"/>
      <c r="FD41" s="229"/>
      <c r="FE41" s="229"/>
      <c r="FF41" s="229"/>
      <c r="FG41" s="229"/>
      <c r="FH41" s="229"/>
      <c r="FI41" s="229"/>
      <c r="FJ41" s="229"/>
      <c r="FK41" s="229"/>
      <c r="FL41" s="229"/>
      <c r="FM41" s="229"/>
      <c r="FN41" s="229"/>
      <c r="FO41" s="229"/>
      <c r="FP41" s="229"/>
      <c r="FQ41" s="229"/>
      <c r="FR41" s="229"/>
      <c r="FS41" s="229"/>
      <c r="FT41" s="229"/>
      <c r="FU41" s="229"/>
      <c r="FV41" s="229"/>
      <c r="FW41" s="229"/>
      <c r="FX41" s="229"/>
      <c r="FY41" s="229"/>
      <c r="FZ41" s="229"/>
      <c r="GA41" s="229"/>
      <c r="GB41" s="229"/>
      <c r="GC41" s="229"/>
      <c r="GD41" s="229"/>
      <c r="GE41" s="229"/>
      <c r="GF41" s="229"/>
      <c r="GG41" s="229"/>
      <c r="GH41" s="229"/>
      <c r="GI41" s="229"/>
      <c r="GJ41" s="229"/>
      <c r="GK41" s="229"/>
      <c r="GL41" s="229"/>
      <c r="GM41" s="229"/>
      <c r="GN41" s="229"/>
      <c r="GO41" s="229"/>
      <c r="GP41" s="229"/>
      <c r="GQ41" s="229"/>
      <c r="GR41" s="229"/>
      <c r="GS41" s="229"/>
      <c r="GT41" s="229"/>
      <c r="GU41" s="229"/>
      <c r="GV41" s="229"/>
      <c r="GW41" s="229"/>
      <c r="GX41" s="229"/>
      <c r="II41" s="229"/>
      <c r="IJ41" s="229"/>
      <c r="IK41" s="229"/>
      <c r="IL41" s="229"/>
      <c r="IM41" s="229"/>
      <c r="IN41" s="229"/>
      <c r="IO41" s="229"/>
      <c r="IP41" s="229"/>
      <c r="IQ41" s="229"/>
      <c r="IR41" s="229"/>
      <c r="IS41" s="229"/>
      <c r="IT41" s="229"/>
      <c r="IU41" s="229"/>
      <c r="IV41" s="229"/>
      <c r="IW41" s="229"/>
      <c r="IX41" s="229"/>
      <c r="KC41" s="234"/>
      <c r="KD41" s="229"/>
      <c r="KE41" s="229"/>
      <c r="NS41" s="375"/>
      <c r="NT41" s="376"/>
      <c r="NU41" s="376"/>
      <c r="NV41" s="376"/>
      <c r="NW41" s="376"/>
      <c r="NX41" s="376"/>
      <c r="NY41" s="376"/>
      <c r="NZ41" s="376"/>
      <c r="OA41" s="376"/>
      <c r="OB41" s="376"/>
      <c r="OC41" s="376"/>
      <c r="OD41" s="376"/>
      <c r="OE41" s="376"/>
      <c r="OF41" s="376"/>
      <c r="OG41" s="376"/>
      <c r="OH41" s="376"/>
      <c r="OI41" s="376"/>
      <c r="OJ41" s="376"/>
      <c r="OK41" s="376"/>
      <c r="OL41" s="376"/>
      <c r="OM41" s="376"/>
      <c r="ON41" s="376"/>
      <c r="OO41" s="376"/>
      <c r="OP41" s="376"/>
      <c r="OQ41" s="376"/>
      <c r="OR41" s="376"/>
      <c r="OS41" s="376"/>
      <c r="OT41" s="376"/>
      <c r="OU41" s="376"/>
      <c r="OV41" s="376"/>
      <c r="OW41" s="376"/>
      <c r="OX41" s="376"/>
      <c r="OY41" s="376"/>
      <c r="OZ41" s="376"/>
      <c r="PA41" s="376"/>
      <c r="PB41" s="376"/>
      <c r="PC41" s="376"/>
      <c r="PD41" s="376"/>
      <c r="PE41" s="376"/>
      <c r="PF41" s="376"/>
      <c r="PG41" s="428"/>
      <c r="PH41" s="432"/>
      <c r="PI41" s="376"/>
      <c r="PJ41" s="376"/>
      <c r="PK41" s="376"/>
      <c r="PL41" s="376"/>
      <c r="PM41" s="377"/>
      <c r="PR41" s="229"/>
      <c r="PS41" s="229"/>
      <c r="QQ41" s="230"/>
      <c r="QR41" s="231"/>
    </row>
    <row r="42" spans="3:460" ht="5.0999999999999996" customHeight="1" x14ac:dyDescent="0.25">
      <c r="C42" s="226"/>
      <c r="D42" s="227"/>
      <c r="E42" s="229"/>
      <c r="F42" s="228"/>
      <c r="G42" s="228"/>
      <c r="H42" s="228"/>
      <c r="I42" s="430"/>
      <c r="J42" s="430"/>
      <c r="K42" s="430"/>
      <c r="L42" s="430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430"/>
      <c r="Y42" s="430"/>
      <c r="Z42" s="430"/>
      <c r="AA42" s="430"/>
      <c r="AB42" s="430"/>
      <c r="AC42" s="430"/>
      <c r="AD42" s="430"/>
      <c r="AE42" s="430"/>
      <c r="AF42" s="430"/>
      <c r="AG42" s="430"/>
      <c r="AH42" s="430"/>
      <c r="AI42" s="430"/>
      <c r="AJ42" s="430"/>
      <c r="AK42" s="430"/>
      <c r="AL42" s="430"/>
      <c r="AM42" s="430"/>
      <c r="AN42" s="430"/>
      <c r="AO42" s="430"/>
      <c r="AP42" s="430"/>
      <c r="AQ42" s="430"/>
      <c r="AR42" s="430"/>
      <c r="AS42" s="430"/>
      <c r="AT42" s="430"/>
      <c r="AU42" s="430"/>
      <c r="AV42" s="430"/>
      <c r="AW42" s="430"/>
      <c r="AX42" s="430"/>
      <c r="AY42" s="430"/>
      <c r="AZ42" s="430"/>
      <c r="BA42" s="430"/>
      <c r="BB42" s="430"/>
      <c r="BC42" s="228"/>
      <c r="BD42" s="228"/>
      <c r="BI42" s="228"/>
      <c r="BJ42" s="228"/>
      <c r="BK42" s="228"/>
      <c r="BL42" s="228"/>
      <c r="BM42" s="228"/>
      <c r="BN42" s="229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29"/>
      <c r="CG42" s="229"/>
      <c r="CH42" s="229"/>
      <c r="CI42" s="229"/>
      <c r="CJ42" s="229"/>
      <c r="CK42" s="229"/>
      <c r="CL42" s="229"/>
      <c r="CM42" s="229"/>
      <c r="CN42" s="229"/>
      <c r="CO42" s="229"/>
      <c r="CP42" s="229"/>
      <c r="CQ42" s="229"/>
      <c r="CR42" s="229"/>
      <c r="CS42" s="229"/>
      <c r="CT42" s="229"/>
      <c r="CU42" s="229"/>
      <c r="CV42" s="229"/>
      <c r="CW42" s="229"/>
      <c r="CX42" s="229"/>
      <c r="CY42" s="229"/>
      <c r="CZ42" s="229"/>
      <c r="DA42" s="229"/>
      <c r="DB42" s="229"/>
      <c r="DC42" s="229"/>
      <c r="DD42" s="229"/>
      <c r="DE42" s="229"/>
      <c r="DF42" s="229"/>
      <c r="DG42" s="229"/>
      <c r="DH42" s="229"/>
      <c r="DI42" s="229"/>
      <c r="DJ42" s="229"/>
      <c r="DK42" s="229"/>
      <c r="DL42" s="229"/>
      <c r="DM42" s="229"/>
      <c r="DN42" s="229"/>
      <c r="DO42" s="229"/>
      <c r="DP42" s="229"/>
      <c r="DQ42" s="229"/>
      <c r="DR42" s="229"/>
      <c r="DS42" s="229"/>
      <c r="DT42" s="229"/>
      <c r="DU42" s="229"/>
      <c r="DV42" s="229"/>
      <c r="DW42" s="229"/>
      <c r="DX42" s="229"/>
      <c r="DY42" s="229"/>
      <c r="DZ42" s="229"/>
      <c r="EA42" s="229"/>
      <c r="EB42" s="229"/>
      <c r="EC42" s="229"/>
      <c r="ED42" s="229"/>
      <c r="EE42" s="229"/>
      <c r="EF42" s="229"/>
      <c r="EG42" s="229"/>
      <c r="EH42" s="234"/>
      <c r="EI42" s="229"/>
      <c r="EJ42" s="229"/>
      <c r="EK42" s="229"/>
      <c r="EL42" s="229"/>
      <c r="EM42" s="229"/>
      <c r="EN42" s="229"/>
      <c r="EO42" s="229"/>
      <c r="EP42" s="229"/>
      <c r="EQ42" s="229"/>
      <c r="ER42" s="229"/>
      <c r="ES42" s="229"/>
      <c r="ET42" s="229"/>
      <c r="EU42" s="229"/>
      <c r="EV42" s="229"/>
      <c r="EW42" s="229"/>
      <c r="EX42" s="229"/>
      <c r="EY42" s="229"/>
      <c r="EZ42" s="229"/>
      <c r="FA42" s="229"/>
      <c r="FB42" s="229"/>
      <c r="FC42" s="229"/>
      <c r="FD42" s="229"/>
      <c r="FE42" s="229"/>
      <c r="FF42" s="229"/>
      <c r="FG42" s="229"/>
      <c r="FH42" s="229"/>
      <c r="FI42" s="229"/>
      <c r="FJ42" s="229"/>
      <c r="FK42" s="229"/>
      <c r="FL42" s="229"/>
      <c r="FM42" s="229"/>
      <c r="FN42" s="229"/>
      <c r="FO42" s="229"/>
      <c r="FP42" s="229"/>
      <c r="FQ42" s="229"/>
      <c r="FR42" s="229"/>
      <c r="FS42" s="229"/>
      <c r="FT42" s="229"/>
      <c r="FU42" s="229"/>
      <c r="FV42" s="229"/>
      <c r="FW42" s="229"/>
      <c r="FX42" s="229"/>
      <c r="FY42" s="229"/>
      <c r="FZ42" s="229"/>
      <c r="GA42" s="229"/>
      <c r="KC42" s="234"/>
      <c r="KD42" s="229"/>
      <c r="KE42" s="229"/>
      <c r="NS42" s="375"/>
      <c r="NT42" s="376"/>
      <c r="NU42" s="376"/>
      <c r="NV42" s="376"/>
      <c r="NW42" s="376"/>
      <c r="NX42" s="376"/>
      <c r="NY42" s="376"/>
      <c r="NZ42" s="376"/>
      <c r="OA42" s="376"/>
      <c r="OB42" s="376"/>
      <c r="OC42" s="376"/>
      <c r="OD42" s="376"/>
      <c r="OE42" s="376"/>
      <c r="OF42" s="376"/>
      <c r="OG42" s="376"/>
      <c r="OH42" s="376"/>
      <c r="OI42" s="376"/>
      <c r="OJ42" s="376"/>
      <c r="OK42" s="376"/>
      <c r="OL42" s="376"/>
      <c r="OM42" s="376"/>
      <c r="ON42" s="376"/>
      <c r="OO42" s="376"/>
      <c r="OP42" s="376"/>
      <c r="OQ42" s="376"/>
      <c r="OR42" s="376"/>
      <c r="OS42" s="376"/>
      <c r="OT42" s="376"/>
      <c r="OU42" s="376"/>
      <c r="OV42" s="376"/>
      <c r="OW42" s="376"/>
      <c r="OX42" s="376"/>
      <c r="OY42" s="376"/>
      <c r="OZ42" s="376"/>
      <c r="PA42" s="376"/>
      <c r="PB42" s="376"/>
      <c r="PC42" s="376"/>
      <c r="PD42" s="376"/>
      <c r="PE42" s="376"/>
      <c r="PF42" s="376"/>
      <c r="PG42" s="428"/>
      <c r="PH42" s="432"/>
      <c r="PI42" s="376"/>
      <c r="PJ42" s="376"/>
      <c r="PK42" s="376"/>
      <c r="PL42" s="376"/>
      <c r="PM42" s="377"/>
      <c r="PR42" s="229"/>
      <c r="PS42" s="229"/>
      <c r="QQ42" s="230"/>
      <c r="QR42" s="231"/>
    </row>
    <row r="43" spans="3:460" ht="5.0999999999999996" customHeight="1" x14ac:dyDescent="0.25">
      <c r="C43" s="226"/>
      <c r="D43" s="227"/>
      <c r="E43" s="229"/>
      <c r="F43" s="228"/>
      <c r="G43" s="228"/>
      <c r="H43" s="228"/>
      <c r="I43" s="430"/>
      <c r="J43" s="430"/>
      <c r="K43" s="430"/>
      <c r="L43" s="430"/>
      <c r="M43" s="430"/>
      <c r="N43" s="430"/>
      <c r="O43" s="430"/>
      <c r="P43" s="430"/>
      <c r="Q43" s="430"/>
      <c r="R43" s="430"/>
      <c r="S43" s="430"/>
      <c r="T43" s="430"/>
      <c r="U43" s="430"/>
      <c r="V43" s="430"/>
      <c r="W43" s="430"/>
      <c r="X43" s="430"/>
      <c r="Y43" s="430"/>
      <c r="Z43" s="430"/>
      <c r="AA43" s="430"/>
      <c r="AB43" s="430"/>
      <c r="AC43" s="430"/>
      <c r="AD43" s="430"/>
      <c r="AE43" s="430"/>
      <c r="AF43" s="430"/>
      <c r="AG43" s="430"/>
      <c r="AH43" s="430"/>
      <c r="AI43" s="430"/>
      <c r="AJ43" s="430"/>
      <c r="AK43" s="430"/>
      <c r="AL43" s="430"/>
      <c r="AM43" s="430"/>
      <c r="AN43" s="430"/>
      <c r="AO43" s="430"/>
      <c r="AP43" s="430"/>
      <c r="AQ43" s="430"/>
      <c r="AR43" s="430"/>
      <c r="AS43" s="430"/>
      <c r="AT43" s="430"/>
      <c r="AU43" s="430"/>
      <c r="AV43" s="430"/>
      <c r="AW43" s="430"/>
      <c r="AX43" s="430"/>
      <c r="AY43" s="430"/>
      <c r="AZ43" s="430"/>
      <c r="BA43" s="430"/>
      <c r="BB43" s="430"/>
      <c r="BC43" s="228"/>
      <c r="BD43" s="228"/>
      <c r="BI43" s="228"/>
      <c r="BJ43" s="228"/>
      <c r="BK43" s="228"/>
      <c r="BL43" s="228"/>
      <c r="BM43" s="228"/>
      <c r="BN43" s="229"/>
      <c r="BO43" s="229"/>
      <c r="BP43" s="229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229"/>
      <c r="CG43" s="229"/>
      <c r="CH43" s="229"/>
      <c r="CI43" s="229"/>
      <c r="CJ43" s="229"/>
      <c r="CK43" s="229"/>
      <c r="CL43" s="229"/>
      <c r="CM43" s="229"/>
      <c r="CN43" s="229"/>
      <c r="CO43" s="229"/>
      <c r="CP43" s="229"/>
      <c r="CQ43" s="229"/>
      <c r="CR43" s="229"/>
      <c r="CS43" s="229"/>
      <c r="CT43" s="229"/>
      <c r="CU43" s="229"/>
      <c r="CV43" s="229"/>
      <c r="CW43" s="229"/>
      <c r="CX43" s="229"/>
      <c r="CY43" s="229"/>
      <c r="CZ43" s="229"/>
      <c r="DA43" s="229"/>
      <c r="DB43" s="229"/>
      <c r="DC43" s="229"/>
      <c r="DD43" s="229"/>
      <c r="DE43" s="229"/>
      <c r="DF43" s="229"/>
      <c r="DG43" s="229"/>
      <c r="DH43" s="229"/>
      <c r="DI43" s="229"/>
      <c r="DJ43" s="229"/>
      <c r="DK43" s="229"/>
      <c r="DL43" s="229"/>
      <c r="DM43" s="229"/>
      <c r="DN43" s="229"/>
      <c r="DO43" s="229"/>
      <c r="DP43" s="229"/>
      <c r="DQ43" s="229"/>
      <c r="DR43" s="229"/>
      <c r="DS43" s="229"/>
      <c r="DT43" s="229"/>
      <c r="DU43" s="229"/>
      <c r="DV43" s="229"/>
      <c r="DW43" s="229"/>
      <c r="DX43" s="229"/>
      <c r="DY43" s="229"/>
      <c r="DZ43" s="229"/>
      <c r="EA43" s="229"/>
      <c r="EB43" s="229"/>
      <c r="EC43" s="229"/>
      <c r="ED43" s="229"/>
      <c r="EE43" s="229"/>
      <c r="EF43" s="229"/>
      <c r="EG43" s="229"/>
      <c r="EH43" s="234"/>
      <c r="EI43" s="229"/>
      <c r="EJ43" s="229"/>
      <c r="EK43" s="229"/>
      <c r="EL43" s="229"/>
      <c r="EM43" s="229"/>
      <c r="EN43" s="229"/>
      <c r="EO43" s="229"/>
      <c r="EP43" s="229"/>
      <c r="EQ43" s="229"/>
      <c r="ER43" s="229"/>
      <c r="ES43" s="229"/>
      <c r="ET43" s="229"/>
      <c r="EU43" s="229"/>
      <c r="EV43" s="229"/>
      <c r="EW43" s="229"/>
      <c r="EX43" s="229"/>
      <c r="EY43" s="229"/>
      <c r="EZ43" s="229"/>
      <c r="FA43" s="229"/>
      <c r="FB43" s="229"/>
      <c r="FC43" s="229"/>
      <c r="FD43" s="229"/>
      <c r="FE43" s="229"/>
      <c r="FF43" s="229"/>
      <c r="FG43" s="229"/>
      <c r="FH43" s="229"/>
      <c r="FI43" s="229"/>
      <c r="FJ43" s="229"/>
      <c r="FK43" s="229"/>
      <c r="FL43" s="229"/>
      <c r="FM43" s="229"/>
      <c r="FN43" s="229"/>
      <c r="FO43" s="229"/>
      <c r="FP43" s="229"/>
      <c r="FQ43" s="229"/>
      <c r="FR43" s="229"/>
      <c r="FS43" s="229"/>
      <c r="FT43" s="229"/>
      <c r="FU43" s="229"/>
      <c r="FV43" s="229"/>
      <c r="FW43" s="229"/>
      <c r="FX43" s="229"/>
      <c r="FY43" s="229"/>
      <c r="FZ43" s="229"/>
      <c r="GA43" s="229"/>
      <c r="KC43" s="234"/>
      <c r="KD43" s="229"/>
      <c r="KE43" s="229"/>
      <c r="NS43" s="375"/>
      <c r="NT43" s="376"/>
      <c r="NU43" s="376"/>
      <c r="NV43" s="376"/>
      <c r="NW43" s="376"/>
      <c r="NX43" s="376"/>
      <c r="NY43" s="376"/>
      <c r="NZ43" s="376"/>
      <c r="OA43" s="376"/>
      <c r="OB43" s="376"/>
      <c r="OC43" s="376"/>
      <c r="OD43" s="376"/>
      <c r="OE43" s="376"/>
      <c r="OF43" s="376"/>
      <c r="OG43" s="376"/>
      <c r="OH43" s="376"/>
      <c r="OI43" s="376"/>
      <c r="OJ43" s="376"/>
      <c r="OK43" s="376"/>
      <c r="OL43" s="376"/>
      <c r="OM43" s="376"/>
      <c r="ON43" s="376"/>
      <c r="OO43" s="376"/>
      <c r="OP43" s="376"/>
      <c r="OQ43" s="376"/>
      <c r="OR43" s="376"/>
      <c r="OS43" s="376"/>
      <c r="OT43" s="376"/>
      <c r="OU43" s="376"/>
      <c r="OV43" s="376"/>
      <c r="OW43" s="376"/>
      <c r="OX43" s="376"/>
      <c r="OY43" s="376"/>
      <c r="OZ43" s="376"/>
      <c r="PA43" s="376"/>
      <c r="PB43" s="376"/>
      <c r="PC43" s="376"/>
      <c r="PD43" s="376"/>
      <c r="PE43" s="376"/>
      <c r="PF43" s="376"/>
      <c r="PG43" s="428"/>
      <c r="PH43" s="432"/>
      <c r="PI43" s="376"/>
      <c r="PJ43" s="376"/>
      <c r="PK43" s="376"/>
      <c r="PL43" s="376"/>
      <c r="PM43" s="377"/>
      <c r="PR43" s="229"/>
      <c r="PS43" s="229"/>
      <c r="QQ43" s="230"/>
      <c r="QR43" s="231"/>
    </row>
    <row r="44" spans="3:460" ht="5.0999999999999996" customHeight="1" x14ac:dyDescent="0.25">
      <c r="C44" s="226"/>
      <c r="D44" s="227"/>
      <c r="E44" s="229"/>
      <c r="F44" s="228"/>
      <c r="G44" s="228"/>
      <c r="H44" s="228"/>
      <c r="I44" s="430"/>
      <c r="J44" s="430"/>
      <c r="K44" s="430"/>
      <c r="L44" s="430"/>
      <c r="M44" s="430"/>
      <c r="N44" s="430"/>
      <c r="O44" s="430"/>
      <c r="P44" s="430"/>
      <c r="Q44" s="430"/>
      <c r="R44" s="430"/>
      <c r="S44" s="430"/>
      <c r="T44" s="430"/>
      <c r="U44" s="430"/>
      <c r="V44" s="430"/>
      <c r="W44" s="430"/>
      <c r="X44" s="430"/>
      <c r="Y44" s="430"/>
      <c r="Z44" s="430"/>
      <c r="AA44" s="430"/>
      <c r="AB44" s="430"/>
      <c r="AC44" s="430"/>
      <c r="AD44" s="430"/>
      <c r="AE44" s="430"/>
      <c r="AF44" s="430"/>
      <c r="AG44" s="430"/>
      <c r="AH44" s="430"/>
      <c r="AI44" s="430"/>
      <c r="AJ44" s="430"/>
      <c r="AK44" s="430"/>
      <c r="AL44" s="430"/>
      <c r="AM44" s="430"/>
      <c r="AN44" s="430"/>
      <c r="AO44" s="430"/>
      <c r="AP44" s="430"/>
      <c r="AQ44" s="430"/>
      <c r="AR44" s="430"/>
      <c r="AS44" s="430"/>
      <c r="AT44" s="430"/>
      <c r="AU44" s="430"/>
      <c r="AV44" s="430"/>
      <c r="AW44" s="430"/>
      <c r="AX44" s="430"/>
      <c r="AY44" s="430"/>
      <c r="AZ44" s="430"/>
      <c r="BA44" s="430"/>
      <c r="BB44" s="430"/>
      <c r="BC44" s="228"/>
      <c r="BD44" s="228"/>
      <c r="BI44" s="228"/>
      <c r="BJ44" s="228"/>
      <c r="BK44" s="228"/>
      <c r="BL44" s="228"/>
      <c r="BM44" s="228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229"/>
      <c r="CG44" s="229"/>
      <c r="CH44" s="229"/>
      <c r="CI44" s="229"/>
      <c r="CJ44" s="229"/>
      <c r="CK44" s="229"/>
      <c r="CL44" s="229"/>
      <c r="CM44" s="229"/>
      <c r="CN44" s="229"/>
      <c r="CO44" s="229"/>
      <c r="CP44" s="229"/>
      <c r="CQ44" s="229"/>
      <c r="CR44" s="229"/>
      <c r="CS44" s="229"/>
      <c r="CT44" s="229"/>
      <c r="CU44" s="229"/>
      <c r="CV44" s="229"/>
      <c r="CW44" s="229"/>
      <c r="CX44" s="229"/>
      <c r="CY44" s="229"/>
      <c r="CZ44" s="229"/>
      <c r="DA44" s="229"/>
      <c r="DB44" s="229"/>
      <c r="DC44" s="229"/>
      <c r="DD44" s="229"/>
      <c r="DE44" s="229"/>
      <c r="DF44" s="229"/>
      <c r="DG44" s="229"/>
      <c r="DH44" s="229"/>
      <c r="DI44" s="229"/>
      <c r="DJ44" s="229"/>
      <c r="DK44" s="229"/>
      <c r="DL44" s="229"/>
      <c r="DM44" s="229"/>
      <c r="DN44" s="229"/>
      <c r="DO44" s="229"/>
      <c r="DP44" s="229"/>
      <c r="DQ44" s="229"/>
      <c r="DR44" s="229"/>
      <c r="DS44" s="229"/>
      <c r="DT44" s="229"/>
      <c r="DU44" s="229"/>
      <c r="DV44" s="229"/>
      <c r="DW44" s="229"/>
      <c r="DX44" s="229"/>
      <c r="DY44" s="229"/>
      <c r="DZ44" s="229"/>
      <c r="EA44" s="229"/>
      <c r="EB44" s="229"/>
      <c r="EC44" s="229"/>
      <c r="ED44" s="229"/>
      <c r="EE44" s="229"/>
      <c r="EF44" s="229"/>
      <c r="EG44" s="229"/>
      <c r="EH44" s="234"/>
      <c r="EI44" s="229"/>
      <c r="EJ44" s="229"/>
      <c r="EK44" s="229"/>
      <c r="EL44" s="229"/>
      <c r="EM44" s="229"/>
      <c r="EN44" s="229"/>
      <c r="EO44" s="229"/>
      <c r="EP44" s="229"/>
      <c r="EQ44" s="229"/>
      <c r="ER44" s="229"/>
      <c r="ES44" s="229"/>
      <c r="ET44" s="229"/>
      <c r="EU44" s="229"/>
      <c r="EV44" s="229"/>
      <c r="EW44" s="229"/>
      <c r="EX44" s="229"/>
      <c r="EY44" s="229"/>
      <c r="EZ44" s="229"/>
      <c r="FA44" s="229"/>
      <c r="FB44" s="229"/>
      <c r="FC44" s="229"/>
      <c r="FD44" s="229"/>
      <c r="FE44" s="229"/>
      <c r="FF44" s="229"/>
      <c r="FG44" s="229"/>
      <c r="FH44" s="229"/>
      <c r="FI44" s="229"/>
      <c r="FJ44" s="229"/>
      <c r="FK44" s="229"/>
      <c r="FL44" s="229"/>
      <c r="FM44" s="229"/>
      <c r="FN44" s="229"/>
      <c r="FO44" s="229"/>
      <c r="FP44" s="229"/>
      <c r="FQ44" s="229"/>
      <c r="FR44" s="229"/>
      <c r="FS44" s="229"/>
      <c r="FT44" s="229"/>
      <c r="FU44" s="229"/>
      <c r="FV44" s="229"/>
      <c r="FW44" s="229"/>
      <c r="FX44" s="229"/>
      <c r="FY44" s="229"/>
      <c r="FZ44" s="229"/>
      <c r="GA44" s="229"/>
      <c r="KC44" s="234"/>
      <c r="KD44" s="229"/>
      <c r="KE44" s="229"/>
      <c r="NS44" s="375"/>
      <c r="NT44" s="376"/>
      <c r="NU44" s="376"/>
      <c r="NV44" s="376"/>
      <c r="NW44" s="376"/>
      <c r="NX44" s="376"/>
      <c r="NY44" s="376"/>
      <c r="NZ44" s="376"/>
      <c r="OA44" s="376"/>
      <c r="OB44" s="376"/>
      <c r="OC44" s="376"/>
      <c r="OD44" s="376"/>
      <c r="OE44" s="376"/>
      <c r="OF44" s="376"/>
      <c r="OG44" s="376"/>
      <c r="OH44" s="376"/>
      <c r="OI44" s="376"/>
      <c r="OJ44" s="376"/>
      <c r="OK44" s="376"/>
      <c r="OL44" s="376"/>
      <c r="OM44" s="376"/>
      <c r="ON44" s="376"/>
      <c r="OO44" s="376"/>
      <c r="OP44" s="376"/>
      <c r="OQ44" s="376"/>
      <c r="OR44" s="376"/>
      <c r="OS44" s="376"/>
      <c r="OT44" s="376"/>
      <c r="OU44" s="376"/>
      <c r="OV44" s="376"/>
      <c r="OW44" s="376"/>
      <c r="OX44" s="376"/>
      <c r="OY44" s="376"/>
      <c r="OZ44" s="376"/>
      <c r="PA44" s="376"/>
      <c r="PB44" s="376"/>
      <c r="PC44" s="376"/>
      <c r="PD44" s="376"/>
      <c r="PE44" s="376"/>
      <c r="PF44" s="376"/>
      <c r="PG44" s="428"/>
      <c r="PH44" s="432"/>
      <c r="PI44" s="376"/>
      <c r="PJ44" s="376"/>
      <c r="PK44" s="376"/>
      <c r="PL44" s="376"/>
      <c r="PM44" s="377"/>
      <c r="PR44" s="229"/>
      <c r="PS44" s="229"/>
      <c r="QQ44" s="230"/>
      <c r="QR44" s="231"/>
    </row>
    <row r="45" spans="3:460" ht="5.0999999999999996" customHeight="1" x14ac:dyDescent="0.25">
      <c r="C45" s="226"/>
      <c r="D45" s="227"/>
      <c r="E45" s="229"/>
      <c r="F45" s="228"/>
      <c r="G45" s="228"/>
      <c r="H45" s="228"/>
      <c r="I45" s="430"/>
      <c r="J45" s="430"/>
      <c r="K45" s="430"/>
      <c r="L45" s="430"/>
      <c r="M45" s="430"/>
      <c r="N45" s="430"/>
      <c r="O45" s="430"/>
      <c r="P45" s="430"/>
      <c r="Q45" s="430"/>
      <c r="R45" s="430"/>
      <c r="S45" s="430"/>
      <c r="T45" s="430"/>
      <c r="U45" s="430"/>
      <c r="V45" s="430"/>
      <c r="W45" s="430"/>
      <c r="X45" s="430"/>
      <c r="Y45" s="430"/>
      <c r="Z45" s="430"/>
      <c r="AA45" s="430"/>
      <c r="AB45" s="430"/>
      <c r="AC45" s="430"/>
      <c r="AD45" s="430"/>
      <c r="AE45" s="430"/>
      <c r="AF45" s="430"/>
      <c r="AG45" s="430"/>
      <c r="AH45" s="430"/>
      <c r="AI45" s="430"/>
      <c r="AJ45" s="430"/>
      <c r="AK45" s="430"/>
      <c r="AL45" s="430"/>
      <c r="AM45" s="430"/>
      <c r="AN45" s="430"/>
      <c r="AO45" s="430"/>
      <c r="AP45" s="430"/>
      <c r="AQ45" s="430"/>
      <c r="AR45" s="430"/>
      <c r="AS45" s="430"/>
      <c r="AT45" s="430"/>
      <c r="AU45" s="430"/>
      <c r="AV45" s="430"/>
      <c r="AW45" s="430"/>
      <c r="AX45" s="430"/>
      <c r="AY45" s="430"/>
      <c r="AZ45" s="430"/>
      <c r="BA45" s="430"/>
      <c r="BB45" s="430"/>
      <c r="CA45" s="229"/>
      <c r="CB45" s="229"/>
      <c r="CC45" s="229"/>
      <c r="CD45" s="229"/>
      <c r="CE45" s="229"/>
      <c r="CF45" s="229"/>
      <c r="CG45" s="229"/>
      <c r="CH45" s="229"/>
      <c r="CI45" s="229"/>
      <c r="CJ45" s="229"/>
      <c r="CK45" s="229"/>
      <c r="CL45" s="229"/>
      <c r="CM45" s="229"/>
      <c r="CN45" s="229"/>
      <c r="CO45" s="229"/>
      <c r="CP45" s="229"/>
      <c r="CQ45" s="229"/>
      <c r="CR45" s="229"/>
      <c r="CS45" s="229"/>
      <c r="CT45" s="229"/>
      <c r="CU45" s="229"/>
      <c r="CV45" s="229"/>
      <c r="CW45" s="229"/>
      <c r="CX45" s="229"/>
      <c r="CY45" s="229"/>
      <c r="CZ45" s="229"/>
      <c r="DA45" s="229"/>
      <c r="DB45" s="229"/>
      <c r="DC45" s="229"/>
      <c r="DD45" s="229"/>
      <c r="DE45" s="229"/>
      <c r="DF45" s="229"/>
      <c r="DG45" s="229"/>
      <c r="DH45" s="229"/>
      <c r="DI45" s="229"/>
      <c r="DJ45" s="229"/>
      <c r="DK45" s="229"/>
      <c r="DL45" s="229"/>
      <c r="DM45" s="229"/>
      <c r="DN45" s="229"/>
      <c r="DO45" s="229"/>
      <c r="DP45" s="229"/>
      <c r="DQ45" s="229"/>
      <c r="DR45" s="229"/>
      <c r="DS45" s="229"/>
      <c r="DT45" s="229"/>
      <c r="DU45" s="229"/>
      <c r="DV45" s="229"/>
      <c r="DW45" s="229"/>
      <c r="DX45" s="229"/>
      <c r="EH45" s="244"/>
      <c r="EI45" s="245"/>
      <c r="FD45" s="229"/>
      <c r="FE45" s="229"/>
      <c r="FF45" s="229"/>
      <c r="FG45" s="229"/>
      <c r="FH45" s="229"/>
      <c r="FI45" s="229"/>
      <c r="FJ45" s="229"/>
      <c r="FK45" s="229"/>
      <c r="FL45" s="229"/>
      <c r="FM45" s="229"/>
      <c r="FN45" s="229"/>
      <c r="KC45" s="244"/>
      <c r="KD45" s="245"/>
      <c r="KE45" s="245"/>
      <c r="NS45" s="378"/>
      <c r="NT45" s="379"/>
      <c r="NU45" s="379"/>
      <c r="NV45" s="379"/>
      <c r="NW45" s="379"/>
      <c r="NX45" s="379"/>
      <c r="NY45" s="379"/>
      <c r="NZ45" s="379"/>
      <c r="OA45" s="379"/>
      <c r="OB45" s="379"/>
      <c r="OC45" s="379"/>
      <c r="OD45" s="379"/>
      <c r="OE45" s="379"/>
      <c r="OF45" s="379"/>
      <c r="OG45" s="379"/>
      <c r="OH45" s="379"/>
      <c r="OI45" s="379"/>
      <c r="OJ45" s="379"/>
      <c r="OK45" s="379"/>
      <c r="OL45" s="379"/>
      <c r="OM45" s="379"/>
      <c r="ON45" s="379"/>
      <c r="OO45" s="379"/>
      <c r="OP45" s="379"/>
      <c r="OQ45" s="379"/>
      <c r="OR45" s="379"/>
      <c r="OS45" s="379"/>
      <c r="OT45" s="379"/>
      <c r="OU45" s="379"/>
      <c r="OV45" s="379"/>
      <c r="OW45" s="379"/>
      <c r="OX45" s="379"/>
      <c r="OY45" s="379"/>
      <c r="OZ45" s="379"/>
      <c r="PA45" s="379"/>
      <c r="PB45" s="379"/>
      <c r="PC45" s="379"/>
      <c r="PD45" s="379"/>
      <c r="PE45" s="379"/>
      <c r="PF45" s="379"/>
      <c r="PG45" s="429"/>
      <c r="PH45" s="433"/>
      <c r="PI45" s="379"/>
      <c r="PJ45" s="379"/>
      <c r="PK45" s="379"/>
      <c r="PL45" s="379"/>
      <c r="PM45" s="380"/>
      <c r="PR45" s="229"/>
      <c r="PS45" s="229"/>
      <c r="QQ45" s="230"/>
      <c r="QR45" s="231"/>
    </row>
    <row r="46" spans="3:460" ht="5.0999999999999996" customHeight="1" x14ac:dyDescent="0.25">
      <c r="C46" s="226"/>
      <c r="D46" s="227"/>
      <c r="E46" s="229"/>
      <c r="F46" s="228"/>
      <c r="G46" s="228"/>
      <c r="H46" s="228"/>
      <c r="I46" s="430"/>
      <c r="J46" s="430"/>
      <c r="K46" s="430"/>
      <c r="L46" s="430"/>
      <c r="M46" s="430"/>
      <c r="N46" s="430"/>
      <c r="O46" s="430"/>
      <c r="P46" s="430"/>
      <c r="Q46" s="430"/>
      <c r="R46" s="430"/>
      <c r="S46" s="430"/>
      <c r="T46" s="430"/>
      <c r="U46" s="430"/>
      <c r="V46" s="430"/>
      <c r="W46" s="430"/>
      <c r="X46" s="430"/>
      <c r="Y46" s="430"/>
      <c r="Z46" s="430"/>
      <c r="AA46" s="430"/>
      <c r="AB46" s="430"/>
      <c r="AC46" s="430"/>
      <c r="AD46" s="430"/>
      <c r="AE46" s="430"/>
      <c r="AF46" s="430"/>
      <c r="AG46" s="430"/>
      <c r="AH46" s="430"/>
      <c r="AI46" s="430"/>
      <c r="AJ46" s="430"/>
      <c r="AK46" s="430"/>
      <c r="AL46" s="430"/>
      <c r="AM46" s="430"/>
      <c r="AN46" s="430"/>
      <c r="AO46" s="430"/>
      <c r="AP46" s="430"/>
      <c r="AQ46" s="430"/>
      <c r="AR46" s="430"/>
      <c r="AS46" s="430"/>
      <c r="AT46" s="430"/>
      <c r="AU46" s="430"/>
      <c r="AV46" s="430"/>
      <c r="AW46" s="430"/>
      <c r="AX46" s="430"/>
      <c r="AY46" s="430"/>
      <c r="AZ46" s="430"/>
      <c r="BA46" s="430"/>
      <c r="BB46" s="430"/>
      <c r="CA46" s="229"/>
      <c r="CB46" s="229"/>
      <c r="CC46" s="229"/>
      <c r="CD46" s="229"/>
      <c r="CE46" s="229"/>
      <c r="CF46" s="229"/>
      <c r="CG46" s="229"/>
      <c r="CH46" s="229"/>
      <c r="CI46" s="229"/>
      <c r="CJ46" s="229"/>
      <c r="CK46" s="229"/>
      <c r="CL46" s="229"/>
      <c r="CM46" s="229"/>
      <c r="CN46" s="229"/>
      <c r="CO46" s="229"/>
      <c r="CP46" s="229"/>
      <c r="CQ46" s="229"/>
      <c r="CR46" s="229"/>
      <c r="CS46" s="229"/>
      <c r="CT46" s="229"/>
      <c r="CU46" s="229"/>
      <c r="CV46" s="229"/>
      <c r="CW46" s="229"/>
      <c r="CX46" s="229"/>
      <c r="CY46" s="229"/>
      <c r="CZ46" s="229"/>
      <c r="DA46" s="229"/>
      <c r="DB46" s="229"/>
      <c r="DC46" s="229"/>
      <c r="DD46" s="229"/>
      <c r="DE46" s="229"/>
      <c r="DF46" s="229"/>
      <c r="DG46" s="229"/>
      <c r="DH46" s="229"/>
      <c r="DI46" s="229"/>
      <c r="DJ46" s="229"/>
      <c r="DK46" s="229"/>
      <c r="DL46" s="308" t="s">
        <v>410</v>
      </c>
      <c r="DM46" s="309"/>
      <c r="DN46" s="309"/>
      <c r="DO46" s="309"/>
      <c r="DP46" s="309"/>
      <c r="DQ46" s="309"/>
      <c r="DR46" s="309"/>
      <c r="DS46" s="309"/>
      <c r="DT46" s="309"/>
      <c r="DU46" s="309"/>
      <c r="DV46" s="309"/>
      <c r="DW46" s="309"/>
      <c r="DX46" s="309"/>
      <c r="DY46" s="309"/>
      <c r="DZ46" s="309"/>
      <c r="EA46" s="309"/>
      <c r="EB46" s="309"/>
      <c r="EC46" s="309"/>
      <c r="ED46" s="309"/>
      <c r="EE46" s="309"/>
      <c r="EF46" s="309"/>
      <c r="EG46" s="309"/>
      <c r="EH46" s="309"/>
      <c r="EI46" s="309"/>
      <c r="EJ46" s="309"/>
      <c r="EK46" s="309"/>
      <c r="EL46" s="309"/>
      <c r="EM46" s="309"/>
      <c r="EN46" s="309"/>
      <c r="EO46" s="309"/>
      <c r="EP46" s="309"/>
      <c r="EQ46" s="309"/>
      <c r="ER46" s="309"/>
      <c r="ES46" s="309"/>
      <c r="ET46" s="309"/>
      <c r="EU46" s="309"/>
      <c r="EV46" s="309"/>
      <c r="EW46" s="309"/>
      <c r="EX46" s="309"/>
      <c r="EY46" s="309"/>
      <c r="EZ46" s="310"/>
      <c r="FA46" s="434">
        <v>1</v>
      </c>
      <c r="FB46" s="385"/>
      <c r="FC46" s="385"/>
      <c r="FD46" s="385"/>
      <c r="FE46" s="229"/>
      <c r="FF46" s="229"/>
      <c r="FG46" s="229"/>
      <c r="FH46" s="229"/>
      <c r="FI46" s="229"/>
      <c r="FJ46" s="229"/>
      <c r="FK46" s="229"/>
      <c r="FL46" s="229"/>
      <c r="FM46" s="229"/>
      <c r="FN46" s="229"/>
      <c r="JF46" s="435" t="s">
        <v>411</v>
      </c>
      <c r="JG46" s="435"/>
      <c r="JH46" s="435"/>
      <c r="JI46" s="435"/>
      <c r="JJ46" s="435"/>
      <c r="JK46" s="435"/>
      <c r="JL46" s="435"/>
      <c r="JM46" s="435"/>
      <c r="JN46" s="435"/>
      <c r="JO46" s="435"/>
      <c r="JP46" s="435"/>
      <c r="JQ46" s="435"/>
      <c r="JR46" s="435"/>
      <c r="JS46" s="435"/>
      <c r="JT46" s="435"/>
      <c r="JU46" s="435"/>
      <c r="JV46" s="435"/>
      <c r="JW46" s="435"/>
      <c r="JX46" s="435"/>
      <c r="JY46" s="435"/>
      <c r="JZ46" s="435"/>
      <c r="KA46" s="435"/>
      <c r="KB46" s="435"/>
      <c r="KC46" s="435"/>
      <c r="KD46" s="435"/>
      <c r="KE46" s="435"/>
      <c r="KF46" s="435"/>
      <c r="KG46" s="435"/>
      <c r="KH46" s="435"/>
      <c r="KI46" s="435"/>
      <c r="KJ46" s="435"/>
      <c r="KK46" s="435"/>
      <c r="KL46" s="435"/>
      <c r="KM46" s="435"/>
      <c r="KN46" s="435"/>
      <c r="KO46" s="435"/>
      <c r="KP46" s="435"/>
      <c r="KQ46" s="435"/>
      <c r="KR46" s="435"/>
      <c r="KS46" s="436">
        <f>KS58+GW83+IT82+KY81+NA81</f>
        <v>99</v>
      </c>
      <c r="KT46" s="436"/>
      <c r="KU46" s="436"/>
      <c r="KV46" s="436"/>
      <c r="KW46" s="436"/>
      <c r="KX46" s="436"/>
      <c r="KY46" s="436"/>
      <c r="KZ46" s="436"/>
      <c r="MT46" s="229"/>
      <c r="MU46" s="229"/>
      <c r="MV46" s="229"/>
      <c r="MW46" s="229"/>
      <c r="MX46" s="229"/>
      <c r="MY46" s="229"/>
      <c r="MZ46" s="229"/>
      <c r="NA46" s="229"/>
      <c r="NB46" s="229"/>
      <c r="NC46" s="229"/>
      <c r="ND46" s="229"/>
      <c r="NE46" s="229"/>
      <c r="NF46" s="229"/>
      <c r="NG46" s="229"/>
      <c r="NH46" s="229"/>
      <c r="NI46" s="229"/>
      <c r="NJ46" s="229"/>
      <c r="NK46" s="229"/>
      <c r="NL46" s="229"/>
      <c r="NM46" s="229"/>
      <c r="NN46" s="229"/>
      <c r="NO46" s="229"/>
      <c r="NP46" s="229"/>
      <c r="NQ46" s="229"/>
      <c r="NR46" s="229"/>
      <c r="NS46" s="229"/>
      <c r="NT46" s="229"/>
      <c r="NU46" s="229"/>
      <c r="NV46" s="229"/>
      <c r="NW46" s="229"/>
      <c r="NX46" s="229"/>
      <c r="NY46" s="229"/>
      <c r="NZ46" s="229"/>
      <c r="OR46" s="246"/>
      <c r="PR46" s="229"/>
      <c r="PS46" s="229"/>
      <c r="QQ46" s="230"/>
      <c r="QR46" s="231"/>
    </row>
    <row r="47" spans="3:460" ht="5.0999999999999996" customHeight="1" x14ac:dyDescent="0.25">
      <c r="C47" s="226"/>
      <c r="D47" s="227"/>
      <c r="E47" s="229"/>
      <c r="F47" s="228"/>
      <c r="G47" s="228"/>
      <c r="H47" s="228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8"/>
      <c r="CS47" s="229"/>
      <c r="CT47" s="229"/>
      <c r="CU47" s="229"/>
      <c r="CV47" s="229"/>
      <c r="CW47" s="229"/>
      <c r="CX47" s="229"/>
      <c r="CY47" s="229"/>
      <c r="CZ47" s="229"/>
      <c r="DA47" s="229"/>
      <c r="DB47" s="229"/>
      <c r="DC47" s="229"/>
      <c r="DD47" s="229"/>
      <c r="DE47" s="229"/>
      <c r="DF47" s="229"/>
      <c r="DG47" s="229"/>
      <c r="DH47" s="229"/>
      <c r="DI47" s="229"/>
      <c r="DJ47" s="229"/>
      <c r="DL47" s="311"/>
      <c r="DM47" s="312"/>
      <c r="DN47" s="312"/>
      <c r="DO47" s="312"/>
      <c r="DP47" s="312"/>
      <c r="DQ47" s="312"/>
      <c r="DR47" s="312"/>
      <c r="DS47" s="312"/>
      <c r="DT47" s="312"/>
      <c r="DU47" s="312"/>
      <c r="DV47" s="312"/>
      <c r="DW47" s="312"/>
      <c r="DX47" s="312"/>
      <c r="DY47" s="312"/>
      <c r="DZ47" s="312"/>
      <c r="EA47" s="312"/>
      <c r="EB47" s="312"/>
      <c r="EC47" s="312"/>
      <c r="ED47" s="312"/>
      <c r="EE47" s="312"/>
      <c r="EF47" s="312"/>
      <c r="EG47" s="312"/>
      <c r="EH47" s="312"/>
      <c r="EI47" s="312"/>
      <c r="EJ47" s="312"/>
      <c r="EK47" s="312"/>
      <c r="EL47" s="312"/>
      <c r="EM47" s="312"/>
      <c r="EN47" s="312"/>
      <c r="EO47" s="312"/>
      <c r="EP47" s="312"/>
      <c r="EQ47" s="312"/>
      <c r="ER47" s="312"/>
      <c r="ES47" s="312"/>
      <c r="ET47" s="312"/>
      <c r="EU47" s="312"/>
      <c r="EV47" s="312"/>
      <c r="EW47" s="312"/>
      <c r="EX47" s="312"/>
      <c r="EY47" s="312"/>
      <c r="EZ47" s="313"/>
      <c r="FA47" s="434"/>
      <c r="FB47" s="385"/>
      <c r="FC47" s="385"/>
      <c r="FD47" s="385"/>
      <c r="FE47" s="229"/>
      <c r="FF47" s="229"/>
      <c r="FG47" s="229"/>
      <c r="FH47" s="229"/>
      <c r="FI47" s="229"/>
      <c r="FJ47" s="229"/>
      <c r="FK47" s="229"/>
      <c r="FL47" s="229"/>
      <c r="FM47" s="229"/>
      <c r="FN47" s="229"/>
      <c r="JF47" s="435"/>
      <c r="JG47" s="435"/>
      <c r="JH47" s="435"/>
      <c r="JI47" s="435"/>
      <c r="JJ47" s="435"/>
      <c r="JK47" s="435"/>
      <c r="JL47" s="435"/>
      <c r="JM47" s="435"/>
      <c r="JN47" s="435"/>
      <c r="JO47" s="435"/>
      <c r="JP47" s="435"/>
      <c r="JQ47" s="435"/>
      <c r="JR47" s="435"/>
      <c r="JS47" s="435"/>
      <c r="JT47" s="435"/>
      <c r="JU47" s="435"/>
      <c r="JV47" s="435"/>
      <c r="JW47" s="435"/>
      <c r="JX47" s="435"/>
      <c r="JY47" s="435"/>
      <c r="JZ47" s="435"/>
      <c r="KA47" s="435"/>
      <c r="KB47" s="435"/>
      <c r="KC47" s="435"/>
      <c r="KD47" s="435"/>
      <c r="KE47" s="435"/>
      <c r="KF47" s="435"/>
      <c r="KG47" s="435"/>
      <c r="KH47" s="435"/>
      <c r="KI47" s="435"/>
      <c r="KJ47" s="435"/>
      <c r="KK47" s="435"/>
      <c r="KL47" s="435"/>
      <c r="KM47" s="435"/>
      <c r="KN47" s="435"/>
      <c r="KO47" s="435"/>
      <c r="KP47" s="435"/>
      <c r="KQ47" s="435"/>
      <c r="KR47" s="435"/>
      <c r="KS47" s="436"/>
      <c r="KT47" s="436"/>
      <c r="KU47" s="436"/>
      <c r="KV47" s="436"/>
      <c r="KW47" s="436"/>
      <c r="KX47" s="436"/>
      <c r="KY47" s="436"/>
      <c r="KZ47" s="436"/>
      <c r="MT47" s="229"/>
      <c r="MU47" s="229"/>
      <c r="MV47" s="229"/>
      <c r="MW47" s="229"/>
      <c r="MX47" s="229"/>
      <c r="MY47" s="229"/>
      <c r="MZ47" s="229"/>
      <c r="NA47" s="229"/>
      <c r="NB47" s="229"/>
      <c r="NC47" s="229"/>
      <c r="ND47" s="229"/>
      <c r="NE47" s="229"/>
      <c r="NF47" s="229"/>
      <c r="NG47" s="229"/>
      <c r="NH47" s="229"/>
      <c r="NI47" s="229"/>
      <c r="NJ47" s="229"/>
      <c r="NK47" s="229"/>
      <c r="NL47" s="229"/>
      <c r="NM47" s="229"/>
      <c r="NN47" s="229"/>
      <c r="NO47" s="229"/>
      <c r="NP47" s="229"/>
      <c r="NQ47" s="229"/>
      <c r="NR47" s="229"/>
      <c r="NS47" s="229"/>
      <c r="NT47" s="229"/>
      <c r="NU47" s="229"/>
      <c r="NV47" s="229"/>
      <c r="NW47" s="229"/>
      <c r="NX47" s="229"/>
      <c r="NY47" s="229"/>
      <c r="NZ47" s="229"/>
      <c r="OR47" s="246"/>
      <c r="OT47" s="229"/>
      <c r="PR47" s="229"/>
      <c r="PS47" s="229"/>
      <c r="QQ47" s="230"/>
      <c r="QR47" s="231"/>
    </row>
    <row r="48" spans="3:460" ht="5.0999999999999996" customHeight="1" x14ac:dyDescent="0.25">
      <c r="C48" s="226"/>
      <c r="D48" s="227"/>
      <c r="E48" s="229"/>
      <c r="F48" s="228"/>
      <c r="G48" s="228"/>
      <c r="H48" s="228"/>
      <c r="I48" s="308" t="s">
        <v>412</v>
      </c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10"/>
      <c r="AX48" s="406">
        <v>2</v>
      </c>
      <c r="AY48" s="407"/>
      <c r="AZ48" s="407"/>
      <c r="BA48" s="407"/>
      <c r="BB48" s="408"/>
      <c r="CS48" s="229"/>
      <c r="CT48" s="229"/>
      <c r="CU48" s="229"/>
      <c r="CV48" s="229"/>
      <c r="CW48" s="229"/>
      <c r="CX48" s="229"/>
      <c r="CY48" s="229"/>
      <c r="CZ48" s="229"/>
      <c r="DA48" s="229"/>
      <c r="DB48" s="229"/>
      <c r="DC48" s="229"/>
      <c r="DD48" s="229"/>
      <c r="DE48" s="229"/>
      <c r="DF48" s="229"/>
      <c r="DG48" s="229"/>
      <c r="DH48" s="229"/>
      <c r="DI48" s="229"/>
      <c r="DJ48" s="229"/>
      <c r="DK48" s="229"/>
      <c r="DL48" s="311"/>
      <c r="DM48" s="312"/>
      <c r="DN48" s="312"/>
      <c r="DO48" s="312"/>
      <c r="DP48" s="312"/>
      <c r="DQ48" s="312"/>
      <c r="DR48" s="312"/>
      <c r="DS48" s="312"/>
      <c r="DT48" s="312"/>
      <c r="DU48" s="312"/>
      <c r="DV48" s="312"/>
      <c r="DW48" s="312"/>
      <c r="DX48" s="312"/>
      <c r="DY48" s="312"/>
      <c r="DZ48" s="312"/>
      <c r="EA48" s="312"/>
      <c r="EB48" s="312"/>
      <c r="EC48" s="312"/>
      <c r="ED48" s="312"/>
      <c r="EE48" s="312"/>
      <c r="EF48" s="312"/>
      <c r="EG48" s="312"/>
      <c r="EH48" s="312"/>
      <c r="EI48" s="312"/>
      <c r="EJ48" s="312"/>
      <c r="EK48" s="312"/>
      <c r="EL48" s="312"/>
      <c r="EM48" s="312"/>
      <c r="EN48" s="312"/>
      <c r="EO48" s="312"/>
      <c r="EP48" s="312"/>
      <c r="EQ48" s="312"/>
      <c r="ER48" s="312"/>
      <c r="ES48" s="312"/>
      <c r="ET48" s="312"/>
      <c r="EU48" s="312"/>
      <c r="EV48" s="312"/>
      <c r="EW48" s="312"/>
      <c r="EX48" s="312"/>
      <c r="EY48" s="312"/>
      <c r="EZ48" s="313"/>
      <c r="FA48" s="434"/>
      <c r="FB48" s="385"/>
      <c r="FC48" s="385"/>
      <c r="FD48" s="385"/>
      <c r="FE48" s="229"/>
      <c r="FF48" s="229"/>
      <c r="FG48" s="229"/>
      <c r="FH48" s="229"/>
      <c r="FI48" s="229"/>
      <c r="FJ48" s="229"/>
      <c r="FK48" s="229"/>
      <c r="FL48" s="229"/>
      <c r="FM48" s="229"/>
      <c r="FN48" s="229"/>
      <c r="JF48" s="435"/>
      <c r="JG48" s="435"/>
      <c r="JH48" s="435"/>
      <c r="JI48" s="435"/>
      <c r="JJ48" s="435"/>
      <c r="JK48" s="435"/>
      <c r="JL48" s="435"/>
      <c r="JM48" s="435"/>
      <c r="JN48" s="435"/>
      <c r="JO48" s="435"/>
      <c r="JP48" s="435"/>
      <c r="JQ48" s="435"/>
      <c r="JR48" s="435"/>
      <c r="JS48" s="435"/>
      <c r="JT48" s="435"/>
      <c r="JU48" s="435"/>
      <c r="JV48" s="435"/>
      <c r="JW48" s="435"/>
      <c r="JX48" s="435"/>
      <c r="JY48" s="435"/>
      <c r="JZ48" s="435"/>
      <c r="KA48" s="435"/>
      <c r="KB48" s="435"/>
      <c r="KC48" s="435"/>
      <c r="KD48" s="435"/>
      <c r="KE48" s="435"/>
      <c r="KF48" s="435"/>
      <c r="KG48" s="435"/>
      <c r="KH48" s="435"/>
      <c r="KI48" s="435"/>
      <c r="KJ48" s="435"/>
      <c r="KK48" s="435"/>
      <c r="KL48" s="435"/>
      <c r="KM48" s="435"/>
      <c r="KN48" s="435"/>
      <c r="KO48" s="435"/>
      <c r="KP48" s="435"/>
      <c r="KQ48" s="435"/>
      <c r="KR48" s="435"/>
      <c r="KS48" s="436"/>
      <c r="KT48" s="436"/>
      <c r="KU48" s="436"/>
      <c r="KV48" s="436"/>
      <c r="KW48" s="436"/>
      <c r="KX48" s="436"/>
      <c r="KY48" s="436"/>
      <c r="KZ48" s="436"/>
      <c r="MT48" s="229"/>
      <c r="MU48" s="229"/>
      <c r="MV48" s="229"/>
      <c r="MW48" s="229"/>
      <c r="MX48" s="229"/>
      <c r="MY48" s="229"/>
      <c r="MZ48" s="229"/>
      <c r="NA48" s="229"/>
      <c r="NB48" s="229"/>
      <c r="NC48" s="229"/>
      <c r="ND48" s="229"/>
      <c r="NE48" s="229"/>
      <c r="NF48" s="229"/>
      <c r="NG48" s="229"/>
      <c r="NH48" s="229"/>
      <c r="NI48" s="229"/>
      <c r="NJ48" s="229"/>
      <c r="NK48" s="229"/>
      <c r="NL48" s="229"/>
      <c r="NM48" s="229"/>
      <c r="NN48" s="229"/>
      <c r="NO48" s="229"/>
      <c r="NP48" s="229"/>
      <c r="NQ48" s="229"/>
      <c r="NR48" s="229"/>
      <c r="NS48" s="229"/>
      <c r="NT48" s="229"/>
      <c r="NU48" s="229"/>
      <c r="NV48" s="229"/>
      <c r="NW48" s="229"/>
      <c r="NX48" s="229"/>
      <c r="NY48" s="229"/>
      <c r="NZ48" s="229"/>
      <c r="OR48" s="246"/>
      <c r="PR48" s="229"/>
      <c r="PS48" s="229"/>
      <c r="QQ48" s="230"/>
      <c r="QR48" s="231"/>
    </row>
    <row r="49" spans="3:465" ht="5.0999999999999996" customHeight="1" x14ac:dyDescent="0.25">
      <c r="C49" s="226"/>
      <c r="D49" s="227"/>
      <c r="E49" s="229"/>
      <c r="F49" s="228"/>
      <c r="G49" s="228"/>
      <c r="H49" s="228"/>
      <c r="I49" s="311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312"/>
      <c r="AK49" s="312"/>
      <c r="AL49" s="312"/>
      <c r="AM49" s="312"/>
      <c r="AN49" s="312"/>
      <c r="AO49" s="312"/>
      <c r="AP49" s="312"/>
      <c r="AQ49" s="312"/>
      <c r="AR49" s="312"/>
      <c r="AS49" s="312"/>
      <c r="AT49" s="312"/>
      <c r="AU49" s="312"/>
      <c r="AV49" s="312"/>
      <c r="AW49" s="313"/>
      <c r="AX49" s="409"/>
      <c r="AY49" s="410"/>
      <c r="AZ49" s="410"/>
      <c r="BA49" s="410"/>
      <c r="BB49" s="411"/>
      <c r="CS49" s="229"/>
      <c r="CT49" s="229"/>
      <c r="CU49" s="229"/>
      <c r="CV49" s="229"/>
      <c r="CW49" s="229"/>
      <c r="CX49" s="229"/>
      <c r="CY49" s="229"/>
      <c r="CZ49" s="229"/>
      <c r="DA49" s="229"/>
      <c r="DB49" s="229"/>
      <c r="DC49" s="229"/>
      <c r="DD49" s="229"/>
      <c r="DE49" s="229"/>
      <c r="DF49" s="229"/>
      <c r="DG49" s="229"/>
      <c r="DH49" s="229"/>
      <c r="DI49" s="229"/>
      <c r="DJ49" s="229"/>
      <c r="DK49" s="229"/>
      <c r="DL49" s="311"/>
      <c r="DM49" s="312"/>
      <c r="DN49" s="312"/>
      <c r="DO49" s="312"/>
      <c r="DP49" s="312"/>
      <c r="DQ49" s="312"/>
      <c r="DR49" s="312"/>
      <c r="DS49" s="312"/>
      <c r="DT49" s="312"/>
      <c r="DU49" s="312"/>
      <c r="DV49" s="312"/>
      <c r="DW49" s="312"/>
      <c r="DX49" s="312"/>
      <c r="DY49" s="312"/>
      <c r="DZ49" s="312"/>
      <c r="EA49" s="312"/>
      <c r="EB49" s="312"/>
      <c r="EC49" s="312"/>
      <c r="ED49" s="312"/>
      <c r="EE49" s="312"/>
      <c r="EF49" s="312"/>
      <c r="EG49" s="312"/>
      <c r="EH49" s="312"/>
      <c r="EI49" s="312"/>
      <c r="EJ49" s="312"/>
      <c r="EK49" s="312"/>
      <c r="EL49" s="312"/>
      <c r="EM49" s="312"/>
      <c r="EN49" s="312"/>
      <c r="EO49" s="312"/>
      <c r="EP49" s="312"/>
      <c r="EQ49" s="312"/>
      <c r="ER49" s="312"/>
      <c r="ES49" s="312"/>
      <c r="ET49" s="312"/>
      <c r="EU49" s="312"/>
      <c r="EV49" s="312"/>
      <c r="EW49" s="312"/>
      <c r="EX49" s="312"/>
      <c r="EY49" s="312"/>
      <c r="EZ49" s="313"/>
      <c r="FA49" s="434"/>
      <c r="FB49" s="385"/>
      <c r="FC49" s="385"/>
      <c r="FD49" s="385"/>
      <c r="FE49" s="229"/>
      <c r="FF49" s="229"/>
      <c r="FG49" s="229"/>
      <c r="FH49" s="229"/>
      <c r="FI49" s="229"/>
      <c r="FJ49" s="229"/>
      <c r="FK49" s="229"/>
      <c r="FL49" s="229"/>
      <c r="FM49" s="229"/>
      <c r="FN49" s="229"/>
      <c r="JF49" s="435"/>
      <c r="JG49" s="435"/>
      <c r="JH49" s="435"/>
      <c r="JI49" s="435"/>
      <c r="JJ49" s="435"/>
      <c r="JK49" s="435"/>
      <c r="JL49" s="435"/>
      <c r="JM49" s="435"/>
      <c r="JN49" s="435"/>
      <c r="JO49" s="435"/>
      <c r="JP49" s="435"/>
      <c r="JQ49" s="435"/>
      <c r="JR49" s="435"/>
      <c r="JS49" s="435"/>
      <c r="JT49" s="435"/>
      <c r="JU49" s="435"/>
      <c r="JV49" s="435"/>
      <c r="JW49" s="435"/>
      <c r="JX49" s="435"/>
      <c r="JY49" s="435"/>
      <c r="JZ49" s="435"/>
      <c r="KA49" s="435"/>
      <c r="KB49" s="435"/>
      <c r="KC49" s="435"/>
      <c r="KD49" s="435"/>
      <c r="KE49" s="435"/>
      <c r="KF49" s="435"/>
      <c r="KG49" s="435"/>
      <c r="KH49" s="435"/>
      <c r="KI49" s="435"/>
      <c r="KJ49" s="435"/>
      <c r="KK49" s="435"/>
      <c r="KL49" s="435"/>
      <c r="KM49" s="435"/>
      <c r="KN49" s="435"/>
      <c r="KO49" s="435"/>
      <c r="KP49" s="435"/>
      <c r="KQ49" s="435"/>
      <c r="KR49" s="435"/>
      <c r="KS49" s="436"/>
      <c r="KT49" s="436"/>
      <c r="KU49" s="436"/>
      <c r="KV49" s="436"/>
      <c r="KW49" s="436"/>
      <c r="KX49" s="436"/>
      <c r="KY49" s="436"/>
      <c r="KZ49" s="436"/>
      <c r="MT49" s="229"/>
      <c r="MU49" s="229"/>
      <c r="MV49" s="229"/>
      <c r="MW49" s="229"/>
      <c r="MX49" s="229"/>
      <c r="MY49" s="229"/>
      <c r="MZ49" s="229"/>
      <c r="NA49" s="229"/>
      <c r="NB49" s="229"/>
      <c r="NC49" s="229"/>
      <c r="ND49" s="229"/>
      <c r="NE49" s="229"/>
      <c r="NF49" s="229"/>
      <c r="NG49" s="229"/>
      <c r="NH49" s="229"/>
      <c r="NI49" s="229"/>
      <c r="NJ49" s="229"/>
      <c r="NK49" s="229"/>
      <c r="NL49" s="229"/>
      <c r="NM49" s="229"/>
      <c r="NN49" s="229"/>
      <c r="NO49" s="229"/>
      <c r="NP49" s="229"/>
      <c r="NQ49" s="229"/>
      <c r="NR49" s="229"/>
      <c r="NS49" s="229"/>
      <c r="NT49" s="229"/>
      <c r="NU49" s="229"/>
      <c r="NV49" s="229"/>
      <c r="NW49" s="229"/>
      <c r="NX49" s="229"/>
      <c r="NY49" s="229"/>
      <c r="NZ49" s="229"/>
      <c r="OR49" s="246"/>
      <c r="PR49" s="229"/>
      <c r="PS49" s="229"/>
      <c r="QQ49" s="230"/>
      <c r="QR49" s="231"/>
    </row>
    <row r="50" spans="3:465" ht="5.0999999999999996" customHeight="1" x14ac:dyDescent="0.25">
      <c r="C50" s="226"/>
      <c r="D50" s="227"/>
      <c r="E50" s="229"/>
      <c r="H50" s="229"/>
      <c r="I50" s="311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  <c r="AH50" s="312"/>
      <c r="AI50" s="312"/>
      <c r="AJ50" s="312"/>
      <c r="AK50" s="312"/>
      <c r="AL50" s="312"/>
      <c r="AM50" s="312"/>
      <c r="AN50" s="312"/>
      <c r="AO50" s="312"/>
      <c r="AP50" s="312"/>
      <c r="AQ50" s="312"/>
      <c r="AR50" s="312"/>
      <c r="AS50" s="312"/>
      <c r="AT50" s="312"/>
      <c r="AU50" s="312"/>
      <c r="AV50" s="312"/>
      <c r="AW50" s="313"/>
      <c r="AX50" s="409"/>
      <c r="AY50" s="410"/>
      <c r="AZ50" s="410"/>
      <c r="BA50" s="410"/>
      <c r="BB50" s="411"/>
      <c r="CS50" s="229"/>
      <c r="CT50" s="229"/>
      <c r="CU50" s="229"/>
      <c r="CV50" s="229"/>
      <c r="CW50" s="229"/>
      <c r="CX50" s="229"/>
      <c r="CY50" s="229"/>
      <c r="CZ50" s="229"/>
      <c r="DA50" s="229"/>
      <c r="DB50" s="229"/>
      <c r="DC50" s="229"/>
      <c r="DD50" s="229"/>
      <c r="DE50" s="229"/>
      <c r="DF50" s="229"/>
      <c r="DG50" s="229"/>
      <c r="DH50" s="229"/>
      <c r="DI50" s="229"/>
      <c r="DJ50" s="229"/>
      <c r="DK50" s="229"/>
      <c r="DL50" s="311"/>
      <c r="DM50" s="312"/>
      <c r="DN50" s="312"/>
      <c r="DO50" s="312"/>
      <c r="DP50" s="312"/>
      <c r="DQ50" s="312"/>
      <c r="DR50" s="312"/>
      <c r="DS50" s="312"/>
      <c r="DT50" s="312"/>
      <c r="DU50" s="312"/>
      <c r="DV50" s="312"/>
      <c r="DW50" s="312"/>
      <c r="DX50" s="312"/>
      <c r="DY50" s="312"/>
      <c r="DZ50" s="312"/>
      <c r="EA50" s="312"/>
      <c r="EB50" s="312"/>
      <c r="EC50" s="312"/>
      <c r="ED50" s="312"/>
      <c r="EE50" s="312"/>
      <c r="EF50" s="312"/>
      <c r="EG50" s="312"/>
      <c r="EH50" s="312"/>
      <c r="EI50" s="312"/>
      <c r="EJ50" s="312"/>
      <c r="EK50" s="312"/>
      <c r="EL50" s="312"/>
      <c r="EM50" s="312"/>
      <c r="EN50" s="312"/>
      <c r="EO50" s="312"/>
      <c r="EP50" s="312"/>
      <c r="EQ50" s="312"/>
      <c r="ER50" s="312"/>
      <c r="ES50" s="312"/>
      <c r="ET50" s="312"/>
      <c r="EU50" s="312"/>
      <c r="EV50" s="312"/>
      <c r="EW50" s="312"/>
      <c r="EX50" s="312"/>
      <c r="EY50" s="312"/>
      <c r="EZ50" s="313"/>
      <c r="FA50" s="434"/>
      <c r="FB50" s="385"/>
      <c r="FC50" s="385"/>
      <c r="FD50" s="385"/>
      <c r="FE50" s="229"/>
      <c r="FF50" s="229"/>
      <c r="FG50" s="229"/>
      <c r="FH50" s="229"/>
      <c r="FI50" s="229"/>
      <c r="FJ50" s="229"/>
      <c r="FK50" s="229"/>
      <c r="FL50" s="229"/>
      <c r="FM50" s="229"/>
      <c r="FN50" s="229"/>
      <c r="JF50" s="435"/>
      <c r="JG50" s="435"/>
      <c r="JH50" s="435"/>
      <c r="JI50" s="435"/>
      <c r="JJ50" s="435"/>
      <c r="JK50" s="435"/>
      <c r="JL50" s="435"/>
      <c r="JM50" s="435"/>
      <c r="JN50" s="435"/>
      <c r="JO50" s="435"/>
      <c r="JP50" s="435"/>
      <c r="JQ50" s="435"/>
      <c r="JR50" s="435"/>
      <c r="JS50" s="435"/>
      <c r="JT50" s="435"/>
      <c r="JU50" s="435"/>
      <c r="JV50" s="435"/>
      <c r="JW50" s="435"/>
      <c r="JX50" s="435"/>
      <c r="JY50" s="435"/>
      <c r="JZ50" s="435"/>
      <c r="KA50" s="435"/>
      <c r="KB50" s="435"/>
      <c r="KC50" s="435"/>
      <c r="KD50" s="435"/>
      <c r="KE50" s="435"/>
      <c r="KF50" s="435"/>
      <c r="KG50" s="435"/>
      <c r="KH50" s="435"/>
      <c r="KI50" s="435"/>
      <c r="KJ50" s="435"/>
      <c r="KK50" s="435"/>
      <c r="KL50" s="435"/>
      <c r="KM50" s="435"/>
      <c r="KN50" s="435"/>
      <c r="KO50" s="435"/>
      <c r="KP50" s="435"/>
      <c r="KQ50" s="435"/>
      <c r="KR50" s="435"/>
      <c r="KS50" s="436"/>
      <c r="KT50" s="436"/>
      <c r="KU50" s="436"/>
      <c r="KV50" s="436"/>
      <c r="KW50" s="436"/>
      <c r="KX50" s="436"/>
      <c r="KY50" s="436"/>
      <c r="KZ50" s="436"/>
      <c r="OR50" s="246"/>
      <c r="QQ50" s="230"/>
      <c r="QR50" s="231"/>
    </row>
    <row r="51" spans="3:465" ht="5.0999999999999996" customHeight="1" x14ac:dyDescent="0.25">
      <c r="C51" s="226"/>
      <c r="D51" s="227"/>
      <c r="E51" s="229"/>
      <c r="H51" s="229"/>
      <c r="I51" s="311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2"/>
      <c r="AK51" s="312"/>
      <c r="AL51" s="312"/>
      <c r="AM51" s="312"/>
      <c r="AN51" s="312"/>
      <c r="AO51" s="312"/>
      <c r="AP51" s="312"/>
      <c r="AQ51" s="312"/>
      <c r="AR51" s="312"/>
      <c r="AS51" s="312"/>
      <c r="AT51" s="312"/>
      <c r="AU51" s="312"/>
      <c r="AV51" s="312"/>
      <c r="AW51" s="313"/>
      <c r="AX51" s="409"/>
      <c r="AY51" s="410"/>
      <c r="AZ51" s="410"/>
      <c r="BA51" s="410"/>
      <c r="BB51" s="411"/>
      <c r="CS51" s="229"/>
      <c r="CT51" s="229"/>
      <c r="CU51" s="229"/>
      <c r="CV51" s="229"/>
      <c r="CW51" s="229"/>
      <c r="CX51" s="229"/>
      <c r="CY51" s="229"/>
      <c r="CZ51" s="229"/>
      <c r="DA51" s="229"/>
      <c r="DB51" s="229"/>
      <c r="DC51" s="229"/>
      <c r="DD51" s="229"/>
      <c r="DE51" s="229"/>
      <c r="DF51" s="229"/>
      <c r="DG51" s="229"/>
      <c r="DH51" s="229"/>
      <c r="DI51" s="229"/>
      <c r="DJ51" s="229"/>
      <c r="DL51" s="311"/>
      <c r="DM51" s="312"/>
      <c r="DN51" s="312"/>
      <c r="DO51" s="312"/>
      <c r="DP51" s="312"/>
      <c r="DQ51" s="312"/>
      <c r="DR51" s="312"/>
      <c r="DS51" s="312"/>
      <c r="DT51" s="312"/>
      <c r="DU51" s="312"/>
      <c r="DV51" s="312"/>
      <c r="DW51" s="312"/>
      <c r="DX51" s="312"/>
      <c r="DY51" s="312"/>
      <c r="DZ51" s="312"/>
      <c r="EA51" s="312"/>
      <c r="EB51" s="312"/>
      <c r="EC51" s="312"/>
      <c r="ED51" s="312"/>
      <c r="EE51" s="312"/>
      <c r="EF51" s="312"/>
      <c r="EG51" s="312"/>
      <c r="EH51" s="312"/>
      <c r="EI51" s="312"/>
      <c r="EJ51" s="312"/>
      <c r="EK51" s="312"/>
      <c r="EL51" s="312"/>
      <c r="EM51" s="312"/>
      <c r="EN51" s="312"/>
      <c r="EO51" s="312"/>
      <c r="EP51" s="312"/>
      <c r="EQ51" s="312"/>
      <c r="ER51" s="312"/>
      <c r="ES51" s="312"/>
      <c r="ET51" s="312"/>
      <c r="EU51" s="312"/>
      <c r="EV51" s="312"/>
      <c r="EW51" s="312"/>
      <c r="EX51" s="312"/>
      <c r="EY51" s="312"/>
      <c r="EZ51" s="313"/>
      <c r="FA51" s="434"/>
      <c r="FB51" s="385"/>
      <c r="FC51" s="385"/>
      <c r="FD51" s="385"/>
      <c r="FE51" s="229"/>
      <c r="FF51" s="229"/>
      <c r="FG51" s="229"/>
      <c r="FH51" s="229"/>
      <c r="FI51" s="229"/>
      <c r="FJ51" s="229"/>
      <c r="FK51" s="229"/>
      <c r="FL51" s="229"/>
      <c r="FM51" s="229"/>
      <c r="FN51" s="229"/>
      <c r="JF51" s="435"/>
      <c r="JG51" s="435"/>
      <c r="JH51" s="435"/>
      <c r="JI51" s="435"/>
      <c r="JJ51" s="435"/>
      <c r="JK51" s="435"/>
      <c r="JL51" s="435"/>
      <c r="JM51" s="435"/>
      <c r="JN51" s="435"/>
      <c r="JO51" s="435"/>
      <c r="JP51" s="435"/>
      <c r="JQ51" s="435"/>
      <c r="JR51" s="435"/>
      <c r="JS51" s="435"/>
      <c r="JT51" s="435"/>
      <c r="JU51" s="435"/>
      <c r="JV51" s="435"/>
      <c r="JW51" s="435"/>
      <c r="JX51" s="435"/>
      <c r="JY51" s="435"/>
      <c r="JZ51" s="435"/>
      <c r="KA51" s="435"/>
      <c r="KB51" s="435"/>
      <c r="KC51" s="435"/>
      <c r="KD51" s="435"/>
      <c r="KE51" s="435"/>
      <c r="KF51" s="435"/>
      <c r="KG51" s="435"/>
      <c r="KH51" s="435"/>
      <c r="KI51" s="435"/>
      <c r="KJ51" s="435"/>
      <c r="KK51" s="435"/>
      <c r="KL51" s="435"/>
      <c r="KM51" s="435"/>
      <c r="KN51" s="435"/>
      <c r="KO51" s="435"/>
      <c r="KP51" s="435"/>
      <c r="KQ51" s="435"/>
      <c r="KR51" s="435"/>
      <c r="KS51" s="436"/>
      <c r="KT51" s="436"/>
      <c r="KU51" s="436"/>
      <c r="KV51" s="436"/>
      <c r="KW51" s="436"/>
      <c r="KX51" s="436"/>
      <c r="KY51" s="436"/>
      <c r="KZ51" s="436"/>
      <c r="OR51" s="246"/>
      <c r="QQ51" s="230"/>
      <c r="QR51" s="231"/>
    </row>
    <row r="52" spans="3:465" ht="5.0999999999999996" customHeight="1" x14ac:dyDescent="0.25">
      <c r="C52" s="226"/>
      <c r="D52" s="227"/>
      <c r="E52" s="229"/>
      <c r="H52" s="229"/>
      <c r="I52" s="311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312"/>
      <c r="AT52" s="312"/>
      <c r="AU52" s="312"/>
      <c r="AV52" s="312"/>
      <c r="AW52" s="313"/>
      <c r="AX52" s="409"/>
      <c r="AY52" s="410"/>
      <c r="AZ52" s="410"/>
      <c r="BA52" s="410"/>
      <c r="BB52" s="411"/>
      <c r="BC52" s="229"/>
      <c r="BD52" s="229"/>
      <c r="BI52" s="229"/>
      <c r="BJ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L52" s="311"/>
      <c r="DM52" s="312"/>
      <c r="DN52" s="312"/>
      <c r="DO52" s="312"/>
      <c r="DP52" s="312"/>
      <c r="DQ52" s="312"/>
      <c r="DR52" s="312"/>
      <c r="DS52" s="312"/>
      <c r="DT52" s="312"/>
      <c r="DU52" s="312"/>
      <c r="DV52" s="312"/>
      <c r="DW52" s="312"/>
      <c r="DX52" s="312"/>
      <c r="DY52" s="312"/>
      <c r="DZ52" s="312"/>
      <c r="EA52" s="312"/>
      <c r="EB52" s="312"/>
      <c r="EC52" s="312"/>
      <c r="ED52" s="312"/>
      <c r="EE52" s="312"/>
      <c r="EF52" s="312"/>
      <c r="EG52" s="312"/>
      <c r="EH52" s="312"/>
      <c r="EI52" s="312"/>
      <c r="EJ52" s="312"/>
      <c r="EK52" s="312"/>
      <c r="EL52" s="312"/>
      <c r="EM52" s="312"/>
      <c r="EN52" s="312"/>
      <c r="EO52" s="312"/>
      <c r="EP52" s="312"/>
      <c r="EQ52" s="312"/>
      <c r="ER52" s="312"/>
      <c r="ES52" s="312"/>
      <c r="ET52" s="312"/>
      <c r="EU52" s="312"/>
      <c r="EV52" s="312"/>
      <c r="EW52" s="312"/>
      <c r="EX52" s="312"/>
      <c r="EY52" s="312"/>
      <c r="EZ52" s="313"/>
      <c r="FA52" s="434"/>
      <c r="FB52" s="385"/>
      <c r="FC52" s="385"/>
      <c r="FD52" s="385"/>
      <c r="FE52" s="229"/>
      <c r="FF52" s="229"/>
      <c r="FG52" s="229"/>
      <c r="FH52" s="229"/>
      <c r="FI52" s="229"/>
      <c r="FJ52" s="229"/>
      <c r="FK52" s="229"/>
      <c r="FL52" s="229"/>
      <c r="FM52" s="229"/>
      <c r="FN52" s="229"/>
      <c r="JF52" s="435"/>
      <c r="JG52" s="435"/>
      <c r="JH52" s="435"/>
      <c r="JI52" s="435"/>
      <c r="JJ52" s="435"/>
      <c r="JK52" s="435"/>
      <c r="JL52" s="435"/>
      <c r="JM52" s="435"/>
      <c r="JN52" s="435"/>
      <c r="JO52" s="435"/>
      <c r="JP52" s="435"/>
      <c r="JQ52" s="435"/>
      <c r="JR52" s="435"/>
      <c r="JS52" s="435"/>
      <c r="JT52" s="435"/>
      <c r="JU52" s="435"/>
      <c r="JV52" s="435"/>
      <c r="JW52" s="435"/>
      <c r="JX52" s="435"/>
      <c r="JY52" s="435"/>
      <c r="JZ52" s="435"/>
      <c r="KA52" s="435"/>
      <c r="KB52" s="435"/>
      <c r="KC52" s="435"/>
      <c r="KD52" s="435"/>
      <c r="KE52" s="435"/>
      <c r="KF52" s="435"/>
      <c r="KG52" s="435"/>
      <c r="KH52" s="435"/>
      <c r="KI52" s="435"/>
      <c r="KJ52" s="435"/>
      <c r="KK52" s="435"/>
      <c r="KL52" s="435"/>
      <c r="KM52" s="435"/>
      <c r="KN52" s="435"/>
      <c r="KO52" s="435"/>
      <c r="KP52" s="435"/>
      <c r="KQ52" s="435"/>
      <c r="KR52" s="435"/>
      <c r="KS52" s="436"/>
      <c r="KT52" s="436"/>
      <c r="KU52" s="436"/>
      <c r="KV52" s="436"/>
      <c r="KW52" s="436"/>
      <c r="KX52" s="436"/>
      <c r="KY52" s="436"/>
      <c r="KZ52" s="436"/>
      <c r="OR52" s="246"/>
      <c r="QQ52" s="230"/>
      <c r="QR52" s="231"/>
    </row>
    <row r="53" spans="3:465" ht="5.0999999999999996" customHeight="1" x14ac:dyDescent="0.25">
      <c r="C53" s="226"/>
      <c r="D53" s="227"/>
      <c r="E53" s="229"/>
      <c r="H53" s="229"/>
      <c r="I53" s="311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3"/>
      <c r="AX53" s="409"/>
      <c r="AY53" s="410"/>
      <c r="AZ53" s="410"/>
      <c r="BA53" s="410"/>
      <c r="BB53" s="411"/>
      <c r="BC53" s="229"/>
      <c r="BD53" s="229"/>
      <c r="BI53" s="229"/>
      <c r="BJ53" s="229"/>
      <c r="CS53" s="229"/>
      <c r="CT53" s="229"/>
      <c r="CU53" s="229"/>
      <c r="CV53" s="229"/>
      <c r="CW53" s="229"/>
      <c r="CX53" s="229"/>
      <c r="CY53" s="229"/>
      <c r="CZ53" s="229"/>
      <c r="DA53" s="229"/>
      <c r="DB53" s="229"/>
      <c r="DC53" s="229"/>
      <c r="DD53" s="229"/>
      <c r="DE53" s="229"/>
      <c r="DF53" s="229"/>
      <c r="DG53" s="229"/>
      <c r="DH53" s="229"/>
      <c r="DI53" s="229"/>
      <c r="DJ53" s="229"/>
      <c r="DL53" s="311"/>
      <c r="DM53" s="312"/>
      <c r="DN53" s="312"/>
      <c r="DO53" s="312"/>
      <c r="DP53" s="312"/>
      <c r="DQ53" s="312"/>
      <c r="DR53" s="312"/>
      <c r="DS53" s="312"/>
      <c r="DT53" s="312"/>
      <c r="DU53" s="312"/>
      <c r="DV53" s="312"/>
      <c r="DW53" s="312"/>
      <c r="DX53" s="312"/>
      <c r="DY53" s="312"/>
      <c r="DZ53" s="312"/>
      <c r="EA53" s="312"/>
      <c r="EB53" s="312"/>
      <c r="EC53" s="312"/>
      <c r="ED53" s="312"/>
      <c r="EE53" s="312"/>
      <c r="EF53" s="312"/>
      <c r="EG53" s="312"/>
      <c r="EH53" s="312"/>
      <c r="EI53" s="312"/>
      <c r="EJ53" s="312"/>
      <c r="EK53" s="312"/>
      <c r="EL53" s="312"/>
      <c r="EM53" s="312"/>
      <c r="EN53" s="312"/>
      <c r="EO53" s="312"/>
      <c r="EP53" s="312"/>
      <c r="EQ53" s="312"/>
      <c r="ER53" s="312"/>
      <c r="ES53" s="312"/>
      <c r="ET53" s="312"/>
      <c r="EU53" s="312"/>
      <c r="EV53" s="312"/>
      <c r="EW53" s="312"/>
      <c r="EX53" s="312"/>
      <c r="EY53" s="312"/>
      <c r="EZ53" s="313"/>
      <c r="FA53" s="434"/>
      <c r="FB53" s="385"/>
      <c r="FC53" s="385"/>
      <c r="FD53" s="385"/>
      <c r="FE53" s="229"/>
      <c r="FF53" s="229"/>
      <c r="FG53" s="229"/>
      <c r="FH53" s="229"/>
      <c r="FI53" s="229"/>
      <c r="FJ53" s="229"/>
      <c r="FK53" s="229"/>
      <c r="FL53" s="229"/>
      <c r="FM53" s="229"/>
      <c r="FN53" s="229"/>
      <c r="JF53" s="435"/>
      <c r="JG53" s="435"/>
      <c r="JH53" s="435"/>
      <c r="JI53" s="435"/>
      <c r="JJ53" s="435"/>
      <c r="JK53" s="435"/>
      <c r="JL53" s="435"/>
      <c r="JM53" s="435"/>
      <c r="JN53" s="435"/>
      <c r="JO53" s="435"/>
      <c r="JP53" s="435"/>
      <c r="JQ53" s="435"/>
      <c r="JR53" s="435"/>
      <c r="JS53" s="435"/>
      <c r="JT53" s="435"/>
      <c r="JU53" s="435"/>
      <c r="JV53" s="435"/>
      <c r="JW53" s="435"/>
      <c r="JX53" s="435"/>
      <c r="JY53" s="435"/>
      <c r="JZ53" s="435"/>
      <c r="KA53" s="435"/>
      <c r="KB53" s="435"/>
      <c r="KC53" s="435"/>
      <c r="KD53" s="435"/>
      <c r="KE53" s="435"/>
      <c r="KF53" s="435"/>
      <c r="KG53" s="435"/>
      <c r="KH53" s="435"/>
      <c r="KI53" s="435"/>
      <c r="KJ53" s="435"/>
      <c r="KK53" s="435"/>
      <c r="KL53" s="435"/>
      <c r="KM53" s="435"/>
      <c r="KN53" s="435"/>
      <c r="KO53" s="435"/>
      <c r="KP53" s="435"/>
      <c r="KQ53" s="435"/>
      <c r="KR53" s="435"/>
      <c r="KS53" s="436"/>
      <c r="KT53" s="436"/>
      <c r="KU53" s="436"/>
      <c r="KV53" s="436"/>
      <c r="KW53" s="436"/>
      <c r="KX53" s="436"/>
      <c r="KY53" s="436"/>
      <c r="KZ53" s="436"/>
      <c r="NV53" s="381" t="s">
        <v>413</v>
      </c>
      <c r="NW53" s="381"/>
      <c r="NX53" s="381"/>
      <c r="NY53" s="381"/>
      <c r="NZ53" s="381"/>
      <c r="OA53" s="381"/>
      <c r="OB53" s="381"/>
      <c r="OC53" s="381"/>
      <c r="OD53" s="381"/>
      <c r="OE53" s="381"/>
      <c r="OF53" s="381"/>
      <c r="OG53" s="381"/>
      <c r="OH53" s="381"/>
      <c r="OI53" s="381"/>
      <c r="OJ53" s="381"/>
      <c r="OK53" s="381"/>
      <c r="OL53" s="381"/>
      <c r="OM53" s="381"/>
      <c r="ON53" s="381"/>
      <c r="OO53" s="381"/>
      <c r="OP53" s="381"/>
      <c r="OQ53" s="381"/>
      <c r="OR53" s="381"/>
      <c r="OS53" s="381"/>
      <c r="OT53" s="381"/>
      <c r="OU53" s="381"/>
      <c r="OV53" s="381"/>
      <c r="OW53" s="381"/>
      <c r="OX53" s="381"/>
      <c r="OY53" s="381"/>
      <c r="OZ53" s="381"/>
      <c r="PA53" s="381"/>
      <c r="PB53" s="381"/>
      <c r="PC53" s="381"/>
      <c r="PD53" s="381"/>
      <c r="PE53" s="381"/>
      <c r="PF53" s="381"/>
      <c r="PG53" s="381"/>
      <c r="PH53" s="381"/>
      <c r="PI53" s="381"/>
      <c r="PJ53" s="381"/>
      <c r="PK53" s="381">
        <v>1</v>
      </c>
      <c r="PL53" s="381"/>
      <c r="PM53" s="381"/>
      <c r="PN53" s="381"/>
      <c r="PO53" s="381"/>
      <c r="PP53" s="381"/>
      <c r="QQ53" s="230"/>
      <c r="QR53" s="231"/>
    </row>
    <row r="54" spans="3:465" ht="5.0999999999999996" customHeight="1" x14ac:dyDescent="0.25">
      <c r="C54" s="226"/>
      <c r="D54" s="227"/>
      <c r="E54" s="229"/>
      <c r="H54" s="229"/>
      <c r="I54" s="311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  <c r="Z54" s="312"/>
      <c r="AA54" s="312"/>
      <c r="AB54" s="312"/>
      <c r="AC54" s="312"/>
      <c r="AD54" s="312"/>
      <c r="AE54" s="312"/>
      <c r="AF54" s="312"/>
      <c r="AG54" s="312"/>
      <c r="AH54" s="312"/>
      <c r="AI54" s="312"/>
      <c r="AJ54" s="312"/>
      <c r="AK54" s="312"/>
      <c r="AL54" s="312"/>
      <c r="AM54" s="312"/>
      <c r="AN54" s="312"/>
      <c r="AO54" s="312"/>
      <c r="AP54" s="312"/>
      <c r="AQ54" s="312"/>
      <c r="AR54" s="312"/>
      <c r="AS54" s="312"/>
      <c r="AT54" s="312"/>
      <c r="AU54" s="312"/>
      <c r="AV54" s="312"/>
      <c r="AW54" s="313"/>
      <c r="AX54" s="409"/>
      <c r="AY54" s="410"/>
      <c r="AZ54" s="410"/>
      <c r="BA54" s="410"/>
      <c r="BB54" s="411"/>
      <c r="BC54" s="229"/>
      <c r="BD54" s="229"/>
      <c r="BI54" s="229"/>
      <c r="BJ54" s="229"/>
      <c r="CS54" s="229"/>
      <c r="CT54" s="229"/>
      <c r="CU54" s="229"/>
      <c r="CV54" s="229"/>
      <c r="CW54" s="229"/>
      <c r="CX54" s="229"/>
      <c r="CY54" s="229"/>
      <c r="CZ54" s="229"/>
      <c r="DA54" s="229"/>
      <c r="DB54" s="229"/>
      <c r="DC54" s="229"/>
      <c r="DD54" s="229"/>
      <c r="DE54" s="229"/>
      <c r="DF54" s="229"/>
      <c r="DG54" s="229"/>
      <c r="DH54" s="229"/>
      <c r="DI54" s="229"/>
      <c r="DJ54" s="229"/>
      <c r="DL54" s="314"/>
      <c r="DM54" s="315"/>
      <c r="DN54" s="315"/>
      <c r="DO54" s="315"/>
      <c r="DP54" s="315"/>
      <c r="DQ54" s="315"/>
      <c r="DR54" s="315"/>
      <c r="DS54" s="315"/>
      <c r="DT54" s="315"/>
      <c r="DU54" s="315"/>
      <c r="DV54" s="315"/>
      <c r="DW54" s="315"/>
      <c r="DX54" s="315"/>
      <c r="DY54" s="315"/>
      <c r="DZ54" s="315"/>
      <c r="EA54" s="315"/>
      <c r="EB54" s="315"/>
      <c r="EC54" s="315"/>
      <c r="ED54" s="315"/>
      <c r="EE54" s="315"/>
      <c r="EF54" s="315"/>
      <c r="EG54" s="315"/>
      <c r="EH54" s="315"/>
      <c r="EI54" s="315"/>
      <c r="EJ54" s="315"/>
      <c r="EK54" s="315"/>
      <c r="EL54" s="315"/>
      <c r="EM54" s="315"/>
      <c r="EN54" s="315"/>
      <c r="EO54" s="315"/>
      <c r="EP54" s="315"/>
      <c r="EQ54" s="315"/>
      <c r="ER54" s="315"/>
      <c r="ES54" s="315"/>
      <c r="ET54" s="315"/>
      <c r="EU54" s="315"/>
      <c r="EV54" s="315"/>
      <c r="EW54" s="315"/>
      <c r="EX54" s="315"/>
      <c r="EY54" s="315"/>
      <c r="EZ54" s="316"/>
      <c r="FA54" s="434"/>
      <c r="FB54" s="385"/>
      <c r="FC54" s="385"/>
      <c r="FD54" s="385"/>
      <c r="JF54" s="435"/>
      <c r="JG54" s="435"/>
      <c r="JH54" s="435"/>
      <c r="JI54" s="435"/>
      <c r="JJ54" s="435"/>
      <c r="JK54" s="435"/>
      <c r="JL54" s="435"/>
      <c r="JM54" s="435"/>
      <c r="JN54" s="435"/>
      <c r="JO54" s="435"/>
      <c r="JP54" s="435"/>
      <c r="JQ54" s="435"/>
      <c r="JR54" s="435"/>
      <c r="JS54" s="435"/>
      <c r="JT54" s="435"/>
      <c r="JU54" s="435"/>
      <c r="JV54" s="435"/>
      <c r="JW54" s="435"/>
      <c r="JX54" s="435"/>
      <c r="JY54" s="435"/>
      <c r="JZ54" s="435"/>
      <c r="KA54" s="435"/>
      <c r="KB54" s="435"/>
      <c r="KC54" s="435"/>
      <c r="KD54" s="435"/>
      <c r="KE54" s="435"/>
      <c r="KF54" s="435"/>
      <c r="KG54" s="435"/>
      <c r="KH54" s="435"/>
      <c r="KI54" s="435"/>
      <c r="KJ54" s="435"/>
      <c r="KK54" s="435"/>
      <c r="KL54" s="435"/>
      <c r="KM54" s="435"/>
      <c r="KN54" s="435"/>
      <c r="KO54" s="435"/>
      <c r="KP54" s="435"/>
      <c r="KQ54" s="435"/>
      <c r="KR54" s="435"/>
      <c r="KS54" s="436"/>
      <c r="KT54" s="436"/>
      <c r="KU54" s="436"/>
      <c r="KV54" s="436"/>
      <c r="KW54" s="436"/>
      <c r="KX54" s="436"/>
      <c r="KY54" s="436"/>
      <c r="KZ54" s="436"/>
      <c r="NV54" s="381"/>
      <c r="NW54" s="381"/>
      <c r="NX54" s="381"/>
      <c r="NY54" s="381"/>
      <c r="NZ54" s="381"/>
      <c r="OA54" s="381"/>
      <c r="OB54" s="381"/>
      <c r="OC54" s="381"/>
      <c r="OD54" s="381"/>
      <c r="OE54" s="381"/>
      <c r="OF54" s="381"/>
      <c r="OG54" s="381"/>
      <c r="OH54" s="381"/>
      <c r="OI54" s="381"/>
      <c r="OJ54" s="381"/>
      <c r="OK54" s="381"/>
      <c r="OL54" s="381"/>
      <c r="OM54" s="381"/>
      <c r="ON54" s="381"/>
      <c r="OO54" s="381"/>
      <c r="OP54" s="381"/>
      <c r="OQ54" s="381"/>
      <c r="OR54" s="381"/>
      <c r="OS54" s="381"/>
      <c r="OT54" s="381"/>
      <c r="OU54" s="381"/>
      <c r="OV54" s="381"/>
      <c r="OW54" s="381"/>
      <c r="OX54" s="381"/>
      <c r="OY54" s="381"/>
      <c r="OZ54" s="381"/>
      <c r="PA54" s="381"/>
      <c r="PB54" s="381"/>
      <c r="PC54" s="381"/>
      <c r="PD54" s="381"/>
      <c r="PE54" s="381"/>
      <c r="PF54" s="381"/>
      <c r="PG54" s="381"/>
      <c r="PH54" s="381"/>
      <c r="PI54" s="381"/>
      <c r="PJ54" s="381"/>
      <c r="PK54" s="381"/>
      <c r="PL54" s="381"/>
      <c r="PM54" s="381"/>
      <c r="PN54" s="381"/>
      <c r="PO54" s="381"/>
      <c r="PP54" s="381"/>
      <c r="QQ54" s="230"/>
      <c r="QR54" s="231"/>
    </row>
    <row r="55" spans="3:465" ht="5.0999999999999996" customHeight="1" x14ac:dyDescent="0.25">
      <c r="C55" s="226"/>
      <c r="D55" s="227"/>
      <c r="E55" s="229"/>
      <c r="H55" s="229"/>
      <c r="I55" s="311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3"/>
      <c r="AX55" s="409"/>
      <c r="AY55" s="410"/>
      <c r="AZ55" s="410"/>
      <c r="BA55" s="410"/>
      <c r="BB55" s="411"/>
      <c r="BC55" s="229"/>
      <c r="BD55" s="229"/>
      <c r="BI55" s="229"/>
      <c r="BJ55" s="229"/>
      <c r="EB55" s="229"/>
      <c r="EC55" s="229"/>
      <c r="ED55" s="229"/>
      <c r="EE55" s="229"/>
      <c r="EF55" s="229"/>
      <c r="EG55" s="234"/>
      <c r="EH55" s="229"/>
      <c r="EI55" s="229"/>
      <c r="EJ55" s="229"/>
      <c r="EK55" s="229"/>
      <c r="EL55" s="229"/>
      <c r="EM55" s="229"/>
      <c r="EN55" s="229"/>
      <c r="EO55" s="229"/>
      <c r="EP55" s="229"/>
      <c r="EQ55" s="229"/>
      <c r="ER55" s="229"/>
      <c r="ES55" s="229"/>
      <c r="ET55" s="229"/>
      <c r="GO55" s="229"/>
      <c r="GP55" s="229"/>
      <c r="GQ55" s="229"/>
      <c r="GR55" s="229"/>
      <c r="GS55" s="229"/>
      <c r="GT55" s="229"/>
      <c r="GU55" s="229"/>
      <c r="JF55" s="435"/>
      <c r="JG55" s="435"/>
      <c r="JH55" s="435"/>
      <c r="JI55" s="435"/>
      <c r="JJ55" s="435"/>
      <c r="JK55" s="435"/>
      <c r="JL55" s="435"/>
      <c r="JM55" s="435"/>
      <c r="JN55" s="435"/>
      <c r="JO55" s="435"/>
      <c r="JP55" s="435"/>
      <c r="JQ55" s="435"/>
      <c r="JR55" s="435"/>
      <c r="JS55" s="435"/>
      <c r="JT55" s="435"/>
      <c r="JU55" s="435"/>
      <c r="JV55" s="435"/>
      <c r="JW55" s="435"/>
      <c r="JX55" s="435"/>
      <c r="JY55" s="435"/>
      <c r="JZ55" s="435"/>
      <c r="KA55" s="435"/>
      <c r="KB55" s="435"/>
      <c r="KC55" s="435"/>
      <c r="KD55" s="435"/>
      <c r="KE55" s="435"/>
      <c r="KF55" s="435"/>
      <c r="KG55" s="435"/>
      <c r="KH55" s="435"/>
      <c r="KI55" s="435"/>
      <c r="KJ55" s="435"/>
      <c r="KK55" s="435"/>
      <c r="KL55" s="435"/>
      <c r="KM55" s="435"/>
      <c r="KN55" s="435"/>
      <c r="KO55" s="435"/>
      <c r="KP55" s="435"/>
      <c r="KQ55" s="435"/>
      <c r="KR55" s="435"/>
      <c r="KS55" s="436"/>
      <c r="KT55" s="436"/>
      <c r="KU55" s="436"/>
      <c r="KV55" s="436"/>
      <c r="KW55" s="436"/>
      <c r="KX55" s="436"/>
      <c r="KY55" s="436"/>
      <c r="KZ55" s="436"/>
      <c r="NV55" s="381"/>
      <c r="NW55" s="381"/>
      <c r="NX55" s="381"/>
      <c r="NY55" s="381"/>
      <c r="NZ55" s="381"/>
      <c r="OA55" s="381"/>
      <c r="OB55" s="381"/>
      <c r="OC55" s="381"/>
      <c r="OD55" s="381"/>
      <c r="OE55" s="381"/>
      <c r="OF55" s="381"/>
      <c r="OG55" s="381"/>
      <c r="OH55" s="381"/>
      <c r="OI55" s="381"/>
      <c r="OJ55" s="381"/>
      <c r="OK55" s="381"/>
      <c r="OL55" s="381"/>
      <c r="OM55" s="381"/>
      <c r="ON55" s="381"/>
      <c r="OO55" s="381"/>
      <c r="OP55" s="381"/>
      <c r="OQ55" s="381"/>
      <c r="OR55" s="381"/>
      <c r="OS55" s="381"/>
      <c r="OT55" s="381"/>
      <c r="OU55" s="381"/>
      <c r="OV55" s="381"/>
      <c r="OW55" s="381"/>
      <c r="OX55" s="381"/>
      <c r="OY55" s="381"/>
      <c r="OZ55" s="381"/>
      <c r="PA55" s="381"/>
      <c r="PB55" s="381"/>
      <c r="PC55" s="381"/>
      <c r="PD55" s="381"/>
      <c r="PE55" s="381"/>
      <c r="PF55" s="381"/>
      <c r="PG55" s="381"/>
      <c r="PH55" s="381"/>
      <c r="PI55" s="381"/>
      <c r="PJ55" s="381"/>
      <c r="PK55" s="381"/>
      <c r="PL55" s="381"/>
      <c r="PM55" s="381"/>
      <c r="PN55" s="381"/>
      <c r="PO55" s="381"/>
      <c r="PP55" s="381"/>
      <c r="QQ55" s="230"/>
      <c r="QR55" s="231"/>
    </row>
    <row r="56" spans="3:465" ht="5.0999999999999996" customHeight="1" x14ac:dyDescent="0.25">
      <c r="C56" s="226"/>
      <c r="D56" s="227"/>
      <c r="E56" s="229"/>
      <c r="H56" s="229"/>
      <c r="I56" s="311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3"/>
      <c r="AX56" s="409"/>
      <c r="AY56" s="410"/>
      <c r="AZ56" s="410"/>
      <c r="BA56" s="410"/>
      <c r="BB56" s="411"/>
      <c r="BC56" s="229"/>
      <c r="BD56" s="229"/>
      <c r="BI56" s="229"/>
      <c r="BJ56" s="229"/>
      <c r="EB56" s="229"/>
      <c r="EC56" s="229"/>
      <c r="ED56" s="229"/>
      <c r="EE56" s="229"/>
      <c r="EF56" s="229"/>
      <c r="EG56" s="234"/>
      <c r="EH56" s="229"/>
      <c r="EI56" s="229"/>
      <c r="EJ56" s="229"/>
      <c r="EK56" s="229"/>
      <c r="EL56" s="229"/>
      <c r="EM56" s="229"/>
      <c r="EN56" s="229"/>
      <c r="EO56" s="229"/>
      <c r="EP56" s="229"/>
      <c r="EQ56" s="229"/>
      <c r="ER56" s="229"/>
      <c r="ES56" s="229"/>
      <c r="ET56" s="229"/>
      <c r="GO56" s="229"/>
      <c r="GP56" s="229"/>
      <c r="GQ56" s="229"/>
      <c r="GR56" s="229"/>
      <c r="GS56" s="229"/>
      <c r="GT56" s="229"/>
      <c r="GU56" s="229"/>
      <c r="JF56" s="229"/>
      <c r="JG56" s="229"/>
      <c r="JH56" s="229"/>
      <c r="JI56" s="229"/>
      <c r="JJ56" s="229"/>
      <c r="JK56" s="229"/>
      <c r="JL56" s="229"/>
      <c r="JM56" s="229"/>
      <c r="JN56" s="229"/>
      <c r="JO56" s="229"/>
      <c r="JP56" s="229"/>
      <c r="JQ56" s="229"/>
      <c r="JR56" s="229"/>
      <c r="JS56" s="229"/>
      <c r="JT56" s="229"/>
      <c r="JU56" s="229"/>
      <c r="JV56" s="229"/>
      <c r="JW56" s="229"/>
      <c r="JX56" s="229"/>
      <c r="KC56" s="234"/>
      <c r="KD56" s="229"/>
      <c r="KE56" s="229"/>
      <c r="NV56" s="381"/>
      <c r="NW56" s="381"/>
      <c r="NX56" s="381"/>
      <c r="NY56" s="381"/>
      <c r="NZ56" s="381"/>
      <c r="OA56" s="381"/>
      <c r="OB56" s="381"/>
      <c r="OC56" s="381"/>
      <c r="OD56" s="381"/>
      <c r="OE56" s="381"/>
      <c r="OF56" s="381"/>
      <c r="OG56" s="381"/>
      <c r="OH56" s="381"/>
      <c r="OI56" s="381"/>
      <c r="OJ56" s="381"/>
      <c r="OK56" s="381"/>
      <c r="OL56" s="381"/>
      <c r="OM56" s="381"/>
      <c r="ON56" s="381"/>
      <c r="OO56" s="381"/>
      <c r="OP56" s="381"/>
      <c r="OQ56" s="381"/>
      <c r="OR56" s="381"/>
      <c r="OS56" s="381"/>
      <c r="OT56" s="381"/>
      <c r="OU56" s="381"/>
      <c r="OV56" s="381"/>
      <c r="OW56" s="381"/>
      <c r="OX56" s="381"/>
      <c r="OY56" s="381"/>
      <c r="OZ56" s="381"/>
      <c r="PA56" s="381"/>
      <c r="PB56" s="381"/>
      <c r="PC56" s="381"/>
      <c r="PD56" s="381"/>
      <c r="PE56" s="381"/>
      <c r="PF56" s="381"/>
      <c r="PG56" s="381"/>
      <c r="PH56" s="381"/>
      <c r="PI56" s="381"/>
      <c r="PJ56" s="381"/>
      <c r="PK56" s="381"/>
      <c r="PL56" s="381"/>
      <c r="PM56" s="381"/>
      <c r="PN56" s="381"/>
      <c r="PO56" s="381"/>
      <c r="PP56" s="381"/>
      <c r="QQ56" s="230"/>
      <c r="QR56" s="231"/>
    </row>
    <row r="57" spans="3:465" ht="5.0999999999999996" customHeight="1" x14ac:dyDescent="0.25">
      <c r="C57" s="226"/>
      <c r="D57" s="227"/>
      <c r="E57" s="229"/>
      <c r="H57" s="229"/>
      <c r="I57" s="314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  <c r="AP57" s="315"/>
      <c r="AQ57" s="315"/>
      <c r="AR57" s="315"/>
      <c r="AS57" s="315"/>
      <c r="AT57" s="315"/>
      <c r="AU57" s="315"/>
      <c r="AV57" s="315"/>
      <c r="AW57" s="316"/>
      <c r="AX57" s="412"/>
      <c r="AY57" s="413"/>
      <c r="AZ57" s="413"/>
      <c r="BA57" s="413"/>
      <c r="BB57" s="414"/>
      <c r="BC57" s="229"/>
      <c r="BD57" s="229"/>
      <c r="BI57" s="229"/>
      <c r="BJ57" s="229"/>
      <c r="EB57" s="229"/>
      <c r="EC57" s="229"/>
      <c r="ED57" s="229"/>
      <c r="EE57" s="229"/>
      <c r="EF57" s="229"/>
      <c r="EG57" s="234"/>
      <c r="EH57" s="229"/>
      <c r="EI57" s="229"/>
      <c r="EJ57" s="229"/>
      <c r="EK57" s="229"/>
      <c r="EL57" s="229"/>
      <c r="EM57" s="229"/>
      <c r="EN57" s="229"/>
      <c r="EO57" s="229"/>
      <c r="EP57" s="229"/>
      <c r="EQ57" s="229"/>
      <c r="ER57" s="229"/>
      <c r="ES57" s="229"/>
      <c r="ET57" s="229"/>
      <c r="GO57" s="229"/>
      <c r="GP57" s="229"/>
      <c r="GQ57" s="229"/>
      <c r="GR57" s="229"/>
      <c r="GS57" s="229"/>
      <c r="GT57" s="229"/>
      <c r="GU57" s="229"/>
      <c r="KC57" s="234"/>
      <c r="KD57" s="229"/>
      <c r="NV57" s="381"/>
      <c r="NW57" s="381"/>
      <c r="NX57" s="381"/>
      <c r="NY57" s="381"/>
      <c r="NZ57" s="381"/>
      <c r="OA57" s="381"/>
      <c r="OB57" s="381"/>
      <c r="OC57" s="381"/>
      <c r="OD57" s="381"/>
      <c r="OE57" s="381"/>
      <c r="OF57" s="381"/>
      <c r="OG57" s="381"/>
      <c r="OH57" s="381"/>
      <c r="OI57" s="381"/>
      <c r="OJ57" s="381"/>
      <c r="OK57" s="381"/>
      <c r="OL57" s="381"/>
      <c r="OM57" s="381"/>
      <c r="ON57" s="381"/>
      <c r="OO57" s="381"/>
      <c r="OP57" s="381"/>
      <c r="OQ57" s="381"/>
      <c r="OR57" s="381"/>
      <c r="OS57" s="381"/>
      <c r="OT57" s="381"/>
      <c r="OU57" s="381"/>
      <c r="OV57" s="381"/>
      <c r="OW57" s="381"/>
      <c r="OX57" s="381"/>
      <c r="OY57" s="381"/>
      <c r="OZ57" s="381"/>
      <c r="PA57" s="381"/>
      <c r="PB57" s="381"/>
      <c r="PC57" s="381"/>
      <c r="PD57" s="381"/>
      <c r="PE57" s="381"/>
      <c r="PF57" s="381"/>
      <c r="PG57" s="381"/>
      <c r="PH57" s="381"/>
      <c r="PI57" s="381"/>
      <c r="PJ57" s="381"/>
      <c r="PK57" s="381"/>
      <c r="PL57" s="381"/>
      <c r="PM57" s="381"/>
      <c r="PN57" s="381"/>
      <c r="PO57" s="381"/>
      <c r="PP57" s="381"/>
      <c r="QQ57" s="230"/>
      <c r="QR57" s="231"/>
    </row>
    <row r="58" spans="3:465" ht="5.0999999999999996" customHeight="1" x14ac:dyDescent="0.25">
      <c r="C58" s="226"/>
      <c r="D58" s="227"/>
      <c r="E58" s="229"/>
      <c r="H58" s="229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8"/>
      <c r="BC58" s="229"/>
      <c r="BD58" s="229"/>
      <c r="BI58" s="229"/>
      <c r="BJ58" s="229"/>
      <c r="EB58" s="229"/>
      <c r="EC58" s="229"/>
      <c r="ED58" s="229"/>
      <c r="EE58" s="229"/>
      <c r="EF58" s="229"/>
      <c r="EG58" s="234"/>
      <c r="EH58" s="229"/>
      <c r="EI58" s="229"/>
      <c r="EJ58" s="229"/>
      <c r="EK58" s="229"/>
      <c r="EL58" s="229"/>
      <c r="EM58" s="229"/>
      <c r="EN58" s="229"/>
      <c r="EO58" s="229"/>
      <c r="EP58" s="229"/>
      <c r="EQ58" s="229"/>
      <c r="ER58" s="229"/>
      <c r="ES58" s="229"/>
      <c r="ET58" s="229"/>
      <c r="GO58" s="229"/>
      <c r="GP58" s="229"/>
      <c r="GQ58" s="229"/>
      <c r="GR58" s="229"/>
      <c r="GS58" s="229"/>
      <c r="GT58" s="229"/>
      <c r="GU58" s="229"/>
      <c r="JF58" s="405" t="s">
        <v>455</v>
      </c>
      <c r="JG58" s="405"/>
      <c r="JH58" s="405"/>
      <c r="JI58" s="405"/>
      <c r="JJ58" s="405"/>
      <c r="JK58" s="405"/>
      <c r="JL58" s="405"/>
      <c r="JM58" s="405"/>
      <c r="JN58" s="405"/>
      <c r="JO58" s="405"/>
      <c r="JP58" s="405"/>
      <c r="JQ58" s="405"/>
      <c r="JR58" s="405"/>
      <c r="JS58" s="405"/>
      <c r="JT58" s="405"/>
      <c r="JU58" s="405"/>
      <c r="JV58" s="405"/>
      <c r="JW58" s="405"/>
      <c r="JX58" s="405"/>
      <c r="JY58" s="405"/>
      <c r="JZ58" s="405"/>
      <c r="KA58" s="405"/>
      <c r="KB58" s="405"/>
      <c r="KC58" s="405"/>
      <c r="KD58" s="405"/>
      <c r="KE58" s="405"/>
      <c r="KF58" s="405"/>
      <c r="KG58" s="405"/>
      <c r="KH58" s="405"/>
      <c r="KI58" s="405"/>
      <c r="KJ58" s="405"/>
      <c r="KK58" s="405"/>
      <c r="KL58" s="405"/>
      <c r="KM58" s="405"/>
      <c r="KN58" s="405"/>
      <c r="KO58" s="405"/>
      <c r="KP58" s="405"/>
      <c r="KQ58" s="405"/>
      <c r="KR58" s="405"/>
      <c r="KS58" s="381">
        <v>2</v>
      </c>
      <c r="KT58" s="381"/>
      <c r="KU58" s="381"/>
      <c r="KV58" s="381"/>
      <c r="KW58" s="381"/>
      <c r="NV58" s="381"/>
      <c r="NW58" s="381"/>
      <c r="NX58" s="381"/>
      <c r="NY58" s="381"/>
      <c r="NZ58" s="381"/>
      <c r="OA58" s="381"/>
      <c r="OB58" s="381"/>
      <c r="OC58" s="381"/>
      <c r="OD58" s="381"/>
      <c r="OE58" s="381"/>
      <c r="OF58" s="381"/>
      <c r="OG58" s="381"/>
      <c r="OH58" s="381"/>
      <c r="OI58" s="381"/>
      <c r="OJ58" s="381"/>
      <c r="OK58" s="381"/>
      <c r="OL58" s="381"/>
      <c r="OM58" s="381"/>
      <c r="ON58" s="381"/>
      <c r="OO58" s="381"/>
      <c r="OP58" s="381"/>
      <c r="OQ58" s="381"/>
      <c r="OR58" s="381"/>
      <c r="OS58" s="381"/>
      <c r="OT58" s="381"/>
      <c r="OU58" s="381"/>
      <c r="OV58" s="381"/>
      <c r="OW58" s="381"/>
      <c r="OX58" s="381"/>
      <c r="OY58" s="381"/>
      <c r="OZ58" s="381"/>
      <c r="PA58" s="381"/>
      <c r="PB58" s="381"/>
      <c r="PC58" s="381"/>
      <c r="PD58" s="381"/>
      <c r="PE58" s="381"/>
      <c r="PF58" s="381"/>
      <c r="PG58" s="381"/>
      <c r="PH58" s="381"/>
      <c r="PI58" s="381"/>
      <c r="PJ58" s="381"/>
      <c r="PK58" s="381"/>
      <c r="PL58" s="381"/>
      <c r="PM58" s="381"/>
      <c r="PN58" s="381"/>
      <c r="PO58" s="381"/>
      <c r="PP58" s="381"/>
      <c r="QQ58" s="230"/>
      <c r="QR58" s="231"/>
    </row>
    <row r="59" spans="3:465" ht="5.0999999999999996" customHeight="1" x14ac:dyDescent="0.25">
      <c r="C59" s="226"/>
      <c r="D59" s="227"/>
      <c r="E59" s="229"/>
      <c r="H59" s="229"/>
      <c r="I59" s="308" t="s">
        <v>414</v>
      </c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  <c r="AB59" s="309"/>
      <c r="AC59" s="309"/>
      <c r="AD59" s="309"/>
      <c r="AE59" s="309"/>
      <c r="AF59" s="309"/>
      <c r="AG59" s="309"/>
      <c r="AH59" s="309"/>
      <c r="AI59" s="309"/>
      <c r="AJ59" s="309"/>
      <c r="AK59" s="309"/>
      <c r="AL59" s="309"/>
      <c r="AM59" s="309"/>
      <c r="AN59" s="309"/>
      <c r="AO59" s="309"/>
      <c r="AP59" s="309"/>
      <c r="AQ59" s="309"/>
      <c r="AR59" s="309"/>
      <c r="AS59" s="309"/>
      <c r="AT59" s="309"/>
      <c r="AU59" s="309"/>
      <c r="AV59" s="309"/>
      <c r="AW59" s="310"/>
      <c r="AX59" s="406">
        <v>2</v>
      </c>
      <c r="AY59" s="407"/>
      <c r="AZ59" s="407"/>
      <c r="BA59" s="407"/>
      <c r="BB59" s="408"/>
      <c r="BC59" s="229"/>
      <c r="BD59" s="229"/>
      <c r="BI59" s="229"/>
      <c r="BJ59" s="229"/>
      <c r="EB59" s="229"/>
      <c r="EC59" s="229"/>
      <c r="ED59" s="229"/>
      <c r="EE59" s="229"/>
      <c r="EF59" s="229"/>
      <c r="EG59" s="234"/>
      <c r="EH59" s="229"/>
      <c r="EI59" s="229"/>
      <c r="EJ59" s="229"/>
      <c r="EK59" s="229"/>
      <c r="EL59" s="229"/>
      <c r="EM59" s="229"/>
      <c r="EN59" s="229"/>
      <c r="EO59" s="229"/>
      <c r="EP59" s="229"/>
      <c r="EQ59" s="229"/>
      <c r="ER59" s="229"/>
      <c r="ES59" s="229"/>
      <c r="ET59" s="229"/>
      <c r="GO59" s="229"/>
      <c r="GP59" s="229"/>
      <c r="GQ59" s="229"/>
      <c r="GR59" s="229"/>
      <c r="GS59" s="229"/>
      <c r="GT59" s="229"/>
      <c r="GU59" s="229"/>
      <c r="JF59" s="405"/>
      <c r="JG59" s="405"/>
      <c r="JH59" s="405"/>
      <c r="JI59" s="405"/>
      <c r="JJ59" s="405"/>
      <c r="JK59" s="405"/>
      <c r="JL59" s="405"/>
      <c r="JM59" s="405"/>
      <c r="JN59" s="405"/>
      <c r="JO59" s="405"/>
      <c r="JP59" s="405"/>
      <c r="JQ59" s="405"/>
      <c r="JR59" s="405"/>
      <c r="JS59" s="405"/>
      <c r="JT59" s="405"/>
      <c r="JU59" s="405"/>
      <c r="JV59" s="405"/>
      <c r="JW59" s="405"/>
      <c r="JX59" s="405"/>
      <c r="JY59" s="405"/>
      <c r="JZ59" s="405"/>
      <c r="KA59" s="405"/>
      <c r="KB59" s="405"/>
      <c r="KC59" s="405"/>
      <c r="KD59" s="405"/>
      <c r="KE59" s="405"/>
      <c r="KF59" s="405"/>
      <c r="KG59" s="405"/>
      <c r="KH59" s="405"/>
      <c r="KI59" s="405"/>
      <c r="KJ59" s="405"/>
      <c r="KK59" s="405"/>
      <c r="KL59" s="405"/>
      <c r="KM59" s="405"/>
      <c r="KN59" s="405"/>
      <c r="KO59" s="405"/>
      <c r="KP59" s="405"/>
      <c r="KQ59" s="405"/>
      <c r="KR59" s="405"/>
      <c r="KS59" s="381"/>
      <c r="KT59" s="381"/>
      <c r="KU59" s="381"/>
      <c r="KV59" s="381"/>
      <c r="KW59" s="381"/>
      <c r="MT59" s="229"/>
      <c r="MU59" s="229"/>
      <c r="MV59" s="229"/>
      <c r="MW59" s="229"/>
      <c r="MX59" s="229"/>
      <c r="MY59" s="229"/>
      <c r="MZ59" s="229"/>
      <c r="NA59" s="229"/>
      <c r="NB59" s="229"/>
      <c r="NC59" s="229"/>
      <c r="ND59" s="229"/>
      <c r="NE59" s="229"/>
      <c r="NF59" s="229"/>
      <c r="NG59" s="229"/>
      <c r="NH59" s="229"/>
      <c r="NI59" s="229"/>
      <c r="NJ59" s="229"/>
      <c r="NK59" s="229"/>
      <c r="NL59" s="229"/>
      <c r="NM59" s="229"/>
      <c r="NN59" s="229"/>
      <c r="NO59" s="229"/>
      <c r="NP59" s="229"/>
      <c r="NQ59" s="229"/>
      <c r="NR59" s="229"/>
      <c r="NS59" s="229"/>
      <c r="NT59" s="229"/>
      <c r="NU59" s="229"/>
      <c r="NV59" s="381"/>
      <c r="NW59" s="381"/>
      <c r="NX59" s="381"/>
      <c r="NY59" s="381"/>
      <c r="NZ59" s="381"/>
      <c r="OA59" s="381"/>
      <c r="OB59" s="381"/>
      <c r="OC59" s="381"/>
      <c r="OD59" s="381"/>
      <c r="OE59" s="381"/>
      <c r="OF59" s="381"/>
      <c r="OG59" s="381"/>
      <c r="OH59" s="381"/>
      <c r="OI59" s="381"/>
      <c r="OJ59" s="381"/>
      <c r="OK59" s="381"/>
      <c r="OL59" s="381"/>
      <c r="OM59" s="381"/>
      <c r="ON59" s="381"/>
      <c r="OO59" s="381"/>
      <c r="OP59" s="381"/>
      <c r="OQ59" s="381"/>
      <c r="OR59" s="381"/>
      <c r="OS59" s="381"/>
      <c r="OT59" s="381"/>
      <c r="OU59" s="381"/>
      <c r="OV59" s="381"/>
      <c r="OW59" s="381"/>
      <c r="OX59" s="381"/>
      <c r="OY59" s="381"/>
      <c r="OZ59" s="381"/>
      <c r="PA59" s="381"/>
      <c r="PB59" s="381"/>
      <c r="PC59" s="381"/>
      <c r="PD59" s="381"/>
      <c r="PE59" s="381"/>
      <c r="PF59" s="381"/>
      <c r="PG59" s="381"/>
      <c r="PH59" s="381"/>
      <c r="PI59" s="381"/>
      <c r="PJ59" s="381"/>
      <c r="PK59" s="381"/>
      <c r="PL59" s="381"/>
      <c r="PM59" s="381"/>
      <c r="PN59" s="381"/>
      <c r="PO59" s="381"/>
      <c r="PP59" s="381"/>
      <c r="QQ59" s="230"/>
      <c r="QR59" s="231"/>
      <c r="QT59" s="249"/>
      <c r="QU59" s="249"/>
      <c r="QV59" s="249"/>
      <c r="QW59" s="250"/>
    </row>
    <row r="60" spans="3:465" ht="5.0999999999999996" customHeight="1" x14ac:dyDescent="0.25">
      <c r="C60" s="226"/>
      <c r="D60" s="227"/>
      <c r="E60" s="229"/>
      <c r="I60" s="311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/>
      <c r="AI60" s="312"/>
      <c r="AJ60" s="312"/>
      <c r="AK60" s="312"/>
      <c r="AL60" s="312"/>
      <c r="AM60" s="312"/>
      <c r="AN60" s="312"/>
      <c r="AO60" s="312"/>
      <c r="AP60" s="312"/>
      <c r="AQ60" s="312"/>
      <c r="AR60" s="312"/>
      <c r="AS60" s="312"/>
      <c r="AT60" s="312"/>
      <c r="AU60" s="312"/>
      <c r="AV60" s="312"/>
      <c r="AW60" s="313"/>
      <c r="AX60" s="409"/>
      <c r="AY60" s="410"/>
      <c r="AZ60" s="410"/>
      <c r="BA60" s="410"/>
      <c r="BB60" s="411"/>
      <c r="BC60" s="229"/>
      <c r="BD60" s="229"/>
      <c r="BI60" s="229"/>
      <c r="BJ60" s="229"/>
      <c r="DO60" s="229"/>
      <c r="DP60" s="229"/>
      <c r="DQ60" s="229"/>
      <c r="DR60" s="229"/>
      <c r="DS60" s="229"/>
      <c r="DT60" s="229"/>
      <c r="DU60" s="229"/>
      <c r="DV60" s="229"/>
      <c r="DW60" s="229"/>
      <c r="DX60" s="229"/>
      <c r="DY60" s="229"/>
      <c r="DZ60" s="229"/>
      <c r="EA60" s="229"/>
      <c r="EB60" s="229"/>
      <c r="EC60" s="229"/>
      <c r="ED60" s="229"/>
      <c r="EE60" s="229"/>
      <c r="EF60" s="229"/>
      <c r="EG60" s="234"/>
      <c r="EH60" s="229"/>
      <c r="EI60" s="229"/>
      <c r="EJ60" s="229"/>
      <c r="EK60" s="229"/>
      <c r="EL60" s="229"/>
      <c r="EM60" s="229"/>
      <c r="EN60" s="229"/>
      <c r="EO60" s="229"/>
      <c r="EP60" s="229"/>
      <c r="EQ60" s="308" t="s">
        <v>458</v>
      </c>
      <c r="ER60" s="309"/>
      <c r="ES60" s="309"/>
      <c r="ET60" s="309"/>
      <c r="EU60" s="309"/>
      <c r="EV60" s="309"/>
      <c r="EW60" s="309"/>
      <c r="EX60" s="309"/>
      <c r="EY60" s="309"/>
      <c r="EZ60" s="309"/>
      <c r="FA60" s="309"/>
      <c r="FB60" s="309"/>
      <c r="FC60" s="309"/>
      <c r="FD60" s="309"/>
      <c r="FE60" s="309"/>
      <c r="FF60" s="309"/>
      <c r="FG60" s="309"/>
      <c r="FH60" s="309"/>
      <c r="FI60" s="309"/>
      <c r="FJ60" s="309"/>
      <c r="FK60" s="309"/>
      <c r="FL60" s="309"/>
      <c r="FM60" s="309"/>
      <c r="FN60" s="309"/>
      <c r="FO60" s="309"/>
      <c r="FP60" s="309"/>
      <c r="FQ60" s="309"/>
      <c r="FR60" s="309"/>
      <c r="FS60" s="309"/>
      <c r="FT60" s="309"/>
      <c r="FU60" s="309"/>
      <c r="FV60" s="309"/>
      <c r="FW60" s="309"/>
      <c r="FX60" s="309"/>
      <c r="FY60" s="309"/>
      <c r="FZ60" s="309"/>
      <c r="GA60" s="309"/>
      <c r="GB60" s="309"/>
      <c r="GC60" s="309"/>
      <c r="GD60" s="309"/>
      <c r="GE60" s="382"/>
      <c r="GF60" s="385">
        <v>1</v>
      </c>
      <c r="GG60" s="385"/>
      <c r="GH60" s="385"/>
      <c r="GI60" s="385"/>
      <c r="GO60" s="229"/>
      <c r="GP60" s="229"/>
      <c r="GQ60" s="229"/>
      <c r="GR60" s="229"/>
      <c r="GS60" s="229"/>
      <c r="GT60" s="229"/>
      <c r="GU60" s="229"/>
      <c r="JF60" s="405"/>
      <c r="JG60" s="405"/>
      <c r="JH60" s="405"/>
      <c r="JI60" s="405"/>
      <c r="JJ60" s="405"/>
      <c r="JK60" s="405"/>
      <c r="JL60" s="405"/>
      <c r="JM60" s="405"/>
      <c r="JN60" s="405"/>
      <c r="JO60" s="405"/>
      <c r="JP60" s="405"/>
      <c r="JQ60" s="405"/>
      <c r="JR60" s="405"/>
      <c r="JS60" s="405"/>
      <c r="JT60" s="405"/>
      <c r="JU60" s="405"/>
      <c r="JV60" s="405"/>
      <c r="JW60" s="405"/>
      <c r="JX60" s="405"/>
      <c r="JY60" s="405"/>
      <c r="JZ60" s="405"/>
      <c r="KA60" s="405"/>
      <c r="KB60" s="405"/>
      <c r="KC60" s="405"/>
      <c r="KD60" s="405"/>
      <c r="KE60" s="405"/>
      <c r="KF60" s="405"/>
      <c r="KG60" s="405"/>
      <c r="KH60" s="405"/>
      <c r="KI60" s="405"/>
      <c r="KJ60" s="405"/>
      <c r="KK60" s="405"/>
      <c r="KL60" s="405"/>
      <c r="KM60" s="405"/>
      <c r="KN60" s="405"/>
      <c r="KO60" s="405"/>
      <c r="KP60" s="405"/>
      <c r="KQ60" s="405"/>
      <c r="KR60" s="405"/>
      <c r="KS60" s="381"/>
      <c r="KT60" s="381"/>
      <c r="KU60" s="381"/>
      <c r="KV60" s="381"/>
      <c r="KW60" s="381"/>
      <c r="MT60" s="229"/>
      <c r="MU60" s="243"/>
      <c r="MV60" s="243"/>
      <c r="MW60" s="243"/>
      <c r="MX60" s="243"/>
      <c r="MY60" s="243"/>
      <c r="MZ60" s="243"/>
      <c r="NA60" s="243"/>
      <c r="NB60" s="243"/>
      <c r="NC60" s="243"/>
      <c r="ND60" s="243"/>
      <c r="NE60" s="243"/>
      <c r="NF60" s="243"/>
      <c r="NG60" s="243"/>
      <c r="NH60" s="243"/>
      <c r="NI60" s="243"/>
      <c r="NJ60" s="243"/>
      <c r="NK60" s="243"/>
      <c r="NL60" s="243"/>
      <c r="NM60" s="243"/>
      <c r="NN60" s="243"/>
      <c r="NO60" s="243"/>
      <c r="NP60" s="243"/>
      <c r="NQ60" s="243"/>
      <c r="NR60" s="243"/>
      <c r="NS60" s="243"/>
      <c r="NT60" s="243"/>
      <c r="NU60" s="243"/>
      <c r="NV60" s="381"/>
      <c r="NW60" s="381"/>
      <c r="NX60" s="381"/>
      <c r="NY60" s="381"/>
      <c r="NZ60" s="381"/>
      <c r="OA60" s="381"/>
      <c r="OB60" s="381"/>
      <c r="OC60" s="381"/>
      <c r="OD60" s="381"/>
      <c r="OE60" s="381"/>
      <c r="OF60" s="381"/>
      <c r="OG60" s="381"/>
      <c r="OH60" s="381"/>
      <c r="OI60" s="381"/>
      <c r="OJ60" s="381"/>
      <c r="OK60" s="381"/>
      <c r="OL60" s="381"/>
      <c r="OM60" s="381"/>
      <c r="ON60" s="381"/>
      <c r="OO60" s="381"/>
      <c r="OP60" s="381"/>
      <c r="OQ60" s="381"/>
      <c r="OR60" s="381"/>
      <c r="OS60" s="381"/>
      <c r="OT60" s="381"/>
      <c r="OU60" s="381"/>
      <c r="OV60" s="381"/>
      <c r="OW60" s="381"/>
      <c r="OX60" s="381"/>
      <c r="OY60" s="381"/>
      <c r="OZ60" s="381"/>
      <c r="PA60" s="381"/>
      <c r="PB60" s="381"/>
      <c r="PC60" s="381"/>
      <c r="PD60" s="381"/>
      <c r="PE60" s="381"/>
      <c r="PF60" s="381"/>
      <c r="PG60" s="381"/>
      <c r="PH60" s="381"/>
      <c r="PI60" s="381"/>
      <c r="PJ60" s="381"/>
      <c r="PK60" s="381"/>
      <c r="PL60" s="381"/>
      <c r="PM60" s="381"/>
      <c r="PN60" s="381"/>
      <c r="PO60" s="381"/>
      <c r="PP60" s="381"/>
      <c r="QQ60" s="230"/>
      <c r="QR60" s="231"/>
    </row>
    <row r="61" spans="3:465" ht="5.0999999999999996" customHeight="1" x14ac:dyDescent="0.25">
      <c r="C61" s="226"/>
      <c r="D61" s="227"/>
      <c r="E61" s="229"/>
      <c r="I61" s="311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/>
      <c r="AN61" s="312"/>
      <c r="AO61" s="312"/>
      <c r="AP61" s="312"/>
      <c r="AQ61" s="312"/>
      <c r="AR61" s="312"/>
      <c r="AS61" s="312"/>
      <c r="AT61" s="312"/>
      <c r="AU61" s="312"/>
      <c r="AV61" s="312"/>
      <c r="AW61" s="313"/>
      <c r="AX61" s="409"/>
      <c r="AY61" s="410"/>
      <c r="AZ61" s="410"/>
      <c r="BA61" s="410"/>
      <c r="BB61" s="411"/>
      <c r="BC61" s="229"/>
      <c r="BD61" s="229"/>
      <c r="BI61" s="229"/>
      <c r="BJ61" s="229"/>
      <c r="DO61" s="229"/>
      <c r="DP61" s="229"/>
      <c r="DQ61" s="229"/>
      <c r="DR61" s="229"/>
      <c r="DS61" s="229"/>
      <c r="DT61" s="229"/>
      <c r="DU61" s="229"/>
      <c r="DV61" s="229"/>
      <c r="DW61" s="229"/>
      <c r="DX61" s="229"/>
      <c r="DY61" s="229"/>
      <c r="DZ61" s="229"/>
      <c r="EA61" s="229"/>
      <c r="EB61" s="229"/>
      <c r="EC61" s="229"/>
      <c r="ED61" s="229"/>
      <c r="EE61" s="229"/>
      <c r="EF61" s="229"/>
      <c r="EG61" s="234"/>
      <c r="EH61" s="229"/>
      <c r="EI61" s="229"/>
      <c r="EJ61" s="229"/>
      <c r="EK61" s="229"/>
      <c r="EL61" s="229"/>
      <c r="EM61" s="229"/>
      <c r="EN61" s="229"/>
      <c r="EO61" s="229"/>
      <c r="EP61" s="229"/>
      <c r="EQ61" s="311"/>
      <c r="ER61" s="312"/>
      <c r="ES61" s="312"/>
      <c r="ET61" s="312"/>
      <c r="EU61" s="312"/>
      <c r="EV61" s="312"/>
      <c r="EW61" s="312"/>
      <c r="EX61" s="312"/>
      <c r="EY61" s="312"/>
      <c r="EZ61" s="312"/>
      <c r="FA61" s="312"/>
      <c r="FB61" s="312"/>
      <c r="FC61" s="312"/>
      <c r="FD61" s="312"/>
      <c r="FE61" s="312"/>
      <c r="FF61" s="312"/>
      <c r="FG61" s="312"/>
      <c r="FH61" s="312"/>
      <c r="FI61" s="312"/>
      <c r="FJ61" s="312"/>
      <c r="FK61" s="312"/>
      <c r="FL61" s="312"/>
      <c r="FM61" s="312"/>
      <c r="FN61" s="312"/>
      <c r="FO61" s="312"/>
      <c r="FP61" s="312"/>
      <c r="FQ61" s="312"/>
      <c r="FR61" s="312"/>
      <c r="FS61" s="312"/>
      <c r="FT61" s="312"/>
      <c r="FU61" s="312"/>
      <c r="FV61" s="312"/>
      <c r="FW61" s="312"/>
      <c r="FX61" s="312"/>
      <c r="FY61" s="312"/>
      <c r="FZ61" s="312"/>
      <c r="GA61" s="312"/>
      <c r="GB61" s="312"/>
      <c r="GC61" s="312"/>
      <c r="GD61" s="312"/>
      <c r="GE61" s="383"/>
      <c r="GF61" s="385"/>
      <c r="GG61" s="385"/>
      <c r="GH61" s="385"/>
      <c r="GI61" s="385"/>
      <c r="GO61" s="229"/>
      <c r="GP61" s="229"/>
      <c r="GQ61" s="229"/>
      <c r="GR61" s="229"/>
      <c r="GS61" s="229"/>
      <c r="GT61" s="229"/>
      <c r="GU61" s="229"/>
      <c r="JF61" s="405"/>
      <c r="JG61" s="405"/>
      <c r="JH61" s="405"/>
      <c r="JI61" s="405"/>
      <c r="JJ61" s="405"/>
      <c r="JK61" s="405"/>
      <c r="JL61" s="405"/>
      <c r="JM61" s="405"/>
      <c r="JN61" s="405"/>
      <c r="JO61" s="405"/>
      <c r="JP61" s="405"/>
      <c r="JQ61" s="405"/>
      <c r="JR61" s="405"/>
      <c r="JS61" s="405"/>
      <c r="JT61" s="405"/>
      <c r="JU61" s="405"/>
      <c r="JV61" s="405"/>
      <c r="JW61" s="405"/>
      <c r="JX61" s="405"/>
      <c r="JY61" s="405"/>
      <c r="JZ61" s="405"/>
      <c r="KA61" s="405"/>
      <c r="KB61" s="405"/>
      <c r="KC61" s="405"/>
      <c r="KD61" s="405"/>
      <c r="KE61" s="405"/>
      <c r="KF61" s="405"/>
      <c r="KG61" s="405"/>
      <c r="KH61" s="405"/>
      <c r="KI61" s="405"/>
      <c r="KJ61" s="405"/>
      <c r="KK61" s="405"/>
      <c r="KL61" s="405"/>
      <c r="KM61" s="405"/>
      <c r="KN61" s="405"/>
      <c r="KO61" s="405"/>
      <c r="KP61" s="405"/>
      <c r="KQ61" s="405"/>
      <c r="KR61" s="405"/>
      <c r="KS61" s="381"/>
      <c r="KT61" s="381"/>
      <c r="KU61" s="381"/>
      <c r="KV61" s="381"/>
      <c r="KW61" s="381"/>
      <c r="LJ61" s="229"/>
      <c r="LK61" s="229"/>
      <c r="LL61" s="229"/>
      <c r="LM61" s="229"/>
      <c r="LN61" s="229"/>
      <c r="LO61" s="229"/>
      <c r="LP61" s="229"/>
      <c r="LQ61" s="229"/>
      <c r="LR61" s="229"/>
      <c r="LS61" s="229"/>
      <c r="LT61" s="229"/>
      <c r="LU61" s="229"/>
      <c r="LV61" s="229"/>
      <c r="LW61" s="229"/>
      <c r="LX61" s="229"/>
      <c r="LY61" s="229"/>
      <c r="LZ61" s="229"/>
      <c r="MA61" s="229"/>
      <c r="MB61" s="229"/>
      <c r="MC61" s="229"/>
      <c r="MD61" s="229"/>
      <c r="ME61" s="229"/>
      <c r="MF61" s="229"/>
      <c r="MG61" s="229"/>
      <c r="MH61" s="229"/>
      <c r="MI61" s="229"/>
      <c r="MJ61" s="229"/>
      <c r="MK61" s="229"/>
      <c r="ML61" s="229"/>
      <c r="MT61" s="229"/>
      <c r="MU61" s="243"/>
      <c r="MV61" s="243"/>
      <c r="MW61" s="243"/>
      <c r="MX61" s="243"/>
      <c r="MY61" s="243"/>
      <c r="MZ61" s="243"/>
      <c r="NA61" s="243"/>
      <c r="NB61" s="243"/>
      <c r="NC61" s="243"/>
      <c r="ND61" s="243"/>
      <c r="NE61" s="243"/>
      <c r="NF61" s="243"/>
      <c r="NG61" s="243"/>
      <c r="NH61" s="243"/>
      <c r="NI61" s="243"/>
      <c r="NJ61" s="243"/>
      <c r="NK61" s="243"/>
      <c r="NL61" s="243"/>
      <c r="NM61" s="243"/>
      <c r="NN61" s="243"/>
      <c r="NO61" s="243"/>
      <c r="NP61" s="243"/>
      <c r="NQ61" s="243"/>
      <c r="NR61" s="243"/>
      <c r="NS61" s="243"/>
      <c r="NT61" s="243"/>
      <c r="NU61" s="243"/>
      <c r="NV61" s="381"/>
      <c r="NW61" s="381"/>
      <c r="NX61" s="381"/>
      <c r="NY61" s="381"/>
      <c r="NZ61" s="381"/>
      <c r="OA61" s="381"/>
      <c r="OB61" s="381"/>
      <c r="OC61" s="381"/>
      <c r="OD61" s="381"/>
      <c r="OE61" s="381"/>
      <c r="OF61" s="381"/>
      <c r="OG61" s="381"/>
      <c r="OH61" s="381"/>
      <c r="OI61" s="381"/>
      <c r="OJ61" s="381"/>
      <c r="OK61" s="381"/>
      <c r="OL61" s="381"/>
      <c r="OM61" s="381"/>
      <c r="ON61" s="381"/>
      <c r="OO61" s="381"/>
      <c r="OP61" s="381"/>
      <c r="OQ61" s="381"/>
      <c r="OR61" s="381"/>
      <c r="OS61" s="381"/>
      <c r="OT61" s="381"/>
      <c r="OU61" s="381"/>
      <c r="OV61" s="381"/>
      <c r="OW61" s="381"/>
      <c r="OX61" s="381"/>
      <c r="OY61" s="381"/>
      <c r="OZ61" s="381"/>
      <c r="PA61" s="381"/>
      <c r="PB61" s="381"/>
      <c r="PC61" s="381"/>
      <c r="PD61" s="381"/>
      <c r="PE61" s="381"/>
      <c r="PF61" s="381"/>
      <c r="PG61" s="381"/>
      <c r="PH61" s="381"/>
      <c r="PI61" s="381"/>
      <c r="PJ61" s="381"/>
      <c r="PK61" s="381"/>
      <c r="PL61" s="381"/>
      <c r="PM61" s="381"/>
      <c r="PN61" s="381"/>
      <c r="PO61" s="381"/>
      <c r="PP61" s="381"/>
      <c r="QQ61" s="230"/>
      <c r="QR61" s="231"/>
    </row>
    <row r="62" spans="3:465" ht="5.0999999999999996" customHeight="1" x14ac:dyDescent="0.25">
      <c r="C62" s="226"/>
      <c r="D62" s="227"/>
      <c r="E62" s="229"/>
      <c r="I62" s="311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312"/>
      <c r="AO62" s="312"/>
      <c r="AP62" s="312"/>
      <c r="AQ62" s="312"/>
      <c r="AR62" s="312"/>
      <c r="AS62" s="312"/>
      <c r="AT62" s="312"/>
      <c r="AU62" s="312"/>
      <c r="AV62" s="312"/>
      <c r="AW62" s="313"/>
      <c r="AX62" s="409"/>
      <c r="AY62" s="410"/>
      <c r="AZ62" s="410"/>
      <c r="BA62" s="410"/>
      <c r="BB62" s="411"/>
      <c r="BC62" s="229"/>
      <c r="BD62" s="229"/>
      <c r="BI62" s="229"/>
      <c r="BJ62" s="229"/>
      <c r="DO62" s="229"/>
      <c r="DP62" s="229"/>
      <c r="DQ62" s="229"/>
      <c r="DR62" s="229"/>
      <c r="DS62" s="229"/>
      <c r="DT62" s="229"/>
      <c r="DU62" s="229"/>
      <c r="DV62" s="229"/>
      <c r="DW62" s="229"/>
      <c r="DX62" s="229"/>
      <c r="DY62" s="229"/>
      <c r="DZ62" s="229"/>
      <c r="EA62" s="229"/>
      <c r="EB62" s="229"/>
      <c r="EC62" s="229"/>
      <c r="ED62" s="229"/>
      <c r="EE62" s="229"/>
      <c r="EF62" s="229"/>
      <c r="EG62" s="234"/>
      <c r="EH62" s="229"/>
      <c r="EI62" s="229"/>
      <c r="EJ62" s="229"/>
      <c r="EK62" s="229"/>
      <c r="EL62" s="229"/>
      <c r="EM62" s="229"/>
      <c r="EN62" s="229"/>
      <c r="EO62" s="229"/>
      <c r="EP62" s="229"/>
      <c r="EQ62" s="311"/>
      <c r="ER62" s="312"/>
      <c r="ES62" s="312"/>
      <c r="ET62" s="312"/>
      <c r="EU62" s="312"/>
      <c r="EV62" s="312"/>
      <c r="EW62" s="312"/>
      <c r="EX62" s="312"/>
      <c r="EY62" s="312"/>
      <c r="EZ62" s="312"/>
      <c r="FA62" s="312"/>
      <c r="FB62" s="312"/>
      <c r="FC62" s="312"/>
      <c r="FD62" s="312"/>
      <c r="FE62" s="312"/>
      <c r="FF62" s="312"/>
      <c r="FG62" s="312"/>
      <c r="FH62" s="312"/>
      <c r="FI62" s="312"/>
      <c r="FJ62" s="312"/>
      <c r="FK62" s="312"/>
      <c r="FL62" s="312"/>
      <c r="FM62" s="312"/>
      <c r="FN62" s="312"/>
      <c r="FO62" s="312"/>
      <c r="FP62" s="312"/>
      <c r="FQ62" s="312"/>
      <c r="FR62" s="312"/>
      <c r="FS62" s="312"/>
      <c r="FT62" s="312"/>
      <c r="FU62" s="312"/>
      <c r="FV62" s="312"/>
      <c r="FW62" s="312"/>
      <c r="FX62" s="312"/>
      <c r="FY62" s="312"/>
      <c r="FZ62" s="312"/>
      <c r="GA62" s="312"/>
      <c r="GB62" s="312"/>
      <c r="GC62" s="312"/>
      <c r="GD62" s="312"/>
      <c r="GE62" s="383"/>
      <c r="GF62" s="385"/>
      <c r="GG62" s="385"/>
      <c r="GH62" s="385"/>
      <c r="GI62" s="385"/>
      <c r="GO62" s="229"/>
      <c r="GP62" s="229"/>
      <c r="GQ62" s="229"/>
      <c r="GR62" s="229"/>
      <c r="GS62" s="229"/>
      <c r="GT62" s="229"/>
      <c r="GU62" s="229"/>
      <c r="JF62" s="405"/>
      <c r="JG62" s="405"/>
      <c r="JH62" s="405"/>
      <c r="JI62" s="405"/>
      <c r="JJ62" s="405"/>
      <c r="JK62" s="405"/>
      <c r="JL62" s="405"/>
      <c r="JM62" s="405"/>
      <c r="JN62" s="405"/>
      <c r="JO62" s="405"/>
      <c r="JP62" s="405"/>
      <c r="JQ62" s="405"/>
      <c r="JR62" s="405"/>
      <c r="JS62" s="405"/>
      <c r="JT62" s="405"/>
      <c r="JU62" s="405"/>
      <c r="JV62" s="405"/>
      <c r="JW62" s="405"/>
      <c r="JX62" s="405"/>
      <c r="JY62" s="405"/>
      <c r="JZ62" s="405"/>
      <c r="KA62" s="405"/>
      <c r="KB62" s="405"/>
      <c r="KC62" s="405"/>
      <c r="KD62" s="405"/>
      <c r="KE62" s="405"/>
      <c r="KF62" s="405"/>
      <c r="KG62" s="405"/>
      <c r="KH62" s="405"/>
      <c r="KI62" s="405"/>
      <c r="KJ62" s="405"/>
      <c r="KK62" s="405"/>
      <c r="KL62" s="405"/>
      <c r="KM62" s="405"/>
      <c r="KN62" s="405"/>
      <c r="KO62" s="405"/>
      <c r="KP62" s="405"/>
      <c r="KQ62" s="405"/>
      <c r="KR62" s="405"/>
      <c r="KS62" s="381"/>
      <c r="KT62" s="381"/>
      <c r="KU62" s="381"/>
      <c r="KV62" s="381"/>
      <c r="KW62" s="381"/>
      <c r="LJ62" s="229"/>
      <c r="LK62" s="229"/>
      <c r="LL62" s="229"/>
      <c r="LM62" s="229"/>
      <c r="LN62" s="229"/>
      <c r="LO62" s="229"/>
      <c r="LP62" s="229"/>
      <c r="LQ62" s="229"/>
      <c r="LR62" s="229"/>
      <c r="LS62" s="229"/>
      <c r="LT62" s="229"/>
      <c r="LU62" s="229"/>
      <c r="LV62" s="229"/>
      <c r="LW62" s="229"/>
      <c r="LX62" s="229"/>
      <c r="LY62" s="229"/>
      <c r="LZ62" s="229"/>
      <c r="MA62" s="229"/>
      <c r="MB62" s="229"/>
      <c r="MC62" s="229"/>
      <c r="MD62" s="229"/>
      <c r="ME62" s="229"/>
      <c r="MF62" s="229"/>
      <c r="MG62" s="229"/>
      <c r="MH62" s="229"/>
      <c r="MI62" s="229"/>
      <c r="MJ62" s="229"/>
      <c r="MK62" s="229"/>
      <c r="ML62" s="229"/>
      <c r="MT62" s="229"/>
      <c r="MU62" s="243"/>
      <c r="MV62" s="243"/>
      <c r="MW62" s="243"/>
      <c r="MX62" s="243"/>
      <c r="MY62" s="243"/>
      <c r="MZ62" s="243"/>
      <c r="NA62" s="243"/>
      <c r="NB62" s="243"/>
      <c r="NC62" s="243"/>
      <c r="ND62" s="243"/>
      <c r="NE62" s="243"/>
      <c r="NF62" s="243"/>
      <c r="NG62" s="243"/>
      <c r="NH62" s="243"/>
      <c r="NI62" s="243"/>
      <c r="NJ62" s="243"/>
      <c r="NK62" s="243"/>
      <c r="NL62" s="243"/>
      <c r="NM62" s="243"/>
      <c r="NN62" s="243"/>
      <c r="NO62" s="243"/>
      <c r="NP62" s="243"/>
      <c r="NQ62" s="243"/>
      <c r="NR62" s="243"/>
      <c r="NS62" s="243"/>
      <c r="NT62" s="243"/>
      <c r="NU62" s="243"/>
      <c r="NV62" s="243"/>
      <c r="NW62" s="243"/>
      <c r="NX62" s="243"/>
      <c r="NY62" s="243"/>
      <c r="NZ62" s="243"/>
      <c r="OA62" s="243"/>
      <c r="OB62" s="243"/>
      <c r="OC62" s="243"/>
      <c r="OD62" s="243"/>
      <c r="OE62" s="243"/>
      <c r="OF62" s="243"/>
      <c r="OG62" s="243"/>
      <c r="OH62" s="243"/>
      <c r="OI62" s="243"/>
      <c r="OJ62" s="243"/>
      <c r="OK62" s="243"/>
      <c r="OL62" s="243"/>
      <c r="OM62" s="243"/>
      <c r="ON62" s="243"/>
      <c r="OO62" s="243"/>
      <c r="OP62" s="243"/>
      <c r="OQ62" s="229"/>
      <c r="OR62" s="229"/>
      <c r="OS62" s="251"/>
      <c r="OT62" s="252"/>
      <c r="QQ62" s="230"/>
      <c r="QR62" s="231"/>
    </row>
    <row r="63" spans="3:465" ht="5.0999999999999996" customHeight="1" thickBot="1" x14ac:dyDescent="0.3">
      <c r="C63" s="226"/>
      <c r="D63" s="227"/>
      <c r="E63" s="229"/>
      <c r="I63" s="311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2"/>
      <c r="AN63" s="312"/>
      <c r="AO63" s="312"/>
      <c r="AP63" s="312"/>
      <c r="AQ63" s="312"/>
      <c r="AR63" s="312"/>
      <c r="AS63" s="312"/>
      <c r="AT63" s="312"/>
      <c r="AU63" s="312"/>
      <c r="AV63" s="312"/>
      <c r="AW63" s="313"/>
      <c r="AX63" s="409"/>
      <c r="AY63" s="410"/>
      <c r="AZ63" s="410"/>
      <c r="BA63" s="410"/>
      <c r="BB63" s="411"/>
      <c r="BC63" s="229"/>
      <c r="BD63" s="229"/>
      <c r="BI63" s="229"/>
      <c r="BJ63" s="229"/>
      <c r="ED63" s="229"/>
      <c r="EE63" s="229"/>
      <c r="EF63" s="229"/>
      <c r="EG63" s="234"/>
      <c r="EH63" s="229"/>
      <c r="EI63" s="229"/>
      <c r="EJ63" s="229"/>
      <c r="EK63" s="229"/>
      <c r="EL63" s="229"/>
      <c r="EM63" s="229"/>
      <c r="EN63" s="229"/>
      <c r="EO63" s="229"/>
      <c r="EP63" s="229"/>
      <c r="EQ63" s="311"/>
      <c r="ER63" s="312"/>
      <c r="ES63" s="312"/>
      <c r="ET63" s="312"/>
      <c r="EU63" s="312"/>
      <c r="EV63" s="312"/>
      <c r="EW63" s="312"/>
      <c r="EX63" s="312"/>
      <c r="EY63" s="312"/>
      <c r="EZ63" s="312"/>
      <c r="FA63" s="312"/>
      <c r="FB63" s="312"/>
      <c r="FC63" s="312"/>
      <c r="FD63" s="312"/>
      <c r="FE63" s="312"/>
      <c r="FF63" s="312"/>
      <c r="FG63" s="312"/>
      <c r="FH63" s="312"/>
      <c r="FI63" s="312"/>
      <c r="FJ63" s="312"/>
      <c r="FK63" s="312"/>
      <c r="FL63" s="312"/>
      <c r="FM63" s="312"/>
      <c r="FN63" s="312"/>
      <c r="FO63" s="312"/>
      <c r="FP63" s="312"/>
      <c r="FQ63" s="312"/>
      <c r="FR63" s="312"/>
      <c r="FS63" s="312"/>
      <c r="FT63" s="312"/>
      <c r="FU63" s="312"/>
      <c r="FV63" s="312"/>
      <c r="FW63" s="312"/>
      <c r="FX63" s="312"/>
      <c r="FY63" s="312"/>
      <c r="FZ63" s="312"/>
      <c r="GA63" s="312"/>
      <c r="GB63" s="312"/>
      <c r="GC63" s="312"/>
      <c r="GD63" s="312"/>
      <c r="GE63" s="383"/>
      <c r="GF63" s="385"/>
      <c r="GG63" s="385"/>
      <c r="GH63" s="385"/>
      <c r="GI63" s="385"/>
      <c r="GO63" s="229"/>
      <c r="GP63" s="229"/>
      <c r="GQ63" s="229"/>
      <c r="GR63" s="229"/>
      <c r="GS63" s="229"/>
      <c r="GT63" s="229"/>
      <c r="GU63" s="229"/>
      <c r="JF63" s="405"/>
      <c r="JG63" s="405"/>
      <c r="JH63" s="405"/>
      <c r="JI63" s="405"/>
      <c r="JJ63" s="405"/>
      <c r="JK63" s="405"/>
      <c r="JL63" s="405"/>
      <c r="JM63" s="405"/>
      <c r="JN63" s="405"/>
      <c r="JO63" s="405"/>
      <c r="JP63" s="405"/>
      <c r="JQ63" s="405"/>
      <c r="JR63" s="405"/>
      <c r="JS63" s="405"/>
      <c r="JT63" s="405"/>
      <c r="JU63" s="405"/>
      <c r="JV63" s="405"/>
      <c r="JW63" s="405"/>
      <c r="JX63" s="405"/>
      <c r="JY63" s="405"/>
      <c r="JZ63" s="405"/>
      <c r="KA63" s="405"/>
      <c r="KB63" s="405"/>
      <c r="KC63" s="405"/>
      <c r="KD63" s="405"/>
      <c r="KE63" s="405"/>
      <c r="KF63" s="405"/>
      <c r="KG63" s="405"/>
      <c r="KH63" s="405"/>
      <c r="KI63" s="405"/>
      <c r="KJ63" s="405"/>
      <c r="KK63" s="405"/>
      <c r="KL63" s="405"/>
      <c r="KM63" s="405"/>
      <c r="KN63" s="405"/>
      <c r="KO63" s="405"/>
      <c r="KP63" s="405"/>
      <c r="KQ63" s="405"/>
      <c r="KR63" s="405"/>
      <c r="KS63" s="381"/>
      <c r="KT63" s="381"/>
      <c r="KU63" s="381"/>
      <c r="KV63" s="381"/>
      <c r="KW63" s="381"/>
      <c r="LJ63" s="229"/>
      <c r="LK63" s="229"/>
      <c r="LL63" s="229"/>
      <c r="LM63" s="229"/>
      <c r="LN63" s="229"/>
      <c r="LO63" s="229"/>
      <c r="LP63" s="229"/>
      <c r="LQ63" s="229"/>
      <c r="LR63" s="229"/>
      <c r="LS63" s="229"/>
      <c r="LT63" s="229"/>
      <c r="LU63" s="229"/>
      <c r="LV63" s="229"/>
      <c r="LW63" s="229"/>
      <c r="LX63" s="229"/>
      <c r="LY63" s="229"/>
      <c r="LZ63" s="229"/>
      <c r="MA63" s="229"/>
      <c r="MB63" s="229"/>
      <c r="MC63" s="229"/>
      <c r="MD63" s="229"/>
      <c r="ME63" s="229"/>
      <c r="MF63" s="229"/>
      <c r="MG63" s="229"/>
      <c r="MH63" s="229"/>
      <c r="MI63" s="229"/>
      <c r="MJ63" s="229"/>
      <c r="MK63" s="229"/>
      <c r="ML63" s="229"/>
      <c r="MT63" s="229"/>
      <c r="MU63" s="243"/>
      <c r="MV63" s="243"/>
      <c r="MW63" s="243"/>
      <c r="MX63" s="243"/>
      <c r="MY63" s="243"/>
      <c r="MZ63" s="243"/>
      <c r="NA63" s="243"/>
      <c r="NB63" s="243"/>
      <c r="NC63" s="243"/>
      <c r="ND63" s="243"/>
      <c r="NE63" s="243"/>
      <c r="NF63" s="243"/>
      <c r="NG63" s="243"/>
      <c r="NH63" s="243"/>
      <c r="NI63" s="243"/>
      <c r="NJ63" s="243"/>
      <c r="NK63" s="243"/>
      <c r="NL63" s="243"/>
      <c r="NM63" s="243"/>
      <c r="NN63" s="243"/>
      <c r="NO63" s="243"/>
      <c r="NP63" s="243"/>
      <c r="NQ63" s="243"/>
      <c r="NR63" s="243"/>
      <c r="NS63" s="243"/>
      <c r="NT63" s="243"/>
      <c r="NU63" s="243"/>
      <c r="NV63" s="243"/>
      <c r="NW63" s="243"/>
      <c r="NX63" s="243"/>
      <c r="NY63" s="243"/>
      <c r="NZ63" s="243"/>
      <c r="OA63" s="243"/>
      <c r="OB63" s="243"/>
      <c r="OC63" s="243"/>
      <c r="OD63" s="243"/>
      <c r="OE63" s="243"/>
      <c r="OF63" s="243"/>
      <c r="OG63" s="243"/>
      <c r="OH63" s="243"/>
      <c r="OI63" s="243"/>
      <c r="OJ63" s="243"/>
      <c r="OK63" s="243"/>
      <c r="OL63" s="243"/>
      <c r="OM63" s="243"/>
      <c r="ON63" s="243"/>
      <c r="OO63" s="243"/>
      <c r="OP63" s="243"/>
      <c r="OQ63" s="229"/>
      <c r="OR63" s="229"/>
      <c r="OS63" s="227"/>
      <c r="OT63" s="229"/>
      <c r="QQ63" s="230"/>
      <c r="QR63" s="231"/>
    </row>
    <row r="64" spans="3:465" ht="5.0999999999999996" customHeight="1" x14ac:dyDescent="0.25">
      <c r="C64" s="226"/>
      <c r="D64" s="227"/>
      <c r="E64" s="229"/>
      <c r="I64" s="311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/>
      <c r="AO64" s="312"/>
      <c r="AP64" s="312"/>
      <c r="AQ64" s="312"/>
      <c r="AR64" s="312"/>
      <c r="AS64" s="312"/>
      <c r="AT64" s="312"/>
      <c r="AU64" s="312"/>
      <c r="AV64" s="312"/>
      <c r="AW64" s="313"/>
      <c r="AX64" s="409"/>
      <c r="AY64" s="410"/>
      <c r="AZ64" s="410"/>
      <c r="BA64" s="410"/>
      <c r="BB64" s="411"/>
      <c r="BC64" s="229"/>
      <c r="BD64" s="229"/>
      <c r="BI64" s="229"/>
      <c r="BJ64" s="229"/>
      <c r="ED64" s="229"/>
      <c r="EE64" s="229"/>
      <c r="EF64" s="229"/>
      <c r="EG64" s="238"/>
      <c r="EH64" s="239"/>
      <c r="EI64" s="239"/>
      <c r="EJ64" s="239"/>
      <c r="EK64" s="239"/>
      <c r="EL64" s="239"/>
      <c r="EM64" s="239"/>
      <c r="EN64" s="239"/>
      <c r="EO64" s="239"/>
      <c r="EP64" s="253"/>
      <c r="EQ64" s="311"/>
      <c r="ER64" s="312"/>
      <c r="ES64" s="312"/>
      <c r="ET64" s="312"/>
      <c r="EU64" s="312"/>
      <c r="EV64" s="312"/>
      <c r="EW64" s="312"/>
      <c r="EX64" s="312"/>
      <c r="EY64" s="312"/>
      <c r="EZ64" s="312"/>
      <c r="FA64" s="312"/>
      <c r="FB64" s="312"/>
      <c r="FC64" s="312"/>
      <c r="FD64" s="312"/>
      <c r="FE64" s="312"/>
      <c r="FF64" s="312"/>
      <c r="FG64" s="312"/>
      <c r="FH64" s="312"/>
      <c r="FI64" s="312"/>
      <c r="FJ64" s="312"/>
      <c r="FK64" s="312"/>
      <c r="FL64" s="312"/>
      <c r="FM64" s="312"/>
      <c r="FN64" s="312"/>
      <c r="FO64" s="312"/>
      <c r="FP64" s="312"/>
      <c r="FQ64" s="312"/>
      <c r="FR64" s="312"/>
      <c r="FS64" s="312"/>
      <c r="FT64" s="312"/>
      <c r="FU64" s="312"/>
      <c r="FV64" s="312"/>
      <c r="FW64" s="312"/>
      <c r="FX64" s="312"/>
      <c r="FY64" s="312"/>
      <c r="FZ64" s="312"/>
      <c r="GA64" s="312"/>
      <c r="GB64" s="312"/>
      <c r="GC64" s="312"/>
      <c r="GD64" s="312"/>
      <c r="GE64" s="383"/>
      <c r="GF64" s="385"/>
      <c r="GG64" s="385"/>
      <c r="GH64" s="385"/>
      <c r="GI64" s="385"/>
      <c r="GO64" s="229"/>
      <c r="GP64" s="229"/>
      <c r="GQ64" s="229"/>
      <c r="GR64" s="229"/>
      <c r="GS64" s="229"/>
      <c r="GT64" s="229"/>
      <c r="GU64" s="229"/>
      <c r="JF64" s="405"/>
      <c r="JG64" s="405"/>
      <c r="JH64" s="405"/>
      <c r="JI64" s="405"/>
      <c r="JJ64" s="405"/>
      <c r="JK64" s="405"/>
      <c r="JL64" s="405"/>
      <c r="JM64" s="405"/>
      <c r="JN64" s="405"/>
      <c r="JO64" s="405"/>
      <c r="JP64" s="405"/>
      <c r="JQ64" s="405"/>
      <c r="JR64" s="405"/>
      <c r="JS64" s="405"/>
      <c r="JT64" s="405"/>
      <c r="JU64" s="405"/>
      <c r="JV64" s="405"/>
      <c r="JW64" s="405"/>
      <c r="JX64" s="405"/>
      <c r="JY64" s="405"/>
      <c r="JZ64" s="405"/>
      <c r="KA64" s="405"/>
      <c r="KB64" s="405"/>
      <c r="KC64" s="405"/>
      <c r="KD64" s="405"/>
      <c r="KE64" s="405"/>
      <c r="KF64" s="405"/>
      <c r="KG64" s="405"/>
      <c r="KH64" s="405"/>
      <c r="KI64" s="405"/>
      <c r="KJ64" s="405"/>
      <c r="KK64" s="405"/>
      <c r="KL64" s="405"/>
      <c r="KM64" s="405"/>
      <c r="KN64" s="405"/>
      <c r="KO64" s="405"/>
      <c r="KP64" s="405"/>
      <c r="KQ64" s="405"/>
      <c r="KR64" s="405"/>
      <c r="KS64" s="381"/>
      <c r="KT64" s="381"/>
      <c r="KU64" s="381"/>
      <c r="KV64" s="381"/>
      <c r="KW64" s="381"/>
      <c r="LJ64" s="229"/>
      <c r="LK64" s="229"/>
      <c r="LL64" s="229"/>
      <c r="LM64" s="229"/>
      <c r="LN64" s="229"/>
      <c r="LO64" s="229"/>
      <c r="LP64" s="229"/>
      <c r="LQ64" s="229"/>
      <c r="LR64" s="229"/>
      <c r="LS64" s="229"/>
      <c r="LT64" s="229"/>
      <c r="LU64" s="229"/>
      <c r="LV64" s="229"/>
      <c r="LW64" s="229"/>
      <c r="LX64" s="229"/>
      <c r="LY64" s="229"/>
      <c r="LZ64" s="229"/>
      <c r="MA64" s="229"/>
      <c r="MB64" s="229"/>
      <c r="MC64" s="229"/>
      <c r="MD64" s="229"/>
      <c r="ME64" s="229"/>
      <c r="MF64" s="229"/>
      <c r="MG64" s="229"/>
      <c r="MH64" s="229"/>
      <c r="MI64" s="229"/>
      <c r="MJ64" s="229"/>
      <c r="MK64" s="229"/>
      <c r="ML64" s="229"/>
      <c r="MT64" s="229"/>
      <c r="MU64" s="243"/>
      <c r="MV64" s="243"/>
      <c r="MW64" s="243"/>
      <c r="MX64" s="243"/>
      <c r="MY64" s="243"/>
      <c r="MZ64" s="243"/>
      <c r="NA64" s="243"/>
      <c r="NB64" s="243"/>
      <c r="NC64" s="243"/>
      <c r="ND64" s="243"/>
      <c r="NE64" s="243"/>
      <c r="NF64" s="243"/>
      <c r="NG64" s="243"/>
      <c r="NH64" s="243"/>
      <c r="NI64" s="243"/>
      <c r="NJ64" s="243"/>
      <c r="NK64" s="243"/>
      <c r="NL64" s="243"/>
      <c r="NM64" s="243"/>
      <c r="NN64" s="243"/>
      <c r="NO64" s="243"/>
      <c r="NP64" s="243"/>
      <c r="NQ64" s="243"/>
      <c r="NR64" s="243"/>
      <c r="NS64" s="243"/>
      <c r="NT64" s="243"/>
      <c r="NU64" s="243"/>
      <c r="NV64" s="243"/>
      <c r="NW64" s="243"/>
      <c r="NX64" s="243"/>
      <c r="NY64" s="243"/>
      <c r="NZ64" s="243"/>
      <c r="OA64" s="243"/>
      <c r="OB64" s="243"/>
      <c r="OC64" s="243"/>
      <c r="OD64" s="243"/>
      <c r="OE64" s="243"/>
      <c r="OF64" s="243"/>
      <c r="OG64" s="243"/>
      <c r="OH64" s="243"/>
      <c r="OI64" s="243"/>
      <c r="OJ64" s="243"/>
      <c r="OK64" s="243"/>
      <c r="OL64" s="243"/>
      <c r="OM64" s="243"/>
      <c r="ON64" s="243"/>
      <c r="OO64" s="243"/>
      <c r="OP64" s="243"/>
      <c r="OQ64" s="229"/>
      <c r="OR64" s="229"/>
      <c r="OS64" s="227"/>
      <c r="OT64" s="229"/>
      <c r="QQ64" s="230"/>
      <c r="QR64" s="231"/>
    </row>
    <row r="65" spans="3:465" ht="5.0999999999999996" customHeight="1" x14ac:dyDescent="0.25">
      <c r="C65" s="226"/>
      <c r="D65" s="227"/>
      <c r="E65" s="229"/>
      <c r="I65" s="311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2"/>
      <c r="AN65" s="312"/>
      <c r="AO65" s="312"/>
      <c r="AP65" s="312"/>
      <c r="AQ65" s="312"/>
      <c r="AR65" s="312"/>
      <c r="AS65" s="312"/>
      <c r="AT65" s="312"/>
      <c r="AU65" s="312"/>
      <c r="AV65" s="312"/>
      <c r="AW65" s="313"/>
      <c r="AX65" s="409"/>
      <c r="AY65" s="410"/>
      <c r="AZ65" s="410"/>
      <c r="BA65" s="410"/>
      <c r="BB65" s="411"/>
      <c r="BC65" s="229"/>
      <c r="BD65" s="229"/>
      <c r="BI65" s="229"/>
      <c r="BJ65" s="229"/>
      <c r="CS65" s="229"/>
      <c r="CT65" s="229"/>
      <c r="CU65" s="229"/>
      <c r="CV65" s="229"/>
      <c r="CW65" s="229"/>
      <c r="CX65" s="229"/>
      <c r="CY65" s="229"/>
      <c r="CZ65" s="229"/>
      <c r="DA65" s="229"/>
      <c r="DB65" s="229"/>
      <c r="DC65" s="229"/>
      <c r="DD65" s="229"/>
      <c r="DE65" s="229"/>
      <c r="DF65" s="229"/>
      <c r="DG65" s="229"/>
      <c r="DH65" s="229"/>
      <c r="DI65" s="229"/>
      <c r="DJ65" s="229"/>
      <c r="ED65" s="229"/>
      <c r="EE65" s="229"/>
      <c r="EF65" s="229"/>
      <c r="EG65" s="234"/>
      <c r="EH65" s="229"/>
      <c r="EI65" s="229"/>
      <c r="EJ65" s="229"/>
      <c r="EK65" s="229"/>
      <c r="EL65" s="229"/>
      <c r="EM65" s="229"/>
      <c r="EN65" s="229"/>
      <c r="EO65" s="229"/>
      <c r="EP65" s="230"/>
      <c r="EQ65" s="311"/>
      <c r="ER65" s="312"/>
      <c r="ES65" s="312"/>
      <c r="ET65" s="312"/>
      <c r="EU65" s="312"/>
      <c r="EV65" s="312"/>
      <c r="EW65" s="312"/>
      <c r="EX65" s="312"/>
      <c r="EY65" s="312"/>
      <c r="EZ65" s="312"/>
      <c r="FA65" s="312"/>
      <c r="FB65" s="312"/>
      <c r="FC65" s="312"/>
      <c r="FD65" s="312"/>
      <c r="FE65" s="312"/>
      <c r="FF65" s="312"/>
      <c r="FG65" s="312"/>
      <c r="FH65" s="312"/>
      <c r="FI65" s="312"/>
      <c r="FJ65" s="312"/>
      <c r="FK65" s="312"/>
      <c r="FL65" s="312"/>
      <c r="FM65" s="312"/>
      <c r="FN65" s="312"/>
      <c r="FO65" s="312"/>
      <c r="FP65" s="312"/>
      <c r="FQ65" s="312"/>
      <c r="FR65" s="312"/>
      <c r="FS65" s="312"/>
      <c r="FT65" s="312"/>
      <c r="FU65" s="312"/>
      <c r="FV65" s="312"/>
      <c r="FW65" s="312"/>
      <c r="FX65" s="312"/>
      <c r="FY65" s="312"/>
      <c r="FZ65" s="312"/>
      <c r="GA65" s="312"/>
      <c r="GB65" s="312"/>
      <c r="GC65" s="312"/>
      <c r="GD65" s="312"/>
      <c r="GE65" s="383"/>
      <c r="GF65" s="385"/>
      <c r="GG65" s="385"/>
      <c r="GH65" s="385"/>
      <c r="GI65" s="385"/>
      <c r="GO65" s="229"/>
      <c r="GP65" s="229"/>
      <c r="GQ65" s="229"/>
      <c r="GR65" s="229"/>
      <c r="GS65" s="229"/>
      <c r="GT65" s="229"/>
      <c r="GU65" s="229"/>
      <c r="JF65" s="405"/>
      <c r="JG65" s="405"/>
      <c r="JH65" s="405"/>
      <c r="JI65" s="405"/>
      <c r="JJ65" s="405"/>
      <c r="JK65" s="405"/>
      <c r="JL65" s="405"/>
      <c r="JM65" s="405"/>
      <c r="JN65" s="405"/>
      <c r="JO65" s="405"/>
      <c r="JP65" s="405"/>
      <c r="JQ65" s="405"/>
      <c r="JR65" s="405"/>
      <c r="JS65" s="405"/>
      <c r="JT65" s="405"/>
      <c r="JU65" s="405"/>
      <c r="JV65" s="405"/>
      <c r="JW65" s="405"/>
      <c r="JX65" s="405"/>
      <c r="JY65" s="405"/>
      <c r="JZ65" s="405"/>
      <c r="KA65" s="405"/>
      <c r="KB65" s="405"/>
      <c r="KC65" s="405"/>
      <c r="KD65" s="405"/>
      <c r="KE65" s="405"/>
      <c r="KF65" s="405"/>
      <c r="KG65" s="405"/>
      <c r="KH65" s="405"/>
      <c r="KI65" s="405"/>
      <c r="KJ65" s="405"/>
      <c r="KK65" s="405"/>
      <c r="KL65" s="405"/>
      <c r="KM65" s="405"/>
      <c r="KN65" s="405"/>
      <c r="KO65" s="405"/>
      <c r="KP65" s="405"/>
      <c r="KQ65" s="405"/>
      <c r="KR65" s="405"/>
      <c r="KS65" s="381"/>
      <c r="KT65" s="381"/>
      <c r="KU65" s="381"/>
      <c r="KV65" s="381"/>
      <c r="KW65" s="381"/>
      <c r="LJ65" s="229"/>
      <c r="LK65" s="229"/>
      <c r="LL65" s="229"/>
      <c r="LM65" s="229"/>
      <c r="LN65" s="229"/>
      <c r="LO65" s="229"/>
      <c r="LP65" s="229"/>
      <c r="LQ65" s="229"/>
      <c r="LR65" s="229"/>
      <c r="LS65" s="229"/>
      <c r="LT65" s="229"/>
      <c r="LU65" s="229"/>
      <c r="LV65" s="229"/>
      <c r="LW65" s="229"/>
      <c r="LX65" s="229"/>
      <c r="LY65" s="229"/>
      <c r="LZ65" s="229"/>
      <c r="MA65" s="229"/>
      <c r="MB65" s="229"/>
      <c r="MC65" s="229"/>
      <c r="MD65" s="229"/>
      <c r="ME65" s="229"/>
      <c r="MF65" s="229"/>
      <c r="MG65" s="229"/>
      <c r="MH65" s="229"/>
      <c r="MI65" s="229"/>
      <c r="MJ65" s="229"/>
      <c r="MK65" s="229"/>
      <c r="ML65" s="229"/>
      <c r="MT65" s="229"/>
      <c r="MU65" s="243"/>
      <c r="MV65" s="243"/>
      <c r="MW65" s="243"/>
      <c r="MX65" s="243"/>
      <c r="MY65" s="243"/>
      <c r="MZ65" s="243"/>
      <c r="NA65" s="243"/>
      <c r="NB65" s="243"/>
      <c r="NC65" s="243"/>
      <c r="ND65" s="243"/>
      <c r="NE65" s="243"/>
      <c r="NF65" s="243"/>
      <c r="NG65" s="243"/>
      <c r="NH65" s="243"/>
      <c r="NI65" s="243"/>
      <c r="NJ65" s="243"/>
      <c r="NK65" s="243"/>
      <c r="NL65" s="243"/>
      <c r="NM65" s="243"/>
      <c r="NN65" s="243"/>
      <c r="NO65" s="243"/>
      <c r="NP65" s="243"/>
      <c r="NQ65" s="243"/>
      <c r="NR65" s="243"/>
      <c r="NS65" s="243"/>
      <c r="NT65" s="243"/>
      <c r="NU65" s="243"/>
      <c r="NV65" s="243"/>
      <c r="NW65" s="243"/>
      <c r="NX65" s="243"/>
      <c r="NY65" s="243"/>
      <c r="NZ65" s="243"/>
      <c r="OA65" s="243"/>
      <c r="OB65" s="243"/>
      <c r="OC65" s="243"/>
      <c r="OD65" s="243"/>
      <c r="OE65" s="243"/>
      <c r="OF65" s="243"/>
      <c r="OG65" s="243"/>
      <c r="OH65" s="243"/>
      <c r="OI65" s="243"/>
      <c r="OJ65" s="243"/>
      <c r="OK65" s="243"/>
      <c r="OL65" s="243"/>
      <c r="OM65" s="243"/>
      <c r="ON65" s="243"/>
      <c r="OO65" s="243"/>
      <c r="OP65" s="243"/>
      <c r="OQ65" s="229"/>
      <c r="OR65" s="229"/>
      <c r="OS65" s="227"/>
      <c r="OT65" s="229"/>
      <c r="QQ65" s="230"/>
      <c r="QR65" s="231"/>
    </row>
    <row r="66" spans="3:465" ht="5.0999999999999996" customHeight="1" x14ac:dyDescent="0.25">
      <c r="C66" s="226"/>
      <c r="D66" s="227"/>
      <c r="E66" s="229"/>
      <c r="I66" s="311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  <c r="AH66" s="312"/>
      <c r="AI66" s="312"/>
      <c r="AJ66" s="312"/>
      <c r="AK66" s="312"/>
      <c r="AL66" s="312"/>
      <c r="AM66" s="312"/>
      <c r="AN66" s="312"/>
      <c r="AO66" s="312"/>
      <c r="AP66" s="312"/>
      <c r="AQ66" s="312"/>
      <c r="AR66" s="312"/>
      <c r="AS66" s="312"/>
      <c r="AT66" s="312"/>
      <c r="AU66" s="312"/>
      <c r="AV66" s="312"/>
      <c r="AW66" s="313"/>
      <c r="AX66" s="409"/>
      <c r="AY66" s="410"/>
      <c r="AZ66" s="410"/>
      <c r="BA66" s="410"/>
      <c r="BB66" s="411"/>
      <c r="BC66" s="229"/>
      <c r="BD66" s="229"/>
      <c r="BI66" s="229"/>
      <c r="BJ66" s="229"/>
      <c r="CS66" s="229"/>
      <c r="CT66" s="229"/>
      <c r="CU66" s="229"/>
      <c r="CV66" s="229"/>
      <c r="CW66" s="229"/>
      <c r="CX66" s="229"/>
      <c r="CY66" s="229"/>
      <c r="CZ66" s="229"/>
      <c r="DA66" s="229"/>
      <c r="DB66" s="229"/>
      <c r="DC66" s="229"/>
      <c r="DD66" s="229"/>
      <c r="DE66" s="229"/>
      <c r="DF66" s="229"/>
      <c r="DG66" s="229"/>
      <c r="DH66" s="229"/>
      <c r="DI66" s="229"/>
      <c r="DJ66" s="229"/>
      <c r="ED66" s="229"/>
      <c r="EE66" s="229"/>
      <c r="EF66" s="229"/>
      <c r="EG66" s="234"/>
      <c r="EH66" s="229"/>
      <c r="EI66" s="229"/>
      <c r="EJ66" s="229"/>
      <c r="EK66" s="229"/>
      <c r="EL66" s="229"/>
      <c r="EM66" s="229"/>
      <c r="EN66" s="229"/>
      <c r="EO66" s="229"/>
      <c r="EP66" s="230"/>
      <c r="EQ66" s="311"/>
      <c r="ER66" s="312"/>
      <c r="ES66" s="312"/>
      <c r="ET66" s="312"/>
      <c r="EU66" s="312"/>
      <c r="EV66" s="312"/>
      <c r="EW66" s="312"/>
      <c r="EX66" s="312"/>
      <c r="EY66" s="312"/>
      <c r="EZ66" s="312"/>
      <c r="FA66" s="312"/>
      <c r="FB66" s="312"/>
      <c r="FC66" s="312"/>
      <c r="FD66" s="312"/>
      <c r="FE66" s="312"/>
      <c r="FF66" s="312"/>
      <c r="FG66" s="312"/>
      <c r="FH66" s="312"/>
      <c r="FI66" s="312"/>
      <c r="FJ66" s="312"/>
      <c r="FK66" s="312"/>
      <c r="FL66" s="312"/>
      <c r="FM66" s="312"/>
      <c r="FN66" s="312"/>
      <c r="FO66" s="312"/>
      <c r="FP66" s="312"/>
      <c r="FQ66" s="312"/>
      <c r="FR66" s="312"/>
      <c r="FS66" s="312"/>
      <c r="FT66" s="312"/>
      <c r="FU66" s="312"/>
      <c r="FV66" s="312"/>
      <c r="FW66" s="312"/>
      <c r="FX66" s="312"/>
      <c r="FY66" s="312"/>
      <c r="FZ66" s="312"/>
      <c r="GA66" s="312"/>
      <c r="GB66" s="312"/>
      <c r="GC66" s="312"/>
      <c r="GD66" s="312"/>
      <c r="GE66" s="383"/>
      <c r="GF66" s="385"/>
      <c r="GG66" s="385"/>
      <c r="GH66" s="385"/>
      <c r="GI66" s="385"/>
      <c r="JF66" s="405"/>
      <c r="JG66" s="405"/>
      <c r="JH66" s="405"/>
      <c r="JI66" s="405"/>
      <c r="JJ66" s="405"/>
      <c r="JK66" s="405"/>
      <c r="JL66" s="405"/>
      <c r="JM66" s="405"/>
      <c r="JN66" s="405"/>
      <c r="JO66" s="405"/>
      <c r="JP66" s="405"/>
      <c r="JQ66" s="405"/>
      <c r="JR66" s="405"/>
      <c r="JS66" s="405"/>
      <c r="JT66" s="405"/>
      <c r="JU66" s="405"/>
      <c r="JV66" s="405"/>
      <c r="JW66" s="405"/>
      <c r="JX66" s="405"/>
      <c r="JY66" s="405"/>
      <c r="JZ66" s="405"/>
      <c r="KA66" s="405"/>
      <c r="KB66" s="405"/>
      <c r="KC66" s="405"/>
      <c r="KD66" s="405"/>
      <c r="KE66" s="405"/>
      <c r="KF66" s="405"/>
      <c r="KG66" s="405"/>
      <c r="KH66" s="405"/>
      <c r="KI66" s="405"/>
      <c r="KJ66" s="405"/>
      <c r="KK66" s="405"/>
      <c r="KL66" s="405"/>
      <c r="KM66" s="405"/>
      <c r="KN66" s="405"/>
      <c r="KO66" s="405"/>
      <c r="KP66" s="405"/>
      <c r="KQ66" s="405"/>
      <c r="KR66" s="405"/>
      <c r="KS66" s="381"/>
      <c r="KT66" s="381"/>
      <c r="KU66" s="381"/>
      <c r="KV66" s="381"/>
      <c r="KW66" s="381"/>
      <c r="LJ66" s="229"/>
      <c r="LK66" s="229"/>
      <c r="LL66" s="229"/>
      <c r="LM66" s="229"/>
      <c r="LN66" s="229"/>
      <c r="LO66" s="229"/>
      <c r="LP66" s="229"/>
      <c r="LQ66" s="229"/>
      <c r="LR66" s="229"/>
      <c r="LS66" s="229"/>
      <c r="LT66" s="229"/>
      <c r="LU66" s="229"/>
      <c r="LV66" s="229"/>
      <c r="LW66" s="229"/>
      <c r="LX66" s="229"/>
      <c r="LY66" s="229"/>
      <c r="LZ66" s="229"/>
      <c r="MA66" s="229"/>
      <c r="MB66" s="229"/>
      <c r="MC66" s="229"/>
      <c r="MD66" s="229"/>
      <c r="ME66" s="229"/>
      <c r="MF66" s="229"/>
      <c r="MG66" s="229"/>
      <c r="MH66" s="229"/>
      <c r="MI66" s="229"/>
      <c r="MJ66" s="229"/>
      <c r="MK66" s="229"/>
      <c r="ML66" s="229"/>
      <c r="MT66" s="229"/>
      <c r="MU66" s="243"/>
      <c r="MV66" s="243"/>
      <c r="MW66" s="243"/>
      <c r="MX66" s="243"/>
      <c r="MY66" s="243"/>
      <c r="MZ66" s="243"/>
      <c r="NA66" s="243"/>
      <c r="NB66" s="243"/>
      <c r="NC66" s="243"/>
      <c r="ND66" s="243"/>
      <c r="NE66" s="243"/>
      <c r="NF66" s="243"/>
      <c r="NG66" s="243"/>
      <c r="NH66" s="243"/>
      <c r="NI66" s="243"/>
      <c r="NJ66" s="243"/>
      <c r="NK66" s="243"/>
      <c r="NL66" s="243"/>
      <c r="NM66" s="243"/>
      <c r="NN66" s="243"/>
      <c r="NO66" s="243"/>
      <c r="NP66" s="243"/>
      <c r="NQ66" s="243"/>
      <c r="NR66" s="243"/>
      <c r="NS66" s="243"/>
      <c r="NT66" s="243"/>
      <c r="NU66" s="243"/>
      <c r="NV66" s="243"/>
      <c r="NW66" s="243"/>
      <c r="NX66" s="243"/>
      <c r="NY66" s="243"/>
      <c r="NZ66" s="243"/>
      <c r="OA66" s="243"/>
      <c r="OB66" s="243"/>
      <c r="OC66" s="243"/>
      <c r="OD66" s="243"/>
      <c r="OE66" s="243"/>
      <c r="OF66" s="243"/>
      <c r="OG66" s="243"/>
      <c r="OH66" s="243"/>
      <c r="OI66" s="243"/>
      <c r="OJ66" s="243"/>
      <c r="OK66" s="243"/>
      <c r="OL66" s="243"/>
      <c r="OM66" s="243"/>
      <c r="ON66" s="243"/>
      <c r="OO66" s="243"/>
      <c r="OP66" s="243"/>
      <c r="OQ66" s="229"/>
      <c r="OR66" s="229"/>
      <c r="OS66" s="227"/>
      <c r="OT66" s="229"/>
      <c r="QQ66" s="230"/>
      <c r="QR66" s="231"/>
    </row>
    <row r="67" spans="3:465" ht="5.0999999999999996" customHeight="1" x14ac:dyDescent="0.25">
      <c r="C67" s="226"/>
      <c r="D67" s="227"/>
      <c r="E67" s="229"/>
      <c r="I67" s="311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312"/>
      <c r="AJ67" s="312"/>
      <c r="AK67" s="312"/>
      <c r="AL67" s="312"/>
      <c r="AM67" s="312"/>
      <c r="AN67" s="312"/>
      <c r="AO67" s="312"/>
      <c r="AP67" s="312"/>
      <c r="AQ67" s="312"/>
      <c r="AR67" s="312"/>
      <c r="AS67" s="312"/>
      <c r="AT67" s="312"/>
      <c r="AU67" s="312"/>
      <c r="AV67" s="312"/>
      <c r="AW67" s="313"/>
      <c r="AX67" s="409"/>
      <c r="AY67" s="410"/>
      <c r="AZ67" s="410"/>
      <c r="BA67" s="410"/>
      <c r="BB67" s="411"/>
      <c r="BC67" s="229"/>
      <c r="BD67" s="229"/>
      <c r="BI67" s="229"/>
      <c r="BJ67" s="229"/>
      <c r="CS67" s="229"/>
      <c r="CT67" s="229"/>
      <c r="CU67" s="229"/>
      <c r="CV67" s="229"/>
      <c r="CW67" s="229"/>
      <c r="CX67" s="229"/>
      <c r="CY67" s="229"/>
      <c r="CZ67" s="229"/>
      <c r="DA67" s="229"/>
      <c r="DB67" s="229"/>
      <c r="DC67" s="229"/>
      <c r="DD67" s="229"/>
      <c r="DE67" s="229"/>
      <c r="DF67" s="229"/>
      <c r="DG67" s="229"/>
      <c r="DH67" s="229"/>
      <c r="DI67" s="229"/>
      <c r="DJ67" s="229"/>
      <c r="EA67" s="229"/>
      <c r="EB67" s="229"/>
      <c r="EC67" s="229"/>
      <c r="ED67" s="229"/>
      <c r="EE67" s="229"/>
      <c r="EF67" s="229"/>
      <c r="EG67" s="234"/>
      <c r="EH67" s="229"/>
      <c r="EI67" s="229"/>
      <c r="EJ67" s="229"/>
      <c r="EK67" s="229"/>
      <c r="EL67" s="229"/>
      <c r="EM67" s="229"/>
      <c r="EN67" s="229"/>
      <c r="EO67" s="229"/>
      <c r="EP67" s="229"/>
      <c r="EQ67" s="311"/>
      <c r="ER67" s="312"/>
      <c r="ES67" s="312"/>
      <c r="ET67" s="312"/>
      <c r="EU67" s="312"/>
      <c r="EV67" s="312"/>
      <c r="EW67" s="312"/>
      <c r="EX67" s="312"/>
      <c r="EY67" s="312"/>
      <c r="EZ67" s="312"/>
      <c r="FA67" s="312"/>
      <c r="FB67" s="312"/>
      <c r="FC67" s="312"/>
      <c r="FD67" s="312"/>
      <c r="FE67" s="312"/>
      <c r="FF67" s="312"/>
      <c r="FG67" s="312"/>
      <c r="FH67" s="312"/>
      <c r="FI67" s="312"/>
      <c r="FJ67" s="312"/>
      <c r="FK67" s="312"/>
      <c r="FL67" s="312"/>
      <c r="FM67" s="312"/>
      <c r="FN67" s="312"/>
      <c r="FO67" s="312"/>
      <c r="FP67" s="312"/>
      <c r="FQ67" s="312"/>
      <c r="FR67" s="312"/>
      <c r="FS67" s="312"/>
      <c r="FT67" s="312"/>
      <c r="FU67" s="312"/>
      <c r="FV67" s="312"/>
      <c r="FW67" s="312"/>
      <c r="FX67" s="312"/>
      <c r="FY67" s="312"/>
      <c r="FZ67" s="312"/>
      <c r="GA67" s="312"/>
      <c r="GB67" s="312"/>
      <c r="GC67" s="312"/>
      <c r="GD67" s="312"/>
      <c r="GE67" s="383"/>
      <c r="GF67" s="385"/>
      <c r="GG67" s="385"/>
      <c r="GH67" s="385"/>
      <c r="GI67" s="385"/>
      <c r="JF67" s="405"/>
      <c r="JG67" s="405"/>
      <c r="JH67" s="405"/>
      <c r="JI67" s="405"/>
      <c r="JJ67" s="405"/>
      <c r="JK67" s="405"/>
      <c r="JL67" s="405"/>
      <c r="JM67" s="405"/>
      <c r="JN67" s="405"/>
      <c r="JO67" s="405"/>
      <c r="JP67" s="405"/>
      <c r="JQ67" s="405"/>
      <c r="JR67" s="405"/>
      <c r="JS67" s="405"/>
      <c r="JT67" s="405"/>
      <c r="JU67" s="405"/>
      <c r="JV67" s="405"/>
      <c r="JW67" s="405"/>
      <c r="JX67" s="405"/>
      <c r="JY67" s="405"/>
      <c r="JZ67" s="405"/>
      <c r="KA67" s="405"/>
      <c r="KB67" s="405"/>
      <c r="KC67" s="405"/>
      <c r="KD67" s="405"/>
      <c r="KE67" s="405"/>
      <c r="KF67" s="405"/>
      <c r="KG67" s="405"/>
      <c r="KH67" s="405"/>
      <c r="KI67" s="405"/>
      <c r="KJ67" s="405"/>
      <c r="KK67" s="405"/>
      <c r="KL67" s="405"/>
      <c r="KM67" s="405"/>
      <c r="KN67" s="405"/>
      <c r="KO67" s="405"/>
      <c r="KP67" s="405"/>
      <c r="KQ67" s="405"/>
      <c r="KR67" s="405"/>
      <c r="KS67" s="381"/>
      <c r="KT67" s="381"/>
      <c r="KU67" s="381"/>
      <c r="KV67" s="381"/>
      <c r="KW67" s="381"/>
      <c r="LJ67" s="229"/>
      <c r="LK67" s="229"/>
      <c r="LL67" s="229"/>
      <c r="LM67" s="229"/>
      <c r="LN67" s="229"/>
      <c r="LO67" s="229"/>
      <c r="LP67" s="229"/>
      <c r="LQ67" s="229"/>
      <c r="LR67" s="229"/>
      <c r="LS67" s="229"/>
      <c r="LT67" s="229"/>
      <c r="LU67" s="229"/>
      <c r="LV67" s="229"/>
      <c r="LW67" s="229"/>
      <c r="LX67" s="229"/>
      <c r="LY67" s="229"/>
      <c r="LZ67" s="229"/>
      <c r="MA67" s="229"/>
      <c r="MB67" s="229"/>
      <c r="MC67" s="229"/>
      <c r="MD67" s="229"/>
      <c r="ME67" s="229"/>
      <c r="MF67" s="229"/>
      <c r="MG67" s="229"/>
      <c r="MH67" s="229"/>
      <c r="MI67" s="229"/>
      <c r="MJ67" s="229"/>
      <c r="MK67" s="229"/>
      <c r="ML67" s="229"/>
      <c r="MU67" s="243"/>
      <c r="MV67" s="243"/>
      <c r="MW67" s="243"/>
      <c r="MX67" s="243"/>
      <c r="MY67" s="243"/>
      <c r="MZ67" s="243"/>
      <c r="NA67" s="243"/>
      <c r="NB67" s="243"/>
      <c r="NC67" s="243"/>
      <c r="ND67" s="243"/>
      <c r="NE67" s="243"/>
      <c r="NF67" s="243"/>
      <c r="NG67" s="243"/>
      <c r="NH67" s="243"/>
      <c r="NI67" s="243"/>
      <c r="NJ67" s="243"/>
      <c r="NK67" s="243"/>
      <c r="NL67" s="243"/>
      <c r="NM67" s="243"/>
      <c r="NN67" s="243"/>
      <c r="NO67" s="243"/>
      <c r="NP67" s="243"/>
      <c r="NQ67" s="243"/>
      <c r="NR67" s="243"/>
      <c r="NS67" s="243"/>
      <c r="NT67" s="243"/>
      <c r="NU67" s="243"/>
      <c r="NV67" s="243"/>
      <c r="NW67" s="243"/>
      <c r="NX67" s="243"/>
      <c r="NY67" s="243"/>
      <c r="NZ67" s="243"/>
      <c r="OA67" s="243"/>
      <c r="OB67" s="243"/>
      <c r="OC67" s="243"/>
      <c r="OD67" s="243"/>
      <c r="OE67" s="243"/>
      <c r="OF67" s="243"/>
      <c r="OG67" s="243"/>
      <c r="OH67" s="243"/>
      <c r="OI67" s="243"/>
      <c r="OJ67" s="243"/>
      <c r="OK67" s="243"/>
      <c r="OL67" s="243"/>
      <c r="OM67" s="243"/>
      <c r="ON67" s="243"/>
      <c r="OO67" s="243"/>
      <c r="OP67" s="243"/>
      <c r="OQ67" s="229"/>
      <c r="OR67" s="229"/>
      <c r="OS67" s="254"/>
      <c r="OT67" s="245"/>
      <c r="QQ67" s="230"/>
      <c r="QR67" s="231"/>
    </row>
    <row r="68" spans="3:465" ht="5.0999999999999996" customHeight="1" x14ac:dyDescent="0.25">
      <c r="C68" s="226"/>
      <c r="D68" s="227"/>
      <c r="E68" s="229"/>
      <c r="I68" s="314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6"/>
      <c r="AX68" s="412"/>
      <c r="AY68" s="413"/>
      <c r="AZ68" s="413"/>
      <c r="BA68" s="413"/>
      <c r="BB68" s="414"/>
      <c r="BC68" s="229"/>
      <c r="BD68" s="229"/>
      <c r="BI68" s="229"/>
      <c r="BJ68" s="229"/>
      <c r="CS68" s="229"/>
      <c r="CT68" s="229"/>
      <c r="CU68" s="229"/>
      <c r="CV68" s="229"/>
      <c r="CW68" s="229"/>
      <c r="CX68" s="229"/>
      <c r="CY68" s="229"/>
      <c r="CZ68" s="229"/>
      <c r="DA68" s="229"/>
      <c r="DB68" s="229"/>
      <c r="DC68" s="229"/>
      <c r="DD68" s="229"/>
      <c r="DE68" s="229"/>
      <c r="DF68" s="229"/>
      <c r="DG68" s="229"/>
      <c r="DH68" s="229"/>
      <c r="DI68" s="229"/>
      <c r="DJ68" s="229"/>
      <c r="EA68" s="229"/>
      <c r="EB68" s="229"/>
      <c r="EC68" s="229"/>
      <c r="ED68" s="229"/>
      <c r="EE68" s="229"/>
      <c r="EF68" s="229"/>
      <c r="EG68" s="234"/>
      <c r="EH68" s="229"/>
      <c r="EI68" s="229"/>
      <c r="EJ68" s="229"/>
      <c r="EK68" s="229"/>
      <c r="EL68" s="229"/>
      <c r="EM68" s="229"/>
      <c r="EN68" s="229"/>
      <c r="EO68" s="229"/>
      <c r="EP68" s="229"/>
      <c r="EQ68" s="314"/>
      <c r="ER68" s="315"/>
      <c r="ES68" s="315"/>
      <c r="ET68" s="315"/>
      <c r="EU68" s="315"/>
      <c r="EV68" s="315"/>
      <c r="EW68" s="315"/>
      <c r="EX68" s="315"/>
      <c r="EY68" s="315"/>
      <c r="EZ68" s="315"/>
      <c r="FA68" s="315"/>
      <c r="FB68" s="315"/>
      <c r="FC68" s="315"/>
      <c r="FD68" s="315"/>
      <c r="FE68" s="315"/>
      <c r="FF68" s="315"/>
      <c r="FG68" s="315"/>
      <c r="FH68" s="315"/>
      <c r="FI68" s="315"/>
      <c r="FJ68" s="315"/>
      <c r="FK68" s="315"/>
      <c r="FL68" s="315"/>
      <c r="FM68" s="315"/>
      <c r="FN68" s="315"/>
      <c r="FO68" s="315"/>
      <c r="FP68" s="315"/>
      <c r="FQ68" s="315"/>
      <c r="FR68" s="315"/>
      <c r="FS68" s="315"/>
      <c r="FT68" s="315"/>
      <c r="FU68" s="315"/>
      <c r="FV68" s="315"/>
      <c r="FW68" s="315"/>
      <c r="FX68" s="315"/>
      <c r="FY68" s="315"/>
      <c r="FZ68" s="315"/>
      <c r="GA68" s="315"/>
      <c r="GB68" s="315"/>
      <c r="GC68" s="315"/>
      <c r="GD68" s="315"/>
      <c r="GE68" s="384"/>
      <c r="GF68" s="385"/>
      <c r="GG68" s="385"/>
      <c r="GH68" s="385"/>
      <c r="GI68" s="385"/>
      <c r="KC68" s="255"/>
      <c r="LJ68" s="229"/>
      <c r="LK68" s="229"/>
      <c r="LL68" s="229"/>
      <c r="LM68" s="229"/>
      <c r="LN68" s="229"/>
      <c r="LO68" s="229"/>
      <c r="LP68" s="229"/>
      <c r="LQ68" s="229"/>
      <c r="LR68" s="229"/>
      <c r="LS68" s="229"/>
      <c r="LT68" s="229"/>
      <c r="LU68" s="229"/>
      <c r="LV68" s="229"/>
      <c r="LW68" s="229"/>
      <c r="LX68" s="229"/>
      <c r="LY68" s="229"/>
      <c r="LZ68" s="229"/>
      <c r="MA68" s="229"/>
      <c r="MB68" s="229"/>
      <c r="MC68" s="229"/>
      <c r="MD68" s="229"/>
      <c r="ME68" s="229"/>
      <c r="MF68" s="229"/>
      <c r="MG68" s="229"/>
      <c r="MH68" s="229"/>
      <c r="MI68" s="229"/>
      <c r="MJ68" s="229"/>
      <c r="MK68" s="229"/>
      <c r="ML68" s="229"/>
      <c r="MU68" s="243"/>
      <c r="MV68" s="243"/>
      <c r="MW68" s="243"/>
      <c r="MX68" s="243"/>
      <c r="MY68" s="243"/>
      <c r="MZ68" s="243"/>
      <c r="NA68" s="243"/>
      <c r="NB68" s="243"/>
      <c r="NC68" s="243"/>
      <c r="ND68" s="243"/>
      <c r="NE68" s="243"/>
      <c r="NF68" s="243"/>
      <c r="NG68" s="243"/>
      <c r="NH68" s="243"/>
      <c r="NI68" s="243"/>
      <c r="NJ68" s="243"/>
      <c r="NK68" s="243"/>
      <c r="NL68" s="243"/>
      <c r="NM68" s="243"/>
      <c r="NN68" s="243"/>
      <c r="NO68" s="243"/>
      <c r="NP68" s="243"/>
      <c r="NQ68" s="243"/>
      <c r="NR68" s="243"/>
      <c r="NS68" s="243"/>
      <c r="NT68" s="243"/>
      <c r="NU68" s="243"/>
      <c r="NV68" s="243"/>
      <c r="NW68" s="415" t="s">
        <v>415</v>
      </c>
      <c r="NX68" s="381"/>
      <c r="NY68" s="381"/>
      <c r="NZ68" s="381"/>
      <c r="OA68" s="381"/>
      <c r="OB68" s="381"/>
      <c r="OC68" s="381"/>
      <c r="OD68" s="381"/>
      <c r="OE68" s="381"/>
      <c r="OF68" s="381"/>
      <c r="OG68" s="381"/>
      <c r="OH68" s="381"/>
      <c r="OI68" s="381"/>
      <c r="OJ68" s="381"/>
      <c r="OK68" s="381"/>
      <c r="OL68" s="381"/>
      <c r="OM68" s="381"/>
      <c r="ON68" s="381"/>
      <c r="OO68" s="381"/>
      <c r="OP68" s="381"/>
      <c r="OQ68" s="381"/>
      <c r="OR68" s="381"/>
      <c r="OS68" s="381"/>
      <c r="OT68" s="381"/>
      <c r="OU68" s="381"/>
      <c r="OV68" s="381"/>
      <c r="OW68" s="381"/>
      <c r="OX68" s="381"/>
      <c r="OY68" s="381"/>
      <c r="OZ68" s="381"/>
      <c r="PA68" s="381"/>
      <c r="PB68" s="381"/>
      <c r="PC68" s="381"/>
      <c r="PD68" s="381"/>
      <c r="PE68" s="381"/>
      <c r="PF68" s="381"/>
      <c r="PG68" s="381"/>
      <c r="PH68" s="381"/>
      <c r="PI68" s="381"/>
      <c r="PJ68" s="381"/>
      <c r="PK68" s="381"/>
      <c r="PL68" s="381">
        <v>1</v>
      </c>
      <c r="PM68" s="381"/>
      <c r="PN68" s="381"/>
      <c r="PO68" s="381"/>
      <c r="PP68" s="381"/>
      <c r="PQ68" s="381"/>
      <c r="QQ68" s="230"/>
      <c r="QR68" s="231"/>
    </row>
    <row r="69" spans="3:465" ht="5.0999999999999996" customHeight="1" thickBot="1" x14ac:dyDescent="0.3">
      <c r="C69" s="226"/>
      <c r="D69" s="227"/>
      <c r="E69" s="229"/>
      <c r="H69" s="229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8"/>
      <c r="BC69" s="229"/>
      <c r="BD69" s="229"/>
      <c r="BI69" s="229"/>
      <c r="BJ69" s="229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/>
      <c r="DD69" s="236"/>
      <c r="DE69" s="236"/>
      <c r="DF69" s="236"/>
      <c r="DG69" s="236"/>
      <c r="DH69" s="236"/>
      <c r="DI69" s="236"/>
      <c r="DJ69" s="236"/>
      <c r="EA69" s="229"/>
      <c r="EB69" s="229"/>
      <c r="EC69" s="229"/>
      <c r="ED69" s="229"/>
      <c r="EE69" s="229"/>
      <c r="EF69" s="229"/>
      <c r="EG69" s="234"/>
      <c r="EH69" s="229"/>
      <c r="EI69" s="229"/>
      <c r="EJ69" s="229"/>
      <c r="EK69" s="229"/>
      <c r="EL69" s="229"/>
      <c r="EM69" s="229"/>
      <c r="EN69" s="229"/>
      <c r="EO69" s="229"/>
      <c r="EP69" s="229"/>
      <c r="EQ69" s="229"/>
      <c r="ER69" s="229"/>
      <c r="ES69" s="229"/>
      <c r="ET69" s="229"/>
      <c r="EU69" s="229"/>
      <c r="EV69" s="229"/>
      <c r="EW69" s="229"/>
      <c r="EX69" s="229"/>
      <c r="EY69" s="229"/>
      <c r="EZ69" s="229"/>
      <c r="FA69" s="229"/>
      <c r="FB69" s="229"/>
      <c r="FC69" s="229"/>
      <c r="FD69" s="229"/>
      <c r="FE69" s="229"/>
      <c r="FF69" s="229"/>
      <c r="FG69" s="229"/>
      <c r="FH69" s="229"/>
      <c r="FI69" s="229"/>
      <c r="FJ69" s="229"/>
      <c r="FK69" s="229"/>
      <c r="FL69" s="229"/>
      <c r="FM69" s="229"/>
      <c r="FN69" s="229"/>
      <c r="FO69" s="229"/>
      <c r="FP69" s="229"/>
      <c r="FQ69" s="229"/>
      <c r="FR69" s="229"/>
      <c r="FS69" s="229"/>
      <c r="FT69" s="229"/>
      <c r="FU69" s="229"/>
      <c r="FV69" s="229"/>
      <c r="FW69" s="229"/>
      <c r="FX69" s="229"/>
      <c r="FY69" s="229"/>
      <c r="FZ69" s="229"/>
      <c r="GA69" s="229"/>
      <c r="GB69" s="229"/>
      <c r="GC69" s="229"/>
      <c r="GD69" s="229"/>
      <c r="KC69" s="234"/>
      <c r="LJ69" s="229"/>
      <c r="LK69" s="229"/>
      <c r="LL69" s="229"/>
      <c r="LM69" s="229"/>
      <c r="LN69" s="229"/>
      <c r="LO69" s="229"/>
      <c r="LP69" s="229"/>
      <c r="LQ69" s="229"/>
      <c r="LR69" s="229"/>
      <c r="LS69" s="229"/>
      <c r="LT69" s="229"/>
      <c r="LU69" s="229"/>
      <c r="LV69" s="229"/>
      <c r="LW69" s="229"/>
      <c r="LX69" s="229"/>
      <c r="LY69" s="229"/>
      <c r="LZ69" s="229"/>
      <c r="MA69" s="229"/>
      <c r="MB69" s="229"/>
      <c r="MC69" s="229"/>
      <c r="MD69" s="229"/>
      <c r="ME69" s="229"/>
      <c r="MF69" s="229"/>
      <c r="MG69" s="229"/>
      <c r="MH69" s="229"/>
      <c r="MI69" s="229"/>
      <c r="MJ69" s="229"/>
      <c r="MK69" s="229"/>
      <c r="ML69" s="229"/>
      <c r="MU69" s="243"/>
      <c r="MV69" s="243"/>
      <c r="MW69" s="243"/>
      <c r="MX69" s="243"/>
      <c r="MY69" s="243"/>
      <c r="MZ69" s="243"/>
      <c r="NA69" s="243"/>
      <c r="NB69" s="243"/>
      <c r="NC69" s="243"/>
      <c r="ND69" s="243"/>
      <c r="NE69" s="243"/>
      <c r="NF69" s="243"/>
      <c r="NG69" s="243"/>
      <c r="NH69" s="243"/>
      <c r="NI69" s="243"/>
      <c r="NJ69" s="243"/>
      <c r="NK69" s="243"/>
      <c r="NL69" s="243"/>
      <c r="NM69" s="243"/>
      <c r="NN69" s="243"/>
      <c r="NO69" s="243"/>
      <c r="NP69" s="243"/>
      <c r="NQ69" s="243"/>
      <c r="NR69" s="243"/>
      <c r="NS69" s="243"/>
      <c r="NT69" s="243"/>
      <c r="NW69" s="381"/>
      <c r="NX69" s="381"/>
      <c r="NY69" s="381"/>
      <c r="NZ69" s="381"/>
      <c r="OA69" s="381"/>
      <c r="OB69" s="381"/>
      <c r="OC69" s="381"/>
      <c r="OD69" s="381"/>
      <c r="OE69" s="381"/>
      <c r="OF69" s="381"/>
      <c r="OG69" s="381"/>
      <c r="OH69" s="381"/>
      <c r="OI69" s="381"/>
      <c r="OJ69" s="381"/>
      <c r="OK69" s="381"/>
      <c r="OL69" s="381"/>
      <c r="OM69" s="381"/>
      <c r="ON69" s="381"/>
      <c r="OO69" s="381"/>
      <c r="OP69" s="381"/>
      <c r="OQ69" s="381"/>
      <c r="OR69" s="381"/>
      <c r="OS69" s="381"/>
      <c r="OT69" s="381"/>
      <c r="OU69" s="381"/>
      <c r="OV69" s="381"/>
      <c r="OW69" s="381"/>
      <c r="OX69" s="381"/>
      <c r="OY69" s="381"/>
      <c r="OZ69" s="381"/>
      <c r="PA69" s="381"/>
      <c r="PB69" s="381"/>
      <c r="PC69" s="381"/>
      <c r="PD69" s="381"/>
      <c r="PE69" s="381"/>
      <c r="PF69" s="381"/>
      <c r="PG69" s="381"/>
      <c r="PH69" s="381"/>
      <c r="PI69" s="381"/>
      <c r="PJ69" s="381"/>
      <c r="PK69" s="381"/>
      <c r="PL69" s="381"/>
      <c r="PM69" s="381"/>
      <c r="PN69" s="381"/>
      <c r="PO69" s="381"/>
      <c r="PP69" s="381"/>
      <c r="PQ69" s="381"/>
      <c r="PR69" s="229"/>
      <c r="PS69" s="229"/>
      <c r="PT69" s="229"/>
      <c r="QO69" s="228"/>
      <c r="QP69" s="228"/>
      <c r="QQ69" s="230"/>
      <c r="QR69" s="231"/>
      <c r="QT69" s="249"/>
      <c r="QU69" s="249"/>
      <c r="QV69" s="249"/>
      <c r="QW69" s="250"/>
    </row>
    <row r="70" spans="3:465" ht="5.0999999999999996" customHeight="1" x14ac:dyDescent="0.25">
      <c r="C70" s="226"/>
      <c r="D70" s="227"/>
      <c r="E70" s="229"/>
      <c r="H70" s="229"/>
      <c r="I70" s="308" t="s">
        <v>416</v>
      </c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  <c r="AB70" s="309"/>
      <c r="AC70" s="309"/>
      <c r="AD70" s="309"/>
      <c r="AE70" s="309"/>
      <c r="AF70" s="30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10"/>
      <c r="AX70" s="406">
        <v>3</v>
      </c>
      <c r="AY70" s="407"/>
      <c r="AZ70" s="407"/>
      <c r="BA70" s="407"/>
      <c r="BB70" s="408"/>
      <c r="BC70" s="229"/>
      <c r="BD70" s="229"/>
      <c r="BI70" s="229"/>
      <c r="BJ70" s="229"/>
      <c r="CC70" s="238"/>
      <c r="CD70" s="239"/>
      <c r="CE70" s="239"/>
      <c r="CF70" s="239"/>
      <c r="CG70" s="239"/>
      <c r="CH70" s="239"/>
      <c r="CI70" s="239"/>
      <c r="CJ70" s="239"/>
      <c r="CK70" s="239"/>
      <c r="CL70" s="239"/>
      <c r="CM70" s="239"/>
      <c r="CN70" s="239"/>
      <c r="CO70" s="239"/>
      <c r="CP70" s="239"/>
      <c r="CQ70" s="239"/>
      <c r="CR70" s="239"/>
      <c r="CS70" s="229"/>
      <c r="CT70" s="229"/>
      <c r="CU70" s="229"/>
      <c r="CV70" s="229"/>
      <c r="CW70" s="229"/>
      <c r="CX70" s="229"/>
      <c r="CY70" s="229"/>
      <c r="CZ70" s="229"/>
      <c r="DA70" s="229"/>
      <c r="DB70" s="229"/>
      <c r="DC70" s="229"/>
      <c r="DD70" s="229"/>
      <c r="DE70" s="229"/>
      <c r="DF70" s="229"/>
      <c r="DG70" s="229"/>
      <c r="DH70" s="229"/>
      <c r="DI70" s="229"/>
      <c r="DJ70" s="229"/>
      <c r="DK70" s="239"/>
      <c r="DL70" s="239"/>
      <c r="DM70" s="239"/>
      <c r="DN70" s="239"/>
      <c r="DO70" s="239"/>
      <c r="DP70" s="239"/>
      <c r="DQ70" s="239"/>
      <c r="DR70" s="239"/>
      <c r="DS70" s="239"/>
      <c r="DT70" s="239"/>
      <c r="DU70" s="239"/>
      <c r="DV70" s="239"/>
      <c r="DW70" s="239"/>
      <c r="DX70" s="239"/>
      <c r="DY70" s="239"/>
      <c r="DZ70" s="239"/>
      <c r="EA70" s="239"/>
      <c r="EB70" s="239"/>
      <c r="EC70" s="239"/>
      <c r="ED70" s="239"/>
      <c r="EE70" s="239"/>
      <c r="EF70" s="241"/>
      <c r="EG70" s="234"/>
      <c r="EH70" s="229"/>
      <c r="EI70" s="229"/>
      <c r="EJ70" s="229"/>
      <c r="EK70" s="229"/>
      <c r="EL70" s="229"/>
      <c r="EM70" s="229"/>
      <c r="EN70" s="229"/>
      <c r="EO70" s="229"/>
      <c r="EP70" s="229"/>
      <c r="EQ70" s="229"/>
      <c r="ER70" s="229"/>
      <c r="ES70" s="229"/>
      <c r="ET70" s="229"/>
      <c r="EU70" s="229"/>
      <c r="EV70" s="229"/>
      <c r="EW70" s="229"/>
      <c r="EX70" s="229"/>
      <c r="EY70" s="229"/>
      <c r="EZ70" s="229"/>
      <c r="FA70" s="229"/>
      <c r="FB70" s="229"/>
      <c r="FC70" s="229"/>
      <c r="FD70" s="229"/>
      <c r="FE70" s="229"/>
      <c r="FF70" s="229"/>
      <c r="FG70" s="229"/>
      <c r="FH70" s="229"/>
      <c r="FI70" s="229"/>
      <c r="FJ70" s="229"/>
      <c r="FK70" s="229"/>
      <c r="FL70" s="229"/>
      <c r="FM70" s="229"/>
      <c r="FN70" s="229"/>
      <c r="FO70" s="229"/>
      <c r="FP70" s="229"/>
      <c r="FQ70" s="229"/>
      <c r="FR70" s="229"/>
      <c r="FS70" s="229"/>
      <c r="FT70" s="229"/>
      <c r="FU70" s="229"/>
      <c r="FV70" s="229"/>
      <c r="FW70" s="229"/>
      <c r="FX70" s="229"/>
      <c r="FY70" s="229"/>
      <c r="FZ70" s="229"/>
      <c r="GA70" s="229"/>
      <c r="GB70" s="229"/>
      <c r="GC70" s="229"/>
      <c r="GD70" s="229"/>
      <c r="KC70" s="234"/>
      <c r="LJ70" s="229"/>
      <c r="LK70" s="229"/>
      <c r="LL70" s="229"/>
      <c r="LM70" s="229"/>
      <c r="LN70" s="229"/>
      <c r="LO70" s="229"/>
      <c r="LP70" s="229"/>
      <c r="LQ70" s="229"/>
      <c r="LR70" s="229"/>
      <c r="LS70" s="229"/>
      <c r="LT70" s="229"/>
      <c r="LU70" s="229"/>
      <c r="LV70" s="229"/>
      <c r="LW70" s="229"/>
      <c r="LX70" s="229"/>
      <c r="LY70" s="229"/>
      <c r="LZ70" s="229"/>
      <c r="MA70" s="229"/>
      <c r="MB70" s="229"/>
      <c r="MC70" s="229"/>
      <c r="MD70" s="229"/>
      <c r="ME70" s="229"/>
      <c r="MF70" s="229"/>
      <c r="MG70" s="229"/>
      <c r="MH70" s="229"/>
      <c r="MI70" s="229"/>
      <c r="MJ70" s="229"/>
      <c r="MK70" s="229"/>
      <c r="ML70" s="229"/>
      <c r="MU70" s="243"/>
      <c r="MV70" s="243"/>
      <c r="MW70" s="243"/>
      <c r="MX70" s="243"/>
      <c r="MY70" s="243"/>
      <c r="MZ70" s="243"/>
      <c r="NA70" s="243"/>
      <c r="NB70" s="243"/>
      <c r="NC70" s="243"/>
      <c r="ND70" s="243"/>
      <c r="NE70" s="243"/>
      <c r="NF70" s="243"/>
      <c r="NG70" s="243"/>
      <c r="NH70" s="243"/>
      <c r="NI70" s="243"/>
      <c r="NJ70" s="243"/>
      <c r="NK70" s="243"/>
      <c r="NL70" s="243"/>
      <c r="NM70" s="243"/>
      <c r="NN70" s="243"/>
      <c r="NO70" s="243"/>
      <c r="NP70" s="243"/>
      <c r="NQ70" s="243"/>
      <c r="NR70" s="243"/>
      <c r="NS70" s="243"/>
      <c r="NT70" s="243"/>
      <c r="NW70" s="381"/>
      <c r="NX70" s="381"/>
      <c r="NY70" s="381"/>
      <c r="NZ70" s="381"/>
      <c r="OA70" s="381"/>
      <c r="OB70" s="381"/>
      <c r="OC70" s="381"/>
      <c r="OD70" s="381"/>
      <c r="OE70" s="381"/>
      <c r="OF70" s="381"/>
      <c r="OG70" s="381"/>
      <c r="OH70" s="381"/>
      <c r="OI70" s="381"/>
      <c r="OJ70" s="381"/>
      <c r="OK70" s="381"/>
      <c r="OL70" s="381"/>
      <c r="OM70" s="381"/>
      <c r="ON70" s="381"/>
      <c r="OO70" s="381"/>
      <c r="OP70" s="381"/>
      <c r="OQ70" s="381"/>
      <c r="OR70" s="381"/>
      <c r="OS70" s="381"/>
      <c r="OT70" s="381"/>
      <c r="OU70" s="381"/>
      <c r="OV70" s="381"/>
      <c r="OW70" s="381"/>
      <c r="OX70" s="381"/>
      <c r="OY70" s="381"/>
      <c r="OZ70" s="381"/>
      <c r="PA70" s="381"/>
      <c r="PB70" s="381"/>
      <c r="PC70" s="381"/>
      <c r="PD70" s="381"/>
      <c r="PE70" s="381"/>
      <c r="PF70" s="381"/>
      <c r="PG70" s="381"/>
      <c r="PH70" s="381"/>
      <c r="PI70" s="381"/>
      <c r="PJ70" s="381"/>
      <c r="PK70" s="381"/>
      <c r="PL70" s="381"/>
      <c r="PM70" s="381"/>
      <c r="PN70" s="381"/>
      <c r="PO70" s="381"/>
      <c r="PP70" s="381"/>
      <c r="PQ70" s="381"/>
      <c r="QN70" s="228"/>
      <c r="QO70" s="228"/>
      <c r="QP70" s="228"/>
      <c r="QQ70" s="230"/>
      <c r="QR70" s="231"/>
    </row>
    <row r="71" spans="3:465" ht="5.0999999999999996" customHeight="1" thickBot="1" x14ac:dyDescent="0.3">
      <c r="C71" s="226"/>
      <c r="D71" s="227"/>
      <c r="E71" s="229"/>
      <c r="H71" s="229"/>
      <c r="I71" s="311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/>
      <c r="AR71" s="312"/>
      <c r="AS71" s="312"/>
      <c r="AT71" s="312"/>
      <c r="AU71" s="312"/>
      <c r="AV71" s="312"/>
      <c r="AW71" s="313"/>
      <c r="AX71" s="409"/>
      <c r="AY71" s="410"/>
      <c r="AZ71" s="410"/>
      <c r="BA71" s="410"/>
      <c r="BB71" s="411"/>
      <c r="BC71" s="229"/>
      <c r="BD71" s="229"/>
      <c r="BI71" s="229"/>
      <c r="BJ71" s="229"/>
      <c r="CC71" s="234"/>
      <c r="CD71" s="229"/>
      <c r="CE71" s="229"/>
      <c r="CF71" s="229"/>
      <c r="CG71" s="229"/>
      <c r="CH71" s="229"/>
      <c r="CI71" s="229"/>
      <c r="CJ71" s="229"/>
      <c r="CK71" s="229"/>
      <c r="CL71" s="229"/>
      <c r="CM71" s="229"/>
      <c r="CN71" s="229"/>
      <c r="CO71" s="229"/>
      <c r="CP71" s="229"/>
      <c r="CQ71" s="229"/>
      <c r="CR71" s="229"/>
      <c r="CS71" s="229"/>
      <c r="CT71" s="229"/>
      <c r="CU71" s="229"/>
      <c r="CV71" s="229"/>
      <c r="CW71" s="229"/>
      <c r="CX71" s="229"/>
      <c r="CY71" s="229"/>
      <c r="CZ71" s="229"/>
      <c r="DA71" s="229"/>
      <c r="DB71" s="229"/>
      <c r="DC71" s="229"/>
      <c r="DD71" s="229"/>
      <c r="DE71" s="229"/>
      <c r="DF71" s="229"/>
      <c r="DG71" s="229"/>
      <c r="DH71" s="229"/>
      <c r="DI71" s="229"/>
      <c r="DJ71" s="229"/>
      <c r="DK71" s="229"/>
      <c r="DL71" s="229"/>
      <c r="DM71" s="229"/>
      <c r="DN71" s="229"/>
      <c r="DO71" s="229"/>
      <c r="DP71" s="229"/>
      <c r="DQ71" s="229"/>
      <c r="DR71" s="229"/>
      <c r="DS71" s="229"/>
      <c r="DT71" s="229"/>
      <c r="DU71" s="229"/>
      <c r="DV71" s="229"/>
      <c r="DW71" s="229"/>
      <c r="DX71" s="229"/>
      <c r="DY71" s="229"/>
      <c r="DZ71" s="229"/>
      <c r="EA71" s="229"/>
      <c r="EB71" s="229"/>
      <c r="EC71" s="229"/>
      <c r="ED71" s="229"/>
      <c r="EE71" s="229"/>
      <c r="EF71" s="237"/>
      <c r="EG71" s="234"/>
      <c r="EH71" s="229"/>
      <c r="EI71" s="229"/>
      <c r="EJ71" s="229"/>
      <c r="EK71" s="229"/>
      <c r="EL71" s="229"/>
      <c r="EM71" s="229"/>
      <c r="EN71" s="229"/>
      <c r="EO71" s="229"/>
      <c r="EP71" s="229"/>
      <c r="EQ71" s="229"/>
      <c r="ER71" s="229"/>
      <c r="ES71" s="229"/>
      <c r="ET71" s="229"/>
      <c r="EU71" s="229"/>
      <c r="EV71" s="229"/>
      <c r="EW71" s="229"/>
      <c r="EX71" s="229"/>
      <c r="EY71" s="229"/>
      <c r="EZ71" s="229"/>
      <c r="FA71" s="229"/>
      <c r="FB71" s="229"/>
      <c r="FC71" s="229"/>
      <c r="FD71" s="229"/>
      <c r="FE71" s="229"/>
      <c r="FF71" s="229"/>
      <c r="FG71" s="229"/>
      <c r="FH71" s="229"/>
      <c r="FI71" s="229"/>
      <c r="FJ71" s="229"/>
      <c r="FK71" s="229"/>
      <c r="FL71" s="229"/>
      <c r="FM71" s="229"/>
      <c r="FN71" s="229"/>
      <c r="FO71" s="229"/>
      <c r="FP71" s="229"/>
      <c r="FQ71" s="229"/>
      <c r="FR71" s="229"/>
      <c r="FS71" s="229"/>
      <c r="FT71" s="229"/>
      <c r="FU71" s="229"/>
      <c r="FV71" s="229"/>
      <c r="FW71" s="229"/>
      <c r="FX71" s="229"/>
      <c r="FY71" s="229"/>
      <c r="FZ71" s="229"/>
      <c r="GA71" s="229"/>
      <c r="GB71" s="229"/>
      <c r="GC71" s="229"/>
      <c r="KC71" s="234"/>
      <c r="LJ71" s="229"/>
      <c r="LK71" s="229"/>
      <c r="LL71" s="229"/>
      <c r="LM71" s="229"/>
      <c r="LN71" s="229"/>
      <c r="LO71" s="229"/>
      <c r="LP71" s="229"/>
      <c r="LQ71" s="229"/>
      <c r="LR71" s="229"/>
      <c r="LS71" s="229"/>
      <c r="LT71" s="229"/>
      <c r="LU71" s="229"/>
      <c r="LV71" s="229"/>
      <c r="LW71" s="229"/>
      <c r="LX71" s="229"/>
      <c r="LY71" s="229"/>
      <c r="LZ71" s="229"/>
      <c r="MA71" s="229"/>
      <c r="MB71" s="229"/>
      <c r="MC71" s="229"/>
      <c r="MD71" s="229"/>
      <c r="ME71" s="229"/>
      <c r="MF71" s="229"/>
      <c r="MG71" s="229"/>
      <c r="MH71" s="229"/>
      <c r="MI71" s="229"/>
      <c r="MJ71" s="229"/>
      <c r="MK71" s="229"/>
      <c r="ML71" s="229"/>
      <c r="MM71" s="229"/>
      <c r="MN71" s="229"/>
      <c r="MO71" s="229"/>
      <c r="MP71" s="229"/>
      <c r="MQ71" s="229"/>
      <c r="MR71" s="229"/>
      <c r="MS71" s="229"/>
      <c r="MU71" s="243"/>
      <c r="MV71" s="243"/>
      <c r="MW71" s="243"/>
      <c r="MX71" s="243"/>
      <c r="MY71" s="243"/>
      <c r="MZ71" s="243"/>
      <c r="NA71" s="243"/>
      <c r="NB71" s="243"/>
      <c r="NC71" s="243"/>
      <c r="ND71" s="243"/>
      <c r="NE71" s="243"/>
      <c r="NF71" s="243"/>
      <c r="NG71" s="243"/>
      <c r="NH71" s="243"/>
      <c r="NI71" s="243"/>
      <c r="NJ71" s="243"/>
      <c r="NK71" s="243"/>
      <c r="NL71" s="243"/>
      <c r="NM71" s="243"/>
      <c r="NN71" s="243"/>
      <c r="NO71" s="243"/>
      <c r="NP71" s="243"/>
      <c r="NQ71" s="243"/>
      <c r="NR71" s="243"/>
      <c r="NS71" s="243"/>
      <c r="NT71" s="243"/>
      <c r="NW71" s="381"/>
      <c r="NX71" s="381"/>
      <c r="NY71" s="381"/>
      <c r="NZ71" s="381"/>
      <c r="OA71" s="381"/>
      <c r="OB71" s="381"/>
      <c r="OC71" s="381"/>
      <c r="OD71" s="381"/>
      <c r="OE71" s="381"/>
      <c r="OF71" s="381"/>
      <c r="OG71" s="381"/>
      <c r="OH71" s="381"/>
      <c r="OI71" s="381"/>
      <c r="OJ71" s="381"/>
      <c r="OK71" s="381"/>
      <c r="OL71" s="381"/>
      <c r="OM71" s="381"/>
      <c r="ON71" s="381"/>
      <c r="OO71" s="381"/>
      <c r="OP71" s="381"/>
      <c r="OQ71" s="381"/>
      <c r="OR71" s="381"/>
      <c r="OS71" s="381"/>
      <c r="OT71" s="381"/>
      <c r="OU71" s="381"/>
      <c r="OV71" s="381"/>
      <c r="OW71" s="381"/>
      <c r="OX71" s="381"/>
      <c r="OY71" s="381"/>
      <c r="OZ71" s="381"/>
      <c r="PA71" s="381"/>
      <c r="PB71" s="381"/>
      <c r="PC71" s="381"/>
      <c r="PD71" s="381"/>
      <c r="PE71" s="381"/>
      <c r="PF71" s="381"/>
      <c r="PG71" s="381"/>
      <c r="PH71" s="381"/>
      <c r="PI71" s="381"/>
      <c r="PJ71" s="381"/>
      <c r="PK71" s="381"/>
      <c r="PL71" s="381"/>
      <c r="PM71" s="381"/>
      <c r="PN71" s="381"/>
      <c r="PO71" s="381"/>
      <c r="PP71" s="381"/>
      <c r="PQ71" s="381"/>
      <c r="QP71" s="228"/>
      <c r="QQ71" s="230"/>
      <c r="QR71" s="231"/>
    </row>
    <row r="72" spans="3:465" ht="5.0999999999999996" customHeight="1" x14ac:dyDescent="0.25">
      <c r="C72" s="226"/>
      <c r="D72" s="227"/>
      <c r="E72" s="229"/>
      <c r="H72" s="229"/>
      <c r="I72" s="311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312"/>
      <c r="AJ72" s="312"/>
      <c r="AK72" s="312"/>
      <c r="AL72" s="312"/>
      <c r="AM72" s="312"/>
      <c r="AN72" s="312"/>
      <c r="AO72" s="312"/>
      <c r="AP72" s="312"/>
      <c r="AQ72" s="312"/>
      <c r="AR72" s="312"/>
      <c r="AS72" s="312"/>
      <c r="AT72" s="312"/>
      <c r="AU72" s="312"/>
      <c r="AV72" s="312"/>
      <c r="AW72" s="313"/>
      <c r="AX72" s="409"/>
      <c r="AY72" s="410"/>
      <c r="AZ72" s="410"/>
      <c r="BA72" s="410"/>
      <c r="BB72" s="411"/>
      <c r="BC72" s="229"/>
      <c r="BD72" s="229"/>
      <c r="BF72" s="317" t="s">
        <v>456</v>
      </c>
      <c r="BG72" s="318"/>
      <c r="BH72" s="318"/>
      <c r="BI72" s="318"/>
      <c r="BJ72" s="318"/>
      <c r="BK72" s="318"/>
      <c r="BL72" s="318"/>
      <c r="BM72" s="318"/>
      <c r="BN72" s="318"/>
      <c r="BO72" s="318"/>
      <c r="BP72" s="318"/>
      <c r="BQ72" s="318"/>
      <c r="BR72" s="318"/>
      <c r="BS72" s="318"/>
      <c r="BT72" s="318"/>
      <c r="BU72" s="318"/>
      <c r="BV72" s="318"/>
      <c r="BW72" s="318"/>
      <c r="BX72" s="318"/>
      <c r="BY72" s="318"/>
      <c r="BZ72" s="318"/>
      <c r="CA72" s="318"/>
      <c r="CB72" s="318"/>
      <c r="CC72" s="318"/>
      <c r="CD72" s="318"/>
      <c r="CE72" s="318"/>
      <c r="CF72" s="318"/>
      <c r="CG72" s="318"/>
      <c r="CH72" s="318"/>
      <c r="CI72" s="318"/>
      <c r="CJ72" s="318"/>
      <c r="CK72" s="318"/>
      <c r="CL72" s="318"/>
      <c r="CM72" s="318"/>
      <c r="CN72" s="318"/>
      <c r="CO72" s="318"/>
      <c r="CP72" s="318"/>
      <c r="CQ72" s="318"/>
      <c r="CR72" s="318"/>
      <c r="CS72" s="319"/>
      <c r="CT72" s="381">
        <v>2</v>
      </c>
      <c r="CU72" s="381"/>
      <c r="CV72" s="381"/>
      <c r="CW72" s="381"/>
      <c r="CX72" s="381"/>
      <c r="CY72" s="381"/>
      <c r="CZ72" s="229"/>
      <c r="DA72" s="229"/>
      <c r="DB72" s="229"/>
      <c r="DC72" s="229"/>
      <c r="DD72" s="229"/>
      <c r="DE72" s="229"/>
      <c r="DF72" s="229"/>
      <c r="DG72" s="229"/>
      <c r="DH72" s="229"/>
      <c r="DI72" s="229"/>
      <c r="DJ72" s="229"/>
      <c r="DK72" s="229"/>
      <c r="DL72" s="229"/>
      <c r="DM72" s="229"/>
      <c r="DN72" s="229"/>
      <c r="DO72" s="229"/>
      <c r="DP72" s="229"/>
      <c r="DQ72" s="229"/>
      <c r="DR72" s="229"/>
      <c r="DS72" s="229"/>
      <c r="DT72" s="229"/>
      <c r="DU72" s="229"/>
      <c r="DV72" s="229"/>
      <c r="DW72" s="229"/>
      <c r="DX72" s="229"/>
      <c r="DY72" s="229"/>
      <c r="DZ72" s="229"/>
      <c r="EA72" s="229"/>
      <c r="EB72" s="229"/>
      <c r="EC72" s="229"/>
      <c r="ED72" s="229"/>
      <c r="EE72" s="229"/>
      <c r="EF72" s="237"/>
      <c r="EG72" s="234"/>
      <c r="EH72" s="229"/>
      <c r="EI72" s="229"/>
      <c r="EJ72" s="229"/>
      <c r="EK72" s="229"/>
      <c r="EL72" s="229"/>
      <c r="EM72" s="229"/>
      <c r="EN72" s="229"/>
      <c r="EO72" s="229"/>
      <c r="EP72" s="229"/>
      <c r="EQ72" s="229"/>
      <c r="ER72" s="229"/>
      <c r="ES72" s="229"/>
      <c r="ET72" s="229"/>
      <c r="EU72" s="229"/>
      <c r="EV72" s="229"/>
      <c r="EW72" s="229"/>
      <c r="EX72" s="229"/>
      <c r="EY72" s="229"/>
      <c r="EZ72" s="229"/>
      <c r="FA72" s="229"/>
      <c r="FB72" s="229"/>
      <c r="FC72" s="229"/>
      <c r="FD72" s="229"/>
      <c r="FE72" s="229"/>
      <c r="FF72" s="229"/>
      <c r="FG72" s="229"/>
      <c r="FH72" s="229"/>
      <c r="FI72" s="229"/>
      <c r="FJ72" s="229"/>
      <c r="FK72" s="229"/>
      <c r="FL72" s="229"/>
      <c r="FM72" s="229"/>
      <c r="FN72" s="229"/>
      <c r="FO72" s="229"/>
      <c r="FP72" s="229"/>
      <c r="FQ72" s="229"/>
      <c r="FR72" s="229"/>
      <c r="FS72" s="229"/>
      <c r="FT72" s="229"/>
      <c r="FU72" s="229"/>
      <c r="FV72" s="229"/>
      <c r="FW72" s="229"/>
      <c r="FX72" s="229"/>
      <c r="FY72" s="229"/>
      <c r="FZ72" s="229"/>
      <c r="GA72" s="229"/>
      <c r="GB72" s="229"/>
      <c r="GC72" s="237"/>
      <c r="GD72" s="238"/>
      <c r="GE72" s="239"/>
      <c r="GF72" s="239"/>
      <c r="GG72" s="239"/>
      <c r="GH72" s="239"/>
      <c r="GI72" s="239"/>
      <c r="GJ72" s="239"/>
      <c r="GK72" s="239"/>
      <c r="GL72" s="239"/>
      <c r="GM72" s="239"/>
      <c r="GN72" s="239"/>
      <c r="GO72" s="239"/>
      <c r="GP72" s="239"/>
      <c r="GQ72" s="239"/>
      <c r="GR72" s="239"/>
      <c r="GS72" s="239"/>
      <c r="GT72" s="239"/>
      <c r="GU72" s="239"/>
      <c r="GV72" s="239"/>
      <c r="GW72" s="239"/>
      <c r="GX72" s="239"/>
      <c r="GY72" s="239"/>
      <c r="GZ72" s="239"/>
      <c r="HA72" s="239"/>
      <c r="HB72" s="239"/>
      <c r="HC72" s="239"/>
      <c r="HD72" s="239"/>
      <c r="HE72" s="239"/>
      <c r="HF72" s="239"/>
      <c r="HG72" s="239"/>
      <c r="HH72" s="239"/>
      <c r="HI72" s="239"/>
      <c r="HJ72" s="239"/>
      <c r="HK72" s="239"/>
      <c r="HL72" s="239"/>
      <c r="HM72" s="239"/>
      <c r="HN72" s="239"/>
      <c r="HO72" s="239"/>
      <c r="HP72" s="239"/>
      <c r="HQ72" s="239"/>
      <c r="HR72" s="239"/>
      <c r="HS72" s="239"/>
      <c r="HT72" s="239"/>
      <c r="HU72" s="239"/>
      <c r="HV72" s="239"/>
      <c r="HW72" s="239"/>
      <c r="HX72" s="239"/>
      <c r="HY72" s="239"/>
      <c r="HZ72" s="239"/>
      <c r="IA72" s="241"/>
      <c r="IB72" s="238"/>
      <c r="IC72" s="239"/>
      <c r="ID72" s="239"/>
      <c r="IE72" s="239"/>
      <c r="IF72" s="239"/>
      <c r="IG72" s="239"/>
      <c r="IH72" s="239"/>
      <c r="II72" s="239"/>
      <c r="IJ72" s="239"/>
      <c r="IK72" s="239"/>
      <c r="IL72" s="239"/>
      <c r="IM72" s="239"/>
      <c r="IN72" s="239"/>
      <c r="IO72" s="239"/>
      <c r="IP72" s="239"/>
      <c r="IQ72" s="239"/>
      <c r="IR72" s="239"/>
      <c r="IS72" s="239"/>
      <c r="IT72" s="239"/>
      <c r="IU72" s="239"/>
      <c r="IV72" s="239"/>
      <c r="IW72" s="239"/>
      <c r="IX72" s="239"/>
      <c r="IY72" s="239"/>
      <c r="IZ72" s="239"/>
      <c r="JA72" s="239"/>
      <c r="JB72" s="239"/>
      <c r="JC72" s="239"/>
      <c r="JD72" s="239"/>
      <c r="JE72" s="239"/>
      <c r="JF72" s="239"/>
      <c r="JG72" s="239"/>
      <c r="JH72" s="239"/>
      <c r="JI72" s="239"/>
      <c r="JJ72" s="239"/>
      <c r="JK72" s="239"/>
      <c r="JL72" s="239"/>
      <c r="JM72" s="239"/>
      <c r="JN72" s="239"/>
      <c r="JO72" s="239"/>
      <c r="JP72" s="239"/>
      <c r="JQ72" s="239"/>
      <c r="JR72" s="239"/>
      <c r="JS72" s="239"/>
      <c r="JT72" s="239"/>
      <c r="JU72" s="239"/>
      <c r="JV72" s="239"/>
      <c r="JW72" s="239"/>
      <c r="JX72" s="239"/>
      <c r="JY72" s="239"/>
      <c r="JZ72" s="239"/>
      <c r="KA72" s="239"/>
      <c r="KB72" s="239"/>
      <c r="KC72" s="238"/>
      <c r="KD72" s="239"/>
      <c r="KE72" s="239"/>
      <c r="KF72" s="239"/>
      <c r="KG72" s="239"/>
      <c r="KH72" s="239"/>
      <c r="KI72" s="239"/>
      <c r="KJ72" s="239"/>
      <c r="KK72" s="239"/>
      <c r="KL72" s="239"/>
      <c r="KM72" s="239"/>
      <c r="KN72" s="239"/>
      <c r="KO72" s="239"/>
      <c r="KP72" s="239"/>
      <c r="KQ72" s="239"/>
      <c r="KR72" s="239"/>
      <c r="KS72" s="239"/>
      <c r="KT72" s="239"/>
      <c r="KU72" s="239"/>
      <c r="KV72" s="239"/>
      <c r="KW72" s="239"/>
      <c r="KX72" s="239"/>
      <c r="KY72" s="239"/>
      <c r="KZ72" s="239"/>
      <c r="LA72" s="239"/>
      <c r="LB72" s="239"/>
      <c r="LC72" s="239"/>
      <c r="LD72" s="239"/>
      <c r="LE72" s="239"/>
      <c r="LF72" s="239"/>
      <c r="LG72" s="239"/>
      <c r="LH72" s="239"/>
      <c r="LI72" s="239"/>
      <c r="LJ72" s="239"/>
      <c r="LK72" s="239"/>
      <c r="LL72" s="239"/>
      <c r="LM72" s="239"/>
      <c r="LN72" s="239"/>
      <c r="LO72" s="239"/>
      <c r="LP72" s="239"/>
      <c r="LQ72" s="239"/>
      <c r="LR72" s="239"/>
      <c r="LS72" s="239"/>
      <c r="LT72" s="239"/>
      <c r="LU72" s="239"/>
      <c r="LV72" s="239"/>
      <c r="LW72" s="239"/>
      <c r="LX72" s="239"/>
      <c r="LY72" s="239"/>
      <c r="LZ72" s="239"/>
      <c r="MA72" s="239"/>
      <c r="MB72" s="239"/>
      <c r="MC72" s="239"/>
      <c r="MD72" s="239"/>
      <c r="ME72" s="239"/>
      <c r="MF72" s="239"/>
      <c r="MG72" s="239"/>
      <c r="MH72" s="241"/>
      <c r="MI72" s="229"/>
      <c r="MJ72" s="229"/>
      <c r="MK72" s="229"/>
      <c r="ML72" s="229"/>
      <c r="MM72" s="229"/>
      <c r="MN72" s="229"/>
      <c r="MO72" s="229"/>
      <c r="MP72" s="229"/>
      <c r="MQ72" s="229"/>
      <c r="MR72" s="229"/>
      <c r="MS72" s="229"/>
      <c r="MU72" s="243"/>
      <c r="MV72" s="243"/>
      <c r="MW72" s="243"/>
      <c r="MX72" s="243"/>
      <c r="MY72" s="243"/>
      <c r="MZ72" s="243"/>
      <c r="NA72" s="243"/>
      <c r="NB72" s="243"/>
      <c r="NC72" s="243"/>
      <c r="ND72" s="243"/>
      <c r="NE72" s="243"/>
      <c r="NF72" s="243"/>
      <c r="NG72" s="243"/>
      <c r="NH72" s="243"/>
      <c r="NI72" s="243"/>
      <c r="NJ72" s="243"/>
      <c r="NK72" s="243"/>
      <c r="NL72" s="243"/>
      <c r="NM72" s="243"/>
      <c r="NN72" s="243"/>
      <c r="NO72" s="243"/>
      <c r="NP72" s="243"/>
      <c r="NQ72" s="243"/>
      <c r="NR72" s="243"/>
      <c r="NS72" s="243"/>
      <c r="NT72" s="243"/>
      <c r="NW72" s="381"/>
      <c r="NX72" s="381"/>
      <c r="NY72" s="381"/>
      <c r="NZ72" s="381"/>
      <c r="OA72" s="381"/>
      <c r="OB72" s="381"/>
      <c r="OC72" s="381"/>
      <c r="OD72" s="381"/>
      <c r="OE72" s="381"/>
      <c r="OF72" s="381"/>
      <c r="OG72" s="381"/>
      <c r="OH72" s="381"/>
      <c r="OI72" s="381"/>
      <c r="OJ72" s="381"/>
      <c r="OK72" s="381"/>
      <c r="OL72" s="381"/>
      <c r="OM72" s="381"/>
      <c r="ON72" s="381"/>
      <c r="OO72" s="381"/>
      <c r="OP72" s="381"/>
      <c r="OQ72" s="381"/>
      <c r="OR72" s="381"/>
      <c r="OS72" s="381"/>
      <c r="OT72" s="381"/>
      <c r="OU72" s="381"/>
      <c r="OV72" s="381"/>
      <c r="OW72" s="381"/>
      <c r="OX72" s="381"/>
      <c r="OY72" s="381"/>
      <c r="OZ72" s="381"/>
      <c r="PA72" s="381"/>
      <c r="PB72" s="381"/>
      <c r="PC72" s="381"/>
      <c r="PD72" s="381"/>
      <c r="PE72" s="381"/>
      <c r="PF72" s="381"/>
      <c r="PG72" s="381"/>
      <c r="PH72" s="381"/>
      <c r="PI72" s="381"/>
      <c r="PJ72" s="381"/>
      <c r="PK72" s="381"/>
      <c r="PL72" s="381"/>
      <c r="PM72" s="381"/>
      <c r="PN72" s="381"/>
      <c r="PO72" s="381"/>
      <c r="PP72" s="381"/>
      <c r="PQ72" s="381"/>
      <c r="QP72" s="228"/>
      <c r="QQ72" s="230"/>
      <c r="QR72" s="231"/>
    </row>
    <row r="73" spans="3:465" ht="5.0999999999999996" customHeight="1" x14ac:dyDescent="0.25">
      <c r="C73" s="226"/>
      <c r="D73" s="227"/>
      <c r="E73" s="229"/>
      <c r="H73" s="229"/>
      <c r="I73" s="311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  <c r="AJ73" s="312"/>
      <c r="AK73" s="312"/>
      <c r="AL73" s="312"/>
      <c r="AM73" s="312"/>
      <c r="AN73" s="312"/>
      <c r="AO73" s="312"/>
      <c r="AP73" s="312"/>
      <c r="AQ73" s="312"/>
      <c r="AR73" s="312"/>
      <c r="AS73" s="312"/>
      <c r="AT73" s="312"/>
      <c r="AU73" s="312"/>
      <c r="AV73" s="312"/>
      <c r="AW73" s="313"/>
      <c r="AX73" s="409"/>
      <c r="AY73" s="410"/>
      <c r="AZ73" s="410"/>
      <c r="BA73" s="410"/>
      <c r="BB73" s="411"/>
      <c r="BC73" s="229"/>
      <c r="BD73" s="229"/>
      <c r="BF73" s="320"/>
      <c r="BG73" s="321"/>
      <c r="BH73" s="321"/>
      <c r="BI73" s="321"/>
      <c r="BJ73" s="321"/>
      <c r="BK73" s="321"/>
      <c r="BL73" s="321"/>
      <c r="BM73" s="321"/>
      <c r="BN73" s="321"/>
      <c r="BO73" s="321"/>
      <c r="BP73" s="321"/>
      <c r="BQ73" s="321"/>
      <c r="BR73" s="321"/>
      <c r="BS73" s="321"/>
      <c r="BT73" s="321"/>
      <c r="BU73" s="321"/>
      <c r="BV73" s="321"/>
      <c r="BW73" s="321"/>
      <c r="BX73" s="321"/>
      <c r="BY73" s="321"/>
      <c r="BZ73" s="321"/>
      <c r="CA73" s="321"/>
      <c r="CB73" s="321"/>
      <c r="CC73" s="321"/>
      <c r="CD73" s="321"/>
      <c r="CE73" s="321"/>
      <c r="CF73" s="321"/>
      <c r="CG73" s="321"/>
      <c r="CH73" s="321"/>
      <c r="CI73" s="321"/>
      <c r="CJ73" s="321"/>
      <c r="CK73" s="321"/>
      <c r="CL73" s="321"/>
      <c r="CM73" s="321"/>
      <c r="CN73" s="321"/>
      <c r="CO73" s="321"/>
      <c r="CP73" s="321"/>
      <c r="CQ73" s="321"/>
      <c r="CR73" s="321"/>
      <c r="CS73" s="322"/>
      <c r="CT73" s="381"/>
      <c r="CU73" s="381"/>
      <c r="CV73" s="381"/>
      <c r="CW73" s="381"/>
      <c r="CX73" s="381"/>
      <c r="CY73" s="381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  <c r="DQ73" s="229"/>
      <c r="DR73" s="229"/>
      <c r="DS73" s="229"/>
      <c r="DT73" s="229"/>
      <c r="DU73" s="229"/>
      <c r="DV73" s="229"/>
      <c r="DW73" s="229"/>
      <c r="DX73" s="229"/>
      <c r="DY73" s="229"/>
      <c r="DZ73" s="229"/>
      <c r="EA73" s="229"/>
      <c r="EB73" s="229"/>
      <c r="EC73" s="229"/>
      <c r="ED73" s="229"/>
      <c r="EE73" s="229"/>
      <c r="EF73" s="237"/>
      <c r="EG73" s="234"/>
      <c r="EH73" s="229"/>
      <c r="EI73" s="229"/>
      <c r="EJ73" s="229"/>
      <c r="EK73" s="229"/>
      <c r="EL73" s="229"/>
      <c r="EM73" s="229"/>
      <c r="EN73" s="229"/>
      <c r="EO73" s="229"/>
      <c r="EP73" s="229"/>
      <c r="EQ73" s="229"/>
      <c r="ER73" s="229"/>
      <c r="ES73" s="229"/>
      <c r="ET73" s="229"/>
      <c r="EU73" s="229"/>
      <c r="EV73" s="229"/>
      <c r="EW73" s="229"/>
      <c r="EX73" s="229"/>
      <c r="EY73" s="229"/>
      <c r="EZ73" s="229"/>
      <c r="FA73" s="229"/>
      <c r="FB73" s="229"/>
      <c r="FC73" s="229"/>
      <c r="FD73" s="229"/>
      <c r="FE73" s="229"/>
      <c r="FF73" s="229"/>
      <c r="FG73" s="229"/>
      <c r="FH73" s="229"/>
      <c r="FI73" s="229"/>
      <c r="FJ73" s="229"/>
      <c r="FK73" s="229"/>
      <c r="FL73" s="229"/>
      <c r="FM73" s="229"/>
      <c r="FN73" s="229"/>
      <c r="FO73" s="229"/>
      <c r="FP73" s="229"/>
      <c r="FQ73" s="229"/>
      <c r="FR73" s="229"/>
      <c r="FS73" s="229"/>
      <c r="FT73" s="229"/>
      <c r="FU73" s="229"/>
      <c r="FV73" s="229"/>
      <c r="FW73" s="229"/>
      <c r="FX73" s="229"/>
      <c r="FY73" s="229"/>
      <c r="FZ73" s="229"/>
      <c r="GA73" s="229"/>
      <c r="GB73" s="229"/>
      <c r="GC73" s="237"/>
      <c r="GD73" s="229"/>
      <c r="GE73" s="229"/>
      <c r="GF73" s="229"/>
      <c r="GG73" s="229"/>
      <c r="GH73" s="229"/>
      <c r="GI73" s="229"/>
      <c r="GJ73" s="229"/>
      <c r="GK73" s="229"/>
      <c r="GL73" s="229"/>
      <c r="GM73" s="229"/>
      <c r="GN73" s="229"/>
      <c r="GO73" s="229"/>
      <c r="GP73" s="229"/>
      <c r="GQ73" s="229"/>
      <c r="GR73" s="229"/>
      <c r="GS73" s="229"/>
      <c r="GT73" s="229"/>
      <c r="GU73" s="229"/>
      <c r="IB73" s="234"/>
      <c r="IC73" s="229"/>
      <c r="ID73" s="229"/>
      <c r="IE73" s="229"/>
      <c r="IF73" s="229"/>
      <c r="IG73" s="229"/>
      <c r="IH73" s="229"/>
      <c r="II73" s="229"/>
      <c r="IJ73" s="229"/>
      <c r="IK73" s="229"/>
      <c r="IL73" s="229"/>
      <c r="IM73" s="229"/>
      <c r="IN73" s="229"/>
      <c r="IO73" s="229"/>
      <c r="IP73" s="229"/>
      <c r="IQ73" s="229"/>
      <c r="IR73" s="229"/>
      <c r="IS73" s="229"/>
      <c r="IT73" s="229"/>
      <c r="IU73" s="229"/>
      <c r="IV73" s="229"/>
      <c r="IW73" s="229"/>
      <c r="IX73" s="229"/>
      <c r="IY73" s="229"/>
      <c r="IZ73" s="229"/>
      <c r="JA73" s="229"/>
      <c r="JB73" s="229"/>
      <c r="JC73" s="229"/>
      <c r="JD73" s="229"/>
      <c r="JE73" s="229"/>
      <c r="JF73" s="229"/>
      <c r="JG73" s="229"/>
      <c r="JH73" s="229"/>
      <c r="JI73" s="229"/>
      <c r="JJ73" s="229"/>
      <c r="JK73" s="229"/>
      <c r="JL73" s="229"/>
      <c r="JM73" s="229"/>
      <c r="JN73" s="229"/>
      <c r="JO73" s="229"/>
      <c r="JP73" s="229"/>
      <c r="JQ73" s="229"/>
      <c r="JR73" s="229"/>
      <c r="JS73" s="229"/>
      <c r="JT73" s="229"/>
      <c r="JU73" s="229"/>
      <c r="JV73" s="229"/>
      <c r="JW73" s="229"/>
      <c r="JX73" s="229"/>
      <c r="JY73" s="229"/>
      <c r="JZ73" s="229"/>
      <c r="KA73" s="229"/>
      <c r="KB73" s="229"/>
      <c r="KC73" s="234"/>
      <c r="KD73" s="229"/>
      <c r="KE73" s="229"/>
      <c r="KF73" s="229"/>
      <c r="KG73" s="229"/>
      <c r="KH73" s="229"/>
      <c r="KI73" s="229"/>
      <c r="KJ73" s="229"/>
      <c r="KK73" s="229"/>
      <c r="KL73" s="229"/>
      <c r="KM73" s="229"/>
      <c r="KN73" s="229"/>
      <c r="KO73" s="229"/>
      <c r="KP73" s="229"/>
      <c r="KQ73" s="229"/>
      <c r="KR73" s="229"/>
      <c r="KS73" s="229"/>
      <c r="KT73" s="229"/>
      <c r="KU73" s="229"/>
      <c r="KV73" s="229"/>
      <c r="KW73" s="229"/>
      <c r="KX73" s="229"/>
      <c r="KY73" s="229"/>
      <c r="KZ73" s="229"/>
      <c r="LA73" s="229"/>
      <c r="LB73" s="229"/>
      <c r="LC73" s="229"/>
      <c r="LD73" s="229"/>
      <c r="LE73" s="229"/>
      <c r="LF73" s="229"/>
      <c r="LG73" s="229"/>
      <c r="LH73" s="229"/>
      <c r="LI73" s="229"/>
      <c r="LJ73" s="229"/>
      <c r="LK73" s="229"/>
      <c r="LL73" s="229"/>
      <c r="LM73" s="229"/>
      <c r="LN73" s="229"/>
      <c r="LO73" s="229"/>
      <c r="LP73" s="229"/>
      <c r="LQ73" s="229"/>
      <c r="LR73" s="229"/>
      <c r="LS73" s="229"/>
      <c r="LT73" s="229"/>
      <c r="LU73" s="229"/>
      <c r="LV73" s="229"/>
      <c r="LW73" s="229"/>
      <c r="LX73" s="229"/>
      <c r="LY73" s="229"/>
      <c r="LZ73" s="229"/>
      <c r="MA73" s="229"/>
      <c r="MB73" s="229"/>
      <c r="MC73" s="229"/>
      <c r="MD73" s="229"/>
      <c r="ME73" s="229"/>
      <c r="MF73" s="229"/>
      <c r="MG73" s="229"/>
      <c r="MH73" s="237"/>
      <c r="MI73" s="229"/>
      <c r="MJ73" s="229"/>
      <c r="MK73" s="229"/>
      <c r="ML73" s="229"/>
      <c r="MM73" s="229"/>
      <c r="MN73" s="229"/>
      <c r="MO73" s="229"/>
      <c r="MP73" s="229"/>
      <c r="MQ73" s="229"/>
      <c r="MR73" s="229"/>
      <c r="MS73" s="229"/>
      <c r="MT73" s="229"/>
      <c r="MU73" s="229"/>
      <c r="MV73" s="229"/>
      <c r="MW73" s="229"/>
      <c r="MX73" s="256"/>
      <c r="MY73" s="256"/>
      <c r="MZ73" s="256"/>
      <c r="NA73" s="229"/>
      <c r="NB73" s="229"/>
      <c r="NC73" s="229"/>
      <c r="ND73" s="229"/>
      <c r="NE73" s="229"/>
      <c r="NF73" s="229"/>
      <c r="NG73" s="229"/>
      <c r="NH73" s="229"/>
      <c r="NI73" s="229"/>
      <c r="NW73" s="381"/>
      <c r="NX73" s="381"/>
      <c r="NY73" s="381"/>
      <c r="NZ73" s="381"/>
      <c r="OA73" s="381"/>
      <c r="OB73" s="381"/>
      <c r="OC73" s="381"/>
      <c r="OD73" s="381"/>
      <c r="OE73" s="381"/>
      <c r="OF73" s="381"/>
      <c r="OG73" s="381"/>
      <c r="OH73" s="381"/>
      <c r="OI73" s="381"/>
      <c r="OJ73" s="381"/>
      <c r="OK73" s="381"/>
      <c r="OL73" s="381"/>
      <c r="OM73" s="381"/>
      <c r="ON73" s="381"/>
      <c r="OO73" s="381"/>
      <c r="OP73" s="381"/>
      <c r="OQ73" s="381"/>
      <c r="OR73" s="381"/>
      <c r="OS73" s="381"/>
      <c r="OT73" s="381"/>
      <c r="OU73" s="381"/>
      <c r="OV73" s="381"/>
      <c r="OW73" s="381"/>
      <c r="OX73" s="381"/>
      <c r="OY73" s="381"/>
      <c r="OZ73" s="381"/>
      <c r="PA73" s="381"/>
      <c r="PB73" s="381"/>
      <c r="PC73" s="381"/>
      <c r="PD73" s="381"/>
      <c r="PE73" s="381"/>
      <c r="PF73" s="381"/>
      <c r="PG73" s="381"/>
      <c r="PH73" s="381"/>
      <c r="PI73" s="381"/>
      <c r="PJ73" s="381"/>
      <c r="PK73" s="381"/>
      <c r="PL73" s="381"/>
      <c r="PM73" s="381"/>
      <c r="PN73" s="381"/>
      <c r="PO73" s="381"/>
      <c r="PP73" s="381"/>
      <c r="PQ73" s="381"/>
      <c r="QQ73" s="230"/>
      <c r="QR73" s="231"/>
    </row>
    <row r="74" spans="3:465" ht="5.0999999999999996" customHeight="1" x14ac:dyDescent="0.25">
      <c r="C74" s="226"/>
      <c r="D74" s="227"/>
      <c r="E74" s="229"/>
      <c r="H74" s="229"/>
      <c r="I74" s="311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  <c r="AJ74" s="312"/>
      <c r="AK74" s="312"/>
      <c r="AL74" s="312"/>
      <c r="AM74" s="312"/>
      <c r="AN74" s="312"/>
      <c r="AO74" s="312"/>
      <c r="AP74" s="312"/>
      <c r="AQ74" s="312"/>
      <c r="AR74" s="312"/>
      <c r="AS74" s="312"/>
      <c r="AT74" s="312"/>
      <c r="AU74" s="312"/>
      <c r="AV74" s="312"/>
      <c r="AW74" s="313"/>
      <c r="AX74" s="409"/>
      <c r="AY74" s="410"/>
      <c r="AZ74" s="410"/>
      <c r="BA74" s="410"/>
      <c r="BB74" s="411"/>
      <c r="BC74" s="229"/>
      <c r="BD74" s="229"/>
      <c r="BF74" s="320"/>
      <c r="BG74" s="321"/>
      <c r="BH74" s="321"/>
      <c r="BI74" s="321"/>
      <c r="BJ74" s="321"/>
      <c r="BK74" s="321"/>
      <c r="BL74" s="321"/>
      <c r="BM74" s="321"/>
      <c r="BN74" s="321"/>
      <c r="BO74" s="321"/>
      <c r="BP74" s="321"/>
      <c r="BQ74" s="321"/>
      <c r="BR74" s="321"/>
      <c r="BS74" s="321"/>
      <c r="BT74" s="321"/>
      <c r="BU74" s="321"/>
      <c r="BV74" s="321"/>
      <c r="BW74" s="321"/>
      <c r="BX74" s="321"/>
      <c r="BY74" s="321"/>
      <c r="BZ74" s="321"/>
      <c r="CA74" s="321"/>
      <c r="CB74" s="321"/>
      <c r="CC74" s="321"/>
      <c r="CD74" s="321"/>
      <c r="CE74" s="321"/>
      <c r="CF74" s="321"/>
      <c r="CG74" s="321"/>
      <c r="CH74" s="321"/>
      <c r="CI74" s="321"/>
      <c r="CJ74" s="321"/>
      <c r="CK74" s="321"/>
      <c r="CL74" s="321"/>
      <c r="CM74" s="321"/>
      <c r="CN74" s="321"/>
      <c r="CO74" s="321"/>
      <c r="CP74" s="321"/>
      <c r="CQ74" s="321"/>
      <c r="CR74" s="321"/>
      <c r="CS74" s="322"/>
      <c r="CT74" s="381"/>
      <c r="CU74" s="381"/>
      <c r="CV74" s="381"/>
      <c r="CW74" s="381"/>
      <c r="CX74" s="381"/>
      <c r="CY74" s="381"/>
      <c r="CZ74" s="229"/>
      <c r="DA74" s="229"/>
      <c r="DB74" s="229"/>
      <c r="DC74" s="229"/>
      <c r="DD74" s="229"/>
      <c r="DE74" s="2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229"/>
      <c r="DT74" s="229"/>
      <c r="DU74" s="229"/>
      <c r="DV74" s="229"/>
      <c r="DW74" s="229"/>
      <c r="DX74" s="229"/>
      <c r="DY74" s="229"/>
      <c r="DZ74" s="229"/>
      <c r="EA74" s="229"/>
      <c r="EB74" s="229"/>
      <c r="EC74" s="229"/>
      <c r="ED74" s="229"/>
      <c r="EE74" s="229"/>
      <c r="EF74" s="229"/>
      <c r="EG74" s="234"/>
      <c r="EH74" s="229"/>
      <c r="EI74" s="229"/>
      <c r="EJ74" s="229"/>
      <c r="EK74" s="229"/>
      <c r="EL74" s="229"/>
      <c r="EM74" s="229"/>
      <c r="EN74" s="229"/>
      <c r="EO74" s="229"/>
      <c r="EP74" s="229"/>
      <c r="EQ74" s="229"/>
      <c r="ER74" s="229"/>
      <c r="ES74" s="229"/>
      <c r="ET74" s="229"/>
      <c r="EU74" s="229"/>
      <c r="EV74" s="229"/>
      <c r="EW74" s="229"/>
      <c r="EX74" s="229"/>
      <c r="EY74" s="229"/>
      <c r="EZ74" s="229"/>
      <c r="FA74" s="229"/>
      <c r="FB74" s="229"/>
      <c r="FC74" s="229"/>
      <c r="FD74" s="229"/>
      <c r="FE74" s="229"/>
      <c r="FF74" s="229"/>
      <c r="FG74" s="229"/>
      <c r="FH74" s="229"/>
      <c r="FI74" s="229"/>
      <c r="FJ74" s="229"/>
      <c r="FK74" s="229"/>
      <c r="FL74" s="229"/>
      <c r="FM74" s="229"/>
      <c r="FN74" s="229"/>
      <c r="FO74" s="229"/>
      <c r="FP74" s="229"/>
      <c r="FQ74" s="229"/>
      <c r="FR74" s="229"/>
      <c r="FS74" s="229"/>
      <c r="FT74" s="229"/>
      <c r="FU74" s="229"/>
      <c r="FV74" s="229"/>
      <c r="FW74" s="229"/>
      <c r="FX74" s="229"/>
      <c r="FY74" s="229"/>
      <c r="FZ74" s="229"/>
      <c r="GA74" s="229"/>
      <c r="GB74" s="229"/>
      <c r="GC74" s="237"/>
      <c r="GD74" s="229"/>
      <c r="GE74" s="229"/>
      <c r="GF74" s="229"/>
      <c r="GG74" s="229"/>
      <c r="GH74" s="229"/>
      <c r="GI74" s="229"/>
      <c r="GJ74" s="229"/>
      <c r="GK74" s="229"/>
      <c r="GL74" s="229"/>
      <c r="GM74" s="229"/>
      <c r="GN74" s="229"/>
      <c r="GO74" s="229"/>
      <c r="GP74" s="229"/>
      <c r="GQ74" s="229"/>
      <c r="GR74" s="229"/>
      <c r="GS74" s="229"/>
      <c r="GT74" s="229"/>
      <c r="GU74" s="229"/>
      <c r="IB74" s="234"/>
      <c r="IC74" s="229"/>
      <c r="ID74" s="229"/>
      <c r="IE74" s="229"/>
      <c r="IF74" s="229"/>
      <c r="IG74" s="229"/>
      <c r="IH74" s="229"/>
      <c r="II74" s="229"/>
      <c r="IJ74" s="229"/>
      <c r="IK74" s="229"/>
      <c r="IL74" s="229"/>
      <c r="IM74" s="229"/>
      <c r="IN74" s="229"/>
      <c r="IO74" s="229"/>
      <c r="IP74" s="229"/>
      <c r="IQ74" s="229"/>
      <c r="IR74" s="229"/>
      <c r="IS74" s="229"/>
      <c r="IT74" s="229"/>
      <c r="IU74" s="229"/>
      <c r="IV74" s="229"/>
      <c r="IW74" s="229"/>
      <c r="IX74" s="229"/>
      <c r="IY74" s="229"/>
      <c r="IZ74" s="229"/>
      <c r="JA74" s="229"/>
      <c r="JB74" s="229"/>
      <c r="JC74" s="229"/>
      <c r="JD74" s="229"/>
      <c r="JE74" s="229"/>
      <c r="JF74" s="229"/>
      <c r="JG74" s="229"/>
      <c r="JH74" s="229"/>
      <c r="JI74" s="229"/>
      <c r="JJ74" s="229"/>
      <c r="JK74" s="229"/>
      <c r="JL74" s="229"/>
      <c r="JM74" s="229"/>
      <c r="JN74" s="229"/>
      <c r="JO74" s="229"/>
      <c r="JP74" s="229"/>
      <c r="JQ74" s="229"/>
      <c r="JR74" s="229"/>
      <c r="JS74" s="229"/>
      <c r="JT74" s="229"/>
      <c r="JU74" s="229"/>
      <c r="JV74" s="229"/>
      <c r="JW74" s="229"/>
      <c r="JX74" s="229"/>
      <c r="JY74" s="229"/>
      <c r="JZ74" s="229"/>
      <c r="KA74" s="229"/>
      <c r="KB74" s="229"/>
      <c r="KC74" s="234"/>
      <c r="KD74" s="229"/>
      <c r="KE74" s="229"/>
      <c r="KF74" s="229"/>
      <c r="KG74" s="229"/>
      <c r="KH74" s="229"/>
      <c r="KI74" s="229"/>
      <c r="KJ74" s="229"/>
      <c r="KK74" s="229"/>
      <c r="KL74" s="229"/>
      <c r="KM74" s="229"/>
      <c r="KN74" s="229"/>
      <c r="KO74" s="229"/>
      <c r="KP74" s="229"/>
      <c r="KQ74" s="229"/>
      <c r="KR74" s="229"/>
      <c r="KS74" s="229"/>
      <c r="KT74" s="229"/>
      <c r="KU74" s="229"/>
      <c r="KV74" s="229"/>
      <c r="KW74" s="229"/>
      <c r="KX74" s="229"/>
      <c r="KY74" s="229"/>
      <c r="KZ74" s="229"/>
      <c r="LA74" s="229"/>
      <c r="LB74" s="229"/>
      <c r="LC74" s="229"/>
      <c r="LD74" s="229"/>
      <c r="LE74" s="229"/>
      <c r="LF74" s="229"/>
      <c r="LG74" s="229"/>
      <c r="LH74" s="229"/>
      <c r="LI74" s="229"/>
      <c r="LJ74" s="229"/>
      <c r="LK74" s="229"/>
      <c r="LL74" s="229"/>
      <c r="LM74" s="229"/>
      <c r="LN74" s="229"/>
      <c r="LO74" s="229"/>
      <c r="LP74" s="229"/>
      <c r="LQ74" s="229"/>
      <c r="LR74" s="229"/>
      <c r="LS74" s="229"/>
      <c r="LT74" s="229"/>
      <c r="LU74" s="229"/>
      <c r="LV74" s="229"/>
      <c r="LW74" s="229"/>
      <c r="LX74" s="229"/>
      <c r="LY74" s="229"/>
      <c r="LZ74" s="229"/>
      <c r="MA74" s="229"/>
      <c r="MB74" s="229"/>
      <c r="MC74" s="229"/>
      <c r="MD74" s="229"/>
      <c r="ME74" s="229"/>
      <c r="MF74" s="229"/>
      <c r="MG74" s="229"/>
      <c r="MH74" s="237"/>
      <c r="MI74" s="229"/>
      <c r="MJ74" s="229"/>
      <c r="MK74" s="229"/>
      <c r="ML74" s="229"/>
      <c r="MM74" s="229"/>
      <c r="MN74" s="229"/>
      <c r="MO74" s="229"/>
      <c r="MP74" s="229"/>
      <c r="MQ74" s="229"/>
      <c r="MR74" s="229"/>
      <c r="MS74" s="229"/>
      <c r="MT74" s="229"/>
      <c r="MU74" s="229"/>
      <c r="MV74" s="229"/>
      <c r="MW74" s="229"/>
      <c r="MX74" s="229"/>
      <c r="MY74" s="229"/>
      <c r="MZ74" s="229"/>
      <c r="NA74" s="229"/>
      <c r="NB74" s="229"/>
      <c r="NC74" s="229"/>
      <c r="ND74" s="229"/>
      <c r="NE74" s="229"/>
      <c r="NF74" s="229"/>
      <c r="NG74" s="229"/>
      <c r="NH74" s="229"/>
      <c r="NI74" s="229"/>
      <c r="NW74" s="381"/>
      <c r="NX74" s="381"/>
      <c r="NY74" s="381"/>
      <c r="NZ74" s="381"/>
      <c r="OA74" s="381"/>
      <c r="OB74" s="381"/>
      <c r="OC74" s="381"/>
      <c r="OD74" s="381"/>
      <c r="OE74" s="381"/>
      <c r="OF74" s="381"/>
      <c r="OG74" s="381"/>
      <c r="OH74" s="381"/>
      <c r="OI74" s="381"/>
      <c r="OJ74" s="381"/>
      <c r="OK74" s="381"/>
      <c r="OL74" s="381"/>
      <c r="OM74" s="381"/>
      <c r="ON74" s="381"/>
      <c r="OO74" s="381"/>
      <c r="OP74" s="381"/>
      <c r="OQ74" s="381"/>
      <c r="OR74" s="381"/>
      <c r="OS74" s="381"/>
      <c r="OT74" s="381"/>
      <c r="OU74" s="381"/>
      <c r="OV74" s="381"/>
      <c r="OW74" s="381"/>
      <c r="OX74" s="381"/>
      <c r="OY74" s="381"/>
      <c r="OZ74" s="381"/>
      <c r="PA74" s="381"/>
      <c r="PB74" s="381"/>
      <c r="PC74" s="381"/>
      <c r="PD74" s="381"/>
      <c r="PE74" s="381"/>
      <c r="PF74" s="381"/>
      <c r="PG74" s="381"/>
      <c r="PH74" s="381"/>
      <c r="PI74" s="381"/>
      <c r="PJ74" s="381"/>
      <c r="PK74" s="381"/>
      <c r="PL74" s="381"/>
      <c r="PM74" s="381"/>
      <c r="PN74" s="381"/>
      <c r="PO74" s="381"/>
      <c r="PP74" s="381"/>
      <c r="PQ74" s="381"/>
      <c r="QQ74" s="230"/>
      <c r="QR74" s="231"/>
    </row>
    <row r="75" spans="3:465" ht="5.0999999999999996" customHeight="1" x14ac:dyDescent="0.25">
      <c r="C75" s="226"/>
      <c r="D75" s="227"/>
      <c r="E75" s="229"/>
      <c r="H75" s="229"/>
      <c r="I75" s="311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3"/>
      <c r="AX75" s="409"/>
      <c r="AY75" s="410"/>
      <c r="AZ75" s="410"/>
      <c r="BA75" s="410"/>
      <c r="BB75" s="411"/>
      <c r="BC75" s="229"/>
      <c r="BD75" s="229"/>
      <c r="BF75" s="320"/>
      <c r="BG75" s="321"/>
      <c r="BH75" s="321"/>
      <c r="BI75" s="321"/>
      <c r="BJ75" s="321"/>
      <c r="BK75" s="321"/>
      <c r="BL75" s="321"/>
      <c r="BM75" s="321"/>
      <c r="BN75" s="321"/>
      <c r="BO75" s="321"/>
      <c r="BP75" s="321"/>
      <c r="BQ75" s="321"/>
      <c r="BR75" s="321"/>
      <c r="BS75" s="321"/>
      <c r="BT75" s="321"/>
      <c r="BU75" s="321"/>
      <c r="BV75" s="321"/>
      <c r="BW75" s="321"/>
      <c r="BX75" s="321"/>
      <c r="BY75" s="321"/>
      <c r="BZ75" s="321"/>
      <c r="CA75" s="321"/>
      <c r="CB75" s="321"/>
      <c r="CC75" s="321"/>
      <c r="CD75" s="321"/>
      <c r="CE75" s="321"/>
      <c r="CF75" s="321"/>
      <c r="CG75" s="321"/>
      <c r="CH75" s="321"/>
      <c r="CI75" s="321"/>
      <c r="CJ75" s="321"/>
      <c r="CK75" s="321"/>
      <c r="CL75" s="321"/>
      <c r="CM75" s="321"/>
      <c r="CN75" s="321"/>
      <c r="CO75" s="321"/>
      <c r="CP75" s="321"/>
      <c r="CQ75" s="321"/>
      <c r="CR75" s="321"/>
      <c r="CS75" s="322"/>
      <c r="CT75" s="381"/>
      <c r="CU75" s="381"/>
      <c r="CV75" s="381"/>
      <c r="CW75" s="381"/>
      <c r="CX75" s="381"/>
      <c r="CY75" s="381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U75" s="229"/>
      <c r="DV75" s="229"/>
      <c r="DW75" s="229"/>
      <c r="DX75" s="229"/>
      <c r="DY75" s="229"/>
      <c r="DZ75" s="229"/>
      <c r="EA75" s="229"/>
      <c r="EB75" s="229"/>
      <c r="EC75" s="229"/>
      <c r="ED75" s="229"/>
      <c r="EE75" s="229"/>
      <c r="EF75" s="229"/>
      <c r="EG75" s="234"/>
      <c r="EH75" s="229"/>
      <c r="EI75" s="229"/>
      <c r="EJ75" s="229"/>
      <c r="EK75" s="229"/>
      <c r="EL75" s="229"/>
      <c r="EM75" s="229"/>
      <c r="EN75" s="229"/>
      <c r="EO75" s="229"/>
      <c r="EP75" s="229"/>
      <c r="EQ75" s="229"/>
      <c r="ER75" s="229"/>
      <c r="ES75" s="229"/>
      <c r="ET75" s="229"/>
      <c r="EU75" s="229"/>
      <c r="EV75" s="229"/>
      <c r="EW75" s="229"/>
      <c r="EX75" s="229"/>
      <c r="EY75" s="229"/>
      <c r="EZ75" s="229"/>
      <c r="FA75" s="229"/>
      <c r="FB75" s="229"/>
      <c r="FC75" s="229"/>
      <c r="FD75" s="229"/>
      <c r="FE75" s="229"/>
      <c r="FF75" s="229"/>
      <c r="FG75" s="229"/>
      <c r="FH75" s="229"/>
      <c r="FI75" s="229"/>
      <c r="FJ75" s="229"/>
      <c r="FK75" s="229"/>
      <c r="FL75" s="229"/>
      <c r="FM75" s="229"/>
      <c r="FN75" s="229"/>
      <c r="FO75" s="229"/>
      <c r="FP75" s="229"/>
      <c r="FQ75" s="229"/>
      <c r="FR75" s="229"/>
      <c r="FS75" s="229"/>
      <c r="FT75" s="229"/>
      <c r="FU75" s="229"/>
      <c r="FV75" s="229"/>
      <c r="FW75" s="229"/>
      <c r="FX75" s="229"/>
      <c r="FY75" s="229"/>
      <c r="FZ75" s="229"/>
      <c r="GA75" s="229"/>
      <c r="GB75" s="229"/>
      <c r="GC75" s="237"/>
      <c r="GD75" s="229"/>
      <c r="GE75" s="229"/>
      <c r="GF75" s="229"/>
      <c r="GG75" s="229"/>
      <c r="GH75" s="229"/>
      <c r="GI75" s="229"/>
      <c r="GJ75" s="229"/>
      <c r="GK75" s="229"/>
      <c r="GL75" s="229"/>
      <c r="GM75" s="229"/>
      <c r="GN75" s="229"/>
      <c r="GO75" s="229"/>
      <c r="GP75" s="229"/>
      <c r="GQ75" s="229"/>
      <c r="GR75" s="229"/>
      <c r="GS75" s="229"/>
      <c r="GT75" s="229"/>
      <c r="GU75" s="229"/>
      <c r="IB75" s="234"/>
      <c r="IC75" s="229"/>
      <c r="KC75" s="234"/>
      <c r="KZ75" s="229"/>
      <c r="LA75" s="229"/>
      <c r="LB75" s="229"/>
      <c r="LC75" s="229"/>
      <c r="LD75" s="229"/>
      <c r="LE75" s="229"/>
      <c r="LF75" s="229"/>
      <c r="LG75" s="229"/>
      <c r="LJ75" s="229"/>
      <c r="LK75" s="229"/>
      <c r="LL75" s="229"/>
      <c r="MH75" s="237"/>
      <c r="NF75" s="229"/>
      <c r="NG75" s="229"/>
      <c r="NH75" s="229"/>
      <c r="NI75" s="229"/>
      <c r="NW75" s="381"/>
      <c r="NX75" s="381"/>
      <c r="NY75" s="381"/>
      <c r="NZ75" s="381"/>
      <c r="OA75" s="381"/>
      <c r="OB75" s="381"/>
      <c r="OC75" s="381"/>
      <c r="OD75" s="381"/>
      <c r="OE75" s="381"/>
      <c r="OF75" s="381"/>
      <c r="OG75" s="381"/>
      <c r="OH75" s="381"/>
      <c r="OI75" s="381"/>
      <c r="OJ75" s="381"/>
      <c r="OK75" s="381"/>
      <c r="OL75" s="381"/>
      <c r="OM75" s="381"/>
      <c r="ON75" s="381"/>
      <c r="OO75" s="381"/>
      <c r="OP75" s="381"/>
      <c r="OQ75" s="381"/>
      <c r="OR75" s="381"/>
      <c r="OS75" s="381"/>
      <c r="OT75" s="381"/>
      <c r="OU75" s="381"/>
      <c r="OV75" s="381"/>
      <c r="OW75" s="381"/>
      <c r="OX75" s="381"/>
      <c r="OY75" s="381"/>
      <c r="OZ75" s="381"/>
      <c r="PA75" s="381"/>
      <c r="PB75" s="381"/>
      <c r="PC75" s="381"/>
      <c r="PD75" s="381"/>
      <c r="PE75" s="381"/>
      <c r="PF75" s="381"/>
      <c r="PG75" s="381"/>
      <c r="PH75" s="381"/>
      <c r="PI75" s="381"/>
      <c r="PJ75" s="381"/>
      <c r="PK75" s="381"/>
      <c r="PL75" s="381"/>
      <c r="PM75" s="381"/>
      <c r="PN75" s="381"/>
      <c r="PO75" s="381"/>
      <c r="PP75" s="381"/>
      <c r="PQ75" s="381"/>
      <c r="QQ75" s="230"/>
      <c r="QR75" s="231"/>
    </row>
    <row r="76" spans="3:465" ht="5.0999999999999996" customHeight="1" x14ac:dyDescent="0.25">
      <c r="C76" s="226"/>
      <c r="D76" s="227"/>
      <c r="E76" s="229"/>
      <c r="H76" s="229"/>
      <c r="I76" s="311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2"/>
      <c r="AR76" s="312"/>
      <c r="AS76" s="312"/>
      <c r="AT76" s="312"/>
      <c r="AU76" s="312"/>
      <c r="AV76" s="312"/>
      <c r="AW76" s="313"/>
      <c r="AX76" s="409"/>
      <c r="AY76" s="410"/>
      <c r="AZ76" s="410"/>
      <c r="BA76" s="410"/>
      <c r="BB76" s="411"/>
      <c r="BC76" s="229"/>
      <c r="BD76" s="229"/>
      <c r="BF76" s="320"/>
      <c r="BG76" s="321"/>
      <c r="BH76" s="321"/>
      <c r="BI76" s="321"/>
      <c r="BJ76" s="321"/>
      <c r="BK76" s="321"/>
      <c r="BL76" s="321"/>
      <c r="BM76" s="321"/>
      <c r="BN76" s="321"/>
      <c r="BO76" s="321"/>
      <c r="BP76" s="321"/>
      <c r="BQ76" s="321"/>
      <c r="BR76" s="321"/>
      <c r="BS76" s="321"/>
      <c r="BT76" s="321"/>
      <c r="BU76" s="321"/>
      <c r="BV76" s="321"/>
      <c r="BW76" s="321"/>
      <c r="BX76" s="321"/>
      <c r="BY76" s="321"/>
      <c r="BZ76" s="321"/>
      <c r="CA76" s="321"/>
      <c r="CB76" s="321"/>
      <c r="CC76" s="321"/>
      <c r="CD76" s="321"/>
      <c r="CE76" s="321"/>
      <c r="CF76" s="321"/>
      <c r="CG76" s="321"/>
      <c r="CH76" s="321"/>
      <c r="CI76" s="321"/>
      <c r="CJ76" s="321"/>
      <c r="CK76" s="321"/>
      <c r="CL76" s="321"/>
      <c r="CM76" s="321"/>
      <c r="CN76" s="321"/>
      <c r="CO76" s="321"/>
      <c r="CP76" s="321"/>
      <c r="CQ76" s="321"/>
      <c r="CR76" s="321"/>
      <c r="CS76" s="322"/>
      <c r="CT76" s="381"/>
      <c r="CU76" s="381"/>
      <c r="CV76" s="381"/>
      <c r="CW76" s="381"/>
      <c r="CX76" s="381"/>
      <c r="CY76" s="381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DU76" s="229"/>
      <c r="DV76" s="229"/>
      <c r="DW76" s="229"/>
      <c r="DX76" s="229"/>
      <c r="DY76" s="229"/>
      <c r="DZ76" s="229"/>
      <c r="EA76" s="229"/>
      <c r="EB76" s="229"/>
      <c r="EC76" s="229"/>
      <c r="ED76" s="229"/>
      <c r="EE76" s="229"/>
      <c r="EF76" s="229"/>
      <c r="EG76" s="234"/>
      <c r="EH76" s="229"/>
      <c r="EI76" s="229"/>
      <c r="EJ76" s="229"/>
      <c r="EK76" s="229"/>
      <c r="EL76" s="229"/>
      <c r="EM76" s="229"/>
      <c r="EN76" s="229"/>
      <c r="EO76" s="229"/>
      <c r="EP76" s="229"/>
      <c r="EQ76" s="229"/>
      <c r="ER76" s="229"/>
      <c r="ES76" s="229"/>
      <c r="ET76" s="229"/>
      <c r="EU76" s="229"/>
      <c r="EV76" s="229"/>
      <c r="EW76" s="229"/>
      <c r="EX76" s="229"/>
      <c r="EY76" s="229"/>
      <c r="EZ76" s="229"/>
      <c r="FA76" s="229"/>
      <c r="FB76" s="229"/>
      <c r="FC76" s="229"/>
      <c r="FD76" s="229"/>
      <c r="FE76" s="229"/>
      <c r="FF76" s="229"/>
      <c r="FG76" s="229"/>
      <c r="FH76" s="229"/>
      <c r="FI76" s="229"/>
      <c r="FJ76" s="229"/>
      <c r="FK76" s="229"/>
      <c r="FL76" s="229"/>
      <c r="FM76" s="229"/>
      <c r="FN76" s="229"/>
      <c r="FO76" s="229"/>
      <c r="FP76" s="229"/>
      <c r="FQ76" s="229"/>
      <c r="FR76" s="229"/>
      <c r="FS76" s="229"/>
      <c r="FT76" s="229"/>
      <c r="FU76" s="229"/>
      <c r="FV76" s="229"/>
      <c r="FW76" s="229"/>
      <c r="FX76" s="229"/>
      <c r="FY76" s="229"/>
      <c r="FZ76" s="229"/>
      <c r="GA76" s="229"/>
      <c r="GB76" s="229"/>
      <c r="GC76" s="237"/>
      <c r="GD76" s="229"/>
      <c r="GE76" s="229"/>
      <c r="GF76" s="229"/>
      <c r="GG76" s="229"/>
      <c r="GH76" s="229"/>
      <c r="GI76" s="229"/>
      <c r="GJ76" s="229"/>
      <c r="GK76" s="229"/>
      <c r="GL76" s="229"/>
      <c r="GM76" s="229"/>
      <c r="GN76" s="229"/>
      <c r="GO76" s="229"/>
      <c r="GP76" s="229"/>
      <c r="GQ76" s="229"/>
      <c r="GR76" s="229"/>
      <c r="GS76" s="229"/>
      <c r="GT76" s="229"/>
      <c r="GU76" s="229"/>
      <c r="IB76" s="234"/>
      <c r="IC76" s="229"/>
      <c r="KC76" s="234"/>
      <c r="LA76" s="229"/>
      <c r="LB76" s="229"/>
      <c r="LC76" s="229"/>
      <c r="LD76" s="229"/>
      <c r="LE76" s="229"/>
      <c r="LF76" s="229"/>
      <c r="LG76" s="229"/>
      <c r="MH76" s="237"/>
      <c r="NF76" s="229"/>
      <c r="NG76" s="229"/>
      <c r="NH76" s="229"/>
      <c r="NI76" s="229"/>
      <c r="NW76" s="381"/>
      <c r="NX76" s="381"/>
      <c r="NY76" s="381"/>
      <c r="NZ76" s="381"/>
      <c r="OA76" s="381"/>
      <c r="OB76" s="381"/>
      <c r="OC76" s="381"/>
      <c r="OD76" s="381"/>
      <c r="OE76" s="381"/>
      <c r="OF76" s="381"/>
      <c r="OG76" s="381"/>
      <c r="OH76" s="381"/>
      <c r="OI76" s="381"/>
      <c r="OJ76" s="381"/>
      <c r="OK76" s="381"/>
      <c r="OL76" s="381"/>
      <c r="OM76" s="381"/>
      <c r="ON76" s="381"/>
      <c r="OO76" s="381"/>
      <c r="OP76" s="381"/>
      <c r="OQ76" s="381"/>
      <c r="OR76" s="381"/>
      <c r="OS76" s="381"/>
      <c r="OT76" s="381"/>
      <c r="OU76" s="381"/>
      <c r="OV76" s="381"/>
      <c r="OW76" s="381"/>
      <c r="OX76" s="381"/>
      <c r="OY76" s="381"/>
      <c r="OZ76" s="381"/>
      <c r="PA76" s="381"/>
      <c r="PB76" s="381"/>
      <c r="PC76" s="381"/>
      <c r="PD76" s="381"/>
      <c r="PE76" s="381"/>
      <c r="PF76" s="381"/>
      <c r="PG76" s="381"/>
      <c r="PH76" s="381"/>
      <c r="PI76" s="381"/>
      <c r="PJ76" s="381"/>
      <c r="PK76" s="381"/>
      <c r="PL76" s="381"/>
      <c r="PM76" s="381"/>
      <c r="PN76" s="381"/>
      <c r="PO76" s="381"/>
      <c r="PP76" s="381"/>
      <c r="PQ76" s="381"/>
      <c r="QO76" s="229"/>
      <c r="QP76" s="229"/>
      <c r="QQ76" s="230"/>
      <c r="QR76" s="231"/>
    </row>
    <row r="77" spans="3:465" ht="5.0999999999999996" customHeight="1" x14ac:dyDescent="0.25">
      <c r="C77" s="226"/>
      <c r="D77" s="227"/>
      <c r="E77" s="229"/>
      <c r="H77" s="229"/>
      <c r="I77" s="311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  <c r="AV77" s="312"/>
      <c r="AW77" s="313"/>
      <c r="AX77" s="409"/>
      <c r="AY77" s="410"/>
      <c r="AZ77" s="410"/>
      <c r="BA77" s="410"/>
      <c r="BB77" s="411"/>
      <c r="BC77" s="229"/>
      <c r="BD77" s="229"/>
      <c r="BF77" s="320"/>
      <c r="BG77" s="321"/>
      <c r="BH77" s="321"/>
      <c r="BI77" s="321"/>
      <c r="BJ77" s="321"/>
      <c r="BK77" s="321"/>
      <c r="BL77" s="321"/>
      <c r="BM77" s="321"/>
      <c r="BN77" s="321"/>
      <c r="BO77" s="321"/>
      <c r="BP77" s="321"/>
      <c r="BQ77" s="321"/>
      <c r="BR77" s="321"/>
      <c r="BS77" s="321"/>
      <c r="BT77" s="321"/>
      <c r="BU77" s="321"/>
      <c r="BV77" s="321"/>
      <c r="BW77" s="321"/>
      <c r="BX77" s="321"/>
      <c r="BY77" s="321"/>
      <c r="BZ77" s="321"/>
      <c r="CA77" s="321"/>
      <c r="CB77" s="321"/>
      <c r="CC77" s="321"/>
      <c r="CD77" s="321"/>
      <c r="CE77" s="321"/>
      <c r="CF77" s="321"/>
      <c r="CG77" s="321"/>
      <c r="CH77" s="321"/>
      <c r="CI77" s="321"/>
      <c r="CJ77" s="321"/>
      <c r="CK77" s="321"/>
      <c r="CL77" s="321"/>
      <c r="CM77" s="321"/>
      <c r="CN77" s="321"/>
      <c r="CO77" s="321"/>
      <c r="CP77" s="321"/>
      <c r="CQ77" s="321"/>
      <c r="CR77" s="321"/>
      <c r="CS77" s="322"/>
      <c r="CT77" s="381"/>
      <c r="CU77" s="381"/>
      <c r="CV77" s="381"/>
      <c r="CW77" s="381"/>
      <c r="CX77" s="381"/>
      <c r="CY77" s="381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  <c r="DX77" s="229"/>
      <c r="DY77" s="229"/>
      <c r="DZ77" s="229"/>
      <c r="EA77" s="229"/>
      <c r="EB77" s="229"/>
      <c r="EC77" s="229"/>
      <c r="ED77" s="229"/>
      <c r="EE77" s="229"/>
      <c r="EF77" s="229"/>
      <c r="EG77" s="234"/>
      <c r="EH77" s="229"/>
      <c r="EI77" s="229"/>
      <c r="EJ77" s="229"/>
      <c r="EK77" s="229"/>
      <c r="EL77" s="229"/>
      <c r="EM77" s="229"/>
      <c r="EN77" s="229"/>
      <c r="EO77" s="229"/>
      <c r="EP77" s="229"/>
      <c r="EQ77" s="229"/>
      <c r="ER77" s="229"/>
      <c r="ES77" s="229"/>
      <c r="ET77" s="229"/>
      <c r="EU77" s="229"/>
      <c r="EV77" s="229"/>
      <c r="EW77" s="229"/>
      <c r="EX77" s="229"/>
      <c r="EY77" s="229"/>
      <c r="EZ77" s="229"/>
      <c r="FA77" s="229"/>
      <c r="FB77" s="229"/>
      <c r="FC77" s="229"/>
      <c r="FD77" s="229"/>
      <c r="FE77" s="229"/>
      <c r="FF77" s="229"/>
      <c r="FG77" s="229"/>
      <c r="FH77" s="229"/>
      <c r="FI77" s="229"/>
      <c r="FJ77" s="229"/>
      <c r="FK77" s="229"/>
      <c r="FL77" s="229"/>
      <c r="FM77" s="229"/>
      <c r="FN77" s="229"/>
      <c r="FO77" s="229"/>
      <c r="FP77" s="229"/>
      <c r="FQ77" s="229"/>
      <c r="FR77" s="229"/>
      <c r="FS77" s="229"/>
      <c r="FT77" s="229"/>
      <c r="FU77" s="229"/>
      <c r="FV77" s="229"/>
      <c r="FW77" s="229"/>
      <c r="FX77" s="229"/>
      <c r="FY77" s="229"/>
      <c r="FZ77" s="229"/>
      <c r="GA77" s="229"/>
      <c r="GB77" s="229"/>
      <c r="GC77" s="237"/>
      <c r="GD77" s="229"/>
      <c r="GE77" s="229"/>
      <c r="GF77" s="229"/>
      <c r="GG77" s="229"/>
      <c r="GH77" s="229"/>
      <c r="GI77" s="229"/>
      <c r="GJ77" s="229"/>
      <c r="GK77" s="229"/>
      <c r="GL77" s="229"/>
      <c r="GM77" s="229"/>
      <c r="GN77" s="229"/>
      <c r="GO77" s="229"/>
      <c r="GP77" s="229"/>
      <c r="GQ77" s="229"/>
      <c r="GR77" s="229"/>
      <c r="GS77" s="229"/>
      <c r="GT77" s="229"/>
      <c r="GU77" s="229"/>
      <c r="IB77" s="234"/>
      <c r="IC77" s="229"/>
      <c r="KC77" s="234"/>
      <c r="LA77" s="229"/>
      <c r="LB77" s="229"/>
      <c r="LC77" s="229"/>
      <c r="LD77" s="229"/>
      <c r="LE77" s="229"/>
      <c r="LF77" s="229"/>
      <c r="LG77" s="229"/>
      <c r="MH77" s="237"/>
      <c r="NF77" s="229"/>
      <c r="NG77" s="229"/>
      <c r="NH77" s="229"/>
      <c r="NI77" s="229"/>
      <c r="QQ77" s="230"/>
      <c r="QR77" s="231"/>
    </row>
    <row r="78" spans="3:465" ht="5.0999999999999996" customHeight="1" x14ac:dyDescent="0.25">
      <c r="C78" s="226"/>
      <c r="D78" s="227"/>
      <c r="E78" s="229"/>
      <c r="H78" s="229"/>
      <c r="I78" s="314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6"/>
      <c r="AX78" s="412"/>
      <c r="AY78" s="413"/>
      <c r="AZ78" s="413"/>
      <c r="BA78" s="413"/>
      <c r="BB78" s="414"/>
      <c r="BC78" s="229"/>
      <c r="BD78" s="229"/>
      <c r="BF78" s="320"/>
      <c r="BG78" s="321"/>
      <c r="BH78" s="321"/>
      <c r="BI78" s="321"/>
      <c r="BJ78" s="321"/>
      <c r="BK78" s="321"/>
      <c r="BL78" s="321"/>
      <c r="BM78" s="321"/>
      <c r="BN78" s="321"/>
      <c r="BO78" s="321"/>
      <c r="BP78" s="321"/>
      <c r="BQ78" s="321"/>
      <c r="BR78" s="321"/>
      <c r="BS78" s="321"/>
      <c r="BT78" s="321"/>
      <c r="BU78" s="321"/>
      <c r="BV78" s="321"/>
      <c r="BW78" s="321"/>
      <c r="BX78" s="321"/>
      <c r="BY78" s="321"/>
      <c r="BZ78" s="321"/>
      <c r="CA78" s="321"/>
      <c r="CB78" s="321"/>
      <c r="CC78" s="321"/>
      <c r="CD78" s="321"/>
      <c r="CE78" s="321"/>
      <c r="CF78" s="321"/>
      <c r="CG78" s="321"/>
      <c r="CH78" s="321"/>
      <c r="CI78" s="321"/>
      <c r="CJ78" s="321"/>
      <c r="CK78" s="321"/>
      <c r="CL78" s="321"/>
      <c r="CM78" s="321"/>
      <c r="CN78" s="321"/>
      <c r="CO78" s="321"/>
      <c r="CP78" s="321"/>
      <c r="CQ78" s="321"/>
      <c r="CR78" s="321"/>
      <c r="CS78" s="322"/>
      <c r="CT78" s="381"/>
      <c r="CU78" s="381"/>
      <c r="CV78" s="381"/>
      <c r="CW78" s="381"/>
      <c r="CX78" s="381"/>
      <c r="CY78" s="381"/>
      <c r="CZ78" s="229"/>
      <c r="DA78" s="229"/>
      <c r="DB78" s="229"/>
      <c r="DC78" s="229"/>
      <c r="DD78" s="229"/>
      <c r="DE78" s="229"/>
      <c r="DF78" s="229"/>
      <c r="DG78" s="229"/>
      <c r="DH78" s="229"/>
      <c r="DI78" s="229"/>
      <c r="DJ78" s="229"/>
      <c r="DK78" s="229"/>
      <c r="DL78" s="229"/>
      <c r="DM78" s="229"/>
      <c r="DN78" s="229"/>
      <c r="DO78" s="229"/>
      <c r="DP78" s="229"/>
      <c r="DQ78" s="229"/>
      <c r="DR78" s="229"/>
      <c r="DS78" s="229"/>
      <c r="DT78" s="229"/>
      <c r="DU78" s="229"/>
      <c r="DV78" s="229"/>
      <c r="DW78" s="229"/>
      <c r="DX78" s="229"/>
      <c r="DY78" s="229"/>
      <c r="DZ78" s="229"/>
      <c r="EA78" s="229"/>
      <c r="EB78" s="229"/>
      <c r="EC78" s="229"/>
      <c r="ED78" s="229"/>
      <c r="EE78" s="229"/>
      <c r="EF78" s="229"/>
      <c r="EG78" s="234"/>
      <c r="EH78" s="229"/>
      <c r="EI78" s="229"/>
      <c r="EJ78" s="229"/>
      <c r="EK78" s="229"/>
      <c r="EL78" s="229"/>
      <c r="EM78" s="229"/>
      <c r="EN78" s="229"/>
      <c r="EO78" s="229"/>
      <c r="EP78" s="229"/>
      <c r="EQ78" s="229"/>
      <c r="ER78" s="229"/>
      <c r="ES78" s="229"/>
      <c r="ET78" s="229"/>
      <c r="EU78" s="229"/>
      <c r="EV78" s="229"/>
      <c r="EW78" s="229"/>
      <c r="EX78" s="229"/>
      <c r="EY78" s="229"/>
      <c r="EZ78" s="229"/>
      <c r="FA78" s="229"/>
      <c r="FB78" s="229"/>
      <c r="FC78" s="229"/>
      <c r="FD78" s="229"/>
      <c r="FE78" s="229"/>
      <c r="FF78" s="229"/>
      <c r="FG78" s="229"/>
      <c r="FH78" s="229"/>
      <c r="FI78" s="229"/>
      <c r="FJ78" s="229"/>
      <c r="FK78" s="229"/>
      <c r="FL78" s="229"/>
      <c r="FM78" s="229"/>
      <c r="FN78" s="229"/>
      <c r="FO78" s="229"/>
      <c r="FP78" s="229"/>
      <c r="FQ78" s="229"/>
      <c r="FR78" s="229"/>
      <c r="FS78" s="229"/>
      <c r="FT78" s="229"/>
      <c r="FU78" s="229"/>
      <c r="FV78" s="229"/>
      <c r="FW78" s="229"/>
      <c r="FX78" s="229"/>
      <c r="FY78" s="229"/>
      <c r="FZ78" s="229"/>
      <c r="GA78" s="229"/>
      <c r="GB78" s="229"/>
      <c r="GC78" s="237"/>
      <c r="GD78" s="229"/>
      <c r="GE78" s="229"/>
      <c r="GF78" s="229"/>
      <c r="GG78" s="229"/>
      <c r="GH78" s="229"/>
      <c r="GI78" s="229"/>
      <c r="GJ78" s="229"/>
      <c r="GK78" s="229"/>
      <c r="GL78" s="229"/>
      <c r="GM78" s="229"/>
      <c r="GN78" s="229"/>
      <c r="GO78" s="229"/>
      <c r="GP78" s="229"/>
      <c r="GQ78" s="229"/>
      <c r="GR78" s="229"/>
      <c r="GS78" s="229"/>
      <c r="GT78" s="229"/>
      <c r="GU78" s="229"/>
      <c r="IB78" s="234"/>
      <c r="IC78" s="229"/>
      <c r="KC78" s="234"/>
      <c r="LA78" s="229"/>
      <c r="LB78" s="229"/>
      <c r="LC78" s="229"/>
      <c r="LD78" s="229"/>
      <c r="LE78" s="229"/>
      <c r="LF78" s="229"/>
      <c r="LG78" s="229"/>
      <c r="MH78" s="237"/>
      <c r="NF78" s="229"/>
      <c r="NG78" s="229"/>
      <c r="NH78" s="229"/>
      <c r="NI78" s="229"/>
      <c r="QQ78" s="230"/>
      <c r="QR78" s="231"/>
    </row>
    <row r="79" spans="3:465" ht="5.0999999999999996" customHeight="1" x14ac:dyDescent="0.25">
      <c r="C79" s="226"/>
      <c r="D79" s="227"/>
      <c r="E79" s="229"/>
      <c r="G79" s="229"/>
      <c r="H79" s="229"/>
      <c r="I79" s="308" t="s">
        <v>62</v>
      </c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309"/>
      <c r="AB79" s="309"/>
      <c r="AC79" s="309"/>
      <c r="AD79" s="309"/>
      <c r="AE79" s="309"/>
      <c r="AF79" s="309"/>
      <c r="AG79" s="309"/>
      <c r="AH79" s="309"/>
      <c r="AI79" s="309"/>
      <c r="AJ79" s="309"/>
      <c r="AK79" s="309"/>
      <c r="AL79" s="309"/>
      <c r="AM79" s="309"/>
      <c r="AN79" s="309"/>
      <c r="AO79" s="309"/>
      <c r="AP79" s="309"/>
      <c r="AQ79" s="309"/>
      <c r="AR79" s="309"/>
      <c r="AS79" s="309"/>
      <c r="AT79" s="309"/>
      <c r="AU79" s="309"/>
      <c r="AV79" s="309"/>
      <c r="AW79" s="310"/>
      <c r="AX79" s="406">
        <v>5</v>
      </c>
      <c r="AY79" s="407"/>
      <c r="AZ79" s="407"/>
      <c r="BA79" s="407"/>
      <c r="BB79" s="408"/>
      <c r="BC79" s="229"/>
      <c r="BD79" s="229"/>
      <c r="BE79" s="229"/>
      <c r="BF79" s="320"/>
      <c r="BG79" s="321"/>
      <c r="BH79" s="321"/>
      <c r="BI79" s="321"/>
      <c r="BJ79" s="321"/>
      <c r="BK79" s="321"/>
      <c r="BL79" s="321"/>
      <c r="BM79" s="321"/>
      <c r="BN79" s="321"/>
      <c r="BO79" s="321"/>
      <c r="BP79" s="321"/>
      <c r="BQ79" s="321"/>
      <c r="BR79" s="321"/>
      <c r="BS79" s="321"/>
      <c r="BT79" s="321"/>
      <c r="BU79" s="321"/>
      <c r="BV79" s="321"/>
      <c r="BW79" s="321"/>
      <c r="BX79" s="321"/>
      <c r="BY79" s="321"/>
      <c r="BZ79" s="321"/>
      <c r="CA79" s="321"/>
      <c r="CB79" s="321"/>
      <c r="CC79" s="321"/>
      <c r="CD79" s="321"/>
      <c r="CE79" s="321"/>
      <c r="CF79" s="321"/>
      <c r="CG79" s="321"/>
      <c r="CH79" s="321"/>
      <c r="CI79" s="321"/>
      <c r="CJ79" s="321"/>
      <c r="CK79" s="321"/>
      <c r="CL79" s="321"/>
      <c r="CM79" s="321"/>
      <c r="CN79" s="321"/>
      <c r="CO79" s="321"/>
      <c r="CP79" s="321"/>
      <c r="CQ79" s="321"/>
      <c r="CR79" s="321"/>
      <c r="CS79" s="322"/>
      <c r="CT79" s="381"/>
      <c r="CU79" s="381"/>
      <c r="CV79" s="381"/>
      <c r="CW79" s="381"/>
      <c r="CX79" s="381"/>
      <c r="CY79" s="381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  <c r="DX79" s="229"/>
      <c r="DY79" s="229"/>
      <c r="DZ79" s="229"/>
      <c r="EA79" s="229"/>
      <c r="EB79" s="229"/>
      <c r="EC79" s="229"/>
      <c r="ED79" s="229"/>
      <c r="EE79" s="229"/>
      <c r="EF79" s="229"/>
      <c r="EG79" s="234"/>
      <c r="EH79" s="229"/>
      <c r="EI79" s="229"/>
      <c r="EJ79" s="229"/>
      <c r="EK79" s="229"/>
      <c r="EL79" s="229"/>
      <c r="EM79" s="229"/>
      <c r="EN79" s="229"/>
      <c r="EO79" s="229"/>
      <c r="EP79" s="229"/>
      <c r="EQ79" s="229"/>
      <c r="ER79" s="229"/>
      <c r="ES79" s="229"/>
      <c r="ET79" s="229"/>
      <c r="EU79" s="229"/>
      <c r="EV79" s="229"/>
      <c r="EW79" s="229"/>
      <c r="EX79" s="229"/>
      <c r="EY79" s="229"/>
      <c r="EZ79" s="229"/>
      <c r="FA79" s="229"/>
      <c r="FB79" s="229"/>
      <c r="FC79" s="229"/>
      <c r="FD79" s="229"/>
      <c r="FE79" s="229"/>
      <c r="FF79" s="229"/>
      <c r="FG79" s="229"/>
      <c r="FH79" s="229"/>
      <c r="FI79" s="229"/>
      <c r="FJ79" s="229"/>
      <c r="FK79" s="229"/>
      <c r="FL79" s="229"/>
      <c r="FM79" s="229"/>
      <c r="FN79" s="229"/>
      <c r="FO79" s="229"/>
      <c r="FP79" s="229"/>
      <c r="FQ79" s="229"/>
      <c r="FR79" s="229"/>
      <c r="FS79" s="229"/>
      <c r="FT79" s="229"/>
      <c r="FU79" s="229"/>
      <c r="FV79" s="229"/>
      <c r="FW79" s="229"/>
      <c r="FX79" s="229"/>
      <c r="FY79" s="229"/>
      <c r="FZ79" s="229"/>
      <c r="GA79" s="229"/>
      <c r="GB79" s="229"/>
      <c r="GC79" s="237"/>
      <c r="GD79" s="229"/>
      <c r="GE79" s="229"/>
      <c r="GF79" s="229"/>
      <c r="GG79" s="229"/>
      <c r="GH79" s="229"/>
      <c r="GI79" s="229"/>
      <c r="GJ79" s="229"/>
      <c r="GK79" s="229"/>
      <c r="GL79" s="229"/>
      <c r="GM79" s="229"/>
      <c r="GN79" s="229"/>
      <c r="GO79" s="229"/>
      <c r="GP79" s="229"/>
      <c r="GQ79" s="229"/>
      <c r="GR79" s="229"/>
      <c r="GS79" s="229"/>
      <c r="GT79" s="229"/>
      <c r="GU79" s="229"/>
      <c r="GV79" s="229"/>
      <c r="GW79" s="229"/>
      <c r="GX79" s="229"/>
      <c r="GY79" s="229"/>
      <c r="GZ79" s="229"/>
      <c r="HA79" s="229"/>
      <c r="HB79" s="229"/>
      <c r="HC79" s="229"/>
      <c r="IB79" s="234"/>
      <c r="IC79" s="229"/>
      <c r="KC79" s="234"/>
      <c r="MH79" s="237"/>
      <c r="NF79" s="229"/>
      <c r="NG79" s="229"/>
      <c r="NH79" s="229"/>
      <c r="NI79" s="229"/>
      <c r="QQ79" s="230"/>
      <c r="QR79" s="231"/>
    </row>
    <row r="80" spans="3:465" ht="5.0999999999999996" customHeight="1" x14ac:dyDescent="0.25">
      <c r="C80" s="226"/>
      <c r="D80" s="227"/>
      <c r="E80" s="229"/>
      <c r="G80" s="229"/>
      <c r="H80" s="229"/>
      <c r="I80" s="311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312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  <c r="AV80" s="312"/>
      <c r="AW80" s="313"/>
      <c r="AX80" s="409"/>
      <c r="AY80" s="410"/>
      <c r="AZ80" s="410"/>
      <c r="BA80" s="410"/>
      <c r="BB80" s="411"/>
      <c r="BC80" s="229"/>
      <c r="BD80" s="229"/>
      <c r="BE80" s="229"/>
      <c r="BF80" s="320"/>
      <c r="BG80" s="321"/>
      <c r="BH80" s="321"/>
      <c r="BI80" s="321"/>
      <c r="BJ80" s="321"/>
      <c r="BK80" s="321"/>
      <c r="BL80" s="321"/>
      <c r="BM80" s="321"/>
      <c r="BN80" s="321"/>
      <c r="BO80" s="321"/>
      <c r="BP80" s="321"/>
      <c r="BQ80" s="321"/>
      <c r="BR80" s="321"/>
      <c r="BS80" s="321"/>
      <c r="BT80" s="321"/>
      <c r="BU80" s="321"/>
      <c r="BV80" s="321"/>
      <c r="BW80" s="321"/>
      <c r="BX80" s="321"/>
      <c r="BY80" s="321"/>
      <c r="BZ80" s="321"/>
      <c r="CA80" s="321"/>
      <c r="CB80" s="321"/>
      <c r="CC80" s="321"/>
      <c r="CD80" s="321"/>
      <c r="CE80" s="321"/>
      <c r="CF80" s="321"/>
      <c r="CG80" s="321"/>
      <c r="CH80" s="321"/>
      <c r="CI80" s="321"/>
      <c r="CJ80" s="321"/>
      <c r="CK80" s="321"/>
      <c r="CL80" s="321"/>
      <c r="CM80" s="321"/>
      <c r="CN80" s="321"/>
      <c r="CO80" s="321"/>
      <c r="CP80" s="321"/>
      <c r="CQ80" s="321"/>
      <c r="CR80" s="321"/>
      <c r="CS80" s="322"/>
      <c r="CT80" s="381"/>
      <c r="CU80" s="381"/>
      <c r="CV80" s="381"/>
      <c r="CW80" s="381"/>
      <c r="CX80" s="381"/>
      <c r="CY80" s="381"/>
      <c r="CZ80" s="229"/>
      <c r="DA80" s="229"/>
      <c r="DB80" s="229"/>
      <c r="DC80" s="229"/>
      <c r="DD80" s="229"/>
      <c r="DE80" s="229"/>
      <c r="DF80" s="229"/>
      <c r="DG80" s="229"/>
      <c r="DH80" s="229"/>
      <c r="DI80" s="229"/>
      <c r="DJ80" s="229"/>
      <c r="DK80" s="229"/>
      <c r="DL80" s="229"/>
      <c r="DM80" s="229"/>
      <c r="DN80" s="229"/>
      <c r="DO80" s="229"/>
      <c r="DP80" s="229"/>
      <c r="DQ80" s="229"/>
      <c r="DR80" s="229"/>
      <c r="DS80" s="229"/>
      <c r="DT80" s="229"/>
      <c r="DU80" s="229"/>
      <c r="DV80" s="229"/>
      <c r="DW80" s="229"/>
      <c r="DX80" s="229"/>
      <c r="DY80" s="229"/>
      <c r="DZ80" s="229"/>
      <c r="EA80" s="229"/>
      <c r="EB80" s="229"/>
      <c r="EC80" s="229"/>
      <c r="ED80" s="229"/>
      <c r="EE80" s="229"/>
      <c r="EF80" s="229"/>
      <c r="EG80" s="234"/>
      <c r="EH80" s="229"/>
      <c r="EI80" s="229"/>
      <c r="EJ80" s="229"/>
      <c r="EK80" s="229"/>
      <c r="EL80" s="229"/>
      <c r="EM80" s="229"/>
      <c r="EN80" s="229"/>
      <c r="EO80" s="229"/>
      <c r="EP80" s="229"/>
      <c r="EQ80" s="229"/>
      <c r="ER80" s="229"/>
      <c r="ES80" s="229"/>
      <c r="ET80" s="229"/>
      <c r="EU80" s="229"/>
      <c r="EV80" s="229"/>
      <c r="EW80" s="229"/>
      <c r="EX80" s="229"/>
      <c r="EY80" s="229"/>
      <c r="EZ80" s="229"/>
      <c r="FA80" s="229"/>
      <c r="FB80" s="229"/>
      <c r="FC80" s="229"/>
      <c r="FD80" s="229"/>
      <c r="FE80" s="229"/>
      <c r="FF80" s="229"/>
      <c r="FG80" s="229"/>
      <c r="FH80" s="229"/>
      <c r="FI80" s="229"/>
      <c r="FJ80" s="229"/>
      <c r="FK80" s="229"/>
      <c r="FL80" s="229"/>
      <c r="FM80" s="229"/>
      <c r="FN80" s="229"/>
      <c r="FO80" s="229"/>
      <c r="FP80" s="229"/>
      <c r="FQ80" s="229"/>
      <c r="FR80" s="229"/>
      <c r="FS80" s="229"/>
      <c r="FT80" s="229"/>
      <c r="FU80" s="229"/>
      <c r="FV80" s="229"/>
      <c r="FW80" s="229"/>
      <c r="FX80" s="229"/>
      <c r="FY80" s="229"/>
      <c r="FZ80" s="229"/>
      <c r="GA80" s="229"/>
      <c r="GB80" s="229"/>
      <c r="GC80" s="237"/>
      <c r="GD80" s="229"/>
      <c r="GE80" s="229"/>
      <c r="GF80" s="229"/>
      <c r="GG80" s="229"/>
      <c r="GH80" s="229"/>
      <c r="GI80" s="229"/>
      <c r="GJ80" s="229"/>
      <c r="GK80" s="229"/>
      <c r="GL80" s="229"/>
      <c r="GM80" s="229"/>
      <c r="GN80" s="229"/>
      <c r="GO80" s="229"/>
      <c r="GP80" s="229"/>
      <c r="GQ80" s="229"/>
      <c r="GR80" s="229"/>
      <c r="GS80" s="229"/>
      <c r="GT80" s="229"/>
      <c r="GU80" s="229"/>
      <c r="GV80" s="229"/>
      <c r="GW80" s="229"/>
      <c r="GX80" s="229"/>
      <c r="GY80" s="229"/>
      <c r="GZ80" s="229"/>
      <c r="HA80" s="229"/>
      <c r="HB80" s="229"/>
      <c r="HC80" s="229"/>
      <c r="IB80" s="234"/>
      <c r="IC80" s="229"/>
      <c r="KC80" s="244"/>
      <c r="MH80" s="257"/>
      <c r="NF80" s="229"/>
      <c r="NG80" s="229"/>
      <c r="NH80" s="229"/>
      <c r="NI80" s="229"/>
      <c r="QQ80" s="230"/>
      <c r="QR80" s="231"/>
    </row>
    <row r="81" spans="3:460" ht="5.0999999999999996" customHeight="1" x14ac:dyDescent="0.25">
      <c r="C81" s="226"/>
      <c r="D81" s="227"/>
      <c r="E81" s="229"/>
      <c r="G81" s="229"/>
      <c r="H81" s="229"/>
      <c r="I81" s="311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  <c r="Z81" s="312"/>
      <c r="AA81" s="312"/>
      <c r="AB81" s="312"/>
      <c r="AC81" s="312"/>
      <c r="AD81" s="312"/>
      <c r="AE81" s="312"/>
      <c r="AF81" s="312"/>
      <c r="AG81" s="312"/>
      <c r="AH81" s="312"/>
      <c r="AI81" s="312"/>
      <c r="AJ81" s="312"/>
      <c r="AK81" s="312"/>
      <c r="AL81" s="312"/>
      <c r="AM81" s="312"/>
      <c r="AN81" s="312"/>
      <c r="AO81" s="312"/>
      <c r="AP81" s="312"/>
      <c r="AQ81" s="312"/>
      <c r="AR81" s="312"/>
      <c r="AS81" s="312"/>
      <c r="AT81" s="312"/>
      <c r="AU81" s="312"/>
      <c r="AV81" s="312"/>
      <c r="AW81" s="313"/>
      <c r="AX81" s="409"/>
      <c r="AY81" s="410"/>
      <c r="AZ81" s="410"/>
      <c r="BA81" s="410"/>
      <c r="BB81" s="411"/>
      <c r="BC81" s="229"/>
      <c r="BD81" s="229"/>
      <c r="BE81" s="229"/>
      <c r="BF81" s="323"/>
      <c r="BG81" s="324"/>
      <c r="BH81" s="324"/>
      <c r="BI81" s="324"/>
      <c r="BJ81" s="324"/>
      <c r="BK81" s="324"/>
      <c r="BL81" s="324"/>
      <c r="BM81" s="324"/>
      <c r="BN81" s="324"/>
      <c r="BO81" s="324"/>
      <c r="BP81" s="324"/>
      <c r="BQ81" s="324"/>
      <c r="BR81" s="324"/>
      <c r="BS81" s="324"/>
      <c r="BT81" s="324"/>
      <c r="BU81" s="324"/>
      <c r="BV81" s="324"/>
      <c r="BW81" s="324"/>
      <c r="BX81" s="324"/>
      <c r="BY81" s="324"/>
      <c r="BZ81" s="324"/>
      <c r="CA81" s="324"/>
      <c r="CB81" s="324"/>
      <c r="CC81" s="324"/>
      <c r="CD81" s="324"/>
      <c r="CE81" s="324"/>
      <c r="CF81" s="324"/>
      <c r="CG81" s="324"/>
      <c r="CH81" s="324"/>
      <c r="CI81" s="324"/>
      <c r="CJ81" s="324"/>
      <c r="CK81" s="324"/>
      <c r="CL81" s="324"/>
      <c r="CM81" s="324"/>
      <c r="CN81" s="324"/>
      <c r="CO81" s="324"/>
      <c r="CP81" s="324"/>
      <c r="CQ81" s="324"/>
      <c r="CR81" s="324"/>
      <c r="CS81" s="325"/>
      <c r="CT81" s="381"/>
      <c r="CU81" s="381"/>
      <c r="CV81" s="381"/>
      <c r="CW81" s="381"/>
      <c r="CX81" s="381"/>
      <c r="CY81" s="381"/>
      <c r="CZ81" s="229"/>
      <c r="DA81" s="229"/>
      <c r="DB81" s="229"/>
      <c r="DC81" s="229"/>
      <c r="DD81" s="229"/>
      <c r="DE81" s="229"/>
      <c r="DF81" s="229"/>
      <c r="DG81" s="229"/>
      <c r="DH81" s="229"/>
      <c r="DI81" s="229"/>
      <c r="DJ81" s="229"/>
      <c r="DK81" s="229"/>
      <c r="DL81" s="229"/>
      <c r="DM81" s="229"/>
      <c r="DN81" s="229"/>
      <c r="DO81" s="229"/>
      <c r="DP81" s="229"/>
      <c r="DQ81" s="229"/>
      <c r="DR81" s="229"/>
      <c r="DS81" s="229"/>
      <c r="DT81" s="229"/>
      <c r="DU81" s="229"/>
      <c r="DV81" s="229"/>
      <c r="DW81" s="229"/>
      <c r="DX81" s="229"/>
      <c r="DY81" s="229"/>
      <c r="DZ81" s="229"/>
      <c r="EA81" s="229"/>
      <c r="EB81" s="229"/>
      <c r="EC81" s="229"/>
      <c r="ED81" s="229"/>
      <c r="EE81" s="229"/>
      <c r="EF81" s="229"/>
      <c r="EG81" s="234"/>
      <c r="EH81" s="229"/>
      <c r="EI81" s="229"/>
      <c r="EJ81" s="229"/>
      <c r="EK81" s="229"/>
      <c r="EL81" s="229"/>
      <c r="EM81" s="229"/>
      <c r="EN81" s="229"/>
      <c r="EO81" s="229"/>
      <c r="EP81" s="229"/>
      <c r="EQ81" s="229"/>
      <c r="ER81" s="229"/>
      <c r="ES81" s="229"/>
      <c r="ET81" s="229"/>
      <c r="EU81" s="229"/>
      <c r="EV81" s="229"/>
      <c r="EW81" s="229"/>
      <c r="EX81" s="229"/>
      <c r="EY81" s="229"/>
      <c r="EZ81" s="229"/>
      <c r="FA81" s="229"/>
      <c r="FB81" s="229"/>
      <c r="FC81" s="229"/>
      <c r="FD81" s="229"/>
      <c r="FE81" s="229"/>
      <c r="FF81" s="229"/>
      <c r="FG81" s="229"/>
      <c r="FH81" s="229"/>
      <c r="FI81" s="229"/>
      <c r="FJ81" s="229"/>
      <c r="FK81" s="229"/>
      <c r="FL81" s="229"/>
      <c r="FM81" s="229"/>
      <c r="FN81" s="229"/>
      <c r="FO81" s="229"/>
      <c r="FP81" s="229"/>
      <c r="FQ81" s="229"/>
      <c r="FR81" s="229"/>
      <c r="FS81" s="229"/>
      <c r="FT81" s="229"/>
      <c r="FU81" s="229"/>
      <c r="FV81" s="229"/>
      <c r="FW81" s="229"/>
      <c r="FX81" s="229"/>
      <c r="FY81" s="229"/>
      <c r="FZ81" s="229"/>
      <c r="GA81" s="229"/>
      <c r="GB81" s="229"/>
      <c r="GC81" s="237"/>
      <c r="GD81" s="229"/>
      <c r="GE81" s="229"/>
      <c r="GF81" s="229"/>
      <c r="GG81" s="229"/>
      <c r="GH81" s="229"/>
      <c r="GI81" s="229"/>
      <c r="GJ81" s="229"/>
      <c r="GK81" s="229"/>
      <c r="GL81" s="229"/>
      <c r="GM81" s="229"/>
      <c r="GN81" s="229"/>
      <c r="GO81" s="229"/>
      <c r="GP81" s="229"/>
      <c r="GQ81" s="229"/>
      <c r="GR81" s="229"/>
      <c r="GS81" s="229"/>
      <c r="GT81" s="229"/>
      <c r="GU81" s="229"/>
      <c r="GV81" s="229"/>
      <c r="GW81" s="229"/>
      <c r="GX81" s="229"/>
      <c r="GY81" s="229"/>
      <c r="GZ81" s="229"/>
      <c r="HA81" s="229"/>
      <c r="HB81" s="229"/>
      <c r="HC81" s="229"/>
      <c r="IB81" s="244"/>
      <c r="IC81" s="245"/>
      <c r="JB81" s="228"/>
      <c r="JK81" s="416" t="s">
        <v>417</v>
      </c>
      <c r="JL81" s="416"/>
      <c r="JM81" s="416"/>
      <c r="JN81" s="416"/>
      <c r="JO81" s="416"/>
      <c r="JP81" s="416"/>
      <c r="JQ81" s="416"/>
      <c r="JR81" s="416"/>
      <c r="JS81" s="416"/>
      <c r="JT81" s="416"/>
      <c r="JU81" s="416"/>
      <c r="JV81" s="416"/>
      <c r="JW81" s="416"/>
      <c r="JX81" s="416"/>
      <c r="JY81" s="416"/>
      <c r="JZ81" s="416"/>
      <c r="KA81" s="416"/>
      <c r="KB81" s="416"/>
      <c r="KC81" s="416"/>
      <c r="KD81" s="416"/>
      <c r="KE81" s="416"/>
      <c r="KF81" s="416"/>
      <c r="KG81" s="416"/>
      <c r="KH81" s="416"/>
      <c r="KI81" s="416"/>
      <c r="KJ81" s="416"/>
      <c r="KK81" s="416"/>
      <c r="KL81" s="416"/>
      <c r="KM81" s="416"/>
      <c r="KN81" s="416"/>
      <c r="KO81" s="416"/>
      <c r="KP81" s="416"/>
      <c r="KQ81" s="416"/>
      <c r="KR81" s="416"/>
      <c r="KS81" s="416"/>
      <c r="KT81" s="416"/>
      <c r="KU81" s="416"/>
      <c r="KV81" s="416"/>
      <c r="KW81" s="416"/>
      <c r="KX81" s="416"/>
      <c r="KY81" s="416">
        <f>KY95+KY105+KY115</f>
        <v>53</v>
      </c>
      <c r="KZ81" s="416"/>
      <c r="LA81" s="416"/>
      <c r="LB81" s="416"/>
      <c r="LC81" s="416"/>
      <c r="LM81" s="416" t="s">
        <v>418</v>
      </c>
      <c r="LN81" s="416"/>
      <c r="LO81" s="416"/>
      <c r="LP81" s="416"/>
      <c r="LQ81" s="416"/>
      <c r="LR81" s="416"/>
      <c r="LS81" s="416"/>
      <c r="LT81" s="416"/>
      <c r="LU81" s="416"/>
      <c r="LV81" s="416"/>
      <c r="LW81" s="416"/>
      <c r="LX81" s="416"/>
      <c r="LY81" s="416"/>
      <c r="LZ81" s="416"/>
      <c r="MA81" s="416"/>
      <c r="MB81" s="416"/>
      <c r="MC81" s="416"/>
      <c r="MD81" s="416"/>
      <c r="ME81" s="416"/>
      <c r="MF81" s="416"/>
      <c r="MG81" s="416"/>
      <c r="MH81" s="416"/>
      <c r="MI81" s="416"/>
      <c r="MJ81" s="416"/>
      <c r="MK81" s="416"/>
      <c r="ML81" s="416"/>
      <c r="MM81" s="416"/>
      <c r="MN81" s="416"/>
      <c r="MO81" s="416"/>
      <c r="MP81" s="416"/>
      <c r="MQ81" s="416"/>
      <c r="MR81" s="416"/>
      <c r="MS81" s="416"/>
      <c r="MT81" s="416"/>
      <c r="MU81" s="416"/>
      <c r="MV81" s="416"/>
      <c r="MW81" s="416"/>
      <c r="MX81" s="416"/>
      <c r="MY81" s="416"/>
      <c r="MZ81" s="416"/>
      <c r="NA81" s="416">
        <f>SUM(NA95:NE143)</f>
        <v>8</v>
      </c>
      <c r="NB81" s="416"/>
      <c r="NC81" s="416"/>
      <c r="ND81" s="416"/>
      <c r="NE81" s="416"/>
      <c r="NF81" s="229"/>
      <c r="NG81" s="229"/>
      <c r="NH81" s="229"/>
      <c r="NI81" s="229"/>
      <c r="QQ81" s="230"/>
      <c r="QR81" s="231"/>
    </row>
    <row r="82" spans="3:460" ht="5.0999999999999996" customHeight="1" x14ac:dyDescent="0.25">
      <c r="C82" s="226"/>
      <c r="D82" s="227"/>
      <c r="E82" s="229"/>
      <c r="G82" s="229"/>
      <c r="H82" s="229"/>
      <c r="I82" s="311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  <c r="Z82" s="312"/>
      <c r="AA82" s="312"/>
      <c r="AB82" s="312"/>
      <c r="AC82" s="312"/>
      <c r="AD82" s="312"/>
      <c r="AE82" s="312"/>
      <c r="AF82" s="312"/>
      <c r="AG82" s="312"/>
      <c r="AH82" s="312"/>
      <c r="AI82" s="312"/>
      <c r="AJ82" s="312"/>
      <c r="AK82" s="312"/>
      <c r="AL82" s="312"/>
      <c r="AM82" s="312"/>
      <c r="AN82" s="312"/>
      <c r="AO82" s="312"/>
      <c r="AP82" s="312"/>
      <c r="AQ82" s="312"/>
      <c r="AR82" s="312"/>
      <c r="AS82" s="312"/>
      <c r="AT82" s="312"/>
      <c r="AU82" s="312"/>
      <c r="AV82" s="312"/>
      <c r="AW82" s="313"/>
      <c r="AX82" s="409"/>
      <c r="AY82" s="410"/>
      <c r="AZ82" s="410"/>
      <c r="BA82" s="410"/>
      <c r="BB82" s="411"/>
      <c r="BC82" s="229"/>
      <c r="BD82" s="229"/>
      <c r="BE82" s="229"/>
      <c r="BF82" s="405" t="s">
        <v>419</v>
      </c>
      <c r="BG82" s="405"/>
      <c r="BH82" s="405"/>
      <c r="BI82" s="405"/>
      <c r="BJ82" s="405"/>
      <c r="BK82" s="405"/>
      <c r="BL82" s="405"/>
      <c r="BM82" s="405"/>
      <c r="BN82" s="405"/>
      <c r="BO82" s="405"/>
      <c r="BP82" s="405"/>
      <c r="BQ82" s="405"/>
      <c r="BR82" s="405"/>
      <c r="BS82" s="405"/>
      <c r="BT82" s="405"/>
      <c r="BU82" s="405"/>
      <c r="BV82" s="405"/>
      <c r="BW82" s="405"/>
      <c r="BX82" s="405"/>
      <c r="BY82" s="405"/>
      <c r="BZ82" s="405"/>
      <c r="CA82" s="405"/>
      <c r="CB82" s="405"/>
      <c r="CC82" s="405"/>
      <c r="CD82" s="405"/>
      <c r="CE82" s="405"/>
      <c r="CF82" s="405"/>
      <c r="CG82" s="405"/>
      <c r="CH82" s="405"/>
      <c r="CI82" s="405"/>
      <c r="CJ82" s="405"/>
      <c r="CK82" s="405"/>
      <c r="CL82" s="405"/>
      <c r="CM82" s="405"/>
      <c r="CN82" s="405"/>
      <c r="CO82" s="405"/>
      <c r="CP82" s="405"/>
      <c r="CQ82" s="405"/>
      <c r="CR82" s="405"/>
      <c r="CS82" s="405"/>
      <c r="CT82" s="381">
        <v>2</v>
      </c>
      <c r="CU82" s="381"/>
      <c r="CV82" s="381"/>
      <c r="CW82" s="381"/>
      <c r="CX82" s="381"/>
      <c r="CY82" s="381"/>
      <c r="DN82" s="229"/>
      <c r="DO82" s="229"/>
      <c r="DP82" s="229"/>
      <c r="DQ82" s="229"/>
      <c r="DR82" s="229"/>
      <c r="DS82" s="229"/>
      <c r="DT82" s="229"/>
      <c r="DU82" s="229"/>
      <c r="DV82" s="229"/>
      <c r="DW82" s="229"/>
      <c r="DX82" s="229"/>
      <c r="DY82" s="229"/>
      <c r="DZ82" s="229"/>
      <c r="EA82" s="229"/>
      <c r="EB82" s="229"/>
      <c r="EC82" s="229"/>
      <c r="ED82" s="229"/>
      <c r="EE82" s="229"/>
      <c r="EF82" s="229"/>
      <c r="EG82" s="234"/>
      <c r="EH82" s="229"/>
      <c r="EI82" s="229"/>
      <c r="EJ82" s="229"/>
      <c r="EK82" s="229"/>
      <c r="EL82" s="229"/>
      <c r="EM82" s="229"/>
      <c r="EN82" s="229"/>
      <c r="EO82" s="229"/>
      <c r="EP82" s="229"/>
      <c r="EQ82" s="229"/>
      <c r="ER82" s="229"/>
      <c r="ES82" s="229"/>
      <c r="ET82" s="229"/>
      <c r="EU82" s="229"/>
      <c r="EV82" s="229"/>
      <c r="EW82" s="229"/>
      <c r="EX82" s="229"/>
      <c r="EY82" s="229"/>
      <c r="EZ82" s="229"/>
      <c r="FA82" s="229"/>
      <c r="FB82" s="229"/>
      <c r="FC82" s="229"/>
      <c r="FD82" s="229"/>
      <c r="FE82" s="229"/>
      <c r="FF82" s="229"/>
      <c r="FG82" s="229"/>
      <c r="FH82" s="229"/>
      <c r="FI82" s="229"/>
      <c r="FJ82" s="229"/>
      <c r="FK82" s="229"/>
      <c r="FL82" s="229"/>
      <c r="FM82" s="229"/>
      <c r="FN82" s="229"/>
      <c r="FO82" s="229"/>
      <c r="FP82" s="229"/>
      <c r="FQ82" s="229"/>
      <c r="FR82" s="229"/>
      <c r="FS82" s="229"/>
      <c r="FT82" s="229"/>
      <c r="FU82" s="229"/>
      <c r="FV82" s="229"/>
      <c r="FW82" s="229"/>
      <c r="FX82" s="229"/>
      <c r="FY82" s="229"/>
      <c r="FZ82" s="229"/>
      <c r="GA82" s="229"/>
      <c r="GB82" s="229"/>
      <c r="GC82" s="237"/>
      <c r="GD82" s="229"/>
      <c r="GE82" s="229"/>
      <c r="GF82" s="229"/>
      <c r="GG82" s="229"/>
      <c r="GH82" s="229"/>
      <c r="GI82" s="229"/>
      <c r="GJ82" s="229"/>
      <c r="GK82" s="229"/>
      <c r="GL82" s="229"/>
      <c r="GM82" s="229"/>
      <c r="GN82" s="229"/>
      <c r="GO82" s="229"/>
      <c r="GP82" s="229"/>
      <c r="GQ82" s="229"/>
      <c r="GR82" s="229"/>
      <c r="GS82" s="229"/>
      <c r="GT82" s="229"/>
      <c r="GU82" s="229"/>
      <c r="GV82" s="229"/>
      <c r="GW82" s="229"/>
      <c r="GX82" s="229"/>
      <c r="GY82" s="229"/>
      <c r="GZ82" s="229"/>
      <c r="HA82" s="229"/>
      <c r="HB82" s="229"/>
      <c r="HC82" s="229"/>
      <c r="HF82" s="372" t="s">
        <v>420</v>
      </c>
      <c r="HG82" s="373"/>
      <c r="HH82" s="373"/>
      <c r="HI82" s="373"/>
      <c r="HJ82" s="373"/>
      <c r="HK82" s="373"/>
      <c r="HL82" s="373"/>
      <c r="HM82" s="373"/>
      <c r="HN82" s="373"/>
      <c r="HO82" s="373"/>
      <c r="HP82" s="373"/>
      <c r="HQ82" s="373"/>
      <c r="HR82" s="373"/>
      <c r="HS82" s="373"/>
      <c r="HT82" s="373"/>
      <c r="HU82" s="373"/>
      <c r="HV82" s="373"/>
      <c r="HW82" s="373"/>
      <c r="HX82" s="373"/>
      <c r="HY82" s="373"/>
      <c r="HZ82" s="373"/>
      <c r="IA82" s="373"/>
      <c r="IB82" s="373"/>
      <c r="IC82" s="373"/>
      <c r="ID82" s="373"/>
      <c r="IE82" s="373"/>
      <c r="IF82" s="373"/>
      <c r="IG82" s="373"/>
      <c r="IH82" s="373"/>
      <c r="II82" s="373"/>
      <c r="IJ82" s="373"/>
      <c r="IK82" s="373"/>
      <c r="IL82" s="373"/>
      <c r="IM82" s="373"/>
      <c r="IN82" s="373"/>
      <c r="IO82" s="373"/>
      <c r="IP82" s="373"/>
      <c r="IQ82" s="373"/>
      <c r="IR82" s="373"/>
      <c r="IS82" s="374"/>
      <c r="IT82" s="372">
        <f>IT96+IT108</f>
        <v>34</v>
      </c>
      <c r="IU82" s="373"/>
      <c r="IV82" s="373"/>
      <c r="IW82" s="373"/>
      <c r="IX82" s="374"/>
      <c r="JB82" s="228"/>
      <c r="JK82" s="416"/>
      <c r="JL82" s="416"/>
      <c r="JM82" s="416"/>
      <c r="JN82" s="416"/>
      <c r="JO82" s="416"/>
      <c r="JP82" s="416"/>
      <c r="JQ82" s="416"/>
      <c r="JR82" s="416"/>
      <c r="JS82" s="416"/>
      <c r="JT82" s="416"/>
      <c r="JU82" s="416"/>
      <c r="JV82" s="416"/>
      <c r="JW82" s="416"/>
      <c r="JX82" s="416"/>
      <c r="JY82" s="416"/>
      <c r="JZ82" s="416"/>
      <c r="KA82" s="416"/>
      <c r="KB82" s="416"/>
      <c r="KC82" s="416"/>
      <c r="KD82" s="416"/>
      <c r="KE82" s="416"/>
      <c r="KF82" s="416"/>
      <c r="KG82" s="416"/>
      <c r="KH82" s="416"/>
      <c r="KI82" s="416"/>
      <c r="KJ82" s="416"/>
      <c r="KK82" s="416"/>
      <c r="KL82" s="416"/>
      <c r="KM82" s="416"/>
      <c r="KN82" s="416"/>
      <c r="KO82" s="416"/>
      <c r="KP82" s="416"/>
      <c r="KQ82" s="416"/>
      <c r="KR82" s="416"/>
      <c r="KS82" s="416"/>
      <c r="KT82" s="416"/>
      <c r="KU82" s="416"/>
      <c r="KV82" s="416"/>
      <c r="KW82" s="416"/>
      <c r="KX82" s="416"/>
      <c r="KY82" s="416"/>
      <c r="KZ82" s="416"/>
      <c r="LA82" s="416"/>
      <c r="LB82" s="416"/>
      <c r="LC82" s="416"/>
      <c r="LM82" s="416"/>
      <c r="LN82" s="416"/>
      <c r="LO82" s="416"/>
      <c r="LP82" s="416"/>
      <c r="LQ82" s="416"/>
      <c r="LR82" s="416"/>
      <c r="LS82" s="416"/>
      <c r="LT82" s="416"/>
      <c r="LU82" s="416"/>
      <c r="LV82" s="416"/>
      <c r="LW82" s="416"/>
      <c r="LX82" s="416"/>
      <c r="LY82" s="416"/>
      <c r="LZ82" s="416"/>
      <c r="MA82" s="416"/>
      <c r="MB82" s="416"/>
      <c r="MC82" s="416"/>
      <c r="MD82" s="416"/>
      <c r="ME82" s="416"/>
      <c r="MF82" s="416"/>
      <c r="MG82" s="416"/>
      <c r="MH82" s="416"/>
      <c r="MI82" s="416"/>
      <c r="MJ82" s="416"/>
      <c r="MK82" s="416"/>
      <c r="ML82" s="416"/>
      <c r="MM82" s="416"/>
      <c r="MN82" s="416"/>
      <c r="MO82" s="416"/>
      <c r="MP82" s="416"/>
      <c r="MQ82" s="416"/>
      <c r="MR82" s="416"/>
      <c r="MS82" s="416"/>
      <c r="MT82" s="416"/>
      <c r="MU82" s="416"/>
      <c r="MV82" s="416"/>
      <c r="MW82" s="416"/>
      <c r="MX82" s="416"/>
      <c r="MY82" s="416"/>
      <c r="MZ82" s="416"/>
      <c r="NA82" s="416"/>
      <c r="NB82" s="416"/>
      <c r="NC82" s="416"/>
      <c r="ND82" s="416"/>
      <c r="NE82" s="416"/>
      <c r="NF82" s="229"/>
      <c r="NG82" s="229"/>
      <c r="NH82" s="229"/>
      <c r="NI82" s="229"/>
      <c r="QQ82" s="230"/>
      <c r="QR82" s="231"/>
    </row>
    <row r="83" spans="3:460" ht="5.0999999999999996" customHeight="1" x14ac:dyDescent="0.25">
      <c r="C83" s="226"/>
      <c r="D83" s="227"/>
      <c r="E83" s="229"/>
      <c r="G83" s="229"/>
      <c r="H83" s="229"/>
      <c r="I83" s="311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12"/>
      <c r="AJ83" s="312"/>
      <c r="AK83" s="312"/>
      <c r="AL83" s="312"/>
      <c r="AM83" s="312"/>
      <c r="AN83" s="312"/>
      <c r="AO83" s="312"/>
      <c r="AP83" s="312"/>
      <c r="AQ83" s="312"/>
      <c r="AR83" s="312"/>
      <c r="AS83" s="312"/>
      <c r="AT83" s="312"/>
      <c r="AU83" s="312"/>
      <c r="AV83" s="312"/>
      <c r="AW83" s="313"/>
      <c r="AX83" s="409"/>
      <c r="AY83" s="410"/>
      <c r="AZ83" s="410"/>
      <c r="BA83" s="410"/>
      <c r="BB83" s="411"/>
      <c r="BC83" s="229"/>
      <c r="BD83" s="229"/>
      <c r="BE83" s="229"/>
      <c r="BF83" s="405"/>
      <c r="BG83" s="405"/>
      <c r="BH83" s="405"/>
      <c r="BI83" s="405"/>
      <c r="BJ83" s="405"/>
      <c r="BK83" s="405"/>
      <c r="BL83" s="405"/>
      <c r="BM83" s="405"/>
      <c r="BN83" s="405"/>
      <c r="BO83" s="405"/>
      <c r="BP83" s="405"/>
      <c r="BQ83" s="405"/>
      <c r="BR83" s="405"/>
      <c r="BS83" s="405"/>
      <c r="BT83" s="405"/>
      <c r="BU83" s="405"/>
      <c r="BV83" s="405"/>
      <c r="BW83" s="405"/>
      <c r="BX83" s="405"/>
      <c r="BY83" s="405"/>
      <c r="BZ83" s="405"/>
      <c r="CA83" s="405"/>
      <c r="CB83" s="405"/>
      <c r="CC83" s="405"/>
      <c r="CD83" s="405"/>
      <c r="CE83" s="405"/>
      <c r="CF83" s="405"/>
      <c r="CG83" s="405"/>
      <c r="CH83" s="405"/>
      <c r="CI83" s="405"/>
      <c r="CJ83" s="405"/>
      <c r="CK83" s="405"/>
      <c r="CL83" s="405"/>
      <c r="CM83" s="405"/>
      <c r="CN83" s="405"/>
      <c r="CO83" s="405"/>
      <c r="CP83" s="405"/>
      <c r="CQ83" s="405"/>
      <c r="CR83" s="405"/>
      <c r="CS83" s="405"/>
      <c r="CT83" s="381"/>
      <c r="CU83" s="381"/>
      <c r="CV83" s="381"/>
      <c r="CW83" s="381"/>
      <c r="CX83" s="381"/>
      <c r="CY83" s="381"/>
      <c r="DN83" s="229"/>
      <c r="DO83" s="229"/>
      <c r="DP83" s="229"/>
      <c r="DQ83" s="229"/>
      <c r="DR83" s="229"/>
      <c r="DS83" s="229"/>
      <c r="DT83" s="229"/>
      <c r="DU83" s="229"/>
      <c r="DV83" s="229"/>
      <c r="DW83" s="229"/>
      <c r="DX83" s="229"/>
      <c r="DY83" s="229"/>
      <c r="DZ83" s="229"/>
      <c r="EA83" s="229"/>
      <c r="EB83" s="229"/>
      <c r="EC83" s="229"/>
      <c r="ED83" s="229"/>
      <c r="EE83" s="229"/>
      <c r="EF83" s="229"/>
      <c r="EG83" s="234"/>
      <c r="EH83" s="229"/>
      <c r="EI83" s="229"/>
      <c r="EJ83" s="229"/>
      <c r="EK83" s="229"/>
      <c r="EL83" s="229"/>
      <c r="EM83" s="229"/>
      <c r="EN83" s="229"/>
      <c r="EO83" s="229"/>
      <c r="EP83" s="229"/>
      <c r="EQ83" s="229"/>
      <c r="ER83" s="229"/>
      <c r="ES83" s="229"/>
      <c r="ET83" s="229"/>
      <c r="EU83" s="229"/>
      <c r="EV83" s="229"/>
      <c r="EW83" s="229"/>
      <c r="EX83" s="229"/>
      <c r="EY83" s="229"/>
      <c r="EZ83" s="229"/>
      <c r="FA83" s="229"/>
      <c r="FB83" s="229"/>
      <c r="FC83" s="229"/>
      <c r="FD83" s="229"/>
      <c r="FE83" s="229"/>
      <c r="FF83" s="229"/>
      <c r="FG83" s="229"/>
      <c r="FH83" s="229"/>
      <c r="FI83" s="372" t="s">
        <v>421</v>
      </c>
      <c r="FJ83" s="373"/>
      <c r="FK83" s="373"/>
      <c r="FL83" s="373"/>
      <c r="FM83" s="373"/>
      <c r="FN83" s="373"/>
      <c r="FO83" s="373"/>
      <c r="FP83" s="373"/>
      <c r="FQ83" s="373"/>
      <c r="FR83" s="373"/>
      <c r="FS83" s="373"/>
      <c r="FT83" s="373"/>
      <c r="FU83" s="373"/>
      <c r="FV83" s="373"/>
      <c r="FW83" s="373"/>
      <c r="FX83" s="373"/>
      <c r="FY83" s="373"/>
      <c r="FZ83" s="373"/>
      <c r="GA83" s="373"/>
      <c r="GB83" s="373"/>
      <c r="GC83" s="373"/>
      <c r="GD83" s="373"/>
      <c r="GE83" s="373"/>
      <c r="GF83" s="373"/>
      <c r="GG83" s="373"/>
      <c r="GH83" s="373"/>
      <c r="GI83" s="373"/>
      <c r="GJ83" s="373"/>
      <c r="GK83" s="373"/>
      <c r="GL83" s="373"/>
      <c r="GM83" s="373"/>
      <c r="GN83" s="373"/>
      <c r="GO83" s="373"/>
      <c r="GP83" s="373"/>
      <c r="GQ83" s="373"/>
      <c r="GR83" s="373"/>
      <c r="GS83" s="373"/>
      <c r="GT83" s="373"/>
      <c r="GU83" s="373"/>
      <c r="GV83" s="374"/>
      <c r="GW83" s="381">
        <f>SUM(GW96:HB115)</f>
        <v>2</v>
      </c>
      <c r="GX83" s="381"/>
      <c r="GY83" s="381"/>
      <c r="GZ83" s="381"/>
      <c r="HA83" s="381"/>
      <c r="HB83" s="381"/>
      <c r="HC83" s="229"/>
      <c r="HF83" s="375"/>
      <c r="HG83" s="376"/>
      <c r="HH83" s="376"/>
      <c r="HI83" s="376"/>
      <c r="HJ83" s="376"/>
      <c r="HK83" s="376"/>
      <c r="HL83" s="376"/>
      <c r="HM83" s="376"/>
      <c r="HN83" s="376"/>
      <c r="HO83" s="376"/>
      <c r="HP83" s="376"/>
      <c r="HQ83" s="376"/>
      <c r="HR83" s="376"/>
      <c r="HS83" s="376"/>
      <c r="HT83" s="376"/>
      <c r="HU83" s="376"/>
      <c r="HV83" s="376"/>
      <c r="HW83" s="376"/>
      <c r="HX83" s="376"/>
      <c r="HY83" s="376"/>
      <c r="HZ83" s="376"/>
      <c r="IA83" s="376"/>
      <c r="IB83" s="376"/>
      <c r="IC83" s="376"/>
      <c r="ID83" s="376"/>
      <c r="IE83" s="376"/>
      <c r="IF83" s="376"/>
      <c r="IG83" s="376"/>
      <c r="IH83" s="376"/>
      <c r="II83" s="376"/>
      <c r="IJ83" s="376"/>
      <c r="IK83" s="376"/>
      <c r="IL83" s="376"/>
      <c r="IM83" s="376"/>
      <c r="IN83" s="376"/>
      <c r="IO83" s="376"/>
      <c r="IP83" s="376"/>
      <c r="IQ83" s="376"/>
      <c r="IR83" s="376"/>
      <c r="IS83" s="377"/>
      <c r="IT83" s="375"/>
      <c r="IU83" s="376"/>
      <c r="IV83" s="376"/>
      <c r="IW83" s="376"/>
      <c r="IX83" s="377"/>
      <c r="JB83" s="228"/>
      <c r="JK83" s="416"/>
      <c r="JL83" s="416"/>
      <c r="JM83" s="416"/>
      <c r="JN83" s="416"/>
      <c r="JO83" s="416"/>
      <c r="JP83" s="416"/>
      <c r="JQ83" s="416"/>
      <c r="JR83" s="416"/>
      <c r="JS83" s="416"/>
      <c r="JT83" s="416"/>
      <c r="JU83" s="416"/>
      <c r="JV83" s="416"/>
      <c r="JW83" s="416"/>
      <c r="JX83" s="416"/>
      <c r="JY83" s="416"/>
      <c r="JZ83" s="416"/>
      <c r="KA83" s="416"/>
      <c r="KB83" s="416"/>
      <c r="KC83" s="416"/>
      <c r="KD83" s="416"/>
      <c r="KE83" s="416"/>
      <c r="KF83" s="416"/>
      <c r="KG83" s="416"/>
      <c r="KH83" s="416"/>
      <c r="KI83" s="416"/>
      <c r="KJ83" s="416"/>
      <c r="KK83" s="416"/>
      <c r="KL83" s="416"/>
      <c r="KM83" s="416"/>
      <c r="KN83" s="416"/>
      <c r="KO83" s="416"/>
      <c r="KP83" s="416"/>
      <c r="KQ83" s="416"/>
      <c r="KR83" s="416"/>
      <c r="KS83" s="416"/>
      <c r="KT83" s="416"/>
      <c r="KU83" s="416"/>
      <c r="KV83" s="416"/>
      <c r="KW83" s="416"/>
      <c r="KX83" s="416"/>
      <c r="KY83" s="416"/>
      <c r="KZ83" s="416"/>
      <c r="LA83" s="416"/>
      <c r="LB83" s="416"/>
      <c r="LC83" s="416"/>
      <c r="LM83" s="416"/>
      <c r="LN83" s="416"/>
      <c r="LO83" s="416"/>
      <c r="LP83" s="416"/>
      <c r="LQ83" s="416"/>
      <c r="LR83" s="416"/>
      <c r="LS83" s="416"/>
      <c r="LT83" s="416"/>
      <c r="LU83" s="416"/>
      <c r="LV83" s="416"/>
      <c r="LW83" s="416"/>
      <c r="LX83" s="416"/>
      <c r="LY83" s="416"/>
      <c r="LZ83" s="416"/>
      <c r="MA83" s="416"/>
      <c r="MB83" s="416"/>
      <c r="MC83" s="416"/>
      <c r="MD83" s="416"/>
      <c r="ME83" s="416"/>
      <c r="MF83" s="416"/>
      <c r="MG83" s="416"/>
      <c r="MH83" s="416"/>
      <c r="MI83" s="416"/>
      <c r="MJ83" s="416"/>
      <c r="MK83" s="416"/>
      <c r="ML83" s="416"/>
      <c r="MM83" s="416"/>
      <c r="MN83" s="416"/>
      <c r="MO83" s="416"/>
      <c r="MP83" s="416"/>
      <c r="MQ83" s="416"/>
      <c r="MR83" s="416"/>
      <c r="MS83" s="416"/>
      <c r="MT83" s="416"/>
      <c r="MU83" s="416"/>
      <c r="MV83" s="416"/>
      <c r="MW83" s="416"/>
      <c r="MX83" s="416"/>
      <c r="MY83" s="416"/>
      <c r="MZ83" s="416"/>
      <c r="NA83" s="416"/>
      <c r="NB83" s="416"/>
      <c r="NC83" s="416"/>
      <c r="ND83" s="416"/>
      <c r="NE83" s="416"/>
      <c r="NF83" s="229"/>
      <c r="NG83" s="229"/>
      <c r="NH83" s="229"/>
      <c r="NI83" s="229"/>
      <c r="QQ83" s="230"/>
      <c r="QR83" s="231"/>
    </row>
    <row r="84" spans="3:460" ht="5.0999999999999996" customHeight="1" x14ac:dyDescent="0.25">
      <c r="C84" s="226"/>
      <c r="D84" s="227"/>
      <c r="E84" s="229"/>
      <c r="G84" s="229"/>
      <c r="H84" s="229"/>
      <c r="I84" s="311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312"/>
      <c r="AB84" s="312"/>
      <c r="AC84" s="312"/>
      <c r="AD84" s="312"/>
      <c r="AE84" s="312"/>
      <c r="AF84" s="312"/>
      <c r="AG84" s="312"/>
      <c r="AH84" s="312"/>
      <c r="AI84" s="312"/>
      <c r="AJ84" s="312"/>
      <c r="AK84" s="312"/>
      <c r="AL84" s="312"/>
      <c r="AM84" s="312"/>
      <c r="AN84" s="312"/>
      <c r="AO84" s="312"/>
      <c r="AP84" s="312"/>
      <c r="AQ84" s="312"/>
      <c r="AR84" s="312"/>
      <c r="AS84" s="312"/>
      <c r="AT84" s="312"/>
      <c r="AU84" s="312"/>
      <c r="AV84" s="312"/>
      <c r="AW84" s="313"/>
      <c r="AX84" s="409"/>
      <c r="AY84" s="410"/>
      <c r="AZ84" s="410"/>
      <c r="BA84" s="410"/>
      <c r="BB84" s="411"/>
      <c r="BC84" s="229"/>
      <c r="BD84" s="229"/>
      <c r="BE84" s="229"/>
      <c r="BF84" s="405"/>
      <c r="BG84" s="405"/>
      <c r="BH84" s="405"/>
      <c r="BI84" s="405"/>
      <c r="BJ84" s="405"/>
      <c r="BK84" s="405"/>
      <c r="BL84" s="405"/>
      <c r="BM84" s="405"/>
      <c r="BN84" s="405"/>
      <c r="BO84" s="405"/>
      <c r="BP84" s="405"/>
      <c r="BQ84" s="405"/>
      <c r="BR84" s="405"/>
      <c r="BS84" s="405"/>
      <c r="BT84" s="405"/>
      <c r="BU84" s="405"/>
      <c r="BV84" s="405"/>
      <c r="BW84" s="405"/>
      <c r="BX84" s="405"/>
      <c r="BY84" s="405"/>
      <c r="BZ84" s="405"/>
      <c r="CA84" s="405"/>
      <c r="CB84" s="405"/>
      <c r="CC84" s="405"/>
      <c r="CD84" s="405"/>
      <c r="CE84" s="405"/>
      <c r="CF84" s="405"/>
      <c r="CG84" s="405"/>
      <c r="CH84" s="405"/>
      <c r="CI84" s="405"/>
      <c r="CJ84" s="405"/>
      <c r="CK84" s="405"/>
      <c r="CL84" s="405"/>
      <c r="CM84" s="405"/>
      <c r="CN84" s="405"/>
      <c r="CO84" s="405"/>
      <c r="CP84" s="405"/>
      <c r="CQ84" s="405"/>
      <c r="CR84" s="405"/>
      <c r="CS84" s="405"/>
      <c r="CT84" s="381"/>
      <c r="CU84" s="381"/>
      <c r="CV84" s="381"/>
      <c r="CW84" s="381"/>
      <c r="CX84" s="381"/>
      <c r="CY84" s="381"/>
      <c r="DP84" s="229"/>
      <c r="DQ84" s="229"/>
      <c r="DR84" s="229"/>
      <c r="DS84" s="229"/>
      <c r="DT84" s="229"/>
      <c r="DU84" s="229"/>
      <c r="DV84" s="229"/>
      <c r="DW84" s="229"/>
      <c r="DX84" s="229"/>
      <c r="DY84" s="229"/>
      <c r="DZ84" s="229"/>
      <c r="EA84" s="229"/>
      <c r="EB84" s="229"/>
      <c r="EC84" s="229"/>
      <c r="ED84" s="229"/>
      <c r="EE84" s="229"/>
      <c r="EF84" s="229"/>
      <c r="EG84" s="234"/>
      <c r="EH84" s="229"/>
      <c r="EI84" s="229"/>
      <c r="EJ84" s="229"/>
      <c r="EK84" s="229"/>
      <c r="EL84" s="229"/>
      <c r="EM84" s="229"/>
      <c r="EN84" s="229"/>
      <c r="EO84" s="229"/>
      <c r="EP84" s="229"/>
      <c r="EQ84" s="229"/>
      <c r="ER84" s="229"/>
      <c r="ES84" s="229"/>
      <c r="FI84" s="375"/>
      <c r="FJ84" s="376"/>
      <c r="FK84" s="376"/>
      <c r="FL84" s="376"/>
      <c r="FM84" s="376"/>
      <c r="FN84" s="376"/>
      <c r="FO84" s="376"/>
      <c r="FP84" s="376"/>
      <c r="FQ84" s="376"/>
      <c r="FR84" s="376"/>
      <c r="FS84" s="376"/>
      <c r="FT84" s="376"/>
      <c r="FU84" s="376"/>
      <c r="FV84" s="376"/>
      <c r="FW84" s="376"/>
      <c r="FX84" s="376"/>
      <c r="FY84" s="376"/>
      <c r="FZ84" s="376"/>
      <c r="GA84" s="376"/>
      <c r="GB84" s="376"/>
      <c r="GC84" s="376"/>
      <c r="GD84" s="376"/>
      <c r="GE84" s="376"/>
      <c r="GF84" s="376"/>
      <c r="GG84" s="376"/>
      <c r="GH84" s="376"/>
      <c r="GI84" s="376"/>
      <c r="GJ84" s="376"/>
      <c r="GK84" s="376"/>
      <c r="GL84" s="376"/>
      <c r="GM84" s="376"/>
      <c r="GN84" s="376"/>
      <c r="GO84" s="376"/>
      <c r="GP84" s="376"/>
      <c r="GQ84" s="376"/>
      <c r="GR84" s="376"/>
      <c r="GS84" s="376"/>
      <c r="GT84" s="376"/>
      <c r="GU84" s="376"/>
      <c r="GV84" s="377"/>
      <c r="GW84" s="381"/>
      <c r="GX84" s="381"/>
      <c r="GY84" s="381"/>
      <c r="GZ84" s="381"/>
      <c r="HA84" s="381"/>
      <c r="HB84" s="381"/>
      <c r="HC84" s="229"/>
      <c r="HF84" s="375"/>
      <c r="HG84" s="376"/>
      <c r="HH84" s="376"/>
      <c r="HI84" s="376"/>
      <c r="HJ84" s="376"/>
      <c r="HK84" s="376"/>
      <c r="HL84" s="376"/>
      <c r="HM84" s="376"/>
      <c r="HN84" s="376"/>
      <c r="HO84" s="376"/>
      <c r="HP84" s="376"/>
      <c r="HQ84" s="376"/>
      <c r="HR84" s="376"/>
      <c r="HS84" s="376"/>
      <c r="HT84" s="376"/>
      <c r="HU84" s="376"/>
      <c r="HV84" s="376"/>
      <c r="HW84" s="376"/>
      <c r="HX84" s="376"/>
      <c r="HY84" s="376"/>
      <c r="HZ84" s="376"/>
      <c r="IA84" s="376"/>
      <c r="IB84" s="376"/>
      <c r="IC84" s="376"/>
      <c r="ID84" s="376"/>
      <c r="IE84" s="376"/>
      <c r="IF84" s="376"/>
      <c r="IG84" s="376"/>
      <c r="IH84" s="376"/>
      <c r="II84" s="376"/>
      <c r="IJ84" s="376"/>
      <c r="IK84" s="376"/>
      <c r="IL84" s="376"/>
      <c r="IM84" s="376"/>
      <c r="IN84" s="376"/>
      <c r="IO84" s="376"/>
      <c r="IP84" s="376"/>
      <c r="IQ84" s="376"/>
      <c r="IR84" s="376"/>
      <c r="IS84" s="377"/>
      <c r="IT84" s="375"/>
      <c r="IU84" s="376"/>
      <c r="IV84" s="376"/>
      <c r="IW84" s="376"/>
      <c r="IX84" s="377"/>
      <c r="JB84" s="229"/>
      <c r="JC84" s="229"/>
      <c r="JK84" s="416"/>
      <c r="JL84" s="416"/>
      <c r="JM84" s="416"/>
      <c r="JN84" s="416"/>
      <c r="JO84" s="416"/>
      <c r="JP84" s="416"/>
      <c r="JQ84" s="416"/>
      <c r="JR84" s="416"/>
      <c r="JS84" s="416"/>
      <c r="JT84" s="416"/>
      <c r="JU84" s="416"/>
      <c r="JV84" s="416"/>
      <c r="JW84" s="416"/>
      <c r="JX84" s="416"/>
      <c r="JY84" s="416"/>
      <c r="JZ84" s="416"/>
      <c r="KA84" s="416"/>
      <c r="KB84" s="416"/>
      <c r="KC84" s="416"/>
      <c r="KD84" s="416"/>
      <c r="KE84" s="416"/>
      <c r="KF84" s="416"/>
      <c r="KG84" s="416"/>
      <c r="KH84" s="416"/>
      <c r="KI84" s="416"/>
      <c r="KJ84" s="416"/>
      <c r="KK84" s="416"/>
      <c r="KL84" s="416"/>
      <c r="KM84" s="416"/>
      <c r="KN84" s="416"/>
      <c r="KO84" s="416"/>
      <c r="KP84" s="416"/>
      <c r="KQ84" s="416"/>
      <c r="KR84" s="416"/>
      <c r="KS84" s="416"/>
      <c r="KT84" s="416"/>
      <c r="KU84" s="416"/>
      <c r="KV84" s="416"/>
      <c r="KW84" s="416"/>
      <c r="KX84" s="416"/>
      <c r="KY84" s="416"/>
      <c r="KZ84" s="416"/>
      <c r="LA84" s="416"/>
      <c r="LB84" s="416"/>
      <c r="LC84" s="416"/>
      <c r="LM84" s="416"/>
      <c r="LN84" s="416"/>
      <c r="LO84" s="416"/>
      <c r="LP84" s="416"/>
      <c r="LQ84" s="416"/>
      <c r="LR84" s="416"/>
      <c r="LS84" s="416"/>
      <c r="LT84" s="416"/>
      <c r="LU84" s="416"/>
      <c r="LV84" s="416"/>
      <c r="LW84" s="416"/>
      <c r="LX84" s="416"/>
      <c r="LY84" s="416"/>
      <c r="LZ84" s="416"/>
      <c r="MA84" s="416"/>
      <c r="MB84" s="416"/>
      <c r="MC84" s="416"/>
      <c r="MD84" s="416"/>
      <c r="ME84" s="416"/>
      <c r="MF84" s="416"/>
      <c r="MG84" s="416"/>
      <c r="MH84" s="416"/>
      <c r="MI84" s="416"/>
      <c r="MJ84" s="416"/>
      <c r="MK84" s="416"/>
      <c r="ML84" s="416"/>
      <c r="MM84" s="416"/>
      <c r="MN84" s="416"/>
      <c r="MO84" s="416"/>
      <c r="MP84" s="416"/>
      <c r="MQ84" s="416"/>
      <c r="MR84" s="416"/>
      <c r="MS84" s="416"/>
      <c r="MT84" s="416"/>
      <c r="MU84" s="416"/>
      <c r="MV84" s="416"/>
      <c r="MW84" s="416"/>
      <c r="MX84" s="416"/>
      <c r="MY84" s="416"/>
      <c r="MZ84" s="416"/>
      <c r="NA84" s="416"/>
      <c r="NB84" s="416"/>
      <c r="NC84" s="416"/>
      <c r="ND84" s="416"/>
      <c r="NE84" s="416"/>
      <c r="NF84" s="229"/>
      <c r="NG84" s="229"/>
      <c r="NH84" s="229"/>
      <c r="NI84" s="229"/>
      <c r="QQ84" s="230"/>
      <c r="QR84" s="231"/>
    </row>
    <row r="85" spans="3:460" ht="5.0999999999999996" customHeight="1" x14ac:dyDescent="0.25">
      <c r="C85" s="226"/>
      <c r="D85" s="227"/>
      <c r="E85" s="229"/>
      <c r="G85" s="229"/>
      <c r="H85" s="229"/>
      <c r="I85" s="311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2"/>
      <c r="AA85" s="312"/>
      <c r="AB85" s="312"/>
      <c r="AC85" s="312"/>
      <c r="AD85" s="312"/>
      <c r="AE85" s="312"/>
      <c r="AF85" s="312"/>
      <c r="AG85" s="312"/>
      <c r="AH85" s="312"/>
      <c r="AI85" s="312"/>
      <c r="AJ85" s="312"/>
      <c r="AK85" s="312"/>
      <c r="AL85" s="312"/>
      <c r="AM85" s="312"/>
      <c r="AN85" s="312"/>
      <c r="AO85" s="312"/>
      <c r="AP85" s="312"/>
      <c r="AQ85" s="312"/>
      <c r="AR85" s="312"/>
      <c r="AS85" s="312"/>
      <c r="AT85" s="312"/>
      <c r="AU85" s="312"/>
      <c r="AV85" s="312"/>
      <c r="AW85" s="313"/>
      <c r="AX85" s="409"/>
      <c r="AY85" s="410"/>
      <c r="AZ85" s="410"/>
      <c r="BA85" s="410"/>
      <c r="BB85" s="411"/>
      <c r="BC85" s="229"/>
      <c r="BD85" s="229"/>
      <c r="BE85" s="229"/>
      <c r="BF85" s="405"/>
      <c r="BG85" s="405"/>
      <c r="BH85" s="405"/>
      <c r="BI85" s="405"/>
      <c r="BJ85" s="405"/>
      <c r="BK85" s="405"/>
      <c r="BL85" s="405"/>
      <c r="BM85" s="405"/>
      <c r="BN85" s="405"/>
      <c r="BO85" s="405"/>
      <c r="BP85" s="405"/>
      <c r="BQ85" s="405"/>
      <c r="BR85" s="405"/>
      <c r="BS85" s="405"/>
      <c r="BT85" s="405"/>
      <c r="BU85" s="405"/>
      <c r="BV85" s="405"/>
      <c r="BW85" s="405"/>
      <c r="BX85" s="405"/>
      <c r="BY85" s="405"/>
      <c r="BZ85" s="405"/>
      <c r="CA85" s="405"/>
      <c r="CB85" s="405"/>
      <c r="CC85" s="405"/>
      <c r="CD85" s="405"/>
      <c r="CE85" s="405"/>
      <c r="CF85" s="405"/>
      <c r="CG85" s="405"/>
      <c r="CH85" s="405"/>
      <c r="CI85" s="405"/>
      <c r="CJ85" s="405"/>
      <c r="CK85" s="405"/>
      <c r="CL85" s="405"/>
      <c r="CM85" s="405"/>
      <c r="CN85" s="405"/>
      <c r="CO85" s="405"/>
      <c r="CP85" s="405"/>
      <c r="CQ85" s="405"/>
      <c r="CR85" s="405"/>
      <c r="CS85" s="405"/>
      <c r="CT85" s="381"/>
      <c r="CU85" s="381"/>
      <c r="CV85" s="381"/>
      <c r="CW85" s="381"/>
      <c r="CX85" s="381"/>
      <c r="CY85" s="381"/>
      <c r="DP85" s="229"/>
      <c r="DQ85" s="229"/>
      <c r="DR85" s="229"/>
      <c r="DS85" s="229"/>
      <c r="DT85" s="229"/>
      <c r="DU85" s="229"/>
      <c r="DV85" s="229"/>
      <c r="DW85" s="229"/>
      <c r="DX85" s="229"/>
      <c r="DY85" s="229"/>
      <c r="DZ85" s="229"/>
      <c r="EA85" s="229"/>
      <c r="EB85" s="229"/>
      <c r="EC85" s="229"/>
      <c r="ED85" s="229"/>
      <c r="EE85" s="229"/>
      <c r="EF85" s="229"/>
      <c r="EG85" s="234"/>
      <c r="EH85" s="229"/>
      <c r="EI85" s="229"/>
      <c r="EJ85" s="229"/>
      <c r="EK85" s="229"/>
      <c r="EL85" s="229"/>
      <c r="EM85" s="229"/>
      <c r="EN85" s="229"/>
      <c r="EO85" s="229"/>
      <c r="EP85" s="229"/>
      <c r="EQ85" s="229"/>
      <c r="ER85" s="229"/>
      <c r="ES85" s="229"/>
      <c r="FI85" s="375"/>
      <c r="FJ85" s="376"/>
      <c r="FK85" s="376"/>
      <c r="FL85" s="376"/>
      <c r="FM85" s="376"/>
      <c r="FN85" s="376"/>
      <c r="FO85" s="376"/>
      <c r="FP85" s="376"/>
      <c r="FQ85" s="376"/>
      <c r="FR85" s="376"/>
      <c r="FS85" s="376"/>
      <c r="FT85" s="376"/>
      <c r="FU85" s="376"/>
      <c r="FV85" s="376"/>
      <c r="FW85" s="376"/>
      <c r="FX85" s="376"/>
      <c r="FY85" s="376"/>
      <c r="FZ85" s="376"/>
      <c r="GA85" s="376"/>
      <c r="GB85" s="376"/>
      <c r="GC85" s="376"/>
      <c r="GD85" s="376"/>
      <c r="GE85" s="376"/>
      <c r="GF85" s="376"/>
      <c r="GG85" s="376"/>
      <c r="GH85" s="376"/>
      <c r="GI85" s="376"/>
      <c r="GJ85" s="376"/>
      <c r="GK85" s="376"/>
      <c r="GL85" s="376"/>
      <c r="GM85" s="376"/>
      <c r="GN85" s="376"/>
      <c r="GO85" s="376"/>
      <c r="GP85" s="376"/>
      <c r="GQ85" s="376"/>
      <c r="GR85" s="376"/>
      <c r="GS85" s="376"/>
      <c r="GT85" s="376"/>
      <c r="GU85" s="376"/>
      <c r="GV85" s="377"/>
      <c r="GW85" s="381"/>
      <c r="GX85" s="381"/>
      <c r="GY85" s="381"/>
      <c r="GZ85" s="381"/>
      <c r="HA85" s="381"/>
      <c r="HB85" s="381"/>
      <c r="HC85" s="229"/>
      <c r="HF85" s="375"/>
      <c r="HG85" s="376"/>
      <c r="HH85" s="376"/>
      <c r="HI85" s="376"/>
      <c r="HJ85" s="376"/>
      <c r="HK85" s="376"/>
      <c r="HL85" s="376"/>
      <c r="HM85" s="376"/>
      <c r="HN85" s="376"/>
      <c r="HO85" s="376"/>
      <c r="HP85" s="376"/>
      <c r="HQ85" s="376"/>
      <c r="HR85" s="376"/>
      <c r="HS85" s="376"/>
      <c r="HT85" s="376"/>
      <c r="HU85" s="376"/>
      <c r="HV85" s="376"/>
      <c r="HW85" s="376"/>
      <c r="HX85" s="376"/>
      <c r="HY85" s="376"/>
      <c r="HZ85" s="376"/>
      <c r="IA85" s="376"/>
      <c r="IB85" s="376"/>
      <c r="IC85" s="376"/>
      <c r="ID85" s="376"/>
      <c r="IE85" s="376"/>
      <c r="IF85" s="376"/>
      <c r="IG85" s="376"/>
      <c r="IH85" s="376"/>
      <c r="II85" s="376"/>
      <c r="IJ85" s="376"/>
      <c r="IK85" s="376"/>
      <c r="IL85" s="376"/>
      <c r="IM85" s="376"/>
      <c r="IN85" s="376"/>
      <c r="IO85" s="376"/>
      <c r="IP85" s="376"/>
      <c r="IQ85" s="376"/>
      <c r="IR85" s="376"/>
      <c r="IS85" s="377"/>
      <c r="IT85" s="375"/>
      <c r="IU85" s="376"/>
      <c r="IV85" s="376"/>
      <c r="IW85" s="376"/>
      <c r="IX85" s="377"/>
      <c r="JB85" s="229"/>
      <c r="JC85" s="229"/>
      <c r="JK85" s="416"/>
      <c r="JL85" s="416"/>
      <c r="JM85" s="416"/>
      <c r="JN85" s="416"/>
      <c r="JO85" s="416"/>
      <c r="JP85" s="416"/>
      <c r="JQ85" s="416"/>
      <c r="JR85" s="416"/>
      <c r="JS85" s="416"/>
      <c r="JT85" s="416"/>
      <c r="JU85" s="416"/>
      <c r="JV85" s="416"/>
      <c r="JW85" s="416"/>
      <c r="JX85" s="416"/>
      <c r="JY85" s="416"/>
      <c r="JZ85" s="416"/>
      <c r="KA85" s="416"/>
      <c r="KB85" s="416"/>
      <c r="KC85" s="416"/>
      <c r="KD85" s="416"/>
      <c r="KE85" s="416"/>
      <c r="KF85" s="416"/>
      <c r="KG85" s="416"/>
      <c r="KH85" s="416"/>
      <c r="KI85" s="416"/>
      <c r="KJ85" s="416"/>
      <c r="KK85" s="416"/>
      <c r="KL85" s="416"/>
      <c r="KM85" s="416"/>
      <c r="KN85" s="416"/>
      <c r="KO85" s="416"/>
      <c r="KP85" s="416"/>
      <c r="KQ85" s="416"/>
      <c r="KR85" s="416"/>
      <c r="KS85" s="416"/>
      <c r="KT85" s="416"/>
      <c r="KU85" s="416"/>
      <c r="KV85" s="416"/>
      <c r="KW85" s="416"/>
      <c r="KX85" s="416"/>
      <c r="KY85" s="416"/>
      <c r="KZ85" s="416"/>
      <c r="LA85" s="416"/>
      <c r="LB85" s="416"/>
      <c r="LC85" s="416"/>
      <c r="LM85" s="416"/>
      <c r="LN85" s="416"/>
      <c r="LO85" s="416"/>
      <c r="LP85" s="416"/>
      <c r="LQ85" s="416"/>
      <c r="LR85" s="416"/>
      <c r="LS85" s="416"/>
      <c r="LT85" s="416"/>
      <c r="LU85" s="416"/>
      <c r="LV85" s="416"/>
      <c r="LW85" s="416"/>
      <c r="LX85" s="416"/>
      <c r="LY85" s="416"/>
      <c r="LZ85" s="416"/>
      <c r="MA85" s="416"/>
      <c r="MB85" s="416"/>
      <c r="MC85" s="416"/>
      <c r="MD85" s="416"/>
      <c r="ME85" s="416"/>
      <c r="MF85" s="416"/>
      <c r="MG85" s="416"/>
      <c r="MH85" s="416"/>
      <c r="MI85" s="416"/>
      <c r="MJ85" s="416"/>
      <c r="MK85" s="416"/>
      <c r="ML85" s="416"/>
      <c r="MM85" s="416"/>
      <c r="MN85" s="416"/>
      <c r="MO85" s="416"/>
      <c r="MP85" s="416"/>
      <c r="MQ85" s="416"/>
      <c r="MR85" s="416"/>
      <c r="MS85" s="416"/>
      <c r="MT85" s="416"/>
      <c r="MU85" s="416"/>
      <c r="MV85" s="416"/>
      <c r="MW85" s="416"/>
      <c r="MX85" s="416"/>
      <c r="MY85" s="416"/>
      <c r="MZ85" s="416"/>
      <c r="NA85" s="416"/>
      <c r="NB85" s="416"/>
      <c r="NC85" s="416"/>
      <c r="ND85" s="416"/>
      <c r="NE85" s="416"/>
      <c r="NF85" s="229"/>
      <c r="NG85" s="229"/>
      <c r="NH85" s="229"/>
      <c r="NI85" s="229"/>
      <c r="QQ85" s="230"/>
      <c r="QR85" s="231"/>
    </row>
    <row r="86" spans="3:460" ht="5.0999999999999996" customHeight="1" x14ac:dyDescent="0.25">
      <c r="C86" s="226"/>
      <c r="D86" s="227"/>
      <c r="E86" s="229"/>
      <c r="G86" s="229"/>
      <c r="H86" s="229"/>
      <c r="I86" s="311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  <c r="AH86" s="312"/>
      <c r="AI86" s="312"/>
      <c r="AJ86" s="312"/>
      <c r="AK86" s="312"/>
      <c r="AL86" s="312"/>
      <c r="AM86" s="312"/>
      <c r="AN86" s="312"/>
      <c r="AO86" s="312"/>
      <c r="AP86" s="312"/>
      <c r="AQ86" s="312"/>
      <c r="AR86" s="312"/>
      <c r="AS86" s="312"/>
      <c r="AT86" s="312"/>
      <c r="AU86" s="312"/>
      <c r="AV86" s="312"/>
      <c r="AW86" s="313"/>
      <c r="AX86" s="409"/>
      <c r="AY86" s="410"/>
      <c r="AZ86" s="410"/>
      <c r="BA86" s="410"/>
      <c r="BB86" s="411"/>
      <c r="BC86" s="229"/>
      <c r="BD86" s="229"/>
      <c r="BE86" s="229"/>
      <c r="BF86" s="405"/>
      <c r="BG86" s="405"/>
      <c r="BH86" s="405"/>
      <c r="BI86" s="405"/>
      <c r="BJ86" s="405"/>
      <c r="BK86" s="405"/>
      <c r="BL86" s="405"/>
      <c r="BM86" s="405"/>
      <c r="BN86" s="405"/>
      <c r="BO86" s="405"/>
      <c r="BP86" s="405"/>
      <c r="BQ86" s="405"/>
      <c r="BR86" s="405"/>
      <c r="BS86" s="405"/>
      <c r="BT86" s="405"/>
      <c r="BU86" s="405"/>
      <c r="BV86" s="405"/>
      <c r="BW86" s="405"/>
      <c r="BX86" s="405"/>
      <c r="BY86" s="405"/>
      <c r="BZ86" s="405"/>
      <c r="CA86" s="405"/>
      <c r="CB86" s="405"/>
      <c r="CC86" s="405"/>
      <c r="CD86" s="405"/>
      <c r="CE86" s="405"/>
      <c r="CF86" s="405"/>
      <c r="CG86" s="405"/>
      <c r="CH86" s="405"/>
      <c r="CI86" s="405"/>
      <c r="CJ86" s="405"/>
      <c r="CK86" s="405"/>
      <c r="CL86" s="405"/>
      <c r="CM86" s="405"/>
      <c r="CN86" s="405"/>
      <c r="CO86" s="405"/>
      <c r="CP86" s="405"/>
      <c r="CQ86" s="405"/>
      <c r="CR86" s="405"/>
      <c r="CS86" s="405"/>
      <c r="CT86" s="381"/>
      <c r="CU86" s="381"/>
      <c r="CV86" s="381"/>
      <c r="CW86" s="381"/>
      <c r="CX86" s="381"/>
      <c r="CY86" s="381"/>
      <c r="DP86" s="229"/>
      <c r="DQ86" s="229"/>
      <c r="DR86" s="229"/>
      <c r="DS86" s="229"/>
      <c r="DT86" s="229"/>
      <c r="DU86" s="229"/>
      <c r="DV86" s="229"/>
      <c r="DW86" s="229"/>
      <c r="DX86" s="229"/>
      <c r="DY86" s="229"/>
      <c r="DZ86" s="229"/>
      <c r="EA86" s="229"/>
      <c r="EB86" s="229"/>
      <c r="EC86" s="229"/>
      <c r="ED86" s="229"/>
      <c r="EE86" s="229"/>
      <c r="EF86" s="229"/>
      <c r="EG86" s="234"/>
      <c r="EH86" s="229"/>
      <c r="EI86" s="229"/>
      <c r="EJ86" s="229"/>
      <c r="EK86" s="229"/>
      <c r="EL86" s="229"/>
      <c r="EM86" s="229"/>
      <c r="EN86" s="229"/>
      <c r="EO86" s="229"/>
      <c r="EP86" s="229"/>
      <c r="EQ86" s="229"/>
      <c r="ER86" s="229"/>
      <c r="ES86" s="229"/>
      <c r="FI86" s="375"/>
      <c r="FJ86" s="376"/>
      <c r="FK86" s="376"/>
      <c r="FL86" s="376"/>
      <c r="FM86" s="376"/>
      <c r="FN86" s="376"/>
      <c r="FO86" s="376"/>
      <c r="FP86" s="376"/>
      <c r="FQ86" s="376"/>
      <c r="FR86" s="376"/>
      <c r="FS86" s="376"/>
      <c r="FT86" s="376"/>
      <c r="FU86" s="376"/>
      <c r="FV86" s="376"/>
      <c r="FW86" s="376"/>
      <c r="FX86" s="376"/>
      <c r="FY86" s="376"/>
      <c r="FZ86" s="376"/>
      <c r="GA86" s="376"/>
      <c r="GB86" s="376"/>
      <c r="GC86" s="376"/>
      <c r="GD86" s="376"/>
      <c r="GE86" s="376"/>
      <c r="GF86" s="376"/>
      <c r="GG86" s="376"/>
      <c r="GH86" s="376"/>
      <c r="GI86" s="376"/>
      <c r="GJ86" s="376"/>
      <c r="GK86" s="376"/>
      <c r="GL86" s="376"/>
      <c r="GM86" s="376"/>
      <c r="GN86" s="376"/>
      <c r="GO86" s="376"/>
      <c r="GP86" s="376"/>
      <c r="GQ86" s="376"/>
      <c r="GR86" s="376"/>
      <c r="GS86" s="376"/>
      <c r="GT86" s="376"/>
      <c r="GU86" s="376"/>
      <c r="GV86" s="377"/>
      <c r="GW86" s="381"/>
      <c r="GX86" s="381"/>
      <c r="GY86" s="381"/>
      <c r="GZ86" s="381"/>
      <c r="HA86" s="381"/>
      <c r="HB86" s="381"/>
      <c r="HC86" s="229"/>
      <c r="HF86" s="375"/>
      <c r="HG86" s="376"/>
      <c r="HH86" s="376"/>
      <c r="HI86" s="376"/>
      <c r="HJ86" s="376"/>
      <c r="HK86" s="376"/>
      <c r="HL86" s="376"/>
      <c r="HM86" s="376"/>
      <c r="HN86" s="376"/>
      <c r="HO86" s="376"/>
      <c r="HP86" s="376"/>
      <c r="HQ86" s="376"/>
      <c r="HR86" s="376"/>
      <c r="HS86" s="376"/>
      <c r="HT86" s="376"/>
      <c r="HU86" s="376"/>
      <c r="HV86" s="376"/>
      <c r="HW86" s="376"/>
      <c r="HX86" s="376"/>
      <c r="HY86" s="376"/>
      <c r="HZ86" s="376"/>
      <c r="IA86" s="376"/>
      <c r="IB86" s="376"/>
      <c r="IC86" s="376"/>
      <c r="ID86" s="376"/>
      <c r="IE86" s="376"/>
      <c r="IF86" s="376"/>
      <c r="IG86" s="376"/>
      <c r="IH86" s="376"/>
      <c r="II86" s="376"/>
      <c r="IJ86" s="376"/>
      <c r="IK86" s="376"/>
      <c r="IL86" s="376"/>
      <c r="IM86" s="376"/>
      <c r="IN86" s="376"/>
      <c r="IO86" s="376"/>
      <c r="IP86" s="376"/>
      <c r="IQ86" s="376"/>
      <c r="IR86" s="376"/>
      <c r="IS86" s="377"/>
      <c r="IT86" s="375"/>
      <c r="IU86" s="376"/>
      <c r="IV86" s="376"/>
      <c r="IW86" s="376"/>
      <c r="IX86" s="377"/>
      <c r="JB86" s="229"/>
      <c r="JC86" s="229"/>
      <c r="JK86" s="416"/>
      <c r="JL86" s="416"/>
      <c r="JM86" s="416"/>
      <c r="JN86" s="416"/>
      <c r="JO86" s="416"/>
      <c r="JP86" s="416"/>
      <c r="JQ86" s="416"/>
      <c r="JR86" s="416"/>
      <c r="JS86" s="416"/>
      <c r="JT86" s="416"/>
      <c r="JU86" s="416"/>
      <c r="JV86" s="416"/>
      <c r="JW86" s="416"/>
      <c r="JX86" s="416"/>
      <c r="JY86" s="416"/>
      <c r="JZ86" s="416"/>
      <c r="KA86" s="416"/>
      <c r="KB86" s="416"/>
      <c r="KC86" s="416"/>
      <c r="KD86" s="416"/>
      <c r="KE86" s="416"/>
      <c r="KF86" s="416"/>
      <c r="KG86" s="416"/>
      <c r="KH86" s="416"/>
      <c r="KI86" s="416"/>
      <c r="KJ86" s="416"/>
      <c r="KK86" s="416"/>
      <c r="KL86" s="416"/>
      <c r="KM86" s="416"/>
      <c r="KN86" s="416"/>
      <c r="KO86" s="416"/>
      <c r="KP86" s="416"/>
      <c r="KQ86" s="416"/>
      <c r="KR86" s="416"/>
      <c r="KS86" s="416"/>
      <c r="KT86" s="416"/>
      <c r="KU86" s="416"/>
      <c r="KV86" s="416"/>
      <c r="KW86" s="416"/>
      <c r="KX86" s="416"/>
      <c r="KY86" s="416"/>
      <c r="KZ86" s="416"/>
      <c r="LA86" s="416"/>
      <c r="LB86" s="416"/>
      <c r="LC86" s="416"/>
      <c r="LM86" s="416"/>
      <c r="LN86" s="416"/>
      <c r="LO86" s="416"/>
      <c r="LP86" s="416"/>
      <c r="LQ86" s="416"/>
      <c r="LR86" s="416"/>
      <c r="LS86" s="416"/>
      <c r="LT86" s="416"/>
      <c r="LU86" s="416"/>
      <c r="LV86" s="416"/>
      <c r="LW86" s="416"/>
      <c r="LX86" s="416"/>
      <c r="LY86" s="416"/>
      <c r="LZ86" s="416"/>
      <c r="MA86" s="416"/>
      <c r="MB86" s="416"/>
      <c r="MC86" s="416"/>
      <c r="MD86" s="416"/>
      <c r="ME86" s="416"/>
      <c r="MF86" s="416"/>
      <c r="MG86" s="416"/>
      <c r="MH86" s="416"/>
      <c r="MI86" s="416"/>
      <c r="MJ86" s="416"/>
      <c r="MK86" s="416"/>
      <c r="ML86" s="416"/>
      <c r="MM86" s="416"/>
      <c r="MN86" s="416"/>
      <c r="MO86" s="416"/>
      <c r="MP86" s="416"/>
      <c r="MQ86" s="416"/>
      <c r="MR86" s="416"/>
      <c r="MS86" s="416"/>
      <c r="MT86" s="416"/>
      <c r="MU86" s="416"/>
      <c r="MV86" s="416"/>
      <c r="MW86" s="416"/>
      <c r="MX86" s="416"/>
      <c r="MY86" s="416"/>
      <c r="MZ86" s="416"/>
      <c r="NA86" s="416"/>
      <c r="NB86" s="416"/>
      <c r="NC86" s="416"/>
      <c r="ND86" s="416"/>
      <c r="NE86" s="416"/>
      <c r="QQ86" s="230"/>
      <c r="QR86" s="231"/>
    </row>
    <row r="87" spans="3:460" ht="5.0999999999999996" customHeight="1" x14ac:dyDescent="0.25">
      <c r="C87" s="226"/>
      <c r="D87" s="227"/>
      <c r="E87" s="229"/>
      <c r="G87" s="229"/>
      <c r="H87" s="229"/>
      <c r="I87" s="314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  <c r="AT87" s="315"/>
      <c r="AU87" s="315"/>
      <c r="AV87" s="315"/>
      <c r="AW87" s="316"/>
      <c r="AX87" s="412"/>
      <c r="AY87" s="413"/>
      <c r="AZ87" s="413"/>
      <c r="BA87" s="413"/>
      <c r="BB87" s="414"/>
      <c r="BC87" s="229"/>
      <c r="BD87" s="229"/>
      <c r="BE87" s="229"/>
      <c r="BF87" s="405"/>
      <c r="BG87" s="405"/>
      <c r="BH87" s="405"/>
      <c r="BI87" s="405"/>
      <c r="BJ87" s="405"/>
      <c r="BK87" s="405"/>
      <c r="BL87" s="405"/>
      <c r="BM87" s="405"/>
      <c r="BN87" s="405"/>
      <c r="BO87" s="405"/>
      <c r="BP87" s="405"/>
      <c r="BQ87" s="405"/>
      <c r="BR87" s="405"/>
      <c r="BS87" s="405"/>
      <c r="BT87" s="405"/>
      <c r="BU87" s="405"/>
      <c r="BV87" s="405"/>
      <c r="BW87" s="405"/>
      <c r="BX87" s="405"/>
      <c r="BY87" s="405"/>
      <c r="BZ87" s="405"/>
      <c r="CA87" s="405"/>
      <c r="CB87" s="405"/>
      <c r="CC87" s="405"/>
      <c r="CD87" s="405"/>
      <c r="CE87" s="405"/>
      <c r="CF87" s="405"/>
      <c r="CG87" s="405"/>
      <c r="CH87" s="405"/>
      <c r="CI87" s="405"/>
      <c r="CJ87" s="405"/>
      <c r="CK87" s="405"/>
      <c r="CL87" s="405"/>
      <c r="CM87" s="405"/>
      <c r="CN87" s="405"/>
      <c r="CO87" s="405"/>
      <c r="CP87" s="405"/>
      <c r="CQ87" s="405"/>
      <c r="CR87" s="405"/>
      <c r="CS87" s="405"/>
      <c r="CT87" s="381"/>
      <c r="CU87" s="381"/>
      <c r="CV87" s="381"/>
      <c r="CW87" s="381"/>
      <c r="CX87" s="381"/>
      <c r="CY87" s="381"/>
      <c r="DP87" s="229"/>
      <c r="DQ87" s="229"/>
      <c r="DR87" s="229"/>
      <c r="DS87" s="229"/>
      <c r="DT87" s="229"/>
      <c r="DU87" s="229"/>
      <c r="DV87" s="229"/>
      <c r="DW87" s="229"/>
      <c r="DX87" s="229"/>
      <c r="DY87" s="229"/>
      <c r="DZ87" s="229"/>
      <c r="EA87" s="229"/>
      <c r="EB87" s="229"/>
      <c r="EC87" s="229"/>
      <c r="ED87" s="229"/>
      <c r="EE87" s="229"/>
      <c r="EF87" s="229"/>
      <c r="EG87" s="234"/>
      <c r="EH87" s="229"/>
      <c r="EI87" s="229"/>
      <c r="EJ87" s="229"/>
      <c r="EK87" s="229"/>
      <c r="EL87" s="229"/>
      <c r="EM87" s="229"/>
      <c r="EN87" s="229"/>
      <c r="EO87" s="229"/>
      <c r="EP87" s="229"/>
      <c r="EQ87" s="229"/>
      <c r="ER87" s="229"/>
      <c r="ES87" s="229"/>
      <c r="FI87" s="375"/>
      <c r="FJ87" s="376"/>
      <c r="FK87" s="376"/>
      <c r="FL87" s="376"/>
      <c r="FM87" s="376"/>
      <c r="FN87" s="376"/>
      <c r="FO87" s="376"/>
      <c r="FP87" s="376"/>
      <c r="FQ87" s="376"/>
      <c r="FR87" s="376"/>
      <c r="FS87" s="376"/>
      <c r="FT87" s="376"/>
      <c r="FU87" s="376"/>
      <c r="FV87" s="376"/>
      <c r="FW87" s="376"/>
      <c r="FX87" s="376"/>
      <c r="FY87" s="376"/>
      <c r="FZ87" s="376"/>
      <c r="GA87" s="376"/>
      <c r="GB87" s="376"/>
      <c r="GC87" s="376"/>
      <c r="GD87" s="376"/>
      <c r="GE87" s="376"/>
      <c r="GF87" s="376"/>
      <c r="GG87" s="376"/>
      <c r="GH87" s="376"/>
      <c r="GI87" s="376"/>
      <c r="GJ87" s="376"/>
      <c r="GK87" s="376"/>
      <c r="GL87" s="376"/>
      <c r="GM87" s="376"/>
      <c r="GN87" s="376"/>
      <c r="GO87" s="376"/>
      <c r="GP87" s="376"/>
      <c r="GQ87" s="376"/>
      <c r="GR87" s="376"/>
      <c r="GS87" s="376"/>
      <c r="GT87" s="376"/>
      <c r="GU87" s="376"/>
      <c r="GV87" s="377"/>
      <c r="GW87" s="381"/>
      <c r="GX87" s="381"/>
      <c r="GY87" s="381"/>
      <c r="GZ87" s="381"/>
      <c r="HA87" s="381"/>
      <c r="HB87" s="381"/>
      <c r="HC87" s="229"/>
      <c r="HF87" s="375"/>
      <c r="HG87" s="376"/>
      <c r="HH87" s="376"/>
      <c r="HI87" s="376"/>
      <c r="HJ87" s="376"/>
      <c r="HK87" s="376"/>
      <c r="HL87" s="376"/>
      <c r="HM87" s="376"/>
      <c r="HN87" s="376"/>
      <c r="HO87" s="376"/>
      <c r="HP87" s="376"/>
      <c r="HQ87" s="376"/>
      <c r="HR87" s="376"/>
      <c r="HS87" s="376"/>
      <c r="HT87" s="376"/>
      <c r="HU87" s="376"/>
      <c r="HV87" s="376"/>
      <c r="HW87" s="376"/>
      <c r="HX87" s="376"/>
      <c r="HY87" s="376"/>
      <c r="HZ87" s="376"/>
      <c r="IA87" s="376"/>
      <c r="IB87" s="376"/>
      <c r="IC87" s="376"/>
      <c r="ID87" s="376"/>
      <c r="IE87" s="376"/>
      <c r="IF87" s="376"/>
      <c r="IG87" s="376"/>
      <c r="IH87" s="376"/>
      <c r="II87" s="376"/>
      <c r="IJ87" s="376"/>
      <c r="IK87" s="376"/>
      <c r="IL87" s="376"/>
      <c r="IM87" s="376"/>
      <c r="IN87" s="376"/>
      <c r="IO87" s="376"/>
      <c r="IP87" s="376"/>
      <c r="IQ87" s="376"/>
      <c r="IR87" s="376"/>
      <c r="IS87" s="377"/>
      <c r="IT87" s="375"/>
      <c r="IU87" s="376"/>
      <c r="IV87" s="376"/>
      <c r="IW87" s="376"/>
      <c r="IX87" s="377"/>
      <c r="JB87" s="229"/>
      <c r="JC87" s="229"/>
      <c r="JK87" s="416"/>
      <c r="JL87" s="416"/>
      <c r="JM87" s="416"/>
      <c r="JN87" s="416"/>
      <c r="JO87" s="416"/>
      <c r="JP87" s="416"/>
      <c r="JQ87" s="416"/>
      <c r="JR87" s="416"/>
      <c r="JS87" s="416"/>
      <c r="JT87" s="416"/>
      <c r="JU87" s="416"/>
      <c r="JV87" s="416"/>
      <c r="JW87" s="416"/>
      <c r="JX87" s="416"/>
      <c r="JY87" s="416"/>
      <c r="JZ87" s="416"/>
      <c r="KA87" s="416"/>
      <c r="KB87" s="416"/>
      <c r="KC87" s="416"/>
      <c r="KD87" s="416"/>
      <c r="KE87" s="416"/>
      <c r="KF87" s="416"/>
      <c r="KG87" s="416"/>
      <c r="KH87" s="416"/>
      <c r="KI87" s="416"/>
      <c r="KJ87" s="416"/>
      <c r="KK87" s="416"/>
      <c r="KL87" s="416"/>
      <c r="KM87" s="416"/>
      <c r="KN87" s="416"/>
      <c r="KO87" s="416"/>
      <c r="KP87" s="416"/>
      <c r="KQ87" s="416"/>
      <c r="KR87" s="416"/>
      <c r="KS87" s="416"/>
      <c r="KT87" s="416"/>
      <c r="KU87" s="416"/>
      <c r="KV87" s="416"/>
      <c r="KW87" s="416"/>
      <c r="KX87" s="416"/>
      <c r="KY87" s="416"/>
      <c r="KZ87" s="416"/>
      <c r="LA87" s="416"/>
      <c r="LB87" s="416"/>
      <c r="LC87" s="416"/>
      <c r="LM87" s="416"/>
      <c r="LN87" s="416"/>
      <c r="LO87" s="416"/>
      <c r="LP87" s="416"/>
      <c r="LQ87" s="416"/>
      <c r="LR87" s="416"/>
      <c r="LS87" s="416"/>
      <c r="LT87" s="416"/>
      <c r="LU87" s="416"/>
      <c r="LV87" s="416"/>
      <c r="LW87" s="416"/>
      <c r="LX87" s="416"/>
      <c r="LY87" s="416"/>
      <c r="LZ87" s="416"/>
      <c r="MA87" s="416"/>
      <c r="MB87" s="416"/>
      <c r="MC87" s="416"/>
      <c r="MD87" s="416"/>
      <c r="ME87" s="416"/>
      <c r="MF87" s="416"/>
      <c r="MG87" s="416"/>
      <c r="MH87" s="416"/>
      <c r="MI87" s="416"/>
      <c r="MJ87" s="416"/>
      <c r="MK87" s="416"/>
      <c r="ML87" s="416"/>
      <c r="MM87" s="416"/>
      <c r="MN87" s="416"/>
      <c r="MO87" s="416"/>
      <c r="MP87" s="416"/>
      <c r="MQ87" s="416"/>
      <c r="MR87" s="416"/>
      <c r="MS87" s="416"/>
      <c r="MT87" s="416"/>
      <c r="MU87" s="416"/>
      <c r="MV87" s="416"/>
      <c r="MW87" s="416"/>
      <c r="MX87" s="416"/>
      <c r="MY87" s="416"/>
      <c r="MZ87" s="416"/>
      <c r="NA87" s="416"/>
      <c r="NB87" s="416"/>
      <c r="NC87" s="416"/>
      <c r="ND87" s="416"/>
      <c r="NE87" s="416"/>
      <c r="QQ87" s="230"/>
      <c r="QR87" s="231"/>
    </row>
    <row r="88" spans="3:460" ht="5.0999999999999996" customHeight="1" x14ac:dyDescent="0.25">
      <c r="C88" s="226"/>
      <c r="D88" s="227"/>
      <c r="E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29"/>
      <c r="AY88" s="229"/>
      <c r="AZ88" s="229"/>
      <c r="BA88" s="229"/>
      <c r="BB88" s="229"/>
      <c r="BC88" s="229"/>
      <c r="BD88" s="229"/>
      <c r="BE88" s="229"/>
      <c r="BF88" s="405"/>
      <c r="BG88" s="405"/>
      <c r="BH88" s="405"/>
      <c r="BI88" s="405"/>
      <c r="BJ88" s="405"/>
      <c r="BK88" s="405"/>
      <c r="BL88" s="405"/>
      <c r="BM88" s="405"/>
      <c r="BN88" s="405"/>
      <c r="BO88" s="405"/>
      <c r="BP88" s="405"/>
      <c r="BQ88" s="405"/>
      <c r="BR88" s="405"/>
      <c r="BS88" s="405"/>
      <c r="BT88" s="405"/>
      <c r="BU88" s="405"/>
      <c r="BV88" s="405"/>
      <c r="BW88" s="405"/>
      <c r="BX88" s="405"/>
      <c r="BY88" s="405"/>
      <c r="BZ88" s="405"/>
      <c r="CA88" s="405"/>
      <c r="CB88" s="405"/>
      <c r="CC88" s="405"/>
      <c r="CD88" s="405"/>
      <c r="CE88" s="405"/>
      <c r="CF88" s="405"/>
      <c r="CG88" s="405"/>
      <c r="CH88" s="405"/>
      <c r="CI88" s="405"/>
      <c r="CJ88" s="405"/>
      <c r="CK88" s="405"/>
      <c r="CL88" s="405"/>
      <c r="CM88" s="405"/>
      <c r="CN88" s="405"/>
      <c r="CO88" s="405"/>
      <c r="CP88" s="405"/>
      <c r="CQ88" s="405"/>
      <c r="CR88" s="405"/>
      <c r="CS88" s="405"/>
      <c r="CT88" s="381"/>
      <c r="CU88" s="381"/>
      <c r="CV88" s="381"/>
      <c r="CW88" s="381"/>
      <c r="CX88" s="381"/>
      <c r="CY88" s="381"/>
      <c r="DP88" s="229"/>
      <c r="DQ88" s="229"/>
      <c r="DR88" s="229"/>
      <c r="DS88" s="229"/>
      <c r="DT88" s="229"/>
      <c r="DU88" s="229"/>
      <c r="DV88" s="229"/>
      <c r="DW88" s="229"/>
      <c r="DX88" s="229"/>
      <c r="DY88" s="229"/>
      <c r="DZ88" s="229"/>
      <c r="EA88" s="229"/>
      <c r="EB88" s="229"/>
      <c r="EC88" s="229"/>
      <c r="ED88" s="229"/>
      <c r="EE88" s="229"/>
      <c r="EF88" s="229"/>
      <c r="EG88" s="234"/>
      <c r="EH88" s="229"/>
      <c r="EI88" s="229"/>
      <c r="EJ88" s="229"/>
      <c r="EK88" s="229"/>
      <c r="EL88" s="229"/>
      <c r="EM88" s="229"/>
      <c r="EN88" s="229"/>
      <c r="EO88" s="229"/>
      <c r="EP88" s="229"/>
      <c r="EQ88" s="229"/>
      <c r="ER88" s="229"/>
      <c r="ES88" s="229"/>
      <c r="FI88" s="375"/>
      <c r="FJ88" s="376"/>
      <c r="FK88" s="376"/>
      <c r="FL88" s="376"/>
      <c r="FM88" s="376"/>
      <c r="FN88" s="376"/>
      <c r="FO88" s="376"/>
      <c r="FP88" s="376"/>
      <c r="FQ88" s="376"/>
      <c r="FR88" s="376"/>
      <c r="FS88" s="376"/>
      <c r="FT88" s="376"/>
      <c r="FU88" s="376"/>
      <c r="FV88" s="376"/>
      <c r="FW88" s="376"/>
      <c r="FX88" s="376"/>
      <c r="FY88" s="376"/>
      <c r="FZ88" s="376"/>
      <c r="GA88" s="376"/>
      <c r="GB88" s="376"/>
      <c r="GC88" s="376"/>
      <c r="GD88" s="376"/>
      <c r="GE88" s="376"/>
      <c r="GF88" s="376"/>
      <c r="GG88" s="376"/>
      <c r="GH88" s="376"/>
      <c r="GI88" s="376"/>
      <c r="GJ88" s="376"/>
      <c r="GK88" s="376"/>
      <c r="GL88" s="376"/>
      <c r="GM88" s="376"/>
      <c r="GN88" s="376"/>
      <c r="GO88" s="376"/>
      <c r="GP88" s="376"/>
      <c r="GQ88" s="376"/>
      <c r="GR88" s="376"/>
      <c r="GS88" s="376"/>
      <c r="GT88" s="376"/>
      <c r="GU88" s="376"/>
      <c r="GV88" s="377"/>
      <c r="GW88" s="381"/>
      <c r="GX88" s="381"/>
      <c r="GY88" s="381"/>
      <c r="GZ88" s="381"/>
      <c r="HA88" s="381"/>
      <c r="HB88" s="381"/>
      <c r="HC88" s="229"/>
      <c r="HF88" s="375"/>
      <c r="HG88" s="376"/>
      <c r="HH88" s="376"/>
      <c r="HI88" s="376"/>
      <c r="HJ88" s="376"/>
      <c r="HK88" s="376"/>
      <c r="HL88" s="376"/>
      <c r="HM88" s="376"/>
      <c r="HN88" s="376"/>
      <c r="HO88" s="376"/>
      <c r="HP88" s="376"/>
      <c r="HQ88" s="376"/>
      <c r="HR88" s="376"/>
      <c r="HS88" s="376"/>
      <c r="HT88" s="376"/>
      <c r="HU88" s="376"/>
      <c r="HV88" s="376"/>
      <c r="HW88" s="376"/>
      <c r="HX88" s="376"/>
      <c r="HY88" s="376"/>
      <c r="HZ88" s="376"/>
      <c r="IA88" s="376"/>
      <c r="IB88" s="376"/>
      <c r="IC88" s="376"/>
      <c r="ID88" s="376"/>
      <c r="IE88" s="376"/>
      <c r="IF88" s="376"/>
      <c r="IG88" s="376"/>
      <c r="IH88" s="376"/>
      <c r="II88" s="376"/>
      <c r="IJ88" s="376"/>
      <c r="IK88" s="376"/>
      <c r="IL88" s="376"/>
      <c r="IM88" s="376"/>
      <c r="IN88" s="376"/>
      <c r="IO88" s="376"/>
      <c r="IP88" s="376"/>
      <c r="IQ88" s="376"/>
      <c r="IR88" s="376"/>
      <c r="IS88" s="377"/>
      <c r="IT88" s="375"/>
      <c r="IU88" s="376"/>
      <c r="IV88" s="376"/>
      <c r="IW88" s="376"/>
      <c r="IX88" s="377"/>
      <c r="JB88" s="229"/>
      <c r="JC88" s="229"/>
      <c r="JK88" s="416"/>
      <c r="JL88" s="416"/>
      <c r="JM88" s="416"/>
      <c r="JN88" s="416"/>
      <c r="JO88" s="416"/>
      <c r="JP88" s="416"/>
      <c r="JQ88" s="416"/>
      <c r="JR88" s="416"/>
      <c r="JS88" s="416"/>
      <c r="JT88" s="416"/>
      <c r="JU88" s="416"/>
      <c r="JV88" s="416"/>
      <c r="JW88" s="416"/>
      <c r="JX88" s="416"/>
      <c r="JY88" s="416"/>
      <c r="JZ88" s="416"/>
      <c r="KA88" s="416"/>
      <c r="KB88" s="416"/>
      <c r="KC88" s="416"/>
      <c r="KD88" s="416"/>
      <c r="KE88" s="416"/>
      <c r="KF88" s="416"/>
      <c r="KG88" s="416"/>
      <c r="KH88" s="416"/>
      <c r="KI88" s="416"/>
      <c r="KJ88" s="416"/>
      <c r="KK88" s="416"/>
      <c r="KL88" s="416"/>
      <c r="KM88" s="416"/>
      <c r="KN88" s="416"/>
      <c r="KO88" s="416"/>
      <c r="KP88" s="416"/>
      <c r="KQ88" s="416"/>
      <c r="KR88" s="416"/>
      <c r="KS88" s="416"/>
      <c r="KT88" s="416"/>
      <c r="KU88" s="416"/>
      <c r="KV88" s="416"/>
      <c r="KW88" s="416"/>
      <c r="KX88" s="416"/>
      <c r="KY88" s="416"/>
      <c r="KZ88" s="416"/>
      <c r="LA88" s="416"/>
      <c r="LB88" s="416"/>
      <c r="LC88" s="416"/>
      <c r="LM88" s="416"/>
      <c r="LN88" s="416"/>
      <c r="LO88" s="416"/>
      <c r="LP88" s="416"/>
      <c r="LQ88" s="416"/>
      <c r="LR88" s="416"/>
      <c r="LS88" s="416"/>
      <c r="LT88" s="416"/>
      <c r="LU88" s="416"/>
      <c r="LV88" s="416"/>
      <c r="LW88" s="416"/>
      <c r="LX88" s="416"/>
      <c r="LY88" s="416"/>
      <c r="LZ88" s="416"/>
      <c r="MA88" s="416"/>
      <c r="MB88" s="416"/>
      <c r="MC88" s="416"/>
      <c r="MD88" s="416"/>
      <c r="ME88" s="416"/>
      <c r="MF88" s="416"/>
      <c r="MG88" s="416"/>
      <c r="MH88" s="416"/>
      <c r="MI88" s="416"/>
      <c r="MJ88" s="416"/>
      <c r="MK88" s="416"/>
      <c r="ML88" s="416"/>
      <c r="MM88" s="416"/>
      <c r="MN88" s="416"/>
      <c r="MO88" s="416"/>
      <c r="MP88" s="416"/>
      <c r="MQ88" s="416"/>
      <c r="MR88" s="416"/>
      <c r="MS88" s="416"/>
      <c r="MT88" s="416"/>
      <c r="MU88" s="416"/>
      <c r="MV88" s="416"/>
      <c r="MW88" s="416"/>
      <c r="MX88" s="416"/>
      <c r="MY88" s="416"/>
      <c r="MZ88" s="416"/>
      <c r="NA88" s="416"/>
      <c r="NB88" s="416"/>
      <c r="NC88" s="416"/>
      <c r="ND88" s="416"/>
      <c r="NE88" s="416"/>
      <c r="QQ88" s="230"/>
      <c r="QR88" s="231"/>
    </row>
    <row r="89" spans="3:460" ht="5.0999999999999996" customHeight="1" x14ac:dyDescent="0.25">
      <c r="C89" s="226"/>
      <c r="D89" s="227"/>
      <c r="E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  <c r="AX89" s="229"/>
      <c r="AY89" s="229"/>
      <c r="AZ89" s="229"/>
      <c r="BA89" s="229"/>
      <c r="BB89" s="229"/>
      <c r="BC89" s="229"/>
      <c r="BD89" s="229"/>
      <c r="BE89" s="229"/>
      <c r="BF89" s="405"/>
      <c r="BG89" s="405"/>
      <c r="BH89" s="405"/>
      <c r="BI89" s="405"/>
      <c r="BJ89" s="405"/>
      <c r="BK89" s="405"/>
      <c r="BL89" s="405"/>
      <c r="BM89" s="405"/>
      <c r="BN89" s="405"/>
      <c r="BO89" s="405"/>
      <c r="BP89" s="405"/>
      <c r="BQ89" s="405"/>
      <c r="BR89" s="405"/>
      <c r="BS89" s="405"/>
      <c r="BT89" s="405"/>
      <c r="BU89" s="405"/>
      <c r="BV89" s="405"/>
      <c r="BW89" s="405"/>
      <c r="BX89" s="405"/>
      <c r="BY89" s="405"/>
      <c r="BZ89" s="405"/>
      <c r="CA89" s="405"/>
      <c r="CB89" s="405"/>
      <c r="CC89" s="405"/>
      <c r="CD89" s="405"/>
      <c r="CE89" s="405"/>
      <c r="CF89" s="405"/>
      <c r="CG89" s="405"/>
      <c r="CH89" s="405"/>
      <c r="CI89" s="405"/>
      <c r="CJ89" s="405"/>
      <c r="CK89" s="405"/>
      <c r="CL89" s="405"/>
      <c r="CM89" s="405"/>
      <c r="CN89" s="405"/>
      <c r="CO89" s="405"/>
      <c r="CP89" s="405"/>
      <c r="CQ89" s="405"/>
      <c r="CR89" s="405"/>
      <c r="CS89" s="405"/>
      <c r="CT89" s="381"/>
      <c r="CU89" s="381"/>
      <c r="CV89" s="381"/>
      <c r="CW89" s="381"/>
      <c r="CX89" s="381"/>
      <c r="CY89" s="381"/>
      <c r="DP89" s="229"/>
      <c r="DQ89" s="229"/>
      <c r="DR89" s="229"/>
      <c r="DS89" s="229"/>
      <c r="DT89" s="229"/>
      <c r="DU89" s="229"/>
      <c r="DV89" s="229"/>
      <c r="DW89" s="229"/>
      <c r="DX89" s="229"/>
      <c r="DY89" s="229"/>
      <c r="DZ89" s="229"/>
      <c r="EA89" s="229"/>
      <c r="EB89" s="229"/>
      <c r="EC89" s="229"/>
      <c r="ED89" s="229"/>
      <c r="EE89" s="229"/>
      <c r="EF89" s="229"/>
      <c r="EG89" s="234"/>
      <c r="EH89" s="229"/>
      <c r="EI89" s="229"/>
      <c r="EJ89" s="229"/>
      <c r="EK89" s="229"/>
      <c r="EL89" s="229"/>
      <c r="EM89" s="229"/>
      <c r="EN89" s="229"/>
      <c r="EO89" s="229"/>
      <c r="EP89" s="229"/>
      <c r="EQ89" s="229"/>
      <c r="ER89" s="229"/>
      <c r="ES89" s="229"/>
      <c r="FI89" s="375"/>
      <c r="FJ89" s="376"/>
      <c r="FK89" s="376"/>
      <c r="FL89" s="376"/>
      <c r="FM89" s="376"/>
      <c r="FN89" s="376"/>
      <c r="FO89" s="376"/>
      <c r="FP89" s="376"/>
      <c r="FQ89" s="376"/>
      <c r="FR89" s="376"/>
      <c r="FS89" s="376"/>
      <c r="FT89" s="376"/>
      <c r="FU89" s="376"/>
      <c r="FV89" s="376"/>
      <c r="FW89" s="376"/>
      <c r="FX89" s="376"/>
      <c r="FY89" s="376"/>
      <c r="FZ89" s="376"/>
      <c r="GA89" s="376"/>
      <c r="GB89" s="376"/>
      <c r="GC89" s="376"/>
      <c r="GD89" s="376"/>
      <c r="GE89" s="376"/>
      <c r="GF89" s="376"/>
      <c r="GG89" s="376"/>
      <c r="GH89" s="376"/>
      <c r="GI89" s="376"/>
      <c r="GJ89" s="376"/>
      <c r="GK89" s="376"/>
      <c r="GL89" s="376"/>
      <c r="GM89" s="376"/>
      <c r="GN89" s="376"/>
      <c r="GO89" s="376"/>
      <c r="GP89" s="376"/>
      <c r="GQ89" s="376"/>
      <c r="GR89" s="376"/>
      <c r="GS89" s="376"/>
      <c r="GT89" s="376"/>
      <c r="GU89" s="376"/>
      <c r="GV89" s="377"/>
      <c r="GW89" s="381"/>
      <c r="GX89" s="381"/>
      <c r="GY89" s="381"/>
      <c r="GZ89" s="381"/>
      <c r="HA89" s="381"/>
      <c r="HB89" s="381"/>
      <c r="HC89" s="229"/>
      <c r="HF89" s="375"/>
      <c r="HG89" s="376"/>
      <c r="HH89" s="376"/>
      <c r="HI89" s="376"/>
      <c r="HJ89" s="376"/>
      <c r="HK89" s="376"/>
      <c r="HL89" s="376"/>
      <c r="HM89" s="376"/>
      <c r="HN89" s="376"/>
      <c r="HO89" s="376"/>
      <c r="HP89" s="376"/>
      <c r="HQ89" s="376"/>
      <c r="HR89" s="376"/>
      <c r="HS89" s="376"/>
      <c r="HT89" s="376"/>
      <c r="HU89" s="376"/>
      <c r="HV89" s="376"/>
      <c r="HW89" s="376"/>
      <c r="HX89" s="376"/>
      <c r="HY89" s="376"/>
      <c r="HZ89" s="376"/>
      <c r="IA89" s="376"/>
      <c r="IB89" s="376"/>
      <c r="IC89" s="376"/>
      <c r="ID89" s="376"/>
      <c r="IE89" s="376"/>
      <c r="IF89" s="376"/>
      <c r="IG89" s="376"/>
      <c r="IH89" s="376"/>
      <c r="II89" s="376"/>
      <c r="IJ89" s="376"/>
      <c r="IK89" s="376"/>
      <c r="IL89" s="376"/>
      <c r="IM89" s="376"/>
      <c r="IN89" s="376"/>
      <c r="IO89" s="376"/>
      <c r="IP89" s="376"/>
      <c r="IQ89" s="376"/>
      <c r="IR89" s="376"/>
      <c r="IS89" s="377"/>
      <c r="IT89" s="375"/>
      <c r="IU89" s="376"/>
      <c r="IV89" s="376"/>
      <c r="IW89" s="376"/>
      <c r="IX89" s="377"/>
      <c r="JB89" s="229"/>
      <c r="JC89" s="229"/>
      <c r="JK89" s="416"/>
      <c r="JL89" s="416"/>
      <c r="JM89" s="416"/>
      <c r="JN89" s="416"/>
      <c r="JO89" s="416"/>
      <c r="JP89" s="416"/>
      <c r="JQ89" s="416"/>
      <c r="JR89" s="416"/>
      <c r="JS89" s="416"/>
      <c r="JT89" s="416"/>
      <c r="JU89" s="416"/>
      <c r="JV89" s="416"/>
      <c r="JW89" s="416"/>
      <c r="JX89" s="416"/>
      <c r="JY89" s="416"/>
      <c r="JZ89" s="416"/>
      <c r="KA89" s="416"/>
      <c r="KB89" s="416"/>
      <c r="KC89" s="416"/>
      <c r="KD89" s="416"/>
      <c r="KE89" s="416"/>
      <c r="KF89" s="416"/>
      <c r="KG89" s="416"/>
      <c r="KH89" s="416"/>
      <c r="KI89" s="416"/>
      <c r="KJ89" s="416"/>
      <c r="KK89" s="416"/>
      <c r="KL89" s="416"/>
      <c r="KM89" s="416"/>
      <c r="KN89" s="416"/>
      <c r="KO89" s="416"/>
      <c r="KP89" s="416"/>
      <c r="KQ89" s="416"/>
      <c r="KR89" s="416"/>
      <c r="KS89" s="416"/>
      <c r="KT89" s="416"/>
      <c r="KU89" s="416"/>
      <c r="KV89" s="416"/>
      <c r="KW89" s="416"/>
      <c r="KX89" s="416"/>
      <c r="KY89" s="416"/>
      <c r="KZ89" s="416"/>
      <c r="LA89" s="416"/>
      <c r="LB89" s="416"/>
      <c r="LC89" s="416"/>
      <c r="LM89" s="416"/>
      <c r="LN89" s="416"/>
      <c r="LO89" s="416"/>
      <c r="LP89" s="416"/>
      <c r="LQ89" s="416"/>
      <c r="LR89" s="416"/>
      <c r="LS89" s="416"/>
      <c r="LT89" s="416"/>
      <c r="LU89" s="416"/>
      <c r="LV89" s="416"/>
      <c r="LW89" s="416"/>
      <c r="LX89" s="416"/>
      <c r="LY89" s="416"/>
      <c r="LZ89" s="416"/>
      <c r="MA89" s="416"/>
      <c r="MB89" s="416"/>
      <c r="MC89" s="416"/>
      <c r="MD89" s="416"/>
      <c r="ME89" s="416"/>
      <c r="MF89" s="416"/>
      <c r="MG89" s="416"/>
      <c r="MH89" s="416"/>
      <c r="MI89" s="416"/>
      <c r="MJ89" s="416"/>
      <c r="MK89" s="416"/>
      <c r="ML89" s="416"/>
      <c r="MM89" s="416"/>
      <c r="MN89" s="416"/>
      <c r="MO89" s="416"/>
      <c r="MP89" s="416"/>
      <c r="MQ89" s="416"/>
      <c r="MR89" s="416"/>
      <c r="MS89" s="416"/>
      <c r="MT89" s="416"/>
      <c r="MU89" s="416"/>
      <c r="MV89" s="416"/>
      <c r="MW89" s="416"/>
      <c r="MX89" s="416"/>
      <c r="MY89" s="416"/>
      <c r="MZ89" s="416"/>
      <c r="NA89" s="416"/>
      <c r="NB89" s="416"/>
      <c r="NC89" s="416"/>
      <c r="ND89" s="416"/>
      <c r="NE89" s="416"/>
      <c r="QQ89" s="230"/>
      <c r="QR89" s="231"/>
    </row>
    <row r="90" spans="3:460" ht="5.0999999999999996" customHeight="1" x14ac:dyDescent="0.25">
      <c r="C90" s="226"/>
      <c r="D90" s="227"/>
      <c r="E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29"/>
      <c r="AX90" s="229"/>
      <c r="AY90" s="229"/>
      <c r="AZ90" s="229"/>
      <c r="BA90" s="229"/>
      <c r="BB90" s="229"/>
      <c r="BC90" s="229"/>
      <c r="BD90" s="229"/>
      <c r="BE90" s="229"/>
      <c r="BF90" s="405"/>
      <c r="BG90" s="405"/>
      <c r="BH90" s="405"/>
      <c r="BI90" s="405"/>
      <c r="BJ90" s="405"/>
      <c r="BK90" s="405"/>
      <c r="BL90" s="405"/>
      <c r="BM90" s="405"/>
      <c r="BN90" s="405"/>
      <c r="BO90" s="405"/>
      <c r="BP90" s="405"/>
      <c r="BQ90" s="405"/>
      <c r="BR90" s="405"/>
      <c r="BS90" s="405"/>
      <c r="BT90" s="405"/>
      <c r="BU90" s="405"/>
      <c r="BV90" s="405"/>
      <c r="BW90" s="405"/>
      <c r="BX90" s="405"/>
      <c r="BY90" s="405"/>
      <c r="BZ90" s="405"/>
      <c r="CA90" s="405"/>
      <c r="CB90" s="405"/>
      <c r="CC90" s="405"/>
      <c r="CD90" s="405"/>
      <c r="CE90" s="405"/>
      <c r="CF90" s="405"/>
      <c r="CG90" s="405"/>
      <c r="CH90" s="405"/>
      <c r="CI90" s="405"/>
      <c r="CJ90" s="405"/>
      <c r="CK90" s="405"/>
      <c r="CL90" s="405"/>
      <c r="CM90" s="405"/>
      <c r="CN90" s="405"/>
      <c r="CO90" s="405"/>
      <c r="CP90" s="405"/>
      <c r="CQ90" s="405"/>
      <c r="CR90" s="405"/>
      <c r="CS90" s="405"/>
      <c r="CT90" s="381"/>
      <c r="CU90" s="381"/>
      <c r="CV90" s="381"/>
      <c r="CW90" s="381"/>
      <c r="CX90" s="381"/>
      <c r="CY90" s="381"/>
      <c r="DP90" s="229"/>
      <c r="DQ90" s="229"/>
      <c r="DR90" s="229"/>
      <c r="DS90" s="229"/>
      <c r="DT90" s="229"/>
      <c r="DU90" s="229"/>
      <c r="DV90" s="229"/>
      <c r="DW90" s="229"/>
      <c r="DX90" s="229"/>
      <c r="DY90" s="229"/>
      <c r="DZ90" s="229"/>
      <c r="EA90" s="229"/>
      <c r="EB90" s="229"/>
      <c r="EC90" s="229"/>
      <c r="ED90" s="229"/>
      <c r="EE90" s="229"/>
      <c r="EF90" s="229"/>
      <c r="EG90" s="234"/>
      <c r="EH90" s="229"/>
      <c r="EI90" s="229"/>
      <c r="EJ90" s="229"/>
      <c r="EK90" s="229"/>
      <c r="EL90" s="229"/>
      <c r="EM90" s="229"/>
      <c r="EN90" s="229"/>
      <c r="EO90" s="229"/>
      <c r="EP90" s="229"/>
      <c r="EQ90" s="229"/>
      <c r="ER90" s="229"/>
      <c r="ES90" s="229"/>
      <c r="FI90" s="375"/>
      <c r="FJ90" s="376"/>
      <c r="FK90" s="376"/>
      <c r="FL90" s="376"/>
      <c r="FM90" s="376"/>
      <c r="FN90" s="376"/>
      <c r="FO90" s="376"/>
      <c r="FP90" s="376"/>
      <c r="FQ90" s="376"/>
      <c r="FR90" s="376"/>
      <c r="FS90" s="376"/>
      <c r="FT90" s="376"/>
      <c r="FU90" s="376"/>
      <c r="FV90" s="376"/>
      <c r="FW90" s="376"/>
      <c r="FX90" s="376"/>
      <c r="FY90" s="376"/>
      <c r="FZ90" s="376"/>
      <c r="GA90" s="376"/>
      <c r="GB90" s="376"/>
      <c r="GC90" s="376"/>
      <c r="GD90" s="376"/>
      <c r="GE90" s="376"/>
      <c r="GF90" s="376"/>
      <c r="GG90" s="376"/>
      <c r="GH90" s="376"/>
      <c r="GI90" s="376"/>
      <c r="GJ90" s="376"/>
      <c r="GK90" s="376"/>
      <c r="GL90" s="376"/>
      <c r="GM90" s="376"/>
      <c r="GN90" s="376"/>
      <c r="GO90" s="376"/>
      <c r="GP90" s="376"/>
      <c r="GQ90" s="376"/>
      <c r="GR90" s="376"/>
      <c r="GS90" s="376"/>
      <c r="GT90" s="376"/>
      <c r="GU90" s="376"/>
      <c r="GV90" s="377"/>
      <c r="GW90" s="381"/>
      <c r="GX90" s="381"/>
      <c r="GY90" s="381"/>
      <c r="GZ90" s="381"/>
      <c r="HA90" s="381"/>
      <c r="HB90" s="381"/>
      <c r="HC90" s="229"/>
      <c r="HF90" s="375"/>
      <c r="HG90" s="376"/>
      <c r="HH90" s="376"/>
      <c r="HI90" s="376"/>
      <c r="HJ90" s="376"/>
      <c r="HK90" s="376"/>
      <c r="HL90" s="376"/>
      <c r="HM90" s="376"/>
      <c r="HN90" s="376"/>
      <c r="HO90" s="376"/>
      <c r="HP90" s="376"/>
      <c r="HQ90" s="376"/>
      <c r="HR90" s="376"/>
      <c r="HS90" s="376"/>
      <c r="HT90" s="376"/>
      <c r="HU90" s="376"/>
      <c r="HV90" s="376"/>
      <c r="HW90" s="376"/>
      <c r="HX90" s="376"/>
      <c r="HY90" s="376"/>
      <c r="HZ90" s="376"/>
      <c r="IA90" s="376"/>
      <c r="IB90" s="376"/>
      <c r="IC90" s="376"/>
      <c r="ID90" s="376"/>
      <c r="IE90" s="376"/>
      <c r="IF90" s="376"/>
      <c r="IG90" s="376"/>
      <c r="IH90" s="376"/>
      <c r="II90" s="376"/>
      <c r="IJ90" s="376"/>
      <c r="IK90" s="376"/>
      <c r="IL90" s="376"/>
      <c r="IM90" s="376"/>
      <c r="IN90" s="376"/>
      <c r="IO90" s="376"/>
      <c r="IP90" s="376"/>
      <c r="IQ90" s="376"/>
      <c r="IR90" s="376"/>
      <c r="IS90" s="377"/>
      <c r="IT90" s="375"/>
      <c r="IU90" s="376"/>
      <c r="IV90" s="376"/>
      <c r="IW90" s="376"/>
      <c r="IX90" s="377"/>
      <c r="JB90" s="229"/>
      <c r="JC90" s="229"/>
      <c r="JK90" s="416"/>
      <c r="JL90" s="416"/>
      <c r="JM90" s="416"/>
      <c r="JN90" s="416"/>
      <c r="JO90" s="416"/>
      <c r="JP90" s="416"/>
      <c r="JQ90" s="416"/>
      <c r="JR90" s="416"/>
      <c r="JS90" s="416"/>
      <c r="JT90" s="416"/>
      <c r="JU90" s="416"/>
      <c r="JV90" s="416"/>
      <c r="JW90" s="416"/>
      <c r="JX90" s="416"/>
      <c r="JY90" s="416"/>
      <c r="JZ90" s="416"/>
      <c r="KA90" s="416"/>
      <c r="KB90" s="416"/>
      <c r="KC90" s="416"/>
      <c r="KD90" s="416"/>
      <c r="KE90" s="416"/>
      <c r="KF90" s="416"/>
      <c r="KG90" s="416"/>
      <c r="KH90" s="416"/>
      <c r="KI90" s="416"/>
      <c r="KJ90" s="416"/>
      <c r="KK90" s="416"/>
      <c r="KL90" s="416"/>
      <c r="KM90" s="416"/>
      <c r="KN90" s="416"/>
      <c r="KO90" s="416"/>
      <c r="KP90" s="416"/>
      <c r="KQ90" s="416"/>
      <c r="KR90" s="416"/>
      <c r="KS90" s="416"/>
      <c r="KT90" s="416"/>
      <c r="KU90" s="416"/>
      <c r="KV90" s="416"/>
      <c r="KW90" s="416"/>
      <c r="KX90" s="416"/>
      <c r="KY90" s="416"/>
      <c r="KZ90" s="416"/>
      <c r="LA90" s="416"/>
      <c r="LB90" s="416"/>
      <c r="LC90" s="416"/>
      <c r="LM90" s="416"/>
      <c r="LN90" s="416"/>
      <c r="LO90" s="416"/>
      <c r="LP90" s="416"/>
      <c r="LQ90" s="416"/>
      <c r="LR90" s="416"/>
      <c r="LS90" s="416"/>
      <c r="LT90" s="416"/>
      <c r="LU90" s="416"/>
      <c r="LV90" s="416"/>
      <c r="LW90" s="416"/>
      <c r="LX90" s="416"/>
      <c r="LY90" s="416"/>
      <c r="LZ90" s="416"/>
      <c r="MA90" s="416"/>
      <c r="MB90" s="416"/>
      <c r="MC90" s="416"/>
      <c r="MD90" s="416"/>
      <c r="ME90" s="416"/>
      <c r="MF90" s="416"/>
      <c r="MG90" s="416"/>
      <c r="MH90" s="416"/>
      <c r="MI90" s="416"/>
      <c r="MJ90" s="416"/>
      <c r="MK90" s="416"/>
      <c r="ML90" s="416"/>
      <c r="MM90" s="416"/>
      <c r="MN90" s="416"/>
      <c r="MO90" s="416"/>
      <c r="MP90" s="416"/>
      <c r="MQ90" s="416"/>
      <c r="MR90" s="416"/>
      <c r="MS90" s="416"/>
      <c r="MT90" s="416"/>
      <c r="MU90" s="416"/>
      <c r="MV90" s="416"/>
      <c r="MW90" s="416"/>
      <c r="MX90" s="416"/>
      <c r="MY90" s="416"/>
      <c r="MZ90" s="416"/>
      <c r="NA90" s="416"/>
      <c r="NB90" s="416"/>
      <c r="NC90" s="416"/>
      <c r="ND90" s="416"/>
      <c r="NE90" s="416"/>
      <c r="QQ90" s="230"/>
      <c r="QR90" s="231"/>
    </row>
    <row r="91" spans="3:460" ht="5.0999999999999996" customHeight="1" x14ac:dyDescent="0.25">
      <c r="C91" s="226"/>
      <c r="D91" s="227"/>
      <c r="E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  <c r="AX91" s="229"/>
      <c r="AY91" s="229"/>
      <c r="AZ91" s="229"/>
      <c r="BA91" s="229"/>
      <c r="BB91" s="229"/>
      <c r="BC91" s="229"/>
      <c r="BD91" s="229"/>
      <c r="BE91" s="229"/>
      <c r="BF91" s="405"/>
      <c r="BG91" s="405"/>
      <c r="BH91" s="405"/>
      <c r="BI91" s="405"/>
      <c r="BJ91" s="405"/>
      <c r="BK91" s="405"/>
      <c r="BL91" s="405"/>
      <c r="BM91" s="405"/>
      <c r="BN91" s="405"/>
      <c r="BO91" s="405"/>
      <c r="BP91" s="405"/>
      <c r="BQ91" s="405"/>
      <c r="BR91" s="405"/>
      <c r="BS91" s="405"/>
      <c r="BT91" s="405"/>
      <c r="BU91" s="405"/>
      <c r="BV91" s="405"/>
      <c r="BW91" s="405"/>
      <c r="BX91" s="405"/>
      <c r="BY91" s="405"/>
      <c r="BZ91" s="405"/>
      <c r="CA91" s="405"/>
      <c r="CB91" s="405"/>
      <c r="CC91" s="405"/>
      <c r="CD91" s="405"/>
      <c r="CE91" s="405"/>
      <c r="CF91" s="405"/>
      <c r="CG91" s="405"/>
      <c r="CH91" s="405"/>
      <c r="CI91" s="405"/>
      <c r="CJ91" s="405"/>
      <c r="CK91" s="405"/>
      <c r="CL91" s="405"/>
      <c r="CM91" s="405"/>
      <c r="CN91" s="405"/>
      <c r="CO91" s="405"/>
      <c r="CP91" s="405"/>
      <c r="CQ91" s="405"/>
      <c r="CR91" s="405"/>
      <c r="CS91" s="405"/>
      <c r="CT91" s="381"/>
      <c r="CU91" s="381"/>
      <c r="CV91" s="381"/>
      <c r="CW91" s="381"/>
      <c r="CX91" s="381"/>
      <c r="CY91" s="381"/>
      <c r="DP91" s="229"/>
      <c r="DQ91" s="229"/>
      <c r="DR91" s="229"/>
      <c r="DS91" s="229"/>
      <c r="DT91" s="229"/>
      <c r="DU91" s="229"/>
      <c r="DV91" s="229"/>
      <c r="DW91" s="229"/>
      <c r="DX91" s="229"/>
      <c r="DY91" s="229"/>
      <c r="DZ91" s="229"/>
      <c r="EA91" s="229"/>
      <c r="EB91" s="229"/>
      <c r="EC91" s="229"/>
      <c r="ED91" s="229"/>
      <c r="EE91" s="229"/>
      <c r="EF91" s="229"/>
      <c r="EG91" s="234"/>
      <c r="EH91" s="229"/>
      <c r="EI91" s="229"/>
      <c r="EJ91" s="229"/>
      <c r="EK91" s="229"/>
      <c r="EL91" s="229"/>
      <c r="EM91" s="229"/>
      <c r="EN91" s="229"/>
      <c r="EO91" s="229"/>
      <c r="EP91" s="229"/>
      <c r="EQ91" s="229"/>
      <c r="ER91" s="229"/>
      <c r="ES91" s="229"/>
      <c r="FI91" s="375"/>
      <c r="FJ91" s="376"/>
      <c r="FK91" s="376"/>
      <c r="FL91" s="376"/>
      <c r="FM91" s="376"/>
      <c r="FN91" s="376"/>
      <c r="FO91" s="376"/>
      <c r="FP91" s="376"/>
      <c r="FQ91" s="376"/>
      <c r="FR91" s="376"/>
      <c r="FS91" s="376"/>
      <c r="FT91" s="376"/>
      <c r="FU91" s="376"/>
      <c r="FV91" s="376"/>
      <c r="FW91" s="376"/>
      <c r="FX91" s="376"/>
      <c r="FY91" s="376"/>
      <c r="FZ91" s="376"/>
      <c r="GA91" s="376"/>
      <c r="GB91" s="376"/>
      <c r="GC91" s="376"/>
      <c r="GD91" s="376"/>
      <c r="GE91" s="376"/>
      <c r="GF91" s="376"/>
      <c r="GG91" s="376"/>
      <c r="GH91" s="376"/>
      <c r="GI91" s="376"/>
      <c r="GJ91" s="376"/>
      <c r="GK91" s="376"/>
      <c r="GL91" s="376"/>
      <c r="GM91" s="376"/>
      <c r="GN91" s="376"/>
      <c r="GO91" s="376"/>
      <c r="GP91" s="376"/>
      <c r="GQ91" s="376"/>
      <c r="GR91" s="376"/>
      <c r="GS91" s="376"/>
      <c r="GT91" s="376"/>
      <c r="GU91" s="376"/>
      <c r="GV91" s="377"/>
      <c r="GW91" s="381"/>
      <c r="GX91" s="381"/>
      <c r="GY91" s="381"/>
      <c r="GZ91" s="381"/>
      <c r="HA91" s="381"/>
      <c r="HB91" s="381"/>
      <c r="HC91" s="229"/>
      <c r="HF91" s="378"/>
      <c r="HG91" s="379"/>
      <c r="HH91" s="379"/>
      <c r="HI91" s="379"/>
      <c r="HJ91" s="379"/>
      <c r="HK91" s="379"/>
      <c r="HL91" s="379"/>
      <c r="HM91" s="379"/>
      <c r="HN91" s="379"/>
      <c r="HO91" s="379"/>
      <c r="HP91" s="379"/>
      <c r="HQ91" s="379"/>
      <c r="HR91" s="379"/>
      <c r="HS91" s="379"/>
      <c r="HT91" s="379"/>
      <c r="HU91" s="379"/>
      <c r="HV91" s="379"/>
      <c r="HW91" s="379"/>
      <c r="HX91" s="379"/>
      <c r="HY91" s="379"/>
      <c r="HZ91" s="379"/>
      <c r="IA91" s="379"/>
      <c r="IB91" s="379"/>
      <c r="IC91" s="379"/>
      <c r="ID91" s="379"/>
      <c r="IE91" s="379"/>
      <c r="IF91" s="379"/>
      <c r="IG91" s="379"/>
      <c r="IH91" s="379"/>
      <c r="II91" s="379"/>
      <c r="IJ91" s="379"/>
      <c r="IK91" s="379"/>
      <c r="IL91" s="379"/>
      <c r="IM91" s="379"/>
      <c r="IN91" s="379"/>
      <c r="IO91" s="379"/>
      <c r="IP91" s="379"/>
      <c r="IQ91" s="379"/>
      <c r="IR91" s="379"/>
      <c r="IS91" s="380"/>
      <c r="IT91" s="378"/>
      <c r="IU91" s="379"/>
      <c r="IV91" s="379"/>
      <c r="IW91" s="379"/>
      <c r="IX91" s="380"/>
      <c r="IY91" s="229"/>
      <c r="IZ91" s="229"/>
      <c r="JA91" s="229"/>
      <c r="JB91" s="229"/>
      <c r="JC91" s="229"/>
      <c r="KH91" s="255"/>
      <c r="KI91" s="252"/>
      <c r="MJ91" s="234"/>
      <c r="QQ91" s="230"/>
      <c r="QR91" s="231"/>
    </row>
    <row r="92" spans="3:460" ht="5.0999999999999996" customHeight="1" x14ac:dyDescent="0.25">
      <c r="C92" s="226"/>
      <c r="D92" s="227"/>
      <c r="E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229"/>
      <c r="AX92" s="229"/>
      <c r="AY92" s="229"/>
      <c r="AZ92" s="229"/>
      <c r="BA92" s="229"/>
      <c r="BB92" s="229"/>
      <c r="BC92" s="229"/>
      <c r="BD92" s="229"/>
      <c r="BE92" s="229"/>
      <c r="CB92" s="255"/>
      <c r="CF92" s="229"/>
      <c r="DP92" s="229"/>
      <c r="DQ92" s="229"/>
      <c r="DR92" s="229"/>
      <c r="DS92" s="229"/>
      <c r="DT92" s="229"/>
      <c r="DU92" s="229"/>
      <c r="DV92" s="229"/>
      <c r="DW92" s="229"/>
      <c r="DX92" s="229"/>
      <c r="DY92" s="229"/>
      <c r="DZ92" s="229"/>
      <c r="EA92" s="229"/>
      <c r="EB92" s="229"/>
      <c r="EC92" s="229"/>
      <c r="ED92" s="229"/>
      <c r="EE92" s="229"/>
      <c r="EF92" s="229"/>
      <c r="EG92" s="234"/>
      <c r="EH92" s="229"/>
      <c r="EI92" s="229"/>
      <c r="EJ92" s="229"/>
      <c r="EK92" s="229"/>
      <c r="EL92" s="229"/>
      <c r="EM92" s="229"/>
      <c r="EN92" s="229"/>
      <c r="EO92" s="229"/>
      <c r="EP92" s="229"/>
      <c r="EQ92" s="229"/>
      <c r="ER92" s="229"/>
      <c r="ES92" s="229"/>
      <c r="FI92" s="378"/>
      <c r="FJ92" s="379"/>
      <c r="FK92" s="379"/>
      <c r="FL92" s="379"/>
      <c r="FM92" s="379"/>
      <c r="FN92" s="379"/>
      <c r="FO92" s="379"/>
      <c r="FP92" s="379"/>
      <c r="FQ92" s="379"/>
      <c r="FR92" s="379"/>
      <c r="FS92" s="379"/>
      <c r="FT92" s="379"/>
      <c r="FU92" s="379"/>
      <c r="FV92" s="379"/>
      <c r="FW92" s="379"/>
      <c r="FX92" s="379"/>
      <c r="FY92" s="379"/>
      <c r="FZ92" s="379"/>
      <c r="GA92" s="379"/>
      <c r="GB92" s="379"/>
      <c r="GC92" s="379"/>
      <c r="GD92" s="379"/>
      <c r="GE92" s="379"/>
      <c r="GF92" s="379"/>
      <c r="GG92" s="379"/>
      <c r="GH92" s="379"/>
      <c r="GI92" s="379"/>
      <c r="GJ92" s="379"/>
      <c r="GK92" s="379"/>
      <c r="GL92" s="379"/>
      <c r="GM92" s="379"/>
      <c r="GN92" s="379"/>
      <c r="GO92" s="379"/>
      <c r="GP92" s="379"/>
      <c r="GQ92" s="379"/>
      <c r="GR92" s="379"/>
      <c r="GS92" s="379"/>
      <c r="GT92" s="379"/>
      <c r="GU92" s="379"/>
      <c r="GV92" s="380"/>
      <c r="GW92" s="381"/>
      <c r="GX92" s="381"/>
      <c r="GY92" s="381"/>
      <c r="GZ92" s="381"/>
      <c r="HA92" s="381"/>
      <c r="HB92" s="381"/>
      <c r="HC92" s="229"/>
      <c r="IC92" s="255"/>
      <c r="ID92" s="252"/>
      <c r="IY92" s="229"/>
      <c r="IZ92" s="229"/>
      <c r="JA92" s="229"/>
      <c r="JB92" s="229"/>
      <c r="JC92" s="229"/>
      <c r="KH92" s="234"/>
      <c r="KI92" s="229"/>
      <c r="MJ92" s="234"/>
      <c r="QQ92" s="230"/>
      <c r="QR92" s="231"/>
    </row>
    <row r="93" spans="3:460" ht="5.0999999999999996" customHeight="1" x14ac:dyDescent="0.25">
      <c r="C93" s="226"/>
      <c r="D93" s="227"/>
      <c r="E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  <c r="AX93" s="229"/>
      <c r="AY93" s="229"/>
      <c r="AZ93" s="229"/>
      <c r="BA93" s="229"/>
      <c r="BB93" s="229"/>
      <c r="BC93" s="229"/>
      <c r="BD93" s="229"/>
      <c r="BE93" s="229"/>
      <c r="CB93" s="234"/>
      <c r="CF93" s="229"/>
      <c r="DP93" s="229"/>
      <c r="DQ93" s="229"/>
      <c r="DR93" s="229"/>
      <c r="DS93" s="229"/>
      <c r="DT93" s="229"/>
      <c r="DU93" s="229"/>
      <c r="DV93" s="229"/>
      <c r="DW93" s="229"/>
      <c r="DX93" s="229"/>
      <c r="DY93" s="229"/>
      <c r="DZ93" s="229"/>
      <c r="EA93" s="229"/>
      <c r="EB93" s="229"/>
      <c r="EC93" s="229"/>
      <c r="ED93" s="229"/>
      <c r="EE93" s="229"/>
      <c r="EF93" s="229"/>
      <c r="EG93" s="234"/>
      <c r="EH93" s="229"/>
      <c r="EI93" s="229"/>
      <c r="EJ93" s="229"/>
      <c r="EK93" s="229"/>
      <c r="EL93" s="229"/>
      <c r="EM93" s="229"/>
      <c r="EN93" s="229"/>
      <c r="EO93" s="229"/>
      <c r="EP93" s="229"/>
      <c r="EQ93" s="229"/>
      <c r="ER93" s="229"/>
      <c r="ES93" s="229"/>
      <c r="GD93" s="255"/>
      <c r="HA93" s="229"/>
      <c r="HB93" s="229"/>
      <c r="HC93" s="229"/>
      <c r="IC93" s="234"/>
      <c r="ID93" s="229"/>
      <c r="IY93" s="229"/>
      <c r="IZ93" s="229"/>
      <c r="JA93" s="229"/>
      <c r="JB93" s="229"/>
      <c r="JC93" s="229"/>
      <c r="KH93" s="234"/>
      <c r="KI93" s="229"/>
      <c r="MJ93" s="234"/>
      <c r="QQ93" s="230"/>
      <c r="QR93" s="231"/>
    </row>
    <row r="94" spans="3:460" ht="5.0999999999999996" customHeight="1" x14ac:dyDescent="0.25">
      <c r="C94" s="226"/>
      <c r="D94" s="227"/>
      <c r="E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29"/>
      <c r="BD94" s="229"/>
      <c r="BE94" s="229"/>
      <c r="CB94" s="234"/>
      <c r="CF94" s="229"/>
      <c r="DP94" s="229"/>
      <c r="DQ94" s="229"/>
      <c r="DR94" s="229"/>
      <c r="DS94" s="229"/>
      <c r="DT94" s="229"/>
      <c r="DU94" s="229"/>
      <c r="DV94" s="229"/>
      <c r="DW94" s="229"/>
      <c r="DX94" s="229"/>
      <c r="DY94" s="229"/>
      <c r="DZ94" s="229"/>
      <c r="EA94" s="229"/>
      <c r="EB94" s="229"/>
      <c r="EC94" s="229"/>
      <c r="ED94" s="229"/>
      <c r="EE94" s="229"/>
      <c r="EF94" s="229"/>
      <c r="EG94" s="234"/>
      <c r="EH94" s="229"/>
      <c r="EI94" s="229"/>
      <c r="EJ94" s="229"/>
      <c r="EK94" s="229"/>
      <c r="EL94" s="229"/>
      <c r="EM94" s="229"/>
      <c r="EN94" s="229"/>
      <c r="EO94" s="229"/>
      <c r="EP94" s="229"/>
      <c r="EQ94" s="229"/>
      <c r="ER94" s="229"/>
      <c r="ES94" s="229"/>
      <c r="GD94" s="234"/>
      <c r="HA94" s="229"/>
      <c r="HB94" s="229"/>
      <c r="HC94" s="229"/>
      <c r="IC94" s="234"/>
      <c r="ID94" s="229"/>
      <c r="IY94" s="229"/>
      <c r="IZ94" s="229"/>
      <c r="JA94" s="229"/>
      <c r="JB94" s="229"/>
      <c r="JC94" s="229"/>
      <c r="KH94" s="244"/>
      <c r="KI94" s="245"/>
      <c r="MJ94" s="244"/>
      <c r="QQ94" s="230"/>
      <c r="QR94" s="231"/>
    </row>
    <row r="95" spans="3:460" ht="5.0999999999999996" customHeight="1" x14ac:dyDescent="0.25">
      <c r="C95" s="226"/>
      <c r="D95" s="227"/>
      <c r="E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CB95" s="234"/>
      <c r="CF95" s="229"/>
      <c r="DP95" s="229"/>
      <c r="DQ95" s="229"/>
      <c r="DR95" s="229"/>
      <c r="DS95" s="229"/>
      <c r="DT95" s="229"/>
      <c r="DU95" s="229"/>
      <c r="DV95" s="229"/>
      <c r="DW95" s="229"/>
      <c r="DX95" s="229"/>
      <c r="DY95" s="229"/>
      <c r="DZ95" s="229"/>
      <c r="EA95" s="229"/>
      <c r="EB95" s="229"/>
      <c r="EC95" s="229"/>
      <c r="ED95" s="229"/>
      <c r="EE95" s="229"/>
      <c r="EF95" s="229"/>
      <c r="EG95" s="234"/>
      <c r="EH95" s="229"/>
      <c r="EI95" s="229"/>
      <c r="EJ95" s="229"/>
      <c r="EK95" s="229"/>
      <c r="EL95" s="229"/>
      <c r="EM95" s="229"/>
      <c r="EN95" s="229"/>
      <c r="EO95" s="229"/>
      <c r="EP95" s="229"/>
      <c r="EQ95" s="229"/>
      <c r="ER95" s="229"/>
      <c r="ES95" s="229"/>
      <c r="GD95" s="244"/>
      <c r="HA95" s="229"/>
      <c r="HB95" s="229"/>
      <c r="HC95" s="229"/>
      <c r="IC95" s="244"/>
      <c r="ID95" s="245"/>
      <c r="IY95" s="229"/>
      <c r="IZ95" s="229"/>
      <c r="JA95" s="229"/>
      <c r="JB95" s="229"/>
      <c r="JC95" s="229"/>
      <c r="JK95" s="308" t="s">
        <v>115</v>
      </c>
      <c r="JL95" s="309"/>
      <c r="JM95" s="309"/>
      <c r="JN95" s="309"/>
      <c r="JO95" s="309"/>
      <c r="JP95" s="309"/>
      <c r="JQ95" s="309"/>
      <c r="JR95" s="309"/>
      <c r="JS95" s="309"/>
      <c r="JT95" s="309"/>
      <c r="JU95" s="309"/>
      <c r="JV95" s="309"/>
      <c r="JW95" s="309"/>
      <c r="JX95" s="309"/>
      <c r="JY95" s="309"/>
      <c r="JZ95" s="309"/>
      <c r="KA95" s="309"/>
      <c r="KB95" s="309"/>
      <c r="KC95" s="309"/>
      <c r="KD95" s="309"/>
      <c r="KE95" s="309"/>
      <c r="KF95" s="309"/>
      <c r="KG95" s="309"/>
      <c r="KH95" s="309"/>
      <c r="KI95" s="309"/>
      <c r="KJ95" s="309"/>
      <c r="KK95" s="309"/>
      <c r="KL95" s="309"/>
      <c r="KM95" s="309"/>
      <c r="KN95" s="309"/>
      <c r="KO95" s="309"/>
      <c r="KP95" s="309"/>
      <c r="KQ95" s="309"/>
      <c r="KR95" s="309"/>
      <c r="KS95" s="309"/>
      <c r="KT95" s="309"/>
      <c r="KU95" s="309"/>
      <c r="KV95" s="309"/>
      <c r="KW95" s="309">
        <v>1</v>
      </c>
      <c r="KX95" s="310"/>
      <c r="KY95" s="308">
        <v>8</v>
      </c>
      <c r="KZ95" s="309"/>
      <c r="LA95" s="309"/>
      <c r="LB95" s="309"/>
      <c r="LC95" s="310"/>
      <c r="LM95" s="317" t="s">
        <v>422</v>
      </c>
      <c r="LN95" s="318"/>
      <c r="LO95" s="318"/>
      <c r="LP95" s="318"/>
      <c r="LQ95" s="318"/>
      <c r="LR95" s="318"/>
      <c r="LS95" s="318"/>
      <c r="LT95" s="318"/>
      <c r="LU95" s="318"/>
      <c r="LV95" s="318"/>
      <c r="LW95" s="318"/>
      <c r="LX95" s="318"/>
      <c r="LY95" s="318"/>
      <c r="LZ95" s="318"/>
      <c r="MA95" s="318"/>
      <c r="MB95" s="318"/>
      <c r="MC95" s="318"/>
      <c r="MD95" s="318"/>
      <c r="ME95" s="318"/>
      <c r="MF95" s="318"/>
      <c r="MG95" s="318"/>
      <c r="MH95" s="318"/>
      <c r="MI95" s="318"/>
      <c r="MJ95" s="318"/>
      <c r="MK95" s="318"/>
      <c r="ML95" s="318"/>
      <c r="MM95" s="318"/>
      <c r="MN95" s="318"/>
      <c r="MO95" s="318"/>
      <c r="MP95" s="318"/>
      <c r="MQ95" s="318"/>
      <c r="MR95" s="318"/>
      <c r="MS95" s="318"/>
      <c r="MT95" s="318"/>
      <c r="MU95" s="318"/>
      <c r="MV95" s="318"/>
      <c r="MW95" s="318"/>
      <c r="MX95" s="318"/>
      <c r="MY95" s="318"/>
      <c r="MZ95" s="319"/>
      <c r="NA95" s="308">
        <v>3</v>
      </c>
      <c r="NB95" s="309"/>
      <c r="NC95" s="309"/>
      <c r="ND95" s="309"/>
      <c r="NE95" s="310"/>
      <c r="QQ95" s="230"/>
      <c r="QR95" s="231"/>
    </row>
    <row r="96" spans="3:460" ht="5.0999999999999996" customHeight="1" x14ac:dyDescent="0.25">
      <c r="C96" s="226"/>
      <c r="D96" s="227"/>
      <c r="E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CB96" s="234"/>
      <c r="CF96" s="229"/>
      <c r="DP96" s="229"/>
      <c r="DQ96" s="229"/>
      <c r="DR96" s="229"/>
      <c r="DS96" s="229"/>
      <c r="DT96" s="229"/>
      <c r="DU96" s="229"/>
      <c r="DV96" s="229"/>
      <c r="DW96" s="229"/>
      <c r="DX96" s="229"/>
      <c r="DY96" s="229"/>
      <c r="DZ96" s="229"/>
      <c r="EA96" s="229"/>
      <c r="EB96" s="229"/>
      <c r="EC96" s="229"/>
      <c r="ED96" s="229"/>
      <c r="EE96" s="229"/>
      <c r="EF96" s="229"/>
      <c r="EG96" s="234"/>
      <c r="EH96" s="229"/>
      <c r="EI96" s="229"/>
      <c r="EJ96" s="229"/>
      <c r="EK96" s="229"/>
      <c r="EL96" s="229"/>
      <c r="EM96" s="229"/>
      <c r="EN96" s="229"/>
      <c r="EO96" s="229"/>
      <c r="EP96" s="229"/>
      <c r="EQ96" s="229"/>
      <c r="ER96" s="229"/>
      <c r="ES96" s="229"/>
      <c r="FI96" s="405" t="s">
        <v>457</v>
      </c>
      <c r="FJ96" s="405"/>
      <c r="FK96" s="405"/>
      <c r="FL96" s="405"/>
      <c r="FM96" s="405"/>
      <c r="FN96" s="405"/>
      <c r="FO96" s="405"/>
      <c r="FP96" s="405"/>
      <c r="FQ96" s="405"/>
      <c r="FR96" s="405"/>
      <c r="FS96" s="405"/>
      <c r="FT96" s="405"/>
      <c r="FU96" s="405"/>
      <c r="FV96" s="405"/>
      <c r="FW96" s="405"/>
      <c r="FX96" s="405"/>
      <c r="FY96" s="405"/>
      <c r="FZ96" s="405"/>
      <c r="GA96" s="405"/>
      <c r="GB96" s="405"/>
      <c r="GC96" s="405"/>
      <c r="GD96" s="405"/>
      <c r="GE96" s="405"/>
      <c r="GF96" s="405"/>
      <c r="GG96" s="405"/>
      <c r="GH96" s="405"/>
      <c r="GI96" s="405"/>
      <c r="GJ96" s="405"/>
      <c r="GK96" s="405"/>
      <c r="GL96" s="405"/>
      <c r="GM96" s="405"/>
      <c r="GN96" s="405"/>
      <c r="GO96" s="405"/>
      <c r="GP96" s="405"/>
      <c r="GQ96" s="405"/>
      <c r="GR96" s="405"/>
      <c r="GS96" s="405"/>
      <c r="GT96" s="405"/>
      <c r="GU96" s="405"/>
      <c r="GV96" s="405"/>
      <c r="GW96" s="381">
        <v>2</v>
      </c>
      <c r="GX96" s="381"/>
      <c r="GY96" s="381"/>
      <c r="GZ96" s="381"/>
      <c r="HA96" s="381"/>
      <c r="HB96" s="381"/>
      <c r="HC96" s="229"/>
      <c r="HF96" s="308" t="s">
        <v>423</v>
      </c>
      <c r="HG96" s="309"/>
      <c r="HH96" s="309"/>
      <c r="HI96" s="309"/>
      <c r="HJ96" s="309"/>
      <c r="HK96" s="309"/>
      <c r="HL96" s="309"/>
      <c r="HM96" s="309"/>
      <c r="HN96" s="309"/>
      <c r="HO96" s="309"/>
      <c r="HP96" s="309"/>
      <c r="HQ96" s="309"/>
      <c r="HR96" s="309"/>
      <c r="HS96" s="309"/>
      <c r="HT96" s="309"/>
      <c r="HU96" s="309"/>
      <c r="HV96" s="309"/>
      <c r="HW96" s="309"/>
      <c r="HX96" s="309"/>
      <c r="HY96" s="309"/>
      <c r="HZ96" s="309"/>
      <c r="IA96" s="309"/>
      <c r="IB96" s="309"/>
      <c r="IC96" s="309"/>
      <c r="ID96" s="309"/>
      <c r="IE96" s="309"/>
      <c r="IF96" s="309"/>
      <c r="IG96" s="309"/>
      <c r="IH96" s="309"/>
      <c r="II96" s="309"/>
      <c r="IJ96" s="309"/>
      <c r="IK96" s="309"/>
      <c r="IL96" s="309"/>
      <c r="IM96" s="309"/>
      <c r="IN96" s="309"/>
      <c r="IO96" s="309"/>
      <c r="IP96" s="309"/>
      <c r="IQ96" s="309"/>
      <c r="IR96" s="309">
        <v>4</v>
      </c>
      <c r="IS96" s="310"/>
      <c r="IT96" s="308">
        <v>4</v>
      </c>
      <c r="IU96" s="309"/>
      <c r="IV96" s="309"/>
      <c r="IW96" s="309"/>
      <c r="IX96" s="310"/>
      <c r="IY96" s="229"/>
      <c r="IZ96" s="229"/>
      <c r="JA96" s="229"/>
      <c r="JB96" s="229"/>
      <c r="JC96" s="229"/>
      <c r="JK96" s="311"/>
      <c r="JL96" s="312"/>
      <c r="JM96" s="312"/>
      <c r="JN96" s="312"/>
      <c r="JO96" s="312"/>
      <c r="JP96" s="312"/>
      <c r="JQ96" s="312"/>
      <c r="JR96" s="312"/>
      <c r="JS96" s="312"/>
      <c r="JT96" s="312"/>
      <c r="JU96" s="312"/>
      <c r="JV96" s="312"/>
      <c r="JW96" s="312"/>
      <c r="JX96" s="312"/>
      <c r="JY96" s="312"/>
      <c r="JZ96" s="312"/>
      <c r="KA96" s="312"/>
      <c r="KB96" s="312"/>
      <c r="KC96" s="312"/>
      <c r="KD96" s="312"/>
      <c r="KE96" s="312"/>
      <c r="KF96" s="312"/>
      <c r="KG96" s="312"/>
      <c r="KH96" s="312"/>
      <c r="KI96" s="312"/>
      <c r="KJ96" s="312"/>
      <c r="KK96" s="312"/>
      <c r="KL96" s="312"/>
      <c r="KM96" s="312"/>
      <c r="KN96" s="312"/>
      <c r="KO96" s="312"/>
      <c r="KP96" s="312"/>
      <c r="KQ96" s="312"/>
      <c r="KR96" s="312"/>
      <c r="KS96" s="312"/>
      <c r="KT96" s="312"/>
      <c r="KU96" s="312"/>
      <c r="KV96" s="312"/>
      <c r="KW96" s="312"/>
      <c r="KX96" s="313"/>
      <c r="KY96" s="311"/>
      <c r="KZ96" s="312"/>
      <c r="LA96" s="312"/>
      <c r="LB96" s="312"/>
      <c r="LC96" s="313"/>
      <c r="LM96" s="320"/>
      <c r="LN96" s="321"/>
      <c r="LO96" s="321"/>
      <c r="LP96" s="321"/>
      <c r="LQ96" s="321"/>
      <c r="LR96" s="321"/>
      <c r="LS96" s="321"/>
      <c r="LT96" s="321"/>
      <c r="LU96" s="321"/>
      <c r="LV96" s="321"/>
      <c r="LW96" s="321"/>
      <c r="LX96" s="321"/>
      <c r="LY96" s="321"/>
      <c r="LZ96" s="321"/>
      <c r="MA96" s="321"/>
      <c r="MB96" s="321"/>
      <c r="MC96" s="321"/>
      <c r="MD96" s="321"/>
      <c r="ME96" s="321"/>
      <c r="MF96" s="321"/>
      <c r="MG96" s="321"/>
      <c r="MH96" s="321"/>
      <c r="MI96" s="321"/>
      <c r="MJ96" s="321"/>
      <c r="MK96" s="321"/>
      <c r="ML96" s="321"/>
      <c r="MM96" s="321"/>
      <c r="MN96" s="321"/>
      <c r="MO96" s="321"/>
      <c r="MP96" s="321"/>
      <c r="MQ96" s="321"/>
      <c r="MR96" s="321"/>
      <c r="MS96" s="321"/>
      <c r="MT96" s="321"/>
      <c r="MU96" s="321"/>
      <c r="MV96" s="321"/>
      <c r="MW96" s="321"/>
      <c r="MX96" s="321"/>
      <c r="MY96" s="321"/>
      <c r="MZ96" s="322"/>
      <c r="NA96" s="311"/>
      <c r="NB96" s="312"/>
      <c r="NC96" s="312"/>
      <c r="ND96" s="312"/>
      <c r="NE96" s="313"/>
      <c r="QQ96" s="230"/>
      <c r="QR96" s="231"/>
    </row>
    <row r="97" spans="3:460" ht="5.0999999999999996" customHeight="1" x14ac:dyDescent="0.25">
      <c r="C97" s="226"/>
      <c r="D97" s="227"/>
      <c r="E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CB97" s="234"/>
      <c r="CF97" s="229"/>
      <c r="DP97" s="229"/>
      <c r="DQ97" s="229"/>
      <c r="DR97" s="229"/>
      <c r="DS97" s="229"/>
      <c r="DT97" s="229"/>
      <c r="DU97" s="229"/>
      <c r="DV97" s="229"/>
      <c r="DW97" s="229"/>
      <c r="DX97" s="229"/>
      <c r="DY97" s="229"/>
      <c r="DZ97" s="229"/>
      <c r="EA97" s="229"/>
      <c r="EB97" s="229"/>
      <c r="EC97" s="229"/>
      <c r="ED97" s="229"/>
      <c r="EE97" s="229"/>
      <c r="EF97" s="229"/>
      <c r="EG97" s="234"/>
      <c r="EH97" s="229"/>
      <c r="EI97" s="229"/>
      <c r="EJ97" s="229"/>
      <c r="EK97" s="229"/>
      <c r="EL97" s="229"/>
      <c r="EM97" s="229"/>
      <c r="EN97" s="229"/>
      <c r="EO97" s="229"/>
      <c r="EP97" s="229"/>
      <c r="EQ97" s="229"/>
      <c r="ER97" s="229"/>
      <c r="ES97" s="229"/>
      <c r="FI97" s="405"/>
      <c r="FJ97" s="405"/>
      <c r="FK97" s="405"/>
      <c r="FL97" s="405"/>
      <c r="FM97" s="405"/>
      <c r="FN97" s="405"/>
      <c r="FO97" s="405"/>
      <c r="FP97" s="405"/>
      <c r="FQ97" s="405"/>
      <c r="FR97" s="405"/>
      <c r="FS97" s="405"/>
      <c r="FT97" s="405"/>
      <c r="FU97" s="405"/>
      <c r="FV97" s="405"/>
      <c r="FW97" s="405"/>
      <c r="FX97" s="405"/>
      <c r="FY97" s="405"/>
      <c r="FZ97" s="405"/>
      <c r="GA97" s="405"/>
      <c r="GB97" s="405"/>
      <c r="GC97" s="405"/>
      <c r="GD97" s="405"/>
      <c r="GE97" s="405"/>
      <c r="GF97" s="405"/>
      <c r="GG97" s="405"/>
      <c r="GH97" s="405"/>
      <c r="GI97" s="405"/>
      <c r="GJ97" s="405"/>
      <c r="GK97" s="405"/>
      <c r="GL97" s="405"/>
      <c r="GM97" s="405"/>
      <c r="GN97" s="405"/>
      <c r="GO97" s="405"/>
      <c r="GP97" s="405"/>
      <c r="GQ97" s="405"/>
      <c r="GR97" s="405"/>
      <c r="GS97" s="405"/>
      <c r="GT97" s="405"/>
      <c r="GU97" s="405"/>
      <c r="GV97" s="405"/>
      <c r="GW97" s="381"/>
      <c r="GX97" s="381"/>
      <c r="GY97" s="381"/>
      <c r="GZ97" s="381"/>
      <c r="HA97" s="381"/>
      <c r="HB97" s="381"/>
      <c r="HC97" s="229"/>
      <c r="HF97" s="311"/>
      <c r="HG97" s="312"/>
      <c r="HH97" s="312"/>
      <c r="HI97" s="312"/>
      <c r="HJ97" s="312"/>
      <c r="HK97" s="312"/>
      <c r="HL97" s="312"/>
      <c r="HM97" s="312"/>
      <c r="HN97" s="312"/>
      <c r="HO97" s="312"/>
      <c r="HP97" s="312"/>
      <c r="HQ97" s="312"/>
      <c r="HR97" s="312"/>
      <c r="HS97" s="312"/>
      <c r="HT97" s="312"/>
      <c r="HU97" s="312"/>
      <c r="HV97" s="312"/>
      <c r="HW97" s="312"/>
      <c r="HX97" s="312"/>
      <c r="HY97" s="312"/>
      <c r="HZ97" s="312"/>
      <c r="IA97" s="312"/>
      <c r="IB97" s="312"/>
      <c r="IC97" s="312"/>
      <c r="ID97" s="312"/>
      <c r="IE97" s="312"/>
      <c r="IF97" s="312"/>
      <c r="IG97" s="312"/>
      <c r="IH97" s="312"/>
      <c r="II97" s="312"/>
      <c r="IJ97" s="312"/>
      <c r="IK97" s="312"/>
      <c r="IL97" s="312"/>
      <c r="IM97" s="312"/>
      <c r="IN97" s="312"/>
      <c r="IO97" s="312"/>
      <c r="IP97" s="312"/>
      <c r="IQ97" s="312"/>
      <c r="IR97" s="312"/>
      <c r="IS97" s="313"/>
      <c r="IT97" s="311"/>
      <c r="IU97" s="312"/>
      <c r="IV97" s="312"/>
      <c r="IW97" s="312"/>
      <c r="IX97" s="313"/>
      <c r="IY97" s="229"/>
      <c r="IZ97" s="229"/>
      <c r="JA97" s="229"/>
      <c r="JB97" s="229"/>
      <c r="JC97" s="229"/>
      <c r="JK97" s="311"/>
      <c r="JL97" s="312"/>
      <c r="JM97" s="312"/>
      <c r="JN97" s="312"/>
      <c r="JO97" s="312"/>
      <c r="JP97" s="312"/>
      <c r="JQ97" s="312"/>
      <c r="JR97" s="312"/>
      <c r="JS97" s="312"/>
      <c r="JT97" s="312"/>
      <c r="JU97" s="312"/>
      <c r="JV97" s="312"/>
      <c r="JW97" s="312"/>
      <c r="JX97" s="312"/>
      <c r="JY97" s="312"/>
      <c r="JZ97" s="312"/>
      <c r="KA97" s="312"/>
      <c r="KB97" s="312"/>
      <c r="KC97" s="312"/>
      <c r="KD97" s="312"/>
      <c r="KE97" s="312"/>
      <c r="KF97" s="312"/>
      <c r="KG97" s="312"/>
      <c r="KH97" s="312"/>
      <c r="KI97" s="312"/>
      <c r="KJ97" s="312"/>
      <c r="KK97" s="312"/>
      <c r="KL97" s="312"/>
      <c r="KM97" s="312"/>
      <c r="KN97" s="312"/>
      <c r="KO97" s="312"/>
      <c r="KP97" s="312"/>
      <c r="KQ97" s="312"/>
      <c r="KR97" s="312"/>
      <c r="KS97" s="312"/>
      <c r="KT97" s="312"/>
      <c r="KU97" s="312"/>
      <c r="KV97" s="312"/>
      <c r="KW97" s="312"/>
      <c r="KX97" s="313"/>
      <c r="KY97" s="311"/>
      <c r="KZ97" s="312"/>
      <c r="LA97" s="312"/>
      <c r="LB97" s="312"/>
      <c r="LC97" s="313"/>
      <c r="LM97" s="320"/>
      <c r="LN97" s="321"/>
      <c r="LO97" s="321"/>
      <c r="LP97" s="321"/>
      <c r="LQ97" s="321"/>
      <c r="LR97" s="321"/>
      <c r="LS97" s="321"/>
      <c r="LT97" s="321"/>
      <c r="LU97" s="321"/>
      <c r="LV97" s="321"/>
      <c r="LW97" s="321"/>
      <c r="LX97" s="321"/>
      <c r="LY97" s="321"/>
      <c r="LZ97" s="321"/>
      <c r="MA97" s="321"/>
      <c r="MB97" s="321"/>
      <c r="MC97" s="321"/>
      <c r="MD97" s="321"/>
      <c r="ME97" s="321"/>
      <c r="MF97" s="321"/>
      <c r="MG97" s="321"/>
      <c r="MH97" s="321"/>
      <c r="MI97" s="321"/>
      <c r="MJ97" s="321"/>
      <c r="MK97" s="321"/>
      <c r="ML97" s="321"/>
      <c r="MM97" s="321"/>
      <c r="MN97" s="321"/>
      <c r="MO97" s="321"/>
      <c r="MP97" s="321"/>
      <c r="MQ97" s="321"/>
      <c r="MR97" s="321"/>
      <c r="MS97" s="321"/>
      <c r="MT97" s="321"/>
      <c r="MU97" s="321"/>
      <c r="MV97" s="321"/>
      <c r="MW97" s="321"/>
      <c r="MX97" s="321"/>
      <c r="MY97" s="321"/>
      <c r="MZ97" s="322"/>
      <c r="NA97" s="311"/>
      <c r="NB97" s="312"/>
      <c r="NC97" s="312"/>
      <c r="ND97" s="312"/>
      <c r="NE97" s="313"/>
      <c r="QQ97" s="230"/>
      <c r="QR97" s="231"/>
    </row>
    <row r="98" spans="3:460" ht="5.0999999999999996" customHeight="1" x14ac:dyDescent="0.25">
      <c r="C98" s="226"/>
      <c r="D98" s="227"/>
      <c r="E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CB98" s="234"/>
      <c r="CF98" s="229"/>
      <c r="DP98" s="229"/>
      <c r="DQ98" s="229"/>
      <c r="DR98" s="229"/>
      <c r="DS98" s="229"/>
      <c r="DT98" s="229"/>
      <c r="DU98" s="229"/>
      <c r="DV98" s="229"/>
      <c r="DW98" s="229"/>
      <c r="DX98" s="229"/>
      <c r="DY98" s="229"/>
      <c r="DZ98" s="229"/>
      <c r="EG98" s="234"/>
      <c r="EH98" s="229"/>
      <c r="EI98" s="229"/>
      <c r="EJ98" s="229"/>
      <c r="EK98" s="229"/>
      <c r="EL98" s="229"/>
      <c r="EM98" s="229"/>
      <c r="EN98" s="229"/>
      <c r="EO98" s="229"/>
      <c r="FI98" s="405"/>
      <c r="FJ98" s="405"/>
      <c r="FK98" s="405"/>
      <c r="FL98" s="405"/>
      <c r="FM98" s="405"/>
      <c r="FN98" s="405"/>
      <c r="FO98" s="405"/>
      <c r="FP98" s="405"/>
      <c r="FQ98" s="405"/>
      <c r="FR98" s="405"/>
      <c r="FS98" s="405"/>
      <c r="FT98" s="405"/>
      <c r="FU98" s="405"/>
      <c r="FV98" s="405"/>
      <c r="FW98" s="405"/>
      <c r="FX98" s="405"/>
      <c r="FY98" s="405"/>
      <c r="FZ98" s="405"/>
      <c r="GA98" s="405"/>
      <c r="GB98" s="405"/>
      <c r="GC98" s="405"/>
      <c r="GD98" s="405"/>
      <c r="GE98" s="405"/>
      <c r="GF98" s="405"/>
      <c r="GG98" s="405"/>
      <c r="GH98" s="405"/>
      <c r="GI98" s="405"/>
      <c r="GJ98" s="405"/>
      <c r="GK98" s="405"/>
      <c r="GL98" s="405"/>
      <c r="GM98" s="405"/>
      <c r="GN98" s="405"/>
      <c r="GO98" s="405"/>
      <c r="GP98" s="405"/>
      <c r="GQ98" s="405"/>
      <c r="GR98" s="405"/>
      <c r="GS98" s="405"/>
      <c r="GT98" s="405"/>
      <c r="GU98" s="405"/>
      <c r="GV98" s="405"/>
      <c r="GW98" s="381"/>
      <c r="GX98" s="381"/>
      <c r="GY98" s="381"/>
      <c r="GZ98" s="381"/>
      <c r="HA98" s="381"/>
      <c r="HB98" s="381"/>
      <c r="HC98" s="229"/>
      <c r="HF98" s="311"/>
      <c r="HG98" s="312"/>
      <c r="HH98" s="312"/>
      <c r="HI98" s="312"/>
      <c r="HJ98" s="312"/>
      <c r="HK98" s="312"/>
      <c r="HL98" s="312"/>
      <c r="HM98" s="312"/>
      <c r="HN98" s="312"/>
      <c r="HO98" s="312"/>
      <c r="HP98" s="312"/>
      <c r="HQ98" s="312"/>
      <c r="HR98" s="312"/>
      <c r="HS98" s="312"/>
      <c r="HT98" s="312"/>
      <c r="HU98" s="312"/>
      <c r="HV98" s="312"/>
      <c r="HW98" s="312"/>
      <c r="HX98" s="312"/>
      <c r="HY98" s="312"/>
      <c r="HZ98" s="312"/>
      <c r="IA98" s="312"/>
      <c r="IB98" s="312"/>
      <c r="IC98" s="312"/>
      <c r="ID98" s="312"/>
      <c r="IE98" s="312"/>
      <c r="IF98" s="312"/>
      <c r="IG98" s="312"/>
      <c r="IH98" s="312"/>
      <c r="II98" s="312"/>
      <c r="IJ98" s="312"/>
      <c r="IK98" s="312"/>
      <c r="IL98" s="312"/>
      <c r="IM98" s="312"/>
      <c r="IN98" s="312"/>
      <c r="IO98" s="312"/>
      <c r="IP98" s="312"/>
      <c r="IQ98" s="312"/>
      <c r="IR98" s="312"/>
      <c r="IS98" s="313"/>
      <c r="IT98" s="311"/>
      <c r="IU98" s="312"/>
      <c r="IV98" s="312"/>
      <c r="IW98" s="312"/>
      <c r="IX98" s="313"/>
      <c r="IY98" s="229"/>
      <c r="IZ98" s="229"/>
      <c r="JA98" s="229"/>
      <c r="JB98" s="229"/>
      <c r="JC98" s="229"/>
      <c r="JK98" s="311"/>
      <c r="JL98" s="312"/>
      <c r="JM98" s="312"/>
      <c r="JN98" s="312"/>
      <c r="JO98" s="312"/>
      <c r="JP98" s="312"/>
      <c r="JQ98" s="312"/>
      <c r="JR98" s="312"/>
      <c r="JS98" s="312"/>
      <c r="JT98" s="312"/>
      <c r="JU98" s="312"/>
      <c r="JV98" s="312"/>
      <c r="JW98" s="312"/>
      <c r="JX98" s="312"/>
      <c r="JY98" s="312"/>
      <c r="JZ98" s="312"/>
      <c r="KA98" s="312"/>
      <c r="KB98" s="312"/>
      <c r="KC98" s="312"/>
      <c r="KD98" s="312"/>
      <c r="KE98" s="312"/>
      <c r="KF98" s="312"/>
      <c r="KG98" s="312"/>
      <c r="KH98" s="312"/>
      <c r="KI98" s="312"/>
      <c r="KJ98" s="312"/>
      <c r="KK98" s="312"/>
      <c r="KL98" s="312"/>
      <c r="KM98" s="312"/>
      <c r="KN98" s="312"/>
      <c r="KO98" s="312"/>
      <c r="KP98" s="312"/>
      <c r="KQ98" s="312"/>
      <c r="KR98" s="312"/>
      <c r="KS98" s="312"/>
      <c r="KT98" s="312"/>
      <c r="KU98" s="312"/>
      <c r="KV98" s="312"/>
      <c r="KW98" s="312"/>
      <c r="KX98" s="313"/>
      <c r="KY98" s="311"/>
      <c r="KZ98" s="312"/>
      <c r="LA98" s="312"/>
      <c r="LB98" s="312"/>
      <c r="LC98" s="313"/>
      <c r="LM98" s="320"/>
      <c r="LN98" s="321"/>
      <c r="LO98" s="321"/>
      <c r="LP98" s="321"/>
      <c r="LQ98" s="321"/>
      <c r="LR98" s="321"/>
      <c r="LS98" s="321"/>
      <c r="LT98" s="321"/>
      <c r="LU98" s="321"/>
      <c r="LV98" s="321"/>
      <c r="LW98" s="321"/>
      <c r="LX98" s="321"/>
      <c r="LY98" s="321"/>
      <c r="LZ98" s="321"/>
      <c r="MA98" s="321"/>
      <c r="MB98" s="321"/>
      <c r="MC98" s="321"/>
      <c r="MD98" s="321"/>
      <c r="ME98" s="321"/>
      <c r="MF98" s="321"/>
      <c r="MG98" s="321"/>
      <c r="MH98" s="321"/>
      <c r="MI98" s="321"/>
      <c r="MJ98" s="321"/>
      <c r="MK98" s="321"/>
      <c r="ML98" s="321"/>
      <c r="MM98" s="321"/>
      <c r="MN98" s="321"/>
      <c r="MO98" s="321"/>
      <c r="MP98" s="321"/>
      <c r="MQ98" s="321"/>
      <c r="MR98" s="321"/>
      <c r="MS98" s="321"/>
      <c r="MT98" s="321"/>
      <c r="MU98" s="321"/>
      <c r="MV98" s="321"/>
      <c r="MW98" s="321"/>
      <c r="MX98" s="321"/>
      <c r="MY98" s="321"/>
      <c r="MZ98" s="322"/>
      <c r="NA98" s="311"/>
      <c r="NB98" s="312"/>
      <c r="NC98" s="312"/>
      <c r="ND98" s="312"/>
      <c r="NE98" s="313"/>
      <c r="QQ98" s="230"/>
      <c r="QR98" s="231"/>
    </row>
    <row r="99" spans="3:460" ht="5.0999999999999996" customHeight="1" x14ac:dyDescent="0.25">
      <c r="C99" s="226"/>
      <c r="D99" s="227"/>
      <c r="E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CB99" s="244"/>
      <c r="CF99" s="229"/>
      <c r="DP99" s="229"/>
      <c r="DQ99" s="229"/>
      <c r="DR99" s="229"/>
      <c r="DS99" s="229"/>
      <c r="DT99" s="229"/>
      <c r="DU99" s="229"/>
      <c r="DV99" s="229"/>
      <c r="DW99" s="229"/>
      <c r="DX99" s="229"/>
      <c r="DY99" s="229"/>
      <c r="DZ99" s="229"/>
      <c r="EG99" s="234"/>
      <c r="EH99" s="229"/>
      <c r="EI99" s="229"/>
      <c r="EJ99" s="229"/>
      <c r="EK99" s="229"/>
      <c r="EL99" s="229"/>
      <c r="EM99" s="229"/>
      <c r="EN99" s="229"/>
      <c r="EO99" s="229"/>
      <c r="FI99" s="405"/>
      <c r="FJ99" s="405"/>
      <c r="FK99" s="405"/>
      <c r="FL99" s="405"/>
      <c r="FM99" s="405"/>
      <c r="FN99" s="405"/>
      <c r="FO99" s="405"/>
      <c r="FP99" s="405"/>
      <c r="FQ99" s="405"/>
      <c r="FR99" s="405"/>
      <c r="FS99" s="405"/>
      <c r="FT99" s="405"/>
      <c r="FU99" s="405"/>
      <c r="FV99" s="405"/>
      <c r="FW99" s="405"/>
      <c r="FX99" s="405"/>
      <c r="FY99" s="405"/>
      <c r="FZ99" s="405"/>
      <c r="GA99" s="405"/>
      <c r="GB99" s="405"/>
      <c r="GC99" s="405"/>
      <c r="GD99" s="405"/>
      <c r="GE99" s="405"/>
      <c r="GF99" s="405"/>
      <c r="GG99" s="405"/>
      <c r="GH99" s="405"/>
      <c r="GI99" s="405"/>
      <c r="GJ99" s="405"/>
      <c r="GK99" s="405"/>
      <c r="GL99" s="405"/>
      <c r="GM99" s="405"/>
      <c r="GN99" s="405"/>
      <c r="GO99" s="405"/>
      <c r="GP99" s="405"/>
      <c r="GQ99" s="405"/>
      <c r="GR99" s="405"/>
      <c r="GS99" s="405"/>
      <c r="GT99" s="405"/>
      <c r="GU99" s="405"/>
      <c r="GV99" s="405"/>
      <c r="GW99" s="381"/>
      <c r="GX99" s="381"/>
      <c r="GY99" s="381"/>
      <c r="GZ99" s="381"/>
      <c r="HA99" s="381"/>
      <c r="HB99" s="381"/>
      <c r="HC99" s="229"/>
      <c r="HF99" s="311"/>
      <c r="HG99" s="312"/>
      <c r="HH99" s="312"/>
      <c r="HI99" s="312"/>
      <c r="HJ99" s="312"/>
      <c r="HK99" s="312"/>
      <c r="HL99" s="312"/>
      <c r="HM99" s="312"/>
      <c r="HN99" s="312"/>
      <c r="HO99" s="312"/>
      <c r="HP99" s="312"/>
      <c r="HQ99" s="312"/>
      <c r="HR99" s="312"/>
      <c r="HS99" s="312"/>
      <c r="HT99" s="312"/>
      <c r="HU99" s="312"/>
      <c r="HV99" s="312"/>
      <c r="HW99" s="312"/>
      <c r="HX99" s="312"/>
      <c r="HY99" s="312"/>
      <c r="HZ99" s="312"/>
      <c r="IA99" s="312"/>
      <c r="IB99" s="312"/>
      <c r="IC99" s="312"/>
      <c r="ID99" s="312"/>
      <c r="IE99" s="312"/>
      <c r="IF99" s="312"/>
      <c r="IG99" s="312"/>
      <c r="IH99" s="312"/>
      <c r="II99" s="312"/>
      <c r="IJ99" s="312"/>
      <c r="IK99" s="312"/>
      <c r="IL99" s="312"/>
      <c r="IM99" s="312"/>
      <c r="IN99" s="312"/>
      <c r="IO99" s="312"/>
      <c r="IP99" s="312"/>
      <c r="IQ99" s="312"/>
      <c r="IR99" s="312"/>
      <c r="IS99" s="313"/>
      <c r="IT99" s="311"/>
      <c r="IU99" s="312"/>
      <c r="IV99" s="312"/>
      <c r="IW99" s="312"/>
      <c r="IX99" s="313"/>
      <c r="JK99" s="311"/>
      <c r="JL99" s="312"/>
      <c r="JM99" s="312"/>
      <c r="JN99" s="312"/>
      <c r="JO99" s="312"/>
      <c r="JP99" s="312"/>
      <c r="JQ99" s="312"/>
      <c r="JR99" s="312"/>
      <c r="JS99" s="312"/>
      <c r="JT99" s="312"/>
      <c r="JU99" s="312"/>
      <c r="JV99" s="312"/>
      <c r="JW99" s="312"/>
      <c r="JX99" s="312"/>
      <c r="JY99" s="312"/>
      <c r="JZ99" s="312"/>
      <c r="KA99" s="312"/>
      <c r="KB99" s="312"/>
      <c r="KC99" s="312"/>
      <c r="KD99" s="312"/>
      <c r="KE99" s="312"/>
      <c r="KF99" s="312"/>
      <c r="KG99" s="312"/>
      <c r="KH99" s="312"/>
      <c r="KI99" s="312"/>
      <c r="KJ99" s="312"/>
      <c r="KK99" s="312"/>
      <c r="KL99" s="312"/>
      <c r="KM99" s="312"/>
      <c r="KN99" s="312"/>
      <c r="KO99" s="312"/>
      <c r="KP99" s="312"/>
      <c r="KQ99" s="312"/>
      <c r="KR99" s="312"/>
      <c r="KS99" s="312"/>
      <c r="KT99" s="312"/>
      <c r="KU99" s="312"/>
      <c r="KV99" s="312"/>
      <c r="KW99" s="312"/>
      <c r="KX99" s="313"/>
      <c r="KY99" s="311"/>
      <c r="KZ99" s="312"/>
      <c r="LA99" s="312"/>
      <c r="LB99" s="312"/>
      <c r="LC99" s="313"/>
      <c r="LM99" s="320"/>
      <c r="LN99" s="321"/>
      <c r="LO99" s="321"/>
      <c r="LP99" s="321"/>
      <c r="LQ99" s="321"/>
      <c r="LR99" s="321"/>
      <c r="LS99" s="321"/>
      <c r="LT99" s="321"/>
      <c r="LU99" s="321"/>
      <c r="LV99" s="321"/>
      <c r="LW99" s="321"/>
      <c r="LX99" s="321"/>
      <c r="LY99" s="321"/>
      <c r="LZ99" s="321"/>
      <c r="MA99" s="321"/>
      <c r="MB99" s="321"/>
      <c r="MC99" s="321"/>
      <c r="MD99" s="321"/>
      <c r="ME99" s="321"/>
      <c r="MF99" s="321"/>
      <c r="MG99" s="321"/>
      <c r="MH99" s="321"/>
      <c r="MI99" s="321"/>
      <c r="MJ99" s="321"/>
      <c r="MK99" s="321"/>
      <c r="ML99" s="321"/>
      <c r="MM99" s="321"/>
      <c r="MN99" s="321"/>
      <c r="MO99" s="321"/>
      <c r="MP99" s="321"/>
      <c r="MQ99" s="321"/>
      <c r="MR99" s="321"/>
      <c r="MS99" s="321"/>
      <c r="MT99" s="321"/>
      <c r="MU99" s="321"/>
      <c r="MV99" s="321"/>
      <c r="MW99" s="321"/>
      <c r="MX99" s="321"/>
      <c r="MY99" s="321"/>
      <c r="MZ99" s="322"/>
      <c r="NA99" s="311"/>
      <c r="NB99" s="312"/>
      <c r="NC99" s="312"/>
      <c r="ND99" s="312"/>
      <c r="NE99" s="313"/>
      <c r="QQ99" s="230"/>
      <c r="QR99" s="231"/>
    </row>
    <row r="100" spans="3:460" ht="5.0999999999999996" customHeight="1" x14ac:dyDescent="0.25">
      <c r="C100" s="226"/>
      <c r="D100" s="227"/>
      <c r="E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BF100" s="308" t="s">
        <v>424</v>
      </c>
      <c r="BG100" s="309"/>
      <c r="BH100" s="309"/>
      <c r="BI100" s="309"/>
      <c r="BJ100" s="309"/>
      <c r="BK100" s="309"/>
      <c r="BL100" s="309"/>
      <c r="BM100" s="309"/>
      <c r="BN100" s="309"/>
      <c r="BO100" s="309"/>
      <c r="BP100" s="309"/>
      <c r="BQ100" s="309"/>
      <c r="BR100" s="309"/>
      <c r="BS100" s="309"/>
      <c r="BT100" s="309"/>
      <c r="BU100" s="309"/>
      <c r="BV100" s="309"/>
      <c r="BW100" s="309"/>
      <c r="BX100" s="309"/>
      <c r="BY100" s="309"/>
      <c r="BZ100" s="309"/>
      <c r="CA100" s="309"/>
      <c r="CB100" s="309"/>
      <c r="CC100" s="309"/>
      <c r="CD100" s="309"/>
      <c r="CE100" s="309"/>
      <c r="CF100" s="309"/>
      <c r="CG100" s="309"/>
      <c r="CH100" s="309"/>
      <c r="CI100" s="309"/>
      <c r="CJ100" s="309"/>
      <c r="CK100" s="309"/>
      <c r="CL100" s="309"/>
      <c r="CM100" s="309"/>
      <c r="CN100" s="309"/>
      <c r="CO100" s="309"/>
      <c r="CP100" s="309"/>
      <c r="CQ100" s="309"/>
      <c r="CR100" s="309"/>
      <c r="CS100" s="309"/>
      <c r="CT100" s="382"/>
      <c r="CU100" s="385">
        <v>1</v>
      </c>
      <c r="CV100" s="385"/>
      <c r="CW100" s="385"/>
      <c r="CX100" s="385"/>
      <c r="DP100" s="229"/>
      <c r="DQ100" s="229"/>
      <c r="DR100" s="229"/>
      <c r="DS100" s="229"/>
      <c r="DT100" s="229"/>
      <c r="DU100" s="229"/>
      <c r="DV100" s="229"/>
      <c r="DW100" s="229"/>
      <c r="DX100" s="229"/>
      <c r="DY100" s="229"/>
      <c r="DZ100" s="229"/>
      <c r="EG100" s="234"/>
      <c r="EH100" s="229"/>
      <c r="EI100" s="229"/>
      <c r="EJ100" s="229"/>
      <c r="EK100" s="229"/>
      <c r="EL100" s="229"/>
      <c r="EM100" s="229"/>
      <c r="EN100" s="229"/>
      <c r="EO100" s="229"/>
      <c r="FI100" s="405"/>
      <c r="FJ100" s="405"/>
      <c r="FK100" s="405"/>
      <c r="FL100" s="405"/>
      <c r="FM100" s="405"/>
      <c r="FN100" s="405"/>
      <c r="FO100" s="405"/>
      <c r="FP100" s="405"/>
      <c r="FQ100" s="405"/>
      <c r="FR100" s="405"/>
      <c r="FS100" s="405"/>
      <c r="FT100" s="405"/>
      <c r="FU100" s="405"/>
      <c r="FV100" s="405"/>
      <c r="FW100" s="405"/>
      <c r="FX100" s="405"/>
      <c r="FY100" s="405"/>
      <c r="FZ100" s="405"/>
      <c r="GA100" s="405"/>
      <c r="GB100" s="405"/>
      <c r="GC100" s="405"/>
      <c r="GD100" s="405"/>
      <c r="GE100" s="405"/>
      <c r="GF100" s="405"/>
      <c r="GG100" s="405"/>
      <c r="GH100" s="405"/>
      <c r="GI100" s="405"/>
      <c r="GJ100" s="405"/>
      <c r="GK100" s="405"/>
      <c r="GL100" s="405"/>
      <c r="GM100" s="405"/>
      <c r="GN100" s="405"/>
      <c r="GO100" s="405"/>
      <c r="GP100" s="405"/>
      <c r="GQ100" s="405"/>
      <c r="GR100" s="405"/>
      <c r="GS100" s="405"/>
      <c r="GT100" s="405"/>
      <c r="GU100" s="405"/>
      <c r="GV100" s="405"/>
      <c r="GW100" s="381"/>
      <c r="GX100" s="381"/>
      <c r="GY100" s="381"/>
      <c r="GZ100" s="381"/>
      <c r="HA100" s="381"/>
      <c r="HB100" s="381"/>
      <c r="HC100" s="229"/>
      <c r="HF100" s="311"/>
      <c r="HG100" s="312"/>
      <c r="HH100" s="312"/>
      <c r="HI100" s="312"/>
      <c r="HJ100" s="312"/>
      <c r="HK100" s="312"/>
      <c r="HL100" s="312"/>
      <c r="HM100" s="312"/>
      <c r="HN100" s="312"/>
      <c r="HO100" s="312"/>
      <c r="HP100" s="312"/>
      <c r="HQ100" s="312"/>
      <c r="HR100" s="312"/>
      <c r="HS100" s="312"/>
      <c r="HT100" s="312"/>
      <c r="HU100" s="312"/>
      <c r="HV100" s="312"/>
      <c r="HW100" s="312"/>
      <c r="HX100" s="312"/>
      <c r="HY100" s="312"/>
      <c r="HZ100" s="312"/>
      <c r="IA100" s="312"/>
      <c r="IB100" s="312"/>
      <c r="IC100" s="312"/>
      <c r="ID100" s="312"/>
      <c r="IE100" s="312"/>
      <c r="IF100" s="312"/>
      <c r="IG100" s="312"/>
      <c r="IH100" s="312"/>
      <c r="II100" s="312"/>
      <c r="IJ100" s="312"/>
      <c r="IK100" s="312"/>
      <c r="IL100" s="312"/>
      <c r="IM100" s="312"/>
      <c r="IN100" s="312"/>
      <c r="IO100" s="312"/>
      <c r="IP100" s="312"/>
      <c r="IQ100" s="312"/>
      <c r="IR100" s="312"/>
      <c r="IS100" s="313"/>
      <c r="IT100" s="311"/>
      <c r="IU100" s="312"/>
      <c r="IV100" s="312"/>
      <c r="IW100" s="312"/>
      <c r="IX100" s="313"/>
      <c r="JK100" s="311"/>
      <c r="JL100" s="312"/>
      <c r="JM100" s="312"/>
      <c r="JN100" s="312"/>
      <c r="JO100" s="312"/>
      <c r="JP100" s="312"/>
      <c r="JQ100" s="312"/>
      <c r="JR100" s="312"/>
      <c r="JS100" s="312"/>
      <c r="JT100" s="312"/>
      <c r="JU100" s="312"/>
      <c r="JV100" s="312"/>
      <c r="JW100" s="312"/>
      <c r="JX100" s="312"/>
      <c r="JY100" s="312"/>
      <c r="JZ100" s="312"/>
      <c r="KA100" s="312"/>
      <c r="KB100" s="312"/>
      <c r="KC100" s="312"/>
      <c r="KD100" s="312"/>
      <c r="KE100" s="312"/>
      <c r="KF100" s="312"/>
      <c r="KG100" s="312"/>
      <c r="KH100" s="312"/>
      <c r="KI100" s="312"/>
      <c r="KJ100" s="312"/>
      <c r="KK100" s="312"/>
      <c r="KL100" s="312"/>
      <c r="KM100" s="312"/>
      <c r="KN100" s="312"/>
      <c r="KO100" s="312"/>
      <c r="KP100" s="312"/>
      <c r="KQ100" s="312"/>
      <c r="KR100" s="312"/>
      <c r="KS100" s="312"/>
      <c r="KT100" s="312"/>
      <c r="KU100" s="312"/>
      <c r="KV100" s="312"/>
      <c r="KW100" s="312"/>
      <c r="KX100" s="313"/>
      <c r="KY100" s="311"/>
      <c r="KZ100" s="312"/>
      <c r="LA100" s="312"/>
      <c r="LB100" s="312"/>
      <c r="LC100" s="313"/>
      <c r="LM100" s="320"/>
      <c r="LN100" s="321"/>
      <c r="LO100" s="321"/>
      <c r="LP100" s="321"/>
      <c r="LQ100" s="321"/>
      <c r="LR100" s="321"/>
      <c r="LS100" s="321"/>
      <c r="LT100" s="321"/>
      <c r="LU100" s="321"/>
      <c r="LV100" s="321"/>
      <c r="LW100" s="321"/>
      <c r="LX100" s="321"/>
      <c r="LY100" s="321"/>
      <c r="LZ100" s="321"/>
      <c r="MA100" s="321"/>
      <c r="MB100" s="321"/>
      <c r="MC100" s="321"/>
      <c r="MD100" s="321"/>
      <c r="ME100" s="321"/>
      <c r="MF100" s="321"/>
      <c r="MG100" s="321"/>
      <c r="MH100" s="321"/>
      <c r="MI100" s="321"/>
      <c r="MJ100" s="321"/>
      <c r="MK100" s="321"/>
      <c r="ML100" s="321"/>
      <c r="MM100" s="321"/>
      <c r="MN100" s="321"/>
      <c r="MO100" s="321"/>
      <c r="MP100" s="321"/>
      <c r="MQ100" s="321"/>
      <c r="MR100" s="321"/>
      <c r="MS100" s="321"/>
      <c r="MT100" s="321"/>
      <c r="MU100" s="321"/>
      <c r="MV100" s="321"/>
      <c r="MW100" s="321"/>
      <c r="MX100" s="321"/>
      <c r="MY100" s="321"/>
      <c r="MZ100" s="322"/>
      <c r="NA100" s="311"/>
      <c r="NB100" s="312"/>
      <c r="NC100" s="312"/>
      <c r="ND100" s="312"/>
      <c r="NE100" s="313"/>
      <c r="QQ100" s="230"/>
      <c r="QR100" s="231"/>
    </row>
    <row r="101" spans="3:460" ht="5.0999999999999996" customHeight="1" x14ac:dyDescent="0.25">
      <c r="C101" s="226"/>
      <c r="D101" s="227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BF101" s="311"/>
      <c r="BG101" s="312"/>
      <c r="BH101" s="312"/>
      <c r="BI101" s="312"/>
      <c r="BJ101" s="312"/>
      <c r="BK101" s="312"/>
      <c r="BL101" s="312"/>
      <c r="BM101" s="312"/>
      <c r="BN101" s="312"/>
      <c r="BO101" s="312"/>
      <c r="BP101" s="312"/>
      <c r="BQ101" s="312"/>
      <c r="BR101" s="312"/>
      <c r="BS101" s="312"/>
      <c r="BT101" s="312"/>
      <c r="BU101" s="312"/>
      <c r="BV101" s="312"/>
      <c r="BW101" s="312"/>
      <c r="BX101" s="312"/>
      <c r="BY101" s="312"/>
      <c r="BZ101" s="312"/>
      <c r="CA101" s="312"/>
      <c r="CB101" s="312"/>
      <c r="CC101" s="312"/>
      <c r="CD101" s="312"/>
      <c r="CE101" s="312"/>
      <c r="CF101" s="312"/>
      <c r="CG101" s="312"/>
      <c r="CH101" s="312"/>
      <c r="CI101" s="312"/>
      <c r="CJ101" s="312"/>
      <c r="CK101" s="312"/>
      <c r="CL101" s="312"/>
      <c r="CM101" s="312"/>
      <c r="CN101" s="312"/>
      <c r="CO101" s="312"/>
      <c r="CP101" s="312"/>
      <c r="CQ101" s="312"/>
      <c r="CR101" s="312"/>
      <c r="CS101" s="312"/>
      <c r="CT101" s="383"/>
      <c r="CU101" s="385"/>
      <c r="CV101" s="385"/>
      <c r="CW101" s="385"/>
      <c r="CX101" s="385"/>
      <c r="CY101" s="229"/>
      <c r="DP101" s="229"/>
      <c r="DQ101" s="229"/>
      <c r="DR101" s="229"/>
      <c r="DS101" s="229"/>
      <c r="DT101" s="229"/>
      <c r="DU101" s="229"/>
      <c r="DV101" s="229"/>
      <c r="DW101" s="229"/>
      <c r="EG101" s="234"/>
      <c r="EH101" s="229"/>
      <c r="EI101" s="229"/>
      <c r="EJ101" s="229"/>
      <c r="EK101" s="229"/>
      <c r="EL101" s="229"/>
      <c r="EM101" s="229"/>
      <c r="EN101" s="229"/>
      <c r="EO101" s="229"/>
      <c r="FI101" s="405"/>
      <c r="FJ101" s="405"/>
      <c r="FK101" s="405"/>
      <c r="FL101" s="405"/>
      <c r="FM101" s="405"/>
      <c r="FN101" s="405"/>
      <c r="FO101" s="405"/>
      <c r="FP101" s="405"/>
      <c r="FQ101" s="405"/>
      <c r="FR101" s="405"/>
      <c r="FS101" s="405"/>
      <c r="FT101" s="405"/>
      <c r="FU101" s="405"/>
      <c r="FV101" s="405"/>
      <c r="FW101" s="405"/>
      <c r="FX101" s="405"/>
      <c r="FY101" s="405"/>
      <c r="FZ101" s="405"/>
      <c r="GA101" s="405"/>
      <c r="GB101" s="405"/>
      <c r="GC101" s="405"/>
      <c r="GD101" s="405"/>
      <c r="GE101" s="405"/>
      <c r="GF101" s="405"/>
      <c r="GG101" s="405"/>
      <c r="GH101" s="405"/>
      <c r="GI101" s="405"/>
      <c r="GJ101" s="405"/>
      <c r="GK101" s="405"/>
      <c r="GL101" s="405"/>
      <c r="GM101" s="405"/>
      <c r="GN101" s="405"/>
      <c r="GO101" s="405"/>
      <c r="GP101" s="405"/>
      <c r="GQ101" s="405"/>
      <c r="GR101" s="405"/>
      <c r="GS101" s="405"/>
      <c r="GT101" s="405"/>
      <c r="GU101" s="405"/>
      <c r="GV101" s="405"/>
      <c r="GW101" s="381"/>
      <c r="GX101" s="381"/>
      <c r="GY101" s="381"/>
      <c r="GZ101" s="381"/>
      <c r="HA101" s="381"/>
      <c r="HB101" s="381"/>
      <c r="HC101" s="229"/>
      <c r="HF101" s="311"/>
      <c r="HG101" s="312"/>
      <c r="HH101" s="312"/>
      <c r="HI101" s="312"/>
      <c r="HJ101" s="312"/>
      <c r="HK101" s="312"/>
      <c r="HL101" s="312"/>
      <c r="HM101" s="312"/>
      <c r="HN101" s="312"/>
      <c r="HO101" s="312"/>
      <c r="HP101" s="312"/>
      <c r="HQ101" s="312"/>
      <c r="HR101" s="312"/>
      <c r="HS101" s="312"/>
      <c r="HT101" s="312"/>
      <c r="HU101" s="312"/>
      <c r="HV101" s="312"/>
      <c r="HW101" s="312"/>
      <c r="HX101" s="312"/>
      <c r="HY101" s="312"/>
      <c r="HZ101" s="312"/>
      <c r="IA101" s="312"/>
      <c r="IB101" s="312"/>
      <c r="IC101" s="312"/>
      <c r="ID101" s="312"/>
      <c r="IE101" s="312"/>
      <c r="IF101" s="312"/>
      <c r="IG101" s="312"/>
      <c r="IH101" s="312"/>
      <c r="II101" s="312"/>
      <c r="IJ101" s="312"/>
      <c r="IK101" s="312"/>
      <c r="IL101" s="312"/>
      <c r="IM101" s="312"/>
      <c r="IN101" s="312"/>
      <c r="IO101" s="312"/>
      <c r="IP101" s="312"/>
      <c r="IQ101" s="312"/>
      <c r="IR101" s="312"/>
      <c r="IS101" s="313"/>
      <c r="IT101" s="311"/>
      <c r="IU101" s="312"/>
      <c r="IV101" s="312"/>
      <c r="IW101" s="312"/>
      <c r="IX101" s="313"/>
      <c r="JK101" s="311"/>
      <c r="JL101" s="312"/>
      <c r="JM101" s="312"/>
      <c r="JN101" s="312"/>
      <c r="JO101" s="312"/>
      <c r="JP101" s="312"/>
      <c r="JQ101" s="312"/>
      <c r="JR101" s="312"/>
      <c r="JS101" s="312"/>
      <c r="JT101" s="312"/>
      <c r="JU101" s="312"/>
      <c r="JV101" s="312"/>
      <c r="JW101" s="312"/>
      <c r="JX101" s="312"/>
      <c r="JY101" s="312"/>
      <c r="JZ101" s="312"/>
      <c r="KA101" s="312"/>
      <c r="KB101" s="312"/>
      <c r="KC101" s="312"/>
      <c r="KD101" s="312"/>
      <c r="KE101" s="312"/>
      <c r="KF101" s="312"/>
      <c r="KG101" s="312"/>
      <c r="KH101" s="312"/>
      <c r="KI101" s="312"/>
      <c r="KJ101" s="312"/>
      <c r="KK101" s="312"/>
      <c r="KL101" s="312"/>
      <c r="KM101" s="312"/>
      <c r="KN101" s="312"/>
      <c r="KO101" s="312"/>
      <c r="KP101" s="312"/>
      <c r="KQ101" s="312"/>
      <c r="KR101" s="312"/>
      <c r="KS101" s="312"/>
      <c r="KT101" s="312"/>
      <c r="KU101" s="312"/>
      <c r="KV101" s="312"/>
      <c r="KW101" s="312"/>
      <c r="KX101" s="313"/>
      <c r="KY101" s="311"/>
      <c r="KZ101" s="312"/>
      <c r="LA101" s="312"/>
      <c r="LB101" s="312"/>
      <c r="LC101" s="313"/>
      <c r="LM101" s="320"/>
      <c r="LN101" s="321"/>
      <c r="LO101" s="321"/>
      <c r="LP101" s="321"/>
      <c r="LQ101" s="321"/>
      <c r="LR101" s="321"/>
      <c r="LS101" s="321"/>
      <c r="LT101" s="321"/>
      <c r="LU101" s="321"/>
      <c r="LV101" s="321"/>
      <c r="LW101" s="321"/>
      <c r="LX101" s="321"/>
      <c r="LY101" s="321"/>
      <c r="LZ101" s="321"/>
      <c r="MA101" s="321"/>
      <c r="MB101" s="321"/>
      <c r="MC101" s="321"/>
      <c r="MD101" s="321"/>
      <c r="ME101" s="321"/>
      <c r="MF101" s="321"/>
      <c r="MG101" s="321"/>
      <c r="MH101" s="321"/>
      <c r="MI101" s="321"/>
      <c r="MJ101" s="321"/>
      <c r="MK101" s="321"/>
      <c r="ML101" s="321"/>
      <c r="MM101" s="321"/>
      <c r="MN101" s="321"/>
      <c r="MO101" s="321"/>
      <c r="MP101" s="321"/>
      <c r="MQ101" s="321"/>
      <c r="MR101" s="321"/>
      <c r="MS101" s="321"/>
      <c r="MT101" s="321"/>
      <c r="MU101" s="321"/>
      <c r="MV101" s="321"/>
      <c r="MW101" s="321"/>
      <c r="MX101" s="321"/>
      <c r="MY101" s="321"/>
      <c r="MZ101" s="322"/>
      <c r="NA101" s="311"/>
      <c r="NB101" s="312"/>
      <c r="NC101" s="312"/>
      <c r="ND101" s="312"/>
      <c r="NE101" s="313"/>
      <c r="QQ101" s="230"/>
      <c r="QR101" s="231"/>
    </row>
    <row r="102" spans="3:460" ht="5.0999999999999996" customHeight="1" x14ac:dyDescent="0.25">
      <c r="C102" s="226"/>
      <c r="D102" s="227"/>
      <c r="E102" s="229"/>
      <c r="F102" s="229"/>
      <c r="G102" s="229"/>
      <c r="H102" s="229"/>
      <c r="BF102" s="311"/>
      <c r="BG102" s="312"/>
      <c r="BH102" s="312"/>
      <c r="BI102" s="312"/>
      <c r="BJ102" s="312"/>
      <c r="BK102" s="312"/>
      <c r="BL102" s="312"/>
      <c r="BM102" s="312"/>
      <c r="BN102" s="312"/>
      <c r="BO102" s="312"/>
      <c r="BP102" s="312"/>
      <c r="BQ102" s="312"/>
      <c r="BR102" s="312"/>
      <c r="BS102" s="312"/>
      <c r="BT102" s="312"/>
      <c r="BU102" s="312"/>
      <c r="BV102" s="312"/>
      <c r="BW102" s="312"/>
      <c r="BX102" s="312"/>
      <c r="BY102" s="312"/>
      <c r="BZ102" s="312"/>
      <c r="CA102" s="312"/>
      <c r="CB102" s="312"/>
      <c r="CC102" s="312"/>
      <c r="CD102" s="312"/>
      <c r="CE102" s="312"/>
      <c r="CF102" s="312"/>
      <c r="CG102" s="312"/>
      <c r="CH102" s="312"/>
      <c r="CI102" s="312"/>
      <c r="CJ102" s="312"/>
      <c r="CK102" s="312"/>
      <c r="CL102" s="312"/>
      <c r="CM102" s="312"/>
      <c r="CN102" s="312"/>
      <c r="CO102" s="312"/>
      <c r="CP102" s="312"/>
      <c r="CQ102" s="312"/>
      <c r="CR102" s="312"/>
      <c r="CS102" s="312"/>
      <c r="CT102" s="383"/>
      <c r="CU102" s="385"/>
      <c r="CV102" s="385"/>
      <c r="CW102" s="385"/>
      <c r="CX102" s="385"/>
      <c r="DE102" s="229"/>
      <c r="DF102" s="229"/>
      <c r="DG102" s="229"/>
      <c r="DH102" s="229"/>
      <c r="DI102" s="229"/>
      <c r="DJ102" s="229"/>
      <c r="DK102" s="229"/>
      <c r="DL102" s="229"/>
      <c r="DM102" s="229"/>
      <c r="DN102" s="229"/>
      <c r="DO102" s="229"/>
      <c r="DP102" s="229"/>
      <c r="DQ102" s="229"/>
      <c r="DR102" s="229"/>
      <c r="DS102" s="229"/>
      <c r="DT102" s="229"/>
      <c r="DU102" s="229"/>
      <c r="DV102" s="229"/>
      <c r="DW102" s="229"/>
      <c r="EG102" s="234"/>
      <c r="EH102" s="229"/>
      <c r="EI102" s="229"/>
      <c r="EJ102" s="229"/>
      <c r="EK102" s="229"/>
      <c r="EL102" s="229"/>
      <c r="EM102" s="229"/>
      <c r="EN102" s="229"/>
      <c r="EO102" s="229"/>
      <c r="FI102" s="405"/>
      <c r="FJ102" s="405"/>
      <c r="FK102" s="405"/>
      <c r="FL102" s="405"/>
      <c r="FM102" s="405"/>
      <c r="FN102" s="405"/>
      <c r="FO102" s="405"/>
      <c r="FP102" s="405"/>
      <c r="FQ102" s="405"/>
      <c r="FR102" s="405"/>
      <c r="FS102" s="405"/>
      <c r="FT102" s="405"/>
      <c r="FU102" s="405"/>
      <c r="FV102" s="405"/>
      <c r="FW102" s="405"/>
      <c r="FX102" s="405"/>
      <c r="FY102" s="405"/>
      <c r="FZ102" s="405"/>
      <c r="GA102" s="405"/>
      <c r="GB102" s="405"/>
      <c r="GC102" s="405"/>
      <c r="GD102" s="405"/>
      <c r="GE102" s="405"/>
      <c r="GF102" s="405"/>
      <c r="GG102" s="405"/>
      <c r="GH102" s="405"/>
      <c r="GI102" s="405"/>
      <c r="GJ102" s="405"/>
      <c r="GK102" s="405"/>
      <c r="GL102" s="405"/>
      <c r="GM102" s="405"/>
      <c r="GN102" s="405"/>
      <c r="GO102" s="405"/>
      <c r="GP102" s="405"/>
      <c r="GQ102" s="405"/>
      <c r="GR102" s="405"/>
      <c r="GS102" s="405"/>
      <c r="GT102" s="405"/>
      <c r="GU102" s="405"/>
      <c r="GV102" s="405"/>
      <c r="GW102" s="381"/>
      <c r="GX102" s="381"/>
      <c r="GY102" s="381"/>
      <c r="GZ102" s="381"/>
      <c r="HA102" s="381"/>
      <c r="HB102" s="381"/>
      <c r="HC102" s="229"/>
      <c r="HF102" s="311"/>
      <c r="HG102" s="312"/>
      <c r="HH102" s="312"/>
      <c r="HI102" s="312"/>
      <c r="HJ102" s="312"/>
      <c r="HK102" s="312"/>
      <c r="HL102" s="312"/>
      <c r="HM102" s="312"/>
      <c r="HN102" s="312"/>
      <c r="HO102" s="312"/>
      <c r="HP102" s="312"/>
      <c r="HQ102" s="312"/>
      <c r="HR102" s="312"/>
      <c r="HS102" s="312"/>
      <c r="HT102" s="312"/>
      <c r="HU102" s="312"/>
      <c r="HV102" s="312"/>
      <c r="HW102" s="312"/>
      <c r="HX102" s="312"/>
      <c r="HY102" s="312"/>
      <c r="HZ102" s="312"/>
      <c r="IA102" s="312"/>
      <c r="IB102" s="312"/>
      <c r="IC102" s="312"/>
      <c r="ID102" s="312"/>
      <c r="IE102" s="312"/>
      <c r="IF102" s="312"/>
      <c r="IG102" s="312"/>
      <c r="IH102" s="312"/>
      <c r="II102" s="312"/>
      <c r="IJ102" s="312"/>
      <c r="IK102" s="312"/>
      <c r="IL102" s="312"/>
      <c r="IM102" s="312"/>
      <c r="IN102" s="312"/>
      <c r="IO102" s="312"/>
      <c r="IP102" s="312"/>
      <c r="IQ102" s="312"/>
      <c r="IR102" s="312"/>
      <c r="IS102" s="313"/>
      <c r="IT102" s="311"/>
      <c r="IU102" s="312"/>
      <c r="IV102" s="312"/>
      <c r="IW102" s="312"/>
      <c r="IX102" s="313"/>
      <c r="JK102" s="311"/>
      <c r="JL102" s="312"/>
      <c r="JM102" s="312"/>
      <c r="JN102" s="312"/>
      <c r="JO102" s="312"/>
      <c r="JP102" s="312"/>
      <c r="JQ102" s="312"/>
      <c r="JR102" s="312"/>
      <c r="JS102" s="312"/>
      <c r="JT102" s="312"/>
      <c r="JU102" s="312"/>
      <c r="JV102" s="312"/>
      <c r="JW102" s="312"/>
      <c r="JX102" s="312"/>
      <c r="JY102" s="312"/>
      <c r="JZ102" s="312"/>
      <c r="KA102" s="312"/>
      <c r="KB102" s="312"/>
      <c r="KC102" s="312"/>
      <c r="KD102" s="312"/>
      <c r="KE102" s="312"/>
      <c r="KF102" s="312"/>
      <c r="KG102" s="312"/>
      <c r="KH102" s="312"/>
      <c r="KI102" s="312"/>
      <c r="KJ102" s="312"/>
      <c r="KK102" s="312"/>
      <c r="KL102" s="312"/>
      <c r="KM102" s="312"/>
      <c r="KN102" s="312"/>
      <c r="KO102" s="312"/>
      <c r="KP102" s="312"/>
      <c r="KQ102" s="312"/>
      <c r="KR102" s="312"/>
      <c r="KS102" s="312"/>
      <c r="KT102" s="312"/>
      <c r="KU102" s="312"/>
      <c r="KV102" s="312"/>
      <c r="KW102" s="312"/>
      <c r="KX102" s="313"/>
      <c r="KY102" s="311"/>
      <c r="KZ102" s="312"/>
      <c r="LA102" s="312"/>
      <c r="LB102" s="312"/>
      <c r="LC102" s="313"/>
      <c r="LM102" s="320"/>
      <c r="LN102" s="321"/>
      <c r="LO102" s="321"/>
      <c r="LP102" s="321"/>
      <c r="LQ102" s="321"/>
      <c r="LR102" s="321"/>
      <c r="LS102" s="321"/>
      <c r="LT102" s="321"/>
      <c r="LU102" s="321"/>
      <c r="LV102" s="321"/>
      <c r="LW102" s="321"/>
      <c r="LX102" s="321"/>
      <c r="LY102" s="321"/>
      <c r="LZ102" s="321"/>
      <c r="MA102" s="321"/>
      <c r="MB102" s="321"/>
      <c r="MC102" s="321"/>
      <c r="MD102" s="321"/>
      <c r="ME102" s="321"/>
      <c r="MF102" s="321"/>
      <c r="MG102" s="321"/>
      <c r="MH102" s="321"/>
      <c r="MI102" s="321"/>
      <c r="MJ102" s="321"/>
      <c r="MK102" s="321"/>
      <c r="ML102" s="321"/>
      <c r="MM102" s="321"/>
      <c r="MN102" s="321"/>
      <c r="MO102" s="321"/>
      <c r="MP102" s="321"/>
      <c r="MQ102" s="321"/>
      <c r="MR102" s="321"/>
      <c r="MS102" s="321"/>
      <c r="MT102" s="321"/>
      <c r="MU102" s="321"/>
      <c r="MV102" s="321"/>
      <c r="MW102" s="321"/>
      <c r="MX102" s="321"/>
      <c r="MY102" s="321"/>
      <c r="MZ102" s="322"/>
      <c r="NA102" s="311"/>
      <c r="NB102" s="312"/>
      <c r="NC102" s="312"/>
      <c r="ND102" s="312"/>
      <c r="NE102" s="313"/>
      <c r="QQ102" s="230"/>
      <c r="QR102" s="231"/>
    </row>
    <row r="103" spans="3:460" ht="5.0999999999999996" customHeight="1" x14ac:dyDescent="0.25">
      <c r="C103" s="226"/>
      <c r="D103" s="227"/>
      <c r="E103" s="229"/>
      <c r="F103" s="229"/>
      <c r="G103" s="229"/>
      <c r="H103" s="229"/>
      <c r="BF103" s="311"/>
      <c r="BG103" s="312"/>
      <c r="BH103" s="312"/>
      <c r="BI103" s="312"/>
      <c r="BJ103" s="312"/>
      <c r="BK103" s="312"/>
      <c r="BL103" s="312"/>
      <c r="BM103" s="312"/>
      <c r="BN103" s="312"/>
      <c r="BO103" s="312"/>
      <c r="BP103" s="312"/>
      <c r="BQ103" s="312"/>
      <c r="BR103" s="312"/>
      <c r="BS103" s="312"/>
      <c r="BT103" s="312"/>
      <c r="BU103" s="312"/>
      <c r="BV103" s="312"/>
      <c r="BW103" s="312"/>
      <c r="BX103" s="312"/>
      <c r="BY103" s="312"/>
      <c r="BZ103" s="312"/>
      <c r="CA103" s="312"/>
      <c r="CB103" s="312"/>
      <c r="CC103" s="312"/>
      <c r="CD103" s="312"/>
      <c r="CE103" s="312"/>
      <c r="CF103" s="312"/>
      <c r="CG103" s="312"/>
      <c r="CH103" s="312"/>
      <c r="CI103" s="312"/>
      <c r="CJ103" s="312"/>
      <c r="CK103" s="312"/>
      <c r="CL103" s="312"/>
      <c r="CM103" s="312"/>
      <c r="CN103" s="312"/>
      <c r="CO103" s="312"/>
      <c r="CP103" s="312"/>
      <c r="CQ103" s="312"/>
      <c r="CR103" s="312"/>
      <c r="CS103" s="312"/>
      <c r="CT103" s="383"/>
      <c r="CU103" s="385"/>
      <c r="CV103" s="385"/>
      <c r="CW103" s="385"/>
      <c r="CX103" s="385"/>
      <c r="CY103" s="229"/>
      <c r="DE103" s="229"/>
      <c r="DF103" s="229"/>
      <c r="DG103" s="229"/>
      <c r="DH103" s="229"/>
      <c r="DI103" s="229"/>
      <c r="DJ103" s="229"/>
      <c r="DK103" s="229"/>
      <c r="DL103" s="229"/>
      <c r="DM103" s="229"/>
      <c r="DN103" s="229"/>
      <c r="DO103" s="229"/>
      <c r="DP103" s="229"/>
      <c r="DQ103" s="229"/>
      <c r="DR103" s="229"/>
      <c r="DS103" s="229"/>
      <c r="DT103" s="229"/>
      <c r="DU103" s="229"/>
      <c r="DV103" s="229"/>
      <c r="DW103" s="229"/>
      <c r="EG103" s="234"/>
      <c r="EH103" s="229"/>
      <c r="EI103" s="229"/>
      <c r="EJ103" s="229"/>
      <c r="EK103" s="229"/>
      <c r="EL103" s="229"/>
      <c r="EM103" s="229"/>
      <c r="EN103" s="229"/>
      <c r="EO103" s="229"/>
      <c r="FI103" s="405"/>
      <c r="FJ103" s="405"/>
      <c r="FK103" s="405"/>
      <c r="FL103" s="405"/>
      <c r="FM103" s="405"/>
      <c r="FN103" s="405"/>
      <c r="FO103" s="405"/>
      <c r="FP103" s="405"/>
      <c r="FQ103" s="405"/>
      <c r="FR103" s="405"/>
      <c r="FS103" s="405"/>
      <c r="FT103" s="405"/>
      <c r="FU103" s="405"/>
      <c r="FV103" s="405"/>
      <c r="FW103" s="405"/>
      <c r="FX103" s="405"/>
      <c r="FY103" s="405"/>
      <c r="FZ103" s="405"/>
      <c r="GA103" s="405"/>
      <c r="GB103" s="405"/>
      <c r="GC103" s="405"/>
      <c r="GD103" s="405"/>
      <c r="GE103" s="405"/>
      <c r="GF103" s="405"/>
      <c r="GG103" s="405"/>
      <c r="GH103" s="405"/>
      <c r="GI103" s="405"/>
      <c r="GJ103" s="405"/>
      <c r="GK103" s="405"/>
      <c r="GL103" s="405"/>
      <c r="GM103" s="405"/>
      <c r="GN103" s="405"/>
      <c r="GO103" s="405"/>
      <c r="GP103" s="405"/>
      <c r="GQ103" s="405"/>
      <c r="GR103" s="405"/>
      <c r="GS103" s="405"/>
      <c r="GT103" s="405"/>
      <c r="GU103" s="405"/>
      <c r="GV103" s="405"/>
      <c r="GW103" s="381"/>
      <c r="GX103" s="381"/>
      <c r="GY103" s="381"/>
      <c r="GZ103" s="381"/>
      <c r="HA103" s="381"/>
      <c r="HB103" s="381"/>
      <c r="HC103" s="229"/>
      <c r="HF103" s="311"/>
      <c r="HG103" s="312"/>
      <c r="HH103" s="312"/>
      <c r="HI103" s="312"/>
      <c r="HJ103" s="312"/>
      <c r="HK103" s="312"/>
      <c r="HL103" s="312"/>
      <c r="HM103" s="312"/>
      <c r="HN103" s="312"/>
      <c r="HO103" s="312"/>
      <c r="HP103" s="312"/>
      <c r="HQ103" s="312"/>
      <c r="HR103" s="312"/>
      <c r="HS103" s="312"/>
      <c r="HT103" s="312"/>
      <c r="HU103" s="312"/>
      <c r="HV103" s="312"/>
      <c r="HW103" s="312"/>
      <c r="HX103" s="312"/>
      <c r="HY103" s="312"/>
      <c r="HZ103" s="312"/>
      <c r="IA103" s="312"/>
      <c r="IB103" s="312"/>
      <c r="IC103" s="312"/>
      <c r="ID103" s="312"/>
      <c r="IE103" s="312"/>
      <c r="IF103" s="312"/>
      <c r="IG103" s="312"/>
      <c r="IH103" s="312"/>
      <c r="II103" s="312"/>
      <c r="IJ103" s="312"/>
      <c r="IK103" s="312"/>
      <c r="IL103" s="312"/>
      <c r="IM103" s="312"/>
      <c r="IN103" s="312"/>
      <c r="IO103" s="312"/>
      <c r="IP103" s="312"/>
      <c r="IQ103" s="312"/>
      <c r="IR103" s="312"/>
      <c r="IS103" s="313"/>
      <c r="IT103" s="311"/>
      <c r="IU103" s="312"/>
      <c r="IV103" s="312"/>
      <c r="IW103" s="312"/>
      <c r="IX103" s="313"/>
      <c r="JK103" s="311"/>
      <c r="JL103" s="312"/>
      <c r="JM103" s="312"/>
      <c r="JN103" s="312"/>
      <c r="JO103" s="312"/>
      <c r="JP103" s="312"/>
      <c r="JQ103" s="312"/>
      <c r="JR103" s="312"/>
      <c r="JS103" s="312"/>
      <c r="JT103" s="312"/>
      <c r="JU103" s="312"/>
      <c r="JV103" s="312"/>
      <c r="JW103" s="312"/>
      <c r="JX103" s="312"/>
      <c r="JY103" s="312"/>
      <c r="JZ103" s="312"/>
      <c r="KA103" s="312"/>
      <c r="KB103" s="312"/>
      <c r="KC103" s="312"/>
      <c r="KD103" s="312"/>
      <c r="KE103" s="312"/>
      <c r="KF103" s="312"/>
      <c r="KG103" s="312"/>
      <c r="KH103" s="312"/>
      <c r="KI103" s="312"/>
      <c r="KJ103" s="312"/>
      <c r="KK103" s="312"/>
      <c r="KL103" s="312"/>
      <c r="KM103" s="312"/>
      <c r="KN103" s="312"/>
      <c r="KO103" s="312"/>
      <c r="KP103" s="312"/>
      <c r="KQ103" s="312"/>
      <c r="KR103" s="312"/>
      <c r="KS103" s="312"/>
      <c r="KT103" s="312"/>
      <c r="KU103" s="312"/>
      <c r="KV103" s="312"/>
      <c r="KW103" s="312"/>
      <c r="KX103" s="313"/>
      <c r="KY103" s="311"/>
      <c r="KZ103" s="312"/>
      <c r="LA103" s="312"/>
      <c r="LB103" s="312"/>
      <c r="LC103" s="313"/>
      <c r="LM103" s="320"/>
      <c r="LN103" s="321"/>
      <c r="LO103" s="321"/>
      <c r="LP103" s="321"/>
      <c r="LQ103" s="321"/>
      <c r="LR103" s="321"/>
      <c r="LS103" s="321"/>
      <c r="LT103" s="321"/>
      <c r="LU103" s="321"/>
      <c r="LV103" s="321"/>
      <c r="LW103" s="321"/>
      <c r="LX103" s="321"/>
      <c r="LY103" s="321"/>
      <c r="LZ103" s="321"/>
      <c r="MA103" s="321"/>
      <c r="MB103" s="321"/>
      <c r="MC103" s="321"/>
      <c r="MD103" s="321"/>
      <c r="ME103" s="321"/>
      <c r="MF103" s="321"/>
      <c r="MG103" s="321"/>
      <c r="MH103" s="321"/>
      <c r="MI103" s="321"/>
      <c r="MJ103" s="321"/>
      <c r="MK103" s="321"/>
      <c r="ML103" s="321"/>
      <c r="MM103" s="321"/>
      <c r="MN103" s="321"/>
      <c r="MO103" s="321"/>
      <c r="MP103" s="321"/>
      <c r="MQ103" s="321"/>
      <c r="MR103" s="321"/>
      <c r="MS103" s="321"/>
      <c r="MT103" s="321"/>
      <c r="MU103" s="321"/>
      <c r="MV103" s="321"/>
      <c r="MW103" s="321"/>
      <c r="MX103" s="321"/>
      <c r="MY103" s="321"/>
      <c r="MZ103" s="322"/>
      <c r="NA103" s="311"/>
      <c r="NB103" s="312"/>
      <c r="NC103" s="312"/>
      <c r="ND103" s="312"/>
      <c r="NE103" s="313"/>
      <c r="QO103" s="229"/>
      <c r="QP103" s="229"/>
      <c r="QQ103" s="230"/>
      <c r="QR103" s="231"/>
    </row>
    <row r="104" spans="3:460" ht="5.0999999999999996" customHeight="1" x14ac:dyDescent="0.25">
      <c r="C104" s="226"/>
      <c r="D104" s="227"/>
      <c r="E104" s="229"/>
      <c r="F104" s="229"/>
      <c r="G104" s="229"/>
      <c r="H104" s="229"/>
      <c r="BF104" s="311"/>
      <c r="BG104" s="312"/>
      <c r="BH104" s="312"/>
      <c r="BI104" s="312"/>
      <c r="BJ104" s="312"/>
      <c r="BK104" s="312"/>
      <c r="BL104" s="312"/>
      <c r="BM104" s="312"/>
      <c r="BN104" s="312"/>
      <c r="BO104" s="312"/>
      <c r="BP104" s="312"/>
      <c r="BQ104" s="312"/>
      <c r="BR104" s="312"/>
      <c r="BS104" s="312"/>
      <c r="BT104" s="312"/>
      <c r="BU104" s="312"/>
      <c r="BV104" s="312"/>
      <c r="BW104" s="312"/>
      <c r="BX104" s="312"/>
      <c r="BY104" s="312"/>
      <c r="BZ104" s="312"/>
      <c r="CA104" s="312"/>
      <c r="CB104" s="312"/>
      <c r="CC104" s="312"/>
      <c r="CD104" s="312"/>
      <c r="CE104" s="312"/>
      <c r="CF104" s="312"/>
      <c r="CG104" s="312"/>
      <c r="CH104" s="312"/>
      <c r="CI104" s="312"/>
      <c r="CJ104" s="312"/>
      <c r="CK104" s="312"/>
      <c r="CL104" s="312"/>
      <c r="CM104" s="312"/>
      <c r="CN104" s="312"/>
      <c r="CO104" s="312"/>
      <c r="CP104" s="312"/>
      <c r="CQ104" s="312"/>
      <c r="CR104" s="312"/>
      <c r="CS104" s="312"/>
      <c r="CT104" s="383"/>
      <c r="CU104" s="385"/>
      <c r="CV104" s="385"/>
      <c r="CW104" s="385"/>
      <c r="CX104" s="385"/>
      <c r="DE104" s="229"/>
      <c r="DF104" s="229"/>
      <c r="DG104" s="229"/>
      <c r="DH104" s="229"/>
      <c r="DI104" s="229"/>
      <c r="DJ104" s="229"/>
      <c r="DK104" s="229"/>
      <c r="DL104" s="229"/>
      <c r="DM104" s="229"/>
      <c r="DN104" s="229"/>
      <c r="DO104" s="229"/>
      <c r="DP104" s="229"/>
      <c r="DQ104" s="229"/>
      <c r="DR104" s="229"/>
      <c r="DS104" s="229"/>
      <c r="DT104" s="229"/>
      <c r="DU104" s="229"/>
      <c r="DV104" s="229"/>
      <c r="DW104" s="229"/>
      <c r="EG104" s="234"/>
      <c r="EH104" s="229"/>
      <c r="EI104" s="229"/>
      <c r="EJ104" s="229"/>
      <c r="EK104" s="229"/>
      <c r="EL104" s="229"/>
      <c r="EM104" s="229"/>
      <c r="EN104" s="229"/>
      <c r="EO104" s="229"/>
      <c r="FI104" s="405"/>
      <c r="FJ104" s="405"/>
      <c r="FK104" s="405"/>
      <c r="FL104" s="405"/>
      <c r="FM104" s="405"/>
      <c r="FN104" s="405"/>
      <c r="FO104" s="405"/>
      <c r="FP104" s="405"/>
      <c r="FQ104" s="405"/>
      <c r="FR104" s="405"/>
      <c r="FS104" s="405"/>
      <c r="FT104" s="405"/>
      <c r="FU104" s="405"/>
      <c r="FV104" s="405"/>
      <c r="FW104" s="405"/>
      <c r="FX104" s="405"/>
      <c r="FY104" s="405"/>
      <c r="FZ104" s="405"/>
      <c r="GA104" s="405"/>
      <c r="GB104" s="405"/>
      <c r="GC104" s="405"/>
      <c r="GD104" s="405"/>
      <c r="GE104" s="405"/>
      <c r="GF104" s="405"/>
      <c r="GG104" s="405"/>
      <c r="GH104" s="405"/>
      <c r="GI104" s="405"/>
      <c r="GJ104" s="405"/>
      <c r="GK104" s="405"/>
      <c r="GL104" s="405"/>
      <c r="GM104" s="405"/>
      <c r="GN104" s="405"/>
      <c r="GO104" s="405"/>
      <c r="GP104" s="405"/>
      <c r="GQ104" s="405"/>
      <c r="GR104" s="405"/>
      <c r="GS104" s="405"/>
      <c r="GT104" s="405"/>
      <c r="GU104" s="405"/>
      <c r="GV104" s="405"/>
      <c r="GW104" s="381"/>
      <c r="GX104" s="381"/>
      <c r="GY104" s="381"/>
      <c r="GZ104" s="381"/>
      <c r="HA104" s="381"/>
      <c r="HB104" s="381"/>
      <c r="HC104" s="229"/>
      <c r="HF104" s="311"/>
      <c r="HG104" s="312"/>
      <c r="HH104" s="312"/>
      <c r="HI104" s="312"/>
      <c r="HJ104" s="312"/>
      <c r="HK104" s="312"/>
      <c r="HL104" s="312"/>
      <c r="HM104" s="312"/>
      <c r="HN104" s="312"/>
      <c r="HO104" s="312"/>
      <c r="HP104" s="312"/>
      <c r="HQ104" s="312"/>
      <c r="HR104" s="312"/>
      <c r="HS104" s="312"/>
      <c r="HT104" s="312"/>
      <c r="HU104" s="312"/>
      <c r="HV104" s="312"/>
      <c r="HW104" s="312"/>
      <c r="HX104" s="312"/>
      <c r="HY104" s="312"/>
      <c r="HZ104" s="312"/>
      <c r="IA104" s="312"/>
      <c r="IB104" s="312"/>
      <c r="IC104" s="312"/>
      <c r="ID104" s="312"/>
      <c r="IE104" s="312"/>
      <c r="IF104" s="312"/>
      <c r="IG104" s="312"/>
      <c r="IH104" s="312"/>
      <c r="II104" s="312"/>
      <c r="IJ104" s="312"/>
      <c r="IK104" s="312"/>
      <c r="IL104" s="312"/>
      <c r="IM104" s="312"/>
      <c r="IN104" s="312"/>
      <c r="IO104" s="312"/>
      <c r="IP104" s="312"/>
      <c r="IQ104" s="312"/>
      <c r="IR104" s="312"/>
      <c r="IS104" s="313"/>
      <c r="IT104" s="311"/>
      <c r="IU104" s="312"/>
      <c r="IV104" s="312"/>
      <c r="IW104" s="312"/>
      <c r="IX104" s="313"/>
      <c r="JK104" s="314"/>
      <c r="JL104" s="315"/>
      <c r="JM104" s="315"/>
      <c r="JN104" s="315"/>
      <c r="JO104" s="315"/>
      <c r="JP104" s="315"/>
      <c r="JQ104" s="315"/>
      <c r="JR104" s="315"/>
      <c r="JS104" s="315"/>
      <c r="JT104" s="315"/>
      <c r="JU104" s="315"/>
      <c r="JV104" s="315"/>
      <c r="JW104" s="315"/>
      <c r="JX104" s="315"/>
      <c r="JY104" s="315"/>
      <c r="JZ104" s="315"/>
      <c r="KA104" s="315"/>
      <c r="KB104" s="315"/>
      <c r="KC104" s="315"/>
      <c r="KD104" s="315"/>
      <c r="KE104" s="315"/>
      <c r="KF104" s="315"/>
      <c r="KG104" s="315"/>
      <c r="KH104" s="315"/>
      <c r="KI104" s="315"/>
      <c r="KJ104" s="315"/>
      <c r="KK104" s="315"/>
      <c r="KL104" s="315"/>
      <c r="KM104" s="315"/>
      <c r="KN104" s="315"/>
      <c r="KO104" s="315"/>
      <c r="KP104" s="315"/>
      <c r="KQ104" s="315"/>
      <c r="KR104" s="315"/>
      <c r="KS104" s="315"/>
      <c r="KT104" s="315"/>
      <c r="KU104" s="315"/>
      <c r="KV104" s="315"/>
      <c r="KW104" s="315"/>
      <c r="KX104" s="316"/>
      <c r="KY104" s="314"/>
      <c r="KZ104" s="315"/>
      <c r="LA104" s="315"/>
      <c r="LB104" s="315"/>
      <c r="LC104" s="316"/>
      <c r="LM104" s="323"/>
      <c r="LN104" s="324"/>
      <c r="LO104" s="324"/>
      <c r="LP104" s="324"/>
      <c r="LQ104" s="324"/>
      <c r="LR104" s="324"/>
      <c r="LS104" s="324"/>
      <c r="LT104" s="324"/>
      <c r="LU104" s="324"/>
      <c r="LV104" s="324"/>
      <c r="LW104" s="324"/>
      <c r="LX104" s="324"/>
      <c r="LY104" s="324"/>
      <c r="LZ104" s="324"/>
      <c r="MA104" s="324"/>
      <c r="MB104" s="324"/>
      <c r="MC104" s="324"/>
      <c r="MD104" s="324"/>
      <c r="ME104" s="324"/>
      <c r="MF104" s="324"/>
      <c r="MG104" s="324"/>
      <c r="MH104" s="324"/>
      <c r="MI104" s="324"/>
      <c r="MJ104" s="324"/>
      <c r="MK104" s="324"/>
      <c r="ML104" s="324"/>
      <c r="MM104" s="324"/>
      <c r="MN104" s="324"/>
      <c r="MO104" s="324"/>
      <c r="MP104" s="324"/>
      <c r="MQ104" s="324"/>
      <c r="MR104" s="324"/>
      <c r="MS104" s="324"/>
      <c r="MT104" s="324"/>
      <c r="MU104" s="324"/>
      <c r="MV104" s="324"/>
      <c r="MW104" s="324"/>
      <c r="MX104" s="324"/>
      <c r="MY104" s="324"/>
      <c r="MZ104" s="325"/>
      <c r="NA104" s="314"/>
      <c r="NB104" s="315"/>
      <c r="NC104" s="315"/>
      <c r="ND104" s="315"/>
      <c r="NE104" s="316"/>
      <c r="QO104" s="229"/>
      <c r="QP104" s="229"/>
      <c r="QQ104" s="230"/>
      <c r="QR104" s="231"/>
    </row>
    <row r="105" spans="3:460" ht="5.0999999999999996" customHeight="1" x14ac:dyDescent="0.25">
      <c r="C105" s="226"/>
      <c r="D105" s="227"/>
      <c r="E105" s="229"/>
      <c r="F105" s="229"/>
      <c r="G105" s="229"/>
      <c r="H105" s="229"/>
      <c r="BF105" s="311"/>
      <c r="BG105" s="312"/>
      <c r="BH105" s="312"/>
      <c r="BI105" s="312"/>
      <c r="BJ105" s="312"/>
      <c r="BK105" s="312"/>
      <c r="BL105" s="312"/>
      <c r="BM105" s="312"/>
      <c r="BN105" s="312"/>
      <c r="BO105" s="312"/>
      <c r="BP105" s="312"/>
      <c r="BQ105" s="312"/>
      <c r="BR105" s="312"/>
      <c r="BS105" s="312"/>
      <c r="BT105" s="312"/>
      <c r="BU105" s="312"/>
      <c r="BV105" s="312"/>
      <c r="BW105" s="312"/>
      <c r="BX105" s="312"/>
      <c r="BY105" s="312"/>
      <c r="BZ105" s="312"/>
      <c r="CA105" s="312"/>
      <c r="CB105" s="312"/>
      <c r="CC105" s="312"/>
      <c r="CD105" s="312"/>
      <c r="CE105" s="312"/>
      <c r="CF105" s="312"/>
      <c r="CG105" s="312"/>
      <c r="CH105" s="312"/>
      <c r="CI105" s="312"/>
      <c r="CJ105" s="312"/>
      <c r="CK105" s="312"/>
      <c r="CL105" s="312"/>
      <c r="CM105" s="312"/>
      <c r="CN105" s="312"/>
      <c r="CO105" s="312"/>
      <c r="CP105" s="312"/>
      <c r="CQ105" s="312"/>
      <c r="CR105" s="312"/>
      <c r="CS105" s="312"/>
      <c r="CT105" s="383"/>
      <c r="CU105" s="385"/>
      <c r="CV105" s="385"/>
      <c r="CW105" s="385"/>
      <c r="CX105" s="385"/>
      <c r="CY105" s="229"/>
      <c r="DE105" s="229"/>
      <c r="DF105" s="229"/>
      <c r="DG105" s="229"/>
      <c r="DH105" s="229"/>
      <c r="DI105" s="229"/>
      <c r="DJ105" s="229"/>
      <c r="DK105" s="229"/>
      <c r="DL105" s="229"/>
      <c r="DM105" s="229"/>
      <c r="DN105" s="229"/>
      <c r="DO105" s="229"/>
      <c r="DP105" s="229"/>
      <c r="DQ105" s="229"/>
      <c r="DR105" s="229"/>
      <c r="DS105" s="229"/>
      <c r="DT105" s="229"/>
      <c r="DU105" s="229"/>
      <c r="DV105" s="229"/>
      <c r="DW105" s="229"/>
      <c r="EG105" s="234"/>
      <c r="EH105" s="229"/>
      <c r="EI105" s="229"/>
      <c r="EJ105" s="229"/>
      <c r="EK105" s="229"/>
      <c r="EL105" s="229"/>
      <c r="EM105" s="229"/>
      <c r="EN105" s="229"/>
      <c r="EO105" s="229"/>
      <c r="FI105" s="405"/>
      <c r="FJ105" s="405"/>
      <c r="FK105" s="405"/>
      <c r="FL105" s="405"/>
      <c r="FM105" s="405"/>
      <c r="FN105" s="405"/>
      <c r="FO105" s="405"/>
      <c r="FP105" s="405"/>
      <c r="FQ105" s="405"/>
      <c r="FR105" s="405"/>
      <c r="FS105" s="405"/>
      <c r="FT105" s="405"/>
      <c r="FU105" s="405"/>
      <c r="FV105" s="405"/>
      <c r="FW105" s="405"/>
      <c r="FX105" s="405"/>
      <c r="FY105" s="405"/>
      <c r="FZ105" s="405"/>
      <c r="GA105" s="405"/>
      <c r="GB105" s="405"/>
      <c r="GC105" s="405"/>
      <c r="GD105" s="405"/>
      <c r="GE105" s="405"/>
      <c r="GF105" s="405"/>
      <c r="GG105" s="405"/>
      <c r="GH105" s="405"/>
      <c r="GI105" s="405"/>
      <c r="GJ105" s="405"/>
      <c r="GK105" s="405"/>
      <c r="GL105" s="405"/>
      <c r="GM105" s="405"/>
      <c r="GN105" s="405"/>
      <c r="GO105" s="405"/>
      <c r="GP105" s="405"/>
      <c r="GQ105" s="405"/>
      <c r="GR105" s="405"/>
      <c r="GS105" s="405"/>
      <c r="GT105" s="405"/>
      <c r="GU105" s="405"/>
      <c r="GV105" s="405"/>
      <c r="GW105" s="381"/>
      <c r="GX105" s="381"/>
      <c r="GY105" s="381"/>
      <c r="GZ105" s="381"/>
      <c r="HA105" s="381"/>
      <c r="HB105" s="381"/>
      <c r="HC105" s="229"/>
      <c r="HF105" s="314"/>
      <c r="HG105" s="315"/>
      <c r="HH105" s="315"/>
      <c r="HI105" s="315"/>
      <c r="HJ105" s="315"/>
      <c r="HK105" s="315"/>
      <c r="HL105" s="315"/>
      <c r="HM105" s="315"/>
      <c r="HN105" s="315"/>
      <c r="HO105" s="315"/>
      <c r="HP105" s="315"/>
      <c r="HQ105" s="315"/>
      <c r="HR105" s="315"/>
      <c r="HS105" s="315"/>
      <c r="HT105" s="315"/>
      <c r="HU105" s="315"/>
      <c r="HV105" s="315"/>
      <c r="HW105" s="315"/>
      <c r="HX105" s="315"/>
      <c r="HY105" s="315"/>
      <c r="HZ105" s="315"/>
      <c r="IA105" s="315"/>
      <c r="IB105" s="315"/>
      <c r="IC105" s="315"/>
      <c r="ID105" s="315"/>
      <c r="IE105" s="315"/>
      <c r="IF105" s="315"/>
      <c r="IG105" s="315"/>
      <c r="IH105" s="315"/>
      <c r="II105" s="315"/>
      <c r="IJ105" s="315"/>
      <c r="IK105" s="315"/>
      <c r="IL105" s="315"/>
      <c r="IM105" s="315"/>
      <c r="IN105" s="315"/>
      <c r="IO105" s="315"/>
      <c r="IP105" s="315"/>
      <c r="IQ105" s="315"/>
      <c r="IR105" s="315"/>
      <c r="IS105" s="316"/>
      <c r="IT105" s="314"/>
      <c r="IU105" s="315"/>
      <c r="IV105" s="315"/>
      <c r="IW105" s="315"/>
      <c r="IX105" s="316"/>
      <c r="JK105" s="333" t="s">
        <v>425</v>
      </c>
      <c r="JL105" s="334"/>
      <c r="JM105" s="334"/>
      <c r="JN105" s="334"/>
      <c r="JO105" s="334"/>
      <c r="JP105" s="334"/>
      <c r="JQ105" s="334"/>
      <c r="JR105" s="334"/>
      <c r="JS105" s="334"/>
      <c r="JT105" s="334"/>
      <c r="JU105" s="334"/>
      <c r="JV105" s="334"/>
      <c r="JW105" s="334"/>
      <c r="JX105" s="334"/>
      <c r="JY105" s="334"/>
      <c r="JZ105" s="334"/>
      <c r="KA105" s="334"/>
      <c r="KB105" s="334"/>
      <c r="KC105" s="334"/>
      <c r="KD105" s="334"/>
      <c r="KE105" s="334"/>
      <c r="KF105" s="334"/>
      <c r="KG105" s="334"/>
      <c r="KH105" s="334"/>
      <c r="KI105" s="334"/>
      <c r="KJ105" s="334"/>
      <c r="KK105" s="334"/>
      <c r="KL105" s="334"/>
      <c r="KM105" s="334"/>
      <c r="KN105" s="334"/>
      <c r="KO105" s="334"/>
      <c r="KP105" s="334"/>
      <c r="KQ105" s="334"/>
      <c r="KR105" s="334"/>
      <c r="KS105" s="334"/>
      <c r="KT105" s="334"/>
      <c r="KU105" s="334"/>
      <c r="KV105" s="334"/>
      <c r="KW105" s="334">
        <v>1</v>
      </c>
      <c r="KX105" s="335"/>
      <c r="KY105" s="333">
        <v>45</v>
      </c>
      <c r="KZ105" s="334"/>
      <c r="LA105" s="334"/>
      <c r="LB105" s="334"/>
      <c r="LC105" s="335"/>
      <c r="LM105" s="317" t="s">
        <v>426</v>
      </c>
      <c r="LN105" s="318"/>
      <c r="LO105" s="318"/>
      <c r="LP105" s="318"/>
      <c r="LQ105" s="318"/>
      <c r="LR105" s="318"/>
      <c r="LS105" s="318"/>
      <c r="LT105" s="318"/>
      <c r="LU105" s="318"/>
      <c r="LV105" s="318"/>
      <c r="LW105" s="318"/>
      <c r="LX105" s="318"/>
      <c r="LY105" s="318"/>
      <c r="LZ105" s="318"/>
      <c r="MA105" s="318"/>
      <c r="MB105" s="318"/>
      <c r="MC105" s="318"/>
      <c r="MD105" s="318"/>
      <c r="ME105" s="318"/>
      <c r="MF105" s="318"/>
      <c r="MG105" s="318"/>
      <c r="MH105" s="318"/>
      <c r="MI105" s="318"/>
      <c r="MJ105" s="318"/>
      <c r="MK105" s="318"/>
      <c r="ML105" s="318"/>
      <c r="MM105" s="318"/>
      <c r="MN105" s="318"/>
      <c r="MO105" s="318"/>
      <c r="MP105" s="318"/>
      <c r="MQ105" s="318"/>
      <c r="MR105" s="318"/>
      <c r="MS105" s="318"/>
      <c r="MT105" s="318"/>
      <c r="MU105" s="318"/>
      <c r="MV105" s="318"/>
      <c r="MW105" s="318"/>
      <c r="MX105" s="318"/>
      <c r="MY105" s="318"/>
      <c r="MZ105" s="319"/>
      <c r="NA105" s="308">
        <v>1</v>
      </c>
      <c r="NB105" s="309"/>
      <c r="NC105" s="309"/>
      <c r="ND105" s="309"/>
      <c r="NE105" s="310"/>
      <c r="QO105" s="229"/>
      <c r="QP105" s="229"/>
      <c r="QQ105" s="230"/>
      <c r="QR105" s="231"/>
    </row>
    <row r="106" spans="3:460" ht="5.0999999999999996" customHeight="1" x14ac:dyDescent="0.25">
      <c r="C106" s="226"/>
      <c r="D106" s="227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BF106" s="311"/>
      <c r="BG106" s="312"/>
      <c r="BH106" s="312"/>
      <c r="BI106" s="312"/>
      <c r="BJ106" s="312"/>
      <c r="BK106" s="312"/>
      <c r="BL106" s="312"/>
      <c r="BM106" s="312"/>
      <c r="BN106" s="312"/>
      <c r="BO106" s="312"/>
      <c r="BP106" s="312"/>
      <c r="BQ106" s="312"/>
      <c r="BR106" s="312"/>
      <c r="BS106" s="312"/>
      <c r="BT106" s="312"/>
      <c r="BU106" s="312"/>
      <c r="BV106" s="312"/>
      <c r="BW106" s="312"/>
      <c r="BX106" s="312"/>
      <c r="BY106" s="312"/>
      <c r="BZ106" s="312"/>
      <c r="CA106" s="312"/>
      <c r="CB106" s="312"/>
      <c r="CC106" s="312"/>
      <c r="CD106" s="312"/>
      <c r="CE106" s="312"/>
      <c r="CF106" s="312"/>
      <c r="CG106" s="312"/>
      <c r="CH106" s="312"/>
      <c r="CI106" s="312"/>
      <c r="CJ106" s="312"/>
      <c r="CK106" s="312"/>
      <c r="CL106" s="312"/>
      <c r="CM106" s="312"/>
      <c r="CN106" s="312"/>
      <c r="CO106" s="312"/>
      <c r="CP106" s="312"/>
      <c r="CQ106" s="312"/>
      <c r="CR106" s="312"/>
      <c r="CS106" s="312"/>
      <c r="CT106" s="383"/>
      <c r="CU106" s="385"/>
      <c r="CV106" s="385"/>
      <c r="CW106" s="385"/>
      <c r="CX106" s="385"/>
      <c r="CZ106" s="229"/>
      <c r="DA106" s="229"/>
      <c r="DB106" s="229"/>
      <c r="DC106" s="229"/>
      <c r="DD106" s="229"/>
      <c r="DE106" s="229"/>
      <c r="DF106" s="229"/>
      <c r="DG106" s="229"/>
      <c r="DH106" s="229"/>
      <c r="DI106" s="229"/>
      <c r="DJ106" s="229"/>
      <c r="DK106" s="229"/>
      <c r="DL106" s="229"/>
      <c r="DM106" s="229"/>
      <c r="DN106" s="229"/>
      <c r="DO106" s="229"/>
      <c r="DP106" s="229"/>
      <c r="DQ106" s="229"/>
      <c r="DR106" s="229"/>
      <c r="DS106" s="229"/>
      <c r="DT106" s="229"/>
      <c r="DU106" s="229"/>
      <c r="DV106" s="229"/>
      <c r="DW106" s="229"/>
      <c r="EG106" s="234"/>
      <c r="EH106" s="229"/>
      <c r="EI106" s="229"/>
      <c r="EJ106" s="229"/>
      <c r="EK106" s="229"/>
      <c r="EL106" s="229"/>
      <c r="EM106" s="229"/>
      <c r="EN106" s="229"/>
      <c r="EO106" s="229"/>
      <c r="FI106" s="229"/>
      <c r="FJ106" s="229"/>
      <c r="FK106" s="229"/>
      <c r="FL106" s="229"/>
      <c r="FM106" s="229"/>
      <c r="FN106" s="229"/>
      <c r="FO106" s="229"/>
      <c r="FP106" s="229"/>
      <c r="FQ106" s="229"/>
      <c r="FR106" s="229"/>
      <c r="FS106" s="229"/>
      <c r="FT106" s="229"/>
      <c r="FU106" s="229"/>
      <c r="FV106" s="229"/>
      <c r="FW106" s="229"/>
      <c r="FX106" s="229"/>
      <c r="FY106" s="229"/>
      <c r="FZ106" s="229"/>
      <c r="GA106" s="229"/>
      <c r="GB106" s="229"/>
      <c r="GC106" s="229"/>
      <c r="GD106" s="229"/>
      <c r="GE106" s="229"/>
      <c r="GF106" s="229"/>
      <c r="GG106" s="229"/>
      <c r="GH106" s="229"/>
      <c r="GI106" s="229"/>
      <c r="GJ106" s="229"/>
      <c r="GK106" s="229"/>
      <c r="GL106" s="229"/>
      <c r="GM106" s="229"/>
      <c r="GN106" s="229"/>
      <c r="GO106" s="229"/>
      <c r="GP106" s="229"/>
      <c r="GQ106" s="229"/>
      <c r="GR106" s="229"/>
      <c r="GS106" s="229"/>
      <c r="GT106" s="229"/>
      <c r="GU106" s="229"/>
      <c r="GV106" s="229"/>
      <c r="GW106" s="229"/>
      <c r="GX106" s="229"/>
      <c r="GY106" s="229"/>
      <c r="GZ106" s="229"/>
      <c r="HA106" s="229"/>
      <c r="HB106" s="229"/>
      <c r="HC106" s="229"/>
      <c r="IB106" s="258"/>
      <c r="IC106" s="252"/>
      <c r="JK106" s="336"/>
      <c r="JL106" s="337"/>
      <c r="JM106" s="337"/>
      <c r="JN106" s="337"/>
      <c r="JO106" s="337"/>
      <c r="JP106" s="337"/>
      <c r="JQ106" s="337"/>
      <c r="JR106" s="337"/>
      <c r="JS106" s="337"/>
      <c r="JT106" s="337"/>
      <c r="JU106" s="337"/>
      <c r="JV106" s="337"/>
      <c r="JW106" s="337"/>
      <c r="JX106" s="337"/>
      <c r="JY106" s="337"/>
      <c r="JZ106" s="337"/>
      <c r="KA106" s="337"/>
      <c r="KB106" s="337"/>
      <c r="KC106" s="337"/>
      <c r="KD106" s="337"/>
      <c r="KE106" s="337"/>
      <c r="KF106" s="337"/>
      <c r="KG106" s="337"/>
      <c r="KH106" s="337"/>
      <c r="KI106" s="337"/>
      <c r="KJ106" s="337"/>
      <c r="KK106" s="337"/>
      <c r="KL106" s="337"/>
      <c r="KM106" s="337"/>
      <c r="KN106" s="337"/>
      <c r="KO106" s="337"/>
      <c r="KP106" s="337"/>
      <c r="KQ106" s="337"/>
      <c r="KR106" s="337"/>
      <c r="KS106" s="337"/>
      <c r="KT106" s="337"/>
      <c r="KU106" s="337"/>
      <c r="KV106" s="337"/>
      <c r="KW106" s="337"/>
      <c r="KX106" s="338"/>
      <c r="KY106" s="336"/>
      <c r="KZ106" s="337"/>
      <c r="LA106" s="337"/>
      <c r="LB106" s="337"/>
      <c r="LC106" s="338"/>
      <c r="LM106" s="320"/>
      <c r="LN106" s="321"/>
      <c r="LO106" s="321"/>
      <c r="LP106" s="321"/>
      <c r="LQ106" s="321"/>
      <c r="LR106" s="321"/>
      <c r="LS106" s="321"/>
      <c r="LT106" s="321"/>
      <c r="LU106" s="321"/>
      <c r="LV106" s="321"/>
      <c r="LW106" s="321"/>
      <c r="LX106" s="321"/>
      <c r="LY106" s="321"/>
      <c r="LZ106" s="321"/>
      <c r="MA106" s="321"/>
      <c r="MB106" s="321"/>
      <c r="MC106" s="321"/>
      <c r="MD106" s="321"/>
      <c r="ME106" s="321"/>
      <c r="MF106" s="321"/>
      <c r="MG106" s="321"/>
      <c r="MH106" s="321"/>
      <c r="MI106" s="321"/>
      <c r="MJ106" s="321"/>
      <c r="MK106" s="321"/>
      <c r="ML106" s="321"/>
      <c r="MM106" s="321"/>
      <c r="MN106" s="321"/>
      <c r="MO106" s="321"/>
      <c r="MP106" s="321"/>
      <c r="MQ106" s="321"/>
      <c r="MR106" s="321"/>
      <c r="MS106" s="321"/>
      <c r="MT106" s="321"/>
      <c r="MU106" s="321"/>
      <c r="MV106" s="321"/>
      <c r="MW106" s="321"/>
      <c r="MX106" s="321"/>
      <c r="MY106" s="321"/>
      <c r="MZ106" s="322"/>
      <c r="NA106" s="311"/>
      <c r="NB106" s="312"/>
      <c r="NC106" s="312"/>
      <c r="ND106" s="312"/>
      <c r="NE106" s="313"/>
      <c r="QO106" s="229"/>
      <c r="QP106" s="229"/>
      <c r="QQ106" s="230"/>
      <c r="QR106" s="231"/>
    </row>
    <row r="107" spans="3:460" ht="5.0999999999999996" customHeight="1" x14ac:dyDescent="0.25">
      <c r="C107" s="226"/>
      <c r="D107" s="227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BF107" s="311"/>
      <c r="BG107" s="312"/>
      <c r="BH107" s="312"/>
      <c r="BI107" s="312"/>
      <c r="BJ107" s="312"/>
      <c r="BK107" s="312"/>
      <c r="BL107" s="312"/>
      <c r="BM107" s="312"/>
      <c r="BN107" s="312"/>
      <c r="BO107" s="312"/>
      <c r="BP107" s="312"/>
      <c r="BQ107" s="312"/>
      <c r="BR107" s="312"/>
      <c r="BS107" s="312"/>
      <c r="BT107" s="312"/>
      <c r="BU107" s="312"/>
      <c r="BV107" s="312"/>
      <c r="BW107" s="312"/>
      <c r="BX107" s="312"/>
      <c r="BY107" s="312"/>
      <c r="BZ107" s="312"/>
      <c r="CA107" s="312"/>
      <c r="CB107" s="312"/>
      <c r="CC107" s="312"/>
      <c r="CD107" s="312"/>
      <c r="CE107" s="312"/>
      <c r="CF107" s="312"/>
      <c r="CG107" s="312"/>
      <c r="CH107" s="312"/>
      <c r="CI107" s="312"/>
      <c r="CJ107" s="312"/>
      <c r="CK107" s="312"/>
      <c r="CL107" s="312"/>
      <c r="CM107" s="312"/>
      <c r="CN107" s="312"/>
      <c r="CO107" s="312"/>
      <c r="CP107" s="312"/>
      <c r="CQ107" s="312"/>
      <c r="CR107" s="312"/>
      <c r="CS107" s="312"/>
      <c r="CT107" s="383"/>
      <c r="CU107" s="385"/>
      <c r="CV107" s="385"/>
      <c r="CW107" s="385"/>
      <c r="CX107" s="385"/>
      <c r="CY107" s="229"/>
      <c r="CZ107" s="229"/>
      <c r="DA107" s="229"/>
      <c r="DB107" s="229"/>
      <c r="DC107" s="229"/>
      <c r="DD107" s="229"/>
      <c r="DE107" s="229"/>
      <c r="DF107" s="229"/>
      <c r="DG107" s="229"/>
      <c r="DH107" s="229"/>
      <c r="DI107" s="229"/>
      <c r="DJ107" s="229"/>
      <c r="DK107" s="229"/>
      <c r="DL107" s="229"/>
      <c r="DM107" s="229"/>
      <c r="DN107" s="229"/>
      <c r="DO107" s="229"/>
      <c r="DP107" s="229"/>
      <c r="DQ107" s="229"/>
      <c r="DR107" s="229"/>
      <c r="DS107" s="229"/>
      <c r="DT107" s="229"/>
      <c r="DU107" s="229"/>
      <c r="DV107" s="229"/>
      <c r="DW107" s="229"/>
      <c r="EG107" s="234"/>
      <c r="EH107" s="229"/>
      <c r="EI107" s="229"/>
      <c r="EJ107" s="229"/>
      <c r="EK107" s="229"/>
      <c r="EL107" s="229"/>
      <c r="EM107" s="229"/>
      <c r="EN107" s="229"/>
      <c r="EO107" s="229"/>
      <c r="FI107" s="229"/>
      <c r="FJ107" s="229"/>
      <c r="FK107" s="229"/>
      <c r="FL107" s="229"/>
      <c r="FM107" s="229"/>
      <c r="FN107" s="229"/>
      <c r="FO107" s="229"/>
      <c r="FP107" s="229"/>
      <c r="FQ107" s="229"/>
      <c r="FR107" s="229"/>
      <c r="FS107" s="229"/>
      <c r="FT107" s="229"/>
      <c r="FU107" s="229"/>
      <c r="FV107" s="229"/>
      <c r="FW107" s="229"/>
      <c r="FX107" s="229"/>
      <c r="FY107" s="229"/>
      <c r="FZ107" s="229"/>
      <c r="GA107" s="229"/>
      <c r="GB107" s="229"/>
      <c r="GC107" s="229"/>
      <c r="GD107" s="229"/>
      <c r="GE107" s="229"/>
      <c r="GF107" s="229"/>
      <c r="GG107" s="229"/>
      <c r="GH107" s="229"/>
      <c r="GI107" s="229"/>
      <c r="GJ107" s="229"/>
      <c r="GK107" s="229"/>
      <c r="GL107" s="229"/>
      <c r="GM107" s="229"/>
      <c r="GN107" s="229"/>
      <c r="GO107" s="229"/>
      <c r="GP107" s="229"/>
      <c r="GQ107" s="229"/>
      <c r="GR107" s="229"/>
      <c r="GS107" s="229"/>
      <c r="GT107" s="229"/>
      <c r="GU107" s="229"/>
      <c r="GV107" s="229"/>
      <c r="GW107" s="229"/>
      <c r="GX107" s="229"/>
      <c r="GY107" s="229"/>
      <c r="GZ107" s="229"/>
      <c r="HA107" s="229"/>
      <c r="HB107" s="229"/>
      <c r="HC107" s="229"/>
      <c r="IB107" s="237"/>
      <c r="IC107" s="229"/>
      <c r="JK107" s="336"/>
      <c r="JL107" s="337"/>
      <c r="JM107" s="337"/>
      <c r="JN107" s="337"/>
      <c r="JO107" s="337"/>
      <c r="JP107" s="337"/>
      <c r="JQ107" s="337"/>
      <c r="JR107" s="337"/>
      <c r="JS107" s="337"/>
      <c r="JT107" s="337"/>
      <c r="JU107" s="337"/>
      <c r="JV107" s="337"/>
      <c r="JW107" s="337"/>
      <c r="JX107" s="337"/>
      <c r="JY107" s="337"/>
      <c r="JZ107" s="337"/>
      <c r="KA107" s="337"/>
      <c r="KB107" s="337"/>
      <c r="KC107" s="337"/>
      <c r="KD107" s="337"/>
      <c r="KE107" s="337"/>
      <c r="KF107" s="337"/>
      <c r="KG107" s="337"/>
      <c r="KH107" s="337"/>
      <c r="KI107" s="337"/>
      <c r="KJ107" s="337"/>
      <c r="KK107" s="337"/>
      <c r="KL107" s="337"/>
      <c r="KM107" s="337"/>
      <c r="KN107" s="337"/>
      <c r="KO107" s="337"/>
      <c r="KP107" s="337"/>
      <c r="KQ107" s="337"/>
      <c r="KR107" s="337"/>
      <c r="KS107" s="337"/>
      <c r="KT107" s="337"/>
      <c r="KU107" s="337"/>
      <c r="KV107" s="337"/>
      <c r="KW107" s="337"/>
      <c r="KX107" s="338"/>
      <c r="KY107" s="336"/>
      <c r="KZ107" s="337"/>
      <c r="LA107" s="337"/>
      <c r="LB107" s="337"/>
      <c r="LC107" s="338"/>
      <c r="LM107" s="320"/>
      <c r="LN107" s="321"/>
      <c r="LO107" s="321"/>
      <c r="LP107" s="321"/>
      <c r="LQ107" s="321"/>
      <c r="LR107" s="321"/>
      <c r="LS107" s="321"/>
      <c r="LT107" s="321"/>
      <c r="LU107" s="321"/>
      <c r="LV107" s="321"/>
      <c r="LW107" s="321"/>
      <c r="LX107" s="321"/>
      <c r="LY107" s="321"/>
      <c r="LZ107" s="321"/>
      <c r="MA107" s="321"/>
      <c r="MB107" s="321"/>
      <c r="MC107" s="321"/>
      <c r="MD107" s="321"/>
      <c r="ME107" s="321"/>
      <c r="MF107" s="321"/>
      <c r="MG107" s="321"/>
      <c r="MH107" s="321"/>
      <c r="MI107" s="321"/>
      <c r="MJ107" s="321"/>
      <c r="MK107" s="321"/>
      <c r="ML107" s="321"/>
      <c r="MM107" s="321"/>
      <c r="MN107" s="321"/>
      <c r="MO107" s="321"/>
      <c r="MP107" s="321"/>
      <c r="MQ107" s="321"/>
      <c r="MR107" s="321"/>
      <c r="MS107" s="321"/>
      <c r="MT107" s="321"/>
      <c r="MU107" s="321"/>
      <c r="MV107" s="321"/>
      <c r="MW107" s="321"/>
      <c r="MX107" s="321"/>
      <c r="MY107" s="321"/>
      <c r="MZ107" s="322"/>
      <c r="NA107" s="311"/>
      <c r="NB107" s="312"/>
      <c r="NC107" s="312"/>
      <c r="ND107" s="312"/>
      <c r="NE107" s="313"/>
      <c r="QO107" s="229"/>
      <c r="QP107" s="229"/>
      <c r="QQ107" s="230"/>
      <c r="QR107" s="231"/>
    </row>
    <row r="108" spans="3:460" ht="5.0999999999999996" customHeight="1" x14ac:dyDescent="0.25">
      <c r="C108" s="226"/>
      <c r="D108" s="227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BF108" s="314"/>
      <c r="BG108" s="315"/>
      <c r="BH108" s="315"/>
      <c r="BI108" s="315"/>
      <c r="BJ108" s="315"/>
      <c r="BK108" s="315"/>
      <c r="BL108" s="315"/>
      <c r="BM108" s="315"/>
      <c r="BN108" s="315"/>
      <c r="BO108" s="315"/>
      <c r="BP108" s="315"/>
      <c r="BQ108" s="315"/>
      <c r="BR108" s="315"/>
      <c r="BS108" s="315"/>
      <c r="BT108" s="315"/>
      <c r="BU108" s="315"/>
      <c r="BV108" s="315"/>
      <c r="BW108" s="315"/>
      <c r="BX108" s="315"/>
      <c r="BY108" s="315"/>
      <c r="BZ108" s="315"/>
      <c r="CA108" s="315"/>
      <c r="CB108" s="315"/>
      <c r="CC108" s="315"/>
      <c r="CD108" s="315"/>
      <c r="CE108" s="315"/>
      <c r="CF108" s="315"/>
      <c r="CG108" s="315"/>
      <c r="CH108" s="315"/>
      <c r="CI108" s="315"/>
      <c r="CJ108" s="315"/>
      <c r="CK108" s="315"/>
      <c r="CL108" s="315"/>
      <c r="CM108" s="315"/>
      <c r="CN108" s="315"/>
      <c r="CO108" s="315"/>
      <c r="CP108" s="315"/>
      <c r="CQ108" s="315"/>
      <c r="CR108" s="315"/>
      <c r="CS108" s="315"/>
      <c r="CT108" s="384"/>
      <c r="CU108" s="385"/>
      <c r="CV108" s="385"/>
      <c r="CW108" s="385"/>
      <c r="CX108" s="385"/>
      <c r="CZ108" s="229"/>
      <c r="DA108" s="229"/>
      <c r="DB108" s="229"/>
      <c r="DC108" s="229"/>
      <c r="DD108" s="229"/>
      <c r="DE108" s="229"/>
      <c r="DF108" s="229"/>
      <c r="DG108" s="229"/>
      <c r="DH108" s="229"/>
      <c r="DI108" s="229"/>
      <c r="DJ108" s="229"/>
      <c r="DK108" s="229"/>
      <c r="DL108" s="229"/>
      <c r="DM108" s="229"/>
      <c r="DN108" s="229"/>
      <c r="DO108" s="229"/>
      <c r="DP108" s="229"/>
      <c r="DQ108" s="229"/>
      <c r="DR108" s="229"/>
      <c r="DS108" s="229"/>
      <c r="DT108" s="229"/>
      <c r="DU108" s="229"/>
      <c r="DV108" s="229"/>
      <c r="DW108" s="229"/>
      <c r="EG108" s="234"/>
      <c r="EH108" s="229"/>
      <c r="EI108" s="229"/>
      <c r="EJ108" s="229"/>
      <c r="EK108" s="229"/>
      <c r="EL108" s="229"/>
      <c r="EM108" s="229"/>
      <c r="EN108" s="229"/>
      <c r="EO108" s="229"/>
      <c r="FI108" s="229"/>
      <c r="FJ108" s="229"/>
      <c r="FK108" s="229"/>
      <c r="FL108" s="229"/>
      <c r="FM108" s="229"/>
      <c r="FN108" s="229"/>
      <c r="FO108" s="229"/>
      <c r="FP108" s="229"/>
      <c r="FQ108" s="229"/>
      <c r="FR108" s="229"/>
      <c r="FS108" s="229"/>
      <c r="FT108" s="229"/>
      <c r="FU108" s="229"/>
      <c r="FV108" s="229"/>
      <c r="FW108" s="229"/>
      <c r="FX108" s="229"/>
      <c r="FY108" s="229"/>
      <c r="FZ108" s="229"/>
      <c r="GA108" s="229"/>
      <c r="GB108" s="229"/>
      <c r="GC108" s="229"/>
      <c r="GD108" s="229"/>
      <c r="GE108" s="229"/>
      <c r="GF108" s="229"/>
      <c r="GG108" s="229"/>
      <c r="GH108" s="229"/>
      <c r="GI108" s="229"/>
      <c r="GJ108" s="229"/>
      <c r="GK108" s="229"/>
      <c r="GL108" s="229"/>
      <c r="GM108" s="229"/>
      <c r="GN108" s="229"/>
      <c r="GO108" s="229"/>
      <c r="GP108" s="229"/>
      <c r="GQ108" s="229"/>
      <c r="GR108" s="229"/>
      <c r="GS108" s="229"/>
      <c r="GT108" s="229"/>
      <c r="GU108" s="229"/>
      <c r="GV108" s="229"/>
      <c r="GW108" s="229"/>
      <c r="GX108" s="229"/>
      <c r="GY108" s="229"/>
      <c r="GZ108" s="229"/>
      <c r="HA108" s="229"/>
      <c r="HB108" s="229"/>
      <c r="HC108" s="229"/>
      <c r="HF108" s="386" t="s">
        <v>65</v>
      </c>
      <c r="HG108" s="386"/>
      <c r="HH108" s="386"/>
      <c r="HI108" s="386"/>
      <c r="HJ108" s="386"/>
      <c r="HK108" s="386"/>
      <c r="HL108" s="386"/>
      <c r="HM108" s="386"/>
      <c r="HN108" s="386"/>
      <c r="HO108" s="386"/>
      <c r="HP108" s="386"/>
      <c r="HQ108" s="386"/>
      <c r="HR108" s="386"/>
      <c r="HS108" s="386"/>
      <c r="HT108" s="386"/>
      <c r="HU108" s="386"/>
      <c r="HV108" s="386"/>
      <c r="HW108" s="386"/>
      <c r="HX108" s="386"/>
      <c r="HY108" s="386"/>
      <c r="HZ108" s="386"/>
      <c r="IA108" s="386"/>
      <c r="IB108" s="386"/>
      <c r="IC108" s="386"/>
      <c r="ID108" s="386"/>
      <c r="IE108" s="386"/>
      <c r="IF108" s="386"/>
      <c r="IG108" s="386"/>
      <c r="IH108" s="386"/>
      <c r="II108" s="386"/>
      <c r="IJ108" s="386"/>
      <c r="IK108" s="386"/>
      <c r="IL108" s="386"/>
      <c r="IM108" s="386"/>
      <c r="IN108" s="386"/>
      <c r="IO108" s="386"/>
      <c r="IP108" s="386"/>
      <c r="IQ108" s="386"/>
      <c r="IR108" s="386">
        <v>1</v>
      </c>
      <c r="IS108" s="386"/>
      <c r="IT108" s="386">
        <v>30</v>
      </c>
      <c r="IU108" s="386"/>
      <c r="IV108" s="386"/>
      <c r="IW108" s="386"/>
      <c r="IX108" s="386"/>
      <c r="JK108" s="336"/>
      <c r="JL108" s="337"/>
      <c r="JM108" s="337"/>
      <c r="JN108" s="337"/>
      <c r="JO108" s="337"/>
      <c r="JP108" s="337"/>
      <c r="JQ108" s="337"/>
      <c r="JR108" s="337"/>
      <c r="JS108" s="337"/>
      <c r="JT108" s="337"/>
      <c r="JU108" s="337"/>
      <c r="JV108" s="337"/>
      <c r="JW108" s="337"/>
      <c r="JX108" s="337"/>
      <c r="JY108" s="337"/>
      <c r="JZ108" s="337"/>
      <c r="KA108" s="337"/>
      <c r="KB108" s="337"/>
      <c r="KC108" s="337"/>
      <c r="KD108" s="337"/>
      <c r="KE108" s="337"/>
      <c r="KF108" s="337"/>
      <c r="KG108" s="337"/>
      <c r="KH108" s="337"/>
      <c r="KI108" s="337"/>
      <c r="KJ108" s="337"/>
      <c r="KK108" s="337"/>
      <c r="KL108" s="337"/>
      <c r="KM108" s="337"/>
      <c r="KN108" s="337"/>
      <c r="KO108" s="337"/>
      <c r="KP108" s="337"/>
      <c r="KQ108" s="337"/>
      <c r="KR108" s="337"/>
      <c r="KS108" s="337"/>
      <c r="KT108" s="337"/>
      <c r="KU108" s="337"/>
      <c r="KV108" s="337"/>
      <c r="KW108" s="337"/>
      <c r="KX108" s="338"/>
      <c r="KY108" s="336"/>
      <c r="KZ108" s="337"/>
      <c r="LA108" s="337"/>
      <c r="LB108" s="337"/>
      <c r="LC108" s="338"/>
      <c r="LM108" s="320"/>
      <c r="LN108" s="321"/>
      <c r="LO108" s="321"/>
      <c r="LP108" s="321"/>
      <c r="LQ108" s="321"/>
      <c r="LR108" s="321"/>
      <c r="LS108" s="321"/>
      <c r="LT108" s="321"/>
      <c r="LU108" s="321"/>
      <c r="LV108" s="321"/>
      <c r="LW108" s="321"/>
      <c r="LX108" s="321"/>
      <c r="LY108" s="321"/>
      <c r="LZ108" s="321"/>
      <c r="MA108" s="321"/>
      <c r="MB108" s="321"/>
      <c r="MC108" s="321"/>
      <c r="MD108" s="321"/>
      <c r="ME108" s="321"/>
      <c r="MF108" s="321"/>
      <c r="MG108" s="321"/>
      <c r="MH108" s="321"/>
      <c r="MI108" s="321"/>
      <c r="MJ108" s="321"/>
      <c r="MK108" s="321"/>
      <c r="ML108" s="321"/>
      <c r="MM108" s="321"/>
      <c r="MN108" s="321"/>
      <c r="MO108" s="321"/>
      <c r="MP108" s="321"/>
      <c r="MQ108" s="321"/>
      <c r="MR108" s="321"/>
      <c r="MS108" s="321"/>
      <c r="MT108" s="321"/>
      <c r="MU108" s="321"/>
      <c r="MV108" s="321"/>
      <c r="MW108" s="321"/>
      <c r="MX108" s="321"/>
      <c r="MY108" s="321"/>
      <c r="MZ108" s="322"/>
      <c r="NA108" s="311"/>
      <c r="NB108" s="312"/>
      <c r="NC108" s="312"/>
      <c r="ND108" s="312"/>
      <c r="NE108" s="313"/>
      <c r="QO108" s="229"/>
      <c r="QP108" s="229"/>
      <c r="QQ108" s="230"/>
      <c r="QR108" s="231"/>
    </row>
    <row r="109" spans="3:460" ht="5.0999999999999996" customHeight="1" x14ac:dyDescent="0.25">
      <c r="C109" s="226"/>
      <c r="D109" s="227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BT109" s="229"/>
      <c r="BU109" s="229"/>
      <c r="BV109" s="229"/>
      <c r="BW109" s="229"/>
      <c r="BX109" s="229"/>
      <c r="BY109" s="229"/>
      <c r="BZ109" s="229"/>
      <c r="CA109" s="229"/>
      <c r="CB109" s="229"/>
      <c r="CC109" s="229"/>
      <c r="CD109" s="229"/>
      <c r="CE109" s="229"/>
      <c r="CF109" s="229"/>
      <c r="CG109" s="229"/>
      <c r="CH109" s="229"/>
      <c r="CI109" s="229"/>
      <c r="CJ109" s="229"/>
      <c r="CK109" s="229"/>
      <c r="CL109" s="229"/>
      <c r="CM109" s="229"/>
      <c r="CN109" s="229"/>
      <c r="CO109" s="229"/>
      <c r="CP109" s="229"/>
      <c r="CQ109" s="229"/>
      <c r="CR109" s="229"/>
      <c r="CS109" s="229"/>
      <c r="CT109" s="229"/>
      <c r="CU109" s="229"/>
      <c r="CV109" s="229"/>
      <c r="CW109" s="229"/>
      <c r="CX109" s="229"/>
      <c r="CY109" s="229"/>
      <c r="CZ109" s="229"/>
      <c r="DA109" s="229"/>
      <c r="DB109" s="229"/>
      <c r="DC109" s="229"/>
      <c r="DD109" s="229"/>
      <c r="DE109" s="229"/>
      <c r="DF109" s="229"/>
      <c r="DG109" s="229"/>
      <c r="DH109" s="229"/>
      <c r="DI109" s="229"/>
      <c r="DJ109" s="229"/>
      <c r="DK109" s="229"/>
      <c r="DL109" s="229"/>
      <c r="DM109" s="229"/>
      <c r="DN109" s="229"/>
      <c r="DO109" s="229"/>
      <c r="DP109" s="229"/>
      <c r="DQ109" s="229"/>
      <c r="DR109" s="229"/>
      <c r="DS109" s="229"/>
      <c r="DT109" s="229"/>
      <c r="DU109" s="229"/>
      <c r="DV109" s="229"/>
      <c r="DW109" s="229"/>
      <c r="EG109" s="234"/>
      <c r="EH109" s="229"/>
      <c r="EI109" s="229"/>
      <c r="EJ109" s="229"/>
      <c r="EK109" s="229"/>
      <c r="EL109" s="229"/>
      <c r="EM109" s="229"/>
      <c r="EN109" s="229"/>
      <c r="EO109" s="229"/>
      <c r="FI109" s="229"/>
      <c r="FJ109" s="229"/>
      <c r="FK109" s="229"/>
      <c r="FL109" s="229"/>
      <c r="FM109" s="229"/>
      <c r="FN109" s="229"/>
      <c r="FO109" s="229"/>
      <c r="FP109" s="229"/>
      <c r="FQ109" s="229"/>
      <c r="FR109" s="229"/>
      <c r="FS109" s="229"/>
      <c r="FT109" s="229"/>
      <c r="FU109" s="229"/>
      <c r="FV109" s="229"/>
      <c r="FW109" s="229"/>
      <c r="FX109" s="229"/>
      <c r="FY109" s="229"/>
      <c r="FZ109" s="229"/>
      <c r="GA109" s="229"/>
      <c r="GB109" s="229"/>
      <c r="GC109" s="229"/>
      <c r="GD109" s="229"/>
      <c r="GE109" s="229"/>
      <c r="GF109" s="229"/>
      <c r="GG109" s="229"/>
      <c r="GH109" s="229"/>
      <c r="GI109" s="229"/>
      <c r="GJ109" s="229"/>
      <c r="GK109" s="229"/>
      <c r="GL109" s="229"/>
      <c r="GM109" s="229"/>
      <c r="GN109" s="229"/>
      <c r="GO109" s="229"/>
      <c r="GP109" s="229"/>
      <c r="GQ109" s="229"/>
      <c r="GR109" s="229"/>
      <c r="GS109" s="229"/>
      <c r="GT109" s="229"/>
      <c r="GU109" s="229"/>
      <c r="GV109" s="229"/>
      <c r="GW109" s="229"/>
      <c r="GX109" s="229"/>
      <c r="GY109" s="229"/>
      <c r="GZ109" s="229"/>
      <c r="HA109" s="229"/>
      <c r="HB109" s="229"/>
      <c r="HC109" s="229"/>
      <c r="HF109" s="386"/>
      <c r="HG109" s="386"/>
      <c r="HH109" s="386"/>
      <c r="HI109" s="386"/>
      <c r="HJ109" s="386"/>
      <c r="HK109" s="386"/>
      <c r="HL109" s="386"/>
      <c r="HM109" s="386"/>
      <c r="HN109" s="386"/>
      <c r="HO109" s="386"/>
      <c r="HP109" s="386"/>
      <c r="HQ109" s="386"/>
      <c r="HR109" s="386"/>
      <c r="HS109" s="386"/>
      <c r="HT109" s="386"/>
      <c r="HU109" s="386"/>
      <c r="HV109" s="386"/>
      <c r="HW109" s="386"/>
      <c r="HX109" s="386"/>
      <c r="HY109" s="386"/>
      <c r="HZ109" s="386"/>
      <c r="IA109" s="386"/>
      <c r="IB109" s="386"/>
      <c r="IC109" s="386"/>
      <c r="ID109" s="386"/>
      <c r="IE109" s="386"/>
      <c r="IF109" s="386"/>
      <c r="IG109" s="386"/>
      <c r="IH109" s="386"/>
      <c r="II109" s="386"/>
      <c r="IJ109" s="386"/>
      <c r="IK109" s="386"/>
      <c r="IL109" s="386"/>
      <c r="IM109" s="386"/>
      <c r="IN109" s="386"/>
      <c r="IO109" s="386"/>
      <c r="IP109" s="386"/>
      <c r="IQ109" s="386"/>
      <c r="IR109" s="386"/>
      <c r="IS109" s="386"/>
      <c r="IT109" s="386"/>
      <c r="IU109" s="386"/>
      <c r="IV109" s="386"/>
      <c r="IW109" s="386"/>
      <c r="IX109" s="386"/>
      <c r="JK109" s="336"/>
      <c r="JL109" s="337"/>
      <c r="JM109" s="337"/>
      <c r="JN109" s="337"/>
      <c r="JO109" s="337"/>
      <c r="JP109" s="337"/>
      <c r="JQ109" s="337"/>
      <c r="JR109" s="337"/>
      <c r="JS109" s="337"/>
      <c r="JT109" s="337"/>
      <c r="JU109" s="337"/>
      <c r="JV109" s="337"/>
      <c r="JW109" s="337"/>
      <c r="JX109" s="337"/>
      <c r="JY109" s="337"/>
      <c r="JZ109" s="337"/>
      <c r="KA109" s="337"/>
      <c r="KB109" s="337"/>
      <c r="KC109" s="337"/>
      <c r="KD109" s="337"/>
      <c r="KE109" s="337"/>
      <c r="KF109" s="337"/>
      <c r="KG109" s="337"/>
      <c r="KH109" s="337"/>
      <c r="KI109" s="337"/>
      <c r="KJ109" s="337"/>
      <c r="KK109" s="337"/>
      <c r="KL109" s="337"/>
      <c r="KM109" s="337"/>
      <c r="KN109" s="337"/>
      <c r="KO109" s="337"/>
      <c r="KP109" s="337"/>
      <c r="KQ109" s="337"/>
      <c r="KR109" s="337"/>
      <c r="KS109" s="337"/>
      <c r="KT109" s="337"/>
      <c r="KU109" s="337"/>
      <c r="KV109" s="337"/>
      <c r="KW109" s="337"/>
      <c r="KX109" s="338"/>
      <c r="KY109" s="336"/>
      <c r="KZ109" s="337"/>
      <c r="LA109" s="337"/>
      <c r="LB109" s="337"/>
      <c r="LC109" s="338"/>
      <c r="LM109" s="320"/>
      <c r="LN109" s="321"/>
      <c r="LO109" s="321"/>
      <c r="LP109" s="321"/>
      <c r="LQ109" s="321"/>
      <c r="LR109" s="321"/>
      <c r="LS109" s="321"/>
      <c r="LT109" s="321"/>
      <c r="LU109" s="321"/>
      <c r="LV109" s="321"/>
      <c r="LW109" s="321"/>
      <c r="LX109" s="321"/>
      <c r="LY109" s="321"/>
      <c r="LZ109" s="321"/>
      <c r="MA109" s="321"/>
      <c r="MB109" s="321"/>
      <c r="MC109" s="321"/>
      <c r="MD109" s="321"/>
      <c r="ME109" s="321"/>
      <c r="MF109" s="321"/>
      <c r="MG109" s="321"/>
      <c r="MH109" s="321"/>
      <c r="MI109" s="321"/>
      <c r="MJ109" s="321"/>
      <c r="MK109" s="321"/>
      <c r="ML109" s="321"/>
      <c r="MM109" s="321"/>
      <c r="MN109" s="321"/>
      <c r="MO109" s="321"/>
      <c r="MP109" s="321"/>
      <c r="MQ109" s="321"/>
      <c r="MR109" s="321"/>
      <c r="MS109" s="321"/>
      <c r="MT109" s="321"/>
      <c r="MU109" s="321"/>
      <c r="MV109" s="321"/>
      <c r="MW109" s="321"/>
      <c r="MX109" s="321"/>
      <c r="MY109" s="321"/>
      <c r="MZ109" s="322"/>
      <c r="NA109" s="311"/>
      <c r="NB109" s="312"/>
      <c r="NC109" s="312"/>
      <c r="ND109" s="312"/>
      <c r="NE109" s="313"/>
      <c r="QO109" s="229"/>
      <c r="QP109" s="229"/>
      <c r="QQ109" s="230"/>
      <c r="QR109" s="231"/>
    </row>
    <row r="110" spans="3:460" ht="5.0999999999999996" customHeight="1" x14ac:dyDescent="0.25">
      <c r="C110" s="226"/>
      <c r="D110" s="227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O110" s="229"/>
      <c r="DP110" s="229"/>
      <c r="DQ110" s="229"/>
      <c r="DR110" s="229"/>
      <c r="DS110" s="229"/>
      <c r="DT110" s="229"/>
      <c r="DU110" s="229"/>
      <c r="DV110" s="229"/>
      <c r="DW110" s="229"/>
      <c r="EG110" s="234"/>
      <c r="EH110" s="229"/>
      <c r="EI110" s="229"/>
      <c r="EJ110" s="229"/>
      <c r="EK110" s="229"/>
      <c r="EL110" s="229"/>
      <c r="EM110" s="229"/>
      <c r="EN110" s="229"/>
      <c r="EO110" s="229"/>
      <c r="FI110" s="229"/>
      <c r="FJ110" s="229"/>
      <c r="FK110" s="229"/>
      <c r="FL110" s="229"/>
      <c r="FM110" s="229"/>
      <c r="FN110" s="229"/>
      <c r="FO110" s="229"/>
      <c r="FP110" s="229"/>
      <c r="FQ110" s="229"/>
      <c r="FR110" s="229"/>
      <c r="FS110" s="229"/>
      <c r="FT110" s="229"/>
      <c r="FU110" s="229"/>
      <c r="FV110" s="229"/>
      <c r="FW110" s="229"/>
      <c r="FX110" s="229"/>
      <c r="FY110" s="229"/>
      <c r="FZ110" s="229"/>
      <c r="GA110" s="229"/>
      <c r="GB110" s="229"/>
      <c r="GC110" s="229"/>
      <c r="GD110" s="229"/>
      <c r="GE110" s="229"/>
      <c r="GF110" s="229"/>
      <c r="GG110" s="229"/>
      <c r="GH110" s="229"/>
      <c r="GI110" s="229"/>
      <c r="GJ110" s="229"/>
      <c r="GK110" s="229"/>
      <c r="GL110" s="229"/>
      <c r="GM110" s="229"/>
      <c r="GN110" s="229"/>
      <c r="GO110" s="229"/>
      <c r="GP110" s="229"/>
      <c r="GQ110" s="229"/>
      <c r="GR110" s="229"/>
      <c r="GS110" s="229"/>
      <c r="GT110" s="229"/>
      <c r="GU110" s="229"/>
      <c r="GV110" s="229"/>
      <c r="GW110" s="229"/>
      <c r="GX110" s="229"/>
      <c r="GY110" s="229"/>
      <c r="GZ110" s="229"/>
      <c r="HA110" s="229"/>
      <c r="HB110" s="229"/>
      <c r="HC110" s="229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JA110" s="229"/>
      <c r="JB110" s="229"/>
      <c r="JC110" s="229"/>
      <c r="JK110" s="336"/>
      <c r="JL110" s="337"/>
      <c r="JM110" s="337"/>
      <c r="JN110" s="337"/>
      <c r="JO110" s="337"/>
      <c r="JP110" s="337"/>
      <c r="JQ110" s="337"/>
      <c r="JR110" s="337"/>
      <c r="JS110" s="337"/>
      <c r="JT110" s="337"/>
      <c r="JU110" s="337"/>
      <c r="JV110" s="337"/>
      <c r="JW110" s="337"/>
      <c r="JX110" s="337"/>
      <c r="JY110" s="337"/>
      <c r="JZ110" s="337"/>
      <c r="KA110" s="337"/>
      <c r="KB110" s="337"/>
      <c r="KC110" s="337"/>
      <c r="KD110" s="337"/>
      <c r="KE110" s="337"/>
      <c r="KF110" s="337"/>
      <c r="KG110" s="337"/>
      <c r="KH110" s="337"/>
      <c r="KI110" s="337"/>
      <c r="KJ110" s="337"/>
      <c r="KK110" s="337"/>
      <c r="KL110" s="337"/>
      <c r="KM110" s="337"/>
      <c r="KN110" s="337"/>
      <c r="KO110" s="337"/>
      <c r="KP110" s="337"/>
      <c r="KQ110" s="337"/>
      <c r="KR110" s="337"/>
      <c r="KS110" s="337"/>
      <c r="KT110" s="337"/>
      <c r="KU110" s="337"/>
      <c r="KV110" s="337"/>
      <c r="KW110" s="337"/>
      <c r="KX110" s="338"/>
      <c r="KY110" s="336"/>
      <c r="KZ110" s="337"/>
      <c r="LA110" s="337"/>
      <c r="LB110" s="337"/>
      <c r="LC110" s="338"/>
      <c r="LM110" s="320"/>
      <c r="LN110" s="321"/>
      <c r="LO110" s="321"/>
      <c r="LP110" s="321"/>
      <c r="LQ110" s="321"/>
      <c r="LR110" s="321"/>
      <c r="LS110" s="321"/>
      <c r="LT110" s="321"/>
      <c r="LU110" s="321"/>
      <c r="LV110" s="321"/>
      <c r="LW110" s="321"/>
      <c r="LX110" s="321"/>
      <c r="LY110" s="321"/>
      <c r="LZ110" s="321"/>
      <c r="MA110" s="321"/>
      <c r="MB110" s="321"/>
      <c r="MC110" s="321"/>
      <c r="MD110" s="321"/>
      <c r="ME110" s="321"/>
      <c r="MF110" s="321"/>
      <c r="MG110" s="321"/>
      <c r="MH110" s="321"/>
      <c r="MI110" s="321"/>
      <c r="MJ110" s="321"/>
      <c r="MK110" s="321"/>
      <c r="ML110" s="321"/>
      <c r="MM110" s="321"/>
      <c r="MN110" s="321"/>
      <c r="MO110" s="321"/>
      <c r="MP110" s="321"/>
      <c r="MQ110" s="321"/>
      <c r="MR110" s="321"/>
      <c r="MS110" s="321"/>
      <c r="MT110" s="321"/>
      <c r="MU110" s="321"/>
      <c r="MV110" s="321"/>
      <c r="MW110" s="321"/>
      <c r="MX110" s="321"/>
      <c r="MY110" s="321"/>
      <c r="MZ110" s="322"/>
      <c r="NA110" s="311"/>
      <c r="NB110" s="312"/>
      <c r="NC110" s="312"/>
      <c r="ND110" s="312"/>
      <c r="NE110" s="313"/>
      <c r="QO110" s="229"/>
      <c r="QP110" s="229"/>
      <c r="QQ110" s="230"/>
      <c r="QR110" s="231"/>
    </row>
    <row r="111" spans="3:460" ht="5.0999999999999996" customHeight="1" x14ac:dyDescent="0.25">
      <c r="C111" s="226"/>
      <c r="D111" s="227"/>
      <c r="E111" s="229"/>
      <c r="F111" s="229"/>
      <c r="G111" s="229"/>
      <c r="H111" s="229"/>
      <c r="I111" s="229"/>
      <c r="DH111" s="387" t="s">
        <v>23</v>
      </c>
      <c r="DI111" s="388"/>
      <c r="DJ111" s="388"/>
      <c r="DK111" s="388"/>
      <c r="DL111" s="388"/>
      <c r="DM111" s="388"/>
      <c r="DN111" s="388"/>
      <c r="DO111" s="388"/>
      <c r="DP111" s="388"/>
      <c r="DQ111" s="388"/>
      <c r="DR111" s="388"/>
      <c r="DS111" s="388"/>
      <c r="DT111" s="388"/>
      <c r="DU111" s="388"/>
      <c r="DV111" s="388"/>
      <c r="DW111" s="388"/>
      <c r="DX111" s="388"/>
      <c r="DY111" s="388"/>
      <c r="DZ111" s="388"/>
      <c r="EA111" s="388"/>
      <c r="EB111" s="388"/>
      <c r="EC111" s="388"/>
      <c r="ED111" s="388"/>
      <c r="EE111" s="388"/>
      <c r="EF111" s="388"/>
      <c r="EG111" s="388"/>
      <c r="EH111" s="388"/>
      <c r="EI111" s="388"/>
      <c r="EJ111" s="388"/>
      <c r="EK111" s="388"/>
      <c r="EL111" s="388"/>
      <c r="EM111" s="388"/>
      <c r="EN111" s="388"/>
      <c r="EO111" s="388"/>
      <c r="EP111" s="388"/>
      <c r="EQ111" s="388"/>
      <c r="ER111" s="388"/>
      <c r="ES111" s="388"/>
      <c r="ET111" s="389"/>
      <c r="EU111" s="396">
        <f>CT130+EX129+HC130</f>
        <v>38</v>
      </c>
      <c r="EV111" s="397"/>
      <c r="EW111" s="397"/>
      <c r="EX111" s="397"/>
      <c r="EY111" s="397"/>
      <c r="EZ111" s="397"/>
      <c r="FA111" s="397"/>
      <c r="FB111" s="398"/>
      <c r="FI111" s="229"/>
      <c r="FJ111" s="229"/>
      <c r="FK111" s="229"/>
      <c r="FL111" s="229"/>
      <c r="FM111" s="229"/>
      <c r="FN111" s="229"/>
      <c r="FO111" s="229"/>
      <c r="FP111" s="229"/>
      <c r="FQ111" s="229"/>
      <c r="FR111" s="229"/>
      <c r="FS111" s="229"/>
      <c r="FT111" s="229"/>
      <c r="FU111" s="229"/>
      <c r="FV111" s="229"/>
      <c r="FW111" s="229"/>
      <c r="FX111" s="229"/>
      <c r="FY111" s="229"/>
      <c r="FZ111" s="229"/>
      <c r="GA111" s="229"/>
      <c r="GB111" s="229"/>
      <c r="GC111" s="229"/>
      <c r="GD111" s="229"/>
      <c r="GE111" s="229"/>
      <c r="GF111" s="229"/>
      <c r="GG111" s="229"/>
      <c r="GH111" s="229"/>
      <c r="GI111" s="229"/>
      <c r="GJ111" s="229"/>
      <c r="GK111" s="229"/>
      <c r="GL111" s="229"/>
      <c r="GM111" s="229"/>
      <c r="GN111" s="229"/>
      <c r="GO111" s="229"/>
      <c r="GP111" s="229"/>
      <c r="GQ111" s="229"/>
      <c r="GR111" s="229"/>
      <c r="GS111" s="229"/>
      <c r="GT111" s="229"/>
      <c r="GU111" s="229"/>
      <c r="GV111" s="229"/>
      <c r="GW111" s="229"/>
      <c r="GX111" s="229"/>
      <c r="GY111" s="229"/>
      <c r="GZ111" s="229"/>
      <c r="HA111" s="229"/>
      <c r="HB111" s="229"/>
      <c r="HF111" s="386"/>
      <c r="HG111" s="386"/>
      <c r="HH111" s="386"/>
      <c r="HI111" s="386"/>
      <c r="HJ111" s="386"/>
      <c r="HK111" s="386"/>
      <c r="HL111" s="386"/>
      <c r="HM111" s="386"/>
      <c r="HN111" s="386"/>
      <c r="HO111" s="386"/>
      <c r="HP111" s="386"/>
      <c r="HQ111" s="386"/>
      <c r="HR111" s="386"/>
      <c r="HS111" s="386"/>
      <c r="HT111" s="386"/>
      <c r="HU111" s="386"/>
      <c r="HV111" s="386"/>
      <c r="HW111" s="386"/>
      <c r="HX111" s="386"/>
      <c r="HY111" s="386"/>
      <c r="HZ111" s="386"/>
      <c r="IA111" s="386"/>
      <c r="IB111" s="386"/>
      <c r="IC111" s="386"/>
      <c r="ID111" s="386"/>
      <c r="IE111" s="386"/>
      <c r="IF111" s="386"/>
      <c r="IG111" s="386"/>
      <c r="IH111" s="386"/>
      <c r="II111" s="386"/>
      <c r="IJ111" s="386"/>
      <c r="IK111" s="386"/>
      <c r="IL111" s="386"/>
      <c r="IM111" s="386"/>
      <c r="IN111" s="386"/>
      <c r="IO111" s="386"/>
      <c r="IP111" s="386"/>
      <c r="IQ111" s="386"/>
      <c r="IR111" s="386"/>
      <c r="IS111" s="386"/>
      <c r="IT111" s="386"/>
      <c r="IU111" s="386"/>
      <c r="IV111" s="386"/>
      <c r="IW111" s="386"/>
      <c r="IX111" s="386"/>
      <c r="JA111" s="229"/>
      <c r="JB111" s="229"/>
      <c r="JC111" s="229"/>
      <c r="JK111" s="336"/>
      <c r="JL111" s="337"/>
      <c r="JM111" s="337"/>
      <c r="JN111" s="337"/>
      <c r="JO111" s="337"/>
      <c r="JP111" s="337"/>
      <c r="JQ111" s="337"/>
      <c r="JR111" s="337"/>
      <c r="JS111" s="337"/>
      <c r="JT111" s="337"/>
      <c r="JU111" s="337"/>
      <c r="JV111" s="337"/>
      <c r="JW111" s="337"/>
      <c r="JX111" s="337"/>
      <c r="JY111" s="337"/>
      <c r="JZ111" s="337"/>
      <c r="KA111" s="337"/>
      <c r="KB111" s="337"/>
      <c r="KC111" s="337"/>
      <c r="KD111" s="337"/>
      <c r="KE111" s="337"/>
      <c r="KF111" s="337"/>
      <c r="KG111" s="337"/>
      <c r="KH111" s="337"/>
      <c r="KI111" s="337"/>
      <c r="KJ111" s="337"/>
      <c r="KK111" s="337"/>
      <c r="KL111" s="337"/>
      <c r="KM111" s="337"/>
      <c r="KN111" s="337"/>
      <c r="KO111" s="337"/>
      <c r="KP111" s="337"/>
      <c r="KQ111" s="337"/>
      <c r="KR111" s="337"/>
      <c r="KS111" s="337"/>
      <c r="KT111" s="337"/>
      <c r="KU111" s="337"/>
      <c r="KV111" s="337"/>
      <c r="KW111" s="337"/>
      <c r="KX111" s="338"/>
      <c r="KY111" s="336"/>
      <c r="KZ111" s="337"/>
      <c r="LA111" s="337"/>
      <c r="LB111" s="337"/>
      <c r="LC111" s="338"/>
      <c r="LM111" s="320"/>
      <c r="LN111" s="321"/>
      <c r="LO111" s="321"/>
      <c r="LP111" s="321"/>
      <c r="LQ111" s="321"/>
      <c r="LR111" s="321"/>
      <c r="LS111" s="321"/>
      <c r="LT111" s="321"/>
      <c r="LU111" s="321"/>
      <c r="LV111" s="321"/>
      <c r="LW111" s="321"/>
      <c r="LX111" s="321"/>
      <c r="LY111" s="321"/>
      <c r="LZ111" s="321"/>
      <c r="MA111" s="321"/>
      <c r="MB111" s="321"/>
      <c r="MC111" s="321"/>
      <c r="MD111" s="321"/>
      <c r="ME111" s="321"/>
      <c r="MF111" s="321"/>
      <c r="MG111" s="321"/>
      <c r="MH111" s="321"/>
      <c r="MI111" s="321"/>
      <c r="MJ111" s="321"/>
      <c r="MK111" s="321"/>
      <c r="ML111" s="321"/>
      <c r="MM111" s="321"/>
      <c r="MN111" s="321"/>
      <c r="MO111" s="321"/>
      <c r="MP111" s="321"/>
      <c r="MQ111" s="321"/>
      <c r="MR111" s="321"/>
      <c r="MS111" s="321"/>
      <c r="MT111" s="321"/>
      <c r="MU111" s="321"/>
      <c r="MV111" s="321"/>
      <c r="MW111" s="321"/>
      <c r="MX111" s="321"/>
      <c r="MY111" s="321"/>
      <c r="MZ111" s="322"/>
      <c r="NA111" s="311"/>
      <c r="NB111" s="312"/>
      <c r="NC111" s="312"/>
      <c r="ND111" s="312"/>
      <c r="NE111" s="313"/>
      <c r="QO111" s="229"/>
      <c r="QP111" s="229"/>
      <c r="QQ111" s="230"/>
      <c r="QR111" s="231"/>
    </row>
    <row r="112" spans="3:460" ht="5.0999999999999996" customHeight="1" x14ac:dyDescent="0.25">
      <c r="C112" s="226"/>
      <c r="D112" s="227"/>
      <c r="E112" s="229"/>
      <c r="F112" s="229"/>
      <c r="G112" s="229"/>
      <c r="H112" s="229"/>
      <c r="I112" s="229"/>
      <c r="DH112" s="390"/>
      <c r="DI112" s="391"/>
      <c r="DJ112" s="391"/>
      <c r="DK112" s="391"/>
      <c r="DL112" s="391"/>
      <c r="DM112" s="391"/>
      <c r="DN112" s="391"/>
      <c r="DO112" s="391"/>
      <c r="DP112" s="391"/>
      <c r="DQ112" s="391"/>
      <c r="DR112" s="391"/>
      <c r="DS112" s="391"/>
      <c r="DT112" s="391"/>
      <c r="DU112" s="391"/>
      <c r="DV112" s="391"/>
      <c r="DW112" s="391"/>
      <c r="DX112" s="391"/>
      <c r="DY112" s="391"/>
      <c r="DZ112" s="391"/>
      <c r="EA112" s="391"/>
      <c r="EB112" s="391"/>
      <c r="EC112" s="391"/>
      <c r="ED112" s="391"/>
      <c r="EE112" s="391"/>
      <c r="EF112" s="391"/>
      <c r="EG112" s="391"/>
      <c r="EH112" s="391"/>
      <c r="EI112" s="391"/>
      <c r="EJ112" s="391"/>
      <c r="EK112" s="391"/>
      <c r="EL112" s="391"/>
      <c r="EM112" s="391"/>
      <c r="EN112" s="391"/>
      <c r="EO112" s="391"/>
      <c r="EP112" s="391"/>
      <c r="EQ112" s="391"/>
      <c r="ER112" s="391"/>
      <c r="ES112" s="391"/>
      <c r="ET112" s="392"/>
      <c r="EU112" s="399"/>
      <c r="EV112" s="400"/>
      <c r="EW112" s="400"/>
      <c r="EX112" s="400"/>
      <c r="EY112" s="400"/>
      <c r="EZ112" s="400"/>
      <c r="FA112" s="400"/>
      <c r="FB112" s="401"/>
      <c r="FI112" s="229"/>
      <c r="FJ112" s="229"/>
      <c r="FK112" s="229"/>
      <c r="FL112" s="229"/>
      <c r="FM112" s="229"/>
      <c r="FN112" s="229"/>
      <c r="FO112" s="229"/>
      <c r="FP112" s="229"/>
      <c r="FQ112" s="229"/>
      <c r="FR112" s="229"/>
      <c r="FS112" s="229"/>
      <c r="FT112" s="229"/>
      <c r="FU112" s="229"/>
      <c r="FV112" s="229"/>
      <c r="FW112" s="229"/>
      <c r="FX112" s="229"/>
      <c r="FY112" s="229"/>
      <c r="FZ112" s="229"/>
      <c r="GA112" s="229"/>
      <c r="GB112" s="229"/>
      <c r="GC112" s="229"/>
      <c r="GD112" s="229"/>
      <c r="GE112" s="229"/>
      <c r="GF112" s="229"/>
      <c r="GG112" s="229"/>
      <c r="GH112" s="229"/>
      <c r="GI112" s="229"/>
      <c r="GJ112" s="229"/>
      <c r="GK112" s="229"/>
      <c r="GL112" s="229"/>
      <c r="GM112" s="229"/>
      <c r="GN112" s="229"/>
      <c r="GO112" s="229"/>
      <c r="GP112" s="229"/>
      <c r="GQ112" s="229"/>
      <c r="GR112" s="229"/>
      <c r="GS112" s="229"/>
      <c r="GT112" s="229"/>
      <c r="GU112" s="229"/>
      <c r="GV112" s="229"/>
      <c r="GW112" s="229"/>
      <c r="GX112" s="229"/>
      <c r="GY112" s="229"/>
      <c r="GZ112" s="229"/>
      <c r="HA112" s="229"/>
      <c r="HB112" s="229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JA112" s="229"/>
      <c r="JB112" s="229"/>
      <c r="JC112" s="229"/>
      <c r="JK112" s="336"/>
      <c r="JL112" s="337"/>
      <c r="JM112" s="337"/>
      <c r="JN112" s="337"/>
      <c r="JO112" s="337"/>
      <c r="JP112" s="337"/>
      <c r="JQ112" s="337"/>
      <c r="JR112" s="337"/>
      <c r="JS112" s="337"/>
      <c r="JT112" s="337"/>
      <c r="JU112" s="337"/>
      <c r="JV112" s="337"/>
      <c r="JW112" s="337"/>
      <c r="JX112" s="337"/>
      <c r="JY112" s="337"/>
      <c r="JZ112" s="337"/>
      <c r="KA112" s="337"/>
      <c r="KB112" s="337"/>
      <c r="KC112" s="337"/>
      <c r="KD112" s="337"/>
      <c r="KE112" s="337"/>
      <c r="KF112" s="337"/>
      <c r="KG112" s="337"/>
      <c r="KH112" s="337"/>
      <c r="KI112" s="337"/>
      <c r="KJ112" s="337"/>
      <c r="KK112" s="337"/>
      <c r="KL112" s="337"/>
      <c r="KM112" s="337"/>
      <c r="KN112" s="337"/>
      <c r="KO112" s="337"/>
      <c r="KP112" s="337"/>
      <c r="KQ112" s="337"/>
      <c r="KR112" s="337"/>
      <c r="KS112" s="337"/>
      <c r="KT112" s="337"/>
      <c r="KU112" s="337"/>
      <c r="KV112" s="337"/>
      <c r="KW112" s="337"/>
      <c r="KX112" s="338"/>
      <c r="KY112" s="336"/>
      <c r="KZ112" s="337"/>
      <c r="LA112" s="337"/>
      <c r="LB112" s="337"/>
      <c r="LC112" s="338"/>
      <c r="LM112" s="320"/>
      <c r="LN112" s="321"/>
      <c r="LO112" s="321"/>
      <c r="LP112" s="321"/>
      <c r="LQ112" s="321"/>
      <c r="LR112" s="321"/>
      <c r="LS112" s="321"/>
      <c r="LT112" s="321"/>
      <c r="LU112" s="321"/>
      <c r="LV112" s="321"/>
      <c r="LW112" s="321"/>
      <c r="LX112" s="321"/>
      <c r="LY112" s="321"/>
      <c r="LZ112" s="321"/>
      <c r="MA112" s="321"/>
      <c r="MB112" s="321"/>
      <c r="MC112" s="321"/>
      <c r="MD112" s="321"/>
      <c r="ME112" s="321"/>
      <c r="MF112" s="321"/>
      <c r="MG112" s="321"/>
      <c r="MH112" s="321"/>
      <c r="MI112" s="321"/>
      <c r="MJ112" s="321"/>
      <c r="MK112" s="321"/>
      <c r="ML112" s="321"/>
      <c r="MM112" s="321"/>
      <c r="MN112" s="321"/>
      <c r="MO112" s="321"/>
      <c r="MP112" s="321"/>
      <c r="MQ112" s="321"/>
      <c r="MR112" s="321"/>
      <c r="MS112" s="321"/>
      <c r="MT112" s="321"/>
      <c r="MU112" s="321"/>
      <c r="MV112" s="321"/>
      <c r="MW112" s="321"/>
      <c r="MX112" s="321"/>
      <c r="MY112" s="321"/>
      <c r="MZ112" s="322"/>
      <c r="NA112" s="311"/>
      <c r="NB112" s="312"/>
      <c r="NC112" s="312"/>
      <c r="ND112" s="312"/>
      <c r="NE112" s="313"/>
      <c r="QO112" s="229"/>
      <c r="QP112" s="229"/>
      <c r="QQ112" s="230"/>
      <c r="QR112" s="231"/>
    </row>
    <row r="113" spans="3:465" ht="5.0999999999999996" customHeight="1" x14ac:dyDescent="0.25">
      <c r="C113" s="226"/>
      <c r="D113" s="227"/>
      <c r="E113" s="229"/>
      <c r="F113" s="229"/>
      <c r="DH113" s="390"/>
      <c r="DI113" s="391"/>
      <c r="DJ113" s="391"/>
      <c r="DK113" s="391"/>
      <c r="DL113" s="391"/>
      <c r="DM113" s="391"/>
      <c r="DN113" s="391"/>
      <c r="DO113" s="391"/>
      <c r="DP113" s="391"/>
      <c r="DQ113" s="391"/>
      <c r="DR113" s="391"/>
      <c r="DS113" s="391"/>
      <c r="DT113" s="391"/>
      <c r="DU113" s="391"/>
      <c r="DV113" s="391"/>
      <c r="DW113" s="391"/>
      <c r="DX113" s="391"/>
      <c r="DY113" s="391"/>
      <c r="DZ113" s="391"/>
      <c r="EA113" s="391"/>
      <c r="EB113" s="391"/>
      <c r="EC113" s="391"/>
      <c r="ED113" s="391"/>
      <c r="EE113" s="391"/>
      <c r="EF113" s="391"/>
      <c r="EG113" s="391"/>
      <c r="EH113" s="391"/>
      <c r="EI113" s="391"/>
      <c r="EJ113" s="391"/>
      <c r="EK113" s="391"/>
      <c r="EL113" s="391"/>
      <c r="EM113" s="391"/>
      <c r="EN113" s="391"/>
      <c r="EO113" s="391"/>
      <c r="EP113" s="391"/>
      <c r="EQ113" s="391"/>
      <c r="ER113" s="391"/>
      <c r="ES113" s="391"/>
      <c r="ET113" s="392"/>
      <c r="EU113" s="399"/>
      <c r="EV113" s="400"/>
      <c r="EW113" s="400"/>
      <c r="EX113" s="400"/>
      <c r="EY113" s="400"/>
      <c r="EZ113" s="400"/>
      <c r="FA113" s="400"/>
      <c r="FB113" s="401"/>
      <c r="FI113" s="229"/>
      <c r="FJ113" s="229"/>
      <c r="FK113" s="229"/>
      <c r="FL113" s="229"/>
      <c r="FM113" s="229"/>
      <c r="FN113" s="229"/>
      <c r="FO113" s="229"/>
      <c r="FP113" s="229"/>
      <c r="FQ113" s="229"/>
      <c r="FR113" s="229"/>
      <c r="FS113" s="229"/>
      <c r="FT113" s="229"/>
      <c r="FU113" s="229"/>
      <c r="FV113" s="229"/>
      <c r="FW113" s="229"/>
      <c r="FX113" s="229"/>
      <c r="FY113" s="229"/>
      <c r="FZ113" s="229"/>
      <c r="GA113" s="229"/>
      <c r="GB113" s="229"/>
      <c r="GC113" s="229"/>
      <c r="GD113" s="229"/>
      <c r="GE113" s="229"/>
      <c r="GF113" s="229"/>
      <c r="GG113" s="229"/>
      <c r="GH113" s="229"/>
      <c r="GI113" s="229"/>
      <c r="GJ113" s="229"/>
      <c r="GK113" s="229"/>
      <c r="GL113" s="229"/>
      <c r="GM113" s="229"/>
      <c r="GN113" s="229"/>
      <c r="GO113" s="229"/>
      <c r="GP113" s="229"/>
      <c r="GQ113" s="229"/>
      <c r="GR113" s="229"/>
      <c r="GS113" s="229"/>
      <c r="GT113" s="229"/>
      <c r="GU113" s="229"/>
      <c r="GV113" s="229"/>
      <c r="GW113" s="229"/>
      <c r="GX113" s="229"/>
      <c r="GY113" s="229"/>
      <c r="GZ113" s="229"/>
      <c r="HA113" s="229"/>
      <c r="HB113" s="229"/>
      <c r="HF113" s="386"/>
      <c r="HG113" s="386"/>
      <c r="HH113" s="386"/>
      <c r="HI113" s="386"/>
      <c r="HJ113" s="386"/>
      <c r="HK113" s="386"/>
      <c r="HL113" s="386"/>
      <c r="HM113" s="386"/>
      <c r="HN113" s="386"/>
      <c r="HO113" s="386"/>
      <c r="HP113" s="386"/>
      <c r="HQ113" s="386"/>
      <c r="HR113" s="386"/>
      <c r="HS113" s="386"/>
      <c r="HT113" s="386"/>
      <c r="HU113" s="386"/>
      <c r="HV113" s="386"/>
      <c r="HW113" s="386"/>
      <c r="HX113" s="386"/>
      <c r="HY113" s="386"/>
      <c r="HZ113" s="386"/>
      <c r="IA113" s="386"/>
      <c r="IB113" s="386"/>
      <c r="IC113" s="386"/>
      <c r="ID113" s="386"/>
      <c r="IE113" s="386"/>
      <c r="IF113" s="386"/>
      <c r="IG113" s="386"/>
      <c r="IH113" s="386"/>
      <c r="II113" s="386"/>
      <c r="IJ113" s="386"/>
      <c r="IK113" s="386"/>
      <c r="IL113" s="386"/>
      <c r="IM113" s="386"/>
      <c r="IN113" s="386"/>
      <c r="IO113" s="386"/>
      <c r="IP113" s="386"/>
      <c r="IQ113" s="386"/>
      <c r="IR113" s="386"/>
      <c r="IS113" s="386"/>
      <c r="IT113" s="386"/>
      <c r="IU113" s="386"/>
      <c r="IV113" s="386"/>
      <c r="IW113" s="386"/>
      <c r="IX113" s="386"/>
      <c r="JA113" s="229"/>
      <c r="JB113" s="229"/>
      <c r="JC113" s="229"/>
      <c r="JK113" s="336"/>
      <c r="JL113" s="337"/>
      <c r="JM113" s="337"/>
      <c r="JN113" s="337"/>
      <c r="JO113" s="337"/>
      <c r="JP113" s="337"/>
      <c r="JQ113" s="337"/>
      <c r="JR113" s="337"/>
      <c r="JS113" s="337"/>
      <c r="JT113" s="337"/>
      <c r="JU113" s="337"/>
      <c r="JV113" s="337"/>
      <c r="JW113" s="337"/>
      <c r="JX113" s="337"/>
      <c r="JY113" s="337"/>
      <c r="JZ113" s="337"/>
      <c r="KA113" s="337"/>
      <c r="KB113" s="337"/>
      <c r="KC113" s="337"/>
      <c r="KD113" s="337"/>
      <c r="KE113" s="337"/>
      <c r="KF113" s="337"/>
      <c r="KG113" s="337"/>
      <c r="KH113" s="337"/>
      <c r="KI113" s="337"/>
      <c r="KJ113" s="337"/>
      <c r="KK113" s="337"/>
      <c r="KL113" s="337"/>
      <c r="KM113" s="337"/>
      <c r="KN113" s="337"/>
      <c r="KO113" s="337"/>
      <c r="KP113" s="337"/>
      <c r="KQ113" s="337"/>
      <c r="KR113" s="337"/>
      <c r="KS113" s="337"/>
      <c r="KT113" s="337"/>
      <c r="KU113" s="337"/>
      <c r="KV113" s="337"/>
      <c r="KW113" s="337"/>
      <c r="KX113" s="338"/>
      <c r="KY113" s="336"/>
      <c r="KZ113" s="337"/>
      <c r="LA113" s="337"/>
      <c r="LB113" s="337"/>
      <c r="LC113" s="338"/>
      <c r="LM113" s="320"/>
      <c r="LN113" s="321"/>
      <c r="LO113" s="321"/>
      <c r="LP113" s="321"/>
      <c r="LQ113" s="321"/>
      <c r="LR113" s="321"/>
      <c r="LS113" s="321"/>
      <c r="LT113" s="321"/>
      <c r="LU113" s="321"/>
      <c r="LV113" s="321"/>
      <c r="LW113" s="321"/>
      <c r="LX113" s="321"/>
      <c r="LY113" s="321"/>
      <c r="LZ113" s="321"/>
      <c r="MA113" s="321"/>
      <c r="MB113" s="321"/>
      <c r="MC113" s="321"/>
      <c r="MD113" s="321"/>
      <c r="ME113" s="321"/>
      <c r="MF113" s="321"/>
      <c r="MG113" s="321"/>
      <c r="MH113" s="321"/>
      <c r="MI113" s="321"/>
      <c r="MJ113" s="321"/>
      <c r="MK113" s="321"/>
      <c r="ML113" s="321"/>
      <c r="MM113" s="321"/>
      <c r="MN113" s="321"/>
      <c r="MO113" s="321"/>
      <c r="MP113" s="321"/>
      <c r="MQ113" s="321"/>
      <c r="MR113" s="321"/>
      <c r="MS113" s="321"/>
      <c r="MT113" s="321"/>
      <c r="MU113" s="321"/>
      <c r="MV113" s="321"/>
      <c r="MW113" s="321"/>
      <c r="MX113" s="321"/>
      <c r="MY113" s="321"/>
      <c r="MZ113" s="322"/>
      <c r="NA113" s="311"/>
      <c r="NB113" s="312"/>
      <c r="NC113" s="312"/>
      <c r="ND113" s="312"/>
      <c r="NE113" s="313"/>
      <c r="QO113" s="229"/>
      <c r="QP113" s="229"/>
      <c r="QQ113" s="230"/>
      <c r="QR113" s="231"/>
    </row>
    <row r="114" spans="3:465" ht="5.0999999999999996" customHeight="1" x14ac:dyDescent="0.25">
      <c r="C114" s="226"/>
      <c r="D114" s="227"/>
      <c r="E114" s="229"/>
      <c r="F114" s="229"/>
      <c r="DH114" s="390"/>
      <c r="DI114" s="391"/>
      <c r="DJ114" s="391"/>
      <c r="DK114" s="391"/>
      <c r="DL114" s="391"/>
      <c r="DM114" s="391"/>
      <c r="DN114" s="391"/>
      <c r="DO114" s="391"/>
      <c r="DP114" s="391"/>
      <c r="DQ114" s="391"/>
      <c r="DR114" s="391"/>
      <c r="DS114" s="391"/>
      <c r="DT114" s="391"/>
      <c r="DU114" s="391"/>
      <c r="DV114" s="391"/>
      <c r="DW114" s="391"/>
      <c r="DX114" s="391"/>
      <c r="DY114" s="391"/>
      <c r="DZ114" s="391"/>
      <c r="EA114" s="391"/>
      <c r="EB114" s="391"/>
      <c r="EC114" s="391"/>
      <c r="ED114" s="391"/>
      <c r="EE114" s="391"/>
      <c r="EF114" s="391"/>
      <c r="EG114" s="391"/>
      <c r="EH114" s="391"/>
      <c r="EI114" s="391"/>
      <c r="EJ114" s="391"/>
      <c r="EK114" s="391"/>
      <c r="EL114" s="391"/>
      <c r="EM114" s="391"/>
      <c r="EN114" s="391"/>
      <c r="EO114" s="391"/>
      <c r="EP114" s="391"/>
      <c r="EQ114" s="391"/>
      <c r="ER114" s="391"/>
      <c r="ES114" s="391"/>
      <c r="ET114" s="392"/>
      <c r="EU114" s="399"/>
      <c r="EV114" s="400"/>
      <c r="EW114" s="400"/>
      <c r="EX114" s="400"/>
      <c r="EY114" s="400"/>
      <c r="EZ114" s="400"/>
      <c r="FA114" s="400"/>
      <c r="FB114" s="401"/>
      <c r="FI114" s="229"/>
      <c r="FJ114" s="229"/>
      <c r="FK114" s="229"/>
      <c r="FL114" s="229"/>
      <c r="FM114" s="229"/>
      <c r="FN114" s="229"/>
      <c r="FO114" s="229"/>
      <c r="FP114" s="229"/>
      <c r="FQ114" s="229"/>
      <c r="FR114" s="229"/>
      <c r="FS114" s="229"/>
      <c r="FT114" s="229"/>
      <c r="FU114" s="229"/>
      <c r="FV114" s="229"/>
      <c r="FW114" s="229"/>
      <c r="FX114" s="229"/>
      <c r="FY114" s="229"/>
      <c r="FZ114" s="229"/>
      <c r="GA114" s="229"/>
      <c r="GB114" s="229"/>
      <c r="GC114" s="229"/>
      <c r="GD114" s="229"/>
      <c r="GE114" s="229"/>
      <c r="GF114" s="229"/>
      <c r="GG114" s="229"/>
      <c r="GH114" s="229"/>
      <c r="GI114" s="229"/>
      <c r="GJ114" s="229"/>
      <c r="GK114" s="229"/>
      <c r="GL114" s="229"/>
      <c r="GM114" s="229"/>
      <c r="GN114" s="229"/>
      <c r="GO114" s="229"/>
      <c r="GP114" s="229"/>
      <c r="GQ114" s="229"/>
      <c r="GR114" s="229"/>
      <c r="GS114" s="229"/>
      <c r="GT114" s="229"/>
      <c r="GU114" s="229"/>
      <c r="GV114" s="229"/>
      <c r="GW114" s="229"/>
      <c r="GX114" s="229"/>
      <c r="GY114" s="229"/>
      <c r="GZ114" s="229"/>
      <c r="HA114" s="229"/>
      <c r="HB114" s="229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JA114" s="229"/>
      <c r="JB114" s="229"/>
      <c r="JC114" s="229"/>
      <c r="JK114" s="339"/>
      <c r="JL114" s="340"/>
      <c r="JM114" s="340"/>
      <c r="JN114" s="340"/>
      <c r="JO114" s="340"/>
      <c r="JP114" s="340"/>
      <c r="JQ114" s="340"/>
      <c r="JR114" s="340"/>
      <c r="JS114" s="340"/>
      <c r="JT114" s="340"/>
      <c r="JU114" s="340"/>
      <c r="JV114" s="340"/>
      <c r="JW114" s="340"/>
      <c r="JX114" s="340"/>
      <c r="JY114" s="340"/>
      <c r="JZ114" s="340"/>
      <c r="KA114" s="340"/>
      <c r="KB114" s="340"/>
      <c r="KC114" s="340"/>
      <c r="KD114" s="340"/>
      <c r="KE114" s="340"/>
      <c r="KF114" s="340"/>
      <c r="KG114" s="340"/>
      <c r="KH114" s="340"/>
      <c r="KI114" s="340"/>
      <c r="KJ114" s="340"/>
      <c r="KK114" s="340"/>
      <c r="KL114" s="340"/>
      <c r="KM114" s="340"/>
      <c r="KN114" s="340"/>
      <c r="KO114" s="340"/>
      <c r="KP114" s="340"/>
      <c r="KQ114" s="340"/>
      <c r="KR114" s="340"/>
      <c r="KS114" s="340"/>
      <c r="KT114" s="340"/>
      <c r="KU114" s="340"/>
      <c r="KV114" s="340"/>
      <c r="KW114" s="340"/>
      <c r="KX114" s="341"/>
      <c r="KY114" s="339"/>
      <c r="KZ114" s="340"/>
      <c r="LA114" s="340"/>
      <c r="LB114" s="340"/>
      <c r="LC114" s="341"/>
      <c r="LM114" s="323"/>
      <c r="LN114" s="324"/>
      <c r="LO114" s="324"/>
      <c r="LP114" s="324"/>
      <c r="LQ114" s="324"/>
      <c r="LR114" s="324"/>
      <c r="LS114" s="324"/>
      <c r="LT114" s="324"/>
      <c r="LU114" s="324"/>
      <c r="LV114" s="324"/>
      <c r="LW114" s="324"/>
      <c r="LX114" s="324"/>
      <c r="LY114" s="324"/>
      <c r="LZ114" s="324"/>
      <c r="MA114" s="324"/>
      <c r="MB114" s="324"/>
      <c r="MC114" s="324"/>
      <c r="MD114" s="324"/>
      <c r="ME114" s="324"/>
      <c r="MF114" s="324"/>
      <c r="MG114" s="324"/>
      <c r="MH114" s="324"/>
      <c r="MI114" s="324"/>
      <c r="MJ114" s="324"/>
      <c r="MK114" s="324"/>
      <c r="ML114" s="324"/>
      <c r="MM114" s="324"/>
      <c r="MN114" s="324"/>
      <c r="MO114" s="324"/>
      <c r="MP114" s="324"/>
      <c r="MQ114" s="324"/>
      <c r="MR114" s="324"/>
      <c r="MS114" s="324"/>
      <c r="MT114" s="324"/>
      <c r="MU114" s="324"/>
      <c r="MV114" s="324"/>
      <c r="MW114" s="324"/>
      <c r="MX114" s="324"/>
      <c r="MY114" s="324"/>
      <c r="MZ114" s="325"/>
      <c r="NA114" s="314"/>
      <c r="NB114" s="315"/>
      <c r="NC114" s="315"/>
      <c r="ND114" s="315"/>
      <c r="NE114" s="316"/>
      <c r="QO114" s="229"/>
      <c r="QP114" s="229"/>
      <c r="QQ114" s="230"/>
      <c r="QR114" s="231"/>
    </row>
    <row r="115" spans="3:465" ht="5.0999999999999996" customHeight="1" x14ac:dyDescent="0.25">
      <c r="C115" s="226"/>
      <c r="D115" s="227"/>
      <c r="E115" s="229"/>
      <c r="F115" s="229"/>
      <c r="DH115" s="390"/>
      <c r="DI115" s="391"/>
      <c r="DJ115" s="391"/>
      <c r="DK115" s="391"/>
      <c r="DL115" s="391"/>
      <c r="DM115" s="391"/>
      <c r="DN115" s="391"/>
      <c r="DO115" s="391"/>
      <c r="DP115" s="391"/>
      <c r="DQ115" s="391"/>
      <c r="DR115" s="391"/>
      <c r="DS115" s="391"/>
      <c r="DT115" s="391"/>
      <c r="DU115" s="391"/>
      <c r="DV115" s="391"/>
      <c r="DW115" s="391"/>
      <c r="DX115" s="391"/>
      <c r="DY115" s="391"/>
      <c r="DZ115" s="391"/>
      <c r="EA115" s="391"/>
      <c r="EB115" s="391"/>
      <c r="EC115" s="391"/>
      <c r="ED115" s="391"/>
      <c r="EE115" s="391"/>
      <c r="EF115" s="391"/>
      <c r="EG115" s="391"/>
      <c r="EH115" s="391"/>
      <c r="EI115" s="391"/>
      <c r="EJ115" s="391"/>
      <c r="EK115" s="391"/>
      <c r="EL115" s="391"/>
      <c r="EM115" s="391"/>
      <c r="EN115" s="391"/>
      <c r="EO115" s="391"/>
      <c r="EP115" s="391"/>
      <c r="EQ115" s="391"/>
      <c r="ER115" s="391"/>
      <c r="ES115" s="391"/>
      <c r="ET115" s="392"/>
      <c r="EU115" s="399"/>
      <c r="EV115" s="400"/>
      <c r="EW115" s="400"/>
      <c r="EX115" s="400"/>
      <c r="EY115" s="400"/>
      <c r="EZ115" s="400"/>
      <c r="FA115" s="400"/>
      <c r="FB115" s="401"/>
      <c r="FI115" s="229"/>
      <c r="FJ115" s="229"/>
      <c r="FK115" s="229"/>
      <c r="FL115" s="229"/>
      <c r="FM115" s="229"/>
      <c r="FN115" s="229"/>
      <c r="FO115" s="229"/>
      <c r="FP115" s="229"/>
      <c r="FQ115" s="229"/>
      <c r="FR115" s="229"/>
      <c r="FS115" s="229"/>
      <c r="FT115" s="229"/>
      <c r="FU115" s="229"/>
      <c r="FV115" s="229"/>
      <c r="FW115" s="229"/>
      <c r="FX115" s="229"/>
      <c r="FY115" s="229"/>
      <c r="FZ115" s="229"/>
      <c r="GA115" s="229"/>
      <c r="GB115" s="229"/>
      <c r="GC115" s="229"/>
      <c r="GD115" s="229"/>
      <c r="GE115" s="229"/>
      <c r="GF115" s="229"/>
      <c r="GG115" s="229"/>
      <c r="GH115" s="229"/>
      <c r="GI115" s="229"/>
      <c r="GJ115" s="229"/>
      <c r="GK115" s="229"/>
      <c r="GL115" s="229"/>
      <c r="GM115" s="229"/>
      <c r="GN115" s="229"/>
      <c r="GO115" s="229"/>
      <c r="GP115" s="229"/>
      <c r="GQ115" s="229"/>
      <c r="GR115" s="229"/>
      <c r="GS115" s="229"/>
      <c r="GT115" s="229"/>
      <c r="GU115" s="229"/>
      <c r="GV115" s="229"/>
      <c r="GW115" s="229"/>
      <c r="GX115" s="229"/>
      <c r="GY115" s="229"/>
      <c r="GZ115" s="229"/>
      <c r="HA115" s="229"/>
      <c r="HB115" s="229"/>
      <c r="HF115" s="386"/>
      <c r="HG115" s="386"/>
      <c r="HH115" s="386"/>
      <c r="HI115" s="386"/>
      <c r="HJ115" s="386"/>
      <c r="HK115" s="386"/>
      <c r="HL115" s="386"/>
      <c r="HM115" s="386"/>
      <c r="HN115" s="386"/>
      <c r="HO115" s="386"/>
      <c r="HP115" s="386"/>
      <c r="HQ115" s="386"/>
      <c r="HR115" s="386"/>
      <c r="HS115" s="386"/>
      <c r="HT115" s="386"/>
      <c r="HU115" s="386"/>
      <c r="HV115" s="386"/>
      <c r="HW115" s="386"/>
      <c r="HX115" s="386"/>
      <c r="HY115" s="386"/>
      <c r="HZ115" s="386"/>
      <c r="IA115" s="386"/>
      <c r="IB115" s="386"/>
      <c r="IC115" s="386"/>
      <c r="ID115" s="386"/>
      <c r="IE115" s="386"/>
      <c r="IF115" s="386"/>
      <c r="IG115" s="386"/>
      <c r="IH115" s="386"/>
      <c r="II115" s="386"/>
      <c r="IJ115" s="386"/>
      <c r="IK115" s="386"/>
      <c r="IL115" s="386"/>
      <c r="IM115" s="386"/>
      <c r="IN115" s="386"/>
      <c r="IO115" s="386"/>
      <c r="IP115" s="386"/>
      <c r="IQ115" s="386"/>
      <c r="IR115" s="386"/>
      <c r="IS115" s="386"/>
      <c r="IT115" s="386"/>
      <c r="IU115" s="386"/>
      <c r="IV115" s="386"/>
      <c r="IW115" s="386"/>
      <c r="IX115" s="386"/>
      <c r="JA115" s="229"/>
      <c r="JB115" s="229"/>
      <c r="JC115" s="229"/>
      <c r="JK115" s="308"/>
      <c r="JL115" s="309"/>
      <c r="JM115" s="309"/>
      <c r="JN115" s="309"/>
      <c r="JO115" s="309"/>
      <c r="JP115" s="309"/>
      <c r="JQ115" s="309"/>
      <c r="JR115" s="309"/>
      <c r="JS115" s="309"/>
      <c r="JT115" s="309"/>
      <c r="JU115" s="309"/>
      <c r="JV115" s="309"/>
      <c r="JW115" s="309"/>
      <c r="JX115" s="309"/>
      <c r="JY115" s="309"/>
      <c r="JZ115" s="309"/>
      <c r="KA115" s="309"/>
      <c r="KB115" s="309"/>
      <c r="KC115" s="309"/>
      <c r="KD115" s="309"/>
      <c r="KE115" s="309"/>
      <c r="KF115" s="309"/>
      <c r="KG115" s="309"/>
      <c r="KH115" s="309"/>
      <c r="KI115" s="309"/>
      <c r="KJ115" s="309"/>
      <c r="KK115" s="309"/>
      <c r="KL115" s="309"/>
      <c r="KM115" s="309"/>
      <c r="KN115" s="309"/>
      <c r="KO115" s="309"/>
      <c r="KP115" s="309"/>
      <c r="KQ115" s="309"/>
      <c r="KR115" s="309"/>
      <c r="KS115" s="309"/>
      <c r="KT115" s="309"/>
      <c r="KU115" s="309"/>
      <c r="KV115" s="309"/>
      <c r="KW115" s="309"/>
      <c r="KX115" s="310"/>
      <c r="KY115" s="308"/>
      <c r="KZ115" s="309"/>
      <c r="LA115" s="309"/>
      <c r="LB115" s="309"/>
      <c r="LC115" s="310"/>
      <c r="LM115" s="317" t="s">
        <v>427</v>
      </c>
      <c r="LN115" s="318"/>
      <c r="LO115" s="318"/>
      <c r="LP115" s="318"/>
      <c r="LQ115" s="318"/>
      <c r="LR115" s="318"/>
      <c r="LS115" s="318"/>
      <c r="LT115" s="318"/>
      <c r="LU115" s="318"/>
      <c r="LV115" s="318"/>
      <c r="LW115" s="318"/>
      <c r="LX115" s="318"/>
      <c r="LY115" s="318"/>
      <c r="LZ115" s="318"/>
      <c r="MA115" s="318"/>
      <c r="MB115" s="318"/>
      <c r="MC115" s="318"/>
      <c r="MD115" s="318"/>
      <c r="ME115" s="318"/>
      <c r="MF115" s="318"/>
      <c r="MG115" s="318"/>
      <c r="MH115" s="318"/>
      <c r="MI115" s="318"/>
      <c r="MJ115" s="318"/>
      <c r="MK115" s="318"/>
      <c r="ML115" s="318"/>
      <c r="MM115" s="318"/>
      <c r="MN115" s="318"/>
      <c r="MO115" s="318"/>
      <c r="MP115" s="318"/>
      <c r="MQ115" s="318"/>
      <c r="MR115" s="318"/>
      <c r="MS115" s="318"/>
      <c r="MT115" s="318"/>
      <c r="MU115" s="318"/>
      <c r="MV115" s="318"/>
      <c r="MW115" s="318"/>
      <c r="MX115" s="318"/>
      <c r="MY115" s="318"/>
      <c r="MZ115" s="319"/>
      <c r="NA115" s="308">
        <v>1</v>
      </c>
      <c r="NB115" s="309"/>
      <c r="NC115" s="309"/>
      <c r="ND115" s="309"/>
      <c r="NE115" s="310"/>
      <c r="QO115" s="229"/>
      <c r="QP115" s="229"/>
      <c r="QQ115" s="230"/>
      <c r="QR115" s="231"/>
    </row>
    <row r="116" spans="3:465" ht="5.0999999999999996" customHeight="1" x14ac:dyDescent="0.25">
      <c r="C116" s="226"/>
      <c r="D116" s="227"/>
      <c r="E116" s="229"/>
      <c r="F116" s="229"/>
      <c r="DH116" s="390"/>
      <c r="DI116" s="391"/>
      <c r="DJ116" s="391"/>
      <c r="DK116" s="391"/>
      <c r="DL116" s="391"/>
      <c r="DM116" s="391"/>
      <c r="DN116" s="391"/>
      <c r="DO116" s="391"/>
      <c r="DP116" s="391"/>
      <c r="DQ116" s="391"/>
      <c r="DR116" s="391"/>
      <c r="DS116" s="391"/>
      <c r="DT116" s="391"/>
      <c r="DU116" s="391"/>
      <c r="DV116" s="391"/>
      <c r="DW116" s="391"/>
      <c r="DX116" s="391"/>
      <c r="DY116" s="391"/>
      <c r="DZ116" s="391"/>
      <c r="EA116" s="391"/>
      <c r="EB116" s="391"/>
      <c r="EC116" s="391"/>
      <c r="ED116" s="391"/>
      <c r="EE116" s="391"/>
      <c r="EF116" s="391"/>
      <c r="EG116" s="391"/>
      <c r="EH116" s="391"/>
      <c r="EI116" s="391"/>
      <c r="EJ116" s="391"/>
      <c r="EK116" s="391"/>
      <c r="EL116" s="391"/>
      <c r="EM116" s="391"/>
      <c r="EN116" s="391"/>
      <c r="EO116" s="391"/>
      <c r="EP116" s="391"/>
      <c r="EQ116" s="391"/>
      <c r="ER116" s="391"/>
      <c r="ES116" s="391"/>
      <c r="ET116" s="392"/>
      <c r="EU116" s="399"/>
      <c r="EV116" s="400"/>
      <c r="EW116" s="400"/>
      <c r="EX116" s="400"/>
      <c r="EY116" s="400"/>
      <c r="EZ116" s="400"/>
      <c r="FA116" s="400"/>
      <c r="FB116" s="401"/>
      <c r="HF116" s="386"/>
      <c r="HG116" s="386"/>
      <c r="HH116" s="386"/>
      <c r="HI116" s="386"/>
      <c r="HJ116" s="386"/>
      <c r="HK116" s="386"/>
      <c r="HL116" s="386"/>
      <c r="HM116" s="386"/>
      <c r="HN116" s="386"/>
      <c r="HO116" s="386"/>
      <c r="HP116" s="386"/>
      <c r="HQ116" s="386"/>
      <c r="HR116" s="386"/>
      <c r="HS116" s="386"/>
      <c r="HT116" s="386"/>
      <c r="HU116" s="386"/>
      <c r="HV116" s="386"/>
      <c r="HW116" s="386"/>
      <c r="HX116" s="386"/>
      <c r="HY116" s="386"/>
      <c r="HZ116" s="386"/>
      <c r="IA116" s="386"/>
      <c r="IB116" s="386"/>
      <c r="IC116" s="386"/>
      <c r="ID116" s="386"/>
      <c r="IE116" s="386"/>
      <c r="IF116" s="386"/>
      <c r="IG116" s="386"/>
      <c r="IH116" s="386"/>
      <c r="II116" s="386"/>
      <c r="IJ116" s="386"/>
      <c r="IK116" s="386"/>
      <c r="IL116" s="386"/>
      <c r="IM116" s="386"/>
      <c r="IN116" s="386"/>
      <c r="IO116" s="386"/>
      <c r="IP116" s="386"/>
      <c r="IQ116" s="386"/>
      <c r="IR116" s="386"/>
      <c r="IS116" s="386"/>
      <c r="IT116" s="386"/>
      <c r="IU116" s="386"/>
      <c r="IV116" s="386"/>
      <c r="IW116" s="386"/>
      <c r="IX116" s="386"/>
      <c r="JA116" s="229"/>
      <c r="JB116" s="229"/>
      <c r="JC116" s="229"/>
      <c r="JK116" s="311"/>
      <c r="JL116" s="312"/>
      <c r="JM116" s="312"/>
      <c r="JN116" s="312"/>
      <c r="JO116" s="312"/>
      <c r="JP116" s="312"/>
      <c r="JQ116" s="312"/>
      <c r="JR116" s="312"/>
      <c r="JS116" s="312"/>
      <c r="JT116" s="312"/>
      <c r="JU116" s="312"/>
      <c r="JV116" s="312"/>
      <c r="JW116" s="312"/>
      <c r="JX116" s="312"/>
      <c r="JY116" s="312"/>
      <c r="JZ116" s="312"/>
      <c r="KA116" s="312"/>
      <c r="KB116" s="312"/>
      <c r="KC116" s="312"/>
      <c r="KD116" s="312"/>
      <c r="KE116" s="312"/>
      <c r="KF116" s="312"/>
      <c r="KG116" s="312"/>
      <c r="KH116" s="312"/>
      <c r="KI116" s="312"/>
      <c r="KJ116" s="312"/>
      <c r="KK116" s="312"/>
      <c r="KL116" s="312"/>
      <c r="KM116" s="312"/>
      <c r="KN116" s="312"/>
      <c r="KO116" s="312"/>
      <c r="KP116" s="312"/>
      <c r="KQ116" s="312"/>
      <c r="KR116" s="312"/>
      <c r="KS116" s="312"/>
      <c r="KT116" s="312"/>
      <c r="KU116" s="312"/>
      <c r="KV116" s="312"/>
      <c r="KW116" s="312"/>
      <c r="KX116" s="313"/>
      <c r="KY116" s="311"/>
      <c r="KZ116" s="312"/>
      <c r="LA116" s="312"/>
      <c r="LB116" s="312"/>
      <c r="LC116" s="313"/>
      <c r="LM116" s="320"/>
      <c r="LN116" s="321"/>
      <c r="LO116" s="321"/>
      <c r="LP116" s="321"/>
      <c r="LQ116" s="321"/>
      <c r="LR116" s="321"/>
      <c r="LS116" s="321"/>
      <c r="LT116" s="321"/>
      <c r="LU116" s="321"/>
      <c r="LV116" s="321"/>
      <c r="LW116" s="321"/>
      <c r="LX116" s="321"/>
      <c r="LY116" s="321"/>
      <c r="LZ116" s="321"/>
      <c r="MA116" s="321"/>
      <c r="MB116" s="321"/>
      <c r="MC116" s="321"/>
      <c r="MD116" s="321"/>
      <c r="ME116" s="321"/>
      <c r="MF116" s="321"/>
      <c r="MG116" s="321"/>
      <c r="MH116" s="321"/>
      <c r="MI116" s="321"/>
      <c r="MJ116" s="321"/>
      <c r="MK116" s="321"/>
      <c r="ML116" s="321"/>
      <c r="MM116" s="321"/>
      <c r="MN116" s="321"/>
      <c r="MO116" s="321"/>
      <c r="MP116" s="321"/>
      <c r="MQ116" s="321"/>
      <c r="MR116" s="321"/>
      <c r="MS116" s="321"/>
      <c r="MT116" s="321"/>
      <c r="MU116" s="321"/>
      <c r="MV116" s="321"/>
      <c r="MW116" s="321"/>
      <c r="MX116" s="321"/>
      <c r="MY116" s="321"/>
      <c r="MZ116" s="322"/>
      <c r="NA116" s="311"/>
      <c r="NB116" s="312"/>
      <c r="NC116" s="312"/>
      <c r="ND116" s="312"/>
      <c r="NE116" s="313"/>
      <c r="QO116" s="229"/>
      <c r="QP116" s="229"/>
      <c r="QQ116" s="230"/>
      <c r="QR116" s="231"/>
    </row>
    <row r="117" spans="3:465" ht="5.0999999999999996" customHeight="1" x14ac:dyDescent="0.25">
      <c r="C117" s="226"/>
      <c r="D117" s="227"/>
      <c r="E117" s="229"/>
      <c r="F117" s="229"/>
      <c r="DH117" s="390"/>
      <c r="DI117" s="391"/>
      <c r="DJ117" s="391"/>
      <c r="DK117" s="391"/>
      <c r="DL117" s="391"/>
      <c r="DM117" s="391"/>
      <c r="DN117" s="391"/>
      <c r="DO117" s="391"/>
      <c r="DP117" s="391"/>
      <c r="DQ117" s="391"/>
      <c r="DR117" s="391"/>
      <c r="DS117" s="391"/>
      <c r="DT117" s="391"/>
      <c r="DU117" s="391"/>
      <c r="DV117" s="391"/>
      <c r="DW117" s="391"/>
      <c r="DX117" s="391"/>
      <c r="DY117" s="391"/>
      <c r="DZ117" s="391"/>
      <c r="EA117" s="391"/>
      <c r="EB117" s="391"/>
      <c r="EC117" s="391"/>
      <c r="ED117" s="391"/>
      <c r="EE117" s="391"/>
      <c r="EF117" s="391"/>
      <c r="EG117" s="391"/>
      <c r="EH117" s="391"/>
      <c r="EI117" s="391"/>
      <c r="EJ117" s="391"/>
      <c r="EK117" s="391"/>
      <c r="EL117" s="391"/>
      <c r="EM117" s="391"/>
      <c r="EN117" s="391"/>
      <c r="EO117" s="391"/>
      <c r="EP117" s="391"/>
      <c r="EQ117" s="391"/>
      <c r="ER117" s="391"/>
      <c r="ES117" s="391"/>
      <c r="ET117" s="392"/>
      <c r="EU117" s="399"/>
      <c r="EV117" s="400"/>
      <c r="EW117" s="400"/>
      <c r="EX117" s="400"/>
      <c r="EY117" s="400"/>
      <c r="EZ117" s="400"/>
      <c r="FA117" s="400"/>
      <c r="FB117" s="401"/>
      <c r="HF117" s="386"/>
      <c r="HG117" s="386"/>
      <c r="HH117" s="386"/>
      <c r="HI117" s="386"/>
      <c r="HJ117" s="386"/>
      <c r="HK117" s="386"/>
      <c r="HL117" s="386"/>
      <c r="HM117" s="386"/>
      <c r="HN117" s="386"/>
      <c r="HO117" s="386"/>
      <c r="HP117" s="386"/>
      <c r="HQ117" s="386"/>
      <c r="HR117" s="386"/>
      <c r="HS117" s="386"/>
      <c r="HT117" s="386"/>
      <c r="HU117" s="386"/>
      <c r="HV117" s="386"/>
      <c r="HW117" s="386"/>
      <c r="HX117" s="386"/>
      <c r="HY117" s="386"/>
      <c r="HZ117" s="386"/>
      <c r="IA117" s="386"/>
      <c r="IB117" s="386"/>
      <c r="IC117" s="386"/>
      <c r="ID117" s="386"/>
      <c r="IE117" s="386"/>
      <c r="IF117" s="386"/>
      <c r="IG117" s="386"/>
      <c r="IH117" s="386"/>
      <c r="II117" s="386"/>
      <c r="IJ117" s="386"/>
      <c r="IK117" s="386"/>
      <c r="IL117" s="386"/>
      <c r="IM117" s="386"/>
      <c r="IN117" s="386"/>
      <c r="IO117" s="386"/>
      <c r="IP117" s="386"/>
      <c r="IQ117" s="386"/>
      <c r="IR117" s="386"/>
      <c r="IS117" s="386"/>
      <c r="IT117" s="386"/>
      <c r="IU117" s="386"/>
      <c r="IV117" s="386"/>
      <c r="IW117" s="386"/>
      <c r="IX117" s="386"/>
      <c r="JA117" s="229"/>
      <c r="JB117" s="229"/>
      <c r="JC117" s="229"/>
      <c r="JK117" s="311"/>
      <c r="JL117" s="312"/>
      <c r="JM117" s="312"/>
      <c r="JN117" s="312"/>
      <c r="JO117" s="312"/>
      <c r="JP117" s="312"/>
      <c r="JQ117" s="312"/>
      <c r="JR117" s="312"/>
      <c r="JS117" s="312"/>
      <c r="JT117" s="312"/>
      <c r="JU117" s="312"/>
      <c r="JV117" s="312"/>
      <c r="JW117" s="312"/>
      <c r="JX117" s="312"/>
      <c r="JY117" s="312"/>
      <c r="JZ117" s="312"/>
      <c r="KA117" s="312"/>
      <c r="KB117" s="312"/>
      <c r="KC117" s="312"/>
      <c r="KD117" s="312"/>
      <c r="KE117" s="312"/>
      <c r="KF117" s="312"/>
      <c r="KG117" s="312"/>
      <c r="KH117" s="312"/>
      <c r="KI117" s="312"/>
      <c r="KJ117" s="312"/>
      <c r="KK117" s="312"/>
      <c r="KL117" s="312"/>
      <c r="KM117" s="312"/>
      <c r="KN117" s="312"/>
      <c r="KO117" s="312"/>
      <c r="KP117" s="312"/>
      <c r="KQ117" s="312"/>
      <c r="KR117" s="312"/>
      <c r="KS117" s="312"/>
      <c r="KT117" s="312"/>
      <c r="KU117" s="312"/>
      <c r="KV117" s="312"/>
      <c r="KW117" s="312"/>
      <c r="KX117" s="313"/>
      <c r="KY117" s="311"/>
      <c r="KZ117" s="312"/>
      <c r="LA117" s="312"/>
      <c r="LB117" s="312"/>
      <c r="LC117" s="313"/>
      <c r="LM117" s="320"/>
      <c r="LN117" s="321"/>
      <c r="LO117" s="321"/>
      <c r="LP117" s="321"/>
      <c r="LQ117" s="321"/>
      <c r="LR117" s="321"/>
      <c r="LS117" s="321"/>
      <c r="LT117" s="321"/>
      <c r="LU117" s="321"/>
      <c r="LV117" s="321"/>
      <c r="LW117" s="321"/>
      <c r="LX117" s="321"/>
      <c r="LY117" s="321"/>
      <c r="LZ117" s="321"/>
      <c r="MA117" s="321"/>
      <c r="MB117" s="321"/>
      <c r="MC117" s="321"/>
      <c r="MD117" s="321"/>
      <c r="ME117" s="321"/>
      <c r="MF117" s="321"/>
      <c r="MG117" s="321"/>
      <c r="MH117" s="321"/>
      <c r="MI117" s="321"/>
      <c r="MJ117" s="321"/>
      <c r="MK117" s="321"/>
      <c r="ML117" s="321"/>
      <c r="MM117" s="321"/>
      <c r="MN117" s="321"/>
      <c r="MO117" s="321"/>
      <c r="MP117" s="321"/>
      <c r="MQ117" s="321"/>
      <c r="MR117" s="321"/>
      <c r="MS117" s="321"/>
      <c r="MT117" s="321"/>
      <c r="MU117" s="321"/>
      <c r="MV117" s="321"/>
      <c r="MW117" s="321"/>
      <c r="MX117" s="321"/>
      <c r="MY117" s="321"/>
      <c r="MZ117" s="322"/>
      <c r="NA117" s="311"/>
      <c r="NB117" s="312"/>
      <c r="NC117" s="312"/>
      <c r="ND117" s="312"/>
      <c r="NE117" s="313"/>
      <c r="QO117" s="229"/>
      <c r="QP117" s="229"/>
      <c r="QQ117" s="230"/>
      <c r="QR117" s="231"/>
    </row>
    <row r="118" spans="3:465" ht="5.0999999999999996" customHeight="1" x14ac:dyDescent="0.25">
      <c r="C118" s="226"/>
      <c r="D118" s="227"/>
      <c r="E118" s="229"/>
      <c r="DH118" s="390"/>
      <c r="DI118" s="391"/>
      <c r="DJ118" s="391"/>
      <c r="DK118" s="391"/>
      <c r="DL118" s="391"/>
      <c r="DM118" s="391"/>
      <c r="DN118" s="391"/>
      <c r="DO118" s="391"/>
      <c r="DP118" s="391"/>
      <c r="DQ118" s="391"/>
      <c r="DR118" s="391"/>
      <c r="DS118" s="391"/>
      <c r="DT118" s="391"/>
      <c r="DU118" s="391"/>
      <c r="DV118" s="391"/>
      <c r="DW118" s="391"/>
      <c r="DX118" s="391"/>
      <c r="DY118" s="391"/>
      <c r="DZ118" s="391"/>
      <c r="EA118" s="391"/>
      <c r="EB118" s="391"/>
      <c r="EC118" s="391"/>
      <c r="ED118" s="391"/>
      <c r="EE118" s="391"/>
      <c r="EF118" s="391"/>
      <c r="EG118" s="391"/>
      <c r="EH118" s="391"/>
      <c r="EI118" s="391"/>
      <c r="EJ118" s="391"/>
      <c r="EK118" s="391"/>
      <c r="EL118" s="391"/>
      <c r="EM118" s="391"/>
      <c r="EN118" s="391"/>
      <c r="EO118" s="391"/>
      <c r="EP118" s="391"/>
      <c r="EQ118" s="391"/>
      <c r="ER118" s="391"/>
      <c r="ES118" s="391"/>
      <c r="ET118" s="392"/>
      <c r="EU118" s="399"/>
      <c r="EV118" s="400"/>
      <c r="EW118" s="400"/>
      <c r="EX118" s="400"/>
      <c r="EY118" s="400"/>
      <c r="EZ118" s="400"/>
      <c r="FA118" s="400"/>
      <c r="FB118" s="401"/>
      <c r="JA118" s="229"/>
      <c r="JB118" s="229"/>
      <c r="JC118" s="229"/>
      <c r="JK118" s="311"/>
      <c r="JL118" s="312"/>
      <c r="JM118" s="312"/>
      <c r="JN118" s="312"/>
      <c r="JO118" s="312"/>
      <c r="JP118" s="312"/>
      <c r="JQ118" s="312"/>
      <c r="JR118" s="312"/>
      <c r="JS118" s="312"/>
      <c r="JT118" s="312"/>
      <c r="JU118" s="312"/>
      <c r="JV118" s="312"/>
      <c r="JW118" s="312"/>
      <c r="JX118" s="312"/>
      <c r="JY118" s="312"/>
      <c r="JZ118" s="312"/>
      <c r="KA118" s="312"/>
      <c r="KB118" s="312"/>
      <c r="KC118" s="312"/>
      <c r="KD118" s="312"/>
      <c r="KE118" s="312"/>
      <c r="KF118" s="312"/>
      <c r="KG118" s="312"/>
      <c r="KH118" s="312"/>
      <c r="KI118" s="312"/>
      <c r="KJ118" s="312"/>
      <c r="KK118" s="312"/>
      <c r="KL118" s="312"/>
      <c r="KM118" s="312"/>
      <c r="KN118" s="312"/>
      <c r="KO118" s="312"/>
      <c r="KP118" s="312"/>
      <c r="KQ118" s="312"/>
      <c r="KR118" s="312"/>
      <c r="KS118" s="312"/>
      <c r="KT118" s="312"/>
      <c r="KU118" s="312"/>
      <c r="KV118" s="312"/>
      <c r="KW118" s="312"/>
      <c r="KX118" s="313"/>
      <c r="KY118" s="311"/>
      <c r="KZ118" s="312"/>
      <c r="LA118" s="312"/>
      <c r="LB118" s="312"/>
      <c r="LC118" s="313"/>
      <c r="LM118" s="320"/>
      <c r="LN118" s="321"/>
      <c r="LO118" s="321"/>
      <c r="LP118" s="321"/>
      <c r="LQ118" s="321"/>
      <c r="LR118" s="321"/>
      <c r="LS118" s="321"/>
      <c r="LT118" s="321"/>
      <c r="LU118" s="321"/>
      <c r="LV118" s="321"/>
      <c r="LW118" s="321"/>
      <c r="LX118" s="321"/>
      <c r="LY118" s="321"/>
      <c r="LZ118" s="321"/>
      <c r="MA118" s="321"/>
      <c r="MB118" s="321"/>
      <c r="MC118" s="321"/>
      <c r="MD118" s="321"/>
      <c r="ME118" s="321"/>
      <c r="MF118" s="321"/>
      <c r="MG118" s="321"/>
      <c r="MH118" s="321"/>
      <c r="MI118" s="321"/>
      <c r="MJ118" s="321"/>
      <c r="MK118" s="321"/>
      <c r="ML118" s="321"/>
      <c r="MM118" s="321"/>
      <c r="MN118" s="321"/>
      <c r="MO118" s="321"/>
      <c r="MP118" s="321"/>
      <c r="MQ118" s="321"/>
      <c r="MR118" s="321"/>
      <c r="MS118" s="321"/>
      <c r="MT118" s="321"/>
      <c r="MU118" s="321"/>
      <c r="MV118" s="321"/>
      <c r="MW118" s="321"/>
      <c r="MX118" s="321"/>
      <c r="MY118" s="321"/>
      <c r="MZ118" s="322"/>
      <c r="NA118" s="311"/>
      <c r="NB118" s="312"/>
      <c r="NC118" s="312"/>
      <c r="ND118" s="312"/>
      <c r="NE118" s="313"/>
      <c r="QO118" s="229"/>
      <c r="QP118" s="229"/>
      <c r="QQ118" s="230"/>
      <c r="QR118" s="231"/>
    </row>
    <row r="119" spans="3:465" ht="5.0999999999999996" customHeight="1" x14ac:dyDescent="0.25">
      <c r="C119" s="226"/>
      <c r="D119" s="227"/>
      <c r="E119" s="229"/>
      <c r="DH119" s="390"/>
      <c r="DI119" s="391"/>
      <c r="DJ119" s="391"/>
      <c r="DK119" s="391"/>
      <c r="DL119" s="391"/>
      <c r="DM119" s="391"/>
      <c r="DN119" s="391"/>
      <c r="DO119" s="391"/>
      <c r="DP119" s="391"/>
      <c r="DQ119" s="391"/>
      <c r="DR119" s="391"/>
      <c r="DS119" s="391"/>
      <c r="DT119" s="391"/>
      <c r="DU119" s="391"/>
      <c r="DV119" s="391"/>
      <c r="DW119" s="391"/>
      <c r="DX119" s="391"/>
      <c r="DY119" s="391"/>
      <c r="DZ119" s="391"/>
      <c r="EA119" s="391"/>
      <c r="EB119" s="391"/>
      <c r="EC119" s="391"/>
      <c r="ED119" s="391"/>
      <c r="EE119" s="391"/>
      <c r="EF119" s="391"/>
      <c r="EG119" s="391"/>
      <c r="EH119" s="391"/>
      <c r="EI119" s="391"/>
      <c r="EJ119" s="391"/>
      <c r="EK119" s="391"/>
      <c r="EL119" s="391"/>
      <c r="EM119" s="391"/>
      <c r="EN119" s="391"/>
      <c r="EO119" s="391"/>
      <c r="EP119" s="391"/>
      <c r="EQ119" s="391"/>
      <c r="ER119" s="391"/>
      <c r="ES119" s="391"/>
      <c r="ET119" s="392"/>
      <c r="EU119" s="399"/>
      <c r="EV119" s="400"/>
      <c r="EW119" s="400"/>
      <c r="EX119" s="400"/>
      <c r="EY119" s="400"/>
      <c r="EZ119" s="400"/>
      <c r="FA119" s="400"/>
      <c r="FB119" s="401"/>
      <c r="JA119" s="229"/>
      <c r="JB119" s="229"/>
      <c r="JC119" s="229"/>
      <c r="JK119" s="311"/>
      <c r="JL119" s="312"/>
      <c r="JM119" s="312"/>
      <c r="JN119" s="312"/>
      <c r="JO119" s="312"/>
      <c r="JP119" s="312"/>
      <c r="JQ119" s="312"/>
      <c r="JR119" s="312"/>
      <c r="JS119" s="312"/>
      <c r="JT119" s="312"/>
      <c r="JU119" s="312"/>
      <c r="JV119" s="312"/>
      <c r="JW119" s="312"/>
      <c r="JX119" s="312"/>
      <c r="JY119" s="312"/>
      <c r="JZ119" s="312"/>
      <c r="KA119" s="312"/>
      <c r="KB119" s="312"/>
      <c r="KC119" s="312"/>
      <c r="KD119" s="312"/>
      <c r="KE119" s="312"/>
      <c r="KF119" s="312"/>
      <c r="KG119" s="312"/>
      <c r="KH119" s="312"/>
      <c r="KI119" s="312"/>
      <c r="KJ119" s="312"/>
      <c r="KK119" s="312"/>
      <c r="KL119" s="312"/>
      <c r="KM119" s="312"/>
      <c r="KN119" s="312"/>
      <c r="KO119" s="312"/>
      <c r="KP119" s="312"/>
      <c r="KQ119" s="312"/>
      <c r="KR119" s="312"/>
      <c r="KS119" s="312"/>
      <c r="KT119" s="312"/>
      <c r="KU119" s="312"/>
      <c r="KV119" s="312"/>
      <c r="KW119" s="312"/>
      <c r="KX119" s="313"/>
      <c r="KY119" s="311"/>
      <c r="KZ119" s="312"/>
      <c r="LA119" s="312"/>
      <c r="LB119" s="312"/>
      <c r="LC119" s="313"/>
      <c r="LM119" s="320"/>
      <c r="LN119" s="321"/>
      <c r="LO119" s="321"/>
      <c r="LP119" s="321"/>
      <c r="LQ119" s="321"/>
      <c r="LR119" s="321"/>
      <c r="LS119" s="321"/>
      <c r="LT119" s="321"/>
      <c r="LU119" s="321"/>
      <c r="LV119" s="321"/>
      <c r="LW119" s="321"/>
      <c r="LX119" s="321"/>
      <c r="LY119" s="321"/>
      <c r="LZ119" s="321"/>
      <c r="MA119" s="321"/>
      <c r="MB119" s="321"/>
      <c r="MC119" s="321"/>
      <c r="MD119" s="321"/>
      <c r="ME119" s="321"/>
      <c r="MF119" s="321"/>
      <c r="MG119" s="321"/>
      <c r="MH119" s="321"/>
      <c r="MI119" s="321"/>
      <c r="MJ119" s="321"/>
      <c r="MK119" s="321"/>
      <c r="ML119" s="321"/>
      <c r="MM119" s="321"/>
      <c r="MN119" s="321"/>
      <c r="MO119" s="321"/>
      <c r="MP119" s="321"/>
      <c r="MQ119" s="321"/>
      <c r="MR119" s="321"/>
      <c r="MS119" s="321"/>
      <c r="MT119" s="321"/>
      <c r="MU119" s="321"/>
      <c r="MV119" s="321"/>
      <c r="MW119" s="321"/>
      <c r="MX119" s="321"/>
      <c r="MY119" s="321"/>
      <c r="MZ119" s="322"/>
      <c r="NA119" s="311"/>
      <c r="NB119" s="312"/>
      <c r="NC119" s="312"/>
      <c r="ND119" s="312"/>
      <c r="NE119" s="313"/>
      <c r="QO119" s="229"/>
      <c r="QP119" s="229"/>
      <c r="QQ119" s="230"/>
      <c r="QR119" s="231"/>
    </row>
    <row r="120" spans="3:465" ht="5.0999999999999996" customHeight="1" x14ac:dyDescent="0.25">
      <c r="C120" s="226"/>
      <c r="D120" s="227"/>
      <c r="E120" s="229"/>
      <c r="DH120" s="393"/>
      <c r="DI120" s="394"/>
      <c r="DJ120" s="394"/>
      <c r="DK120" s="394"/>
      <c r="DL120" s="394"/>
      <c r="DM120" s="394"/>
      <c r="DN120" s="394"/>
      <c r="DO120" s="394"/>
      <c r="DP120" s="394"/>
      <c r="DQ120" s="394"/>
      <c r="DR120" s="394"/>
      <c r="DS120" s="394"/>
      <c r="DT120" s="394"/>
      <c r="DU120" s="394"/>
      <c r="DV120" s="394"/>
      <c r="DW120" s="394"/>
      <c r="DX120" s="394"/>
      <c r="DY120" s="394"/>
      <c r="DZ120" s="394"/>
      <c r="EA120" s="394"/>
      <c r="EB120" s="394"/>
      <c r="EC120" s="394"/>
      <c r="ED120" s="394"/>
      <c r="EE120" s="394"/>
      <c r="EF120" s="394"/>
      <c r="EG120" s="394"/>
      <c r="EH120" s="394"/>
      <c r="EI120" s="394"/>
      <c r="EJ120" s="394"/>
      <c r="EK120" s="394"/>
      <c r="EL120" s="394"/>
      <c r="EM120" s="394"/>
      <c r="EN120" s="394"/>
      <c r="EO120" s="394"/>
      <c r="EP120" s="394"/>
      <c r="EQ120" s="394"/>
      <c r="ER120" s="394"/>
      <c r="ES120" s="394"/>
      <c r="ET120" s="395"/>
      <c r="EU120" s="402"/>
      <c r="EV120" s="403"/>
      <c r="EW120" s="403"/>
      <c r="EX120" s="403"/>
      <c r="EY120" s="403"/>
      <c r="EZ120" s="403"/>
      <c r="FA120" s="403"/>
      <c r="FB120" s="404"/>
      <c r="JA120" s="229"/>
      <c r="JB120" s="229"/>
      <c r="JC120" s="229"/>
      <c r="JK120" s="311"/>
      <c r="JL120" s="312"/>
      <c r="JM120" s="312"/>
      <c r="JN120" s="312"/>
      <c r="JO120" s="312"/>
      <c r="JP120" s="312"/>
      <c r="JQ120" s="312"/>
      <c r="JR120" s="312"/>
      <c r="JS120" s="312"/>
      <c r="JT120" s="312"/>
      <c r="JU120" s="312"/>
      <c r="JV120" s="312"/>
      <c r="JW120" s="312"/>
      <c r="JX120" s="312"/>
      <c r="JY120" s="312"/>
      <c r="JZ120" s="312"/>
      <c r="KA120" s="312"/>
      <c r="KB120" s="312"/>
      <c r="KC120" s="312"/>
      <c r="KD120" s="312"/>
      <c r="KE120" s="312"/>
      <c r="KF120" s="312"/>
      <c r="KG120" s="312"/>
      <c r="KH120" s="312"/>
      <c r="KI120" s="312"/>
      <c r="KJ120" s="312"/>
      <c r="KK120" s="312"/>
      <c r="KL120" s="312"/>
      <c r="KM120" s="312"/>
      <c r="KN120" s="312"/>
      <c r="KO120" s="312"/>
      <c r="KP120" s="312"/>
      <c r="KQ120" s="312"/>
      <c r="KR120" s="312"/>
      <c r="KS120" s="312"/>
      <c r="KT120" s="312"/>
      <c r="KU120" s="312"/>
      <c r="KV120" s="312"/>
      <c r="KW120" s="312"/>
      <c r="KX120" s="313"/>
      <c r="KY120" s="311"/>
      <c r="KZ120" s="312"/>
      <c r="LA120" s="312"/>
      <c r="LB120" s="312"/>
      <c r="LC120" s="313"/>
      <c r="LM120" s="320"/>
      <c r="LN120" s="321"/>
      <c r="LO120" s="321"/>
      <c r="LP120" s="321"/>
      <c r="LQ120" s="321"/>
      <c r="LR120" s="321"/>
      <c r="LS120" s="321"/>
      <c r="LT120" s="321"/>
      <c r="LU120" s="321"/>
      <c r="LV120" s="321"/>
      <c r="LW120" s="321"/>
      <c r="LX120" s="321"/>
      <c r="LY120" s="321"/>
      <c r="LZ120" s="321"/>
      <c r="MA120" s="321"/>
      <c r="MB120" s="321"/>
      <c r="MC120" s="321"/>
      <c r="MD120" s="321"/>
      <c r="ME120" s="321"/>
      <c r="MF120" s="321"/>
      <c r="MG120" s="321"/>
      <c r="MH120" s="321"/>
      <c r="MI120" s="321"/>
      <c r="MJ120" s="321"/>
      <c r="MK120" s="321"/>
      <c r="ML120" s="321"/>
      <c r="MM120" s="321"/>
      <c r="MN120" s="321"/>
      <c r="MO120" s="321"/>
      <c r="MP120" s="321"/>
      <c r="MQ120" s="321"/>
      <c r="MR120" s="321"/>
      <c r="MS120" s="321"/>
      <c r="MT120" s="321"/>
      <c r="MU120" s="321"/>
      <c r="MV120" s="321"/>
      <c r="MW120" s="321"/>
      <c r="MX120" s="321"/>
      <c r="MY120" s="321"/>
      <c r="MZ120" s="322"/>
      <c r="NA120" s="311"/>
      <c r="NB120" s="312"/>
      <c r="NC120" s="312"/>
      <c r="ND120" s="312"/>
      <c r="NE120" s="313"/>
      <c r="QO120" s="229"/>
      <c r="QP120" s="229"/>
      <c r="QQ120" s="230"/>
      <c r="QR120" s="231"/>
    </row>
    <row r="121" spans="3:465" ht="5.0999999999999996" customHeight="1" x14ac:dyDescent="0.25">
      <c r="C121" s="226"/>
      <c r="D121" s="227"/>
      <c r="E121" s="229"/>
      <c r="ED121" s="255"/>
      <c r="EE121" s="252"/>
      <c r="EF121" s="252"/>
      <c r="JA121" s="229"/>
      <c r="JB121" s="229"/>
      <c r="JC121" s="229"/>
      <c r="JK121" s="311"/>
      <c r="JL121" s="312"/>
      <c r="JM121" s="312"/>
      <c r="JN121" s="312"/>
      <c r="JO121" s="312"/>
      <c r="JP121" s="312"/>
      <c r="JQ121" s="312"/>
      <c r="JR121" s="312"/>
      <c r="JS121" s="312"/>
      <c r="JT121" s="312"/>
      <c r="JU121" s="312"/>
      <c r="JV121" s="312"/>
      <c r="JW121" s="312"/>
      <c r="JX121" s="312"/>
      <c r="JY121" s="312"/>
      <c r="JZ121" s="312"/>
      <c r="KA121" s="312"/>
      <c r="KB121" s="312"/>
      <c r="KC121" s="312"/>
      <c r="KD121" s="312"/>
      <c r="KE121" s="312"/>
      <c r="KF121" s="312"/>
      <c r="KG121" s="312"/>
      <c r="KH121" s="312"/>
      <c r="KI121" s="312"/>
      <c r="KJ121" s="312"/>
      <c r="KK121" s="312"/>
      <c r="KL121" s="312"/>
      <c r="KM121" s="312"/>
      <c r="KN121" s="312"/>
      <c r="KO121" s="312"/>
      <c r="KP121" s="312"/>
      <c r="KQ121" s="312"/>
      <c r="KR121" s="312"/>
      <c r="KS121" s="312"/>
      <c r="KT121" s="312"/>
      <c r="KU121" s="312"/>
      <c r="KV121" s="312"/>
      <c r="KW121" s="312"/>
      <c r="KX121" s="313"/>
      <c r="KY121" s="311"/>
      <c r="KZ121" s="312"/>
      <c r="LA121" s="312"/>
      <c r="LB121" s="312"/>
      <c r="LC121" s="313"/>
      <c r="LM121" s="320"/>
      <c r="LN121" s="321"/>
      <c r="LO121" s="321"/>
      <c r="LP121" s="321"/>
      <c r="LQ121" s="321"/>
      <c r="LR121" s="321"/>
      <c r="LS121" s="321"/>
      <c r="LT121" s="321"/>
      <c r="LU121" s="321"/>
      <c r="LV121" s="321"/>
      <c r="LW121" s="321"/>
      <c r="LX121" s="321"/>
      <c r="LY121" s="321"/>
      <c r="LZ121" s="321"/>
      <c r="MA121" s="321"/>
      <c r="MB121" s="321"/>
      <c r="MC121" s="321"/>
      <c r="MD121" s="321"/>
      <c r="ME121" s="321"/>
      <c r="MF121" s="321"/>
      <c r="MG121" s="321"/>
      <c r="MH121" s="321"/>
      <c r="MI121" s="321"/>
      <c r="MJ121" s="321"/>
      <c r="MK121" s="321"/>
      <c r="ML121" s="321"/>
      <c r="MM121" s="321"/>
      <c r="MN121" s="321"/>
      <c r="MO121" s="321"/>
      <c r="MP121" s="321"/>
      <c r="MQ121" s="321"/>
      <c r="MR121" s="321"/>
      <c r="MS121" s="321"/>
      <c r="MT121" s="321"/>
      <c r="MU121" s="321"/>
      <c r="MV121" s="321"/>
      <c r="MW121" s="321"/>
      <c r="MX121" s="321"/>
      <c r="MY121" s="321"/>
      <c r="MZ121" s="322"/>
      <c r="NA121" s="311"/>
      <c r="NB121" s="312"/>
      <c r="NC121" s="312"/>
      <c r="ND121" s="312"/>
      <c r="NE121" s="313"/>
      <c r="QO121" s="229"/>
      <c r="QP121" s="229"/>
      <c r="QQ121" s="230"/>
      <c r="QR121" s="231"/>
    </row>
    <row r="122" spans="3:465" ht="5.0999999999999996" customHeight="1" x14ac:dyDescent="0.25">
      <c r="C122" s="226"/>
      <c r="D122" s="227"/>
      <c r="E122" s="229"/>
      <c r="BA122" s="229"/>
      <c r="BB122" s="229"/>
      <c r="BC122" s="229"/>
      <c r="BD122" s="229"/>
      <c r="BE122" s="229"/>
      <c r="BF122" s="229"/>
      <c r="BG122" s="229"/>
      <c r="BH122" s="229"/>
      <c r="BI122" s="229"/>
      <c r="BJ122" s="229"/>
      <c r="BK122" s="229"/>
      <c r="BL122" s="229"/>
      <c r="BM122" s="229"/>
      <c r="BN122" s="229"/>
      <c r="BO122" s="229"/>
      <c r="BP122" s="229"/>
      <c r="BQ122" s="229"/>
      <c r="BR122" s="229"/>
      <c r="BS122" s="229"/>
      <c r="BT122" s="229"/>
      <c r="BU122" s="229"/>
      <c r="BV122" s="229"/>
      <c r="BW122" s="229"/>
      <c r="BX122" s="229"/>
      <c r="BY122" s="229"/>
      <c r="BZ122" s="22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ED122" s="234"/>
      <c r="EE122" s="229"/>
      <c r="EF122" s="229"/>
      <c r="FN122" s="229"/>
      <c r="FO122" s="229"/>
      <c r="FP122" s="229"/>
      <c r="FQ122" s="229"/>
      <c r="FR122" s="229"/>
      <c r="FS122" s="229"/>
      <c r="FT122" s="229"/>
      <c r="FU122" s="229"/>
      <c r="FV122" s="229"/>
      <c r="FW122" s="229"/>
      <c r="FX122" s="229"/>
      <c r="FY122" s="229"/>
      <c r="FZ122" s="229"/>
      <c r="GA122" s="229"/>
      <c r="GB122" s="229"/>
      <c r="GC122" s="229"/>
      <c r="GD122" s="229"/>
      <c r="GE122" s="229"/>
      <c r="GF122" s="229"/>
      <c r="GG122" s="229"/>
      <c r="GH122" s="229"/>
      <c r="GI122" s="229"/>
      <c r="GJ122" s="229"/>
      <c r="GK122" s="229"/>
      <c r="GL122" s="229"/>
      <c r="GM122" s="229"/>
      <c r="GN122" s="229"/>
      <c r="GO122" s="229"/>
      <c r="GP122" s="229"/>
      <c r="GQ122" s="229"/>
      <c r="GR122" s="229"/>
      <c r="GS122" s="229"/>
      <c r="GT122" s="229"/>
      <c r="GU122" s="229"/>
      <c r="GV122" s="229"/>
      <c r="GW122" s="229"/>
      <c r="GX122" s="229"/>
      <c r="GY122" s="229"/>
      <c r="GZ122" s="229"/>
      <c r="HA122" s="229"/>
      <c r="HB122" s="229"/>
      <c r="HC122" s="229"/>
      <c r="HD122" s="229"/>
      <c r="HE122" s="229"/>
      <c r="HF122" s="229"/>
      <c r="HG122" s="229"/>
      <c r="HH122" s="229"/>
      <c r="HI122" s="229"/>
      <c r="HJ122" s="229"/>
      <c r="HK122" s="229"/>
      <c r="HL122" s="229"/>
      <c r="HM122" s="229"/>
      <c r="HN122" s="229"/>
      <c r="HO122" s="229"/>
      <c r="HP122" s="229"/>
      <c r="HQ122" s="229"/>
      <c r="HR122" s="229"/>
      <c r="HS122" s="229"/>
      <c r="HT122" s="229"/>
      <c r="HU122" s="229"/>
      <c r="HV122" s="229"/>
      <c r="HW122" s="229"/>
      <c r="HX122" s="229"/>
      <c r="HY122" s="229"/>
      <c r="HZ122" s="229"/>
      <c r="IA122" s="229"/>
      <c r="IB122" s="229"/>
      <c r="JA122" s="229"/>
      <c r="JB122" s="229"/>
      <c r="JC122" s="229"/>
      <c r="JK122" s="311"/>
      <c r="JL122" s="312"/>
      <c r="JM122" s="312"/>
      <c r="JN122" s="312"/>
      <c r="JO122" s="312"/>
      <c r="JP122" s="312"/>
      <c r="JQ122" s="312"/>
      <c r="JR122" s="312"/>
      <c r="JS122" s="312"/>
      <c r="JT122" s="312"/>
      <c r="JU122" s="312"/>
      <c r="JV122" s="312"/>
      <c r="JW122" s="312"/>
      <c r="JX122" s="312"/>
      <c r="JY122" s="312"/>
      <c r="JZ122" s="312"/>
      <c r="KA122" s="312"/>
      <c r="KB122" s="312"/>
      <c r="KC122" s="312"/>
      <c r="KD122" s="312"/>
      <c r="KE122" s="312"/>
      <c r="KF122" s="312"/>
      <c r="KG122" s="312"/>
      <c r="KH122" s="312"/>
      <c r="KI122" s="312"/>
      <c r="KJ122" s="312"/>
      <c r="KK122" s="312"/>
      <c r="KL122" s="312"/>
      <c r="KM122" s="312"/>
      <c r="KN122" s="312"/>
      <c r="KO122" s="312"/>
      <c r="KP122" s="312"/>
      <c r="KQ122" s="312"/>
      <c r="KR122" s="312"/>
      <c r="KS122" s="312"/>
      <c r="KT122" s="312"/>
      <c r="KU122" s="312"/>
      <c r="KV122" s="312"/>
      <c r="KW122" s="312"/>
      <c r="KX122" s="313"/>
      <c r="KY122" s="311"/>
      <c r="KZ122" s="312"/>
      <c r="LA122" s="312"/>
      <c r="LB122" s="312"/>
      <c r="LC122" s="313"/>
      <c r="LM122" s="320"/>
      <c r="LN122" s="321"/>
      <c r="LO122" s="321"/>
      <c r="LP122" s="321"/>
      <c r="LQ122" s="321"/>
      <c r="LR122" s="321"/>
      <c r="LS122" s="321"/>
      <c r="LT122" s="321"/>
      <c r="LU122" s="321"/>
      <c r="LV122" s="321"/>
      <c r="LW122" s="321"/>
      <c r="LX122" s="321"/>
      <c r="LY122" s="321"/>
      <c r="LZ122" s="321"/>
      <c r="MA122" s="321"/>
      <c r="MB122" s="321"/>
      <c r="MC122" s="321"/>
      <c r="MD122" s="321"/>
      <c r="ME122" s="321"/>
      <c r="MF122" s="321"/>
      <c r="MG122" s="321"/>
      <c r="MH122" s="321"/>
      <c r="MI122" s="321"/>
      <c r="MJ122" s="321"/>
      <c r="MK122" s="321"/>
      <c r="ML122" s="321"/>
      <c r="MM122" s="321"/>
      <c r="MN122" s="321"/>
      <c r="MO122" s="321"/>
      <c r="MP122" s="321"/>
      <c r="MQ122" s="321"/>
      <c r="MR122" s="321"/>
      <c r="MS122" s="321"/>
      <c r="MT122" s="321"/>
      <c r="MU122" s="321"/>
      <c r="MV122" s="321"/>
      <c r="MW122" s="321"/>
      <c r="MX122" s="321"/>
      <c r="MY122" s="321"/>
      <c r="MZ122" s="322"/>
      <c r="NA122" s="311"/>
      <c r="NB122" s="312"/>
      <c r="NC122" s="312"/>
      <c r="ND122" s="312"/>
      <c r="NE122" s="313"/>
      <c r="QO122" s="229"/>
      <c r="QP122" s="229"/>
      <c r="QQ122" s="230"/>
      <c r="QR122" s="231"/>
    </row>
    <row r="123" spans="3:465" ht="5.0999999999999996" customHeight="1" x14ac:dyDescent="0.25">
      <c r="C123" s="226"/>
      <c r="D123" s="227"/>
      <c r="E123" s="229"/>
      <c r="BA123" s="229"/>
      <c r="BB123" s="229"/>
      <c r="BC123" s="229"/>
      <c r="BD123" s="229"/>
      <c r="BE123" s="229"/>
      <c r="BF123" s="229"/>
      <c r="BG123" s="229"/>
      <c r="BH123" s="229"/>
      <c r="BI123" s="229"/>
      <c r="BJ123" s="229"/>
      <c r="BK123" s="229"/>
      <c r="BL123" s="229"/>
      <c r="BM123" s="229"/>
      <c r="BN123" s="229"/>
      <c r="BO123" s="229"/>
      <c r="BP123" s="229"/>
      <c r="BQ123" s="229"/>
      <c r="BR123" s="229"/>
      <c r="BS123" s="229"/>
      <c r="BT123" s="229"/>
      <c r="BU123" s="229"/>
      <c r="BV123" s="229"/>
      <c r="BW123" s="229"/>
      <c r="BX123" s="229"/>
      <c r="BY123" s="229"/>
      <c r="BZ123" s="229"/>
      <c r="CA123" s="229"/>
      <c r="CB123" s="229"/>
      <c r="CC123" s="229"/>
      <c r="CD123" s="229"/>
      <c r="CE123" s="229"/>
      <c r="CF123" s="229"/>
      <c r="CG123" s="229"/>
      <c r="CH123" s="229"/>
      <c r="CI123" s="229"/>
      <c r="CJ123" s="229"/>
      <c r="CK123" s="229"/>
      <c r="CL123" s="229"/>
      <c r="CM123" s="229"/>
      <c r="CN123" s="229"/>
      <c r="CO123" s="229"/>
      <c r="CP123" s="229"/>
      <c r="CQ123" s="229"/>
      <c r="CR123" s="229"/>
      <c r="CS123" s="229"/>
      <c r="CT123" s="229"/>
      <c r="CU123" s="229"/>
      <c r="ED123" s="234"/>
      <c r="EE123" s="229"/>
      <c r="EF123" s="229"/>
      <c r="FN123" s="229"/>
      <c r="FO123" s="229"/>
      <c r="FP123" s="229"/>
      <c r="FQ123" s="229"/>
      <c r="FR123" s="229"/>
      <c r="FS123" s="229"/>
      <c r="FT123" s="229"/>
      <c r="FU123" s="229"/>
      <c r="FV123" s="229"/>
      <c r="FW123" s="229"/>
      <c r="FX123" s="229"/>
      <c r="FY123" s="229"/>
      <c r="FZ123" s="229"/>
      <c r="GA123" s="229"/>
      <c r="GB123" s="229"/>
      <c r="GC123" s="229"/>
      <c r="GD123" s="229"/>
      <c r="GE123" s="229"/>
      <c r="GF123" s="229"/>
      <c r="GG123" s="229"/>
      <c r="GH123" s="229"/>
      <c r="GI123" s="229"/>
      <c r="GJ123" s="229"/>
      <c r="GK123" s="229"/>
      <c r="GL123" s="229"/>
      <c r="GM123" s="229"/>
      <c r="GN123" s="229"/>
      <c r="GO123" s="229"/>
      <c r="GP123" s="229"/>
      <c r="GQ123" s="229"/>
      <c r="GR123" s="229"/>
      <c r="GS123" s="229"/>
      <c r="GT123" s="229"/>
      <c r="GU123" s="229"/>
      <c r="GV123" s="229"/>
      <c r="GW123" s="229"/>
      <c r="GX123" s="229"/>
      <c r="GY123" s="229"/>
      <c r="GZ123" s="229"/>
      <c r="HA123" s="229"/>
      <c r="HB123" s="229"/>
      <c r="HC123" s="229"/>
      <c r="HD123" s="229"/>
      <c r="HE123" s="229"/>
      <c r="HF123" s="229"/>
      <c r="HG123" s="229"/>
      <c r="HH123" s="229"/>
      <c r="HI123" s="229"/>
      <c r="HJ123" s="229"/>
      <c r="HK123" s="229"/>
      <c r="HL123" s="229"/>
      <c r="HM123" s="229"/>
      <c r="HN123" s="229"/>
      <c r="HO123" s="229"/>
      <c r="HP123" s="229"/>
      <c r="HQ123" s="229"/>
      <c r="HR123" s="229"/>
      <c r="HS123" s="229"/>
      <c r="HT123" s="229"/>
      <c r="HU123" s="229"/>
      <c r="HV123" s="229"/>
      <c r="HW123" s="229"/>
      <c r="HX123" s="229"/>
      <c r="HY123" s="229"/>
      <c r="HZ123" s="229"/>
      <c r="IA123" s="229"/>
      <c r="IB123" s="229"/>
      <c r="IC123" s="229"/>
      <c r="ID123" s="229"/>
      <c r="IE123" s="229"/>
      <c r="IF123" s="229"/>
      <c r="IG123" s="229"/>
      <c r="IH123" s="229"/>
      <c r="II123" s="229"/>
      <c r="IJ123" s="229"/>
      <c r="IK123" s="229"/>
      <c r="IL123" s="229"/>
      <c r="IM123" s="229"/>
      <c r="JA123" s="229"/>
      <c r="JB123" s="229"/>
      <c r="JC123" s="229"/>
      <c r="JK123" s="311"/>
      <c r="JL123" s="312"/>
      <c r="JM123" s="312"/>
      <c r="JN123" s="312"/>
      <c r="JO123" s="312"/>
      <c r="JP123" s="312"/>
      <c r="JQ123" s="312"/>
      <c r="JR123" s="312"/>
      <c r="JS123" s="312"/>
      <c r="JT123" s="312"/>
      <c r="JU123" s="312"/>
      <c r="JV123" s="312"/>
      <c r="JW123" s="312"/>
      <c r="JX123" s="312"/>
      <c r="JY123" s="312"/>
      <c r="JZ123" s="312"/>
      <c r="KA123" s="312"/>
      <c r="KB123" s="312"/>
      <c r="KC123" s="312"/>
      <c r="KD123" s="312"/>
      <c r="KE123" s="312"/>
      <c r="KF123" s="312"/>
      <c r="KG123" s="312"/>
      <c r="KH123" s="312"/>
      <c r="KI123" s="312"/>
      <c r="KJ123" s="312"/>
      <c r="KK123" s="312"/>
      <c r="KL123" s="312"/>
      <c r="KM123" s="312"/>
      <c r="KN123" s="312"/>
      <c r="KO123" s="312"/>
      <c r="KP123" s="312"/>
      <c r="KQ123" s="312"/>
      <c r="KR123" s="312"/>
      <c r="KS123" s="312"/>
      <c r="KT123" s="312"/>
      <c r="KU123" s="312"/>
      <c r="KV123" s="312"/>
      <c r="KW123" s="312"/>
      <c r="KX123" s="313"/>
      <c r="KY123" s="311"/>
      <c r="KZ123" s="312"/>
      <c r="LA123" s="312"/>
      <c r="LB123" s="312"/>
      <c r="LC123" s="313"/>
      <c r="LM123" s="320"/>
      <c r="LN123" s="321"/>
      <c r="LO123" s="321"/>
      <c r="LP123" s="321"/>
      <c r="LQ123" s="321"/>
      <c r="LR123" s="321"/>
      <c r="LS123" s="321"/>
      <c r="LT123" s="321"/>
      <c r="LU123" s="321"/>
      <c r="LV123" s="321"/>
      <c r="LW123" s="321"/>
      <c r="LX123" s="321"/>
      <c r="LY123" s="321"/>
      <c r="LZ123" s="321"/>
      <c r="MA123" s="321"/>
      <c r="MB123" s="321"/>
      <c r="MC123" s="321"/>
      <c r="MD123" s="321"/>
      <c r="ME123" s="321"/>
      <c r="MF123" s="321"/>
      <c r="MG123" s="321"/>
      <c r="MH123" s="321"/>
      <c r="MI123" s="321"/>
      <c r="MJ123" s="321"/>
      <c r="MK123" s="321"/>
      <c r="ML123" s="321"/>
      <c r="MM123" s="321"/>
      <c r="MN123" s="321"/>
      <c r="MO123" s="321"/>
      <c r="MP123" s="321"/>
      <c r="MQ123" s="321"/>
      <c r="MR123" s="321"/>
      <c r="MS123" s="321"/>
      <c r="MT123" s="321"/>
      <c r="MU123" s="321"/>
      <c r="MV123" s="321"/>
      <c r="MW123" s="321"/>
      <c r="MX123" s="321"/>
      <c r="MY123" s="321"/>
      <c r="MZ123" s="322"/>
      <c r="NA123" s="311"/>
      <c r="NB123" s="312"/>
      <c r="NC123" s="312"/>
      <c r="ND123" s="312"/>
      <c r="NE123" s="313"/>
      <c r="QO123" s="229"/>
      <c r="QP123" s="229"/>
      <c r="QQ123" s="230"/>
      <c r="QR123" s="231"/>
    </row>
    <row r="124" spans="3:465" ht="5.0999999999999996" customHeight="1" x14ac:dyDescent="0.25">
      <c r="C124" s="226"/>
      <c r="D124" s="227"/>
      <c r="E124" s="229"/>
      <c r="BA124" s="229"/>
      <c r="BB124" s="229"/>
      <c r="BC124" s="229"/>
      <c r="BD124" s="229"/>
      <c r="BE124" s="229"/>
      <c r="BF124" s="229"/>
      <c r="BG124" s="229"/>
      <c r="BH124" s="229"/>
      <c r="BI124" s="229"/>
      <c r="BJ124" s="229"/>
      <c r="BK124" s="229"/>
      <c r="BL124" s="229"/>
      <c r="BM124" s="229"/>
      <c r="BN124" s="229"/>
      <c r="BO124" s="229"/>
      <c r="BP124" s="229"/>
      <c r="BQ124" s="229"/>
      <c r="BR124" s="229"/>
      <c r="BS124" s="229"/>
      <c r="BT124" s="229"/>
      <c r="BU124" s="229"/>
      <c r="BV124" s="229"/>
      <c r="BW124" s="229"/>
      <c r="BX124" s="229"/>
      <c r="BY124" s="229"/>
      <c r="BZ124" s="229"/>
      <c r="CA124" s="229"/>
      <c r="CB124" s="229"/>
      <c r="CC124" s="229"/>
      <c r="CD124" s="229"/>
      <c r="CE124" s="229"/>
      <c r="CF124" s="229"/>
      <c r="CG124" s="229"/>
      <c r="CH124" s="229"/>
      <c r="CI124" s="229"/>
      <c r="CJ124" s="229"/>
      <c r="CK124" s="229"/>
      <c r="CL124" s="229"/>
      <c r="CM124" s="229"/>
      <c r="CN124" s="229"/>
      <c r="CO124" s="229"/>
      <c r="CP124" s="229"/>
      <c r="CQ124" s="229"/>
      <c r="CR124" s="229"/>
      <c r="CS124" s="229"/>
      <c r="CT124" s="229"/>
      <c r="CU124" s="229"/>
      <c r="ED124" s="234"/>
      <c r="EE124" s="229"/>
      <c r="EF124" s="229"/>
      <c r="FN124" s="229"/>
      <c r="FO124" s="229"/>
      <c r="FP124" s="229"/>
      <c r="FQ124" s="229"/>
      <c r="FR124" s="229"/>
      <c r="FS124" s="229"/>
      <c r="FT124" s="229"/>
      <c r="FU124" s="229"/>
      <c r="FV124" s="229"/>
      <c r="FW124" s="229"/>
      <c r="FX124" s="229"/>
      <c r="FY124" s="229"/>
      <c r="FZ124" s="229"/>
      <c r="GA124" s="229"/>
      <c r="GB124" s="229"/>
      <c r="GC124" s="229"/>
      <c r="GD124" s="229"/>
      <c r="GE124" s="229"/>
      <c r="GF124" s="229"/>
      <c r="GG124" s="229"/>
      <c r="GH124" s="229"/>
      <c r="GI124" s="229"/>
      <c r="GJ124" s="229"/>
      <c r="GK124" s="229"/>
      <c r="GL124" s="229"/>
      <c r="GM124" s="229"/>
      <c r="GN124" s="229"/>
      <c r="GO124" s="229"/>
      <c r="GP124" s="229"/>
      <c r="GQ124" s="229"/>
      <c r="GR124" s="229"/>
      <c r="GS124" s="229"/>
      <c r="GT124" s="229"/>
      <c r="GU124" s="229"/>
      <c r="GV124" s="229"/>
      <c r="GW124" s="229"/>
      <c r="GX124" s="229"/>
      <c r="GY124" s="229"/>
      <c r="GZ124" s="229"/>
      <c r="HA124" s="229"/>
      <c r="HB124" s="229"/>
      <c r="HC124" s="229"/>
      <c r="HD124" s="229"/>
      <c r="HE124" s="229"/>
      <c r="HF124" s="229"/>
      <c r="HG124" s="229"/>
      <c r="HH124" s="229"/>
      <c r="HI124" s="229"/>
      <c r="HJ124" s="229"/>
      <c r="HK124" s="229"/>
      <c r="HL124" s="229"/>
      <c r="HM124" s="229"/>
      <c r="HN124" s="229"/>
      <c r="HO124" s="229"/>
      <c r="HP124" s="229"/>
      <c r="HQ124" s="229"/>
      <c r="HR124" s="229"/>
      <c r="HS124" s="229"/>
      <c r="HT124" s="229"/>
      <c r="HU124" s="229"/>
      <c r="HV124" s="229"/>
      <c r="HW124" s="229"/>
      <c r="HX124" s="229"/>
      <c r="HY124" s="229"/>
      <c r="HZ124" s="229"/>
      <c r="IA124" s="229"/>
      <c r="IB124" s="229"/>
      <c r="IC124" s="229"/>
      <c r="ID124" s="229"/>
      <c r="IE124" s="229"/>
      <c r="IF124" s="229"/>
      <c r="IG124" s="229"/>
      <c r="IH124" s="229"/>
      <c r="II124" s="229"/>
      <c r="IJ124" s="229"/>
      <c r="IK124" s="229"/>
      <c r="IL124" s="229"/>
      <c r="IM124" s="229"/>
      <c r="JA124" s="229"/>
      <c r="JB124" s="229"/>
      <c r="JC124" s="229"/>
      <c r="JK124" s="314"/>
      <c r="JL124" s="315"/>
      <c r="JM124" s="315"/>
      <c r="JN124" s="315"/>
      <c r="JO124" s="315"/>
      <c r="JP124" s="315"/>
      <c r="JQ124" s="315"/>
      <c r="JR124" s="315"/>
      <c r="JS124" s="315"/>
      <c r="JT124" s="315"/>
      <c r="JU124" s="315"/>
      <c r="JV124" s="315"/>
      <c r="JW124" s="315"/>
      <c r="JX124" s="315"/>
      <c r="JY124" s="315"/>
      <c r="JZ124" s="315"/>
      <c r="KA124" s="315"/>
      <c r="KB124" s="315"/>
      <c r="KC124" s="315"/>
      <c r="KD124" s="315"/>
      <c r="KE124" s="315"/>
      <c r="KF124" s="315"/>
      <c r="KG124" s="315"/>
      <c r="KH124" s="315"/>
      <c r="KI124" s="315"/>
      <c r="KJ124" s="315"/>
      <c r="KK124" s="315"/>
      <c r="KL124" s="315"/>
      <c r="KM124" s="315"/>
      <c r="KN124" s="315"/>
      <c r="KO124" s="315"/>
      <c r="KP124" s="315"/>
      <c r="KQ124" s="315"/>
      <c r="KR124" s="315"/>
      <c r="KS124" s="315"/>
      <c r="KT124" s="315"/>
      <c r="KU124" s="315"/>
      <c r="KV124" s="315"/>
      <c r="KW124" s="315"/>
      <c r="KX124" s="316"/>
      <c r="KY124" s="314"/>
      <c r="KZ124" s="315"/>
      <c r="LA124" s="315"/>
      <c r="LB124" s="315"/>
      <c r="LC124" s="316"/>
      <c r="LM124" s="323"/>
      <c r="LN124" s="324"/>
      <c r="LO124" s="324"/>
      <c r="LP124" s="324"/>
      <c r="LQ124" s="324"/>
      <c r="LR124" s="324"/>
      <c r="LS124" s="324"/>
      <c r="LT124" s="324"/>
      <c r="LU124" s="324"/>
      <c r="LV124" s="324"/>
      <c r="LW124" s="324"/>
      <c r="LX124" s="324"/>
      <c r="LY124" s="324"/>
      <c r="LZ124" s="324"/>
      <c r="MA124" s="324"/>
      <c r="MB124" s="324"/>
      <c r="MC124" s="324"/>
      <c r="MD124" s="324"/>
      <c r="ME124" s="324"/>
      <c r="MF124" s="324"/>
      <c r="MG124" s="324"/>
      <c r="MH124" s="324"/>
      <c r="MI124" s="324"/>
      <c r="MJ124" s="324"/>
      <c r="MK124" s="324"/>
      <c r="ML124" s="324"/>
      <c r="MM124" s="324"/>
      <c r="MN124" s="324"/>
      <c r="MO124" s="324"/>
      <c r="MP124" s="324"/>
      <c r="MQ124" s="324"/>
      <c r="MR124" s="324"/>
      <c r="MS124" s="324"/>
      <c r="MT124" s="324"/>
      <c r="MU124" s="324"/>
      <c r="MV124" s="324"/>
      <c r="MW124" s="324"/>
      <c r="MX124" s="324"/>
      <c r="MY124" s="324"/>
      <c r="MZ124" s="325"/>
      <c r="NA124" s="314"/>
      <c r="NB124" s="315"/>
      <c r="NC124" s="315"/>
      <c r="ND124" s="315"/>
      <c r="NE124" s="316"/>
      <c r="QO124" s="229"/>
      <c r="QP124" s="229"/>
      <c r="QQ124" s="230"/>
      <c r="QR124" s="231"/>
      <c r="QS124" s="249"/>
      <c r="QT124" s="249"/>
      <c r="QU124" s="249"/>
      <c r="QV124" s="249"/>
      <c r="QW124" s="250"/>
    </row>
    <row r="125" spans="3:465" ht="5.0999999999999996" customHeight="1" x14ac:dyDescent="0.25">
      <c r="C125" s="226"/>
      <c r="D125" s="227"/>
      <c r="E125" s="229"/>
      <c r="BA125" s="229"/>
      <c r="BB125" s="229"/>
      <c r="BC125" s="229"/>
      <c r="BD125" s="229"/>
      <c r="BE125" s="229"/>
      <c r="BF125" s="229"/>
      <c r="BG125" s="229"/>
      <c r="BH125" s="229"/>
      <c r="BI125" s="229"/>
      <c r="BJ125" s="229"/>
      <c r="BK125" s="229"/>
      <c r="BL125" s="229"/>
      <c r="BM125" s="229"/>
      <c r="BN125" s="229"/>
      <c r="BO125" s="229"/>
      <c r="BP125" s="229"/>
      <c r="BQ125" s="229"/>
      <c r="BR125" s="229"/>
      <c r="BS125" s="229"/>
      <c r="BT125" s="229"/>
      <c r="BU125" s="229"/>
      <c r="BV125" s="229"/>
      <c r="BW125" s="229"/>
      <c r="BX125" s="229"/>
      <c r="BY125" s="229"/>
      <c r="BZ125" s="229"/>
      <c r="CA125" s="229"/>
      <c r="CB125" s="229"/>
      <c r="CC125" s="229"/>
      <c r="CD125" s="229"/>
      <c r="CE125" s="229"/>
      <c r="CF125" s="229"/>
      <c r="CG125" s="229"/>
      <c r="CH125" s="229"/>
      <c r="CI125" s="229"/>
      <c r="CJ125" s="229"/>
      <c r="CK125" s="229"/>
      <c r="CL125" s="229"/>
      <c r="CM125" s="229"/>
      <c r="CN125" s="229"/>
      <c r="CO125" s="229"/>
      <c r="CP125" s="229"/>
      <c r="CQ125" s="229"/>
      <c r="CR125" s="229"/>
      <c r="CS125" s="229"/>
      <c r="CT125" s="229"/>
      <c r="CU125" s="229"/>
      <c r="DU125" s="229"/>
      <c r="DV125" s="229"/>
      <c r="DW125" s="229"/>
      <c r="DX125" s="229"/>
      <c r="DY125" s="229"/>
      <c r="ED125" s="234"/>
      <c r="EE125" s="229"/>
      <c r="EF125" s="229"/>
      <c r="FN125" s="229"/>
      <c r="FO125" s="229"/>
      <c r="FP125" s="229"/>
      <c r="FQ125" s="229"/>
      <c r="FR125" s="229"/>
      <c r="FS125" s="229"/>
      <c r="FT125" s="229"/>
      <c r="FU125" s="229"/>
      <c r="FV125" s="229"/>
      <c r="FW125" s="229"/>
      <c r="FX125" s="229"/>
      <c r="FY125" s="229"/>
      <c r="FZ125" s="229"/>
      <c r="GA125" s="229"/>
      <c r="GB125" s="229"/>
      <c r="GC125" s="229"/>
      <c r="GD125" s="229"/>
      <c r="GE125" s="229"/>
      <c r="GF125" s="229"/>
      <c r="GG125" s="229"/>
      <c r="GH125" s="229"/>
      <c r="GI125" s="229"/>
      <c r="GJ125" s="229"/>
      <c r="GK125" s="229"/>
      <c r="GL125" s="229"/>
      <c r="GM125" s="229"/>
      <c r="GN125" s="229"/>
      <c r="GO125" s="229"/>
      <c r="GP125" s="229"/>
      <c r="GQ125" s="229"/>
      <c r="GR125" s="229"/>
      <c r="GS125" s="229"/>
      <c r="GT125" s="229"/>
      <c r="GU125" s="229"/>
      <c r="GV125" s="229"/>
      <c r="GW125" s="229"/>
      <c r="GX125" s="229"/>
      <c r="GY125" s="229"/>
      <c r="GZ125" s="229"/>
      <c r="HA125" s="229"/>
      <c r="HB125" s="229"/>
      <c r="HC125" s="229"/>
      <c r="HD125" s="229"/>
      <c r="HE125" s="229"/>
      <c r="HF125" s="229"/>
      <c r="HG125" s="229"/>
      <c r="HH125" s="229"/>
      <c r="HI125" s="229"/>
      <c r="HJ125" s="229"/>
      <c r="HK125" s="229"/>
      <c r="HL125" s="229"/>
      <c r="HM125" s="229"/>
      <c r="HN125" s="229"/>
      <c r="HO125" s="229"/>
      <c r="HP125" s="229"/>
      <c r="HQ125" s="229"/>
      <c r="HR125" s="229"/>
      <c r="HS125" s="229"/>
      <c r="HT125" s="229"/>
      <c r="HU125" s="229"/>
      <c r="HV125" s="229"/>
      <c r="HW125" s="229"/>
      <c r="HX125" s="229"/>
      <c r="HY125" s="229"/>
      <c r="HZ125" s="229"/>
      <c r="IA125" s="229"/>
      <c r="IB125" s="229"/>
      <c r="IC125" s="229"/>
      <c r="ID125" s="229"/>
      <c r="IE125" s="229"/>
      <c r="IF125" s="229"/>
      <c r="IG125" s="229"/>
      <c r="IH125" s="229"/>
      <c r="II125" s="229"/>
      <c r="IJ125" s="229"/>
      <c r="IK125" s="229"/>
      <c r="IL125" s="229"/>
      <c r="IM125" s="229"/>
      <c r="JA125" s="229"/>
      <c r="JB125" s="229"/>
      <c r="JC125" s="229"/>
      <c r="JK125" s="362" t="s">
        <v>428</v>
      </c>
      <c r="JL125" s="363"/>
      <c r="JM125" s="363"/>
      <c r="JN125" s="363"/>
      <c r="JO125" s="363"/>
      <c r="JP125" s="363"/>
      <c r="JQ125" s="363"/>
      <c r="JR125" s="363"/>
      <c r="JS125" s="363"/>
      <c r="JT125" s="363"/>
      <c r="JU125" s="363"/>
      <c r="JV125" s="363"/>
      <c r="JW125" s="363"/>
      <c r="JX125" s="363"/>
      <c r="JY125" s="363"/>
      <c r="JZ125" s="363"/>
      <c r="KA125" s="363"/>
      <c r="KB125" s="363"/>
      <c r="KC125" s="363"/>
      <c r="KD125" s="363"/>
      <c r="KE125" s="363"/>
      <c r="KF125" s="363"/>
      <c r="KG125" s="363"/>
      <c r="KH125" s="363"/>
      <c r="KI125" s="363"/>
      <c r="KJ125" s="363"/>
      <c r="KK125" s="363"/>
      <c r="KL125" s="363"/>
      <c r="KM125" s="363"/>
      <c r="KN125" s="363"/>
      <c r="KO125" s="363"/>
      <c r="KP125" s="363"/>
      <c r="KQ125" s="363"/>
      <c r="KR125" s="363"/>
      <c r="KS125" s="363"/>
      <c r="KT125" s="363"/>
      <c r="KU125" s="363"/>
      <c r="KV125" s="363"/>
      <c r="KW125" s="363"/>
      <c r="KX125" s="364"/>
      <c r="KY125" s="308">
        <v>2</v>
      </c>
      <c r="KZ125" s="309"/>
      <c r="LA125" s="309"/>
      <c r="LB125" s="309"/>
      <c r="LC125" s="310"/>
      <c r="LM125" s="317" t="s">
        <v>429</v>
      </c>
      <c r="LN125" s="318"/>
      <c r="LO125" s="318"/>
      <c r="LP125" s="318"/>
      <c r="LQ125" s="318"/>
      <c r="LR125" s="318"/>
      <c r="LS125" s="318"/>
      <c r="LT125" s="318"/>
      <c r="LU125" s="318"/>
      <c r="LV125" s="318"/>
      <c r="LW125" s="318"/>
      <c r="LX125" s="318"/>
      <c r="LY125" s="318"/>
      <c r="LZ125" s="318"/>
      <c r="MA125" s="318"/>
      <c r="MB125" s="318"/>
      <c r="MC125" s="318"/>
      <c r="MD125" s="318"/>
      <c r="ME125" s="318"/>
      <c r="MF125" s="318"/>
      <c r="MG125" s="318"/>
      <c r="MH125" s="318"/>
      <c r="MI125" s="318"/>
      <c r="MJ125" s="318"/>
      <c r="MK125" s="318"/>
      <c r="ML125" s="318"/>
      <c r="MM125" s="318"/>
      <c r="MN125" s="318"/>
      <c r="MO125" s="318"/>
      <c r="MP125" s="318"/>
      <c r="MQ125" s="318"/>
      <c r="MR125" s="318"/>
      <c r="MS125" s="318"/>
      <c r="MT125" s="318"/>
      <c r="MU125" s="318"/>
      <c r="MV125" s="318"/>
      <c r="MW125" s="318"/>
      <c r="MX125" s="318"/>
      <c r="MY125" s="318"/>
      <c r="MZ125" s="319"/>
      <c r="NA125" s="308">
        <v>1</v>
      </c>
      <c r="NB125" s="309"/>
      <c r="NC125" s="309"/>
      <c r="ND125" s="309"/>
      <c r="NE125" s="310"/>
      <c r="QO125" s="229"/>
      <c r="QP125" s="229"/>
      <c r="QQ125" s="230"/>
      <c r="QR125" s="231"/>
      <c r="QS125" s="249"/>
      <c r="QT125" s="249"/>
      <c r="QU125" s="249"/>
      <c r="QV125" s="249"/>
      <c r="QW125" s="250"/>
    </row>
    <row r="126" spans="3:465" ht="5.0999999999999996" customHeight="1" thickBot="1" x14ac:dyDescent="0.3">
      <c r="C126" s="226"/>
      <c r="D126" s="227"/>
      <c r="E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229"/>
      <c r="AQ126" s="229"/>
      <c r="AR126" s="229"/>
      <c r="AS126" s="229"/>
      <c r="AT126" s="229"/>
      <c r="AU126" s="229"/>
      <c r="AV126" s="229"/>
      <c r="AW126" s="229"/>
      <c r="AX126" s="229"/>
      <c r="AY126" s="229"/>
      <c r="AZ126" s="229"/>
      <c r="BA126" s="229"/>
      <c r="BB126" s="229"/>
      <c r="BC126" s="229"/>
      <c r="BD126" s="229"/>
      <c r="BE126" s="229"/>
      <c r="BF126" s="229"/>
      <c r="BG126" s="229"/>
      <c r="BH126" s="229"/>
      <c r="BI126" s="229"/>
      <c r="BJ126" s="229"/>
      <c r="BK126" s="229"/>
      <c r="BL126" s="229"/>
      <c r="BM126" s="229"/>
      <c r="BN126" s="229"/>
      <c r="BO126" s="229"/>
      <c r="BP126" s="229"/>
      <c r="BQ126" s="229"/>
      <c r="BR126" s="229"/>
      <c r="BS126" s="229"/>
      <c r="BT126" s="229"/>
      <c r="BU126" s="229"/>
      <c r="BV126" s="229"/>
      <c r="BW126" s="229"/>
      <c r="BX126" s="229"/>
      <c r="BY126" s="229"/>
      <c r="BZ126" s="229"/>
      <c r="CA126" s="229"/>
      <c r="CB126" s="229"/>
      <c r="CC126" s="229"/>
      <c r="CD126" s="229"/>
      <c r="CE126" s="229"/>
      <c r="CF126" s="229"/>
      <c r="CG126" s="229"/>
      <c r="CH126" s="229"/>
      <c r="CI126" s="229"/>
      <c r="CJ126" s="229"/>
      <c r="CK126" s="229"/>
      <c r="CL126" s="229"/>
      <c r="CM126" s="229"/>
      <c r="CN126" s="229"/>
      <c r="CO126" s="229"/>
      <c r="CP126" s="229"/>
      <c r="CQ126" s="229"/>
      <c r="CR126" s="229"/>
      <c r="CS126" s="229"/>
      <c r="CT126" s="229"/>
      <c r="CU126" s="229"/>
      <c r="CV126" s="229"/>
      <c r="CW126" s="229"/>
      <c r="CX126" s="229"/>
      <c r="CY126" s="229"/>
      <c r="CZ126" s="229"/>
      <c r="DA126" s="229"/>
      <c r="DB126" s="229"/>
      <c r="DC126" s="229"/>
      <c r="DD126" s="229"/>
      <c r="DE126" s="229"/>
      <c r="DF126" s="229"/>
      <c r="DG126" s="229"/>
      <c r="DH126" s="229"/>
      <c r="DI126" s="229"/>
      <c r="DJ126" s="229"/>
      <c r="DK126" s="229"/>
      <c r="DL126" s="229"/>
      <c r="DM126" s="229"/>
      <c r="DN126" s="229"/>
      <c r="DO126" s="229"/>
      <c r="DP126" s="229"/>
      <c r="DQ126" s="229"/>
      <c r="DR126" s="229"/>
      <c r="DS126" s="229"/>
      <c r="DT126" s="229"/>
      <c r="DU126" s="229"/>
      <c r="DV126" s="229"/>
      <c r="DW126" s="229"/>
      <c r="DX126" s="229"/>
      <c r="DY126" s="229"/>
      <c r="DZ126" s="229"/>
      <c r="EA126" s="229"/>
      <c r="EB126" s="229"/>
      <c r="EC126" s="229"/>
      <c r="ED126" s="234"/>
      <c r="EE126" s="229"/>
      <c r="EF126" s="229"/>
      <c r="EG126" s="229"/>
      <c r="EH126" s="229"/>
      <c r="EI126" s="236"/>
      <c r="EJ126" s="236"/>
      <c r="EK126" s="236"/>
      <c r="EL126" s="236"/>
      <c r="EM126" s="236"/>
      <c r="EN126" s="236"/>
      <c r="EO126" s="236"/>
      <c r="EP126" s="236"/>
      <c r="EQ126" s="236"/>
      <c r="ER126" s="236"/>
      <c r="ES126" s="236"/>
      <c r="ET126" s="236"/>
      <c r="EU126" s="236"/>
      <c r="EV126" s="236"/>
      <c r="EW126" s="236"/>
      <c r="EX126" s="236"/>
      <c r="EY126" s="236"/>
      <c r="EZ126" s="236"/>
      <c r="FA126" s="236"/>
      <c r="FB126" s="236"/>
      <c r="FC126" s="236"/>
      <c r="FD126" s="236"/>
      <c r="FE126" s="236"/>
      <c r="FF126" s="229"/>
      <c r="FG126" s="229"/>
      <c r="FH126" s="229"/>
      <c r="FI126" s="229"/>
      <c r="FJ126" s="229"/>
      <c r="FK126" s="229"/>
      <c r="FL126" s="229"/>
      <c r="FM126" s="229"/>
      <c r="FN126" s="229"/>
      <c r="FO126" s="229"/>
      <c r="FP126" s="229"/>
      <c r="FQ126" s="229"/>
      <c r="FR126" s="229"/>
      <c r="FS126" s="229"/>
      <c r="FT126" s="229"/>
      <c r="FU126" s="229"/>
      <c r="FV126" s="229"/>
      <c r="FW126" s="229"/>
      <c r="FX126" s="229"/>
      <c r="FY126" s="229"/>
      <c r="FZ126" s="229"/>
      <c r="GA126" s="229"/>
      <c r="GB126" s="229"/>
      <c r="GC126" s="229"/>
      <c r="GD126" s="229"/>
      <c r="GE126" s="229"/>
      <c r="GF126" s="229"/>
      <c r="GG126" s="229"/>
      <c r="GH126" s="229"/>
      <c r="GI126" s="229"/>
      <c r="GJ126" s="229"/>
      <c r="GK126" s="229"/>
      <c r="GL126" s="229"/>
      <c r="GM126" s="229"/>
      <c r="GN126" s="229"/>
      <c r="GO126" s="229"/>
      <c r="GP126" s="229"/>
      <c r="GQ126" s="229"/>
      <c r="GR126" s="229"/>
      <c r="GS126" s="229"/>
      <c r="GT126" s="229"/>
      <c r="GU126" s="229"/>
      <c r="GV126" s="229"/>
      <c r="GW126" s="229"/>
      <c r="GX126" s="229"/>
      <c r="GY126" s="229"/>
      <c r="GZ126" s="229"/>
      <c r="HA126" s="229"/>
      <c r="HB126" s="229"/>
      <c r="HC126" s="229"/>
      <c r="HD126" s="229"/>
      <c r="HE126" s="229"/>
      <c r="HF126" s="229"/>
      <c r="HG126" s="229"/>
      <c r="HH126" s="229"/>
      <c r="HI126" s="229"/>
      <c r="HJ126" s="229"/>
      <c r="HK126" s="229"/>
      <c r="HL126" s="229"/>
      <c r="HM126" s="229"/>
      <c r="HN126" s="229"/>
      <c r="HO126" s="229"/>
      <c r="HP126" s="229"/>
      <c r="HQ126" s="229"/>
      <c r="HR126" s="229"/>
      <c r="HS126" s="229"/>
      <c r="HT126" s="229"/>
      <c r="HU126" s="229"/>
      <c r="HV126" s="229"/>
      <c r="HW126" s="229"/>
      <c r="HX126" s="229"/>
      <c r="HY126" s="229"/>
      <c r="HZ126" s="229"/>
      <c r="IA126" s="229"/>
      <c r="IB126" s="229"/>
      <c r="IC126" s="229"/>
      <c r="ID126" s="229"/>
      <c r="IE126" s="229"/>
      <c r="IF126" s="229"/>
      <c r="IG126" s="229"/>
      <c r="IH126" s="229"/>
      <c r="II126" s="229"/>
      <c r="IJ126" s="229"/>
      <c r="IK126" s="229"/>
      <c r="IL126" s="229"/>
      <c r="IM126" s="229"/>
      <c r="JA126" s="229"/>
      <c r="JB126" s="229"/>
      <c r="JC126" s="229"/>
      <c r="JK126" s="365"/>
      <c r="JL126" s="366"/>
      <c r="JM126" s="366"/>
      <c r="JN126" s="366"/>
      <c r="JO126" s="366"/>
      <c r="JP126" s="366"/>
      <c r="JQ126" s="366"/>
      <c r="JR126" s="366"/>
      <c r="JS126" s="366"/>
      <c r="JT126" s="366"/>
      <c r="JU126" s="366"/>
      <c r="JV126" s="366"/>
      <c r="JW126" s="366"/>
      <c r="JX126" s="366"/>
      <c r="JY126" s="366"/>
      <c r="JZ126" s="366"/>
      <c r="KA126" s="366"/>
      <c r="KB126" s="366"/>
      <c r="KC126" s="366"/>
      <c r="KD126" s="366"/>
      <c r="KE126" s="366"/>
      <c r="KF126" s="366"/>
      <c r="KG126" s="366"/>
      <c r="KH126" s="366"/>
      <c r="KI126" s="366"/>
      <c r="KJ126" s="366"/>
      <c r="KK126" s="366"/>
      <c r="KL126" s="366"/>
      <c r="KM126" s="366"/>
      <c r="KN126" s="366"/>
      <c r="KO126" s="366"/>
      <c r="KP126" s="366"/>
      <c r="KQ126" s="366"/>
      <c r="KR126" s="366"/>
      <c r="KS126" s="366"/>
      <c r="KT126" s="366"/>
      <c r="KU126" s="366"/>
      <c r="KV126" s="366"/>
      <c r="KW126" s="366"/>
      <c r="KX126" s="367"/>
      <c r="KY126" s="311"/>
      <c r="KZ126" s="312"/>
      <c r="LA126" s="312"/>
      <c r="LB126" s="312"/>
      <c r="LC126" s="313"/>
      <c r="LM126" s="320"/>
      <c r="LN126" s="321"/>
      <c r="LO126" s="321"/>
      <c r="LP126" s="321"/>
      <c r="LQ126" s="321"/>
      <c r="LR126" s="321"/>
      <c r="LS126" s="321"/>
      <c r="LT126" s="321"/>
      <c r="LU126" s="321"/>
      <c r="LV126" s="321"/>
      <c r="LW126" s="321"/>
      <c r="LX126" s="321"/>
      <c r="LY126" s="321"/>
      <c r="LZ126" s="321"/>
      <c r="MA126" s="321"/>
      <c r="MB126" s="321"/>
      <c r="MC126" s="321"/>
      <c r="MD126" s="321"/>
      <c r="ME126" s="321"/>
      <c r="MF126" s="321"/>
      <c r="MG126" s="321"/>
      <c r="MH126" s="321"/>
      <c r="MI126" s="321"/>
      <c r="MJ126" s="321"/>
      <c r="MK126" s="321"/>
      <c r="ML126" s="321"/>
      <c r="MM126" s="321"/>
      <c r="MN126" s="321"/>
      <c r="MO126" s="321"/>
      <c r="MP126" s="321"/>
      <c r="MQ126" s="321"/>
      <c r="MR126" s="321"/>
      <c r="MS126" s="321"/>
      <c r="MT126" s="321"/>
      <c r="MU126" s="321"/>
      <c r="MV126" s="321"/>
      <c r="MW126" s="321"/>
      <c r="MX126" s="321"/>
      <c r="MY126" s="321"/>
      <c r="MZ126" s="322"/>
      <c r="NA126" s="311"/>
      <c r="NB126" s="312"/>
      <c r="NC126" s="312"/>
      <c r="ND126" s="312"/>
      <c r="NE126" s="313"/>
      <c r="QO126" s="229"/>
      <c r="QP126" s="229"/>
      <c r="QQ126" s="230"/>
      <c r="QR126" s="231"/>
      <c r="QS126" s="249"/>
      <c r="QT126" s="249"/>
      <c r="QU126" s="249"/>
      <c r="QV126" s="249"/>
      <c r="QW126" s="250"/>
    </row>
    <row r="127" spans="3:465" ht="5.0999999999999996" customHeight="1" x14ac:dyDescent="0.25">
      <c r="C127" s="226"/>
      <c r="D127" s="227"/>
      <c r="E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29"/>
      <c r="AT127" s="229"/>
      <c r="AU127" s="229"/>
      <c r="AV127" s="229"/>
      <c r="AW127" s="229"/>
      <c r="AX127" s="229"/>
      <c r="AY127" s="229"/>
      <c r="AZ127" s="229"/>
      <c r="BA127" s="229"/>
      <c r="BB127" s="229"/>
      <c r="BC127" s="229"/>
      <c r="BD127" s="229"/>
      <c r="BE127" s="229"/>
      <c r="BF127" s="229"/>
      <c r="BG127" s="229"/>
      <c r="BH127" s="229"/>
      <c r="BI127" s="229"/>
      <c r="BJ127" s="229"/>
      <c r="BK127" s="229"/>
      <c r="BL127" s="229"/>
      <c r="BM127" s="229"/>
      <c r="BN127" s="229"/>
      <c r="BO127" s="229"/>
      <c r="BP127" s="229"/>
      <c r="BQ127" s="229"/>
      <c r="BR127" s="229"/>
      <c r="BS127" s="229"/>
      <c r="BT127" s="229"/>
      <c r="BU127" s="229"/>
      <c r="BV127" s="229"/>
      <c r="BW127" s="229"/>
      <c r="BX127" s="229"/>
      <c r="BY127" s="229"/>
      <c r="BZ127" s="229"/>
      <c r="CA127" s="229"/>
      <c r="CB127" s="229"/>
      <c r="CC127" s="238"/>
      <c r="CD127" s="239"/>
      <c r="CE127" s="239"/>
      <c r="CF127" s="239"/>
      <c r="CG127" s="239"/>
      <c r="CH127" s="239"/>
      <c r="CI127" s="239"/>
      <c r="CJ127" s="239"/>
      <c r="CK127" s="239"/>
      <c r="CL127" s="239"/>
      <c r="CM127" s="239"/>
      <c r="CN127" s="239"/>
      <c r="CO127" s="239"/>
      <c r="CP127" s="239"/>
      <c r="CQ127" s="239"/>
      <c r="CR127" s="239"/>
      <c r="CS127" s="239"/>
      <c r="CT127" s="239"/>
      <c r="CU127" s="239"/>
      <c r="CV127" s="239"/>
      <c r="CW127" s="239"/>
      <c r="CX127" s="239"/>
      <c r="CY127" s="239"/>
      <c r="CZ127" s="239"/>
      <c r="DA127" s="239"/>
      <c r="DB127" s="239"/>
      <c r="DC127" s="239"/>
      <c r="DD127" s="239"/>
      <c r="DE127" s="239"/>
      <c r="DF127" s="239"/>
      <c r="DG127" s="239"/>
      <c r="DH127" s="239"/>
      <c r="DI127" s="239"/>
      <c r="DJ127" s="239"/>
      <c r="DK127" s="239"/>
      <c r="DL127" s="239"/>
      <c r="DM127" s="239"/>
      <c r="DN127" s="239"/>
      <c r="DO127" s="239"/>
      <c r="DP127" s="239"/>
      <c r="DQ127" s="239"/>
      <c r="DR127" s="239"/>
      <c r="DS127" s="239"/>
      <c r="DT127" s="239"/>
      <c r="DU127" s="239"/>
      <c r="DV127" s="239"/>
      <c r="DW127" s="239"/>
      <c r="DX127" s="239"/>
      <c r="DY127" s="239"/>
      <c r="DZ127" s="239"/>
      <c r="EA127" s="239"/>
      <c r="EB127" s="239"/>
      <c r="EC127" s="239"/>
      <c r="ED127" s="238"/>
      <c r="EE127" s="239"/>
      <c r="EF127" s="239"/>
      <c r="EG127" s="239"/>
      <c r="EH127" s="239"/>
      <c r="EI127" s="229"/>
      <c r="EJ127" s="229"/>
      <c r="EK127" s="229"/>
      <c r="EL127" s="229"/>
      <c r="EM127" s="229"/>
      <c r="EN127" s="229"/>
      <c r="EO127" s="229"/>
      <c r="EP127" s="229"/>
      <c r="EQ127" s="229"/>
      <c r="ER127" s="229"/>
      <c r="ES127" s="229"/>
      <c r="ET127" s="229"/>
      <c r="EU127" s="229"/>
      <c r="EV127" s="229"/>
      <c r="EW127" s="229"/>
      <c r="FF127" s="239"/>
      <c r="FG127" s="239"/>
      <c r="FH127" s="239"/>
      <c r="FI127" s="239"/>
      <c r="FJ127" s="239"/>
      <c r="FK127" s="239"/>
      <c r="FL127" s="239"/>
      <c r="FM127" s="239"/>
      <c r="FN127" s="239"/>
      <c r="FO127" s="239"/>
      <c r="FP127" s="239"/>
      <c r="FQ127" s="239"/>
      <c r="FR127" s="239"/>
      <c r="FS127" s="239"/>
      <c r="FT127" s="239"/>
      <c r="FU127" s="239"/>
      <c r="FV127" s="239"/>
      <c r="FW127" s="239"/>
      <c r="FX127" s="239"/>
      <c r="FY127" s="239"/>
      <c r="FZ127" s="239"/>
      <c r="GA127" s="239"/>
      <c r="GB127" s="239"/>
      <c r="GC127" s="239"/>
      <c r="GD127" s="239"/>
      <c r="GE127" s="239"/>
      <c r="GF127" s="239"/>
      <c r="GG127" s="239"/>
      <c r="GH127" s="239"/>
      <c r="GI127" s="239"/>
      <c r="GJ127" s="241"/>
      <c r="GK127" s="229"/>
      <c r="GL127" s="229"/>
      <c r="GM127" s="229"/>
      <c r="GN127" s="229"/>
      <c r="GO127" s="229"/>
      <c r="GP127" s="229"/>
      <c r="GQ127" s="229"/>
      <c r="GR127" s="229"/>
      <c r="GS127" s="229"/>
      <c r="GT127" s="229"/>
      <c r="GU127" s="229"/>
      <c r="GV127" s="229"/>
      <c r="GW127" s="229"/>
      <c r="GX127" s="229"/>
      <c r="GY127" s="229"/>
      <c r="GZ127" s="229"/>
      <c r="HA127" s="229"/>
      <c r="HB127" s="229"/>
      <c r="HC127" s="229"/>
      <c r="HD127" s="229"/>
      <c r="HE127" s="229"/>
      <c r="HF127" s="229"/>
      <c r="HG127" s="229"/>
      <c r="HH127" s="229"/>
      <c r="HI127" s="229"/>
      <c r="HJ127" s="229"/>
      <c r="HK127" s="229"/>
      <c r="HL127" s="229"/>
      <c r="HM127" s="229"/>
      <c r="HN127" s="229"/>
      <c r="HO127" s="229"/>
      <c r="HP127" s="229"/>
      <c r="HQ127" s="229"/>
      <c r="HR127" s="229"/>
      <c r="HS127" s="229"/>
      <c r="HT127" s="229"/>
      <c r="HU127" s="229"/>
      <c r="HV127" s="229"/>
      <c r="HW127" s="229"/>
      <c r="HX127" s="229"/>
      <c r="HY127" s="229"/>
      <c r="HZ127" s="229"/>
      <c r="IA127" s="229"/>
      <c r="IB127" s="229"/>
      <c r="IC127" s="229"/>
      <c r="ID127" s="229"/>
      <c r="IE127" s="229"/>
      <c r="IF127" s="229"/>
      <c r="IG127" s="229"/>
      <c r="IH127" s="229"/>
      <c r="II127" s="229"/>
      <c r="IJ127" s="229"/>
      <c r="IK127" s="229"/>
      <c r="IL127" s="229"/>
      <c r="IM127" s="229"/>
      <c r="JA127" s="229"/>
      <c r="JB127" s="229"/>
      <c r="JC127" s="229"/>
      <c r="JK127" s="365"/>
      <c r="JL127" s="366"/>
      <c r="JM127" s="366"/>
      <c r="JN127" s="366"/>
      <c r="JO127" s="366"/>
      <c r="JP127" s="366"/>
      <c r="JQ127" s="366"/>
      <c r="JR127" s="366"/>
      <c r="JS127" s="366"/>
      <c r="JT127" s="366"/>
      <c r="JU127" s="366"/>
      <c r="JV127" s="366"/>
      <c r="JW127" s="366"/>
      <c r="JX127" s="366"/>
      <c r="JY127" s="366"/>
      <c r="JZ127" s="366"/>
      <c r="KA127" s="366"/>
      <c r="KB127" s="366"/>
      <c r="KC127" s="366"/>
      <c r="KD127" s="366"/>
      <c r="KE127" s="366"/>
      <c r="KF127" s="366"/>
      <c r="KG127" s="366"/>
      <c r="KH127" s="366"/>
      <c r="KI127" s="366"/>
      <c r="KJ127" s="366"/>
      <c r="KK127" s="366"/>
      <c r="KL127" s="366"/>
      <c r="KM127" s="366"/>
      <c r="KN127" s="366"/>
      <c r="KO127" s="366"/>
      <c r="KP127" s="366"/>
      <c r="KQ127" s="366"/>
      <c r="KR127" s="366"/>
      <c r="KS127" s="366"/>
      <c r="KT127" s="366"/>
      <c r="KU127" s="366"/>
      <c r="KV127" s="366"/>
      <c r="KW127" s="366"/>
      <c r="KX127" s="367"/>
      <c r="KY127" s="311"/>
      <c r="KZ127" s="312"/>
      <c r="LA127" s="312"/>
      <c r="LB127" s="312"/>
      <c r="LC127" s="313"/>
      <c r="LM127" s="320"/>
      <c r="LN127" s="321"/>
      <c r="LO127" s="321"/>
      <c r="LP127" s="321"/>
      <c r="LQ127" s="321"/>
      <c r="LR127" s="321"/>
      <c r="LS127" s="321"/>
      <c r="LT127" s="321"/>
      <c r="LU127" s="321"/>
      <c r="LV127" s="321"/>
      <c r="LW127" s="321"/>
      <c r="LX127" s="321"/>
      <c r="LY127" s="321"/>
      <c r="LZ127" s="321"/>
      <c r="MA127" s="321"/>
      <c r="MB127" s="321"/>
      <c r="MC127" s="321"/>
      <c r="MD127" s="321"/>
      <c r="ME127" s="321"/>
      <c r="MF127" s="321"/>
      <c r="MG127" s="321"/>
      <c r="MH127" s="321"/>
      <c r="MI127" s="321"/>
      <c r="MJ127" s="321"/>
      <c r="MK127" s="321"/>
      <c r="ML127" s="321"/>
      <c r="MM127" s="321"/>
      <c r="MN127" s="321"/>
      <c r="MO127" s="321"/>
      <c r="MP127" s="321"/>
      <c r="MQ127" s="321"/>
      <c r="MR127" s="321"/>
      <c r="MS127" s="321"/>
      <c r="MT127" s="321"/>
      <c r="MU127" s="321"/>
      <c r="MV127" s="321"/>
      <c r="MW127" s="321"/>
      <c r="MX127" s="321"/>
      <c r="MY127" s="321"/>
      <c r="MZ127" s="322"/>
      <c r="NA127" s="311"/>
      <c r="NB127" s="312"/>
      <c r="NC127" s="312"/>
      <c r="ND127" s="312"/>
      <c r="NE127" s="313"/>
      <c r="QQ127" s="230"/>
      <c r="QR127" s="231"/>
      <c r="QS127" s="249"/>
      <c r="QT127" s="249"/>
      <c r="QU127" s="249"/>
      <c r="QV127" s="249"/>
      <c r="QW127" s="250"/>
    </row>
    <row r="128" spans="3:465" ht="5.0999999999999996" customHeight="1" x14ac:dyDescent="0.25">
      <c r="C128" s="226"/>
      <c r="D128" s="227"/>
      <c r="E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 r="AV128" s="229"/>
      <c r="AW128" s="229"/>
      <c r="AX128" s="229"/>
      <c r="AY128" s="229"/>
      <c r="AZ128" s="229"/>
      <c r="BA128" s="229"/>
      <c r="BB128" s="229"/>
      <c r="BC128" s="229"/>
      <c r="BD128" s="229"/>
      <c r="BE128" s="229"/>
      <c r="BF128" s="229"/>
      <c r="BG128" s="229"/>
      <c r="BH128" s="229"/>
      <c r="BI128" s="229"/>
      <c r="BJ128" s="229"/>
      <c r="BK128" s="229"/>
      <c r="BL128" s="229"/>
      <c r="BM128" s="229"/>
      <c r="BN128" s="229"/>
      <c r="BO128" s="229"/>
      <c r="BP128" s="229"/>
      <c r="BQ128" s="229"/>
      <c r="BR128" s="229"/>
      <c r="BS128" s="229"/>
      <c r="BT128" s="229"/>
      <c r="BU128" s="229"/>
      <c r="BV128" s="229"/>
      <c r="BW128" s="229"/>
      <c r="BX128" s="229"/>
      <c r="BY128" s="229"/>
      <c r="BZ128" s="229"/>
      <c r="CA128" s="229"/>
      <c r="CB128" s="229"/>
      <c r="CC128" s="234"/>
      <c r="CD128" s="229"/>
      <c r="CE128" s="229"/>
      <c r="CF128" s="229"/>
      <c r="CG128" s="229"/>
      <c r="CH128" s="229"/>
      <c r="CI128" s="229"/>
      <c r="CJ128" s="229"/>
      <c r="CK128" s="229"/>
      <c r="CL128" s="229"/>
      <c r="CM128" s="229"/>
      <c r="CN128" s="229"/>
      <c r="CO128" s="229"/>
      <c r="CP128" s="229"/>
      <c r="CQ128" s="229"/>
      <c r="CR128" s="229"/>
      <c r="CS128" s="229"/>
      <c r="CT128" s="229"/>
      <c r="CU128" s="229"/>
      <c r="CV128" s="229"/>
      <c r="CW128" s="229"/>
      <c r="CX128" s="229"/>
      <c r="CY128" s="229"/>
      <c r="CZ128" s="229"/>
      <c r="DA128" s="229"/>
      <c r="DB128" s="229"/>
      <c r="DC128" s="229"/>
      <c r="DD128" s="229"/>
      <c r="DE128" s="229"/>
      <c r="DF128" s="229"/>
      <c r="DG128" s="229"/>
      <c r="DH128" s="229"/>
      <c r="DI128" s="229"/>
      <c r="DJ128" s="229"/>
      <c r="DK128" s="229"/>
      <c r="DL128" s="229"/>
      <c r="DM128" s="229"/>
      <c r="DN128" s="229"/>
      <c r="DO128" s="229"/>
      <c r="DP128" s="229"/>
      <c r="DQ128" s="229"/>
      <c r="DR128" s="229"/>
      <c r="DS128" s="229"/>
      <c r="DT128" s="229"/>
      <c r="DU128" s="229"/>
      <c r="DV128" s="229"/>
      <c r="DW128" s="229"/>
      <c r="DX128" s="229"/>
      <c r="DY128" s="229"/>
      <c r="DZ128" s="229"/>
      <c r="EA128" s="229"/>
      <c r="EB128" s="229"/>
      <c r="EC128" s="229"/>
      <c r="ED128" s="244"/>
      <c r="EE128" s="245"/>
      <c r="EF128" s="245"/>
      <c r="EG128" s="229"/>
      <c r="EH128" s="229"/>
      <c r="EI128" s="229"/>
      <c r="EJ128" s="229"/>
      <c r="EK128" s="229"/>
      <c r="EL128" s="229"/>
      <c r="EM128" s="229"/>
      <c r="EX128" s="229"/>
      <c r="EY128" s="229"/>
      <c r="EZ128" s="229"/>
      <c r="FA128" s="229"/>
      <c r="FB128" s="229"/>
      <c r="FC128" s="229"/>
      <c r="FD128" s="229"/>
      <c r="FE128" s="229"/>
      <c r="FF128" s="229"/>
      <c r="FG128" s="229"/>
      <c r="FH128" s="229"/>
      <c r="FI128" s="229"/>
      <c r="FJ128" s="229"/>
      <c r="FK128" s="229"/>
      <c r="FL128" s="229"/>
      <c r="FM128" s="229"/>
      <c r="FN128" s="229"/>
      <c r="FO128" s="229"/>
      <c r="FP128" s="229"/>
      <c r="FQ128" s="229"/>
      <c r="FR128" s="229"/>
      <c r="FS128" s="229"/>
      <c r="FT128" s="229"/>
      <c r="FU128" s="229"/>
      <c r="FV128" s="229"/>
      <c r="FW128" s="229"/>
      <c r="FX128" s="229"/>
      <c r="FY128" s="229"/>
      <c r="FZ128" s="229"/>
      <c r="GA128" s="229"/>
      <c r="GB128" s="229"/>
      <c r="GC128" s="229"/>
      <c r="GD128" s="229"/>
      <c r="GE128" s="229"/>
      <c r="GF128" s="229"/>
      <c r="GG128" s="229"/>
      <c r="GH128" s="229"/>
      <c r="GI128" s="229"/>
      <c r="GJ128" s="237"/>
      <c r="GK128" s="229"/>
      <c r="GL128" s="229"/>
      <c r="GM128" s="229"/>
      <c r="GN128" s="229"/>
      <c r="GO128" s="229"/>
      <c r="GP128" s="229"/>
      <c r="GQ128" s="229"/>
      <c r="GR128" s="229"/>
      <c r="GS128" s="229"/>
      <c r="GT128" s="229"/>
      <c r="GU128" s="229"/>
      <c r="GV128" s="229"/>
      <c r="GW128" s="229"/>
      <c r="GX128" s="229"/>
      <c r="GY128" s="229"/>
      <c r="GZ128" s="229"/>
      <c r="HA128" s="229"/>
      <c r="HB128" s="229"/>
      <c r="HC128" s="229"/>
      <c r="HD128" s="229"/>
      <c r="HE128" s="229"/>
      <c r="HF128" s="229"/>
      <c r="HG128" s="229"/>
      <c r="HH128" s="229"/>
      <c r="HI128" s="229"/>
      <c r="HJ128" s="229"/>
      <c r="HK128" s="229"/>
      <c r="HL128" s="229"/>
      <c r="HM128" s="229"/>
      <c r="HN128" s="229"/>
      <c r="HO128" s="229"/>
      <c r="HP128" s="229"/>
      <c r="HQ128" s="229"/>
      <c r="HR128" s="229"/>
      <c r="HS128" s="229"/>
      <c r="HT128" s="229"/>
      <c r="HU128" s="229"/>
      <c r="HV128" s="229"/>
      <c r="HW128" s="229"/>
      <c r="HX128" s="229"/>
      <c r="HY128" s="229"/>
      <c r="HZ128" s="229"/>
      <c r="IA128" s="229"/>
      <c r="IB128" s="229"/>
      <c r="JA128" s="229"/>
      <c r="JB128" s="229"/>
      <c r="JC128" s="229"/>
      <c r="JK128" s="365"/>
      <c r="JL128" s="366"/>
      <c r="JM128" s="366"/>
      <c r="JN128" s="366"/>
      <c r="JO128" s="366"/>
      <c r="JP128" s="366"/>
      <c r="JQ128" s="366"/>
      <c r="JR128" s="366"/>
      <c r="JS128" s="366"/>
      <c r="JT128" s="366"/>
      <c r="JU128" s="366"/>
      <c r="JV128" s="366"/>
      <c r="JW128" s="366"/>
      <c r="JX128" s="366"/>
      <c r="JY128" s="366"/>
      <c r="JZ128" s="366"/>
      <c r="KA128" s="366"/>
      <c r="KB128" s="366"/>
      <c r="KC128" s="366"/>
      <c r="KD128" s="366"/>
      <c r="KE128" s="366"/>
      <c r="KF128" s="366"/>
      <c r="KG128" s="366"/>
      <c r="KH128" s="366"/>
      <c r="KI128" s="366"/>
      <c r="KJ128" s="366"/>
      <c r="KK128" s="366"/>
      <c r="KL128" s="366"/>
      <c r="KM128" s="366"/>
      <c r="KN128" s="366"/>
      <c r="KO128" s="366"/>
      <c r="KP128" s="366"/>
      <c r="KQ128" s="366"/>
      <c r="KR128" s="366"/>
      <c r="KS128" s="366"/>
      <c r="KT128" s="366"/>
      <c r="KU128" s="366"/>
      <c r="KV128" s="366"/>
      <c r="KW128" s="366"/>
      <c r="KX128" s="367"/>
      <c r="KY128" s="311"/>
      <c r="KZ128" s="312"/>
      <c r="LA128" s="312"/>
      <c r="LB128" s="312"/>
      <c r="LC128" s="313"/>
      <c r="LM128" s="320"/>
      <c r="LN128" s="321"/>
      <c r="LO128" s="321"/>
      <c r="LP128" s="321"/>
      <c r="LQ128" s="321"/>
      <c r="LR128" s="321"/>
      <c r="LS128" s="321"/>
      <c r="LT128" s="321"/>
      <c r="LU128" s="321"/>
      <c r="LV128" s="321"/>
      <c r="LW128" s="321"/>
      <c r="LX128" s="321"/>
      <c r="LY128" s="321"/>
      <c r="LZ128" s="321"/>
      <c r="MA128" s="321"/>
      <c r="MB128" s="321"/>
      <c r="MC128" s="321"/>
      <c r="MD128" s="321"/>
      <c r="ME128" s="321"/>
      <c r="MF128" s="321"/>
      <c r="MG128" s="321"/>
      <c r="MH128" s="321"/>
      <c r="MI128" s="321"/>
      <c r="MJ128" s="321"/>
      <c r="MK128" s="321"/>
      <c r="ML128" s="321"/>
      <c r="MM128" s="321"/>
      <c r="MN128" s="321"/>
      <c r="MO128" s="321"/>
      <c r="MP128" s="321"/>
      <c r="MQ128" s="321"/>
      <c r="MR128" s="321"/>
      <c r="MS128" s="321"/>
      <c r="MT128" s="321"/>
      <c r="MU128" s="321"/>
      <c r="MV128" s="321"/>
      <c r="MW128" s="321"/>
      <c r="MX128" s="321"/>
      <c r="MY128" s="321"/>
      <c r="MZ128" s="322"/>
      <c r="NA128" s="311"/>
      <c r="NB128" s="312"/>
      <c r="NC128" s="312"/>
      <c r="ND128" s="312"/>
      <c r="NE128" s="313"/>
      <c r="QQ128" s="230"/>
      <c r="QR128" s="231"/>
      <c r="QS128" s="249"/>
      <c r="QT128" s="249"/>
      <c r="QU128" s="249"/>
      <c r="QV128" s="249"/>
      <c r="QW128" s="250"/>
    </row>
    <row r="129" spans="3:465" ht="5.0999999999999996" customHeight="1" x14ac:dyDescent="0.25">
      <c r="C129" s="226"/>
      <c r="D129" s="227"/>
      <c r="E129" s="22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43"/>
      <c r="BE129" s="243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60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  <c r="CO129" s="259"/>
      <c r="CP129" s="259"/>
      <c r="CQ129" s="259"/>
      <c r="CR129" s="259"/>
      <c r="CS129" s="259"/>
      <c r="CT129" s="259"/>
      <c r="CU129" s="259"/>
      <c r="CV129" s="259"/>
      <c r="CW129" s="259"/>
      <c r="CX129" s="259"/>
      <c r="CY129" s="259"/>
      <c r="CZ129" s="229"/>
      <c r="DA129" s="229"/>
      <c r="DB129" s="229"/>
      <c r="DC129" s="229"/>
      <c r="DD129" s="229"/>
      <c r="DE129" s="229"/>
      <c r="DF129" s="229"/>
      <c r="DG129" s="229"/>
      <c r="DI129" s="371" t="s">
        <v>430</v>
      </c>
      <c r="DJ129" s="371"/>
      <c r="DK129" s="371"/>
      <c r="DL129" s="371"/>
      <c r="DM129" s="371"/>
      <c r="DN129" s="371"/>
      <c r="DO129" s="371"/>
      <c r="DP129" s="371"/>
      <c r="DQ129" s="371"/>
      <c r="DR129" s="371"/>
      <c r="DS129" s="371"/>
      <c r="DT129" s="371"/>
      <c r="DU129" s="371"/>
      <c r="DV129" s="371"/>
      <c r="DW129" s="371"/>
      <c r="DX129" s="371"/>
      <c r="DY129" s="371"/>
      <c r="DZ129" s="371"/>
      <c r="EA129" s="371"/>
      <c r="EB129" s="371"/>
      <c r="EC129" s="371"/>
      <c r="ED129" s="371"/>
      <c r="EE129" s="371"/>
      <c r="EF129" s="371"/>
      <c r="EG129" s="371"/>
      <c r="EH129" s="371"/>
      <c r="EI129" s="371"/>
      <c r="EJ129" s="371"/>
      <c r="EK129" s="371"/>
      <c r="EL129" s="371"/>
      <c r="EM129" s="371"/>
      <c r="EN129" s="371"/>
      <c r="EO129" s="371"/>
      <c r="EP129" s="371"/>
      <c r="EQ129" s="371"/>
      <c r="ER129" s="371"/>
      <c r="ES129" s="371"/>
      <c r="ET129" s="371"/>
      <c r="EU129" s="371"/>
      <c r="EV129" s="371"/>
      <c r="EW129" s="371"/>
      <c r="EX129" s="353">
        <f>SUM(EX141:FB172)</f>
        <v>10</v>
      </c>
      <c r="EY129" s="354"/>
      <c r="EZ129" s="354"/>
      <c r="FA129" s="354"/>
      <c r="FB129" s="355"/>
      <c r="FC129" s="259"/>
      <c r="FD129" s="259"/>
      <c r="FE129" s="259"/>
      <c r="FF129" s="259"/>
      <c r="FG129" s="259"/>
      <c r="FH129" s="259"/>
      <c r="FI129" s="259"/>
      <c r="FJ129" s="259"/>
      <c r="FK129" s="259"/>
      <c r="FL129" s="259"/>
      <c r="FM129" s="259"/>
      <c r="FN129" s="259"/>
      <c r="FO129" s="259"/>
      <c r="FP129" s="259"/>
      <c r="FQ129" s="259"/>
      <c r="FR129" s="259"/>
      <c r="FS129" s="259"/>
      <c r="FT129" s="259"/>
      <c r="FU129" s="259"/>
      <c r="FV129" s="259"/>
      <c r="FW129" s="259"/>
      <c r="FX129" s="259"/>
      <c r="FY129" s="259"/>
      <c r="FZ129" s="259"/>
      <c r="GA129" s="259"/>
      <c r="GB129" s="259"/>
      <c r="GC129" s="259"/>
      <c r="GD129" s="259"/>
      <c r="GE129" s="259"/>
      <c r="GF129" s="259"/>
      <c r="GG129" s="259"/>
      <c r="GH129" s="259"/>
      <c r="GI129" s="259"/>
      <c r="GJ129" s="261"/>
      <c r="GK129" s="259"/>
      <c r="GL129" s="259"/>
      <c r="GM129" s="259"/>
      <c r="GN129" s="259"/>
      <c r="GO129" s="259"/>
      <c r="GP129" s="259"/>
      <c r="GQ129" s="259"/>
      <c r="JA129" s="229"/>
      <c r="JB129" s="229"/>
      <c r="JC129" s="229"/>
      <c r="JK129" s="365"/>
      <c r="JL129" s="366"/>
      <c r="JM129" s="366"/>
      <c r="JN129" s="366"/>
      <c r="JO129" s="366"/>
      <c r="JP129" s="366"/>
      <c r="JQ129" s="366"/>
      <c r="JR129" s="366"/>
      <c r="JS129" s="366"/>
      <c r="JT129" s="366"/>
      <c r="JU129" s="366"/>
      <c r="JV129" s="366"/>
      <c r="JW129" s="366"/>
      <c r="JX129" s="366"/>
      <c r="JY129" s="366"/>
      <c r="JZ129" s="366"/>
      <c r="KA129" s="366"/>
      <c r="KB129" s="366"/>
      <c r="KC129" s="366"/>
      <c r="KD129" s="366"/>
      <c r="KE129" s="366"/>
      <c r="KF129" s="366"/>
      <c r="KG129" s="366"/>
      <c r="KH129" s="366"/>
      <c r="KI129" s="366"/>
      <c r="KJ129" s="366"/>
      <c r="KK129" s="366"/>
      <c r="KL129" s="366"/>
      <c r="KM129" s="366"/>
      <c r="KN129" s="366"/>
      <c r="KO129" s="366"/>
      <c r="KP129" s="366"/>
      <c r="KQ129" s="366"/>
      <c r="KR129" s="366"/>
      <c r="KS129" s="366"/>
      <c r="KT129" s="366"/>
      <c r="KU129" s="366"/>
      <c r="KV129" s="366"/>
      <c r="KW129" s="366"/>
      <c r="KX129" s="367"/>
      <c r="KY129" s="311"/>
      <c r="KZ129" s="312"/>
      <c r="LA129" s="312"/>
      <c r="LB129" s="312"/>
      <c r="LC129" s="313"/>
      <c r="LM129" s="320"/>
      <c r="LN129" s="321"/>
      <c r="LO129" s="321"/>
      <c r="LP129" s="321"/>
      <c r="LQ129" s="321"/>
      <c r="LR129" s="321"/>
      <c r="LS129" s="321"/>
      <c r="LT129" s="321"/>
      <c r="LU129" s="321"/>
      <c r="LV129" s="321"/>
      <c r="LW129" s="321"/>
      <c r="LX129" s="321"/>
      <c r="LY129" s="321"/>
      <c r="LZ129" s="321"/>
      <c r="MA129" s="321"/>
      <c r="MB129" s="321"/>
      <c r="MC129" s="321"/>
      <c r="MD129" s="321"/>
      <c r="ME129" s="321"/>
      <c r="MF129" s="321"/>
      <c r="MG129" s="321"/>
      <c r="MH129" s="321"/>
      <c r="MI129" s="321"/>
      <c r="MJ129" s="321"/>
      <c r="MK129" s="321"/>
      <c r="ML129" s="321"/>
      <c r="MM129" s="321"/>
      <c r="MN129" s="321"/>
      <c r="MO129" s="321"/>
      <c r="MP129" s="321"/>
      <c r="MQ129" s="321"/>
      <c r="MR129" s="321"/>
      <c r="MS129" s="321"/>
      <c r="MT129" s="321"/>
      <c r="MU129" s="321"/>
      <c r="MV129" s="321"/>
      <c r="MW129" s="321"/>
      <c r="MX129" s="321"/>
      <c r="MY129" s="321"/>
      <c r="MZ129" s="322"/>
      <c r="NA129" s="311"/>
      <c r="NB129" s="312"/>
      <c r="NC129" s="312"/>
      <c r="ND129" s="312"/>
      <c r="NE129" s="313"/>
      <c r="QQ129" s="230"/>
      <c r="QR129" s="231"/>
      <c r="QS129" s="249"/>
      <c r="QT129" s="249"/>
      <c r="QU129" s="249"/>
      <c r="QV129" s="249"/>
      <c r="QW129" s="250"/>
    </row>
    <row r="130" spans="3:465" ht="5.0999999999999996" customHeight="1" x14ac:dyDescent="0.25">
      <c r="C130" s="226"/>
      <c r="D130" s="227"/>
      <c r="E130" s="22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43"/>
      <c r="BE130" s="353" t="s">
        <v>431</v>
      </c>
      <c r="BF130" s="354"/>
      <c r="BG130" s="354"/>
      <c r="BH130" s="354"/>
      <c r="BI130" s="354"/>
      <c r="BJ130" s="354"/>
      <c r="BK130" s="354"/>
      <c r="BL130" s="354"/>
      <c r="BM130" s="354"/>
      <c r="BN130" s="354"/>
      <c r="BO130" s="354"/>
      <c r="BP130" s="354"/>
      <c r="BQ130" s="354"/>
      <c r="BR130" s="354"/>
      <c r="BS130" s="354"/>
      <c r="BT130" s="354"/>
      <c r="BU130" s="354"/>
      <c r="BV130" s="354"/>
      <c r="BW130" s="354"/>
      <c r="BX130" s="354"/>
      <c r="BY130" s="354"/>
      <c r="BZ130" s="354"/>
      <c r="CA130" s="354"/>
      <c r="CB130" s="354"/>
      <c r="CC130" s="354"/>
      <c r="CD130" s="354"/>
      <c r="CE130" s="354"/>
      <c r="CF130" s="354"/>
      <c r="CG130" s="354"/>
      <c r="CH130" s="354"/>
      <c r="CI130" s="354"/>
      <c r="CJ130" s="354"/>
      <c r="CK130" s="354"/>
      <c r="CL130" s="354"/>
      <c r="CM130" s="354"/>
      <c r="CN130" s="354"/>
      <c r="CO130" s="354"/>
      <c r="CP130" s="354"/>
      <c r="CQ130" s="354"/>
      <c r="CR130" s="354"/>
      <c r="CS130" s="355"/>
      <c r="CT130" s="353">
        <f>SUM(CT146:CX217)</f>
        <v>21</v>
      </c>
      <c r="CU130" s="354"/>
      <c r="CV130" s="354"/>
      <c r="CW130" s="354"/>
      <c r="CX130" s="355"/>
      <c r="CY130" s="259"/>
      <c r="DI130" s="371"/>
      <c r="DJ130" s="371"/>
      <c r="DK130" s="371"/>
      <c r="DL130" s="371"/>
      <c r="DM130" s="371"/>
      <c r="DN130" s="371"/>
      <c r="DO130" s="371"/>
      <c r="DP130" s="371"/>
      <c r="DQ130" s="371"/>
      <c r="DR130" s="371"/>
      <c r="DS130" s="371"/>
      <c r="DT130" s="371"/>
      <c r="DU130" s="371"/>
      <c r="DV130" s="371"/>
      <c r="DW130" s="371"/>
      <c r="DX130" s="371"/>
      <c r="DY130" s="371"/>
      <c r="DZ130" s="371"/>
      <c r="EA130" s="371"/>
      <c r="EB130" s="371"/>
      <c r="EC130" s="371"/>
      <c r="ED130" s="371"/>
      <c r="EE130" s="371"/>
      <c r="EF130" s="371"/>
      <c r="EG130" s="371"/>
      <c r="EH130" s="371"/>
      <c r="EI130" s="371"/>
      <c r="EJ130" s="371"/>
      <c r="EK130" s="371"/>
      <c r="EL130" s="371"/>
      <c r="EM130" s="371"/>
      <c r="EN130" s="371"/>
      <c r="EO130" s="371"/>
      <c r="EP130" s="371"/>
      <c r="EQ130" s="371"/>
      <c r="ER130" s="371"/>
      <c r="ES130" s="371"/>
      <c r="ET130" s="371"/>
      <c r="EU130" s="371"/>
      <c r="EV130" s="371"/>
      <c r="EW130" s="371"/>
      <c r="EX130" s="356"/>
      <c r="EY130" s="357"/>
      <c r="EZ130" s="357"/>
      <c r="FA130" s="357"/>
      <c r="FB130" s="358"/>
      <c r="FC130" s="259"/>
      <c r="FD130" s="259"/>
      <c r="FE130" s="259"/>
      <c r="FF130" s="259"/>
      <c r="FG130" s="259"/>
      <c r="FH130" s="259"/>
      <c r="FI130" s="259"/>
      <c r="FJ130" s="259"/>
      <c r="FK130" s="259"/>
      <c r="FL130" s="259"/>
      <c r="FM130" s="259"/>
      <c r="FN130" s="353" t="s">
        <v>432</v>
      </c>
      <c r="FO130" s="354"/>
      <c r="FP130" s="354"/>
      <c r="FQ130" s="354"/>
      <c r="FR130" s="354"/>
      <c r="FS130" s="354"/>
      <c r="FT130" s="354"/>
      <c r="FU130" s="354"/>
      <c r="FV130" s="354"/>
      <c r="FW130" s="354"/>
      <c r="FX130" s="354"/>
      <c r="FY130" s="354"/>
      <c r="FZ130" s="354"/>
      <c r="GA130" s="354"/>
      <c r="GB130" s="354"/>
      <c r="GC130" s="354"/>
      <c r="GD130" s="354"/>
      <c r="GE130" s="354"/>
      <c r="GF130" s="354"/>
      <c r="GG130" s="354"/>
      <c r="GH130" s="354"/>
      <c r="GI130" s="354"/>
      <c r="GJ130" s="354"/>
      <c r="GK130" s="354"/>
      <c r="GL130" s="354"/>
      <c r="GM130" s="354"/>
      <c r="GN130" s="354"/>
      <c r="GO130" s="354"/>
      <c r="GP130" s="354"/>
      <c r="GQ130" s="354"/>
      <c r="GR130" s="354"/>
      <c r="GS130" s="354"/>
      <c r="GT130" s="354"/>
      <c r="GU130" s="354"/>
      <c r="GV130" s="354"/>
      <c r="GW130" s="354"/>
      <c r="GX130" s="354"/>
      <c r="GY130" s="354"/>
      <c r="GZ130" s="354"/>
      <c r="HA130" s="354"/>
      <c r="HB130" s="355"/>
      <c r="HC130" s="353">
        <f>SUM(HC142,HC154)</f>
        <v>7</v>
      </c>
      <c r="HD130" s="354"/>
      <c r="HE130" s="354"/>
      <c r="HF130" s="354"/>
      <c r="HG130" s="355"/>
      <c r="IN130" s="229"/>
      <c r="IO130" s="229"/>
      <c r="IP130" s="229"/>
      <c r="IQ130" s="229"/>
      <c r="IR130" s="229"/>
      <c r="IS130" s="229"/>
      <c r="IT130" s="229"/>
      <c r="IU130" s="229"/>
      <c r="IV130" s="229"/>
      <c r="IW130" s="229"/>
      <c r="IX130" s="229"/>
      <c r="IY130" s="229"/>
      <c r="IZ130" s="229"/>
      <c r="JA130" s="229"/>
      <c r="JB130" s="229"/>
      <c r="JC130" s="229"/>
      <c r="JK130" s="365"/>
      <c r="JL130" s="366"/>
      <c r="JM130" s="366"/>
      <c r="JN130" s="366"/>
      <c r="JO130" s="366"/>
      <c r="JP130" s="366"/>
      <c r="JQ130" s="366"/>
      <c r="JR130" s="366"/>
      <c r="JS130" s="366"/>
      <c r="JT130" s="366"/>
      <c r="JU130" s="366"/>
      <c r="JV130" s="366"/>
      <c r="JW130" s="366"/>
      <c r="JX130" s="366"/>
      <c r="JY130" s="366"/>
      <c r="JZ130" s="366"/>
      <c r="KA130" s="366"/>
      <c r="KB130" s="366"/>
      <c r="KC130" s="366"/>
      <c r="KD130" s="366"/>
      <c r="KE130" s="366"/>
      <c r="KF130" s="366"/>
      <c r="KG130" s="366"/>
      <c r="KH130" s="366"/>
      <c r="KI130" s="366"/>
      <c r="KJ130" s="366"/>
      <c r="KK130" s="366"/>
      <c r="KL130" s="366"/>
      <c r="KM130" s="366"/>
      <c r="KN130" s="366"/>
      <c r="KO130" s="366"/>
      <c r="KP130" s="366"/>
      <c r="KQ130" s="366"/>
      <c r="KR130" s="366"/>
      <c r="KS130" s="366"/>
      <c r="KT130" s="366"/>
      <c r="KU130" s="366"/>
      <c r="KV130" s="366"/>
      <c r="KW130" s="366"/>
      <c r="KX130" s="367"/>
      <c r="KY130" s="311"/>
      <c r="KZ130" s="312"/>
      <c r="LA130" s="312"/>
      <c r="LB130" s="312"/>
      <c r="LC130" s="313"/>
      <c r="LM130" s="320"/>
      <c r="LN130" s="321"/>
      <c r="LO130" s="321"/>
      <c r="LP130" s="321"/>
      <c r="LQ130" s="321"/>
      <c r="LR130" s="321"/>
      <c r="LS130" s="321"/>
      <c r="LT130" s="321"/>
      <c r="LU130" s="321"/>
      <c r="LV130" s="321"/>
      <c r="LW130" s="321"/>
      <c r="LX130" s="321"/>
      <c r="LY130" s="321"/>
      <c r="LZ130" s="321"/>
      <c r="MA130" s="321"/>
      <c r="MB130" s="321"/>
      <c r="MC130" s="321"/>
      <c r="MD130" s="321"/>
      <c r="ME130" s="321"/>
      <c r="MF130" s="321"/>
      <c r="MG130" s="321"/>
      <c r="MH130" s="321"/>
      <c r="MI130" s="321"/>
      <c r="MJ130" s="321"/>
      <c r="MK130" s="321"/>
      <c r="ML130" s="321"/>
      <c r="MM130" s="321"/>
      <c r="MN130" s="321"/>
      <c r="MO130" s="321"/>
      <c r="MP130" s="321"/>
      <c r="MQ130" s="321"/>
      <c r="MR130" s="321"/>
      <c r="MS130" s="321"/>
      <c r="MT130" s="321"/>
      <c r="MU130" s="321"/>
      <c r="MV130" s="321"/>
      <c r="MW130" s="321"/>
      <c r="MX130" s="321"/>
      <c r="MY130" s="321"/>
      <c r="MZ130" s="322"/>
      <c r="NA130" s="311"/>
      <c r="NB130" s="312"/>
      <c r="NC130" s="312"/>
      <c r="ND130" s="312"/>
      <c r="NE130" s="313"/>
      <c r="QQ130" s="230"/>
      <c r="QR130" s="231"/>
      <c r="QS130" s="249"/>
      <c r="QT130" s="249"/>
      <c r="QU130" s="249"/>
      <c r="QV130" s="249"/>
      <c r="QW130" s="250"/>
    </row>
    <row r="131" spans="3:465" ht="5.0999999999999996" customHeight="1" x14ac:dyDescent="0.25">
      <c r="C131" s="226"/>
      <c r="D131" s="227"/>
      <c r="E131" s="22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BA131" s="229"/>
      <c r="BB131" s="229"/>
      <c r="BC131" s="229"/>
      <c r="BE131" s="356"/>
      <c r="BF131" s="357"/>
      <c r="BG131" s="357"/>
      <c r="BH131" s="357"/>
      <c r="BI131" s="357"/>
      <c r="BJ131" s="357"/>
      <c r="BK131" s="357"/>
      <c r="BL131" s="357"/>
      <c r="BM131" s="357"/>
      <c r="BN131" s="357"/>
      <c r="BO131" s="357"/>
      <c r="BP131" s="357"/>
      <c r="BQ131" s="357"/>
      <c r="BR131" s="357"/>
      <c r="BS131" s="357"/>
      <c r="BT131" s="357"/>
      <c r="BU131" s="357"/>
      <c r="BV131" s="357"/>
      <c r="BW131" s="357"/>
      <c r="BX131" s="357"/>
      <c r="BY131" s="357"/>
      <c r="BZ131" s="357"/>
      <c r="CA131" s="357"/>
      <c r="CB131" s="357"/>
      <c r="CC131" s="357"/>
      <c r="CD131" s="357"/>
      <c r="CE131" s="357"/>
      <c r="CF131" s="357"/>
      <c r="CG131" s="357"/>
      <c r="CH131" s="357"/>
      <c r="CI131" s="357"/>
      <c r="CJ131" s="357"/>
      <c r="CK131" s="357"/>
      <c r="CL131" s="357"/>
      <c r="CM131" s="357"/>
      <c r="CN131" s="357"/>
      <c r="CO131" s="357"/>
      <c r="CP131" s="357"/>
      <c r="CQ131" s="357"/>
      <c r="CR131" s="357"/>
      <c r="CS131" s="358"/>
      <c r="CT131" s="356"/>
      <c r="CU131" s="357"/>
      <c r="CV131" s="357"/>
      <c r="CW131" s="357"/>
      <c r="CX131" s="358"/>
      <c r="CY131" s="259"/>
      <c r="DI131" s="371"/>
      <c r="DJ131" s="371"/>
      <c r="DK131" s="371"/>
      <c r="DL131" s="371"/>
      <c r="DM131" s="371"/>
      <c r="DN131" s="371"/>
      <c r="DO131" s="371"/>
      <c r="DP131" s="371"/>
      <c r="DQ131" s="371"/>
      <c r="DR131" s="371"/>
      <c r="DS131" s="371"/>
      <c r="DT131" s="371"/>
      <c r="DU131" s="371"/>
      <c r="DV131" s="371"/>
      <c r="DW131" s="371"/>
      <c r="DX131" s="371"/>
      <c r="DY131" s="371"/>
      <c r="DZ131" s="371"/>
      <c r="EA131" s="371"/>
      <c r="EB131" s="371"/>
      <c r="EC131" s="371"/>
      <c r="ED131" s="371"/>
      <c r="EE131" s="371"/>
      <c r="EF131" s="371"/>
      <c r="EG131" s="371"/>
      <c r="EH131" s="371"/>
      <c r="EI131" s="371"/>
      <c r="EJ131" s="371"/>
      <c r="EK131" s="371"/>
      <c r="EL131" s="371"/>
      <c r="EM131" s="371"/>
      <c r="EN131" s="371"/>
      <c r="EO131" s="371"/>
      <c r="EP131" s="371"/>
      <c r="EQ131" s="371"/>
      <c r="ER131" s="371"/>
      <c r="ES131" s="371"/>
      <c r="ET131" s="371"/>
      <c r="EU131" s="371"/>
      <c r="EV131" s="371"/>
      <c r="EW131" s="371"/>
      <c r="EX131" s="356"/>
      <c r="EY131" s="357"/>
      <c r="EZ131" s="357"/>
      <c r="FA131" s="357"/>
      <c r="FB131" s="358"/>
      <c r="FC131" s="259"/>
      <c r="FD131" s="259"/>
      <c r="FE131" s="259"/>
      <c r="FF131" s="259"/>
      <c r="FG131" s="259"/>
      <c r="FH131" s="259"/>
      <c r="FI131" s="259"/>
      <c r="FJ131" s="259"/>
      <c r="FK131" s="259"/>
      <c r="FL131" s="259"/>
      <c r="FM131" s="259"/>
      <c r="FN131" s="356"/>
      <c r="FO131" s="357"/>
      <c r="FP131" s="357"/>
      <c r="FQ131" s="357"/>
      <c r="FR131" s="357"/>
      <c r="FS131" s="357"/>
      <c r="FT131" s="357"/>
      <c r="FU131" s="357"/>
      <c r="FV131" s="357"/>
      <c r="FW131" s="357"/>
      <c r="FX131" s="357"/>
      <c r="FY131" s="357"/>
      <c r="FZ131" s="357"/>
      <c r="GA131" s="357"/>
      <c r="GB131" s="357"/>
      <c r="GC131" s="357"/>
      <c r="GD131" s="357"/>
      <c r="GE131" s="357"/>
      <c r="GF131" s="357"/>
      <c r="GG131" s="357"/>
      <c r="GH131" s="357"/>
      <c r="GI131" s="357"/>
      <c r="GJ131" s="357"/>
      <c r="GK131" s="357"/>
      <c r="GL131" s="357"/>
      <c r="GM131" s="357"/>
      <c r="GN131" s="357"/>
      <c r="GO131" s="357"/>
      <c r="GP131" s="357"/>
      <c r="GQ131" s="357"/>
      <c r="GR131" s="357"/>
      <c r="GS131" s="357"/>
      <c r="GT131" s="357"/>
      <c r="GU131" s="357"/>
      <c r="GV131" s="357"/>
      <c r="GW131" s="357"/>
      <c r="GX131" s="357"/>
      <c r="GY131" s="357"/>
      <c r="GZ131" s="357"/>
      <c r="HA131" s="357"/>
      <c r="HB131" s="358"/>
      <c r="HC131" s="356"/>
      <c r="HD131" s="357"/>
      <c r="HE131" s="357"/>
      <c r="HF131" s="357"/>
      <c r="HG131" s="358"/>
      <c r="IN131" s="229"/>
      <c r="IO131" s="229"/>
      <c r="IP131" s="229"/>
      <c r="IQ131" s="229"/>
      <c r="IR131" s="229"/>
      <c r="IS131" s="229"/>
      <c r="IT131" s="229"/>
      <c r="IU131" s="229"/>
      <c r="IV131" s="229"/>
      <c r="IW131" s="229"/>
      <c r="IX131" s="229"/>
      <c r="IY131" s="229"/>
      <c r="IZ131" s="229"/>
      <c r="JA131" s="229"/>
      <c r="JB131" s="229"/>
      <c r="JC131" s="229"/>
      <c r="JK131" s="365"/>
      <c r="JL131" s="366"/>
      <c r="JM131" s="366"/>
      <c r="JN131" s="366"/>
      <c r="JO131" s="366"/>
      <c r="JP131" s="366"/>
      <c r="JQ131" s="366"/>
      <c r="JR131" s="366"/>
      <c r="JS131" s="366"/>
      <c r="JT131" s="366"/>
      <c r="JU131" s="366"/>
      <c r="JV131" s="366"/>
      <c r="JW131" s="366"/>
      <c r="JX131" s="366"/>
      <c r="JY131" s="366"/>
      <c r="JZ131" s="366"/>
      <c r="KA131" s="366"/>
      <c r="KB131" s="366"/>
      <c r="KC131" s="366"/>
      <c r="KD131" s="366"/>
      <c r="KE131" s="366"/>
      <c r="KF131" s="366"/>
      <c r="KG131" s="366"/>
      <c r="KH131" s="366"/>
      <c r="KI131" s="366"/>
      <c r="KJ131" s="366"/>
      <c r="KK131" s="366"/>
      <c r="KL131" s="366"/>
      <c r="KM131" s="366"/>
      <c r="KN131" s="366"/>
      <c r="KO131" s="366"/>
      <c r="KP131" s="366"/>
      <c r="KQ131" s="366"/>
      <c r="KR131" s="366"/>
      <c r="KS131" s="366"/>
      <c r="KT131" s="366"/>
      <c r="KU131" s="366"/>
      <c r="KV131" s="366"/>
      <c r="KW131" s="366"/>
      <c r="KX131" s="367"/>
      <c r="KY131" s="311"/>
      <c r="KZ131" s="312"/>
      <c r="LA131" s="312"/>
      <c r="LB131" s="312"/>
      <c r="LC131" s="313"/>
      <c r="LM131" s="320"/>
      <c r="LN131" s="321"/>
      <c r="LO131" s="321"/>
      <c r="LP131" s="321"/>
      <c r="LQ131" s="321"/>
      <c r="LR131" s="321"/>
      <c r="LS131" s="321"/>
      <c r="LT131" s="321"/>
      <c r="LU131" s="321"/>
      <c r="LV131" s="321"/>
      <c r="LW131" s="321"/>
      <c r="LX131" s="321"/>
      <c r="LY131" s="321"/>
      <c r="LZ131" s="321"/>
      <c r="MA131" s="321"/>
      <c r="MB131" s="321"/>
      <c r="MC131" s="321"/>
      <c r="MD131" s="321"/>
      <c r="ME131" s="321"/>
      <c r="MF131" s="321"/>
      <c r="MG131" s="321"/>
      <c r="MH131" s="321"/>
      <c r="MI131" s="321"/>
      <c r="MJ131" s="321"/>
      <c r="MK131" s="321"/>
      <c r="ML131" s="321"/>
      <c r="MM131" s="321"/>
      <c r="MN131" s="321"/>
      <c r="MO131" s="321"/>
      <c r="MP131" s="321"/>
      <c r="MQ131" s="321"/>
      <c r="MR131" s="321"/>
      <c r="MS131" s="321"/>
      <c r="MT131" s="321"/>
      <c r="MU131" s="321"/>
      <c r="MV131" s="321"/>
      <c r="MW131" s="321"/>
      <c r="MX131" s="321"/>
      <c r="MY131" s="321"/>
      <c r="MZ131" s="322"/>
      <c r="NA131" s="311"/>
      <c r="NB131" s="312"/>
      <c r="NC131" s="312"/>
      <c r="ND131" s="312"/>
      <c r="NE131" s="313"/>
      <c r="QQ131" s="230"/>
      <c r="QR131" s="231"/>
      <c r="QS131" s="249"/>
      <c r="QT131" s="249"/>
      <c r="QU131" s="249"/>
      <c r="QV131" s="249"/>
      <c r="QW131" s="250"/>
    </row>
    <row r="132" spans="3:465" ht="5.0999999999999996" customHeight="1" x14ac:dyDescent="0.25">
      <c r="C132" s="226"/>
      <c r="D132" s="227"/>
      <c r="E132" s="22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BA132" s="229"/>
      <c r="BB132" s="229"/>
      <c r="BC132" s="229"/>
      <c r="BE132" s="356"/>
      <c r="BF132" s="357"/>
      <c r="BG132" s="357"/>
      <c r="BH132" s="357"/>
      <c r="BI132" s="357"/>
      <c r="BJ132" s="357"/>
      <c r="BK132" s="357"/>
      <c r="BL132" s="357"/>
      <c r="BM132" s="357"/>
      <c r="BN132" s="357"/>
      <c r="BO132" s="357"/>
      <c r="BP132" s="357"/>
      <c r="BQ132" s="357"/>
      <c r="BR132" s="357"/>
      <c r="BS132" s="357"/>
      <c r="BT132" s="357"/>
      <c r="BU132" s="357"/>
      <c r="BV132" s="357"/>
      <c r="BW132" s="357"/>
      <c r="BX132" s="357"/>
      <c r="BY132" s="357"/>
      <c r="BZ132" s="357"/>
      <c r="CA132" s="357"/>
      <c r="CB132" s="357"/>
      <c r="CC132" s="357"/>
      <c r="CD132" s="357"/>
      <c r="CE132" s="357"/>
      <c r="CF132" s="357"/>
      <c r="CG132" s="357"/>
      <c r="CH132" s="357"/>
      <c r="CI132" s="357"/>
      <c r="CJ132" s="357"/>
      <c r="CK132" s="357"/>
      <c r="CL132" s="357"/>
      <c r="CM132" s="357"/>
      <c r="CN132" s="357"/>
      <c r="CO132" s="357"/>
      <c r="CP132" s="357"/>
      <c r="CQ132" s="357"/>
      <c r="CR132" s="357"/>
      <c r="CS132" s="358"/>
      <c r="CT132" s="356"/>
      <c r="CU132" s="357"/>
      <c r="CV132" s="357"/>
      <c r="CW132" s="357"/>
      <c r="CX132" s="358"/>
      <c r="CY132" s="259"/>
      <c r="DI132" s="371"/>
      <c r="DJ132" s="371"/>
      <c r="DK132" s="371"/>
      <c r="DL132" s="371"/>
      <c r="DM132" s="371"/>
      <c r="DN132" s="371"/>
      <c r="DO132" s="371"/>
      <c r="DP132" s="371"/>
      <c r="DQ132" s="371"/>
      <c r="DR132" s="371"/>
      <c r="DS132" s="371"/>
      <c r="DT132" s="371"/>
      <c r="DU132" s="371"/>
      <c r="DV132" s="371"/>
      <c r="DW132" s="371"/>
      <c r="DX132" s="371"/>
      <c r="DY132" s="371"/>
      <c r="DZ132" s="371"/>
      <c r="EA132" s="371"/>
      <c r="EB132" s="371"/>
      <c r="EC132" s="371"/>
      <c r="ED132" s="371"/>
      <c r="EE132" s="371"/>
      <c r="EF132" s="371"/>
      <c r="EG132" s="371"/>
      <c r="EH132" s="371"/>
      <c r="EI132" s="371"/>
      <c r="EJ132" s="371"/>
      <c r="EK132" s="371"/>
      <c r="EL132" s="371"/>
      <c r="EM132" s="371"/>
      <c r="EN132" s="371"/>
      <c r="EO132" s="371"/>
      <c r="EP132" s="371"/>
      <c r="EQ132" s="371"/>
      <c r="ER132" s="371"/>
      <c r="ES132" s="371"/>
      <c r="ET132" s="371"/>
      <c r="EU132" s="371"/>
      <c r="EV132" s="371"/>
      <c r="EW132" s="371"/>
      <c r="EX132" s="356"/>
      <c r="EY132" s="357"/>
      <c r="EZ132" s="357"/>
      <c r="FA132" s="357"/>
      <c r="FB132" s="358"/>
      <c r="FC132" s="259"/>
      <c r="FD132" s="259"/>
      <c r="FE132" s="259"/>
      <c r="FF132" s="259"/>
      <c r="FG132" s="259"/>
      <c r="FH132" s="259"/>
      <c r="FI132" s="259"/>
      <c r="FJ132" s="259"/>
      <c r="FK132" s="259"/>
      <c r="FL132" s="259"/>
      <c r="FM132" s="259"/>
      <c r="FN132" s="356"/>
      <c r="FO132" s="357"/>
      <c r="FP132" s="357"/>
      <c r="FQ132" s="357"/>
      <c r="FR132" s="357"/>
      <c r="FS132" s="357"/>
      <c r="FT132" s="357"/>
      <c r="FU132" s="357"/>
      <c r="FV132" s="357"/>
      <c r="FW132" s="357"/>
      <c r="FX132" s="357"/>
      <c r="FY132" s="357"/>
      <c r="FZ132" s="357"/>
      <c r="GA132" s="357"/>
      <c r="GB132" s="357"/>
      <c r="GC132" s="357"/>
      <c r="GD132" s="357"/>
      <c r="GE132" s="357"/>
      <c r="GF132" s="357"/>
      <c r="GG132" s="357"/>
      <c r="GH132" s="357"/>
      <c r="GI132" s="357"/>
      <c r="GJ132" s="357"/>
      <c r="GK132" s="357"/>
      <c r="GL132" s="357"/>
      <c r="GM132" s="357"/>
      <c r="GN132" s="357"/>
      <c r="GO132" s="357"/>
      <c r="GP132" s="357"/>
      <c r="GQ132" s="357"/>
      <c r="GR132" s="357"/>
      <c r="GS132" s="357"/>
      <c r="GT132" s="357"/>
      <c r="GU132" s="357"/>
      <c r="GV132" s="357"/>
      <c r="GW132" s="357"/>
      <c r="GX132" s="357"/>
      <c r="GY132" s="357"/>
      <c r="GZ132" s="357"/>
      <c r="HA132" s="357"/>
      <c r="HB132" s="358"/>
      <c r="HC132" s="356"/>
      <c r="HD132" s="357"/>
      <c r="HE132" s="357"/>
      <c r="HF132" s="357"/>
      <c r="HG132" s="358"/>
      <c r="IN132" s="229"/>
      <c r="IO132" s="229"/>
      <c r="IP132" s="229"/>
      <c r="IQ132" s="229"/>
      <c r="IR132" s="229"/>
      <c r="IS132" s="229"/>
      <c r="IT132" s="229"/>
      <c r="IU132" s="229"/>
      <c r="IV132" s="229"/>
      <c r="IW132" s="229"/>
      <c r="IX132" s="229"/>
      <c r="IY132" s="229"/>
      <c r="IZ132" s="229"/>
      <c r="JA132" s="229"/>
      <c r="JB132" s="229"/>
      <c r="JC132" s="229"/>
      <c r="JK132" s="365"/>
      <c r="JL132" s="366"/>
      <c r="JM132" s="366"/>
      <c r="JN132" s="366"/>
      <c r="JO132" s="366"/>
      <c r="JP132" s="366"/>
      <c r="JQ132" s="366"/>
      <c r="JR132" s="366"/>
      <c r="JS132" s="366"/>
      <c r="JT132" s="366"/>
      <c r="JU132" s="366"/>
      <c r="JV132" s="366"/>
      <c r="JW132" s="366"/>
      <c r="JX132" s="366"/>
      <c r="JY132" s="366"/>
      <c r="JZ132" s="366"/>
      <c r="KA132" s="366"/>
      <c r="KB132" s="366"/>
      <c r="KC132" s="366"/>
      <c r="KD132" s="366"/>
      <c r="KE132" s="366"/>
      <c r="KF132" s="366"/>
      <c r="KG132" s="366"/>
      <c r="KH132" s="366"/>
      <c r="KI132" s="366"/>
      <c r="KJ132" s="366"/>
      <c r="KK132" s="366"/>
      <c r="KL132" s="366"/>
      <c r="KM132" s="366"/>
      <c r="KN132" s="366"/>
      <c r="KO132" s="366"/>
      <c r="KP132" s="366"/>
      <c r="KQ132" s="366"/>
      <c r="KR132" s="366"/>
      <c r="KS132" s="366"/>
      <c r="KT132" s="366"/>
      <c r="KU132" s="366"/>
      <c r="KV132" s="366"/>
      <c r="KW132" s="366"/>
      <c r="KX132" s="367"/>
      <c r="KY132" s="311"/>
      <c r="KZ132" s="312"/>
      <c r="LA132" s="312"/>
      <c r="LB132" s="312"/>
      <c r="LC132" s="313"/>
      <c r="LM132" s="320"/>
      <c r="LN132" s="321"/>
      <c r="LO132" s="321"/>
      <c r="LP132" s="321"/>
      <c r="LQ132" s="321"/>
      <c r="LR132" s="321"/>
      <c r="LS132" s="321"/>
      <c r="LT132" s="321"/>
      <c r="LU132" s="321"/>
      <c r="LV132" s="321"/>
      <c r="LW132" s="321"/>
      <c r="LX132" s="321"/>
      <c r="LY132" s="321"/>
      <c r="LZ132" s="321"/>
      <c r="MA132" s="321"/>
      <c r="MB132" s="321"/>
      <c r="MC132" s="321"/>
      <c r="MD132" s="321"/>
      <c r="ME132" s="321"/>
      <c r="MF132" s="321"/>
      <c r="MG132" s="321"/>
      <c r="MH132" s="321"/>
      <c r="MI132" s="321"/>
      <c r="MJ132" s="321"/>
      <c r="MK132" s="321"/>
      <c r="ML132" s="321"/>
      <c r="MM132" s="321"/>
      <c r="MN132" s="321"/>
      <c r="MO132" s="321"/>
      <c r="MP132" s="321"/>
      <c r="MQ132" s="321"/>
      <c r="MR132" s="321"/>
      <c r="MS132" s="321"/>
      <c r="MT132" s="321"/>
      <c r="MU132" s="321"/>
      <c r="MV132" s="321"/>
      <c r="MW132" s="321"/>
      <c r="MX132" s="321"/>
      <c r="MY132" s="321"/>
      <c r="MZ132" s="322"/>
      <c r="NA132" s="311"/>
      <c r="NB132" s="312"/>
      <c r="NC132" s="312"/>
      <c r="ND132" s="312"/>
      <c r="NE132" s="313"/>
      <c r="QQ132" s="230"/>
      <c r="QR132" s="231"/>
      <c r="QS132" s="249"/>
      <c r="QT132" s="249"/>
      <c r="QU132" s="249"/>
      <c r="QV132" s="249"/>
      <c r="QW132" s="250"/>
    </row>
    <row r="133" spans="3:465" ht="5.0999999999999996" customHeight="1" x14ac:dyDescent="0.25">
      <c r="C133" s="226"/>
      <c r="D133" s="227"/>
      <c r="E133" s="22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BA133" s="229"/>
      <c r="BB133" s="229"/>
      <c r="BC133" s="229"/>
      <c r="BE133" s="356"/>
      <c r="BF133" s="357"/>
      <c r="BG133" s="357"/>
      <c r="BH133" s="357"/>
      <c r="BI133" s="357"/>
      <c r="BJ133" s="357"/>
      <c r="BK133" s="357"/>
      <c r="BL133" s="357"/>
      <c r="BM133" s="357"/>
      <c r="BN133" s="357"/>
      <c r="BO133" s="357"/>
      <c r="BP133" s="357"/>
      <c r="BQ133" s="357"/>
      <c r="BR133" s="357"/>
      <c r="BS133" s="357"/>
      <c r="BT133" s="357"/>
      <c r="BU133" s="357"/>
      <c r="BV133" s="357"/>
      <c r="BW133" s="357"/>
      <c r="BX133" s="357"/>
      <c r="BY133" s="357"/>
      <c r="BZ133" s="357"/>
      <c r="CA133" s="357"/>
      <c r="CB133" s="357"/>
      <c r="CC133" s="357"/>
      <c r="CD133" s="357"/>
      <c r="CE133" s="357"/>
      <c r="CF133" s="357"/>
      <c r="CG133" s="357"/>
      <c r="CH133" s="357"/>
      <c r="CI133" s="357"/>
      <c r="CJ133" s="357"/>
      <c r="CK133" s="357"/>
      <c r="CL133" s="357"/>
      <c r="CM133" s="357"/>
      <c r="CN133" s="357"/>
      <c r="CO133" s="357"/>
      <c r="CP133" s="357"/>
      <c r="CQ133" s="357"/>
      <c r="CR133" s="357"/>
      <c r="CS133" s="358"/>
      <c r="CT133" s="356"/>
      <c r="CU133" s="357"/>
      <c r="CV133" s="357"/>
      <c r="CW133" s="357"/>
      <c r="CX133" s="358"/>
      <c r="CY133" s="259"/>
      <c r="DI133" s="371"/>
      <c r="DJ133" s="371"/>
      <c r="DK133" s="371"/>
      <c r="DL133" s="371"/>
      <c r="DM133" s="371"/>
      <c r="DN133" s="371"/>
      <c r="DO133" s="371"/>
      <c r="DP133" s="371"/>
      <c r="DQ133" s="371"/>
      <c r="DR133" s="371"/>
      <c r="DS133" s="371"/>
      <c r="DT133" s="371"/>
      <c r="DU133" s="371"/>
      <c r="DV133" s="371"/>
      <c r="DW133" s="371"/>
      <c r="DX133" s="371"/>
      <c r="DY133" s="371"/>
      <c r="DZ133" s="371"/>
      <c r="EA133" s="371"/>
      <c r="EB133" s="371"/>
      <c r="EC133" s="371"/>
      <c r="ED133" s="371"/>
      <c r="EE133" s="371"/>
      <c r="EF133" s="371"/>
      <c r="EG133" s="371"/>
      <c r="EH133" s="371"/>
      <c r="EI133" s="371"/>
      <c r="EJ133" s="371"/>
      <c r="EK133" s="371"/>
      <c r="EL133" s="371"/>
      <c r="EM133" s="371"/>
      <c r="EN133" s="371"/>
      <c r="EO133" s="371"/>
      <c r="EP133" s="371"/>
      <c r="EQ133" s="371"/>
      <c r="ER133" s="371"/>
      <c r="ES133" s="371"/>
      <c r="ET133" s="371"/>
      <c r="EU133" s="371"/>
      <c r="EV133" s="371"/>
      <c r="EW133" s="371"/>
      <c r="EX133" s="356"/>
      <c r="EY133" s="357"/>
      <c r="EZ133" s="357"/>
      <c r="FA133" s="357"/>
      <c r="FB133" s="358"/>
      <c r="FC133" s="259"/>
      <c r="FD133" s="259"/>
      <c r="FE133" s="259"/>
      <c r="FF133" s="259"/>
      <c r="FG133" s="259"/>
      <c r="FH133" s="259"/>
      <c r="FI133" s="259"/>
      <c r="FJ133" s="259"/>
      <c r="FK133" s="259"/>
      <c r="FL133" s="259"/>
      <c r="FM133" s="259"/>
      <c r="FN133" s="356"/>
      <c r="FO133" s="357"/>
      <c r="FP133" s="357"/>
      <c r="FQ133" s="357"/>
      <c r="FR133" s="357"/>
      <c r="FS133" s="357"/>
      <c r="FT133" s="357"/>
      <c r="FU133" s="357"/>
      <c r="FV133" s="357"/>
      <c r="FW133" s="357"/>
      <c r="FX133" s="357"/>
      <c r="FY133" s="357"/>
      <c r="FZ133" s="357"/>
      <c r="GA133" s="357"/>
      <c r="GB133" s="357"/>
      <c r="GC133" s="357"/>
      <c r="GD133" s="357"/>
      <c r="GE133" s="357"/>
      <c r="GF133" s="357"/>
      <c r="GG133" s="357"/>
      <c r="GH133" s="357"/>
      <c r="GI133" s="357"/>
      <c r="GJ133" s="357"/>
      <c r="GK133" s="357"/>
      <c r="GL133" s="357"/>
      <c r="GM133" s="357"/>
      <c r="GN133" s="357"/>
      <c r="GO133" s="357"/>
      <c r="GP133" s="357"/>
      <c r="GQ133" s="357"/>
      <c r="GR133" s="357"/>
      <c r="GS133" s="357"/>
      <c r="GT133" s="357"/>
      <c r="GU133" s="357"/>
      <c r="GV133" s="357"/>
      <c r="GW133" s="357"/>
      <c r="GX133" s="357"/>
      <c r="GY133" s="357"/>
      <c r="GZ133" s="357"/>
      <c r="HA133" s="357"/>
      <c r="HB133" s="358"/>
      <c r="HC133" s="356"/>
      <c r="HD133" s="357"/>
      <c r="HE133" s="357"/>
      <c r="HF133" s="357"/>
      <c r="HG133" s="358"/>
      <c r="JK133" s="365"/>
      <c r="JL133" s="366"/>
      <c r="JM133" s="366"/>
      <c r="JN133" s="366"/>
      <c r="JO133" s="366"/>
      <c r="JP133" s="366"/>
      <c r="JQ133" s="366"/>
      <c r="JR133" s="366"/>
      <c r="JS133" s="366"/>
      <c r="JT133" s="366"/>
      <c r="JU133" s="366"/>
      <c r="JV133" s="366"/>
      <c r="JW133" s="366"/>
      <c r="JX133" s="366"/>
      <c r="JY133" s="366"/>
      <c r="JZ133" s="366"/>
      <c r="KA133" s="366"/>
      <c r="KB133" s="366"/>
      <c r="KC133" s="366"/>
      <c r="KD133" s="366"/>
      <c r="KE133" s="366"/>
      <c r="KF133" s="366"/>
      <c r="KG133" s="366"/>
      <c r="KH133" s="366"/>
      <c r="KI133" s="366"/>
      <c r="KJ133" s="366"/>
      <c r="KK133" s="366"/>
      <c r="KL133" s="366"/>
      <c r="KM133" s="366"/>
      <c r="KN133" s="366"/>
      <c r="KO133" s="366"/>
      <c r="KP133" s="366"/>
      <c r="KQ133" s="366"/>
      <c r="KR133" s="366"/>
      <c r="KS133" s="366"/>
      <c r="KT133" s="366"/>
      <c r="KU133" s="366"/>
      <c r="KV133" s="366"/>
      <c r="KW133" s="366"/>
      <c r="KX133" s="367"/>
      <c r="KY133" s="311"/>
      <c r="KZ133" s="312"/>
      <c r="LA133" s="312"/>
      <c r="LB133" s="312"/>
      <c r="LC133" s="313"/>
      <c r="LM133" s="320"/>
      <c r="LN133" s="321"/>
      <c r="LO133" s="321"/>
      <c r="LP133" s="321"/>
      <c r="LQ133" s="321"/>
      <c r="LR133" s="321"/>
      <c r="LS133" s="321"/>
      <c r="LT133" s="321"/>
      <c r="LU133" s="321"/>
      <c r="LV133" s="321"/>
      <c r="LW133" s="321"/>
      <c r="LX133" s="321"/>
      <c r="LY133" s="321"/>
      <c r="LZ133" s="321"/>
      <c r="MA133" s="321"/>
      <c r="MB133" s="321"/>
      <c r="MC133" s="321"/>
      <c r="MD133" s="321"/>
      <c r="ME133" s="321"/>
      <c r="MF133" s="321"/>
      <c r="MG133" s="321"/>
      <c r="MH133" s="321"/>
      <c r="MI133" s="321"/>
      <c r="MJ133" s="321"/>
      <c r="MK133" s="321"/>
      <c r="ML133" s="321"/>
      <c r="MM133" s="321"/>
      <c r="MN133" s="321"/>
      <c r="MO133" s="321"/>
      <c r="MP133" s="321"/>
      <c r="MQ133" s="321"/>
      <c r="MR133" s="321"/>
      <c r="MS133" s="321"/>
      <c r="MT133" s="321"/>
      <c r="MU133" s="321"/>
      <c r="MV133" s="321"/>
      <c r="MW133" s="321"/>
      <c r="MX133" s="321"/>
      <c r="MY133" s="321"/>
      <c r="MZ133" s="322"/>
      <c r="NA133" s="311"/>
      <c r="NB133" s="312"/>
      <c r="NC133" s="312"/>
      <c r="ND133" s="312"/>
      <c r="NE133" s="313"/>
      <c r="QQ133" s="230"/>
      <c r="QR133" s="231"/>
      <c r="QS133" s="249"/>
      <c r="QT133" s="249"/>
      <c r="QU133" s="249"/>
      <c r="QV133" s="249"/>
      <c r="QW133" s="250"/>
    </row>
    <row r="134" spans="3:465" ht="5.0999999999999996" customHeight="1" x14ac:dyDescent="0.25">
      <c r="C134" s="226"/>
      <c r="D134" s="227"/>
      <c r="E134" s="22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BA134" s="229"/>
      <c r="BB134" s="229"/>
      <c r="BC134" s="229"/>
      <c r="BE134" s="356"/>
      <c r="BF134" s="357"/>
      <c r="BG134" s="357"/>
      <c r="BH134" s="357"/>
      <c r="BI134" s="357"/>
      <c r="BJ134" s="357"/>
      <c r="BK134" s="357"/>
      <c r="BL134" s="357"/>
      <c r="BM134" s="357"/>
      <c r="BN134" s="357"/>
      <c r="BO134" s="357"/>
      <c r="BP134" s="357"/>
      <c r="BQ134" s="357"/>
      <c r="BR134" s="357"/>
      <c r="BS134" s="357"/>
      <c r="BT134" s="357"/>
      <c r="BU134" s="357"/>
      <c r="BV134" s="357"/>
      <c r="BW134" s="357"/>
      <c r="BX134" s="357"/>
      <c r="BY134" s="357"/>
      <c r="BZ134" s="357"/>
      <c r="CA134" s="357"/>
      <c r="CB134" s="357"/>
      <c r="CC134" s="357"/>
      <c r="CD134" s="357"/>
      <c r="CE134" s="357"/>
      <c r="CF134" s="357"/>
      <c r="CG134" s="357"/>
      <c r="CH134" s="357"/>
      <c r="CI134" s="357"/>
      <c r="CJ134" s="357"/>
      <c r="CK134" s="357"/>
      <c r="CL134" s="357"/>
      <c r="CM134" s="357"/>
      <c r="CN134" s="357"/>
      <c r="CO134" s="357"/>
      <c r="CP134" s="357"/>
      <c r="CQ134" s="357"/>
      <c r="CR134" s="357"/>
      <c r="CS134" s="358"/>
      <c r="CT134" s="356"/>
      <c r="CU134" s="357"/>
      <c r="CV134" s="357"/>
      <c r="CW134" s="357"/>
      <c r="CX134" s="358"/>
      <c r="CY134" s="259"/>
      <c r="DI134" s="371"/>
      <c r="DJ134" s="371"/>
      <c r="DK134" s="371"/>
      <c r="DL134" s="371"/>
      <c r="DM134" s="371"/>
      <c r="DN134" s="371"/>
      <c r="DO134" s="371"/>
      <c r="DP134" s="371"/>
      <c r="DQ134" s="371"/>
      <c r="DR134" s="371"/>
      <c r="DS134" s="371"/>
      <c r="DT134" s="371"/>
      <c r="DU134" s="371"/>
      <c r="DV134" s="371"/>
      <c r="DW134" s="371"/>
      <c r="DX134" s="371"/>
      <c r="DY134" s="371"/>
      <c r="DZ134" s="371"/>
      <c r="EA134" s="371"/>
      <c r="EB134" s="371"/>
      <c r="EC134" s="371"/>
      <c r="ED134" s="371"/>
      <c r="EE134" s="371"/>
      <c r="EF134" s="371"/>
      <c r="EG134" s="371"/>
      <c r="EH134" s="371"/>
      <c r="EI134" s="371"/>
      <c r="EJ134" s="371"/>
      <c r="EK134" s="371"/>
      <c r="EL134" s="371"/>
      <c r="EM134" s="371"/>
      <c r="EN134" s="371"/>
      <c r="EO134" s="371"/>
      <c r="EP134" s="371"/>
      <c r="EQ134" s="371"/>
      <c r="ER134" s="371"/>
      <c r="ES134" s="371"/>
      <c r="ET134" s="371"/>
      <c r="EU134" s="371"/>
      <c r="EV134" s="371"/>
      <c r="EW134" s="371"/>
      <c r="EX134" s="356"/>
      <c r="EY134" s="357"/>
      <c r="EZ134" s="357"/>
      <c r="FA134" s="357"/>
      <c r="FB134" s="358"/>
      <c r="FC134" s="259"/>
      <c r="FD134" s="259"/>
      <c r="FE134" s="259"/>
      <c r="FF134" s="259"/>
      <c r="FG134" s="259"/>
      <c r="FH134" s="259"/>
      <c r="FI134" s="259"/>
      <c r="FJ134" s="259"/>
      <c r="FK134" s="259"/>
      <c r="FL134" s="259"/>
      <c r="FM134" s="259"/>
      <c r="FN134" s="356"/>
      <c r="FO134" s="357"/>
      <c r="FP134" s="357"/>
      <c r="FQ134" s="357"/>
      <c r="FR134" s="357"/>
      <c r="FS134" s="357"/>
      <c r="FT134" s="357"/>
      <c r="FU134" s="357"/>
      <c r="FV134" s="357"/>
      <c r="FW134" s="357"/>
      <c r="FX134" s="357"/>
      <c r="FY134" s="357"/>
      <c r="FZ134" s="357"/>
      <c r="GA134" s="357"/>
      <c r="GB134" s="357"/>
      <c r="GC134" s="357"/>
      <c r="GD134" s="357"/>
      <c r="GE134" s="357"/>
      <c r="GF134" s="357"/>
      <c r="GG134" s="357"/>
      <c r="GH134" s="357"/>
      <c r="GI134" s="357"/>
      <c r="GJ134" s="357"/>
      <c r="GK134" s="357"/>
      <c r="GL134" s="357"/>
      <c r="GM134" s="357"/>
      <c r="GN134" s="357"/>
      <c r="GO134" s="357"/>
      <c r="GP134" s="357"/>
      <c r="GQ134" s="357"/>
      <c r="GR134" s="357"/>
      <c r="GS134" s="357"/>
      <c r="GT134" s="357"/>
      <c r="GU134" s="357"/>
      <c r="GV134" s="357"/>
      <c r="GW134" s="357"/>
      <c r="GX134" s="357"/>
      <c r="GY134" s="357"/>
      <c r="GZ134" s="357"/>
      <c r="HA134" s="357"/>
      <c r="HB134" s="358"/>
      <c r="HC134" s="356"/>
      <c r="HD134" s="357"/>
      <c r="HE134" s="357"/>
      <c r="HF134" s="357"/>
      <c r="HG134" s="358"/>
      <c r="JK134" s="368"/>
      <c r="JL134" s="369"/>
      <c r="JM134" s="369"/>
      <c r="JN134" s="369"/>
      <c r="JO134" s="369"/>
      <c r="JP134" s="369"/>
      <c r="JQ134" s="369"/>
      <c r="JR134" s="369"/>
      <c r="JS134" s="369"/>
      <c r="JT134" s="369"/>
      <c r="JU134" s="369"/>
      <c r="JV134" s="369"/>
      <c r="JW134" s="369"/>
      <c r="JX134" s="369"/>
      <c r="JY134" s="369"/>
      <c r="JZ134" s="369"/>
      <c r="KA134" s="369"/>
      <c r="KB134" s="369"/>
      <c r="KC134" s="369"/>
      <c r="KD134" s="369"/>
      <c r="KE134" s="369"/>
      <c r="KF134" s="369"/>
      <c r="KG134" s="369"/>
      <c r="KH134" s="369"/>
      <c r="KI134" s="369"/>
      <c r="KJ134" s="369"/>
      <c r="KK134" s="369"/>
      <c r="KL134" s="369"/>
      <c r="KM134" s="369"/>
      <c r="KN134" s="369"/>
      <c r="KO134" s="369"/>
      <c r="KP134" s="369"/>
      <c r="KQ134" s="369"/>
      <c r="KR134" s="369"/>
      <c r="KS134" s="369"/>
      <c r="KT134" s="369"/>
      <c r="KU134" s="369"/>
      <c r="KV134" s="369"/>
      <c r="KW134" s="369"/>
      <c r="KX134" s="370"/>
      <c r="KY134" s="314"/>
      <c r="KZ134" s="315"/>
      <c r="LA134" s="315"/>
      <c r="LB134" s="315"/>
      <c r="LC134" s="316"/>
      <c r="LM134" s="323"/>
      <c r="LN134" s="324"/>
      <c r="LO134" s="324"/>
      <c r="LP134" s="324"/>
      <c r="LQ134" s="324"/>
      <c r="LR134" s="324"/>
      <c r="LS134" s="324"/>
      <c r="LT134" s="324"/>
      <c r="LU134" s="324"/>
      <c r="LV134" s="324"/>
      <c r="LW134" s="324"/>
      <c r="LX134" s="324"/>
      <c r="LY134" s="324"/>
      <c r="LZ134" s="324"/>
      <c r="MA134" s="324"/>
      <c r="MB134" s="324"/>
      <c r="MC134" s="324"/>
      <c r="MD134" s="324"/>
      <c r="ME134" s="324"/>
      <c r="MF134" s="324"/>
      <c r="MG134" s="324"/>
      <c r="MH134" s="324"/>
      <c r="MI134" s="324"/>
      <c r="MJ134" s="324"/>
      <c r="MK134" s="324"/>
      <c r="ML134" s="324"/>
      <c r="MM134" s="324"/>
      <c r="MN134" s="324"/>
      <c r="MO134" s="324"/>
      <c r="MP134" s="324"/>
      <c r="MQ134" s="324"/>
      <c r="MR134" s="324"/>
      <c r="MS134" s="324"/>
      <c r="MT134" s="324"/>
      <c r="MU134" s="324"/>
      <c r="MV134" s="324"/>
      <c r="MW134" s="324"/>
      <c r="MX134" s="324"/>
      <c r="MY134" s="324"/>
      <c r="MZ134" s="325"/>
      <c r="NA134" s="314"/>
      <c r="NB134" s="315"/>
      <c r="NC134" s="315"/>
      <c r="ND134" s="315"/>
      <c r="NE134" s="316"/>
      <c r="QQ134" s="230"/>
      <c r="QR134" s="231"/>
      <c r="QS134" s="249"/>
      <c r="QT134" s="249"/>
      <c r="QU134" s="249"/>
      <c r="QV134" s="249"/>
      <c r="QW134" s="250"/>
    </row>
    <row r="135" spans="3:465" ht="5.0999999999999996" customHeight="1" x14ac:dyDescent="0.25">
      <c r="C135" s="226"/>
      <c r="D135" s="227"/>
      <c r="E135" s="22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BA135" s="229"/>
      <c r="BB135" s="229"/>
      <c r="BC135" s="229"/>
      <c r="BE135" s="356"/>
      <c r="BF135" s="357"/>
      <c r="BG135" s="357"/>
      <c r="BH135" s="357"/>
      <c r="BI135" s="357"/>
      <c r="BJ135" s="357"/>
      <c r="BK135" s="357"/>
      <c r="BL135" s="357"/>
      <c r="BM135" s="357"/>
      <c r="BN135" s="357"/>
      <c r="BO135" s="357"/>
      <c r="BP135" s="357"/>
      <c r="BQ135" s="357"/>
      <c r="BR135" s="357"/>
      <c r="BS135" s="357"/>
      <c r="BT135" s="357"/>
      <c r="BU135" s="357"/>
      <c r="BV135" s="357"/>
      <c r="BW135" s="357"/>
      <c r="BX135" s="357"/>
      <c r="BY135" s="357"/>
      <c r="BZ135" s="357"/>
      <c r="CA135" s="357"/>
      <c r="CB135" s="357"/>
      <c r="CC135" s="357"/>
      <c r="CD135" s="357"/>
      <c r="CE135" s="357"/>
      <c r="CF135" s="357"/>
      <c r="CG135" s="357"/>
      <c r="CH135" s="357"/>
      <c r="CI135" s="357"/>
      <c r="CJ135" s="357"/>
      <c r="CK135" s="357"/>
      <c r="CL135" s="357"/>
      <c r="CM135" s="357"/>
      <c r="CN135" s="357"/>
      <c r="CO135" s="357"/>
      <c r="CP135" s="357"/>
      <c r="CQ135" s="357"/>
      <c r="CR135" s="357"/>
      <c r="CS135" s="358"/>
      <c r="CT135" s="356"/>
      <c r="CU135" s="357"/>
      <c r="CV135" s="357"/>
      <c r="CW135" s="357"/>
      <c r="CX135" s="358"/>
      <c r="CY135" s="259"/>
      <c r="DI135" s="371"/>
      <c r="DJ135" s="371"/>
      <c r="DK135" s="371"/>
      <c r="DL135" s="371"/>
      <c r="DM135" s="371"/>
      <c r="DN135" s="371"/>
      <c r="DO135" s="371"/>
      <c r="DP135" s="371"/>
      <c r="DQ135" s="371"/>
      <c r="DR135" s="371"/>
      <c r="DS135" s="371"/>
      <c r="DT135" s="371"/>
      <c r="DU135" s="371"/>
      <c r="DV135" s="371"/>
      <c r="DW135" s="371"/>
      <c r="DX135" s="371"/>
      <c r="DY135" s="371"/>
      <c r="DZ135" s="371"/>
      <c r="EA135" s="371"/>
      <c r="EB135" s="371"/>
      <c r="EC135" s="371"/>
      <c r="ED135" s="371"/>
      <c r="EE135" s="371"/>
      <c r="EF135" s="371"/>
      <c r="EG135" s="371"/>
      <c r="EH135" s="371"/>
      <c r="EI135" s="371"/>
      <c r="EJ135" s="371"/>
      <c r="EK135" s="371"/>
      <c r="EL135" s="371"/>
      <c r="EM135" s="371"/>
      <c r="EN135" s="371"/>
      <c r="EO135" s="371"/>
      <c r="EP135" s="371"/>
      <c r="EQ135" s="371"/>
      <c r="ER135" s="371"/>
      <c r="ES135" s="371"/>
      <c r="ET135" s="371"/>
      <c r="EU135" s="371"/>
      <c r="EV135" s="371"/>
      <c r="EW135" s="371"/>
      <c r="EX135" s="356"/>
      <c r="EY135" s="357"/>
      <c r="EZ135" s="357"/>
      <c r="FA135" s="357"/>
      <c r="FB135" s="358"/>
      <c r="FC135" s="259"/>
      <c r="FD135" s="259"/>
      <c r="FE135" s="259"/>
      <c r="FF135" s="259"/>
      <c r="FG135" s="259"/>
      <c r="FH135" s="259"/>
      <c r="FI135" s="259"/>
      <c r="FJ135" s="259"/>
      <c r="FK135" s="259"/>
      <c r="FL135" s="259"/>
      <c r="FM135" s="259"/>
      <c r="FN135" s="356"/>
      <c r="FO135" s="357"/>
      <c r="FP135" s="357"/>
      <c r="FQ135" s="357"/>
      <c r="FR135" s="357"/>
      <c r="FS135" s="357"/>
      <c r="FT135" s="357"/>
      <c r="FU135" s="357"/>
      <c r="FV135" s="357"/>
      <c r="FW135" s="357"/>
      <c r="FX135" s="357"/>
      <c r="FY135" s="357"/>
      <c r="FZ135" s="357"/>
      <c r="GA135" s="357"/>
      <c r="GB135" s="357"/>
      <c r="GC135" s="357"/>
      <c r="GD135" s="357"/>
      <c r="GE135" s="357"/>
      <c r="GF135" s="357"/>
      <c r="GG135" s="357"/>
      <c r="GH135" s="357"/>
      <c r="GI135" s="357"/>
      <c r="GJ135" s="357"/>
      <c r="GK135" s="357"/>
      <c r="GL135" s="357"/>
      <c r="GM135" s="357"/>
      <c r="GN135" s="357"/>
      <c r="GO135" s="357"/>
      <c r="GP135" s="357"/>
      <c r="GQ135" s="357"/>
      <c r="GR135" s="357"/>
      <c r="GS135" s="357"/>
      <c r="GT135" s="357"/>
      <c r="GU135" s="357"/>
      <c r="GV135" s="357"/>
      <c r="GW135" s="357"/>
      <c r="GX135" s="357"/>
      <c r="GY135" s="357"/>
      <c r="GZ135" s="357"/>
      <c r="HA135" s="357"/>
      <c r="HB135" s="358"/>
      <c r="HC135" s="356"/>
      <c r="HD135" s="357"/>
      <c r="HE135" s="357"/>
      <c r="HF135" s="357"/>
      <c r="HG135" s="358"/>
      <c r="JK135" s="362" t="s">
        <v>433</v>
      </c>
      <c r="JL135" s="363"/>
      <c r="JM135" s="363"/>
      <c r="JN135" s="363"/>
      <c r="JO135" s="363"/>
      <c r="JP135" s="363"/>
      <c r="JQ135" s="363"/>
      <c r="JR135" s="363"/>
      <c r="JS135" s="363"/>
      <c r="JT135" s="363"/>
      <c r="JU135" s="363"/>
      <c r="JV135" s="363"/>
      <c r="JW135" s="363"/>
      <c r="JX135" s="363"/>
      <c r="JY135" s="363"/>
      <c r="JZ135" s="363"/>
      <c r="KA135" s="363"/>
      <c r="KB135" s="363"/>
      <c r="KC135" s="363"/>
      <c r="KD135" s="363"/>
      <c r="KE135" s="363"/>
      <c r="KF135" s="363"/>
      <c r="KG135" s="363"/>
      <c r="KH135" s="363"/>
      <c r="KI135" s="363"/>
      <c r="KJ135" s="363"/>
      <c r="KK135" s="363"/>
      <c r="KL135" s="363"/>
      <c r="KM135" s="363"/>
      <c r="KN135" s="363"/>
      <c r="KO135" s="363"/>
      <c r="KP135" s="363"/>
      <c r="KQ135" s="363"/>
      <c r="KR135" s="363"/>
      <c r="KS135" s="363"/>
      <c r="KT135" s="363"/>
      <c r="KU135" s="363"/>
      <c r="KV135" s="363"/>
      <c r="KW135" s="363"/>
      <c r="KX135" s="364"/>
      <c r="KY135" s="308">
        <v>5</v>
      </c>
      <c r="KZ135" s="309"/>
      <c r="LA135" s="309"/>
      <c r="LB135" s="309"/>
      <c r="LC135" s="310"/>
      <c r="LM135" s="317" t="s">
        <v>434</v>
      </c>
      <c r="LN135" s="318"/>
      <c r="LO135" s="318"/>
      <c r="LP135" s="318"/>
      <c r="LQ135" s="318"/>
      <c r="LR135" s="318"/>
      <c r="LS135" s="318"/>
      <c r="LT135" s="318"/>
      <c r="LU135" s="318"/>
      <c r="LV135" s="318"/>
      <c r="LW135" s="318"/>
      <c r="LX135" s="318"/>
      <c r="LY135" s="318"/>
      <c r="LZ135" s="318"/>
      <c r="MA135" s="318"/>
      <c r="MB135" s="318"/>
      <c r="MC135" s="318"/>
      <c r="MD135" s="318"/>
      <c r="ME135" s="318"/>
      <c r="MF135" s="318"/>
      <c r="MG135" s="318"/>
      <c r="MH135" s="318"/>
      <c r="MI135" s="318"/>
      <c r="MJ135" s="318"/>
      <c r="MK135" s="318"/>
      <c r="ML135" s="318"/>
      <c r="MM135" s="318"/>
      <c r="MN135" s="318"/>
      <c r="MO135" s="318"/>
      <c r="MP135" s="318"/>
      <c r="MQ135" s="318"/>
      <c r="MR135" s="318"/>
      <c r="MS135" s="318"/>
      <c r="MT135" s="318"/>
      <c r="MU135" s="318"/>
      <c r="MV135" s="318"/>
      <c r="MW135" s="318"/>
      <c r="MX135" s="318"/>
      <c r="MY135" s="318"/>
      <c r="MZ135" s="319"/>
      <c r="NA135" s="308">
        <v>2</v>
      </c>
      <c r="NB135" s="309"/>
      <c r="NC135" s="309"/>
      <c r="ND135" s="309"/>
      <c r="NE135" s="310"/>
      <c r="QQ135" s="230"/>
      <c r="QR135" s="231"/>
      <c r="QS135" s="249"/>
      <c r="QT135" s="249"/>
      <c r="QU135" s="249"/>
      <c r="QV135" s="249"/>
      <c r="QW135" s="250"/>
    </row>
    <row r="136" spans="3:465" ht="5.0999999999999996" customHeight="1" x14ac:dyDescent="0.25">
      <c r="C136" s="226"/>
      <c r="D136" s="227"/>
      <c r="E136" s="22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BE136" s="356"/>
      <c r="BF136" s="357"/>
      <c r="BG136" s="357"/>
      <c r="BH136" s="357"/>
      <c r="BI136" s="357"/>
      <c r="BJ136" s="357"/>
      <c r="BK136" s="357"/>
      <c r="BL136" s="357"/>
      <c r="BM136" s="357"/>
      <c r="BN136" s="357"/>
      <c r="BO136" s="357"/>
      <c r="BP136" s="357"/>
      <c r="BQ136" s="357"/>
      <c r="BR136" s="357"/>
      <c r="BS136" s="357"/>
      <c r="BT136" s="357"/>
      <c r="BU136" s="357"/>
      <c r="BV136" s="357"/>
      <c r="BW136" s="357"/>
      <c r="BX136" s="357"/>
      <c r="BY136" s="357"/>
      <c r="BZ136" s="357"/>
      <c r="CA136" s="357"/>
      <c r="CB136" s="357"/>
      <c r="CC136" s="357"/>
      <c r="CD136" s="357"/>
      <c r="CE136" s="357"/>
      <c r="CF136" s="357"/>
      <c r="CG136" s="357"/>
      <c r="CH136" s="357"/>
      <c r="CI136" s="357"/>
      <c r="CJ136" s="357"/>
      <c r="CK136" s="357"/>
      <c r="CL136" s="357"/>
      <c r="CM136" s="357"/>
      <c r="CN136" s="357"/>
      <c r="CO136" s="357"/>
      <c r="CP136" s="357"/>
      <c r="CQ136" s="357"/>
      <c r="CR136" s="357"/>
      <c r="CS136" s="358"/>
      <c r="CT136" s="356"/>
      <c r="CU136" s="357"/>
      <c r="CV136" s="357"/>
      <c r="CW136" s="357"/>
      <c r="CX136" s="358"/>
      <c r="CY136" s="259"/>
      <c r="DI136" s="371"/>
      <c r="DJ136" s="371"/>
      <c r="DK136" s="371"/>
      <c r="DL136" s="371"/>
      <c r="DM136" s="371"/>
      <c r="DN136" s="371"/>
      <c r="DO136" s="371"/>
      <c r="DP136" s="371"/>
      <c r="DQ136" s="371"/>
      <c r="DR136" s="371"/>
      <c r="DS136" s="371"/>
      <c r="DT136" s="371"/>
      <c r="DU136" s="371"/>
      <c r="DV136" s="371"/>
      <c r="DW136" s="371"/>
      <c r="DX136" s="371"/>
      <c r="DY136" s="371"/>
      <c r="DZ136" s="371"/>
      <c r="EA136" s="371"/>
      <c r="EB136" s="371"/>
      <c r="EC136" s="371"/>
      <c r="ED136" s="371"/>
      <c r="EE136" s="371"/>
      <c r="EF136" s="371"/>
      <c r="EG136" s="371"/>
      <c r="EH136" s="371"/>
      <c r="EI136" s="371"/>
      <c r="EJ136" s="371"/>
      <c r="EK136" s="371"/>
      <c r="EL136" s="371"/>
      <c r="EM136" s="371"/>
      <c r="EN136" s="371"/>
      <c r="EO136" s="371"/>
      <c r="EP136" s="371"/>
      <c r="EQ136" s="371"/>
      <c r="ER136" s="371"/>
      <c r="ES136" s="371"/>
      <c r="ET136" s="371"/>
      <c r="EU136" s="371"/>
      <c r="EV136" s="371"/>
      <c r="EW136" s="371"/>
      <c r="EX136" s="356"/>
      <c r="EY136" s="357"/>
      <c r="EZ136" s="357"/>
      <c r="FA136" s="357"/>
      <c r="FB136" s="358"/>
      <c r="FC136" s="259"/>
      <c r="FD136" s="259"/>
      <c r="FE136" s="259"/>
      <c r="FF136" s="259"/>
      <c r="FG136" s="259"/>
      <c r="FH136" s="259"/>
      <c r="FI136" s="259"/>
      <c r="FJ136" s="259"/>
      <c r="FK136" s="259"/>
      <c r="FL136" s="259"/>
      <c r="FM136" s="259"/>
      <c r="FN136" s="356"/>
      <c r="FO136" s="357"/>
      <c r="FP136" s="357"/>
      <c r="FQ136" s="357"/>
      <c r="FR136" s="357"/>
      <c r="FS136" s="357"/>
      <c r="FT136" s="357"/>
      <c r="FU136" s="357"/>
      <c r="FV136" s="357"/>
      <c r="FW136" s="357"/>
      <c r="FX136" s="357"/>
      <c r="FY136" s="357"/>
      <c r="FZ136" s="357"/>
      <c r="GA136" s="357"/>
      <c r="GB136" s="357"/>
      <c r="GC136" s="357"/>
      <c r="GD136" s="357"/>
      <c r="GE136" s="357"/>
      <c r="GF136" s="357"/>
      <c r="GG136" s="357"/>
      <c r="GH136" s="357"/>
      <c r="GI136" s="357"/>
      <c r="GJ136" s="357"/>
      <c r="GK136" s="357"/>
      <c r="GL136" s="357"/>
      <c r="GM136" s="357"/>
      <c r="GN136" s="357"/>
      <c r="GO136" s="357"/>
      <c r="GP136" s="357"/>
      <c r="GQ136" s="357"/>
      <c r="GR136" s="357"/>
      <c r="GS136" s="357"/>
      <c r="GT136" s="357"/>
      <c r="GU136" s="357"/>
      <c r="GV136" s="357"/>
      <c r="GW136" s="357"/>
      <c r="GX136" s="357"/>
      <c r="GY136" s="357"/>
      <c r="GZ136" s="357"/>
      <c r="HA136" s="357"/>
      <c r="HB136" s="358"/>
      <c r="HC136" s="356"/>
      <c r="HD136" s="357"/>
      <c r="HE136" s="357"/>
      <c r="HF136" s="357"/>
      <c r="HG136" s="358"/>
      <c r="JD136" s="229"/>
      <c r="JE136" s="229"/>
      <c r="JF136" s="229"/>
      <c r="JK136" s="365"/>
      <c r="JL136" s="366"/>
      <c r="JM136" s="366"/>
      <c r="JN136" s="366"/>
      <c r="JO136" s="366"/>
      <c r="JP136" s="366"/>
      <c r="JQ136" s="366"/>
      <c r="JR136" s="366"/>
      <c r="JS136" s="366"/>
      <c r="JT136" s="366"/>
      <c r="JU136" s="366"/>
      <c r="JV136" s="366"/>
      <c r="JW136" s="366"/>
      <c r="JX136" s="366"/>
      <c r="JY136" s="366"/>
      <c r="JZ136" s="366"/>
      <c r="KA136" s="366"/>
      <c r="KB136" s="366"/>
      <c r="KC136" s="366"/>
      <c r="KD136" s="366"/>
      <c r="KE136" s="366"/>
      <c r="KF136" s="366"/>
      <c r="KG136" s="366"/>
      <c r="KH136" s="366"/>
      <c r="KI136" s="366"/>
      <c r="KJ136" s="366"/>
      <c r="KK136" s="366"/>
      <c r="KL136" s="366"/>
      <c r="KM136" s="366"/>
      <c r="KN136" s="366"/>
      <c r="KO136" s="366"/>
      <c r="KP136" s="366"/>
      <c r="KQ136" s="366"/>
      <c r="KR136" s="366"/>
      <c r="KS136" s="366"/>
      <c r="KT136" s="366"/>
      <c r="KU136" s="366"/>
      <c r="KV136" s="366"/>
      <c r="KW136" s="366"/>
      <c r="KX136" s="367"/>
      <c r="KY136" s="311"/>
      <c r="KZ136" s="312"/>
      <c r="LA136" s="312"/>
      <c r="LB136" s="312"/>
      <c r="LC136" s="313"/>
      <c r="LM136" s="320"/>
      <c r="LN136" s="321"/>
      <c r="LO136" s="321"/>
      <c r="LP136" s="321"/>
      <c r="LQ136" s="321"/>
      <c r="LR136" s="321"/>
      <c r="LS136" s="321"/>
      <c r="LT136" s="321"/>
      <c r="LU136" s="321"/>
      <c r="LV136" s="321"/>
      <c r="LW136" s="321"/>
      <c r="LX136" s="321"/>
      <c r="LY136" s="321"/>
      <c r="LZ136" s="321"/>
      <c r="MA136" s="321"/>
      <c r="MB136" s="321"/>
      <c r="MC136" s="321"/>
      <c r="MD136" s="321"/>
      <c r="ME136" s="321"/>
      <c r="MF136" s="321"/>
      <c r="MG136" s="321"/>
      <c r="MH136" s="321"/>
      <c r="MI136" s="321"/>
      <c r="MJ136" s="321"/>
      <c r="MK136" s="321"/>
      <c r="ML136" s="321"/>
      <c r="MM136" s="321"/>
      <c r="MN136" s="321"/>
      <c r="MO136" s="321"/>
      <c r="MP136" s="321"/>
      <c r="MQ136" s="321"/>
      <c r="MR136" s="321"/>
      <c r="MS136" s="321"/>
      <c r="MT136" s="321"/>
      <c r="MU136" s="321"/>
      <c r="MV136" s="321"/>
      <c r="MW136" s="321"/>
      <c r="MX136" s="321"/>
      <c r="MY136" s="321"/>
      <c r="MZ136" s="322"/>
      <c r="NA136" s="311"/>
      <c r="NB136" s="312"/>
      <c r="NC136" s="312"/>
      <c r="ND136" s="312"/>
      <c r="NE136" s="313"/>
      <c r="QQ136" s="230"/>
      <c r="QR136" s="231"/>
      <c r="QS136" s="249"/>
      <c r="QT136" s="249"/>
      <c r="QU136" s="249"/>
      <c r="QV136" s="249"/>
      <c r="QW136" s="250"/>
    </row>
    <row r="137" spans="3:465" ht="5.0999999999999996" customHeight="1" x14ac:dyDescent="0.25">
      <c r="C137" s="226"/>
      <c r="D137" s="227"/>
      <c r="E137" s="22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BE137" s="356"/>
      <c r="BF137" s="357"/>
      <c r="BG137" s="357"/>
      <c r="BH137" s="357"/>
      <c r="BI137" s="357"/>
      <c r="BJ137" s="357"/>
      <c r="BK137" s="357"/>
      <c r="BL137" s="357"/>
      <c r="BM137" s="357"/>
      <c r="BN137" s="357"/>
      <c r="BO137" s="357"/>
      <c r="BP137" s="357"/>
      <c r="BQ137" s="357"/>
      <c r="BR137" s="357"/>
      <c r="BS137" s="357"/>
      <c r="BT137" s="357"/>
      <c r="BU137" s="357"/>
      <c r="BV137" s="357"/>
      <c r="BW137" s="357"/>
      <c r="BX137" s="357"/>
      <c r="BY137" s="357"/>
      <c r="BZ137" s="357"/>
      <c r="CA137" s="357"/>
      <c r="CB137" s="357"/>
      <c r="CC137" s="357"/>
      <c r="CD137" s="357"/>
      <c r="CE137" s="357"/>
      <c r="CF137" s="357"/>
      <c r="CG137" s="357"/>
      <c r="CH137" s="357"/>
      <c r="CI137" s="357"/>
      <c r="CJ137" s="357"/>
      <c r="CK137" s="357"/>
      <c r="CL137" s="357"/>
      <c r="CM137" s="357"/>
      <c r="CN137" s="357"/>
      <c r="CO137" s="357"/>
      <c r="CP137" s="357"/>
      <c r="CQ137" s="357"/>
      <c r="CR137" s="357"/>
      <c r="CS137" s="358"/>
      <c r="CT137" s="356"/>
      <c r="CU137" s="357"/>
      <c r="CV137" s="357"/>
      <c r="CW137" s="357"/>
      <c r="CX137" s="358"/>
      <c r="CY137" s="259"/>
      <c r="DI137" s="371"/>
      <c r="DJ137" s="371"/>
      <c r="DK137" s="371"/>
      <c r="DL137" s="371"/>
      <c r="DM137" s="371"/>
      <c r="DN137" s="371"/>
      <c r="DO137" s="371"/>
      <c r="DP137" s="371"/>
      <c r="DQ137" s="371"/>
      <c r="DR137" s="371"/>
      <c r="DS137" s="371"/>
      <c r="DT137" s="371"/>
      <c r="DU137" s="371"/>
      <c r="DV137" s="371"/>
      <c r="DW137" s="371"/>
      <c r="DX137" s="371"/>
      <c r="DY137" s="371"/>
      <c r="DZ137" s="371"/>
      <c r="EA137" s="371"/>
      <c r="EB137" s="371"/>
      <c r="EC137" s="371"/>
      <c r="ED137" s="371"/>
      <c r="EE137" s="371"/>
      <c r="EF137" s="371"/>
      <c r="EG137" s="371"/>
      <c r="EH137" s="371"/>
      <c r="EI137" s="371"/>
      <c r="EJ137" s="371"/>
      <c r="EK137" s="371"/>
      <c r="EL137" s="371"/>
      <c r="EM137" s="371"/>
      <c r="EN137" s="371"/>
      <c r="EO137" s="371"/>
      <c r="EP137" s="371"/>
      <c r="EQ137" s="371"/>
      <c r="ER137" s="371"/>
      <c r="ES137" s="371"/>
      <c r="ET137" s="371"/>
      <c r="EU137" s="371"/>
      <c r="EV137" s="371"/>
      <c r="EW137" s="371"/>
      <c r="EX137" s="356"/>
      <c r="EY137" s="357"/>
      <c r="EZ137" s="357"/>
      <c r="FA137" s="357"/>
      <c r="FB137" s="358"/>
      <c r="FC137" s="259"/>
      <c r="FD137" s="259"/>
      <c r="FE137" s="259"/>
      <c r="FF137" s="259"/>
      <c r="FG137" s="259"/>
      <c r="FH137" s="259"/>
      <c r="FI137" s="259"/>
      <c r="FJ137" s="259"/>
      <c r="FK137" s="259"/>
      <c r="FL137" s="259"/>
      <c r="FM137" s="259"/>
      <c r="FN137" s="356"/>
      <c r="FO137" s="357"/>
      <c r="FP137" s="357"/>
      <c r="FQ137" s="357"/>
      <c r="FR137" s="357"/>
      <c r="FS137" s="357"/>
      <c r="FT137" s="357"/>
      <c r="FU137" s="357"/>
      <c r="FV137" s="357"/>
      <c r="FW137" s="357"/>
      <c r="FX137" s="357"/>
      <c r="FY137" s="357"/>
      <c r="FZ137" s="357"/>
      <c r="GA137" s="357"/>
      <c r="GB137" s="357"/>
      <c r="GC137" s="357"/>
      <c r="GD137" s="357"/>
      <c r="GE137" s="357"/>
      <c r="GF137" s="357"/>
      <c r="GG137" s="357"/>
      <c r="GH137" s="357"/>
      <c r="GI137" s="357"/>
      <c r="GJ137" s="357"/>
      <c r="GK137" s="357"/>
      <c r="GL137" s="357"/>
      <c r="GM137" s="357"/>
      <c r="GN137" s="357"/>
      <c r="GO137" s="357"/>
      <c r="GP137" s="357"/>
      <c r="GQ137" s="357"/>
      <c r="GR137" s="357"/>
      <c r="GS137" s="357"/>
      <c r="GT137" s="357"/>
      <c r="GU137" s="357"/>
      <c r="GV137" s="357"/>
      <c r="GW137" s="357"/>
      <c r="GX137" s="357"/>
      <c r="GY137" s="357"/>
      <c r="GZ137" s="357"/>
      <c r="HA137" s="357"/>
      <c r="HB137" s="358"/>
      <c r="HC137" s="356"/>
      <c r="HD137" s="357"/>
      <c r="HE137" s="357"/>
      <c r="HF137" s="357"/>
      <c r="HG137" s="358"/>
      <c r="JD137" s="229"/>
      <c r="JE137" s="229"/>
      <c r="JF137" s="229"/>
      <c r="JK137" s="365"/>
      <c r="JL137" s="366"/>
      <c r="JM137" s="366"/>
      <c r="JN137" s="366"/>
      <c r="JO137" s="366"/>
      <c r="JP137" s="366"/>
      <c r="JQ137" s="366"/>
      <c r="JR137" s="366"/>
      <c r="JS137" s="366"/>
      <c r="JT137" s="366"/>
      <c r="JU137" s="366"/>
      <c r="JV137" s="366"/>
      <c r="JW137" s="366"/>
      <c r="JX137" s="366"/>
      <c r="JY137" s="366"/>
      <c r="JZ137" s="366"/>
      <c r="KA137" s="366"/>
      <c r="KB137" s="366"/>
      <c r="KC137" s="366"/>
      <c r="KD137" s="366"/>
      <c r="KE137" s="366"/>
      <c r="KF137" s="366"/>
      <c r="KG137" s="366"/>
      <c r="KH137" s="366"/>
      <c r="KI137" s="366"/>
      <c r="KJ137" s="366"/>
      <c r="KK137" s="366"/>
      <c r="KL137" s="366"/>
      <c r="KM137" s="366"/>
      <c r="KN137" s="366"/>
      <c r="KO137" s="366"/>
      <c r="KP137" s="366"/>
      <c r="KQ137" s="366"/>
      <c r="KR137" s="366"/>
      <c r="KS137" s="366"/>
      <c r="KT137" s="366"/>
      <c r="KU137" s="366"/>
      <c r="KV137" s="366"/>
      <c r="KW137" s="366"/>
      <c r="KX137" s="367"/>
      <c r="KY137" s="311"/>
      <c r="KZ137" s="312"/>
      <c r="LA137" s="312"/>
      <c r="LB137" s="312"/>
      <c r="LC137" s="313"/>
      <c r="LM137" s="320"/>
      <c r="LN137" s="321"/>
      <c r="LO137" s="321"/>
      <c r="LP137" s="321"/>
      <c r="LQ137" s="321"/>
      <c r="LR137" s="321"/>
      <c r="LS137" s="321"/>
      <c r="LT137" s="321"/>
      <c r="LU137" s="321"/>
      <c r="LV137" s="321"/>
      <c r="LW137" s="321"/>
      <c r="LX137" s="321"/>
      <c r="LY137" s="321"/>
      <c r="LZ137" s="321"/>
      <c r="MA137" s="321"/>
      <c r="MB137" s="321"/>
      <c r="MC137" s="321"/>
      <c r="MD137" s="321"/>
      <c r="ME137" s="321"/>
      <c r="MF137" s="321"/>
      <c r="MG137" s="321"/>
      <c r="MH137" s="321"/>
      <c r="MI137" s="321"/>
      <c r="MJ137" s="321"/>
      <c r="MK137" s="321"/>
      <c r="ML137" s="321"/>
      <c r="MM137" s="321"/>
      <c r="MN137" s="321"/>
      <c r="MO137" s="321"/>
      <c r="MP137" s="321"/>
      <c r="MQ137" s="321"/>
      <c r="MR137" s="321"/>
      <c r="MS137" s="321"/>
      <c r="MT137" s="321"/>
      <c r="MU137" s="321"/>
      <c r="MV137" s="321"/>
      <c r="MW137" s="321"/>
      <c r="MX137" s="321"/>
      <c r="MY137" s="321"/>
      <c r="MZ137" s="322"/>
      <c r="NA137" s="311"/>
      <c r="NB137" s="312"/>
      <c r="NC137" s="312"/>
      <c r="ND137" s="312"/>
      <c r="NE137" s="313"/>
      <c r="QQ137" s="230"/>
      <c r="QR137" s="231"/>
      <c r="QS137" s="249"/>
      <c r="QT137" s="249"/>
      <c r="QU137" s="249"/>
      <c r="QV137" s="249"/>
      <c r="QW137" s="250"/>
    </row>
    <row r="138" spans="3:465" ht="5.0999999999999996" customHeight="1" x14ac:dyDescent="0.25">
      <c r="C138" s="226"/>
      <c r="D138" s="227"/>
      <c r="E138" s="22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BE138" s="356"/>
      <c r="BF138" s="357"/>
      <c r="BG138" s="357"/>
      <c r="BH138" s="357"/>
      <c r="BI138" s="357"/>
      <c r="BJ138" s="357"/>
      <c r="BK138" s="357"/>
      <c r="BL138" s="357"/>
      <c r="BM138" s="357"/>
      <c r="BN138" s="357"/>
      <c r="BO138" s="357"/>
      <c r="BP138" s="357"/>
      <c r="BQ138" s="357"/>
      <c r="BR138" s="357"/>
      <c r="BS138" s="357"/>
      <c r="BT138" s="357"/>
      <c r="BU138" s="357"/>
      <c r="BV138" s="357"/>
      <c r="BW138" s="357"/>
      <c r="BX138" s="357"/>
      <c r="BY138" s="357"/>
      <c r="BZ138" s="357"/>
      <c r="CA138" s="357"/>
      <c r="CB138" s="357"/>
      <c r="CC138" s="357"/>
      <c r="CD138" s="357"/>
      <c r="CE138" s="357"/>
      <c r="CF138" s="357"/>
      <c r="CG138" s="357"/>
      <c r="CH138" s="357"/>
      <c r="CI138" s="357"/>
      <c r="CJ138" s="357"/>
      <c r="CK138" s="357"/>
      <c r="CL138" s="357"/>
      <c r="CM138" s="357"/>
      <c r="CN138" s="357"/>
      <c r="CO138" s="357"/>
      <c r="CP138" s="357"/>
      <c r="CQ138" s="357"/>
      <c r="CR138" s="357"/>
      <c r="CS138" s="358"/>
      <c r="CT138" s="356"/>
      <c r="CU138" s="357"/>
      <c r="CV138" s="357"/>
      <c r="CW138" s="357"/>
      <c r="CX138" s="358"/>
      <c r="CY138" s="259"/>
      <c r="DI138" s="371"/>
      <c r="DJ138" s="371"/>
      <c r="DK138" s="371"/>
      <c r="DL138" s="371"/>
      <c r="DM138" s="371"/>
      <c r="DN138" s="371"/>
      <c r="DO138" s="371"/>
      <c r="DP138" s="371"/>
      <c r="DQ138" s="371"/>
      <c r="DR138" s="371"/>
      <c r="DS138" s="371"/>
      <c r="DT138" s="371"/>
      <c r="DU138" s="371"/>
      <c r="DV138" s="371"/>
      <c r="DW138" s="371"/>
      <c r="DX138" s="371"/>
      <c r="DY138" s="371"/>
      <c r="DZ138" s="371"/>
      <c r="EA138" s="371"/>
      <c r="EB138" s="371"/>
      <c r="EC138" s="371"/>
      <c r="ED138" s="371"/>
      <c r="EE138" s="371"/>
      <c r="EF138" s="371"/>
      <c r="EG138" s="371"/>
      <c r="EH138" s="371"/>
      <c r="EI138" s="371"/>
      <c r="EJ138" s="371"/>
      <c r="EK138" s="371"/>
      <c r="EL138" s="371"/>
      <c r="EM138" s="371"/>
      <c r="EN138" s="371"/>
      <c r="EO138" s="371"/>
      <c r="EP138" s="371"/>
      <c r="EQ138" s="371"/>
      <c r="ER138" s="371"/>
      <c r="ES138" s="371"/>
      <c r="ET138" s="371"/>
      <c r="EU138" s="371"/>
      <c r="EV138" s="371"/>
      <c r="EW138" s="371"/>
      <c r="EX138" s="359"/>
      <c r="EY138" s="360"/>
      <c r="EZ138" s="360"/>
      <c r="FA138" s="360"/>
      <c r="FB138" s="361"/>
      <c r="FC138" s="259"/>
      <c r="FD138" s="259"/>
      <c r="FE138" s="259"/>
      <c r="FF138" s="259"/>
      <c r="FG138" s="259"/>
      <c r="FH138" s="259"/>
      <c r="FI138" s="259"/>
      <c r="FJ138" s="259"/>
      <c r="FK138" s="259"/>
      <c r="FL138" s="259"/>
      <c r="FM138" s="259"/>
      <c r="FN138" s="356"/>
      <c r="FO138" s="357"/>
      <c r="FP138" s="357"/>
      <c r="FQ138" s="357"/>
      <c r="FR138" s="357"/>
      <c r="FS138" s="357"/>
      <c r="FT138" s="357"/>
      <c r="FU138" s="357"/>
      <c r="FV138" s="357"/>
      <c r="FW138" s="357"/>
      <c r="FX138" s="357"/>
      <c r="FY138" s="357"/>
      <c r="FZ138" s="357"/>
      <c r="GA138" s="357"/>
      <c r="GB138" s="357"/>
      <c r="GC138" s="357"/>
      <c r="GD138" s="357"/>
      <c r="GE138" s="357"/>
      <c r="GF138" s="357"/>
      <c r="GG138" s="357"/>
      <c r="GH138" s="357"/>
      <c r="GI138" s="357"/>
      <c r="GJ138" s="357"/>
      <c r="GK138" s="357"/>
      <c r="GL138" s="357"/>
      <c r="GM138" s="357"/>
      <c r="GN138" s="357"/>
      <c r="GO138" s="357"/>
      <c r="GP138" s="357"/>
      <c r="GQ138" s="357"/>
      <c r="GR138" s="357"/>
      <c r="GS138" s="357"/>
      <c r="GT138" s="357"/>
      <c r="GU138" s="357"/>
      <c r="GV138" s="357"/>
      <c r="GW138" s="357"/>
      <c r="GX138" s="357"/>
      <c r="GY138" s="357"/>
      <c r="GZ138" s="357"/>
      <c r="HA138" s="357"/>
      <c r="HB138" s="358"/>
      <c r="HC138" s="356"/>
      <c r="HD138" s="357"/>
      <c r="HE138" s="357"/>
      <c r="HF138" s="357"/>
      <c r="HG138" s="358"/>
      <c r="JD138" s="229"/>
      <c r="JE138" s="229"/>
      <c r="JF138" s="229"/>
      <c r="JK138" s="365"/>
      <c r="JL138" s="366"/>
      <c r="JM138" s="366"/>
      <c r="JN138" s="366"/>
      <c r="JO138" s="366"/>
      <c r="JP138" s="366"/>
      <c r="JQ138" s="366"/>
      <c r="JR138" s="366"/>
      <c r="JS138" s="366"/>
      <c r="JT138" s="366"/>
      <c r="JU138" s="366"/>
      <c r="JV138" s="366"/>
      <c r="JW138" s="366"/>
      <c r="JX138" s="366"/>
      <c r="JY138" s="366"/>
      <c r="JZ138" s="366"/>
      <c r="KA138" s="366"/>
      <c r="KB138" s="366"/>
      <c r="KC138" s="366"/>
      <c r="KD138" s="366"/>
      <c r="KE138" s="366"/>
      <c r="KF138" s="366"/>
      <c r="KG138" s="366"/>
      <c r="KH138" s="366"/>
      <c r="KI138" s="366"/>
      <c r="KJ138" s="366"/>
      <c r="KK138" s="366"/>
      <c r="KL138" s="366"/>
      <c r="KM138" s="366"/>
      <c r="KN138" s="366"/>
      <c r="KO138" s="366"/>
      <c r="KP138" s="366"/>
      <c r="KQ138" s="366"/>
      <c r="KR138" s="366"/>
      <c r="KS138" s="366"/>
      <c r="KT138" s="366"/>
      <c r="KU138" s="366"/>
      <c r="KV138" s="366"/>
      <c r="KW138" s="366"/>
      <c r="KX138" s="367"/>
      <c r="KY138" s="311"/>
      <c r="KZ138" s="312"/>
      <c r="LA138" s="312"/>
      <c r="LB138" s="312"/>
      <c r="LC138" s="313"/>
      <c r="LM138" s="320"/>
      <c r="LN138" s="321"/>
      <c r="LO138" s="321"/>
      <c r="LP138" s="321"/>
      <c r="LQ138" s="321"/>
      <c r="LR138" s="321"/>
      <c r="LS138" s="321"/>
      <c r="LT138" s="321"/>
      <c r="LU138" s="321"/>
      <c r="LV138" s="321"/>
      <c r="LW138" s="321"/>
      <c r="LX138" s="321"/>
      <c r="LY138" s="321"/>
      <c r="LZ138" s="321"/>
      <c r="MA138" s="321"/>
      <c r="MB138" s="321"/>
      <c r="MC138" s="321"/>
      <c r="MD138" s="321"/>
      <c r="ME138" s="321"/>
      <c r="MF138" s="321"/>
      <c r="MG138" s="321"/>
      <c r="MH138" s="321"/>
      <c r="MI138" s="321"/>
      <c r="MJ138" s="321"/>
      <c r="MK138" s="321"/>
      <c r="ML138" s="321"/>
      <c r="MM138" s="321"/>
      <c r="MN138" s="321"/>
      <c r="MO138" s="321"/>
      <c r="MP138" s="321"/>
      <c r="MQ138" s="321"/>
      <c r="MR138" s="321"/>
      <c r="MS138" s="321"/>
      <c r="MT138" s="321"/>
      <c r="MU138" s="321"/>
      <c r="MV138" s="321"/>
      <c r="MW138" s="321"/>
      <c r="MX138" s="321"/>
      <c r="MY138" s="321"/>
      <c r="MZ138" s="322"/>
      <c r="NA138" s="311"/>
      <c r="NB138" s="312"/>
      <c r="NC138" s="312"/>
      <c r="ND138" s="312"/>
      <c r="NE138" s="313"/>
      <c r="QQ138" s="230"/>
      <c r="QR138" s="231"/>
      <c r="QS138" s="249"/>
      <c r="QT138" s="249"/>
      <c r="QU138" s="249"/>
      <c r="QV138" s="249"/>
      <c r="QW138" s="250"/>
    </row>
    <row r="139" spans="3:465" ht="5.0999999999999996" customHeight="1" x14ac:dyDescent="0.25">
      <c r="C139" s="226"/>
      <c r="D139" s="227"/>
      <c r="E139" s="229"/>
      <c r="AB139" s="229"/>
      <c r="AC139" s="229"/>
      <c r="AD139" s="229"/>
      <c r="AE139" s="229"/>
      <c r="BE139" s="359"/>
      <c r="BF139" s="360"/>
      <c r="BG139" s="360"/>
      <c r="BH139" s="360"/>
      <c r="BI139" s="360"/>
      <c r="BJ139" s="360"/>
      <c r="BK139" s="360"/>
      <c r="BL139" s="360"/>
      <c r="BM139" s="360"/>
      <c r="BN139" s="360"/>
      <c r="BO139" s="360"/>
      <c r="BP139" s="360"/>
      <c r="BQ139" s="360"/>
      <c r="BR139" s="360"/>
      <c r="BS139" s="360"/>
      <c r="BT139" s="360"/>
      <c r="BU139" s="360"/>
      <c r="BV139" s="360"/>
      <c r="BW139" s="360"/>
      <c r="BX139" s="360"/>
      <c r="BY139" s="360"/>
      <c r="BZ139" s="360"/>
      <c r="CA139" s="360"/>
      <c r="CB139" s="360"/>
      <c r="CC139" s="360"/>
      <c r="CD139" s="360"/>
      <c r="CE139" s="360"/>
      <c r="CF139" s="360"/>
      <c r="CG139" s="360"/>
      <c r="CH139" s="360"/>
      <c r="CI139" s="360"/>
      <c r="CJ139" s="360"/>
      <c r="CK139" s="360"/>
      <c r="CL139" s="360"/>
      <c r="CM139" s="360"/>
      <c r="CN139" s="360"/>
      <c r="CO139" s="360"/>
      <c r="CP139" s="360"/>
      <c r="CQ139" s="360"/>
      <c r="CR139" s="360"/>
      <c r="CS139" s="361"/>
      <c r="CT139" s="359"/>
      <c r="CU139" s="360"/>
      <c r="CV139" s="360"/>
      <c r="CW139" s="360"/>
      <c r="CX139" s="361"/>
      <c r="EF139" s="262"/>
      <c r="FC139" s="243"/>
      <c r="FD139" s="243"/>
      <c r="FE139" s="243"/>
      <c r="FF139" s="243"/>
      <c r="FG139" s="243"/>
      <c r="FH139" s="243"/>
      <c r="FI139" s="243"/>
      <c r="FJ139" s="243"/>
      <c r="FK139" s="243"/>
      <c r="FL139" s="243"/>
      <c r="FM139" s="243"/>
      <c r="FN139" s="359"/>
      <c r="FO139" s="360"/>
      <c r="FP139" s="360"/>
      <c r="FQ139" s="360"/>
      <c r="FR139" s="360"/>
      <c r="FS139" s="360"/>
      <c r="FT139" s="360"/>
      <c r="FU139" s="360"/>
      <c r="FV139" s="360"/>
      <c r="FW139" s="360"/>
      <c r="FX139" s="360"/>
      <c r="FY139" s="360"/>
      <c r="FZ139" s="360"/>
      <c r="GA139" s="360"/>
      <c r="GB139" s="360"/>
      <c r="GC139" s="360"/>
      <c r="GD139" s="360"/>
      <c r="GE139" s="360"/>
      <c r="GF139" s="360"/>
      <c r="GG139" s="360"/>
      <c r="GH139" s="360"/>
      <c r="GI139" s="360"/>
      <c r="GJ139" s="360"/>
      <c r="GK139" s="360"/>
      <c r="GL139" s="360"/>
      <c r="GM139" s="360"/>
      <c r="GN139" s="360"/>
      <c r="GO139" s="360"/>
      <c r="GP139" s="360"/>
      <c r="GQ139" s="360"/>
      <c r="GR139" s="360"/>
      <c r="GS139" s="360"/>
      <c r="GT139" s="360"/>
      <c r="GU139" s="360"/>
      <c r="GV139" s="360"/>
      <c r="GW139" s="360"/>
      <c r="GX139" s="360"/>
      <c r="GY139" s="360"/>
      <c r="GZ139" s="360"/>
      <c r="HA139" s="360"/>
      <c r="HB139" s="361"/>
      <c r="HC139" s="359"/>
      <c r="HD139" s="360"/>
      <c r="HE139" s="360"/>
      <c r="HF139" s="360"/>
      <c r="HG139" s="361"/>
      <c r="JK139" s="365"/>
      <c r="JL139" s="366"/>
      <c r="JM139" s="366"/>
      <c r="JN139" s="366"/>
      <c r="JO139" s="366"/>
      <c r="JP139" s="366"/>
      <c r="JQ139" s="366"/>
      <c r="JR139" s="366"/>
      <c r="JS139" s="366"/>
      <c r="JT139" s="366"/>
      <c r="JU139" s="366"/>
      <c r="JV139" s="366"/>
      <c r="JW139" s="366"/>
      <c r="JX139" s="366"/>
      <c r="JY139" s="366"/>
      <c r="JZ139" s="366"/>
      <c r="KA139" s="366"/>
      <c r="KB139" s="366"/>
      <c r="KC139" s="366"/>
      <c r="KD139" s="366"/>
      <c r="KE139" s="366"/>
      <c r="KF139" s="366"/>
      <c r="KG139" s="366"/>
      <c r="KH139" s="366"/>
      <c r="KI139" s="366"/>
      <c r="KJ139" s="366"/>
      <c r="KK139" s="366"/>
      <c r="KL139" s="366"/>
      <c r="KM139" s="366"/>
      <c r="KN139" s="366"/>
      <c r="KO139" s="366"/>
      <c r="KP139" s="366"/>
      <c r="KQ139" s="366"/>
      <c r="KR139" s="366"/>
      <c r="KS139" s="366"/>
      <c r="KT139" s="366"/>
      <c r="KU139" s="366"/>
      <c r="KV139" s="366"/>
      <c r="KW139" s="366"/>
      <c r="KX139" s="367"/>
      <c r="KY139" s="311"/>
      <c r="KZ139" s="312"/>
      <c r="LA139" s="312"/>
      <c r="LB139" s="312"/>
      <c r="LC139" s="313"/>
      <c r="LM139" s="320"/>
      <c r="LN139" s="321"/>
      <c r="LO139" s="321"/>
      <c r="LP139" s="321"/>
      <c r="LQ139" s="321"/>
      <c r="LR139" s="321"/>
      <c r="LS139" s="321"/>
      <c r="LT139" s="321"/>
      <c r="LU139" s="321"/>
      <c r="LV139" s="321"/>
      <c r="LW139" s="321"/>
      <c r="LX139" s="321"/>
      <c r="LY139" s="321"/>
      <c r="LZ139" s="321"/>
      <c r="MA139" s="321"/>
      <c r="MB139" s="321"/>
      <c r="MC139" s="321"/>
      <c r="MD139" s="321"/>
      <c r="ME139" s="321"/>
      <c r="MF139" s="321"/>
      <c r="MG139" s="321"/>
      <c r="MH139" s="321"/>
      <c r="MI139" s="321"/>
      <c r="MJ139" s="321"/>
      <c r="MK139" s="321"/>
      <c r="ML139" s="321"/>
      <c r="MM139" s="321"/>
      <c r="MN139" s="321"/>
      <c r="MO139" s="321"/>
      <c r="MP139" s="321"/>
      <c r="MQ139" s="321"/>
      <c r="MR139" s="321"/>
      <c r="MS139" s="321"/>
      <c r="MT139" s="321"/>
      <c r="MU139" s="321"/>
      <c r="MV139" s="321"/>
      <c r="MW139" s="321"/>
      <c r="MX139" s="321"/>
      <c r="MY139" s="321"/>
      <c r="MZ139" s="322"/>
      <c r="NA139" s="311"/>
      <c r="NB139" s="312"/>
      <c r="NC139" s="312"/>
      <c r="ND139" s="312"/>
      <c r="NE139" s="313"/>
      <c r="QQ139" s="230"/>
      <c r="QR139" s="231"/>
      <c r="QS139" s="249"/>
      <c r="QT139" s="249"/>
      <c r="QU139" s="249"/>
      <c r="QV139" s="249"/>
      <c r="QW139" s="250"/>
    </row>
    <row r="140" spans="3:465" ht="5.0999999999999996" customHeight="1" x14ac:dyDescent="0.25">
      <c r="C140" s="226"/>
      <c r="D140" s="227"/>
      <c r="E140" s="229"/>
      <c r="AB140" s="229"/>
      <c r="AC140" s="229"/>
      <c r="AD140" s="229"/>
      <c r="AE140" s="229"/>
      <c r="BE140" s="229"/>
      <c r="BF140" s="229"/>
      <c r="BG140" s="229"/>
      <c r="BH140" s="229"/>
      <c r="BI140" s="229"/>
      <c r="CC140" s="255"/>
      <c r="CX140" s="229"/>
      <c r="EF140" s="263"/>
      <c r="FC140" s="243"/>
      <c r="FD140" s="243"/>
      <c r="FE140" s="243"/>
      <c r="FF140" s="243"/>
      <c r="FG140" s="243"/>
      <c r="FH140" s="243"/>
      <c r="FI140" s="243"/>
      <c r="FJ140" s="243"/>
      <c r="FK140" s="243"/>
      <c r="FL140" s="243"/>
      <c r="FM140" s="243"/>
      <c r="GK140" s="262"/>
      <c r="JK140" s="365"/>
      <c r="JL140" s="366"/>
      <c r="JM140" s="366"/>
      <c r="JN140" s="366"/>
      <c r="JO140" s="366"/>
      <c r="JP140" s="366"/>
      <c r="JQ140" s="366"/>
      <c r="JR140" s="366"/>
      <c r="JS140" s="366"/>
      <c r="JT140" s="366"/>
      <c r="JU140" s="366"/>
      <c r="JV140" s="366"/>
      <c r="JW140" s="366"/>
      <c r="JX140" s="366"/>
      <c r="JY140" s="366"/>
      <c r="JZ140" s="366"/>
      <c r="KA140" s="366"/>
      <c r="KB140" s="366"/>
      <c r="KC140" s="366"/>
      <c r="KD140" s="366"/>
      <c r="KE140" s="366"/>
      <c r="KF140" s="366"/>
      <c r="KG140" s="366"/>
      <c r="KH140" s="366"/>
      <c r="KI140" s="366"/>
      <c r="KJ140" s="366"/>
      <c r="KK140" s="366"/>
      <c r="KL140" s="366"/>
      <c r="KM140" s="366"/>
      <c r="KN140" s="366"/>
      <c r="KO140" s="366"/>
      <c r="KP140" s="366"/>
      <c r="KQ140" s="366"/>
      <c r="KR140" s="366"/>
      <c r="KS140" s="366"/>
      <c r="KT140" s="366"/>
      <c r="KU140" s="366"/>
      <c r="KV140" s="366"/>
      <c r="KW140" s="366"/>
      <c r="KX140" s="367"/>
      <c r="KY140" s="311"/>
      <c r="KZ140" s="312"/>
      <c r="LA140" s="312"/>
      <c r="LB140" s="312"/>
      <c r="LC140" s="313"/>
      <c r="LM140" s="320"/>
      <c r="LN140" s="321"/>
      <c r="LO140" s="321"/>
      <c r="LP140" s="321"/>
      <c r="LQ140" s="321"/>
      <c r="LR140" s="321"/>
      <c r="LS140" s="321"/>
      <c r="LT140" s="321"/>
      <c r="LU140" s="321"/>
      <c r="LV140" s="321"/>
      <c r="LW140" s="321"/>
      <c r="LX140" s="321"/>
      <c r="LY140" s="321"/>
      <c r="LZ140" s="321"/>
      <c r="MA140" s="321"/>
      <c r="MB140" s="321"/>
      <c r="MC140" s="321"/>
      <c r="MD140" s="321"/>
      <c r="ME140" s="321"/>
      <c r="MF140" s="321"/>
      <c r="MG140" s="321"/>
      <c r="MH140" s="321"/>
      <c r="MI140" s="321"/>
      <c r="MJ140" s="321"/>
      <c r="MK140" s="321"/>
      <c r="ML140" s="321"/>
      <c r="MM140" s="321"/>
      <c r="MN140" s="321"/>
      <c r="MO140" s="321"/>
      <c r="MP140" s="321"/>
      <c r="MQ140" s="321"/>
      <c r="MR140" s="321"/>
      <c r="MS140" s="321"/>
      <c r="MT140" s="321"/>
      <c r="MU140" s="321"/>
      <c r="MV140" s="321"/>
      <c r="MW140" s="321"/>
      <c r="MX140" s="321"/>
      <c r="MY140" s="321"/>
      <c r="MZ140" s="322"/>
      <c r="NA140" s="311"/>
      <c r="NB140" s="312"/>
      <c r="NC140" s="312"/>
      <c r="ND140" s="312"/>
      <c r="NE140" s="313"/>
      <c r="QQ140" s="230"/>
      <c r="QR140" s="231"/>
      <c r="QS140" s="249"/>
      <c r="QT140" s="249"/>
      <c r="QU140" s="249"/>
      <c r="QV140" s="249"/>
      <c r="QW140" s="250"/>
    </row>
    <row r="141" spans="3:465" ht="5.0999999999999996" customHeight="1" x14ac:dyDescent="0.25">
      <c r="C141" s="226"/>
      <c r="D141" s="227"/>
      <c r="E141" s="229"/>
      <c r="AB141" s="229"/>
      <c r="AC141" s="229"/>
      <c r="AD141" s="229"/>
      <c r="AE141" s="229"/>
      <c r="BE141" s="229"/>
      <c r="BF141" s="229"/>
      <c r="BG141" s="229"/>
      <c r="BH141" s="229"/>
      <c r="BI141" s="229"/>
      <c r="CC141" s="234"/>
      <c r="CX141" s="229"/>
      <c r="DI141" s="317" t="s">
        <v>435</v>
      </c>
      <c r="DJ141" s="318"/>
      <c r="DK141" s="318"/>
      <c r="DL141" s="318"/>
      <c r="DM141" s="318"/>
      <c r="DN141" s="318"/>
      <c r="DO141" s="318"/>
      <c r="DP141" s="318"/>
      <c r="DQ141" s="318"/>
      <c r="DR141" s="318"/>
      <c r="DS141" s="318"/>
      <c r="DT141" s="318"/>
      <c r="DU141" s="318"/>
      <c r="DV141" s="318"/>
      <c r="DW141" s="318"/>
      <c r="DX141" s="318"/>
      <c r="DY141" s="318"/>
      <c r="DZ141" s="318"/>
      <c r="EA141" s="318"/>
      <c r="EB141" s="318"/>
      <c r="EC141" s="318"/>
      <c r="ED141" s="318"/>
      <c r="EE141" s="318"/>
      <c r="EF141" s="318"/>
      <c r="EG141" s="318"/>
      <c r="EH141" s="318"/>
      <c r="EI141" s="318"/>
      <c r="EJ141" s="318"/>
      <c r="EK141" s="318"/>
      <c r="EL141" s="318"/>
      <c r="EM141" s="318"/>
      <c r="EN141" s="318"/>
      <c r="EO141" s="318"/>
      <c r="EP141" s="318"/>
      <c r="EQ141" s="318"/>
      <c r="ER141" s="318"/>
      <c r="ES141" s="318"/>
      <c r="ET141" s="318"/>
      <c r="EU141" s="318"/>
      <c r="EV141" s="318"/>
      <c r="EW141" s="319"/>
      <c r="EX141" s="308">
        <v>1</v>
      </c>
      <c r="EY141" s="309"/>
      <c r="EZ141" s="309"/>
      <c r="FA141" s="309"/>
      <c r="FB141" s="310"/>
      <c r="FC141" s="243"/>
      <c r="FD141" s="243"/>
      <c r="FE141" s="243"/>
      <c r="FF141" s="243"/>
      <c r="FG141" s="243"/>
      <c r="FH141" s="243"/>
      <c r="FI141" s="243"/>
      <c r="FJ141" s="243"/>
      <c r="FK141" s="243"/>
      <c r="FL141" s="243"/>
      <c r="FM141" s="243"/>
      <c r="GK141" s="263"/>
      <c r="JK141" s="365"/>
      <c r="JL141" s="366"/>
      <c r="JM141" s="366"/>
      <c r="JN141" s="366"/>
      <c r="JO141" s="366"/>
      <c r="JP141" s="366"/>
      <c r="JQ141" s="366"/>
      <c r="JR141" s="366"/>
      <c r="JS141" s="366"/>
      <c r="JT141" s="366"/>
      <c r="JU141" s="366"/>
      <c r="JV141" s="366"/>
      <c r="JW141" s="366"/>
      <c r="JX141" s="366"/>
      <c r="JY141" s="366"/>
      <c r="JZ141" s="366"/>
      <c r="KA141" s="366"/>
      <c r="KB141" s="366"/>
      <c r="KC141" s="366"/>
      <c r="KD141" s="366"/>
      <c r="KE141" s="366"/>
      <c r="KF141" s="366"/>
      <c r="KG141" s="366"/>
      <c r="KH141" s="366"/>
      <c r="KI141" s="366"/>
      <c r="KJ141" s="366"/>
      <c r="KK141" s="366"/>
      <c r="KL141" s="366"/>
      <c r="KM141" s="366"/>
      <c r="KN141" s="366"/>
      <c r="KO141" s="366"/>
      <c r="KP141" s="366"/>
      <c r="KQ141" s="366"/>
      <c r="KR141" s="366"/>
      <c r="KS141" s="366"/>
      <c r="KT141" s="366"/>
      <c r="KU141" s="366"/>
      <c r="KV141" s="366"/>
      <c r="KW141" s="366"/>
      <c r="KX141" s="367"/>
      <c r="KY141" s="311"/>
      <c r="KZ141" s="312"/>
      <c r="LA141" s="312"/>
      <c r="LB141" s="312"/>
      <c r="LC141" s="313"/>
      <c r="LM141" s="320"/>
      <c r="LN141" s="321"/>
      <c r="LO141" s="321"/>
      <c r="LP141" s="321"/>
      <c r="LQ141" s="321"/>
      <c r="LR141" s="321"/>
      <c r="LS141" s="321"/>
      <c r="LT141" s="321"/>
      <c r="LU141" s="321"/>
      <c r="LV141" s="321"/>
      <c r="LW141" s="321"/>
      <c r="LX141" s="321"/>
      <c r="LY141" s="321"/>
      <c r="LZ141" s="321"/>
      <c r="MA141" s="321"/>
      <c r="MB141" s="321"/>
      <c r="MC141" s="321"/>
      <c r="MD141" s="321"/>
      <c r="ME141" s="321"/>
      <c r="MF141" s="321"/>
      <c r="MG141" s="321"/>
      <c r="MH141" s="321"/>
      <c r="MI141" s="321"/>
      <c r="MJ141" s="321"/>
      <c r="MK141" s="321"/>
      <c r="ML141" s="321"/>
      <c r="MM141" s="321"/>
      <c r="MN141" s="321"/>
      <c r="MO141" s="321"/>
      <c r="MP141" s="321"/>
      <c r="MQ141" s="321"/>
      <c r="MR141" s="321"/>
      <c r="MS141" s="321"/>
      <c r="MT141" s="321"/>
      <c r="MU141" s="321"/>
      <c r="MV141" s="321"/>
      <c r="MW141" s="321"/>
      <c r="MX141" s="321"/>
      <c r="MY141" s="321"/>
      <c r="MZ141" s="322"/>
      <c r="NA141" s="311"/>
      <c r="NB141" s="312"/>
      <c r="NC141" s="312"/>
      <c r="ND141" s="312"/>
      <c r="NE141" s="313"/>
      <c r="QQ141" s="230"/>
      <c r="QR141" s="231"/>
      <c r="QS141" s="249"/>
      <c r="QT141" s="249"/>
      <c r="QU141" s="249"/>
      <c r="QV141" s="249"/>
      <c r="QW141" s="250"/>
    </row>
    <row r="142" spans="3:465" ht="5.0999999999999996" customHeight="1" x14ac:dyDescent="0.25">
      <c r="C142" s="226"/>
      <c r="D142" s="227"/>
      <c r="E142" s="229"/>
      <c r="AB142" s="229"/>
      <c r="AC142" s="229"/>
      <c r="AD142" s="229"/>
      <c r="AE142" s="229"/>
      <c r="BE142" s="229"/>
      <c r="BF142" s="229"/>
      <c r="BG142" s="229"/>
      <c r="BH142" s="229"/>
      <c r="BI142" s="229"/>
      <c r="CC142" s="234"/>
      <c r="CX142" s="229"/>
      <c r="DI142" s="320"/>
      <c r="DJ142" s="321"/>
      <c r="DK142" s="321"/>
      <c r="DL142" s="321"/>
      <c r="DM142" s="321"/>
      <c r="DN142" s="321"/>
      <c r="DO142" s="321"/>
      <c r="DP142" s="321"/>
      <c r="DQ142" s="321"/>
      <c r="DR142" s="321"/>
      <c r="DS142" s="321"/>
      <c r="DT142" s="321"/>
      <c r="DU142" s="321"/>
      <c r="DV142" s="321"/>
      <c r="DW142" s="321"/>
      <c r="DX142" s="321"/>
      <c r="DY142" s="321"/>
      <c r="DZ142" s="321"/>
      <c r="EA142" s="321"/>
      <c r="EB142" s="321"/>
      <c r="EC142" s="321"/>
      <c r="ED142" s="321"/>
      <c r="EE142" s="321"/>
      <c r="EF142" s="321"/>
      <c r="EG142" s="321"/>
      <c r="EH142" s="321"/>
      <c r="EI142" s="321"/>
      <c r="EJ142" s="321"/>
      <c r="EK142" s="321"/>
      <c r="EL142" s="321"/>
      <c r="EM142" s="321"/>
      <c r="EN142" s="321"/>
      <c r="EO142" s="321"/>
      <c r="EP142" s="321"/>
      <c r="EQ142" s="321"/>
      <c r="ER142" s="321"/>
      <c r="ES142" s="321"/>
      <c r="ET142" s="321"/>
      <c r="EU142" s="321"/>
      <c r="EV142" s="321"/>
      <c r="EW142" s="322"/>
      <c r="EX142" s="311"/>
      <c r="EY142" s="312"/>
      <c r="EZ142" s="312"/>
      <c r="FA142" s="312"/>
      <c r="FB142" s="313"/>
      <c r="FC142" s="243"/>
      <c r="FD142" s="243"/>
      <c r="FE142" s="243"/>
      <c r="FF142" s="243"/>
      <c r="FG142" s="243"/>
      <c r="FH142" s="243"/>
      <c r="FI142" s="243"/>
      <c r="FJ142" s="243"/>
      <c r="FK142" s="243"/>
      <c r="FL142" s="243"/>
      <c r="FM142" s="243"/>
      <c r="FN142" s="317" t="s">
        <v>436</v>
      </c>
      <c r="FO142" s="318"/>
      <c r="FP142" s="318"/>
      <c r="FQ142" s="318"/>
      <c r="FR142" s="318"/>
      <c r="FS142" s="318"/>
      <c r="FT142" s="318"/>
      <c r="FU142" s="318"/>
      <c r="FV142" s="318"/>
      <c r="FW142" s="318"/>
      <c r="FX142" s="318"/>
      <c r="FY142" s="318"/>
      <c r="FZ142" s="318"/>
      <c r="GA142" s="318"/>
      <c r="GB142" s="318"/>
      <c r="GC142" s="318"/>
      <c r="GD142" s="318"/>
      <c r="GE142" s="318"/>
      <c r="GF142" s="318"/>
      <c r="GG142" s="318"/>
      <c r="GH142" s="318"/>
      <c r="GI142" s="318"/>
      <c r="GJ142" s="318"/>
      <c r="GK142" s="318"/>
      <c r="GL142" s="318"/>
      <c r="GM142" s="318"/>
      <c r="GN142" s="318"/>
      <c r="GO142" s="318"/>
      <c r="GP142" s="318"/>
      <c r="GQ142" s="318"/>
      <c r="GR142" s="318"/>
      <c r="GS142" s="318"/>
      <c r="GT142" s="318"/>
      <c r="GU142" s="318"/>
      <c r="GV142" s="318"/>
      <c r="GW142" s="318"/>
      <c r="GX142" s="318"/>
      <c r="GY142" s="318"/>
      <c r="GZ142" s="318"/>
      <c r="HA142" s="318"/>
      <c r="HB142" s="319"/>
      <c r="HC142" s="308">
        <v>1</v>
      </c>
      <c r="HD142" s="309"/>
      <c r="HE142" s="309"/>
      <c r="HF142" s="309"/>
      <c r="HG142" s="310"/>
      <c r="JK142" s="365"/>
      <c r="JL142" s="366"/>
      <c r="JM142" s="366"/>
      <c r="JN142" s="366"/>
      <c r="JO142" s="366"/>
      <c r="JP142" s="366"/>
      <c r="JQ142" s="366"/>
      <c r="JR142" s="366"/>
      <c r="JS142" s="366"/>
      <c r="JT142" s="366"/>
      <c r="JU142" s="366"/>
      <c r="JV142" s="366"/>
      <c r="JW142" s="366"/>
      <c r="JX142" s="366"/>
      <c r="JY142" s="366"/>
      <c r="JZ142" s="366"/>
      <c r="KA142" s="366"/>
      <c r="KB142" s="366"/>
      <c r="KC142" s="366"/>
      <c r="KD142" s="366"/>
      <c r="KE142" s="366"/>
      <c r="KF142" s="366"/>
      <c r="KG142" s="366"/>
      <c r="KH142" s="366"/>
      <c r="KI142" s="366"/>
      <c r="KJ142" s="366"/>
      <c r="KK142" s="366"/>
      <c r="KL142" s="366"/>
      <c r="KM142" s="366"/>
      <c r="KN142" s="366"/>
      <c r="KO142" s="366"/>
      <c r="KP142" s="366"/>
      <c r="KQ142" s="366"/>
      <c r="KR142" s="366"/>
      <c r="KS142" s="366"/>
      <c r="KT142" s="366"/>
      <c r="KU142" s="366"/>
      <c r="KV142" s="366"/>
      <c r="KW142" s="366"/>
      <c r="KX142" s="367"/>
      <c r="KY142" s="311"/>
      <c r="KZ142" s="312"/>
      <c r="LA142" s="312"/>
      <c r="LB142" s="312"/>
      <c r="LC142" s="313"/>
      <c r="LM142" s="320"/>
      <c r="LN142" s="321"/>
      <c r="LO142" s="321"/>
      <c r="LP142" s="321"/>
      <c r="LQ142" s="321"/>
      <c r="LR142" s="321"/>
      <c r="LS142" s="321"/>
      <c r="LT142" s="321"/>
      <c r="LU142" s="321"/>
      <c r="LV142" s="321"/>
      <c r="LW142" s="321"/>
      <c r="LX142" s="321"/>
      <c r="LY142" s="321"/>
      <c r="LZ142" s="321"/>
      <c r="MA142" s="321"/>
      <c r="MB142" s="321"/>
      <c r="MC142" s="321"/>
      <c r="MD142" s="321"/>
      <c r="ME142" s="321"/>
      <c r="MF142" s="321"/>
      <c r="MG142" s="321"/>
      <c r="MH142" s="321"/>
      <c r="MI142" s="321"/>
      <c r="MJ142" s="321"/>
      <c r="MK142" s="321"/>
      <c r="ML142" s="321"/>
      <c r="MM142" s="321"/>
      <c r="MN142" s="321"/>
      <c r="MO142" s="321"/>
      <c r="MP142" s="321"/>
      <c r="MQ142" s="321"/>
      <c r="MR142" s="321"/>
      <c r="MS142" s="321"/>
      <c r="MT142" s="321"/>
      <c r="MU142" s="321"/>
      <c r="MV142" s="321"/>
      <c r="MW142" s="321"/>
      <c r="MX142" s="321"/>
      <c r="MY142" s="321"/>
      <c r="MZ142" s="322"/>
      <c r="NA142" s="311"/>
      <c r="NB142" s="312"/>
      <c r="NC142" s="312"/>
      <c r="ND142" s="312"/>
      <c r="NE142" s="313"/>
      <c r="QQ142" s="230"/>
      <c r="QR142" s="231"/>
      <c r="QS142" s="249"/>
      <c r="QT142" s="249"/>
      <c r="QU142" s="249"/>
      <c r="QV142" s="249"/>
      <c r="QW142" s="250"/>
    </row>
    <row r="143" spans="3:465" ht="5.0999999999999996" customHeight="1" x14ac:dyDescent="0.25">
      <c r="C143" s="226"/>
      <c r="D143" s="227"/>
      <c r="E143" s="229"/>
      <c r="AB143" s="229"/>
      <c r="AC143" s="229"/>
      <c r="AD143" s="229"/>
      <c r="AE143" s="229"/>
      <c r="BE143" s="229"/>
      <c r="BF143" s="229"/>
      <c r="BG143" s="229"/>
      <c r="BH143" s="229"/>
      <c r="BI143" s="229"/>
      <c r="CC143" s="234"/>
      <c r="CX143" s="229"/>
      <c r="DI143" s="320"/>
      <c r="DJ143" s="321"/>
      <c r="DK143" s="321"/>
      <c r="DL143" s="321"/>
      <c r="DM143" s="321"/>
      <c r="DN143" s="321"/>
      <c r="DO143" s="321"/>
      <c r="DP143" s="321"/>
      <c r="DQ143" s="321"/>
      <c r="DR143" s="321"/>
      <c r="DS143" s="321"/>
      <c r="DT143" s="321"/>
      <c r="DU143" s="321"/>
      <c r="DV143" s="321"/>
      <c r="DW143" s="321"/>
      <c r="DX143" s="321"/>
      <c r="DY143" s="321"/>
      <c r="DZ143" s="321"/>
      <c r="EA143" s="321"/>
      <c r="EB143" s="321"/>
      <c r="EC143" s="321"/>
      <c r="ED143" s="321"/>
      <c r="EE143" s="321"/>
      <c r="EF143" s="321"/>
      <c r="EG143" s="321"/>
      <c r="EH143" s="321"/>
      <c r="EI143" s="321"/>
      <c r="EJ143" s="321"/>
      <c r="EK143" s="321"/>
      <c r="EL143" s="321"/>
      <c r="EM143" s="321"/>
      <c r="EN143" s="321"/>
      <c r="EO143" s="321"/>
      <c r="EP143" s="321"/>
      <c r="EQ143" s="321"/>
      <c r="ER143" s="321"/>
      <c r="ES143" s="321"/>
      <c r="ET143" s="321"/>
      <c r="EU143" s="321"/>
      <c r="EV143" s="321"/>
      <c r="EW143" s="322"/>
      <c r="EX143" s="311"/>
      <c r="EY143" s="312"/>
      <c r="EZ143" s="312"/>
      <c r="FA143" s="312"/>
      <c r="FB143" s="313"/>
      <c r="FC143" s="243"/>
      <c r="FD143" s="243"/>
      <c r="FE143" s="243"/>
      <c r="FF143" s="243"/>
      <c r="FG143" s="243"/>
      <c r="FH143" s="243"/>
      <c r="FI143" s="243"/>
      <c r="FJ143" s="243"/>
      <c r="FK143" s="243"/>
      <c r="FL143" s="243"/>
      <c r="FM143" s="243"/>
      <c r="FN143" s="320"/>
      <c r="FO143" s="321"/>
      <c r="FP143" s="321"/>
      <c r="FQ143" s="321"/>
      <c r="FR143" s="321"/>
      <c r="FS143" s="321"/>
      <c r="FT143" s="321"/>
      <c r="FU143" s="321"/>
      <c r="FV143" s="321"/>
      <c r="FW143" s="321"/>
      <c r="FX143" s="321"/>
      <c r="FY143" s="321"/>
      <c r="FZ143" s="321"/>
      <c r="GA143" s="321"/>
      <c r="GB143" s="321"/>
      <c r="GC143" s="321"/>
      <c r="GD143" s="321"/>
      <c r="GE143" s="321"/>
      <c r="GF143" s="321"/>
      <c r="GG143" s="321"/>
      <c r="GH143" s="321"/>
      <c r="GI143" s="321"/>
      <c r="GJ143" s="321"/>
      <c r="GK143" s="321"/>
      <c r="GL143" s="321"/>
      <c r="GM143" s="321"/>
      <c r="GN143" s="321"/>
      <c r="GO143" s="321"/>
      <c r="GP143" s="321"/>
      <c r="GQ143" s="321"/>
      <c r="GR143" s="321"/>
      <c r="GS143" s="321"/>
      <c r="GT143" s="321"/>
      <c r="GU143" s="321"/>
      <c r="GV143" s="321"/>
      <c r="GW143" s="321"/>
      <c r="GX143" s="321"/>
      <c r="GY143" s="321"/>
      <c r="GZ143" s="321"/>
      <c r="HA143" s="321"/>
      <c r="HB143" s="322"/>
      <c r="HC143" s="311"/>
      <c r="HD143" s="312"/>
      <c r="HE143" s="312"/>
      <c r="HF143" s="312"/>
      <c r="HG143" s="313"/>
      <c r="JK143" s="365"/>
      <c r="JL143" s="366"/>
      <c r="JM143" s="366"/>
      <c r="JN143" s="366"/>
      <c r="JO143" s="366"/>
      <c r="JP143" s="366"/>
      <c r="JQ143" s="366"/>
      <c r="JR143" s="366"/>
      <c r="JS143" s="366"/>
      <c r="JT143" s="366"/>
      <c r="JU143" s="366"/>
      <c r="JV143" s="366"/>
      <c r="JW143" s="366"/>
      <c r="JX143" s="366"/>
      <c r="JY143" s="366"/>
      <c r="JZ143" s="366"/>
      <c r="KA143" s="366"/>
      <c r="KB143" s="366"/>
      <c r="KC143" s="366"/>
      <c r="KD143" s="366"/>
      <c r="KE143" s="366"/>
      <c r="KF143" s="366"/>
      <c r="KG143" s="366"/>
      <c r="KH143" s="366"/>
      <c r="KI143" s="366"/>
      <c r="KJ143" s="366"/>
      <c r="KK143" s="366"/>
      <c r="KL143" s="366"/>
      <c r="KM143" s="366"/>
      <c r="KN143" s="366"/>
      <c r="KO143" s="366"/>
      <c r="KP143" s="366"/>
      <c r="KQ143" s="366"/>
      <c r="KR143" s="366"/>
      <c r="KS143" s="366"/>
      <c r="KT143" s="366"/>
      <c r="KU143" s="366"/>
      <c r="KV143" s="366"/>
      <c r="KW143" s="366"/>
      <c r="KX143" s="367"/>
      <c r="KY143" s="311"/>
      <c r="KZ143" s="312"/>
      <c r="LA143" s="312"/>
      <c r="LB143" s="312"/>
      <c r="LC143" s="313"/>
      <c r="LM143" s="320"/>
      <c r="LN143" s="321"/>
      <c r="LO143" s="321"/>
      <c r="LP143" s="321"/>
      <c r="LQ143" s="321"/>
      <c r="LR143" s="321"/>
      <c r="LS143" s="321"/>
      <c r="LT143" s="321"/>
      <c r="LU143" s="321"/>
      <c r="LV143" s="321"/>
      <c r="LW143" s="321"/>
      <c r="LX143" s="321"/>
      <c r="LY143" s="321"/>
      <c r="LZ143" s="321"/>
      <c r="MA143" s="321"/>
      <c r="MB143" s="321"/>
      <c r="MC143" s="321"/>
      <c r="MD143" s="321"/>
      <c r="ME143" s="321"/>
      <c r="MF143" s="321"/>
      <c r="MG143" s="321"/>
      <c r="MH143" s="321"/>
      <c r="MI143" s="321"/>
      <c r="MJ143" s="321"/>
      <c r="MK143" s="321"/>
      <c r="ML143" s="321"/>
      <c r="MM143" s="321"/>
      <c r="MN143" s="321"/>
      <c r="MO143" s="321"/>
      <c r="MP143" s="321"/>
      <c r="MQ143" s="321"/>
      <c r="MR143" s="321"/>
      <c r="MS143" s="321"/>
      <c r="MT143" s="321"/>
      <c r="MU143" s="321"/>
      <c r="MV143" s="321"/>
      <c r="MW143" s="321"/>
      <c r="MX143" s="321"/>
      <c r="MY143" s="321"/>
      <c r="MZ143" s="322"/>
      <c r="NA143" s="311"/>
      <c r="NB143" s="312"/>
      <c r="NC143" s="312"/>
      <c r="ND143" s="312"/>
      <c r="NE143" s="313"/>
      <c r="QQ143" s="230"/>
      <c r="QR143" s="231"/>
      <c r="QS143" s="249"/>
      <c r="QT143" s="249"/>
      <c r="QU143" s="249"/>
      <c r="QV143" s="249"/>
      <c r="QW143" s="250"/>
    </row>
    <row r="144" spans="3:465" ht="5.0999999999999996" customHeight="1" x14ac:dyDescent="0.25">
      <c r="C144" s="226"/>
      <c r="D144" s="227"/>
      <c r="E144" s="229"/>
      <c r="AB144" s="229"/>
      <c r="AC144" s="229"/>
      <c r="AD144" s="229"/>
      <c r="AE144" s="229"/>
      <c r="CC144" s="234"/>
      <c r="CX144" s="229"/>
      <c r="DI144" s="320"/>
      <c r="DJ144" s="321"/>
      <c r="DK144" s="321"/>
      <c r="DL144" s="321"/>
      <c r="DM144" s="321"/>
      <c r="DN144" s="321"/>
      <c r="DO144" s="321"/>
      <c r="DP144" s="321"/>
      <c r="DQ144" s="321"/>
      <c r="DR144" s="321"/>
      <c r="DS144" s="321"/>
      <c r="DT144" s="321"/>
      <c r="DU144" s="321"/>
      <c r="DV144" s="321"/>
      <c r="DW144" s="321"/>
      <c r="DX144" s="321"/>
      <c r="DY144" s="321"/>
      <c r="DZ144" s="321"/>
      <c r="EA144" s="321"/>
      <c r="EB144" s="321"/>
      <c r="EC144" s="321"/>
      <c r="ED144" s="321"/>
      <c r="EE144" s="321"/>
      <c r="EF144" s="321"/>
      <c r="EG144" s="321"/>
      <c r="EH144" s="321"/>
      <c r="EI144" s="321"/>
      <c r="EJ144" s="321"/>
      <c r="EK144" s="321"/>
      <c r="EL144" s="321"/>
      <c r="EM144" s="321"/>
      <c r="EN144" s="321"/>
      <c r="EO144" s="321"/>
      <c r="EP144" s="321"/>
      <c r="EQ144" s="321"/>
      <c r="ER144" s="321"/>
      <c r="ES144" s="321"/>
      <c r="ET144" s="321"/>
      <c r="EU144" s="321"/>
      <c r="EV144" s="321"/>
      <c r="EW144" s="322"/>
      <c r="EX144" s="311"/>
      <c r="EY144" s="312"/>
      <c r="EZ144" s="312"/>
      <c r="FA144" s="312"/>
      <c r="FB144" s="313"/>
      <c r="FC144" s="243"/>
      <c r="FD144" s="243"/>
      <c r="FE144" s="243"/>
      <c r="FF144" s="243"/>
      <c r="FG144" s="243"/>
      <c r="FH144" s="243"/>
      <c r="FI144" s="243"/>
      <c r="FJ144" s="243"/>
      <c r="FK144" s="243"/>
      <c r="FL144" s="243"/>
      <c r="FM144" s="243"/>
      <c r="FN144" s="320"/>
      <c r="FO144" s="321"/>
      <c r="FP144" s="321"/>
      <c r="FQ144" s="321"/>
      <c r="FR144" s="321"/>
      <c r="FS144" s="321"/>
      <c r="FT144" s="321"/>
      <c r="FU144" s="321"/>
      <c r="FV144" s="321"/>
      <c r="FW144" s="321"/>
      <c r="FX144" s="321"/>
      <c r="FY144" s="321"/>
      <c r="FZ144" s="321"/>
      <c r="GA144" s="321"/>
      <c r="GB144" s="321"/>
      <c r="GC144" s="321"/>
      <c r="GD144" s="321"/>
      <c r="GE144" s="321"/>
      <c r="GF144" s="321"/>
      <c r="GG144" s="321"/>
      <c r="GH144" s="321"/>
      <c r="GI144" s="321"/>
      <c r="GJ144" s="321"/>
      <c r="GK144" s="321"/>
      <c r="GL144" s="321"/>
      <c r="GM144" s="321"/>
      <c r="GN144" s="321"/>
      <c r="GO144" s="321"/>
      <c r="GP144" s="321"/>
      <c r="GQ144" s="321"/>
      <c r="GR144" s="321"/>
      <c r="GS144" s="321"/>
      <c r="GT144" s="321"/>
      <c r="GU144" s="321"/>
      <c r="GV144" s="321"/>
      <c r="GW144" s="321"/>
      <c r="GX144" s="321"/>
      <c r="GY144" s="321"/>
      <c r="GZ144" s="321"/>
      <c r="HA144" s="321"/>
      <c r="HB144" s="322"/>
      <c r="HC144" s="311"/>
      <c r="HD144" s="312"/>
      <c r="HE144" s="312"/>
      <c r="HF144" s="312"/>
      <c r="HG144" s="313"/>
      <c r="JK144" s="368"/>
      <c r="JL144" s="369"/>
      <c r="JM144" s="369"/>
      <c r="JN144" s="369"/>
      <c r="JO144" s="369"/>
      <c r="JP144" s="369"/>
      <c r="JQ144" s="369"/>
      <c r="JR144" s="369"/>
      <c r="JS144" s="369"/>
      <c r="JT144" s="369"/>
      <c r="JU144" s="369"/>
      <c r="JV144" s="369"/>
      <c r="JW144" s="369"/>
      <c r="JX144" s="369"/>
      <c r="JY144" s="369"/>
      <c r="JZ144" s="369"/>
      <c r="KA144" s="369"/>
      <c r="KB144" s="369"/>
      <c r="KC144" s="369"/>
      <c r="KD144" s="369"/>
      <c r="KE144" s="369"/>
      <c r="KF144" s="369"/>
      <c r="KG144" s="369"/>
      <c r="KH144" s="369"/>
      <c r="KI144" s="369"/>
      <c r="KJ144" s="369"/>
      <c r="KK144" s="369"/>
      <c r="KL144" s="369"/>
      <c r="KM144" s="369"/>
      <c r="KN144" s="369"/>
      <c r="KO144" s="369"/>
      <c r="KP144" s="369"/>
      <c r="KQ144" s="369"/>
      <c r="KR144" s="369"/>
      <c r="KS144" s="369"/>
      <c r="KT144" s="369"/>
      <c r="KU144" s="369"/>
      <c r="KV144" s="369"/>
      <c r="KW144" s="369"/>
      <c r="KX144" s="370"/>
      <c r="KY144" s="314"/>
      <c r="KZ144" s="315"/>
      <c r="LA144" s="315"/>
      <c r="LB144" s="315"/>
      <c r="LC144" s="316"/>
      <c r="LM144" s="323"/>
      <c r="LN144" s="324"/>
      <c r="LO144" s="324"/>
      <c r="LP144" s="324"/>
      <c r="LQ144" s="324"/>
      <c r="LR144" s="324"/>
      <c r="LS144" s="324"/>
      <c r="LT144" s="324"/>
      <c r="LU144" s="324"/>
      <c r="LV144" s="324"/>
      <c r="LW144" s="324"/>
      <c r="LX144" s="324"/>
      <c r="LY144" s="324"/>
      <c r="LZ144" s="324"/>
      <c r="MA144" s="324"/>
      <c r="MB144" s="324"/>
      <c r="MC144" s="324"/>
      <c r="MD144" s="324"/>
      <c r="ME144" s="324"/>
      <c r="MF144" s="324"/>
      <c r="MG144" s="324"/>
      <c r="MH144" s="324"/>
      <c r="MI144" s="324"/>
      <c r="MJ144" s="324"/>
      <c r="MK144" s="324"/>
      <c r="ML144" s="324"/>
      <c r="MM144" s="324"/>
      <c r="MN144" s="324"/>
      <c r="MO144" s="324"/>
      <c r="MP144" s="324"/>
      <c r="MQ144" s="324"/>
      <c r="MR144" s="324"/>
      <c r="MS144" s="324"/>
      <c r="MT144" s="324"/>
      <c r="MU144" s="324"/>
      <c r="MV144" s="324"/>
      <c r="MW144" s="324"/>
      <c r="MX144" s="324"/>
      <c r="MY144" s="324"/>
      <c r="MZ144" s="325"/>
      <c r="NA144" s="314"/>
      <c r="NB144" s="315"/>
      <c r="NC144" s="315"/>
      <c r="ND144" s="315"/>
      <c r="NE144" s="316"/>
      <c r="QQ144" s="230"/>
      <c r="QR144" s="231"/>
      <c r="QS144" s="249"/>
      <c r="QT144" s="249"/>
      <c r="QU144" s="249"/>
      <c r="QV144" s="249"/>
      <c r="QW144" s="250"/>
    </row>
    <row r="145" spans="3:465" ht="5.0999999999999996" customHeight="1" x14ac:dyDescent="0.25">
      <c r="C145" s="226"/>
      <c r="D145" s="227"/>
      <c r="E145" s="229"/>
      <c r="CC145" s="244"/>
      <c r="DI145" s="320"/>
      <c r="DJ145" s="321"/>
      <c r="DK145" s="321"/>
      <c r="DL145" s="321"/>
      <c r="DM145" s="321"/>
      <c r="DN145" s="321"/>
      <c r="DO145" s="321"/>
      <c r="DP145" s="321"/>
      <c r="DQ145" s="321"/>
      <c r="DR145" s="321"/>
      <c r="DS145" s="321"/>
      <c r="DT145" s="321"/>
      <c r="DU145" s="321"/>
      <c r="DV145" s="321"/>
      <c r="DW145" s="321"/>
      <c r="DX145" s="321"/>
      <c r="DY145" s="321"/>
      <c r="DZ145" s="321"/>
      <c r="EA145" s="321"/>
      <c r="EB145" s="321"/>
      <c r="EC145" s="321"/>
      <c r="ED145" s="321"/>
      <c r="EE145" s="321"/>
      <c r="EF145" s="321"/>
      <c r="EG145" s="321"/>
      <c r="EH145" s="321"/>
      <c r="EI145" s="321"/>
      <c r="EJ145" s="321"/>
      <c r="EK145" s="321"/>
      <c r="EL145" s="321"/>
      <c r="EM145" s="321"/>
      <c r="EN145" s="321"/>
      <c r="EO145" s="321"/>
      <c r="EP145" s="321"/>
      <c r="EQ145" s="321"/>
      <c r="ER145" s="321"/>
      <c r="ES145" s="321"/>
      <c r="ET145" s="321"/>
      <c r="EU145" s="321"/>
      <c r="EV145" s="321"/>
      <c r="EW145" s="322"/>
      <c r="EX145" s="311"/>
      <c r="EY145" s="312"/>
      <c r="EZ145" s="312"/>
      <c r="FA145" s="312"/>
      <c r="FB145" s="313"/>
      <c r="FC145" s="243"/>
      <c r="FD145" s="243"/>
      <c r="FE145" s="243"/>
      <c r="FF145" s="243"/>
      <c r="FG145" s="243"/>
      <c r="FH145" s="243"/>
      <c r="FI145" s="243"/>
      <c r="FJ145" s="243"/>
      <c r="FK145" s="243"/>
      <c r="FL145" s="243"/>
      <c r="FM145" s="243"/>
      <c r="FN145" s="320"/>
      <c r="FO145" s="321"/>
      <c r="FP145" s="321"/>
      <c r="FQ145" s="321"/>
      <c r="FR145" s="321"/>
      <c r="FS145" s="321"/>
      <c r="FT145" s="321"/>
      <c r="FU145" s="321"/>
      <c r="FV145" s="321"/>
      <c r="FW145" s="321"/>
      <c r="FX145" s="321"/>
      <c r="FY145" s="321"/>
      <c r="FZ145" s="321"/>
      <c r="GA145" s="321"/>
      <c r="GB145" s="321"/>
      <c r="GC145" s="321"/>
      <c r="GD145" s="321"/>
      <c r="GE145" s="321"/>
      <c r="GF145" s="321"/>
      <c r="GG145" s="321"/>
      <c r="GH145" s="321"/>
      <c r="GI145" s="321"/>
      <c r="GJ145" s="321"/>
      <c r="GK145" s="321"/>
      <c r="GL145" s="321"/>
      <c r="GM145" s="321"/>
      <c r="GN145" s="321"/>
      <c r="GO145" s="321"/>
      <c r="GP145" s="321"/>
      <c r="GQ145" s="321"/>
      <c r="GR145" s="321"/>
      <c r="GS145" s="321"/>
      <c r="GT145" s="321"/>
      <c r="GU145" s="321"/>
      <c r="GV145" s="321"/>
      <c r="GW145" s="321"/>
      <c r="GX145" s="321"/>
      <c r="GY145" s="321"/>
      <c r="GZ145" s="321"/>
      <c r="HA145" s="321"/>
      <c r="HB145" s="322"/>
      <c r="HC145" s="311"/>
      <c r="HD145" s="312"/>
      <c r="HE145" s="312"/>
      <c r="HF145" s="312"/>
      <c r="HG145" s="313"/>
      <c r="QL145" s="229"/>
      <c r="QM145" s="229"/>
      <c r="QQ145" s="230"/>
      <c r="QR145" s="231"/>
      <c r="QS145" s="249"/>
      <c r="QT145" s="249"/>
      <c r="QU145" s="249"/>
      <c r="QV145" s="249"/>
      <c r="QW145" s="250"/>
    </row>
    <row r="146" spans="3:465" ht="5.0999999999999996" customHeight="1" x14ac:dyDescent="0.25">
      <c r="C146" s="226"/>
      <c r="D146" s="227"/>
      <c r="E146" s="229"/>
      <c r="BE146" s="317" t="s">
        <v>459</v>
      </c>
      <c r="BF146" s="318"/>
      <c r="BG146" s="318"/>
      <c r="BH146" s="318"/>
      <c r="BI146" s="318"/>
      <c r="BJ146" s="318"/>
      <c r="BK146" s="318"/>
      <c r="BL146" s="318"/>
      <c r="BM146" s="318"/>
      <c r="BN146" s="318"/>
      <c r="BO146" s="318"/>
      <c r="BP146" s="318"/>
      <c r="BQ146" s="318"/>
      <c r="BR146" s="318"/>
      <c r="BS146" s="318"/>
      <c r="BT146" s="318"/>
      <c r="BU146" s="318"/>
      <c r="BV146" s="318"/>
      <c r="BW146" s="318"/>
      <c r="BX146" s="318"/>
      <c r="BY146" s="318"/>
      <c r="BZ146" s="318"/>
      <c r="CA146" s="318"/>
      <c r="CB146" s="318"/>
      <c r="CC146" s="318"/>
      <c r="CD146" s="318"/>
      <c r="CE146" s="318"/>
      <c r="CF146" s="318"/>
      <c r="CG146" s="318"/>
      <c r="CH146" s="318"/>
      <c r="CI146" s="318"/>
      <c r="CJ146" s="318"/>
      <c r="CK146" s="318"/>
      <c r="CL146" s="318"/>
      <c r="CM146" s="318"/>
      <c r="CN146" s="318"/>
      <c r="CO146" s="318"/>
      <c r="CP146" s="318"/>
      <c r="CQ146" s="318"/>
      <c r="CR146" s="318"/>
      <c r="CS146" s="319"/>
      <c r="CT146" s="308">
        <v>1</v>
      </c>
      <c r="CU146" s="309"/>
      <c r="CV146" s="309"/>
      <c r="CW146" s="309"/>
      <c r="CX146" s="310"/>
      <c r="DI146" s="320"/>
      <c r="DJ146" s="321"/>
      <c r="DK146" s="321"/>
      <c r="DL146" s="321"/>
      <c r="DM146" s="321"/>
      <c r="DN146" s="321"/>
      <c r="DO146" s="321"/>
      <c r="DP146" s="321"/>
      <c r="DQ146" s="321"/>
      <c r="DR146" s="321"/>
      <c r="DS146" s="321"/>
      <c r="DT146" s="321"/>
      <c r="DU146" s="321"/>
      <c r="DV146" s="321"/>
      <c r="DW146" s="321"/>
      <c r="DX146" s="321"/>
      <c r="DY146" s="321"/>
      <c r="DZ146" s="321"/>
      <c r="EA146" s="321"/>
      <c r="EB146" s="321"/>
      <c r="EC146" s="321"/>
      <c r="ED146" s="321"/>
      <c r="EE146" s="321"/>
      <c r="EF146" s="321"/>
      <c r="EG146" s="321"/>
      <c r="EH146" s="321"/>
      <c r="EI146" s="321"/>
      <c r="EJ146" s="321"/>
      <c r="EK146" s="321"/>
      <c r="EL146" s="321"/>
      <c r="EM146" s="321"/>
      <c r="EN146" s="321"/>
      <c r="EO146" s="321"/>
      <c r="EP146" s="321"/>
      <c r="EQ146" s="321"/>
      <c r="ER146" s="321"/>
      <c r="ES146" s="321"/>
      <c r="ET146" s="321"/>
      <c r="EU146" s="321"/>
      <c r="EV146" s="321"/>
      <c r="EW146" s="322"/>
      <c r="EX146" s="311"/>
      <c r="EY146" s="312"/>
      <c r="EZ146" s="312"/>
      <c r="FA146" s="312"/>
      <c r="FB146" s="313"/>
      <c r="FC146" s="243"/>
      <c r="FD146" s="243"/>
      <c r="FE146" s="243"/>
      <c r="FF146" s="243"/>
      <c r="FG146" s="243"/>
      <c r="FH146" s="243"/>
      <c r="FI146" s="243"/>
      <c r="FJ146" s="243"/>
      <c r="FK146" s="243"/>
      <c r="FL146" s="243"/>
      <c r="FM146" s="243"/>
      <c r="FN146" s="320"/>
      <c r="FO146" s="321"/>
      <c r="FP146" s="321"/>
      <c r="FQ146" s="321"/>
      <c r="FR146" s="321"/>
      <c r="FS146" s="321"/>
      <c r="FT146" s="321"/>
      <c r="FU146" s="321"/>
      <c r="FV146" s="321"/>
      <c r="FW146" s="321"/>
      <c r="FX146" s="321"/>
      <c r="FY146" s="321"/>
      <c r="FZ146" s="321"/>
      <c r="GA146" s="321"/>
      <c r="GB146" s="321"/>
      <c r="GC146" s="321"/>
      <c r="GD146" s="321"/>
      <c r="GE146" s="321"/>
      <c r="GF146" s="321"/>
      <c r="GG146" s="321"/>
      <c r="GH146" s="321"/>
      <c r="GI146" s="321"/>
      <c r="GJ146" s="321"/>
      <c r="GK146" s="321"/>
      <c r="GL146" s="321"/>
      <c r="GM146" s="321"/>
      <c r="GN146" s="321"/>
      <c r="GO146" s="321"/>
      <c r="GP146" s="321"/>
      <c r="GQ146" s="321"/>
      <c r="GR146" s="321"/>
      <c r="GS146" s="321"/>
      <c r="GT146" s="321"/>
      <c r="GU146" s="321"/>
      <c r="GV146" s="321"/>
      <c r="GW146" s="321"/>
      <c r="GX146" s="321"/>
      <c r="GY146" s="321"/>
      <c r="GZ146" s="321"/>
      <c r="HA146" s="321"/>
      <c r="HB146" s="322"/>
      <c r="HC146" s="311"/>
      <c r="HD146" s="312"/>
      <c r="HE146" s="312"/>
      <c r="HF146" s="312"/>
      <c r="HG146" s="313"/>
      <c r="QL146" s="229"/>
      <c r="QM146" s="229"/>
      <c r="QQ146" s="230"/>
      <c r="QR146" s="231"/>
      <c r="QS146" s="249"/>
      <c r="QT146" s="249"/>
      <c r="QU146" s="249"/>
      <c r="QV146" s="249"/>
      <c r="QW146" s="250"/>
    </row>
    <row r="147" spans="3:465" ht="5.0999999999999996" customHeight="1" x14ac:dyDescent="0.25">
      <c r="C147" s="226"/>
      <c r="D147" s="227"/>
      <c r="E147" s="229"/>
      <c r="BE147" s="320"/>
      <c r="BF147" s="321"/>
      <c r="BG147" s="321"/>
      <c r="BH147" s="321"/>
      <c r="BI147" s="321"/>
      <c r="BJ147" s="321"/>
      <c r="BK147" s="321"/>
      <c r="BL147" s="321"/>
      <c r="BM147" s="321"/>
      <c r="BN147" s="321"/>
      <c r="BO147" s="321"/>
      <c r="BP147" s="321"/>
      <c r="BQ147" s="321"/>
      <c r="BR147" s="321"/>
      <c r="BS147" s="321"/>
      <c r="BT147" s="321"/>
      <c r="BU147" s="321"/>
      <c r="BV147" s="321"/>
      <c r="BW147" s="321"/>
      <c r="BX147" s="321"/>
      <c r="BY147" s="321"/>
      <c r="BZ147" s="321"/>
      <c r="CA147" s="321"/>
      <c r="CB147" s="321"/>
      <c r="CC147" s="321"/>
      <c r="CD147" s="321"/>
      <c r="CE147" s="321"/>
      <c r="CF147" s="321"/>
      <c r="CG147" s="321"/>
      <c r="CH147" s="321"/>
      <c r="CI147" s="321"/>
      <c r="CJ147" s="321"/>
      <c r="CK147" s="321"/>
      <c r="CL147" s="321"/>
      <c r="CM147" s="321"/>
      <c r="CN147" s="321"/>
      <c r="CO147" s="321"/>
      <c r="CP147" s="321"/>
      <c r="CQ147" s="321"/>
      <c r="CR147" s="321"/>
      <c r="CS147" s="322"/>
      <c r="CT147" s="311"/>
      <c r="CU147" s="312"/>
      <c r="CV147" s="312"/>
      <c r="CW147" s="312"/>
      <c r="CX147" s="313"/>
      <c r="DI147" s="320"/>
      <c r="DJ147" s="321"/>
      <c r="DK147" s="321"/>
      <c r="DL147" s="321"/>
      <c r="DM147" s="321"/>
      <c r="DN147" s="321"/>
      <c r="DO147" s="321"/>
      <c r="DP147" s="321"/>
      <c r="DQ147" s="321"/>
      <c r="DR147" s="321"/>
      <c r="DS147" s="321"/>
      <c r="DT147" s="321"/>
      <c r="DU147" s="321"/>
      <c r="DV147" s="321"/>
      <c r="DW147" s="321"/>
      <c r="DX147" s="321"/>
      <c r="DY147" s="321"/>
      <c r="DZ147" s="321"/>
      <c r="EA147" s="321"/>
      <c r="EB147" s="321"/>
      <c r="EC147" s="321"/>
      <c r="ED147" s="321"/>
      <c r="EE147" s="321"/>
      <c r="EF147" s="321"/>
      <c r="EG147" s="321"/>
      <c r="EH147" s="321"/>
      <c r="EI147" s="321"/>
      <c r="EJ147" s="321"/>
      <c r="EK147" s="321"/>
      <c r="EL147" s="321"/>
      <c r="EM147" s="321"/>
      <c r="EN147" s="321"/>
      <c r="EO147" s="321"/>
      <c r="EP147" s="321"/>
      <c r="EQ147" s="321"/>
      <c r="ER147" s="321"/>
      <c r="ES147" s="321"/>
      <c r="ET147" s="321"/>
      <c r="EU147" s="321"/>
      <c r="EV147" s="321"/>
      <c r="EW147" s="322"/>
      <c r="EX147" s="311"/>
      <c r="EY147" s="312"/>
      <c r="EZ147" s="312"/>
      <c r="FA147" s="312"/>
      <c r="FB147" s="313"/>
      <c r="FC147" s="243"/>
      <c r="FD147" s="243"/>
      <c r="FE147" s="243"/>
      <c r="FF147" s="243"/>
      <c r="FG147" s="243"/>
      <c r="FH147" s="243"/>
      <c r="FI147" s="243"/>
      <c r="FJ147" s="243"/>
      <c r="FK147" s="243"/>
      <c r="FL147" s="243"/>
      <c r="FM147" s="243"/>
      <c r="FN147" s="320"/>
      <c r="FO147" s="321"/>
      <c r="FP147" s="321"/>
      <c r="FQ147" s="321"/>
      <c r="FR147" s="321"/>
      <c r="FS147" s="321"/>
      <c r="FT147" s="321"/>
      <c r="FU147" s="321"/>
      <c r="FV147" s="321"/>
      <c r="FW147" s="321"/>
      <c r="FX147" s="321"/>
      <c r="FY147" s="321"/>
      <c r="FZ147" s="321"/>
      <c r="GA147" s="321"/>
      <c r="GB147" s="321"/>
      <c r="GC147" s="321"/>
      <c r="GD147" s="321"/>
      <c r="GE147" s="321"/>
      <c r="GF147" s="321"/>
      <c r="GG147" s="321"/>
      <c r="GH147" s="321"/>
      <c r="GI147" s="321"/>
      <c r="GJ147" s="321"/>
      <c r="GK147" s="321"/>
      <c r="GL147" s="321"/>
      <c r="GM147" s="321"/>
      <c r="GN147" s="321"/>
      <c r="GO147" s="321"/>
      <c r="GP147" s="321"/>
      <c r="GQ147" s="321"/>
      <c r="GR147" s="321"/>
      <c r="GS147" s="321"/>
      <c r="GT147" s="321"/>
      <c r="GU147" s="321"/>
      <c r="GV147" s="321"/>
      <c r="GW147" s="321"/>
      <c r="GX147" s="321"/>
      <c r="GY147" s="321"/>
      <c r="GZ147" s="321"/>
      <c r="HA147" s="321"/>
      <c r="HB147" s="322"/>
      <c r="HC147" s="311"/>
      <c r="HD147" s="312"/>
      <c r="HE147" s="312"/>
      <c r="HF147" s="312"/>
      <c r="HG147" s="313"/>
      <c r="QL147" s="229"/>
      <c r="QM147" s="229"/>
      <c r="QQ147" s="230"/>
      <c r="QR147" s="231"/>
      <c r="QS147" s="249"/>
      <c r="QT147" s="249"/>
      <c r="QU147" s="249"/>
      <c r="QV147" s="249"/>
      <c r="QW147" s="250"/>
    </row>
    <row r="148" spans="3:465" ht="5.0999999999999996" customHeight="1" x14ac:dyDescent="0.25">
      <c r="C148" s="226"/>
      <c r="D148" s="227"/>
      <c r="E148" s="229"/>
      <c r="BE148" s="320"/>
      <c r="BF148" s="321"/>
      <c r="BG148" s="321"/>
      <c r="BH148" s="321"/>
      <c r="BI148" s="321"/>
      <c r="BJ148" s="321"/>
      <c r="BK148" s="321"/>
      <c r="BL148" s="321"/>
      <c r="BM148" s="321"/>
      <c r="BN148" s="321"/>
      <c r="BO148" s="321"/>
      <c r="BP148" s="321"/>
      <c r="BQ148" s="321"/>
      <c r="BR148" s="321"/>
      <c r="BS148" s="321"/>
      <c r="BT148" s="321"/>
      <c r="BU148" s="321"/>
      <c r="BV148" s="321"/>
      <c r="BW148" s="321"/>
      <c r="BX148" s="321"/>
      <c r="BY148" s="321"/>
      <c r="BZ148" s="321"/>
      <c r="CA148" s="321"/>
      <c r="CB148" s="321"/>
      <c r="CC148" s="321"/>
      <c r="CD148" s="321"/>
      <c r="CE148" s="321"/>
      <c r="CF148" s="321"/>
      <c r="CG148" s="321"/>
      <c r="CH148" s="321"/>
      <c r="CI148" s="321"/>
      <c r="CJ148" s="321"/>
      <c r="CK148" s="321"/>
      <c r="CL148" s="321"/>
      <c r="CM148" s="321"/>
      <c r="CN148" s="321"/>
      <c r="CO148" s="321"/>
      <c r="CP148" s="321"/>
      <c r="CQ148" s="321"/>
      <c r="CR148" s="321"/>
      <c r="CS148" s="322"/>
      <c r="CT148" s="311"/>
      <c r="CU148" s="312"/>
      <c r="CV148" s="312"/>
      <c r="CW148" s="312"/>
      <c r="CX148" s="313"/>
      <c r="DI148" s="320"/>
      <c r="DJ148" s="321"/>
      <c r="DK148" s="321"/>
      <c r="DL148" s="321"/>
      <c r="DM148" s="321"/>
      <c r="DN148" s="321"/>
      <c r="DO148" s="321"/>
      <c r="DP148" s="321"/>
      <c r="DQ148" s="321"/>
      <c r="DR148" s="321"/>
      <c r="DS148" s="321"/>
      <c r="DT148" s="321"/>
      <c r="DU148" s="321"/>
      <c r="DV148" s="321"/>
      <c r="DW148" s="321"/>
      <c r="DX148" s="321"/>
      <c r="DY148" s="321"/>
      <c r="DZ148" s="321"/>
      <c r="EA148" s="321"/>
      <c r="EB148" s="321"/>
      <c r="EC148" s="321"/>
      <c r="ED148" s="321"/>
      <c r="EE148" s="321"/>
      <c r="EF148" s="321"/>
      <c r="EG148" s="321"/>
      <c r="EH148" s="321"/>
      <c r="EI148" s="321"/>
      <c r="EJ148" s="321"/>
      <c r="EK148" s="321"/>
      <c r="EL148" s="321"/>
      <c r="EM148" s="321"/>
      <c r="EN148" s="321"/>
      <c r="EO148" s="321"/>
      <c r="EP148" s="321"/>
      <c r="EQ148" s="321"/>
      <c r="ER148" s="321"/>
      <c r="ES148" s="321"/>
      <c r="ET148" s="321"/>
      <c r="EU148" s="321"/>
      <c r="EV148" s="321"/>
      <c r="EW148" s="322"/>
      <c r="EX148" s="311"/>
      <c r="EY148" s="312"/>
      <c r="EZ148" s="312"/>
      <c r="FA148" s="312"/>
      <c r="FB148" s="313"/>
      <c r="FC148" s="243"/>
      <c r="FD148" s="243"/>
      <c r="FE148" s="243"/>
      <c r="FF148" s="243"/>
      <c r="FG148" s="243"/>
      <c r="FH148" s="243"/>
      <c r="FI148" s="243"/>
      <c r="FJ148" s="243"/>
      <c r="FK148" s="243"/>
      <c r="FL148" s="243"/>
      <c r="FM148" s="243"/>
      <c r="FN148" s="320"/>
      <c r="FO148" s="321"/>
      <c r="FP148" s="321"/>
      <c r="FQ148" s="321"/>
      <c r="FR148" s="321"/>
      <c r="FS148" s="321"/>
      <c r="FT148" s="321"/>
      <c r="FU148" s="321"/>
      <c r="FV148" s="321"/>
      <c r="FW148" s="321"/>
      <c r="FX148" s="321"/>
      <c r="FY148" s="321"/>
      <c r="FZ148" s="321"/>
      <c r="GA148" s="321"/>
      <c r="GB148" s="321"/>
      <c r="GC148" s="321"/>
      <c r="GD148" s="321"/>
      <c r="GE148" s="321"/>
      <c r="GF148" s="321"/>
      <c r="GG148" s="321"/>
      <c r="GH148" s="321"/>
      <c r="GI148" s="321"/>
      <c r="GJ148" s="321"/>
      <c r="GK148" s="321"/>
      <c r="GL148" s="321"/>
      <c r="GM148" s="321"/>
      <c r="GN148" s="321"/>
      <c r="GO148" s="321"/>
      <c r="GP148" s="321"/>
      <c r="GQ148" s="321"/>
      <c r="GR148" s="321"/>
      <c r="GS148" s="321"/>
      <c r="GT148" s="321"/>
      <c r="GU148" s="321"/>
      <c r="GV148" s="321"/>
      <c r="GW148" s="321"/>
      <c r="GX148" s="321"/>
      <c r="GY148" s="321"/>
      <c r="GZ148" s="321"/>
      <c r="HA148" s="321"/>
      <c r="HB148" s="322"/>
      <c r="HC148" s="311"/>
      <c r="HD148" s="312"/>
      <c r="HE148" s="312"/>
      <c r="HF148" s="312"/>
      <c r="HG148" s="313"/>
      <c r="JD148" s="229"/>
      <c r="JE148" s="229"/>
      <c r="JF148" s="229"/>
      <c r="QL148" s="229"/>
      <c r="QM148" s="229"/>
      <c r="QQ148" s="230"/>
      <c r="QR148" s="231"/>
      <c r="QS148" s="249"/>
      <c r="QT148" s="249"/>
      <c r="QU148" s="249"/>
      <c r="QV148" s="249"/>
      <c r="QW148" s="250"/>
    </row>
    <row r="149" spans="3:465" ht="5.0999999999999996" customHeight="1" x14ac:dyDescent="0.25">
      <c r="C149" s="226"/>
      <c r="D149" s="227"/>
      <c r="E149" s="229"/>
      <c r="BE149" s="320"/>
      <c r="BF149" s="321"/>
      <c r="BG149" s="321"/>
      <c r="BH149" s="321"/>
      <c r="BI149" s="321"/>
      <c r="BJ149" s="321"/>
      <c r="BK149" s="321"/>
      <c r="BL149" s="321"/>
      <c r="BM149" s="321"/>
      <c r="BN149" s="321"/>
      <c r="BO149" s="321"/>
      <c r="BP149" s="321"/>
      <c r="BQ149" s="321"/>
      <c r="BR149" s="321"/>
      <c r="BS149" s="321"/>
      <c r="BT149" s="321"/>
      <c r="BU149" s="321"/>
      <c r="BV149" s="321"/>
      <c r="BW149" s="321"/>
      <c r="BX149" s="321"/>
      <c r="BY149" s="321"/>
      <c r="BZ149" s="321"/>
      <c r="CA149" s="321"/>
      <c r="CB149" s="321"/>
      <c r="CC149" s="321"/>
      <c r="CD149" s="321"/>
      <c r="CE149" s="321"/>
      <c r="CF149" s="321"/>
      <c r="CG149" s="321"/>
      <c r="CH149" s="321"/>
      <c r="CI149" s="321"/>
      <c r="CJ149" s="321"/>
      <c r="CK149" s="321"/>
      <c r="CL149" s="321"/>
      <c r="CM149" s="321"/>
      <c r="CN149" s="321"/>
      <c r="CO149" s="321"/>
      <c r="CP149" s="321"/>
      <c r="CQ149" s="321"/>
      <c r="CR149" s="321"/>
      <c r="CS149" s="322"/>
      <c r="CT149" s="311"/>
      <c r="CU149" s="312"/>
      <c r="CV149" s="312"/>
      <c r="CW149" s="312"/>
      <c r="CX149" s="313"/>
      <c r="DI149" s="320"/>
      <c r="DJ149" s="321"/>
      <c r="DK149" s="321"/>
      <c r="DL149" s="321"/>
      <c r="DM149" s="321"/>
      <c r="DN149" s="321"/>
      <c r="DO149" s="321"/>
      <c r="DP149" s="321"/>
      <c r="DQ149" s="321"/>
      <c r="DR149" s="321"/>
      <c r="DS149" s="321"/>
      <c r="DT149" s="321"/>
      <c r="DU149" s="321"/>
      <c r="DV149" s="321"/>
      <c r="DW149" s="321"/>
      <c r="DX149" s="321"/>
      <c r="DY149" s="321"/>
      <c r="DZ149" s="321"/>
      <c r="EA149" s="321"/>
      <c r="EB149" s="321"/>
      <c r="EC149" s="321"/>
      <c r="ED149" s="321"/>
      <c r="EE149" s="321"/>
      <c r="EF149" s="321"/>
      <c r="EG149" s="321"/>
      <c r="EH149" s="321"/>
      <c r="EI149" s="321"/>
      <c r="EJ149" s="321"/>
      <c r="EK149" s="321"/>
      <c r="EL149" s="321"/>
      <c r="EM149" s="321"/>
      <c r="EN149" s="321"/>
      <c r="EO149" s="321"/>
      <c r="EP149" s="321"/>
      <c r="EQ149" s="321"/>
      <c r="ER149" s="321"/>
      <c r="ES149" s="321"/>
      <c r="ET149" s="321"/>
      <c r="EU149" s="321"/>
      <c r="EV149" s="321"/>
      <c r="EW149" s="322"/>
      <c r="EX149" s="311"/>
      <c r="EY149" s="312"/>
      <c r="EZ149" s="312"/>
      <c r="FA149" s="312"/>
      <c r="FB149" s="313"/>
      <c r="FC149" s="243"/>
      <c r="FD149" s="243"/>
      <c r="FE149" s="243"/>
      <c r="FF149" s="243"/>
      <c r="FG149" s="243"/>
      <c r="FH149" s="243"/>
      <c r="FI149" s="243"/>
      <c r="FJ149" s="243"/>
      <c r="FK149" s="243"/>
      <c r="FL149" s="243"/>
      <c r="FM149" s="243"/>
      <c r="FN149" s="320"/>
      <c r="FO149" s="321"/>
      <c r="FP149" s="321"/>
      <c r="FQ149" s="321"/>
      <c r="FR149" s="321"/>
      <c r="FS149" s="321"/>
      <c r="FT149" s="321"/>
      <c r="FU149" s="321"/>
      <c r="FV149" s="321"/>
      <c r="FW149" s="321"/>
      <c r="FX149" s="321"/>
      <c r="FY149" s="321"/>
      <c r="FZ149" s="321"/>
      <c r="GA149" s="321"/>
      <c r="GB149" s="321"/>
      <c r="GC149" s="321"/>
      <c r="GD149" s="321"/>
      <c r="GE149" s="321"/>
      <c r="GF149" s="321"/>
      <c r="GG149" s="321"/>
      <c r="GH149" s="321"/>
      <c r="GI149" s="321"/>
      <c r="GJ149" s="321"/>
      <c r="GK149" s="321"/>
      <c r="GL149" s="321"/>
      <c r="GM149" s="321"/>
      <c r="GN149" s="321"/>
      <c r="GO149" s="321"/>
      <c r="GP149" s="321"/>
      <c r="GQ149" s="321"/>
      <c r="GR149" s="321"/>
      <c r="GS149" s="321"/>
      <c r="GT149" s="321"/>
      <c r="GU149" s="321"/>
      <c r="GV149" s="321"/>
      <c r="GW149" s="321"/>
      <c r="GX149" s="321"/>
      <c r="GY149" s="321"/>
      <c r="GZ149" s="321"/>
      <c r="HA149" s="321"/>
      <c r="HB149" s="322"/>
      <c r="HC149" s="311"/>
      <c r="HD149" s="312"/>
      <c r="HE149" s="312"/>
      <c r="HF149" s="312"/>
      <c r="HG149" s="313"/>
      <c r="JD149" s="229"/>
      <c r="JE149" s="229"/>
      <c r="JF149" s="229"/>
      <c r="JG149" s="229"/>
      <c r="JH149" s="229"/>
      <c r="JI149" s="229"/>
      <c r="JJ149" s="229"/>
      <c r="QL149" s="229"/>
      <c r="QM149" s="229"/>
      <c r="QQ149" s="230"/>
      <c r="QR149" s="231"/>
      <c r="QS149" s="249"/>
      <c r="QT149" s="249"/>
      <c r="QU149" s="249"/>
      <c r="QV149" s="249"/>
      <c r="QW149" s="250"/>
    </row>
    <row r="150" spans="3:465" ht="5.0999999999999996" customHeight="1" x14ac:dyDescent="0.25">
      <c r="C150" s="226"/>
      <c r="D150" s="227"/>
      <c r="E150" s="229"/>
      <c r="BE150" s="320"/>
      <c r="BF150" s="321"/>
      <c r="BG150" s="321"/>
      <c r="BH150" s="321"/>
      <c r="BI150" s="321"/>
      <c r="BJ150" s="321"/>
      <c r="BK150" s="321"/>
      <c r="BL150" s="321"/>
      <c r="BM150" s="321"/>
      <c r="BN150" s="321"/>
      <c r="BO150" s="321"/>
      <c r="BP150" s="321"/>
      <c r="BQ150" s="321"/>
      <c r="BR150" s="321"/>
      <c r="BS150" s="321"/>
      <c r="BT150" s="321"/>
      <c r="BU150" s="321"/>
      <c r="BV150" s="321"/>
      <c r="BW150" s="321"/>
      <c r="BX150" s="321"/>
      <c r="BY150" s="321"/>
      <c r="BZ150" s="321"/>
      <c r="CA150" s="321"/>
      <c r="CB150" s="321"/>
      <c r="CC150" s="321"/>
      <c r="CD150" s="321"/>
      <c r="CE150" s="321"/>
      <c r="CF150" s="321"/>
      <c r="CG150" s="321"/>
      <c r="CH150" s="321"/>
      <c r="CI150" s="321"/>
      <c r="CJ150" s="321"/>
      <c r="CK150" s="321"/>
      <c r="CL150" s="321"/>
      <c r="CM150" s="321"/>
      <c r="CN150" s="321"/>
      <c r="CO150" s="321"/>
      <c r="CP150" s="321"/>
      <c r="CQ150" s="321"/>
      <c r="CR150" s="321"/>
      <c r="CS150" s="322"/>
      <c r="CT150" s="311"/>
      <c r="CU150" s="312"/>
      <c r="CV150" s="312"/>
      <c r="CW150" s="312"/>
      <c r="CX150" s="313"/>
      <c r="DI150" s="323"/>
      <c r="DJ150" s="324"/>
      <c r="DK150" s="324"/>
      <c r="DL150" s="324"/>
      <c r="DM150" s="324"/>
      <c r="DN150" s="324"/>
      <c r="DO150" s="324"/>
      <c r="DP150" s="324"/>
      <c r="DQ150" s="324"/>
      <c r="DR150" s="324"/>
      <c r="DS150" s="324"/>
      <c r="DT150" s="324"/>
      <c r="DU150" s="324"/>
      <c r="DV150" s="324"/>
      <c r="DW150" s="324"/>
      <c r="DX150" s="324"/>
      <c r="DY150" s="324"/>
      <c r="DZ150" s="324"/>
      <c r="EA150" s="324"/>
      <c r="EB150" s="324"/>
      <c r="EC150" s="324"/>
      <c r="ED150" s="324"/>
      <c r="EE150" s="324"/>
      <c r="EF150" s="324"/>
      <c r="EG150" s="324"/>
      <c r="EH150" s="324"/>
      <c r="EI150" s="324"/>
      <c r="EJ150" s="324"/>
      <c r="EK150" s="324"/>
      <c r="EL150" s="324"/>
      <c r="EM150" s="324"/>
      <c r="EN150" s="324"/>
      <c r="EO150" s="324"/>
      <c r="EP150" s="324"/>
      <c r="EQ150" s="324"/>
      <c r="ER150" s="324"/>
      <c r="ES150" s="324"/>
      <c r="ET150" s="324"/>
      <c r="EU150" s="324"/>
      <c r="EV150" s="324"/>
      <c r="EW150" s="325"/>
      <c r="EX150" s="314"/>
      <c r="EY150" s="315"/>
      <c r="EZ150" s="315"/>
      <c r="FA150" s="315"/>
      <c r="FB150" s="316"/>
      <c r="FC150" s="243"/>
      <c r="FD150" s="243"/>
      <c r="FE150" s="243"/>
      <c r="FF150" s="243"/>
      <c r="FG150" s="243"/>
      <c r="FH150" s="243"/>
      <c r="FI150" s="243"/>
      <c r="FJ150" s="243"/>
      <c r="FK150" s="243"/>
      <c r="FL150" s="243"/>
      <c r="FM150" s="243"/>
      <c r="FN150" s="320"/>
      <c r="FO150" s="321"/>
      <c r="FP150" s="321"/>
      <c r="FQ150" s="321"/>
      <c r="FR150" s="321"/>
      <c r="FS150" s="321"/>
      <c r="FT150" s="321"/>
      <c r="FU150" s="321"/>
      <c r="FV150" s="321"/>
      <c r="FW150" s="321"/>
      <c r="FX150" s="321"/>
      <c r="FY150" s="321"/>
      <c r="FZ150" s="321"/>
      <c r="GA150" s="321"/>
      <c r="GB150" s="321"/>
      <c r="GC150" s="321"/>
      <c r="GD150" s="321"/>
      <c r="GE150" s="321"/>
      <c r="GF150" s="321"/>
      <c r="GG150" s="321"/>
      <c r="GH150" s="321"/>
      <c r="GI150" s="321"/>
      <c r="GJ150" s="321"/>
      <c r="GK150" s="321"/>
      <c r="GL150" s="321"/>
      <c r="GM150" s="321"/>
      <c r="GN150" s="321"/>
      <c r="GO150" s="321"/>
      <c r="GP150" s="321"/>
      <c r="GQ150" s="321"/>
      <c r="GR150" s="321"/>
      <c r="GS150" s="321"/>
      <c r="GT150" s="321"/>
      <c r="GU150" s="321"/>
      <c r="GV150" s="321"/>
      <c r="GW150" s="321"/>
      <c r="GX150" s="321"/>
      <c r="GY150" s="321"/>
      <c r="GZ150" s="321"/>
      <c r="HA150" s="321"/>
      <c r="HB150" s="322"/>
      <c r="HC150" s="311"/>
      <c r="HD150" s="312"/>
      <c r="HE150" s="312"/>
      <c r="HF150" s="312"/>
      <c r="HG150" s="313"/>
      <c r="QL150" s="229"/>
      <c r="QM150" s="229"/>
      <c r="QQ150" s="230"/>
      <c r="QR150" s="231"/>
      <c r="QS150" s="249"/>
      <c r="QT150" s="249"/>
      <c r="QU150" s="249"/>
      <c r="QV150" s="249"/>
      <c r="QW150" s="250"/>
    </row>
    <row r="151" spans="3:465" ht="5.0999999999999996" customHeight="1" x14ac:dyDescent="0.25">
      <c r="C151" s="226"/>
      <c r="D151" s="227"/>
      <c r="E151" s="229"/>
      <c r="BE151" s="320"/>
      <c r="BF151" s="321"/>
      <c r="BG151" s="321"/>
      <c r="BH151" s="321"/>
      <c r="BI151" s="321"/>
      <c r="BJ151" s="321"/>
      <c r="BK151" s="321"/>
      <c r="BL151" s="321"/>
      <c r="BM151" s="321"/>
      <c r="BN151" s="321"/>
      <c r="BO151" s="321"/>
      <c r="BP151" s="321"/>
      <c r="BQ151" s="321"/>
      <c r="BR151" s="321"/>
      <c r="BS151" s="321"/>
      <c r="BT151" s="321"/>
      <c r="BU151" s="321"/>
      <c r="BV151" s="321"/>
      <c r="BW151" s="321"/>
      <c r="BX151" s="321"/>
      <c r="BY151" s="321"/>
      <c r="BZ151" s="321"/>
      <c r="CA151" s="321"/>
      <c r="CB151" s="321"/>
      <c r="CC151" s="321"/>
      <c r="CD151" s="321"/>
      <c r="CE151" s="321"/>
      <c r="CF151" s="321"/>
      <c r="CG151" s="321"/>
      <c r="CH151" s="321"/>
      <c r="CI151" s="321"/>
      <c r="CJ151" s="321"/>
      <c r="CK151" s="321"/>
      <c r="CL151" s="321"/>
      <c r="CM151" s="321"/>
      <c r="CN151" s="321"/>
      <c r="CO151" s="321"/>
      <c r="CP151" s="321"/>
      <c r="CQ151" s="321"/>
      <c r="CR151" s="321"/>
      <c r="CS151" s="322"/>
      <c r="CT151" s="311"/>
      <c r="CU151" s="312"/>
      <c r="CV151" s="312"/>
      <c r="CW151" s="312"/>
      <c r="CX151" s="313"/>
      <c r="EA151" s="229"/>
      <c r="EB151" s="229"/>
      <c r="EC151" s="229"/>
      <c r="ED151" s="229"/>
      <c r="EE151" s="229"/>
      <c r="EF151" s="234"/>
      <c r="EG151" s="229"/>
      <c r="EH151" s="229"/>
      <c r="EI151" s="229"/>
      <c r="EJ151" s="229"/>
      <c r="EK151" s="229"/>
      <c r="EL151" s="229"/>
      <c r="EM151" s="229"/>
      <c r="EN151" s="229"/>
      <c r="EO151" s="229"/>
      <c r="EP151" s="229"/>
      <c r="EQ151" s="229"/>
      <c r="ER151" s="229"/>
      <c r="ES151" s="229"/>
      <c r="ET151" s="229"/>
      <c r="EU151" s="229"/>
      <c r="EV151" s="229"/>
      <c r="EW151" s="229"/>
      <c r="EX151" s="229"/>
      <c r="EY151" s="229"/>
      <c r="EZ151" s="229"/>
      <c r="FA151" s="229"/>
      <c r="FB151" s="229"/>
      <c r="FC151" s="243"/>
      <c r="FD151" s="243"/>
      <c r="FE151" s="243"/>
      <c r="FF151" s="243"/>
      <c r="FG151" s="243"/>
      <c r="FH151" s="243"/>
      <c r="FI151" s="243"/>
      <c r="FJ151" s="243"/>
      <c r="FK151" s="243"/>
      <c r="FL151" s="243"/>
      <c r="FM151" s="243"/>
      <c r="FN151" s="323"/>
      <c r="FO151" s="324"/>
      <c r="FP151" s="324"/>
      <c r="FQ151" s="324"/>
      <c r="FR151" s="324"/>
      <c r="FS151" s="324"/>
      <c r="FT151" s="324"/>
      <c r="FU151" s="324"/>
      <c r="FV151" s="324"/>
      <c r="FW151" s="324"/>
      <c r="FX151" s="324"/>
      <c r="FY151" s="324"/>
      <c r="FZ151" s="324"/>
      <c r="GA151" s="324"/>
      <c r="GB151" s="324"/>
      <c r="GC151" s="324"/>
      <c r="GD151" s="324"/>
      <c r="GE151" s="324"/>
      <c r="GF151" s="324"/>
      <c r="GG151" s="324"/>
      <c r="GH151" s="324"/>
      <c r="GI151" s="324"/>
      <c r="GJ151" s="324"/>
      <c r="GK151" s="324"/>
      <c r="GL151" s="324"/>
      <c r="GM151" s="324"/>
      <c r="GN151" s="324"/>
      <c r="GO151" s="324"/>
      <c r="GP151" s="324"/>
      <c r="GQ151" s="324"/>
      <c r="GR151" s="324"/>
      <c r="GS151" s="324"/>
      <c r="GT151" s="324"/>
      <c r="GU151" s="324"/>
      <c r="GV151" s="324"/>
      <c r="GW151" s="324"/>
      <c r="GX151" s="324"/>
      <c r="GY151" s="324"/>
      <c r="GZ151" s="324"/>
      <c r="HA151" s="324"/>
      <c r="HB151" s="325"/>
      <c r="HC151" s="314"/>
      <c r="HD151" s="315"/>
      <c r="HE151" s="315"/>
      <c r="HF151" s="315"/>
      <c r="HG151" s="316"/>
      <c r="QL151" s="229"/>
      <c r="QM151" s="229"/>
      <c r="QQ151" s="230"/>
      <c r="QR151" s="231"/>
      <c r="QS151" s="249"/>
      <c r="QT151" s="249"/>
      <c r="QU151" s="249"/>
      <c r="QV151" s="249"/>
      <c r="QW151" s="250"/>
    </row>
    <row r="152" spans="3:465" ht="5.0999999999999996" customHeight="1" x14ac:dyDescent="0.25">
      <c r="C152" s="226"/>
      <c r="D152" s="227"/>
      <c r="E152" s="229"/>
      <c r="BE152" s="320"/>
      <c r="BF152" s="321"/>
      <c r="BG152" s="321"/>
      <c r="BH152" s="321"/>
      <c r="BI152" s="321"/>
      <c r="BJ152" s="321"/>
      <c r="BK152" s="321"/>
      <c r="BL152" s="321"/>
      <c r="BM152" s="321"/>
      <c r="BN152" s="321"/>
      <c r="BO152" s="321"/>
      <c r="BP152" s="321"/>
      <c r="BQ152" s="321"/>
      <c r="BR152" s="321"/>
      <c r="BS152" s="321"/>
      <c r="BT152" s="321"/>
      <c r="BU152" s="321"/>
      <c r="BV152" s="321"/>
      <c r="BW152" s="321"/>
      <c r="BX152" s="321"/>
      <c r="BY152" s="321"/>
      <c r="BZ152" s="321"/>
      <c r="CA152" s="321"/>
      <c r="CB152" s="321"/>
      <c r="CC152" s="321"/>
      <c r="CD152" s="321"/>
      <c r="CE152" s="321"/>
      <c r="CF152" s="321"/>
      <c r="CG152" s="321"/>
      <c r="CH152" s="321"/>
      <c r="CI152" s="321"/>
      <c r="CJ152" s="321"/>
      <c r="CK152" s="321"/>
      <c r="CL152" s="321"/>
      <c r="CM152" s="321"/>
      <c r="CN152" s="321"/>
      <c r="CO152" s="321"/>
      <c r="CP152" s="321"/>
      <c r="CQ152" s="321"/>
      <c r="CR152" s="321"/>
      <c r="CS152" s="322"/>
      <c r="CT152" s="311"/>
      <c r="CU152" s="312"/>
      <c r="CV152" s="312"/>
      <c r="CW152" s="312"/>
      <c r="CX152" s="313"/>
      <c r="EA152" s="229"/>
      <c r="EB152" s="229"/>
      <c r="EC152" s="229"/>
      <c r="ED152" s="229"/>
      <c r="EE152" s="229"/>
      <c r="EF152" s="244"/>
      <c r="EG152" s="245"/>
      <c r="EH152" s="229"/>
      <c r="EI152" s="229"/>
      <c r="EJ152" s="229"/>
      <c r="EK152" s="229"/>
      <c r="EL152" s="229"/>
      <c r="EM152" s="229"/>
      <c r="EN152" s="229"/>
      <c r="EO152" s="229"/>
      <c r="EP152" s="229"/>
      <c r="EQ152" s="229"/>
      <c r="ER152" s="229"/>
      <c r="ES152" s="229"/>
      <c r="ET152" s="229"/>
      <c r="EU152" s="229"/>
      <c r="EV152" s="229"/>
      <c r="EW152" s="229"/>
      <c r="EX152" s="229"/>
      <c r="EY152" s="229"/>
      <c r="EZ152" s="229"/>
      <c r="FA152" s="229"/>
      <c r="FB152" s="229"/>
      <c r="FC152" s="243"/>
      <c r="FD152" s="243"/>
      <c r="FE152" s="243"/>
      <c r="FF152" s="243"/>
      <c r="FG152" s="243"/>
      <c r="FH152" s="243"/>
      <c r="FI152" s="243"/>
      <c r="FJ152" s="243"/>
      <c r="FK152" s="243"/>
      <c r="FL152" s="243"/>
      <c r="FM152" s="243"/>
      <c r="GF152" s="229"/>
      <c r="GG152" s="229"/>
      <c r="GH152" s="229"/>
      <c r="GI152" s="229"/>
      <c r="GJ152" s="229"/>
      <c r="GK152" s="234"/>
      <c r="GL152" s="229"/>
      <c r="GM152" s="229"/>
      <c r="GN152" s="229"/>
      <c r="GO152" s="229"/>
      <c r="GP152" s="229"/>
      <c r="GQ152" s="229"/>
      <c r="GR152" s="229"/>
      <c r="GS152" s="229"/>
      <c r="GT152" s="229"/>
      <c r="GU152" s="229"/>
      <c r="GV152" s="229"/>
      <c r="GW152" s="229"/>
      <c r="GX152" s="229"/>
      <c r="GY152" s="229"/>
      <c r="GZ152" s="229"/>
      <c r="HA152" s="229"/>
      <c r="HB152" s="229"/>
      <c r="HC152" s="229"/>
      <c r="HD152" s="229"/>
      <c r="HE152" s="229"/>
      <c r="HF152" s="229"/>
      <c r="HG152" s="229"/>
      <c r="OR152" s="326" t="s">
        <v>437</v>
      </c>
      <c r="OS152" s="327"/>
      <c r="OT152" s="327"/>
      <c r="OU152" s="327"/>
      <c r="OV152" s="327"/>
      <c r="OW152" s="327"/>
      <c r="OX152" s="327"/>
      <c r="OY152" s="327"/>
      <c r="OZ152" s="327"/>
      <c r="PA152" s="327"/>
      <c r="PB152" s="327"/>
      <c r="PC152" s="327"/>
      <c r="PD152" s="327"/>
      <c r="PE152" s="327"/>
      <c r="PF152" s="327"/>
      <c r="PG152" s="327"/>
      <c r="PH152" s="327"/>
      <c r="PI152" s="327"/>
      <c r="PJ152" s="327"/>
      <c r="PK152" s="327"/>
      <c r="PL152" s="327"/>
      <c r="PM152" s="327"/>
      <c r="PN152" s="327"/>
      <c r="PO152" s="327"/>
      <c r="PP152" s="327"/>
      <c r="PQ152" s="327"/>
      <c r="PR152" s="327"/>
      <c r="PS152" s="327"/>
      <c r="PT152" s="327"/>
      <c r="PU152" s="327"/>
      <c r="PV152" s="327"/>
      <c r="PW152" s="327"/>
      <c r="PX152" s="327"/>
      <c r="PY152" s="327"/>
      <c r="PZ152" s="327"/>
      <c r="QA152" s="327"/>
      <c r="QB152" s="327"/>
      <c r="QC152" s="327"/>
      <c r="QD152" s="327"/>
      <c r="QE152" s="327"/>
      <c r="QF152" s="332"/>
      <c r="QG152" s="332"/>
      <c r="QH152" s="332"/>
      <c r="QI152" s="332"/>
      <c r="QJ152" s="332"/>
      <c r="QK152" s="332"/>
      <c r="QQ152" s="230"/>
      <c r="QR152" s="231"/>
      <c r="QS152" s="249"/>
      <c r="QT152" s="249"/>
      <c r="QU152" s="249"/>
      <c r="QV152" s="249"/>
      <c r="QW152" s="250"/>
    </row>
    <row r="153" spans="3:465" ht="5.0999999999999996" customHeight="1" x14ac:dyDescent="0.25">
      <c r="C153" s="226"/>
      <c r="D153" s="227"/>
      <c r="E153" s="229"/>
      <c r="BE153" s="320"/>
      <c r="BF153" s="321"/>
      <c r="BG153" s="321"/>
      <c r="BH153" s="321"/>
      <c r="BI153" s="321"/>
      <c r="BJ153" s="321"/>
      <c r="BK153" s="321"/>
      <c r="BL153" s="321"/>
      <c r="BM153" s="321"/>
      <c r="BN153" s="321"/>
      <c r="BO153" s="321"/>
      <c r="BP153" s="321"/>
      <c r="BQ153" s="321"/>
      <c r="BR153" s="321"/>
      <c r="BS153" s="321"/>
      <c r="BT153" s="321"/>
      <c r="BU153" s="321"/>
      <c r="BV153" s="321"/>
      <c r="BW153" s="321"/>
      <c r="BX153" s="321"/>
      <c r="BY153" s="321"/>
      <c r="BZ153" s="321"/>
      <c r="CA153" s="321"/>
      <c r="CB153" s="321"/>
      <c r="CC153" s="321"/>
      <c r="CD153" s="321"/>
      <c r="CE153" s="321"/>
      <c r="CF153" s="321"/>
      <c r="CG153" s="321"/>
      <c r="CH153" s="321"/>
      <c r="CI153" s="321"/>
      <c r="CJ153" s="321"/>
      <c r="CK153" s="321"/>
      <c r="CL153" s="321"/>
      <c r="CM153" s="321"/>
      <c r="CN153" s="321"/>
      <c r="CO153" s="321"/>
      <c r="CP153" s="321"/>
      <c r="CQ153" s="321"/>
      <c r="CR153" s="321"/>
      <c r="CS153" s="322"/>
      <c r="CT153" s="311"/>
      <c r="CU153" s="312"/>
      <c r="CV153" s="312"/>
      <c r="CW153" s="312"/>
      <c r="CX153" s="313"/>
      <c r="DI153" s="317" t="s">
        <v>64</v>
      </c>
      <c r="DJ153" s="318"/>
      <c r="DK153" s="318"/>
      <c r="DL153" s="318"/>
      <c r="DM153" s="318"/>
      <c r="DN153" s="318"/>
      <c r="DO153" s="318"/>
      <c r="DP153" s="318"/>
      <c r="DQ153" s="318"/>
      <c r="DR153" s="318"/>
      <c r="DS153" s="318"/>
      <c r="DT153" s="318"/>
      <c r="DU153" s="318"/>
      <c r="DV153" s="318"/>
      <c r="DW153" s="318"/>
      <c r="DX153" s="318"/>
      <c r="DY153" s="318"/>
      <c r="DZ153" s="318"/>
      <c r="EA153" s="318"/>
      <c r="EB153" s="318"/>
      <c r="EC153" s="318"/>
      <c r="ED153" s="318"/>
      <c r="EE153" s="318"/>
      <c r="EF153" s="318"/>
      <c r="EG153" s="318"/>
      <c r="EH153" s="318"/>
      <c r="EI153" s="318"/>
      <c r="EJ153" s="318"/>
      <c r="EK153" s="318"/>
      <c r="EL153" s="318"/>
      <c r="EM153" s="318"/>
      <c r="EN153" s="318"/>
      <c r="EO153" s="318"/>
      <c r="EP153" s="318"/>
      <c r="EQ153" s="318"/>
      <c r="ER153" s="318"/>
      <c r="ES153" s="318"/>
      <c r="ET153" s="318"/>
      <c r="EU153" s="318"/>
      <c r="EV153" s="318"/>
      <c r="EW153" s="319"/>
      <c r="EX153" s="308">
        <v>5</v>
      </c>
      <c r="EY153" s="309"/>
      <c r="EZ153" s="309"/>
      <c r="FA153" s="309"/>
      <c r="FB153" s="310"/>
      <c r="FC153" s="243"/>
      <c r="FD153" s="243"/>
      <c r="FE153" s="243"/>
      <c r="FF153" s="243"/>
      <c r="FG153" s="243"/>
      <c r="FH153" s="243"/>
      <c r="FI153" s="243"/>
      <c r="FJ153" s="243"/>
      <c r="FK153" s="243"/>
      <c r="FL153" s="243"/>
      <c r="FM153" s="243"/>
      <c r="GF153" s="229"/>
      <c r="GG153" s="229"/>
      <c r="GH153" s="229"/>
      <c r="GI153" s="229"/>
      <c r="GJ153" s="229"/>
      <c r="GK153" s="244"/>
      <c r="GL153" s="245"/>
      <c r="GM153" s="229"/>
      <c r="GN153" s="229"/>
      <c r="GO153" s="229"/>
      <c r="GP153" s="229"/>
      <c r="GQ153" s="229"/>
      <c r="GR153" s="229"/>
      <c r="GS153" s="229"/>
      <c r="GT153" s="229"/>
      <c r="GU153" s="229"/>
      <c r="GV153" s="229"/>
      <c r="GW153" s="229"/>
      <c r="GX153" s="229"/>
      <c r="GY153" s="229"/>
      <c r="GZ153" s="229"/>
      <c r="HA153" s="229"/>
      <c r="HB153" s="229"/>
      <c r="HC153" s="229"/>
      <c r="HD153" s="229"/>
      <c r="HE153" s="229"/>
      <c r="HF153" s="229"/>
      <c r="HG153" s="229"/>
      <c r="OR153" s="328"/>
      <c r="OS153" s="329"/>
      <c r="OT153" s="329"/>
      <c r="OU153" s="329"/>
      <c r="OV153" s="329"/>
      <c r="OW153" s="329"/>
      <c r="OX153" s="329"/>
      <c r="OY153" s="329"/>
      <c r="OZ153" s="329"/>
      <c r="PA153" s="329"/>
      <c r="PB153" s="329"/>
      <c r="PC153" s="329"/>
      <c r="PD153" s="329"/>
      <c r="PE153" s="329"/>
      <c r="PF153" s="329"/>
      <c r="PG153" s="329"/>
      <c r="PH153" s="329"/>
      <c r="PI153" s="329"/>
      <c r="PJ153" s="329"/>
      <c r="PK153" s="329"/>
      <c r="PL153" s="329"/>
      <c r="PM153" s="329"/>
      <c r="PN153" s="329"/>
      <c r="PO153" s="329"/>
      <c r="PP153" s="329"/>
      <c r="PQ153" s="329"/>
      <c r="PR153" s="329"/>
      <c r="PS153" s="329"/>
      <c r="PT153" s="329"/>
      <c r="PU153" s="329"/>
      <c r="PV153" s="329"/>
      <c r="PW153" s="329"/>
      <c r="PX153" s="329"/>
      <c r="PY153" s="329"/>
      <c r="PZ153" s="329"/>
      <c r="QA153" s="329"/>
      <c r="QB153" s="329"/>
      <c r="QC153" s="329"/>
      <c r="QD153" s="329"/>
      <c r="QE153" s="329"/>
      <c r="QF153" s="332"/>
      <c r="QG153" s="332"/>
      <c r="QH153" s="332"/>
      <c r="QI153" s="332"/>
      <c r="QJ153" s="332"/>
      <c r="QK153" s="332"/>
      <c r="QQ153" s="230"/>
      <c r="QR153" s="231"/>
      <c r="QS153" s="249"/>
      <c r="QT153" s="249"/>
      <c r="QU153" s="249"/>
      <c r="QV153" s="249"/>
      <c r="QW153" s="250"/>
    </row>
    <row r="154" spans="3:465" ht="5.0999999999999996" customHeight="1" x14ac:dyDescent="0.25">
      <c r="C154" s="226"/>
      <c r="D154" s="227"/>
      <c r="E154" s="229"/>
      <c r="BE154" s="320"/>
      <c r="BF154" s="321"/>
      <c r="BG154" s="321"/>
      <c r="BH154" s="321"/>
      <c r="BI154" s="321"/>
      <c r="BJ154" s="321"/>
      <c r="BK154" s="321"/>
      <c r="BL154" s="321"/>
      <c r="BM154" s="321"/>
      <c r="BN154" s="321"/>
      <c r="BO154" s="321"/>
      <c r="BP154" s="321"/>
      <c r="BQ154" s="321"/>
      <c r="BR154" s="321"/>
      <c r="BS154" s="321"/>
      <c r="BT154" s="321"/>
      <c r="BU154" s="321"/>
      <c r="BV154" s="321"/>
      <c r="BW154" s="321"/>
      <c r="BX154" s="321"/>
      <c r="BY154" s="321"/>
      <c r="BZ154" s="321"/>
      <c r="CA154" s="321"/>
      <c r="CB154" s="321"/>
      <c r="CC154" s="321"/>
      <c r="CD154" s="321"/>
      <c r="CE154" s="321"/>
      <c r="CF154" s="321"/>
      <c r="CG154" s="321"/>
      <c r="CH154" s="321"/>
      <c r="CI154" s="321"/>
      <c r="CJ154" s="321"/>
      <c r="CK154" s="321"/>
      <c r="CL154" s="321"/>
      <c r="CM154" s="321"/>
      <c r="CN154" s="321"/>
      <c r="CO154" s="321"/>
      <c r="CP154" s="321"/>
      <c r="CQ154" s="321"/>
      <c r="CR154" s="321"/>
      <c r="CS154" s="322"/>
      <c r="CT154" s="311"/>
      <c r="CU154" s="312"/>
      <c r="CV154" s="312"/>
      <c r="CW154" s="312"/>
      <c r="CX154" s="313"/>
      <c r="DI154" s="320"/>
      <c r="DJ154" s="321"/>
      <c r="DK154" s="321"/>
      <c r="DL154" s="321"/>
      <c r="DM154" s="321"/>
      <c r="DN154" s="321"/>
      <c r="DO154" s="321"/>
      <c r="DP154" s="321"/>
      <c r="DQ154" s="321"/>
      <c r="DR154" s="321"/>
      <c r="DS154" s="321"/>
      <c r="DT154" s="321"/>
      <c r="DU154" s="321"/>
      <c r="DV154" s="321"/>
      <c r="DW154" s="321"/>
      <c r="DX154" s="321"/>
      <c r="DY154" s="321"/>
      <c r="DZ154" s="321"/>
      <c r="EA154" s="321"/>
      <c r="EB154" s="321"/>
      <c r="EC154" s="321"/>
      <c r="ED154" s="321"/>
      <c r="EE154" s="321"/>
      <c r="EF154" s="321"/>
      <c r="EG154" s="321"/>
      <c r="EH154" s="321"/>
      <c r="EI154" s="321"/>
      <c r="EJ154" s="321"/>
      <c r="EK154" s="321"/>
      <c r="EL154" s="321"/>
      <c r="EM154" s="321"/>
      <c r="EN154" s="321"/>
      <c r="EO154" s="321"/>
      <c r="EP154" s="321"/>
      <c r="EQ154" s="321"/>
      <c r="ER154" s="321"/>
      <c r="ES154" s="321"/>
      <c r="ET154" s="321"/>
      <c r="EU154" s="321"/>
      <c r="EV154" s="321"/>
      <c r="EW154" s="322"/>
      <c r="EX154" s="311"/>
      <c r="EY154" s="312"/>
      <c r="EZ154" s="312"/>
      <c r="FA154" s="312"/>
      <c r="FB154" s="313"/>
      <c r="FC154" s="243"/>
      <c r="FD154" s="243"/>
      <c r="FE154" s="243"/>
      <c r="FF154" s="243"/>
      <c r="FG154" s="243"/>
      <c r="FH154" s="243"/>
      <c r="FI154" s="243"/>
      <c r="FJ154" s="243"/>
      <c r="FK154" s="243"/>
      <c r="FL154" s="243"/>
      <c r="FM154" s="243"/>
      <c r="FN154" s="333" t="s">
        <v>119</v>
      </c>
      <c r="FO154" s="334"/>
      <c r="FP154" s="334"/>
      <c r="FQ154" s="334"/>
      <c r="FR154" s="334"/>
      <c r="FS154" s="334"/>
      <c r="FT154" s="334"/>
      <c r="FU154" s="334"/>
      <c r="FV154" s="334"/>
      <c r="FW154" s="334"/>
      <c r="FX154" s="334"/>
      <c r="FY154" s="334"/>
      <c r="FZ154" s="334"/>
      <c r="GA154" s="334"/>
      <c r="GB154" s="334"/>
      <c r="GC154" s="334"/>
      <c r="GD154" s="334"/>
      <c r="GE154" s="334"/>
      <c r="GF154" s="334"/>
      <c r="GG154" s="334"/>
      <c r="GH154" s="334"/>
      <c r="GI154" s="334"/>
      <c r="GJ154" s="334"/>
      <c r="GK154" s="334"/>
      <c r="GL154" s="334"/>
      <c r="GM154" s="334"/>
      <c r="GN154" s="334"/>
      <c r="GO154" s="334"/>
      <c r="GP154" s="334"/>
      <c r="GQ154" s="334"/>
      <c r="GR154" s="334"/>
      <c r="GS154" s="334"/>
      <c r="GT154" s="334"/>
      <c r="GU154" s="334"/>
      <c r="GV154" s="334"/>
      <c r="GW154" s="334"/>
      <c r="GX154" s="334"/>
      <c r="GY154" s="334"/>
      <c r="GZ154" s="334"/>
      <c r="HA154" s="334"/>
      <c r="HB154" s="335"/>
      <c r="HC154" s="333">
        <v>6</v>
      </c>
      <c r="HD154" s="334"/>
      <c r="HE154" s="334"/>
      <c r="HF154" s="334"/>
      <c r="HG154" s="335"/>
      <c r="OR154" s="328"/>
      <c r="OS154" s="329"/>
      <c r="OT154" s="329"/>
      <c r="OU154" s="329"/>
      <c r="OV154" s="329"/>
      <c r="OW154" s="329"/>
      <c r="OX154" s="329"/>
      <c r="OY154" s="329"/>
      <c r="OZ154" s="329"/>
      <c r="PA154" s="329"/>
      <c r="PB154" s="329"/>
      <c r="PC154" s="329"/>
      <c r="PD154" s="329"/>
      <c r="PE154" s="329"/>
      <c r="PF154" s="329"/>
      <c r="PG154" s="329"/>
      <c r="PH154" s="329"/>
      <c r="PI154" s="329"/>
      <c r="PJ154" s="329"/>
      <c r="PK154" s="329"/>
      <c r="PL154" s="329"/>
      <c r="PM154" s="329"/>
      <c r="PN154" s="329"/>
      <c r="PO154" s="329"/>
      <c r="PP154" s="329"/>
      <c r="PQ154" s="329"/>
      <c r="PR154" s="329"/>
      <c r="PS154" s="329"/>
      <c r="PT154" s="329"/>
      <c r="PU154" s="329"/>
      <c r="PV154" s="329"/>
      <c r="PW154" s="329"/>
      <c r="PX154" s="329"/>
      <c r="PY154" s="329"/>
      <c r="PZ154" s="329"/>
      <c r="QA154" s="329"/>
      <c r="QB154" s="329"/>
      <c r="QC154" s="329"/>
      <c r="QD154" s="329"/>
      <c r="QE154" s="329"/>
      <c r="QF154" s="332"/>
      <c r="QG154" s="332"/>
      <c r="QH154" s="332"/>
      <c r="QI154" s="332"/>
      <c r="QJ154" s="332"/>
      <c r="QK154" s="332"/>
      <c r="QQ154" s="230"/>
      <c r="QR154" s="231"/>
      <c r="QS154" s="249"/>
      <c r="QT154" s="249"/>
      <c r="QU154" s="249"/>
      <c r="QV154" s="249"/>
      <c r="QW154" s="250"/>
    </row>
    <row r="155" spans="3:465" ht="5.0999999999999996" customHeight="1" x14ac:dyDescent="0.25">
      <c r="C155" s="226"/>
      <c r="D155" s="227"/>
      <c r="E155" s="229"/>
      <c r="BE155" s="323"/>
      <c r="BF155" s="324"/>
      <c r="BG155" s="324"/>
      <c r="BH155" s="324"/>
      <c r="BI155" s="324"/>
      <c r="BJ155" s="324"/>
      <c r="BK155" s="324"/>
      <c r="BL155" s="324"/>
      <c r="BM155" s="324"/>
      <c r="BN155" s="324"/>
      <c r="BO155" s="324"/>
      <c r="BP155" s="324"/>
      <c r="BQ155" s="324"/>
      <c r="BR155" s="324"/>
      <c r="BS155" s="324"/>
      <c r="BT155" s="324"/>
      <c r="BU155" s="324"/>
      <c r="BV155" s="324"/>
      <c r="BW155" s="324"/>
      <c r="BX155" s="324"/>
      <c r="BY155" s="324"/>
      <c r="BZ155" s="324"/>
      <c r="CA155" s="324"/>
      <c r="CB155" s="324"/>
      <c r="CC155" s="324"/>
      <c r="CD155" s="324"/>
      <c r="CE155" s="324"/>
      <c r="CF155" s="324"/>
      <c r="CG155" s="324"/>
      <c r="CH155" s="324"/>
      <c r="CI155" s="324"/>
      <c r="CJ155" s="324"/>
      <c r="CK155" s="324"/>
      <c r="CL155" s="324"/>
      <c r="CM155" s="324"/>
      <c r="CN155" s="324"/>
      <c r="CO155" s="324"/>
      <c r="CP155" s="324"/>
      <c r="CQ155" s="324"/>
      <c r="CR155" s="324"/>
      <c r="CS155" s="325"/>
      <c r="CT155" s="314"/>
      <c r="CU155" s="315"/>
      <c r="CV155" s="315"/>
      <c r="CW155" s="315"/>
      <c r="CX155" s="316"/>
      <c r="DI155" s="320"/>
      <c r="DJ155" s="321"/>
      <c r="DK155" s="321"/>
      <c r="DL155" s="321"/>
      <c r="DM155" s="321"/>
      <c r="DN155" s="321"/>
      <c r="DO155" s="321"/>
      <c r="DP155" s="321"/>
      <c r="DQ155" s="321"/>
      <c r="DR155" s="321"/>
      <c r="DS155" s="321"/>
      <c r="DT155" s="321"/>
      <c r="DU155" s="321"/>
      <c r="DV155" s="321"/>
      <c r="DW155" s="321"/>
      <c r="DX155" s="321"/>
      <c r="DY155" s="321"/>
      <c r="DZ155" s="321"/>
      <c r="EA155" s="321"/>
      <c r="EB155" s="321"/>
      <c r="EC155" s="321"/>
      <c r="ED155" s="321"/>
      <c r="EE155" s="321"/>
      <c r="EF155" s="321"/>
      <c r="EG155" s="321"/>
      <c r="EH155" s="321"/>
      <c r="EI155" s="321"/>
      <c r="EJ155" s="321"/>
      <c r="EK155" s="321"/>
      <c r="EL155" s="321"/>
      <c r="EM155" s="321"/>
      <c r="EN155" s="321"/>
      <c r="EO155" s="321"/>
      <c r="EP155" s="321"/>
      <c r="EQ155" s="321"/>
      <c r="ER155" s="321"/>
      <c r="ES155" s="321"/>
      <c r="ET155" s="321"/>
      <c r="EU155" s="321"/>
      <c r="EV155" s="321"/>
      <c r="EW155" s="322"/>
      <c r="EX155" s="311"/>
      <c r="EY155" s="312"/>
      <c r="EZ155" s="312"/>
      <c r="FA155" s="312"/>
      <c r="FB155" s="313"/>
      <c r="FC155" s="243"/>
      <c r="FD155" s="243"/>
      <c r="FE155" s="243"/>
      <c r="FF155" s="243"/>
      <c r="FG155" s="243"/>
      <c r="FH155" s="243"/>
      <c r="FI155" s="243"/>
      <c r="FJ155" s="243"/>
      <c r="FK155" s="243"/>
      <c r="FL155" s="243"/>
      <c r="FM155" s="243"/>
      <c r="FN155" s="336"/>
      <c r="FO155" s="337"/>
      <c r="FP155" s="337"/>
      <c r="FQ155" s="337"/>
      <c r="FR155" s="337"/>
      <c r="FS155" s="337"/>
      <c r="FT155" s="337"/>
      <c r="FU155" s="337"/>
      <c r="FV155" s="337"/>
      <c r="FW155" s="337"/>
      <c r="FX155" s="337"/>
      <c r="FY155" s="337"/>
      <c r="FZ155" s="337"/>
      <c r="GA155" s="337"/>
      <c r="GB155" s="337"/>
      <c r="GC155" s="337"/>
      <c r="GD155" s="337"/>
      <c r="GE155" s="337"/>
      <c r="GF155" s="337"/>
      <c r="GG155" s="337"/>
      <c r="GH155" s="337"/>
      <c r="GI155" s="337"/>
      <c r="GJ155" s="337"/>
      <c r="GK155" s="337"/>
      <c r="GL155" s="337"/>
      <c r="GM155" s="337"/>
      <c r="GN155" s="337"/>
      <c r="GO155" s="337"/>
      <c r="GP155" s="337"/>
      <c r="GQ155" s="337"/>
      <c r="GR155" s="337"/>
      <c r="GS155" s="337"/>
      <c r="GT155" s="337"/>
      <c r="GU155" s="337"/>
      <c r="GV155" s="337"/>
      <c r="GW155" s="337"/>
      <c r="GX155" s="337"/>
      <c r="GY155" s="337"/>
      <c r="GZ155" s="337"/>
      <c r="HA155" s="337"/>
      <c r="HB155" s="338"/>
      <c r="HC155" s="336"/>
      <c r="HD155" s="337"/>
      <c r="HE155" s="337"/>
      <c r="HF155" s="337"/>
      <c r="HG155" s="338"/>
      <c r="OR155" s="328"/>
      <c r="OS155" s="329"/>
      <c r="OT155" s="329"/>
      <c r="OU155" s="329"/>
      <c r="OV155" s="329"/>
      <c r="OW155" s="329"/>
      <c r="OX155" s="329"/>
      <c r="OY155" s="329"/>
      <c r="OZ155" s="329"/>
      <c r="PA155" s="329"/>
      <c r="PB155" s="329"/>
      <c r="PC155" s="329"/>
      <c r="PD155" s="329"/>
      <c r="PE155" s="329"/>
      <c r="PF155" s="329"/>
      <c r="PG155" s="329"/>
      <c r="PH155" s="329"/>
      <c r="PI155" s="329"/>
      <c r="PJ155" s="329"/>
      <c r="PK155" s="329"/>
      <c r="PL155" s="329"/>
      <c r="PM155" s="329"/>
      <c r="PN155" s="329"/>
      <c r="PO155" s="329"/>
      <c r="PP155" s="329"/>
      <c r="PQ155" s="329"/>
      <c r="PR155" s="329"/>
      <c r="PS155" s="329"/>
      <c r="PT155" s="329"/>
      <c r="PU155" s="329"/>
      <c r="PV155" s="329"/>
      <c r="PW155" s="329"/>
      <c r="PX155" s="329"/>
      <c r="PY155" s="329"/>
      <c r="PZ155" s="329"/>
      <c r="QA155" s="329"/>
      <c r="QB155" s="329"/>
      <c r="QC155" s="329"/>
      <c r="QD155" s="329"/>
      <c r="QE155" s="329"/>
      <c r="QF155" s="332"/>
      <c r="QG155" s="332"/>
      <c r="QH155" s="332"/>
      <c r="QI155" s="332"/>
      <c r="QJ155" s="332"/>
      <c r="QK155" s="332"/>
      <c r="QQ155" s="230"/>
      <c r="QR155" s="231"/>
      <c r="QS155" s="249"/>
      <c r="QT155" s="249"/>
      <c r="QU155" s="249"/>
      <c r="QV155" s="249"/>
      <c r="QW155" s="250"/>
    </row>
    <row r="156" spans="3:465" ht="5.0999999999999996" customHeight="1" x14ac:dyDescent="0.25">
      <c r="C156" s="226"/>
      <c r="D156" s="227"/>
      <c r="E156" s="229"/>
      <c r="BW156" s="229"/>
      <c r="BX156" s="229"/>
      <c r="BY156" s="229"/>
      <c r="BZ156" s="229"/>
      <c r="CA156" s="229"/>
      <c r="CB156" s="234"/>
      <c r="CC156" s="229"/>
      <c r="CD156" s="229"/>
      <c r="CE156" s="229"/>
      <c r="CF156" s="229"/>
      <c r="CG156" s="229"/>
      <c r="CH156" s="229"/>
      <c r="CI156" s="229"/>
      <c r="CJ156" s="229"/>
      <c r="CK156" s="229"/>
      <c r="CL156" s="229"/>
      <c r="CM156" s="229"/>
      <c r="CN156" s="229"/>
      <c r="CO156" s="229"/>
      <c r="CP156" s="229"/>
      <c r="CQ156" s="229"/>
      <c r="CR156" s="229"/>
      <c r="CS156" s="229"/>
      <c r="CT156" s="229"/>
      <c r="CU156" s="229"/>
      <c r="CV156" s="229"/>
      <c r="CW156" s="229"/>
      <c r="CX156" s="229"/>
      <c r="DI156" s="320"/>
      <c r="DJ156" s="321"/>
      <c r="DK156" s="321"/>
      <c r="DL156" s="321"/>
      <c r="DM156" s="321"/>
      <c r="DN156" s="321"/>
      <c r="DO156" s="321"/>
      <c r="DP156" s="321"/>
      <c r="DQ156" s="321"/>
      <c r="DR156" s="321"/>
      <c r="DS156" s="321"/>
      <c r="DT156" s="321"/>
      <c r="DU156" s="321"/>
      <c r="DV156" s="321"/>
      <c r="DW156" s="321"/>
      <c r="DX156" s="321"/>
      <c r="DY156" s="321"/>
      <c r="DZ156" s="321"/>
      <c r="EA156" s="321"/>
      <c r="EB156" s="321"/>
      <c r="EC156" s="321"/>
      <c r="ED156" s="321"/>
      <c r="EE156" s="321"/>
      <c r="EF156" s="321"/>
      <c r="EG156" s="321"/>
      <c r="EH156" s="321"/>
      <c r="EI156" s="321"/>
      <c r="EJ156" s="321"/>
      <c r="EK156" s="321"/>
      <c r="EL156" s="321"/>
      <c r="EM156" s="321"/>
      <c r="EN156" s="321"/>
      <c r="EO156" s="321"/>
      <c r="EP156" s="321"/>
      <c r="EQ156" s="321"/>
      <c r="ER156" s="321"/>
      <c r="ES156" s="321"/>
      <c r="ET156" s="321"/>
      <c r="EU156" s="321"/>
      <c r="EV156" s="321"/>
      <c r="EW156" s="322"/>
      <c r="EX156" s="311"/>
      <c r="EY156" s="312"/>
      <c r="EZ156" s="312"/>
      <c r="FA156" s="312"/>
      <c r="FB156" s="313"/>
      <c r="FC156" s="243"/>
      <c r="FD156" s="243"/>
      <c r="FE156" s="243"/>
      <c r="FF156" s="243"/>
      <c r="FG156" s="243"/>
      <c r="FH156" s="243"/>
      <c r="FI156" s="243"/>
      <c r="FJ156" s="243"/>
      <c r="FK156" s="243"/>
      <c r="FL156" s="243"/>
      <c r="FM156" s="243"/>
      <c r="FN156" s="336"/>
      <c r="FO156" s="337"/>
      <c r="FP156" s="337"/>
      <c r="FQ156" s="337"/>
      <c r="FR156" s="337"/>
      <c r="FS156" s="337"/>
      <c r="FT156" s="337"/>
      <c r="FU156" s="337"/>
      <c r="FV156" s="337"/>
      <c r="FW156" s="337"/>
      <c r="FX156" s="337"/>
      <c r="FY156" s="337"/>
      <c r="FZ156" s="337"/>
      <c r="GA156" s="337"/>
      <c r="GB156" s="337"/>
      <c r="GC156" s="337"/>
      <c r="GD156" s="337"/>
      <c r="GE156" s="337"/>
      <c r="GF156" s="337"/>
      <c r="GG156" s="337"/>
      <c r="GH156" s="337"/>
      <c r="GI156" s="337"/>
      <c r="GJ156" s="337"/>
      <c r="GK156" s="337"/>
      <c r="GL156" s="337"/>
      <c r="GM156" s="337"/>
      <c r="GN156" s="337"/>
      <c r="GO156" s="337"/>
      <c r="GP156" s="337"/>
      <c r="GQ156" s="337"/>
      <c r="GR156" s="337"/>
      <c r="GS156" s="337"/>
      <c r="GT156" s="337"/>
      <c r="GU156" s="337"/>
      <c r="GV156" s="337"/>
      <c r="GW156" s="337"/>
      <c r="GX156" s="337"/>
      <c r="GY156" s="337"/>
      <c r="GZ156" s="337"/>
      <c r="HA156" s="337"/>
      <c r="HB156" s="338"/>
      <c r="HC156" s="336"/>
      <c r="HD156" s="337"/>
      <c r="HE156" s="337"/>
      <c r="HF156" s="337"/>
      <c r="HG156" s="338"/>
      <c r="OR156" s="328"/>
      <c r="OS156" s="329"/>
      <c r="OT156" s="329"/>
      <c r="OU156" s="329"/>
      <c r="OV156" s="329"/>
      <c r="OW156" s="329"/>
      <c r="OX156" s="329"/>
      <c r="OY156" s="329"/>
      <c r="OZ156" s="329"/>
      <c r="PA156" s="329"/>
      <c r="PB156" s="329"/>
      <c r="PC156" s="329"/>
      <c r="PD156" s="329"/>
      <c r="PE156" s="329"/>
      <c r="PF156" s="329"/>
      <c r="PG156" s="329"/>
      <c r="PH156" s="329"/>
      <c r="PI156" s="329"/>
      <c r="PJ156" s="329"/>
      <c r="PK156" s="329"/>
      <c r="PL156" s="329"/>
      <c r="PM156" s="329"/>
      <c r="PN156" s="329"/>
      <c r="PO156" s="329"/>
      <c r="PP156" s="329"/>
      <c r="PQ156" s="329"/>
      <c r="PR156" s="329"/>
      <c r="PS156" s="329"/>
      <c r="PT156" s="329"/>
      <c r="PU156" s="329"/>
      <c r="PV156" s="329"/>
      <c r="PW156" s="329"/>
      <c r="PX156" s="329"/>
      <c r="PY156" s="329"/>
      <c r="PZ156" s="329"/>
      <c r="QA156" s="329"/>
      <c r="QB156" s="329"/>
      <c r="QC156" s="329"/>
      <c r="QD156" s="329"/>
      <c r="QE156" s="329"/>
      <c r="QF156" s="332"/>
      <c r="QG156" s="332"/>
      <c r="QH156" s="332"/>
      <c r="QI156" s="332"/>
      <c r="QJ156" s="332"/>
      <c r="QK156" s="332"/>
      <c r="QQ156" s="230"/>
      <c r="QR156" s="231"/>
      <c r="QS156" s="249"/>
      <c r="QT156" s="249"/>
      <c r="QU156" s="249"/>
      <c r="QV156" s="249"/>
      <c r="QW156" s="250"/>
    </row>
    <row r="157" spans="3:465" ht="5.0999999999999996" customHeight="1" x14ac:dyDescent="0.25">
      <c r="C157" s="226"/>
      <c r="D157" s="227"/>
      <c r="E157" s="229"/>
      <c r="BW157" s="229"/>
      <c r="BX157" s="229"/>
      <c r="BY157" s="229"/>
      <c r="BZ157" s="229"/>
      <c r="CA157" s="229"/>
      <c r="CB157" s="244"/>
      <c r="CC157" s="245"/>
      <c r="CD157" s="229"/>
      <c r="CE157" s="229"/>
      <c r="CF157" s="229"/>
      <c r="CG157" s="229"/>
      <c r="CH157" s="229"/>
      <c r="CI157" s="229"/>
      <c r="CJ157" s="229"/>
      <c r="CK157" s="229"/>
      <c r="CL157" s="229"/>
      <c r="CM157" s="229"/>
      <c r="CN157" s="229"/>
      <c r="CO157" s="229"/>
      <c r="CP157" s="229"/>
      <c r="CQ157" s="229"/>
      <c r="CR157" s="229"/>
      <c r="CS157" s="229"/>
      <c r="CT157" s="229"/>
      <c r="CU157" s="229"/>
      <c r="CV157" s="229"/>
      <c r="CW157" s="229"/>
      <c r="CX157" s="229"/>
      <c r="DI157" s="320"/>
      <c r="DJ157" s="321"/>
      <c r="DK157" s="321"/>
      <c r="DL157" s="321"/>
      <c r="DM157" s="321"/>
      <c r="DN157" s="321"/>
      <c r="DO157" s="321"/>
      <c r="DP157" s="321"/>
      <c r="DQ157" s="321"/>
      <c r="DR157" s="321"/>
      <c r="DS157" s="321"/>
      <c r="DT157" s="321"/>
      <c r="DU157" s="321"/>
      <c r="DV157" s="321"/>
      <c r="DW157" s="321"/>
      <c r="DX157" s="321"/>
      <c r="DY157" s="321"/>
      <c r="DZ157" s="321"/>
      <c r="EA157" s="321"/>
      <c r="EB157" s="321"/>
      <c r="EC157" s="321"/>
      <c r="ED157" s="321"/>
      <c r="EE157" s="321"/>
      <c r="EF157" s="321"/>
      <c r="EG157" s="321"/>
      <c r="EH157" s="321"/>
      <c r="EI157" s="321"/>
      <c r="EJ157" s="321"/>
      <c r="EK157" s="321"/>
      <c r="EL157" s="321"/>
      <c r="EM157" s="321"/>
      <c r="EN157" s="321"/>
      <c r="EO157" s="321"/>
      <c r="EP157" s="321"/>
      <c r="EQ157" s="321"/>
      <c r="ER157" s="321"/>
      <c r="ES157" s="321"/>
      <c r="ET157" s="321"/>
      <c r="EU157" s="321"/>
      <c r="EV157" s="321"/>
      <c r="EW157" s="322"/>
      <c r="EX157" s="311"/>
      <c r="EY157" s="312"/>
      <c r="EZ157" s="312"/>
      <c r="FA157" s="312"/>
      <c r="FB157" s="313"/>
      <c r="FC157" s="243"/>
      <c r="FD157" s="243"/>
      <c r="FE157" s="243"/>
      <c r="FF157" s="243"/>
      <c r="FG157" s="243"/>
      <c r="FH157" s="243"/>
      <c r="FI157" s="243"/>
      <c r="FJ157" s="243"/>
      <c r="FK157" s="243"/>
      <c r="FL157" s="243"/>
      <c r="FM157" s="243"/>
      <c r="FN157" s="336"/>
      <c r="FO157" s="337"/>
      <c r="FP157" s="337"/>
      <c r="FQ157" s="337"/>
      <c r="FR157" s="337"/>
      <c r="FS157" s="337"/>
      <c r="FT157" s="337"/>
      <c r="FU157" s="337"/>
      <c r="FV157" s="337"/>
      <c r="FW157" s="337"/>
      <c r="FX157" s="337"/>
      <c r="FY157" s="337"/>
      <c r="FZ157" s="337"/>
      <c r="GA157" s="337"/>
      <c r="GB157" s="337"/>
      <c r="GC157" s="337"/>
      <c r="GD157" s="337"/>
      <c r="GE157" s="337"/>
      <c r="GF157" s="337"/>
      <c r="GG157" s="337"/>
      <c r="GH157" s="337"/>
      <c r="GI157" s="337"/>
      <c r="GJ157" s="337"/>
      <c r="GK157" s="337"/>
      <c r="GL157" s="337"/>
      <c r="GM157" s="337"/>
      <c r="GN157" s="337"/>
      <c r="GO157" s="337"/>
      <c r="GP157" s="337"/>
      <c r="GQ157" s="337"/>
      <c r="GR157" s="337"/>
      <c r="GS157" s="337"/>
      <c r="GT157" s="337"/>
      <c r="GU157" s="337"/>
      <c r="GV157" s="337"/>
      <c r="GW157" s="337"/>
      <c r="GX157" s="337"/>
      <c r="GY157" s="337"/>
      <c r="GZ157" s="337"/>
      <c r="HA157" s="337"/>
      <c r="HB157" s="338"/>
      <c r="HC157" s="336"/>
      <c r="HD157" s="337"/>
      <c r="HE157" s="337"/>
      <c r="HF157" s="337"/>
      <c r="HG157" s="338"/>
      <c r="OR157" s="328"/>
      <c r="OS157" s="329"/>
      <c r="OT157" s="329"/>
      <c r="OU157" s="329"/>
      <c r="OV157" s="329"/>
      <c r="OW157" s="329"/>
      <c r="OX157" s="329"/>
      <c r="OY157" s="329"/>
      <c r="OZ157" s="329"/>
      <c r="PA157" s="329"/>
      <c r="PB157" s="329"/>
      <c r="PC157" s="329"/>
      <c r="PD157" s="329"/>
      <c r="PE157" s="329"/>
      <c r="PF157" s="329"/>
      <c r="PG157" s="329"/>
      <c r="PH157" s="329"/>
      <c r="PI157" s="329"/>
      <c r="PJ157" s="329"/>
      <c r="PK157" s="329"/>
      <c r="PL157" s="329"/>
      <c r="PM157" s="329"/>
      <c r="PN157" s="329"/>
      <c r="PO157" s="329"/>
      <c r="PP157" s="329"/>
      <c r="PQ157" s="329"/>
      <c r="PR157" s="329"/>
      <c r="PS157" s="329"/>
      <c r="PT157" s="329"/>
      <c r="PU157" s="329"/>
      <c r="PV157" s="329"/>
      <c r="PW157" s="329"/>
      <c r="PX157" s="329"/>
      <c r="PY157" s="329"/>
      <c r="PZ157" s="329"/>
      <c r="QA157" s="329"/>
      <c r="QB157" s="329"/>
      <c r="QC157" s="329"/>
      <c r="QD157" s="329"/>
      <c r="QE157" s="329"/>
      <c r="QF157" s="332"/>
      <c r="QG157" s="332"/>
      <c r="QH157" s="332"/>
      <c r="QI157" s="332"/>
      <c r="QJ157" s="332"/>
      <c r="QK157" s="332"/>
      <c r="QQ157" s="230"/>
      <c r="QR157" s="231"/>
      <c r="QS157" s="249"/>
      <c r="QT157" s="249"/>
      <c r="QU157" s="249"/>
      <c r="QV157" s="249"/>
      <c r="QW157" s="250"/>
    </row>
    <row r="158" spans="3:465" ht="5.0999999999999996" customHeight="1" x14ac:dyDescent="0.25">
      <c r="C158" s="226"/>
      <c r="D158" s="227"/>
      <c r="E158" s="229"/>
      <c r="BE158" s="317" t="s">
        <v>438</v>
      </c>
      <c r="BF158" s="318"/>
      <c r="BG158" s="318"/>
      <c r="BH158" s="318"/>
      <c r="BI158" s="318"/>
      <c r="BJ158" s="318"/>
      <c r="BK158" s="318"/>
      <c r="BL158" s="318"/>
      <c r="BM158" s="318"/>
      <c r="BN158" s="318"/>
      <c r="BO158" s="318"/>
      <c r="BP158" s="318"/>
      <c r="BQ158" s="318"/>
      <c r="BR158" s="318"/>
      <c r="BS158" s="318"/>
      <c r="BT158" s="318"/>
      <c r="BU158" s="318"/>
      <c r="BV158" s="318"/>
      <c r="BW158" s="318"/>
      <c r="BX158" s="318"/>
      <c r="BY158" s="318"/>
      <c r="BZ158" s="318"/>
      <c r="CA158" s="318"/>
      <c r="CB158" s="318"/>
      <c r="CC158" s="318"/>
      <c r="CD158" s="318"/>
      <c r="CE158" s="318"/>
      <c r="CF158" s="318"/>
      <c r="CG158" s="318"/>
      <c r="CH158" s="318"/>
      <c r="CI158" s="318"/>
      <c r="CJ158" s="318"/>
      <c r="CK158" s="318"/>
      <c r="CL158" s="318"/>
      <c r="CM158" s="318"/>
      <c r="CN158" s="318"/>
      <c r="CO158" s="318"/>
      <c r="CP158" s="318"/>
      <c r="CQ158" s="318"/>
      <c r="CR158" s="318"/>
      <c r="CS158" s="319"/>
      <c r="CT158" s="308">
        <v>4</v>
      </c>
      <c r="CU158" s="309"/>
      <c r="CV158" s="309"/>
      <c r="CW158" s="309"/>
      <c r="CX158" s="310"/>
      <c r="DI158" s="320"/>
      <c r="DJ158" s="321"/>
      <c r="DK158" s="321"/>
      <c r="DL158" s="321"/>
      <c r="DM158" s="321"/>
      <c r="DN158" s="321"/>
      <c r="DO158" s="321"/>
      <c r="DP158" s="321"/>
      <c r="DQ158" s="321"/>
      <c r="DR158" s="321"/>
      <c r="DS158" s="321"/>
      <c r="DT158" s="321"/>
      <c r="DU158" s="321"/>
      <c r="DV158" s="321"/>
      <c r="DW158" s="321"/>
      <c r="DX158" s="321"/>
      <c r="DY158" s="321"/>
      <c r="DZ158" s="321"/>
      <c r="EA158" s="321"/>
      <c r="EB158" s="321"/>
      <c r="EC158" s="321"/>
      <c r="ED158" s="321"/>
      <c r="EE158" s="321"/>
      <c r="EF158" s="321"/>
      <c r="EG158" s="321"/>
      <c r="EH158" s="321"/>
      <c r="EI158" s="321"/>
      <c r="EJ158" s="321"/>
      <c r="EK158" s="321"/>
      <c r="EL158" s="321"/>
      <c r="EM158" s="321"/>
      <c r="EN158" s="321"/>
      <c r="EO158" s="321"/>
      <c r="EP158" s="321"/>
      <c r="EQ158" s="321"/>
      <c r="ER158" s="321"/>
      <c r="ES158" s="321"/>
      <c r="ET158" s="321"/>
      <c r="EU158" s="321"/>
      <c r="EV158" s="321"/>
      <c r="EW158" s="322"/>
      <c r="EX158" s="311"/>
      <c r="EY158" s="312"/>
      <c r="EZ158" s="312"/>
      <c r="FA158" s="312"/>
      <c r="FB158" s="313"/>
      <c r="FN158" s="336"/>
      <c r="FO158" s="337"/>
      <c r="FP158" s="337"/>
      <c r="FQ158" s="337"/>
      <c r="FR158" s="337"/>
      <c r="FS158" s="337"/>
      <c r="FT158" s="337"/>
      <c r="FU158" s="337"/>
      <c r="FV158" s="337"/>
      <c r="FW158" s="337"/>
      <c r="FX158" s="337"/>
      <c r="FY158" s="337"/>
      <c r="FZ158" s="337"/>
      <c r="GA158" s="337"/>
      <c r="GB158" s="337"/>
      <c r="GC158" s="337"/>
      <c r="GD158" s="337"/>
      <c r="GE158" s="337"/>
      <c r="GF158" s="337"/>
      <c r="GG158" s="337"/>
      <c r="GH158" s="337"/>
      <c r="GI158" s="337"/>
      <c r="GJ158" s="337"/>
      <c r="GK158" s="337"/>
      <c r="GL158" s="337"/>
      <c r="GM158" s="337"/>
      <c r="GN158" s="337"/>
      <c r="GO158" s="337"/>
      <c r="GP158" s="337"/>
      <c r="GQ158" s="337"/>
      <c r="GR158" s="337"/>
      <c r="GS158" s="337"/>
      <c r="GT158" s="337"/>
      <c r="GU158" s="337"/>
      <c r="GV158" s="337"/>
      <c r="GW158" s="337"/>
      <c r="GX158" s="337"/>
      <c r="GY158" s="337"/>
      <c r="GZ158" s="337"/>
      <c r="HA158" s="337"/>
      <c r="HB158" s="338"/>
      <c r="HC158" s="336"/>
      <c r="HD158" s="337"/>
      <c r="HE158" s="337"/>
      <c r="HF158" s="337"/>
      <c r="HG158" s="338"/>
      <c r="OR158" s="328"/>
      <c r="OS158" s="329"/>
      <c r="OT158" s="329"/>
      <c r="OU158" s="329"/>
      <c r="OV158" s="329"/>
      <c r="OW158" s="329"/>
      <c r="OX158" s="329"/>
      <c r="OY158" s="329"/>
      <c r="OZ158" s="329"/>
      <c r="PA158" s="329"/>
      <c r="PB158" s="329"/>
      <c r="PC158" s="329"/>
      <c r="PD158" s="329"/>
      <c r="PE158" s="329"/>
      <c r="PF158" s="329"/>
      <c r="PG158" s="329"/>
      <c r="PH158" s="329"/>
      <c r="PI158" s="329"/>
      <c r="PJ158" s="329"/>
      <c r="PK158" s="329"/>
      <c r="PL158" s="329"/>
      <c r="PM158" s="329"/>
      <c r="PN158" s="329"/>
      <c r="PO158" s="329"/>
      <c r="PP158" s="329"/>
      <c r="PQ158" s="329"/>
      <c r="PR158" s="329"/>
      <c r="PS158" s="329"/>
      <c r="PT158" s="329"/>
      <c r="PU158" s="329"/>
      <c r="PV158" s="329"/>
      <c r="PW158" s="329"/>
      <c r="PX158" s="329"/>
      <c r="PY158" s="329"/>
      <c r="PZ158" s="329"/>
      <c r="QA158" s="329"/>
      <c r="QB158" s="329"/>
      <c r="QC158" s="329"/>
      <c r="QD158" s="329"/>
      <c r="QE158" s="329"/>
      <c r="QF158" s="332"/>
      <c r="QG158" s="332"/>
      <c r="QH158" s="332"/>
      <c r="QI158" s="332"/>
      <c r="QJ158" s="332"/>
      <c r="QK158" s="332"/>
      <c r="QQ158" s="230"/>
      <c r="QR158" s="231"/>
      <c r="QS158" s="249"/>
      <c r="QT158" s="249"/>
      <c r="QU158" s="249"/>
      <c r="QV158" s="249"/>
      <c r="QW158" s="250"/>
    </row>
    <row r="159" spans="3:465" ht="5.0999999999999996" customHeight="1" x14ac:dyDescent="0.25">
      <c r="C159" s="226"/>
      <c r="D159" s="227"/>
      <c r="E159" s="229"/>
      <c r="BE159" s="320"/>
      <c r="BF159" s="321"/>
      <c r="BG159" s="321"/>
      <c r="BH159" s="321"/>
      <c r="BI159" s="321"/>
      <c r="BJ159" s="321"/>
      <c r="BK159" s="321"/>
      <c r="BL159" s="321"/>
      <c r="BM159" s="321"/>
      <c r="BN159" s="321"/>
      <c r="BO159" s="321"/>
      <c r="BP159" s="321"/>
      <c r="BQ159" s="321"/>
      <c r="BR159" s="321"/>
      <c r="BS159" s="321"/>
      <c r="BT159" s="321"/>
      <c r="BU159" s="321"/>
      <c r="BV159" s="321"/>
      <c r="BW159" s="321"/>
      <c r="BX159" s="321"/>
      <c r="BY159" s="321"/>
      <c r="BZ159" s="321"/>
      <c r="CA159" s="321"/>
      <c r="CB159" s="321"/>
      <c r="CC159" s="321"/>
      <c r="CD159" s="321"/>
      <c r="CE159" s="321"/>
      <c r="CF159" s="321"/>
      <c r="CG159" s="321"/>
      <c r="CH159" s="321"/>
      <c r="CI159" s="321"/>
      <c r="CJ159" s="321"/>
      <c r="CK159" s="321"/>
      <c r="CL159" s="321"/>
      <c r="CM159" s="321"/>
      <c r="CN159" s="321"/>
      <c r="CO159" s="321"/>
      <c r="CP159" s="321"/>
      <c r="CQ159" s="321"/>
      <c r="CR159" s="321"/>
      <c r="CS159" s="322"/>
      <c r="CT159" s="311"/>
      <c r="CU159" s="312"/>
      <c r="CV159" s="312"/>
      <c r="CW159" s="312"/>
      <c r="CX159" s="313"/>
      <c r="DI159" s="320"/>
      <c r="DJ159" s="321"/>
      <c r="DK159" s="321"/>
      <c r="DL159" s="321"/>
      <c r="DM159" s="321"/>
      <c r="DN159" s="321"/>
      <c r="DO159" s="321"/>
      <c r="DP159" s="321"/>
      <c r="DQ159" s="321"/>
      <c r="DR159" s="321"/>
      <c r="DS159" s="321"/>
      <c r="DT159" s="321"/>
      <c r="DU159" s="321"/>
      <c r="DV159" s="321"/>
      <c r="DW159" s="321"/>
      <c r="DX159" s="321"/>
      <c r="DY159" s="321"/>
      <c r="DZ159" s="321"/>
      <c r="EA159" s="321"/>
      <c r="EB159" s="321"/>
      <c r="EC159" s="321"/>
      <c r="ED159" s="321"/>
      <c r="EE159" s="321"/>
      <c r="EF159" s="321"/>
      <c r="EG159" s="321"/>
      <c r="EH159" s="321"/>
      <c r="EI159" s="321"/>
      <c r="EJ159" s="321"/>
      <c r="EK159" s="321"/>
      <c r="EL159" s="321"/>
      <c r="EM159" s="321"/>
      <c r="EN159" s="321"/>
      <c r="EO159" s="321"/>
      <c r="EP159" s="321"/>
      <c r="EQ159" s="321"/>
      <c r="ER159" s="321"/>
      <c r="ES159" s="321"/>
      <c r="ET159" s="321"/>
      <c r="EU159" s="321"/>
      <c r="EV159" s="321"/>
      <c r="EW159" s="322"/>
      <c r="EX159" s="311"/>
      <c r="EY159" s="312"/>
      <c r="EZ159" s="312"/>
      <c r="FA159" s="312"/>
      <c r="FB159" s="313"/>
      <c r="FN159" s="336"/>
      <c r="FO159" s="337"/>
      <c r="FP159" s="337"/>
      <c r="FQ159" s="337"/>
      <c r="FR159" s="337"/>
      <c r="FS159" s="337"/>
      <c r="FT159" s="337"/>
      <c r="FU159" s="337"/>
      <c r="FV159" s="337"/>
      <c r="FW159" s="337"/>
      <c r="FX159" s="337"/>
      <c r="FY159" s="337"/>
      <c r="FZ159" s="337"/>
      <c r="GA159" s="337"/>
      <c r="GB159" s="337"/>
      <c r="GC159" s="337"/>
      <c r="GD159" s="337"/>
      <c r="GE159" s="337"/>
      <c r="GF159" s="337"/>
      <c r="GG159" s="337"/>
      <c r="GH159" s="337"/>
      <c r="GI159" s="337"/>
      <c r="GJ159" s="337"/>
      <c r="GK159" s="337"/>
      <c r="GL159" s="337"/>
      <c r="GM159" s="337"/>
      <c r="GN159" s="337"/>
      <c r="GO159" s="337"/>
      <c r="GP159" s="337"/>
      <c r="GQ159" s="337"/>
      <c r="GR159" s="337"/>
      <c r="GS159" s="337"/>
      <c r="GT159" s="337"/>
      <c r="GU159" s="337"/>
      <c r="GV159" s="337"/>
      <c r="GW159" s="337"/>
      <c r="GX159" s="337"/>
      <c r="GY159" s="337"/>
      <c r="GZ159" s="337"/>
      <c r="HA159" s="337"/>
      <c r="HB159" s="338"/>
      <c r="HC159" s="336"/>
      <c r="HD159" s="337"/>
      <c r="HE159" s="337"/>
      <c r="HF159" s="337"/>
      <c r="HG159" s="338"/>
      <c r="OR159" s="328"/>
      <c r="OS159" s="329"/>
      <c r="OT159" s="329"/>
      <c r="OU159" s="329"/>
      <c r="OV159" s="329"/>
      <c r="OW159" s="329"/>
      <c r="OX159" s="329"/>
      <c r="OY159" s="329"/>
      <c r="OZ159" s="329"/>
      <c r="PA159" s="329"/>
      <c r="PB159" s="329"/>
      <c r="PC159" s="329"/>
      <c r="PD159" s="329"/>
      <c r="PE159" s="329"/>
      <c r="PF159" s="329"/>
      <c r="PG159" s="329"/>
      <c r="PH159" s="329"/>
      <c r="PI159" s="329"/>
      <c r="PJ159" s="329"/>
      <c r="PK159" s="329"/>
      <c r="PL159" s="329"/>
      <c r="PM159" s="329"/>
      <c r="PN159" s="329"/>
      <c r="PO159" s="329"/>
      <c r="PP159" s="329"/>
      <c r="PQ159" s="329"/>
      <c r="PR159" s="329"/>
      <c r="PS159" s="329"/>
      <c r="PT159" s="329"/>
      <c r="PU159" s="329"/>
      <c r="PV159" s="329"/>
      <c r="PW159" s="329"/>
      <c r="PX159" s="329"/>
      <c r="PY159" s="329"/>
      <c r="PZ159" s="329"/>
      <c r="QA159" s="329"/>
      <c r="QB159" s="329"/>
      <c r="QC159" s="329"/>
      <c r="QD159" s="329"/>
      <c r="QE159" s="329"/>
      <c r="QF159" s="332"/>
      <c r="QG159" s="332"/>
      <c r="QH159" s="332"/>
      <c r="QI159" s="332"/>
      <c r="QJ159" s="332"/>
      <c r="QK159" s="332"/>
      <c r="QQ159" s="230"/>
      <c r="QR159" s="231"/>
      <c r="QS159" s="249"/>
      <c r="QT159" s="249"/>
      <c r="QU159" s="249"/>
      <c r="QV159" s="249"/>
      <c r="QW159" s="250"/>
    </row>
    <row r="160" spans="3:465" ht="5.0999999999999996" customHeight="1" x14ac:dyDescent="0.25">
      <c r="C160" s="226"/>
      <c r="D160" s="227"/>
      <c r="E160" s="229"/>
      <c r="BE160" s="320"/>
      <c r="BF160" s="321"/>
      <c r="BG160" s="321"/>
      <c r="BH160" s="321"/>
      <c r="BI160" s="321"/>
      <c r="BJ160" s="321"/>
      <c r="BK160" s="321"/>
      <c r="BL160" s="321"/>
      <c r="BM160" s="321"/>
      <c r="BN160" s="321"/>
      <c r="BO160" s="321"/>
      <c r="BP160" s="321"/>
      <c r="BQ160" s="321"/>
      <c r="BR160" s="321"/>
      <c r="BS160" s="321"/>
      <c r="BT160" s="321"/>
      <c r="BU160" s="321"/>
      <c r="BV160" s="321"/>
      <c r="BW160" s="321"/>
      <c r="BX160" s="321"/>
      <c r="BY160" s="321"/>
      <c r="BZ160" s="321"/>
      <c r="CA160" s="321"/>
      <c r="CB160" s="321"/>
      <c r="CC160" s="321"/>
      <c r="CD160" s="321"/>
      <c r="CE160" s="321"/>
      <c r="CF160" s="321"/>
      <c r="CG160" s="321"/>
      <c r="CH160" s="321"/>
      <c r="CI160" s="321"/>
      <c r="CJ160" s="321"/>
      <c r="CK160" s="321"/>
      <c r="CL160" s="321"/>
      <c r="CM160" s="321"/>
      <c r="CN160" s="321"/>
      <c r="CO160" s="321"/>
      <c r="CP160" s="321"/>
      <c r="CQ160" s="321"/>
      <c r="CR160" s="321"/>
      <c r="CS160" s="322"/>
      <c r="CT160" s="311"/>
      <c r="CU160" s="312"/>
      <c r="CV160" s="312"/>
      <c r="CW160" s="312"/>
      <c r="CX160" s="313"/>
      <c r="DI160" s="320"/>
      <c r="DJ160" s="321"/>
      <c r="DK160" s="321"/>
      <c r="DL160" s="321"/>
      <c r="DM160" s="321"/>
      <c r="DN160" s="321"/>
      <c r="DO160" s="321"/>
      <c r="DP160" s="321"/>
      <c r="DQ160" s="321"/>
      <c r="DR160" s="321"/>
      <c r="DS160" s="321"/>
      <c r="DT160" s="321"/>
      <c r="DU160" s="321"/>
      <c r="DV160" s="321"/>
      <c r="DW160" s="321"/>
      <c r="DX160" s="321"/>
      <c r="DY160" s="321"/>
      <c r="DZ160" s="321"/>
      <c r="EA160" s="321"/>
      <c r="EB160" s="321"/>
      <c r="EC160" s="321"/>
      <c r="ED160" s="321"/>
      <c r="EE160" s="321"/>
      <c r="EF160" s="321"/>
      <c r="EG160" s="321"/>
      <c r="EH160" s="321"/>
      <c r="EI160" s="321"/>
      <c r="EJ160" s="321"/>
      <c r="EK160" s="321"/>
      <c r="EL160" s="321"/>
      <c r="EM160" s="321"/>
      <c r="EN160" s="321"/>
      <c r="EO160" s="321"/>
      <c r="EP160" s="321"/>
      <c r="EQ160" s="321"/>
      <c r="ER160" s="321"/>
      <c r="ES160" s="321"/>
      <c r="ET160" s="321"/>
      <c r="EU160" s="321"/>
      <c r="EV160" s="321"/>
      <c r="EW160" s="322"/>
      <c r="EX160" s="311"/>
      <c r="EY160" s="312"/>
      <c r="EZ160" s="312"/>
      <c r="FA160" s="312"/>
      <c r="FB160" s="313"/>
      <c r="FN160" s="336"/>
      <c r="FO160" s="337"/>
      <c r="FP160" s="337"/>
      <c r="FQ160" s="337"/>
      <c r="FR160" s="337"/>
      <c r="FS160" s="337"/>
      <c r="FT160" s="337"/>
      <c r="FU160" s="337"/>
      <c r="FV160" s="337"/>
      <c r="FW160" s="337"/>
      <c r="FX160" s="337"/>
      <c r="FY160" s="337"/>
      <c r="FZ160" s="337"/>
      <c r="GA160" s="337"/>
      <c r="GB160" s="337"/>
      <c r="GC160" s="337"/>
      <c r="GD160" s="337"/>
      <c r="GE160" s="337"/>
      <c r="GF160" s="337"/>
      <c r="GG160" s="337"/>
      <c r="GH160" s="337"/>
      <c r="GI160" s="337"/>
      <c r="GJ160" s="337"/>
      <c r="GK160" s="337"/>
      <c r="GL160" s="337"/>
      <c r="GM160" s="337"/>
      <c r="GN160" s="337"/>
      <c r="GO160" s="337"/>
      <c r="GP160" s="337"/>
      <c r="GQ160" s="337"/>
      <c r="GR160" s="337"/>
      <c r="GS160" s="337"/>
      <c r="GT160" s="337"/>
      <c r="GU160" s="337"/>
      <c r="GV160" s="337"/>
      <c r="GW160" s="337"/>
      <c r="GX160" s="337"/>
      <c r="GY160" s="337"/>
      <c r="GZ160" s="337"/>
      <c r="HA160" s="337"/>
      <c r="HB160" s="338"/>
      <c r="HC160" s="336"/>
      <c r="HD160" s="337"/>
      <c r="HE160" s="337"/>
      <c r="HF160" s="337"/>
      <c r="HG160" s="338"/>
      <c r="OR160" s="328"/>
      <c r="OS160" s="329"/>
      <c r="OT160" s="329"/>
      <c r="OU160" s="329"/>
      <c r="OV160" s="329"/>
      <c r="OW160" s="329"/>
      <c r="OX160" s="329"/>
      <c r="OY160" s="329"/>
      <c r="OZ160" s="329"/>
      <c r="PA160" s="329"/>
      <c r="PB160" s="329"/>
      <c r="PC160" s="329"/>
      <c r="PD160" s="329"/>
      <c r="PE160" s="329"/>
      <c r="PF160" s="329"/>
      <c r="PG160" s="329"/>
      <c r="PH160" s="329"/>
      <c r="PI160" s="329"/>
      <c r="PJ160" s="329"/>
      <c r="PK160" s="329"/>
      <c r="PL160" s="329"/>
      <c r="PM160" s="329"/>
      <c r="PN160" s="329"/>
      <c r="PO160" s="329"/>
      <c r="PP160" s="329"/>
      <c r="PQ160" s="329"/>
      <c r="PR160" s="329"/>
      <c r="PS160" s="329"/>
      <c r="PT160" s="329"/>
      <c r="PU160" s="329"/>
      <c r="PV160" s="329"/>
      <c r="PW160" s="329"/>
      <c r="PX160" s="329"/>
      <c r="PY160" s="329"/>
      <c r="PZ160" s="329"/>
      <c r="QA160" s="329"/>
      <c r="QB160" s="329"/>
      <c r="QC160" s="329"/>
      <c r="QD160" s="329"/>
      <c r="QE160" s="329"/>
      <c r="QF160" s="332"/>
      <c r="QG160" s="332"/>
      <c r="QH160" s="332"/>
      <c r="QI160" s="332"/>
      <c r="QJ160" s="332"/>
      <c r="QK160" s="332"/>
      <c r="QQ160" s="230"/>
      <c r="QR160" s="231"/>
      <c r="QS160" s="249"/>
      <c r="QT160" s="249"/>
      <c r="QU160" s="249"/>
      <c r="QV160" s="249"/>
      <c r="QW160" s="250"/>
    </row>
    <row r="161" spans="3:465" ht="5.0999999999999996" customHeight="1" thickBot="1" x14ac:dyDescent="0.3">
      <c r="C161" s="226"/>
      <c r="D161" s="227"/>
      <c r="E161" s="229"/>
      <c r="BE161" s="320"/>
      <c r="BF161" s="321"/>
      <c r="BG161" s="321"/>
      <c r="BH161" s="321"/>
      <c r="BI161" s="321"/>
      <c r="BJ161" s="321"/>
      <c r="BK161" s="321"/>
      <c r="BL161" s="321"/>
      <c r="BM161" s="321"/>
      <c r="BN161" s="321"/>
      <c r="BO161" s="321"/>
      <c r="BP161" s="321"/>
      <c r="BQ161" s="321"/>
      <c r="BR161" s="321"/>
      <c r="BS161" s="321"/>
      <c r="BT161" s="321"/>
      <c r="BU161" s="321"/>
      <c r="BV161" s="321"/>
      <c r="BW161" s="321"/>
      <c r="BX161" s="321"/>
      <c r="BY161" s="321"/>
      <c r="BZ161" s="321"/>
      <c r="CA161" s="321"/>
      <c r="CB161" s="321"/>
      <c r="CC161" s="321"/>
      <c r="CD161" s="321"/>
      <c r="CE161" s="321"/>
      <c r="CF161" s="321"/>
      <c r="CG161" s="321"/>
      <c r="CH161" s="321"/>
      <c r="CI161" s="321"/>
      <c r="CJ161" s="321"/>
      <c r="CK161" s="321"/>
      <c r="CL161" s="321"/>
      <c r="CM161" s="321"/>
      <c r="CN161" s="321"/>
      <c r="CO161" s="321"/>
      <c r="CP161" s="321"/>
      <c r="CQ161" s="321"/>
      <c r="CR161" s="321"/>
      <c r="CS161" s="322"/>
      <c r="CT161" s="311"/>
      <c r="CU161" s="312"/>
      <c r="CV161" s="312"/>
      <c r="CW161" s="312"/>
      <c r="CX161" s="313"/>
      <c r="DI161" s="320"/>
      <c r="DJ161" s="321"/>
      <c r="DK161" s="321"/>
      <c r="DL161" s="321"/>
      <c r="DM161" s="321"/>
      <c r="DN161" s="321"/>
      <c r="DO161" s="321"/>
      <c r="DP161" s="321"/>
      <c r="DQ161" s="321"/>
      <c r="DR161" s="321"/>
      <c r="DS161" s="321"/>
      <c r="DT161" s="321"/>
      <c r="DU161" s="321"/>
      <c r="DV161" s="321"/>
      <c r="DW161" s="321"/>
      <c r="DX161" s="321"/>
      <c r="DY161" s="321"/>
      <c r="DZ161" s="321"/>
      <c r="EA161" s="321"/>
      <c r="EB161" s="321"/>
      <c r="EC161" s="321"/>
      <c r="ED161" s="321"/>
      <c r="EE161" s="321"/>
      <c r="EF161" s="321"/>
      <c r="EG161" s="321"/>
      <c r="EH161" s="321"/>
      <c r="EI161" s="321"/>
      <c r="EJ161" s="321"/>
      <c r="EK161" s="321"/>
      <c r="EL161" s="321"/>
      <c r="EM161" s="321"/>
      <c r="EN161" s="321"/>
      <c r="EO161" s="321"/>
      <c r="EP161" s="321"/>
      <c r="EQ161" s="321"/>
      <c r="ER161" s="321"/>
      <c r="ES161" s="321"/>
      <c r="ET161" s="321"/>
      <c r="EU161" s="321"/>
      <c r="EV161" s="321"/>
      <c r="EW161" s="322"/>
      <c r="EX161" s="311"/>
      <c r="EY161" s="312"/>
      <c r="EZ161" s="312"/>
      <c r="FA161" s="312"/>
      <c r="FB161" s="313"/>
      <c r="FN161" s="336"/>
      <c r="FO161" s="337"/>
      <c r="FP161" s="337"/>
      <c r="FQ161" s="337"/>
      <c r="FR161" s="337"/>
      <c r="FS161" s="337"/>
      <c r="FT161" s="337"/>
      <c r="FU161" s="337"/>
      <c r="FV161" s="337"/>
      <c r="FW161" s="337"/>
      <c r="FX161" s="337"/>
      <c r="FY161" s="337"/>
      <c r="FZ161" s="337"/>
      <c r="GA161" s="337"/>
      <c r="GB161" s="337"/>
      <c r="GC161" s="337"/>
      <c r="GD161" s="337"/>
      <c r="GE161" s="337"/>
      <c r="GF161" s="337"/>
      <c r="GG161" s="337"/>
      <c r="GH161" s="337"/>
      <c r="GI161" s="337"/>
      <c r="GJ161" s="337"/>
      <c r="GK161" s="337"/>
      <c r="GL161" s="337"/>
      <c r="GM161" s="337"/>
      <c r="GN161" s="337"/>
      <c r="GO161" s="337"/>
      <c r="GP161" s="337"/>
      <c r="GQ161" s="337"/>
      <c r="GR161" s="337"/>
      <c r="GS161" s="337"/>
      <c r="GT161" s="337"/>
      <c r="GU161" s="337"/>
      <c r="GV161" s="337"/>
      <c r="GW161" s="337"/>
      <c r="GX161" s="337"/>
      <c r="GY161" s="337"/>
      <c r="GZ161" s="337"/>
      <c r="HA161" s="337"/>
      <c r="HB161" s="338"/>
      <c r="HC161" s="336"/>
      <c r="HD161" s="337"/>
      <c r="HE161" s="337"/>
      <c r="HF161" s="337"/>
      <c r="HG161" s="338"/>
      <c r="OR161" s="330"/>
      <c r="OS161" s="331"/>
      <c r="OT161" s="331"/>
      <c r="OU161" s="331"/>
      <c r="OV161" s="331"/>
      <c r="OW161" s="331"/>
      <c r="OX161" s="331"/>
      <c r="OY161" s="331"/>
      <c r="OZ161" s="331"/>
      <c r="PA161" s="331"/>
      <c r="PB161" s="331"/>
      <c r="PC161" s="331"/>
      <c r="PD161" s="331"/>
      <c r="PE161" s="331"/>
      <c r="PF161" s="331"/>
      <c r="PG161" s="331"/>
      <c r="PH161" s="331"/>
      <c r="PI161" s="331"/>
      <c r="PJ161" s="331"/>
      <c r="PK161" s="331"/>
      <c r="PL161" s="331"/>
      <c r="PM161" s="331"/>
      <c r="PN161" s="331"/>
      <c r="PO161" s="331"/>
      <c r="PP161" s="331"/>
      <c r="PQ161" s="331"/>
      <c r="PR161" s="331"/>
      <c r="PS161" s="331"/>
      <c r="PT161" s="331"/>
      <c r="PU161" s="331"/>
      <c r="PV161" s="331"/>
      <c r="PW161" s="331"/>
      <c r="PX161" s="331"/>
      <c r="PY161" s="331"/>
      <c r="PZ161" s="331"/>
      <c r="QA161" s="331"/>
      <c r="QB161" s="331"/>
      <c r="QC161" s="331"/>
      <c r="QD161" s="331"/>
      <c r="QE161" s="331"/>
      <c r="QF161" s="332"/>
      <c r="QG161" s="332"/>
      <c r="QH161" s="332"/>
      <c r="QI161" s="332"/>
      <c r="QJ161" s="332"/>
      <c r="QK161" s="332"/>
      <c r="QQ161" s="230"/>
      <c r="QR161" s="231"/>
      <c r="QS161" s="249"/>
      <c r="QT161" s="249"/>
      <c r="QU161" s="249"/>
      <c r="QV161" s="249"/>
      <c r="QW161" s="250"/>
    </row>
    <row r="162" spans="3:465" ht="5.0999999999999996" customHeight="1" x14ac:dyDescent="0.25">
      <c r="C162" s="226"/>
      <c r="D162" s="227"/>
      <c r="E162" s="229"/>
      <c r="BE162" s="320"/>
      <c r="BF162" s="321"/>
      <c r="BG162" s="321"/>
      <c r="BH162" s="321"/>
      <c r="BI162" s="321"/>
      <c r="BJ162" s="321"/>
      <c r="BK162" s="321"/>
      <c r="BL162" s="321"/>
      <c r="BM162" s="321"/>
      <c r="BN162" s="321"/>
      <c r="BO162" s="321"/>
      <c r="BP162" s="321"/>
      <c r="BQ162" s="321"/>
      <c r="BR162" s="321"/>
      <c r="BS162" s="321"/>
      <c r="BT162" s="321"/>
      <c r="BU162" s="321"/>
      <c r="BV162" s="321"/>
      <c r="BW162" s="321"/>
      <c r="BX162" s="321"/>
      <c r="BY162" s="321"/>
      <c r="BZ162" s="321"/>
      <c r="CA162" s="321"/>
      <c r="CB162" s="321"/>
      <c r="CC162" s="321"/>
      <c r="CD162" s="321"/>
      <c r="CE162" s="321"/>
      <c r="CF162" s="321"/>
      <c r="CG162" s="321"/>
      <c r="CH162" s="321"/>
      <c r="CI162" s="321"/>
      <c r="CJ162" s="321"/>
      <c r="CK162" s="321"/>
      <c r="CL162" s="321"/>
      <c r="CM162" s="321"/>
      <c r="CN162" s="321"/>
      <c r="CO162" s="321"/>
      <c r="CP162" s="321"/>
      <c r="CQ162" s="321"/>
      <c r="CR162" s="321"/>
      <c r="CS162" s="322"/>
      <c r="CT162" s="311"/>
      <c r="CU162" s="312"/>
      <c r="CV162" s="312"/>
      <c r="CW162" s="312"/>
      <c r="CX162" s="313"/>
      <c r="DI162" s="323"/>
      <c r="DJ162" s="324"/>
      <c r="DK162" s="324"/>
      <c r="DL162" s="324"/>
      <c r="DM162" s="324"/>
      <c r="DN162" s="324"/>
      <c r="DO162" s="324"/>
      <c r="DP162" s="324"/>
      <c r="DQ162" s="324"/>
      <c r="DR162" s="324"/>
      <c r="DS162" s="324"/>
      <c r="DT162" s="324"/>
      <c r="DU162" s="324"/>
      <c r="DV162" s="324"/>
      <c r="DW162" s="324"/>
      <c r="DX162" s="324"/>
      <c r="DY162" s="324"/>
      <c r="DZ162" s="324"/>
      <c r="EA162" s="324"/>
      <c r="EB162" s="324"/>
      <c r="EC162" s="324"/>
      <c r="ED162" s="324"/>
      <c r="EE162" s="324"/>
      <c r="EF162" s="324"/>
      <c r="EG162" s="324"/>
      <c r="EH162" s="324"/>
      <c r="EI162" s="324"/>
      <c r="EJ162" s="324"/>
      <c r="EK162" s="324"/>
      <c r="EL162" s="324"/>
      <c r="EM162" s="324"/>
      <c r="EN162" s="324"/>
      <c r="EO162" s="324"/>
      <c r="EP162" s="324"/>
      <c r="EQ162" s="324"/>
      <c r="ER162" s="324"/>
      <c r="ES162" s="324"/>
      <c r="ET162" s="324"/>
      <c r="EU162" s="324"/>
      <c r="EV162" s="324"/>
      <c r="EW162" s="325"/>
      <c r="EX162" s="314"/>
      <c r="EY162" s="315"/>
      <c r="EZ162" s="315"/>
      <c r="FA162" s="315"/>
      <c r="FB162" s="316"/>
      <c r="FN162" s="336"/>
      <c r="FO162" s="337"/>
      <c r="FP162" s="337"/>
      <c r="FQ162" s="337"/>
      <c r="FR162" s="337"/>
      <c r="FS162" s="337"/>
      <c r="FT162" s="337"/>
      <c r="FU162" s="337"/>
      <c r="FV162" s="337"/>
      <c r="FW162" s="337"/>
      <c r="FX162" s="337"/>
      <c r="FY162" s="337"/>
      <c r="FZ162" s="337"/>
      <c r="GA162" s="337"/>
      <c r="GB162" s="337"/>
      <c r="GC162" s="337"/>
      <c r="GD162" s="337"/>
      <c r="GE162" s="337"/>
      <c r="GF162" s="337"/>
      <c r="GG162" s="337"/>
      <c r="GH162" s="337"/>
      <c r="GI162" s="337"/>
      <c r="GJ162" s="337"/>
      <c r="GK162" s="337"/>
      <c r="GL162" s="337"/>
      <c r="GM162" s="337"/>
      <c r="GN162" s="337"/>
      <c r="GO162" s="337"/>
      <c r="GP162" s="337"/>
      <c r="GQ162" s="337"/>
      <c r="GR162" s="337"/>
      <c r="GS162" s="337"/>
      <c r="GT162" s="337"/>
      <c r="GU162" s="337"/>
      <c r="GV162" s="337"/>
      <c r="GW162" s="337"/>
      <c r="GX162" s="337"/>
      <c r="GY162" s="337"/>
      <c r="GZ162" s="337"/>
      <c r="HA162" s="337"/>
      <c r="HB162" s="338"/>
      <c r="HC162" s="336"/>
      <c r="HD162" s="337"/>
      <c r="HE162" s="337"/>
      <c r="HF162" s="337"/>
      <c r="HG162" s="338"/>
      <c r="OR162" s="317" t="s">
        <v>439</v>
      </c>
      <c r="OS162" s="318"/>
      <c r="OT162" s="318"/>
      <c r="OU162" s="318"/>
      <c r="OV162" s="318"/>
      <c r="OW162" s="318"/>
      <c r="OX162" s="318"/>
      <c r="OY162" s="318"/>
      <c r="OZ162" s="318"/>
      <c r="PA162" s="318"/>
      <c r="PB162" s="318"/>
      <c r="PC162" s="318"/>
      <c r="PD162" s="318"/>
      <c r="PE162" s="318"/>
      <c r="PF162" s="318"/>
      <c r="PG162" s="318"/>
      <c r="PH162" s="318"/>
      <c r="PI162" s="318"/>
      <c r="PJ162" s="318"/>
      <c r="PK162" s="318"/>
      <c r="PL162" s="318"/>
      <c r="PM162" s="318"/>
      <c r="PN162" s="318"/>
      <c r="PO162" s="318"/>
      <c r="PP162" s="318"/>
      <c r="PQ162" s="318"/>
      <c r="PR162" s="318"/>
      <c r="PS162" s="318"/>
      <c r="PT162" s="318"/>
      <c r="PU162" s="318"/>
      <c r="PV162" s="318"/>
      <c r="PW162" s="318"/>
      <c r="PX162" s="318"/>
      <c r="PY162" s="318"/>
      <c r="PZ162" s="318"/>
      <c r="QA162" s="318"/>
      <c r="QB162" s="318"/>
      <c r="QC162" s="318"/>
      <c r="QD162" s="318"/>
      <c r="QE162" s="318"/>
      <c r="QF162" s="311">
        <v>19</v>
      </c>
      <c r="QG162" s="312"/>
      <c r="QH162" s="312"/>
      <c r="QI162" s="312"/>
      <c r="QJ162" s="312"/>
      <c r="QK162" s="313"/>
      <c r="QL162" s="264"/>
      <c r="QQ162" s="230"/>
      <c r="QR162" s="231"/>
      <c r="QS162" s="249"/>
      <c r="QT162" s="249"/>
      <c r="QU162" s="249"/>
      <c r="QV162" s="249"/>
      <c r="QW162" s="250"/>
    </row>
    <row r="163" spans="3:465" ht="5.0999999999999996" customHeight="1" x14ac:dyDescent="0.25">
      <c r="C163" s="226"/>
      <c r="D163" s="227"/>
      <c r="E163" s="229"/>
      <c r="BE163" s="320"/>
      <c r="BF163" s="321"/>
      <c r="BG163" s="321"/>
      <c r="BH163" s="321"/>
      <c r="BI163" s="321"/>
      <c r="BJ163" s="321"/>
      <c r="BK163" s="321"/>
      <c r="BL163" s="321"/>
      <c r="BM163" s="321"/>
      <c r="BN163" s="321"/>
      <c r="BO163" s="321"/>
      <c r="BP163" s="321"/>
      <c r="BQ163" s="321"/>
      <c r="BR163" s="321"/>
      <c r="BS163" s="321"/>
      <c r="BT163" s="321"/>
      <c r="BU163" s="321"/>
      <c r="BV163" s="321"/>
      <c r="BW163" s="321"/>
      <c r="BX163" s="321"/>
      <c r="BY163" s="321"/>
      <c r="BZ163" s="321"/>
      <c r="CA163" s="321"/>
      <c r="CB163" s="321"/>
      <c r="CC163" s="321"/>
      <c r="CD163" s="321"/>
      <c r="CE163" s="321"/>
      <c r="CF163" s="321"/>
      <c r="CG163" s="321"/>
      <c r="CH163" s="321"/>
      <c r="CI163" s="321"/>
      <c r="CJ163" s="321"/>
      <c r="CK163" s="321"/>
      <c r="CL163" s="321"/>
      <c r="CM163" s="321"/>
      <c r="CN163" s="321"/>
      <c r="CO163" s="321"/>
      <c r="CP163" s="321"/>
      <c r="CQ163" s="321"/>
      <c r="CR163" s="321"/>
      <c r="CS163" s="322"/>
      <c r="CT163" s="311"/>
      <c r="CU163" s="312"/>
      <c r="CV163" s="312"/>
      <c r="CW163" s="312"/>
      <c r="CX163" s="313"/>
      <c r="DI163" s="317" t="s">
        <v>440</v>
      </c>
      <c r="DJ163" s="318"/>
      <c r="DK163" s="318"/>
      <c r="DL163" s="318"/>
      <c r="DM163" s="318"/>
      <c r="DN163" s="318"/>
      <c r="DO163" s="318"/>
      <c r="DP163" s="318"/>
      <c r="DQ163" s="318"/>
      <c r="DR163" s="318"/>
      <c r="DS163" s="318"/>
      <c r="DT163" s="318"/>
      <c r="DU163" s="318"/>
      <c r="DV163" s="318"/>
      <c r="DW163" s="318"/>
      <c r="DX163" s="318"/>
      <c r="DY163" s="318"/>
      <c r="DZ163" s="318"/>
      <c r="EA163" s="318"/>
      <c r="EB163" s="318"/>
      <c r="EC163" s="318"/>
      <c r="ED163" s="318"/>
      <c r="EE163" s="318"/>
      <c r="EF163" s="318"/>
      <c r="EG163" s="318"/>
      <c r="EH163" s="318"/>
      <c r="EI163" s="318"/>
      <c r="EJ163" s="318"/>
      <c r="EK163" s="318"/>
      <c r="EL163" s="318"/>
      <c r="EM163" s="318"/>
      <c r="EN163" s="318"/>
      <c r="EO163" s="318"/>
      <c r="EP163" s="318"/>
      <c r="EQ163" s="318"/>
      <c r="ER163" s="318"/>
      <c r="ES163" s="318"/>
      <c r="ET163" s="318"/>
      <c r="EU163" s="318"/>
      <c r="EV163" s="318"/>
      <c r="EW163" s="319"/>
      <c r="EX163" s="308">
        <v>4</v>
      </c>
      <c r="EY163" s="309"/>
      <c r="EZ163" s="309"/>
      <c r="FA163" s="309"/>
      <c r="FB163" s="310"/>
      <c r="FN163" s="339"/>
      <c r="FO163" s="340"/>
      <c r="FP163" s="340"/>
      <c r="FQ163" s="340"/>
      <c r="FR163" s="340"/>
      <c r="FS163" s="340"/>
      <c r="FT163" s="340"/>
      <c r="FU163" s="340"/>
      <c r="FV163" s="340"/>
      <c r="FW163" s="340"/>
      <c r="FX163" s="340"/>
      <c r="FY163" s="340"/>
      <c r="FZ163" s="340"/>
      <c r="GA163" s="340"/>
      <c r="GB163" s="340"/>
      <c r="GC163" s="340"/>
      <c r="GD163" s="340"/>
      <c r="GE163" s="340"/>
      <c r="GF163" s="340"/>
      <c r="GG163" s="340"/>
      <c r="GH163" s="340"/>
      <c r="GI163" s="340"/>
      <c r="GJ163" s="340"/>
      <c r="GK163" s="340"/>
      <c r="GL163" s="340"/>
      <c r="GM163" s="340"/>
      <c r="GN163" s="340"/>
      <c r="GO163" s="340"/>
      <c r="GP163" s="340"/>
      <c r="GQ163" s="340"/>
      <c r="GR163" s="340"/>
      <c r="GS163" s="340"/>
      <c r="GT163" s="340"/>
      <c r="GU163" s="340"/>
      <c r="GV163" s="340"/>
      <c r="GW163" s="340"/>
      <c r="GX163" s="340"/>
      <c r="GY163" s="340"/>
      <c r="GZ163" s="340"/>
      <c r="HA163" s="340"/>
      <c r="HB163" s="341"/>
      <c r="HC163" s="339"/>
      <c r="HD163" s="340"/>
      <c r="HE163" s="340"/>
      <c r="HF163" s="340"/>
      <c r="HG163" s="341"/>
      <c r="OR163" s="320"/>
      <c r="OS163" s="321"/>
      <c r="OT163" s="321"/>
      <c r="OU163" s="321"/>
      <c r="OV163" s="321"/>
      <c r="OW163" s="321"/>
      <c r="OX163" s="321"/>
      <c r="OY163" s="321"/>
      <c r="OZ163" s="321"/>
      <c r="PA163" s="321"/>
      <c r="PB163" s="321"/>
      <c r="PC163" s="321"/>
      <c r="PD163" s="321"/>
      <c r="PE163" s="321"/>
      <c r="PF163" s="321"/>
      <c r="PG163" s="321"/>
      <c r="PH163" s="321"/>
      <c r="PI163" s="321"/>
      <c r="PJ163" s="321"/>
      <c r="PK163" s="321"/>
      <c r="PL163" s="321"/>
      <c r="PM163" s="321"/>
      <c r="PN163" s="321"/>
      <c r="PO163" s="321"/>
      <c r="PP163" s="321"/>
      <c r="PQ163" s="321"/>
      <c r="PR163" s="321"/>
      <c r="PS163" s="321"/>
      <c r="PT163" s="321"/>
      <c r="PU163" s="321"/>
      <c r="PV163" s="321"/>
      <c r="PW163" s="321"/>
      <c r="PX163" s="321"/>
      <c r="PY163" s="321"/>
      <c r="PZ163" s="321"/>
      <c r="QA163" s="321"/>
      <c r="QB163" s="321"/>
      <c r="QC163" s="321"/>
      <c r="QD163" s="321"/>
      <c r="QE163" s="321"/>
      <c r="QF163" s="311"/>
      <c r="QG163" s="312"/>
      <c r="QH163" s="312"/>
      <c r="QI163" s="312"/>
      <c r="QJ163" s="312"/>
      <c r="QK163" s="313"/>
      <c r="QL163" s="265"/>
      <c r="QQ163" s="230"/>
      <c r="QR163" s="231"/>
      <c r="QS163" s="249"/>
      <c r="QT163" s="249"/>
      <c r="QU163" s="249"/>
      <c r="QV163" s="249"/>
      <c r="QW163" s="250"/>
    </row>
    <row r="164" spans="3:465" ht="5.0999999999999996" customHeight="1" x14ac:dyDescent="0.25">
      <c r="C164" s="226"/>
      <c r="D164" s="227"/>
      <c r="E164" s="229"/>
      <c r="BE164" s="320"/>
      <c r="BF164" s="321"/>
      <c r="BG164" s="321"/>
      <c r="BH164" s="321"/>
      <c r="BI164" s="321"/>
      <c r="BJ164" s="321"/>
      <c r="BK164" s="321"/>
      <c r="BL164" s="321"/>
      <c r="BM164" s="321"/>
      <c r="BN164" s="321"/>
      <c r="BO164" s="321"/>
      <c r="BP164" s="321"/>
      <c r="BQ164" s="321"/>
      <c r="BR164" s="321"/>
      <c r="BS164" s="321"/>
      <c r="BT164" s="321"/>
      <c r="BU164" s="321"/>
      <c r="BV164" s="321"/>
      <c r="BW164" s="321"/>
      <c r="BX164" s="321"/>
      <c r="BY164" s="321"/>
      <c r="BZ164" s="321"/>
      <c r="CA164" s="321"/>
      <c r="CB164" s="321"/>
      <c r="CC164" s="321"/>
      <c r="CD164" s="321"/>
      <c r="CE164" s="321"/>
      <c r="CF164" s="321"/>
      <c r="CG164" s="321"/>
      <c r="CH164" s="321"/>
      <c r="CI164" s="321"/>
      <c r="CJ164" s="321"/>
      <c r="CK164" s="321"/>
      <c r="CL164" s="321"/>
      <c r="CM164" s="321"/>
      <c r="CN164" s="321"/>
      <c r="CO164" s="321"/>
      <c r="CP164" s="321"/>
      <c r="CQ164" s="321"/>
      <c r="CR164" s="321"/>
      <c r="CS164" s="322"/>
      <c r="CT164" s="311"/>
      <c r="CU164" s="312"/>
      <c r="CV164" s="312"/>
      <c r="CW164" s="312"/>
      <c r="CX164" s="313"/>
      <c r="DI164" s="320"/>
      <c r="DJ164" s="321"/>
      <c r="DK164" s="321"/>
      <c r="DL164" s="321"/>
      <c r="DM164" s="321"/>
      <c r="DN164" s="321"/>
      <c r="DO164" s="321"/>
      <c r="DP164" s="321"/>
      <c r="DQ164" s="321"/>
      <c r="DR164" s="321"/>
      <c r="DS164" s="321"/>
      <c r="DT164" s="321"/>
      <c r="DU164" s="321"/>
      <c r="DV164" s="321"/>
      <c r="DW164" s="321"/>
      <c r="DX164" s="321"/>
      <c r="DY164" s="321"/>
      <c r="DZ164" s="321"/>
      <c r="EA164" s="321"/>
      <c r="EB164" s="321"/>
      <c r="EC164" s="321"/>
      <c r="ED164" s="321"/>
      <c r="EE164" s="321"/>
      <c r="EF164" s="321"/>
      <c r="EG164" s="321"/>
      <c r="EH164" s="321"/>
      <c r="EI164" s="321"/>
      <c r="EJ164" s="321"/>
      <c r="EK164" s="321"/>
      <c r="EL164" s="321"/>
      <c r="EM164" s="321"/>
      <c r="EN164" s="321"/>
      <c r="EO164" s="321"/>
      <c r="EP164" s="321"/>
      <c r="EQ164" s="321"/>
      <c r="ER164" s="321"/>
      <c r="ES164" s="321"/>
      <c r="ET164" s="321"/>
      <c r="EU164" s="321"/>
      <c r="EV164" s="321"/>
      <c r="EW164" s="322"/>
      <c r="EX164" s="311"/>
      <c r="EY164" s="312"/>
      <c r="EZ164" s="312"/>
      <c r="FA164" s="312"/>
      <c r="FB164" s="313"/>
      <c r="OR164" s="320"/>
      <c r="OS164" s="321"/>
      <c r="OT164" s="321"/>
      <c r="OU164" s="321"/>
      <c r="OV164" s="321"/>
      <c r="OW164" s="321"/>
      <c r="OX164" s="321"/>
      <c r="OY164" s="321"/>
      <c r="OZ164" s="321"/>
      <c r="PA164" s="321"/>
      <c r="PB164" s="321"/>
      <c r="PC164" s="321"/>
      <c r="PD164" s="321"/>
      <c r="PE164" s="321"/>
      <c r="PF164" s="321"/>
      <c r="PG164" s="321"/>
      <c r="PH164" s="321"/>
      <c r="PI164" s="321"/>
      <c r="PJ164" s="321"/>
      <c r="PK164" s="321"/>
      <c r="PL164" s="321"/>
      <c r="PM164" s="321"/>
      <c r="PN164" s="321"/>
      <c r="PO164" s="321"/>
      <c r="PP164" s="321"/>
      <c r="PQ164" s="321"/>
      <c r="PR164" s="321"/>
      <c r="PS164" s="321"/>
      <c r="PT164" s="321"/>
      <c r="PU164" s="321"/>
      <c r="PV164" s="321"/>
      <c r="PW164" s="321"/>
      <c r="PX164" s="321"/>
      <c r="PY164" s="321"/>
      <c r="PZ164" s="321"/>
      <c r="QA164" s="321"/>
      <c r="QB164" s="321"/>
      <c r="QC164" s="321"/>
      <c r="QD164" s="321"/>
      <c r="QE164" s="321"/>
      <c r="QF164" s="311"/>
      <c r="QG164" s="312"/>
      <c r="QH164" s="312"/>
      <c r="QI164" s="312"/>
      <c r="QJ164" s="312"/>
      <c r="QK164" s="313"/>
      <c r="QL164" s="265"/>
      <c r="QQ164" s="230"/>
      <c r="QR164" s="231"/>
      <c r="QS164" s="249"/>
      <c r="QT164" s="249"/>
      <c r="QU164" s="249"/>
      <c r="QV164" s="249"/>
      <c r="QW164" s="250"/>
    </row>
    <row r="165" spans="3:465" ht="5.0999999999999996" customHeight="1" x14ac:dyDescent="0.25">
      <c r="C165" s="226"/>
      <c r="D165" s="227"/>
      <c r="E165" s="229"/>
      <c r="BE165" s="320"/>
      <c r="BF165" s="321"/>
      <c r="BG165" s="321"/>
      <c r="BH165" s="321"/>
      <c r="BI165" s="321"/>
      <c r="BJ165" s="321"/>
      <c r="BK165" s="321"/>
      <c r="BL165" s="321"/>
      <c r="BM165" s="321"/>
      <c r="BN165" s="321"/>
      <c r="BO165" s="321"/>
      <c r="BP165" s="321"/>
      <c r="BQ165" s="321"/>
      <c r="BR165" s="321"/>
      <c r="BS165" s="321"/>
      <c r="BT165" s="321"/>
      <c r="BU165" s="321"/>
      <c r="BV165" s="321"/>
      <c r="BW165" s="321"/>
      <c r="BX165" s="321"/>
      <c r="BY165" s="321"/>
      <c r="BZ165" s="321"/>
      <c r="CA165" s="321"/>
      <c r="CB165" s="321"/>
      <c r="CC165" s="321"/>
      <c r="CD165" s="321"/>
      <c r="CE165" s="321"/>
      <c r="CF165" s="321"/>
      <c r="CG165" s="321"/>
      <c r="CH165" s="321"/>
      <c r="CI165" s="321"/>
      <c r="CJ165" s="321"/>
      <c r="CK165" s="321"/>
      <c r="CL165" s="321"/>
      <c r="CM165" s="321"/>
      <c r="CN165" s="321"/>
      <c r="CO165" s="321"/>
      <c r="CP165" s="321"/>
      <c r="CQ165" s="321"/>
      <c r="CR165" s="321"/>
      <c r="CS165" s="322"/>
      <c r="CT165" s="311"/>
      <c r="CU165" s="312"/>
      <c r="CV165" s="312"/>
      <c r="CW165" s="312"/>
      <c r="CX165" s="313"/>
      <c r="DI165" s="320"/>
      <c r="DJ165" s="321"/>
      <c r="DK165" s="321"/>
      <c r="DL165" s="321"/>
      <c r="DM165" s="321"/>
      <c r="DN165" s="321"/>
      <c r="DO165" s="321"/>
      <c r="DP165" s="321"/>
      <c r="DQ165" s="321"/>
      <c r="DR165" s="321"/>
      <c r="DS165" s="321"/>
      <c r="DT165" s="321"/>
      <c r="DU165" s="321"/>
      <c r="DV165" s="321"/>
      <c r="DW165" s="321"/>
      <c r="DX165" s="321"/>
      <c r="DY165" s="321"/>
      <c r="DZ165" s="321"/>
      <c r="EA165" s="321"/>
      <c r="EB165" s="321"/>
      <c r="EC165" s="321"/>
      <c r="ED165" s="321"/>
      <c r="EE165" s="321"/>
      <c r="EF165" s="321"/>
      <c r="EG165" s="321"/>
      <c r="EH165" s="321"/>
      <c r="EI165" s="321"/>
      <c r="EJ165" s="321"/>
      <c r="EK165" s="321"/>
      <c r="EL165" s="321"/>
      <c r="EM165" s="321"/>
      <c r="EN165" s="321"/>
      <c r="EO165" s="321"/>
      <c r="EP165" s="321"/>
      <c r="EQ165" s="321"/>
      <c r="ER165" s="321"/>
      <c r="ES165" s="321"/>
      <c r="ET165" s="321"/>
      <c r="EU165" s="321"/>
      <c r="EV165" s="321"/>
      <c r="EW165" s="322"/>
      <c r="EX165" s="311"/>
      <c r="EY165" s="312"/>
      <c r="EZ165" s="312"/>
      <c r="FA165" s="312"/>
      <c r="FB165" s="313"/>
      <c r="OR165" s="320"/>
      <c r="OS165" s="321"/>
      <c r="OT165" s="321"/>
      <c r="OU165" s="321"/>
      <c r="OV165" s="321"/>
      <c r="OW165" s="321"/>
      <c r="OX165" s="321"/>
      <c r="OY165" s="321"/>
      <c r="OZ165" s="321"/>
      <c r="PA165" s="321"/>
      <c r="PB165" s="321"/>
      <c r="PC165" s="321"/>
      <c r="PD165" s="321"/>
      <c r="PE165" s="321"/>
      <c r="PF165" s="321"/>
      <c r="PG165" s="321"/>
      <c r="PH165" s="321"/>
      <c r="PI165" s="321"/>
      <c r="PJ165" s="321"/>
      <c r="PK165" s="321"/>
      <c r="PL165" s="321"/>
      <c r="PM165" s="321"/>
      <c r="PN165" s="321"/>
      <c r="PO165" s="321"/>
      <c r="PP165" s="321"/>
      <c r="PQ165" s="321"/>
      <c r="PR165" s="321"/>
      <c r="PS165" s="321"/>
      <c r="PT165" s="321"/>
      <c r="PU165" s="321"/>
      <c r="PV165" s="321"/>
      <c r="PW165" s="321"/>
      <c r="PX165" s="321"/>
      <c r="PY165" s="321"/>
      <c r="PZ165" s="321"/>
      <c r="QA165" s="321"/>
      <c r="QB165" s="321"/>
      <c r="QC165" s="321"/>
      <c r="QD165" s="321"/>
      <c r="QE165" s="321"/>
      <c r="QF165" s="311"/>
      <c r="QG165" s="312"/>
      <c r="QH165" s="312"/>
      <c r="QI165" s="312"/>
      <c r="QJ165" s="312"/>
      <c r="QK165" s="313"/>
      <c r="QL165" s="237"/>
      <c r="QQ165" s="230"/>
      <c r="QR165" s="231"/>
      <c r="QS165" s="249"/>
      <c r="QT165" s="249"/>
      <c r="QU165" s="249"/>
      <c r="QV165" s="249"/>
      <c r="QW165" s="250"/>
    </row>
    <row r="166" spans="3:465" ht="5.0999999999999996" customHeight="1" x14ac:dyDescent="0.25">
      <c r="C166" s="226"/>
      <c r="D166" s="227"/>
      <c r="E166" s="229"/>
      <c r="BE166" s="320"/>
      <c r="BF166" s="321"/>
      <c r="BG166" s="321"/>
      <c r="BH166" s="321"/>
      <c r="BI166" s="321"/>
      <c r="BJ166" s="321"/>
      <c r="BK166" s="321"/>
      <c r="BL166" s="321"/>
      <c r="BM166" s="321"/>
      <c r="BN166" s="321"/>
      <c r="BO166" s="321"/>
      <c r="BP166" s="321"/>
      <c r="BQ166" s="321"/>
      <c r="BR166" s="321"/>
      <c r="BS166" s="321"/>
      <c r="BT166" s="321"/>
      <c r="BU166" s="321"/>
      <c r="BV166" s="321"/>
      <c r="BW166" s="321"/>
      <c r="BX166" s="321"/>
      <c r="BY166" s="321"/>
      <c r="BZ166" s="321"/>
      <c r="CA166" s="321"/>
      <c r="CB166" s="321"/>
      <c r="CC166" s="321"/>
      <c r="CD166" s="321"/>
      <c r="CE166" s="321"/>
      <c r="CF166" s="321"/>
      <c r="CG166" s="321"/>
      <c r="CH166" s="321"/>
      <c r="CI166" s="321"/>
      <c r="CJ166" s="321"/>
      <c r="CK166" s="321"/>
      <c r="CL166" s="321"/>
      <c r="CM166" s="321"/>
      <c r="CN166" s="321"/>
      <c r="CO166" s="321"/>
      <c r="CP166" s="321"/>
      <c r="CQ166" s="321"/>
      <c r="CR166" s="321"/>
      <c r="CS166" s="322"/>
      <c r="CT166" s="311"/>
      <c r="CU166" s="312"/>
      <c r="CV166" s="312"/>
      <c r="CW166" s="312"/>
      <c r="CX166" s="313"/>
      <c r="DI166" s="320"/>
      <c r="DJ166" s="321"/>
      <c r="DK166" s="321"/>
      <c r="DL166" s="321"/>
      <c r="DM166" s="321"/>
      <c r="DN166" s="321"/>
      <c r="DO166" s="321"/>
      <c r="DP166" s="321"/>
      <c r="DQ166" s="321"/>
      <c r="DR166" s="321"/>
      <c r="DS166" s="321"/>
      <c r="DT166" s="321"/>
      <c r="DU166" s="321"/>
      <c r="DV166" s="321"/>
      <c r="DW166" s="321"/>
      <c r="DX166" s="321"/>
      <c r="DY166" s="321"/>
      <c r="DZ166" s="321"/>
      <c r="EA166" s="321"/>
      <c r="EB166" s="321"/>
      <c r="EC166" s="321"/>
      <c r="ED166" s="321"/>
      <c r="EE166" s="321"/>
      <c r="EF166" s="321"/>
      <c r="EG166" s="321"/>
      <c r="EH166" s="321"/>
      <c r="EI166" s="321"/>
      <c r="EJ166" s="321"/>
      <c r="EK166" s="321"/>
      <c r="EL166" s="321"/>
      <c r="EM166" s="321"/>
      <c r="EN166" s="321"/>
      <c r="EO166" s="321"/>
      <c r="EP166" s="321"/>
      <c r="EQ166" s="321"/>
      <c r="ER166" s="321"/>
      <c r="ES166" s="321"/>
      <c r="ET166" s="321"/>
      <c r="EU166" s="321"/>
      <c r="EV166" s="321"/>
      <c r="EW166" s="322"/>
      <c r="EX166" s="311"/>
      <c r="EY166" s="312"/>
      <c r="EZ166" s="312"/>
      <c r="FA166" s="312"/>
      <c r="FB166" s="313"/>
      <c r="OR166" s="320"/>
      <c r="OS166" s="321"/>
      <c r="OT166" s="321"/>
      <c r="OU166" s="321"/>
      <c r="OV166" s="321"/>
      <c r="OW166" s="321"/>
      <c r="OX166" s="321"/>
      <c r="OY166" s="321"/>
      <c r="OZ166" s="321"/>
      <c r="PA166" s="321"/>
      <c r="PB166" s="321"/>
      <c r="PC166" s="321"/>
      <c r="PD166" s="321"/>
      <c r="PE166" s="321"/>
      <c r="PF166" s="321"/>
      <c r="PG166" s="321"/>
      <c r="PH166" s="321"/>
      <c r="PI166" s="321"/>
      <c r="PJ166" s="321"/>
      <c r="PK166" s="321"/>
      <c r="PL166" s="321"/>
      <c r="PM166" s="321"/>
      <c r="PN166" s="321"/>
      <c r="PO166" s="321"/>
      <c r="PP166" s="321"/>
      <c r="PQ166" s="321"/>
      <c r="PR166" s="321"/>
      <c r="PS166" s="321"/>
      <c r="PT166" s="321"/>
      <c r="PU166" s="321"/>
      <c r="PV166" s="321"/>
      <c r="PW166" s="321"/>
      <c r="PX166" s="321"/>
      <c r="PY166" s="321"/>
      <c r="PZ166" s="321"/>
      <c r="QA166" s="321"/>
      <c r="QB166" s="321"/>
      <c r="QC166" s="321"/>
      <c r="QD166" s="321"/>
      <c r="QE166" s="321"/>
      <c r="QF166" s="311"/>
      <c r="QG166" s="312"/>
      <c r="QH166" s="312"/>
      <c r="QI166" s="312"/>
      <c r="QJ166" s="312"/>
      <c r="QK166" s="313"/>
      <c r="QL166" s="237"/>
      <c r="QQ166" s="230"/>
      <c r="QR166" s="231"/>
      <c r="QS166" s="249"/>
      <c r="QT166" s="249"/>
      <c r="QU166" s="249"/>
      <c r="QV166" s="249"/>
      <c r="QW166" s="250"/>
    </row>
    <row r="167" spans="3:465" ht="5.0999999999999996" customHeight="1" x14ac:dyDescent="0.25">
      <c r="C167" s="226"/>
      <c r="D167" s="227"/>
      <c r="E167" s="229"/>
      <c r="BE167" s="323"/>
      <c r="BF167" s="324"/>
      <c r="BG167" s="324"/>
      <c r="BH167" s="324"/>
      <c r="BI167" s="324"/>
      <c r="BJ167" s="324"/>
      <c r="BK167" s="324"/>
      <c r="BL167" s="324"/>
      <c r="BM167" s="324"/>
      <c r="BN167" s="324"/>
      <c r="BO167" s="324"/>
      <c r="BP167" s="324"/>
      <c r="BQ167" s="324"/>
      <c r="BR167" s="324"/>
      <c r="BS167" s="324"/>
      <c r="BT167" s="324"/>
      <c r="BU167" s="324"/>
      <c r="BV167" s="324"/>
      <c r="BW167" s="324"/>
      <c r="BX167" s="324"/>
      <c r="BY167" s="324"/>
      <c r="BZ167" s="324"/>
      <c r="CA167" s="324"/>
      <c r="CB167" s="324"/>
      <c r="CC167" s="324"/>
      <c r="CD167" s="324"/>
      <c r="CE167" s="324"/>
      <c r="CF167" s="324"/>
      <c r="CG167" s="324"/>
      <c r="CH167" s="324"/>
      <c r="CI167" s="324"/>
      <c r="CJ167" s="324"/>
      <c r="CK167" s="324"/>
      <c r="CL167" s="324"/>
      <c r="CM167" s="324"/>
      <c r="CN167" s="324"/>
      <c r="CO167" s="324"/>
      <c r="CP167" s="324"/>
      <c r="CQ167" s="324"/>
      <c r="CR167" s="324"/>
      <c r="CS167" s="325"/>
      <c r="CT167" s="314"/>
      <c r="CU167" s="315"/>
      <c r="CV167" s="315"/>
      <c r="CW167" s="315"/>
      <c r="CX167" s="316"/>
      <c r="DI167" s="320"/>
      <c r="DJ167" s="321"/>
      <c r="DK167" s="321"/>
      <c r="DL167" s="321"/>
      <c r="DM167" s="321"/>
      <c r="DN167" s="321"/>
      <c r="DO167" s="321"/>
      <c r="DP167" s="321"/>
      <c r="DQ167" s="321"/>
      <c r="DR167" s="321"/>
      <c r="DS167" s="321"/>
      <c r="DT167" s="321"/>
      <c r="DU167" s="321"/>
      <c r="DV167" s="321"/>
      <c r="DW167" s="321"/>
      <c r="DX167" s="321"/>
      <c r="DY167" s="321"/>
      <c r="DZ167" s="321"/>
      <c r="EA167" s="321"/>
      <c r="EB167" s="321"/>
      <c r="EC167" s="321"/>
      <c r="ED167" s="321"/>
      <c r="EE167" s="321"/>
      <c r="EF167" s="321"/>
      <c r="EG167" s="321"/>
      <c r="EH167" s="321"/>
      <c r="EI167" s="321"/>
      <c r="EJ167" s="321"/>
      <c r="EK167" s="321"/>
      <c r="EL167" s="321"/>
      <c r="EM167" s="321"/>
      <c r="EN167" s="321"/>
      <c r="EO167" s="321"/>
      <c r="EP167" s="321"/>
      <c r="EQ167" s="321"/>
      <c r="ER167" s="321"/>
      <c r="ES167" s="321"/>
      <c r="ET167" s="321"/>
      <c r="EU167" s="321"/>
      <c r="EV167" s="321"/>
      <c r="EW167" s="322"/>
      <c r="EX167" s="311"/>
      <c r="EY167" s="312"/>
      <c r="EZ167" s="312"/>
      <c r="FA167" s="312"/>
      <c r="FB167" s="313"/>
      <c r="OR167" s="320"/>
      <c r="OS167" s="321"/>
      <c r="OT167" s="321"/>
      <c r="OU167" s="321"/>
      <c r="OV167" s="321"/>
      <c r="OW167" s="321"/>
      <c r="OX167" s="321"/>
      <c r="OY167" s="321"/>
      <c r="OZ167" s="321"/>
      <c r="PA167" s="321"/>
      <c r="PB167" s="321"/>
      <c r="PC167" s="321"/>
      <c r="PD167" s="321"/>
      <c r="PE167" s="321"/>
      <c r="PF167" s="321"/>
      <c r="PG167" s="321"/>
      <c r="PH167" s="321"/>
      <c r="PI167" s="321"/>
      <c r="PJ167" s="321"/>
      <c r="PK167" s="321"/>
      <c r="PL167" s="321"/>
      <c r="PM167" s="321"/>
      <c r="PN167" s="321"/>
      <c r="PO167" s="321"/>
      <c r="PP167" s="321"/>
      <c r="PQ167" s="321"/>
      <c r="PR167" s="321"/>
      <c r="PS167" s="321"/>
      <c r="PT167" s="321"/>
      <c r="PU167" s="321"/>
      <c r="PV167" s="321"/>
      <c r="PW167" s="321"/>
      <c r="PX167" s="321"/>
      <c r="PY167" s="321"/>
      <c r="PZ167" s="321"/>
      <c r="QA167" s="321"/>
      <c r="QB167" s="321"/>
      <c r="QC167" s="321"/>
      <c r="QD167" s="321"/>
      <c r="QE167" s="321"/>
      <c r="QF167" s="311"/>
      <c r="QG167" s="312"/>
      <c r="QH167" s="312"/>
      <c r="QI167" s="312"/>
      <c r="QJ167" s="312"/>
      <c r="QK167" s="313"/>
      <c r="QL167" s="237"/>
      <c r="QQ167" s="230"/>
      <c r="QR167" s="231"/>
      <c r="QS167" s="249"/>
      <c r="QT167" s="249"/>
      <c r="QU167" s="249"/>
      <c r="QV167" s="249"/>
      <c r="QW167" s="250"/>
    </row>
    <row r="168" spans="3:465" ht="5.0999999999999996" customHeight="1" x14ac:dyDescent="0.25">
      <c r="C168" s="226"/>
      <c r="D168" s="227"/>
      <c r="E168" s="229"/>
      <c r="BE168" s="317" t="s">
        <v>114</v>
      </c>
      <c r="BF168" s="318"/>
      <c r="BG168" s="318"/>
      <c r="BH168" s="318"/>
      <c r="BI168" s="318"/>
      <c r="BJ168" s="318"/>
      <c r="BK168" s="318"/>
      <c r="BL168" s="318"/>
      <c r="BM168" s="318"/>
      <c r="BN168" s="318"/>
      <c r="BO168" s="318"/>
      <c r="BP168" s="318"/>
      <c r="BQ168" s="318"/>
      <c r="BR168" s="318"/>
      <c r="BS168" s="318"/>
      <c r="BT168" s="318"/>
      <c r="BU168" s="318"/>
      <c r="BV168" s="318"/>
      <c r="BW168" s="318"/>
      <c r="BX168" s="318"/>
      <c r="BY168" s="318"/>
      <c r="BZ168" s="318"/>
      <c r="CA168" s="318"/>
      <c r="CB168" s="318"/>
      <c r="CC168" s="318"/>
      <c r="CD168" s="318"/>
      <c r="CE168" s="318"/>
      <c r="CF168" s="318"/>
      <c r="CG168" s="318"/>
      <c r="CH168" s="318"/>
      <c r="CI168" s="318"/>
      <c r="CJ168" s="318"/>
      <c r="CK168" s="318"/>
      <c r="CL168" s="318"/>
      <c r="CM168" s="318"/>
      <c r="CN168" s="318"/>
      <c r="CO168" s="318"/>
      <c r="CP168" s="318"/>
      <c r="CQ168" s="318"/>
      <c r="CR168" s="318"/>
      <c r="CS168" s="319"/>
      <c r="CT168" s="308">
        <v>3</v>
      </c>
      <c r="CU168" s="309"/>
      <c r="CV168" s="309"/>
      <c r="CW168" s="309"/>
      <c r="CX168" s="310"/>
      <c r="DI168" s="320"/>
      <c r="DJ168" s="321"/>
      <c r="DK168" s="321"/>
      <c r="DL168" s="321"/>
      <c r="DM168" s="321"/>
      <c r="DN168" s="321"/>
      <c r="DO168" s="321"/>
      <c r="DP168" s="321"/>
      <c r="DQ168" s="321"/>
      <c r="DR168" s="321"/>
      <c r="DS168" s="321"/>
      <c r="DT168" s="321"/>
      <c r="DU168" s="321"/>
      <c r="DV168" s="321"/>
      <c r="DW168" s="321"/>
      <c r="DX168" s="321"/>
      <c r="DY168" s="321"/>
      <c r="DZ168" s="321"/>
      <c r="EA168" s="321"/>
      <c r="EB168" s="321"/>
      <c r="EC168" s="321"/>
      <c r="ED168" s="321"/>
      <c r="EE168" s="321"/>
      <c r="EF168" s="321"/>
      <c r="EG168" s="321"/>
      <c r="EH168" s="321"/>
      <c r="EI168" s="321"/>
      <c r="EJ168" s="321"/>
      <c r="EK168" s="321"/>
      <c r="EL168" s="321"/>
      <c r="EM168" s="321"/>
      <c r="EN168" s="321"/>
      <c r="EO168" s="321"/>
      <c r="EP168" s="321"/>
      <c r="EQ168" s="321"/>
      <c r="ER168" s="321"/>
      <c r="ES168" s="321"/>
      <c r="ET168" s="321"/>
      <c r="EU168" s="321"/>
      <c r="EV168" s="321"/>
      <c r="EW168" s="322"/>
      <c r="EX168" s="311"/>
      <c r="EY168" s="312"/>
      <c r="EZ168" s="312"/>
      <c r="FA168" s="312"/>
      <c r="FB168" s="313"/>
      <c r="OR168" s="320"/>
      <c r="OS168" s="321"/>
      <c r="OT168" s="321"/>
      <c r="OU168" s="321"/>
      <c r="OV168" s="321"/>
      <c r="OW168" s="321"/>
      <c r="OX168" s="321"/>
      <c r="OY168" s="321"/>
      <c r="OZ168" s="321"/>
      <c r="PA168" s="321"/>
      <c r="PB168" s="321"/>
      <c r="PC168" s="321"/>
      <c r="PD168" s="321"/>
      <c r="PE168" s="321"/>
      <c r="PF168" s="321"/>
      <c r="PG168" s="321"/>
      <c r="PH168" s="321"/>
      <c r="PI168" s="321"/>
      <c r="PJ168" s="321"/>
      <c r="PK168" s="321"/>
      <c r="PL168" s="321"/>
      <c r="PM168" s="321"/>
      <c r="PN168" s="321"/>
      <c r="PO168" s="321"/>
      <c r="PP168" s="321"/>
      <c r="PQ168" s="321"/>
      <c r="PR168" s="321"/>
      <c r="PS168" s="321"/>
      <c r="PT168" s="321"/>
      <c r="PU168" s="321"/>
      <c r="PV168" s="321"/>
      <c r="PW168" s="321"/>
      <c r="PX168" s="321"/>
      <c r="PY168" s="321"/>
      <c r="PZ168" s="321"/>
      <c r="QA168" s="321"/>
      <c r="QB168" s="321"/>
      <c r="QC168" s="321"/>
      <c r="QD168" s="321"/>
      <c r="QE168" s="321"/>
      <c r="QF168" s="311"/>
      <c r="QG168" s="312"/>
      <c r="QH168" s="312"/>
      <c r="QI168" s="312"/>
      <c r="QJ168" s="312"/>
      <c r="QK168" s="313"/>
      <c r="QL168" s="237"/>
      <c r="QQ168" s="230"/>
      <c r="QR168" s="231"/>
      <c r="QS168" s="249"/>
      <c r="QT168" s="249"/>
      <c r="QU168" s="249"/>
      <c r="QV168" s="249"/>
      <c r="QW168" s="250"/>
    </row>
    <row r="169" spans="3:465" ht="5.0999999999999996" customHeight="1" x14ac:dyDescent="0.25">
      <c r="C169" s="226"/>
      <c r="D169" s="227"/>
      <c r="E169" s="229"/>
      <c r="BE169" s="320"/>
      <c r="BF169" s="321"/>
      <c r="BG169" s="321"/>
      <c r="BH169" s="321"/>
      <c r="BI169" s="321"/>
      <c r="BJ169" s="321"/>
      <c r="BK169" s="321"/>
      <c r="BL169" s="321"/>
      <c r="BM169" s="321"/>
      <c r="BN169" s="321"/>
      <c r="BO169" s="321"/>
      <c r="BP169" s="321"/>
      <c r="BQ169" s="321"/>
      <c r="BR169" s="321"/>
      <c r="BS169" s="321"/>
      <c r="BT169" s="321"/>
      <c r="BU169" s="321"/>
      <c r="BV169" s="321"/>
      <c r="BW169" s="321"/>
      <c r="BX169" s="321"/>
      <c r="BY169" s="321"/>
      <c r="BZ169" s="321"/>
      <c r="CA169" s="321"/>
      <c r="CB169" s="321"/>
      <c r="CC169" s="321"/>
      <c r="CD169" s="321"/>
      <c r="CE169" s="321"/>
      <c r="CF169" s="321"/>
      <c r="CG169" s="321"/>
      <c r="CH169" s="321"/>
      <c r="CI169" s="321"/>
      <c r="CJ169" s="321"/>
      <c r="CK169" s="321"/>
      <c r="CL169" s="321"/>
      <c r="CM169" s="321"/>
      <c r="CN169" s="321"/>
      <c r="CO169" s="321"/>
      <c r="CP169" s="321"/>
      <c r="CQ169" s="321"/>
      <c r="CR169" s="321"/>
      <c r="CS169" s="322"/>
      <c r="CT169" s="311"/>
      <c r="CU169" s="312"/>
      <c r="CV169" s="312"/>
      <c r="CW169" s="312"/>
      <c r="CX169" s="313"/>
      <c r="DI169" s="320"/>
      <c r="DJ169" s="321"/>
      <c r="DK169" s="321"/>
      <c r="DL169" s="321"/>
      <c r="DM169" s="321"/>
      <c r="DN169" s="321"/>
      <c r="DO169" s="321"/>
      <c r="DP169" s="321"/>
      <c r="DQ169" s="321"/>
      <c r="DR169" s="321"/>
      <c r="DS169" s="321"/>
      <c r="DT169" s="321"/>
      <c r="DU169" s="321"/>
      <c r="DV169" s="321"/>
      <c r="DW169" s="321"/>
      <c r="DX169" s="321"/>
      <c r="DY169" s="321"/>
      <c r="DZ169" s="321"/>
      <c r="EA169" s="321"/>
      <c r="EB169" s="321"/>
      <c r="EC169" s="321"/>
      <c r="ED169" s="321"/>
      <c r="EE169" s="321"/>
      <c r="EF169" s="321"/>
      <c r="EG169" s="321"/>
      <c r="EH169" s="321"/>
      <c r="EI169" s="321"/>
      <c r="EJ169" s="321"/>
      <c r="EK169" s="321"/>
      <c r="EL169" s="321"/>
      <c r="EM169" s="321"/>
      <c r="EN169" s="321"/>
      <c r="EO169" s="321"/>
      <c r="EP169" s="321"/>
      <c r="EQ169" s="321"/>
      <c r="ER169" s="321"/>
      <c r="ES169" s="321"/>
      <c r="ET169" s="321"/>
      <c r="EU169" s="321"/>
      <c r="EV169" s="321"/>
      <c r="EW169" s="322"/>
      <c r="EX169" s="311"/>
      <c r="EY169" s="312"/>
      <c r="EZ169" s="312"/>
      <c r="FA169" s="312"/>
      <c r="FB169" s="313"/>
      <c r="OR169" s="320"/>
      <c r="OS169" s="321"/>
      <c r="OT169" s="321"/>
      <c r="OU169" s="321"/>
      <c r="OV169" s="321"/>
      <c r="OW169" s="321"/>
      <c r="OX169" s="321"/>
      <c r="OY169" s="321"/>
      <c r="OZ169" s="321"/>
      <c r="PA169" s="321"/>
      <c r="PB169" s="321"/>
      <c r="PC169" s="321"/>
      <c r="PD169" s="321"/>
      <c r="PE169" s="321"/>
      <c r="PF169" s="321"/>
      <c r="PG169" s="321"/>
      <c r="PH169" s="321"/>
      <c r="PI169" s="321"/>
      <c r="PJ169" s="321"/>
      <c r="PK169" s="321"/>
      <c r="PL169" s="321"/>
      <c r="PM169" s="321"/>
      <c r="PN169" s="321"/>
      <c r="PO169" s="321"/>
      <c r="PP169" s="321"/>
      <c r="PQ169" s="321"/>
      <c r="PR169" s="321"/>
      <c r="PS169" s="321"/>
      <c r="PT169" s="321"/>
      <c r="PU169" s="321"/>
      <c r="PV169" s="321"/>
      <c r="PW169" s="321"/>
      <c r="PX169" s="321"/>
      <c r="PY169" s="321"/>
      <c r="PZ169" s="321"/>
      <c r="QA169" s="321"/>
      <c r="QB169" s="321"/>
      <c r="QC169" s="321"/>
      <c r="QD169" s="321"/>
      <c r="QE169" s="321"/>
      <c r="QF169" s="311"/>
      <c r="QG169" s="312"/>
      <c r="QH169" s="312"/>
      <c r="QI169" s="312"/>
      <c r="QJ169" s="312"/>
      <c r="QK169" s="313"/>
      <c r="QL169" s="237"/>
      <c r="QQ169" s="230"/>
      <c r="QR169" s="231"/>
      <c r="QS169" s="249"/>
      <c r="QT169" s="249"/>
      <c r="QU169" s="249"/>
      <c r="QV169" s="249"/>
      <c r="QW169" s="250"/>
    </row>
    <row r="170" spans="3:465" ht="5.0999999999999996" customHeight="1" x14ac:dyDescent="0.25">
      <c r="C170" s="226"/>
      <c r="D170" s="227"/>
      <c r="E170" s="229"/>
      <c r="BE170" s="320"/>
      <c r="BF170" s="321"/>
      <c r="BG170" s="321"/>
      <c r="BH170" s="321"/>
      <c r="BI170" s="321"/>
      <c r="BJ170" s="321"/>
      <c r="BK170" s="321"/>
      <c r="BL170" s="321"/>
      <c r="BM170" s="321"/>
      <c r="BN170" s="321"/>
      <c r="BO170" s="321"/>
      <c r="BP170" s="321"/>
      <c r="BQ170" s="321"/>
      <c r="BR170" s="321"/>
      <c r="BS170" s="321"/>
      <c r="BT170" s="321"/>
      <c r="BU170" s="321"/>
      <c r="BV170" s="321"/>
      <c r="BW170" s="321"/>
      <c r="BX170" s="321"/>
      <c r="BY170" s="321"/>
      <c r="BZ170" s="321"/>
      <c r="CA170" s="321"/>
      <c r="CB170" s="321"/>
      <c r="CC170" s="321"/>
      <c r="CD170" s="321"/>
      <c r="CE170" s="321"/>
      <c r="CF170" s="321"/>
      <c r="CG170" s="321"/>
      <c r="CH170" s="321"/>
      <c r="CI170" s="321"/>
      <c r="CJ170" s="321"/>
      <c r="CK170" s="321"/>
      <c r="CL170" s="321"/>
      <c r="CM170" s="321"/>
      <c r="CN170" s="321"/>
      <c r="CO170" s="321"/>
      <c r="CP170" s="321"/>
      <c r="CQ170" s="321"/>
      <c r="CR170" s="321"/>
      <c r="CS170" s="322"/>
      <c r="CT170" s="311"/>
      <c r="CU170" s="312"/>
      <c r="CV170" s="312"/>
      <c r="CW170" s="312"/>
      <c r="CX170" s="313"/>
      <c r="DI170" s="320"/>
      <c r="DJ170" s="321"/>
      <c r="DK170" s="321"/>
      <c r="DL170" s="321"/>
      <c r="DM170" s="321"/>
      <c r="DN170" s="321"/>
      <c r="DO170" s="321"/>
      <c r="DP170" s="321"/>
      <c r="DQ170" s="321"/>
      <c r="DR170" s="321"/>
      <c r="DS170" s="321"/>
      <c r="DT170" s="321"/>
      <c r="DU170" s="321"/>
      <c r="DV170" s="321"/>
      <c r="DW170" s="321"/>
      <c r="DX170" s="321"/>
      <c r="DY170" s="321"/>
      <c r="DZ170" s="321"/>
      <c r="EA170" s="321"/>
      <c r="EB170" s="321"/>
      <c r="EC170" s="321"/>
      <c r="ED170" s="321"/>
      <c r="EE170" s="321"/>
      <c r="EF170" s="321"/>
      <c r="EG170" s="321"/>
      <c r="EH170" s="321"/>
      <c r="EI170" s="321"/>
      <c r="EJ170" s="321"/>
      <c r="EK170" s="321"/>
      <c r="EL170" s="321"/>
      <c r="EM170" s="321"/>
      <c r="EN170" s="321"/>
      <c r="EO170" s="321"/>
      <c r="EP170" s="321"/>
      <c r="EQ170" s="321"/>
      <c r="ER170" s="321"/>
      <c r="ES170" s="321"/>
      <c r="ET170" s="321"/>
      <c r="EU170" s="321"/>
      <c r="EV170" s="321"/>
      <c r="EW170" s="322"/>
      <c r="EX170" s="311"/>
      <c r="EY170" s="312"/>
      <c r="EZ170" s="312"/>
      <c r="FA170" s="312"/>
      <c r="FB170" s="313"/>
      <c r="OR170" s="320"/>
      <c r="OS170" s="321"/>
      <c r="OT170" s="321"/>
      <c r="OU170" s="321"/>
      <c r="OV170" s="321"/>
      <c r="OW170" s="321"/>
      <c r="OX170" s="321"/>
      <c r="OY170" s="321"/>
      <c r="OZ170" s="321"/>
      <c r="PA170" s="321"/>
      <c r="PB170" s="321"/>
      <c r="PC170" s="321"/>
      <c r="PD170" s="321"/>
      <c r="PE170" s="321"/>
      <c r="PF170" s="321"/>
      <c r="PG170" s="321"/>
      <c r="PH170" s="321"/>
      <c r="PI170" s="321"/>
      <c r="PJ170" s="321"/>
      <c r="PK170" s="321"/>
      <c r="PL170" s="321"/>
      <c r="PM170" s="321"/>
      <c r="PN170" s="321"/>
      <c r="PO170" s="321"/>
      <c r="PP170" s="321"/>
      <c r="PQ170" s="321"/>
      <c r="PR170" s="321"/>
      <c r="PS170" s="321"/>
      <c r="PT170" s="321"/>
      <c r="PU170" s="321"/>
      <c r="PV170" s="321"/>
      <c r="PW170" s="321"/>
      <c r="PX170" s="321"/>
      <c r="PY170" s="321"/>
      <c r="PZ170" s="321"/>
      <c r="QA170" s="321"/>
      <c r="QB170" s="321"/>
      <c r="QC170" s="321"/>
      <c r="QD170" s="321"/>
      <c r="QE170" s="321"/>
      <c r="QF170" s="311"/>
      <c r="QG170" s="312"/>
      <c r="QH170" s="312"/>
      <c r="QI170" s="312"/>
      <c r="QJ170" s="312"/>
      <c r="QK170" s="313"/>
      <c r="QL170" s="237"/>
      <c r="QQ170" s="230"/>
      <c r="QR170" s="231"/>
      <c r="QS170" s="249"/>
      <c r="QT170" s="249"/>
      <c r="QU170" s="249"/>
      <c r="QV170" s="249"/>
      <c r="QW170" s="250"/>
    </row>
    <row r="171" spans="3:465" ht="5.0999999999999996" customHeight="1" x14ac:dyDescent="0.25">
      <c r="C171" s="226"/>
      <c r="D171" s="227"/>
      <c r="E171" s="229"/>
      <c r="BE171" s="320"/>
      <c r="BF171" s="321"/>
      <c r="BG171" s="321"/>
      <c r="BH171" s="321"/>
      <c r="BI171" s="321"/>
      <c r="BJ171" s="321"/>
      <c r="BK171" s="321"/>
      <c r="BL171" s="321"/>
      <c r="BM171" s="321"/>
      <c r="BN171" s="321"/>
      <c r="BO171" s="321"/>
      <c r="BP171" s="321"/>
      <c r="BQ171" s="321"/>
      <c r="BR171" s="321"/>
      <c r="BS171" s="321"/>
      <c r="BT171" s="321"/>
      <c r="BU171" s="321"/>
      <c r="BV171" s="321"/>
      <c r="BW171" s="321"/>
      <c r="BX171" s="321"/>
      <c r="BY171" s="321"/>
      <c r="BZ171" s="321"/>
      <c r="CA171" s="321"/>
      <c r="CB171" s="321"/>
      <c r="CC171" s="321"/>
      <c r="CD171" s="321"/>
      <c r="CE171" s="321"/>
      <c r="CF171" s="321"/>
      <c r="CG171" s="321"/>
      <c r="CH171" s="321"/>
      <c r="CI171" s="321"/>
      <c r="CJ171" s="321"/>
      <c r="CK171" s="321"/>
      <c r="CL171" s="321"/>
      <c r="CM171" s="321"/>
      <c r="CN171" s="321"/>
      <c r="CO171" s="321"/>
      <c r="CP171" s="321"/>
      <c r="CQ171" s="321"/>
      <c r="CR171" s="321"/>
      <c r="CS171" s="322"/>
      <c r="CT171" s="311"/>
      <c r="CU171" s="312"/>
      <c r="CV171" s="312"/>
      <c r="CW171" s="312"/>
      <c r="CX171" s="313"/>
      <c r="DI171" s="320"/>
      <c r="DJ171" s="321"/>
      <c r="DK171" s="321"/>
      <c r="DL171" s="321"/>
      <c r="DM171" s="321"/>
      <c r="DN171" s="321"/>
      <c r="DO171" s="321"/>
      <c r="DP171" s="321"/>
      <c r="DQ171" s="321"/>
      <c r="DR171" s="321"/>
      <c r="DS171" s="321"/>
      <c r="DT171" s="321"/>
      <c r="DU171" s="321"/>
      <c r="DV171" s="321"/>
      <c r="DW171" s="321"/>
      <c r="DX171" s="321"/>
      <c r="DY171" s="321"/>
      <c r="DZ171" s="321"/>
      <c r="EA171" s="321"/>
      <c r="EB171" s="321"/>
      <c r="EC171" s="321"/>
      <c r="ED171" s="321"/>
      <c r="EE171" s="321"/>
      <c r="EF171" s="321"/>
      <c r="EG171" s="321"/>
      <c r="EH171" s="321"/>
      <c r="EI171" s="321"/>
      <c r="EJ171" s="321"/>
      <c r="EK171" s="321"/>
      <c r="EL171" s="321"/>
      <c r="EM171" s="321"/>
      <c r="EN171" s="321"/>
      <c r="EO171" s="321"/>
      <c r="EP171" s="321"/>
      <c r="EQ171" s="321"/>
      <c r="ER171" s="321"/>
      <c r="ES171" s="321"/>
      <c r="ET171" s="321"/>
      <c r="EU171" s="321"/>
      <c r="EV171" s="321"/>
      <c r="EW171" s="322"/>
      <c r="EX171" s="311"/>
      <c r="EY171" s="312"/>
      <c r="EZ171" s="312"/>
      <c r="FA171" s="312"/>
      <c r="FB171" s="313"/>
      <c r="OR171" s="323"/>
      <c r="OS171" s="324"/>
      <c r="OT171" s="324"/>
      <c r="OU171" s="324"/>
      <c r="OV171" s="324"/>
      <c r="OW171" s="324"/>
      <c r="OX171" s="324"/>
      <c r="OY171" s="324"/>
      <c r="OZ171" s="324"/>
      <c r="PA171" s="324"/>
      <c r="PB171" s="324"/>
      <c r="PC171" s="324"/>
      <c r="PD171" s="324"/>
      <c r="PE171" s="324"/>
      <c r="PF171" s="324"/>
      <c r="PG171" s="324"/>
      <c r="PH171" s="324"/>
      <c r="PI171" s="324"/>
      <c r="PJ171" s="324"/>
      <c r="PK171" s="324"/>
      <c r="PL171" s="324"/>
      <c r="PM171" s="324"/>
      <c r="PN171" s="324"/>
      <c r="PO171" s="324"/>
      <c r="PP171" s="324"/>
      <c r="PQ171" s="324"/>
      <c r="PR171" s="324"/>
      <c r="PS171" s="324"/>
      <c r="PT171" s="324"/>
      <c r="PU171" s="324"/>
      <c r="PV171" s="324"/>
      <c r="PW171" s="324"/>
      <c r="PX171" s="324"/>
      <c r="PY171" s="324"/>
      <c r="PZ171" s="324"/>
      <c r="QA171" s="324"/>
      <c r="QB171" s="324"/>
      <c r="QC171" s="324"/>
      <c r="QD171" s="324"/>
      <c r="QE171" s="324"/>
      <c r="QF171" s="314"/>
      <c r="QG171" s="315"/>
      <c r="QH171" s="315"/>
      <c r="QI171" s="315"/>
      <c r="QJ171" s="315"/>
      <c r="QK171" s="316"/>
      <c r="QL171" s="237"/>
      <c r="QQ171" s="230"/>
      <c r="QR171" s="231"/>
      <c r="QS171" s="249"/>
      <c r="QT171" s="249"/>
      <c r="QU171" s="249"/>
      <c r="QV171" s="249"/>
      <c r="QW171" s="250"/>
    </row>
    <row r="172" spans="3:465" ht="5.0999999999999996" customHeight="1" x14ac:dyDescent="0.25">
      <c r="C172" s="226"/>
      <c r="D172" s="227"/>
      <c r="E172" s="229"/>
      <c r="BE172" s="320"/>
      <c r="BF172" s="321"/>
      <c r="BG172" s="321"/>
      <c r="BH172" s="321"/>
      <c r="BI172" s="321"/>
      <c r="BJ172" s="321"/>
      <c r="BK172" s="321"/>
      <c r="BL172" s="321"/>
      <c r="BM172" s="321"/>
      <c r="BN172" s="321"/>
      <c r="BO172" s="321"/>
      <c r="BP172" s="321"/>
      <c r="BQ172" s="321"/>
      <c r="BR172" s="321"/>
      <c r="BS172" s="321"/>
      <c r="BT172" s="321"/>
      <c r="BU172" s="321"/>
      <c r="BV172" s="321"/>
      <c r="BW172" s="321"/>
      <c r="BX172" s="321"/>
      <c r="BY172" s="321"/>
      <c r="BZ172" s="321"/>
      <c r="CA172" s="321"/>
      <c r="CB172" s="321"/>
      <c r="CC172" s="321"/>
      <c r="CD172" s="321"/>
      <c r="CE172" s="321"/>
      <c r="CF172" s="321"/>
      <c r="CG172" s="321"/>
      <c r="CH172" s="321"/>
      <c r="CI172" s="321"/>
      <c r="CJ172" s="321"/>
      <c r="CK172" s="321"/>
      <c r="CL172" s="321"/>
      <c r="CM172" s="321"/>
      <c r="CN172" s="321"/>
      <c r="CO172" s="321"/>
      <c r="CP172" s="321"/>
      <c r="CQ172" s="321"/>
      <c r="CR172" s="321"/>
      <c r="CS172" s="322"/>
      <c r="CT172" s="311"/>
      <c r="CU172" s="312"/>
      <c r="CV172" s="312"/>
      <c r="CW172" s="312"/>
      <c r="CX172" s="313"/>
      <c r="DI172" s="323"/>
      <c r="DJ172" s="324"/>
      <c r="DK172" s="324"/>
      <c r="DL172" s="324"/>
      <c r="DM172" s="324"/>
      <c r="DN172" s="324"/>
      <c r="DO172" s="324"/>
      <c r="DP172" s="324"/>
      <c r="DQ172" s="324"/>
      <c r="DR172" s="324"/>
      <c r="DS172" s="324"/>
      <c r="DT172" s="324"/>
      <c r="DU172" s="324"/>
      <c r="DV172" s="324"/>
      <c r="DW172" s="324"/>
      <c r="DX172" s="324"/>
      <c r="DY172" s="324"/>
      <c r="DZ172" s="324"/>
      <c r="EA172" s="324"/>
      <c r="EB172" s="324"/>
      <c r="EC172" s="324"/>
      <c r="ED172" s="324"/>
      <c r="EE172" s="324"/>
      <c r="EF172" s="324"/>
      <c r="EG172" s="324"/>
      <c r="EH172" s="324"/>
      <c r="EI172" s="324"/>
      <c r="EJ172" s="324"/>
      <c r="EK172" s="324"/>
      <c r="EL172" s="324"/>
      <c r="EM172" s="324"/>
      <c r="EN172" s="324"/>
      <c r="EO172" s="324"/>
      <c r="EP172" s="324"/>
      <c r="EQ172" s="324"/>
      <c r="ER172" s="324"/>
      <c r="ES172" s="324"/>
      <c r="ET172" s="324"/>
      <c r="EU172" s="324"/>
      <c r="EV172" s="324"/>
      <c r="EW172" s="325"/>
      <c r="EX172" s="314"/>
      <c r="EY172" s="315"/>
      <c r="EZ172" s="315"/>
      <c r="FA172" s="315"/>
      <c r="FB172" s="316"/>
      <c r="OR172" s="229"/>
      <c r="OS172" s="229"/>
      <c r="OT172" s="229"/>
      <c r="OU172" s="229"/>
      <c r="OV172" s="229"/>
      <c r="OW172" s="229"/>
      <c r="OX172" s="229"/>
      <c r="OY172" s="229"/>
      <c r="OZ172" s="229"/>
      <c r="PA172" s="229"/>
      <c r="PB172" s="229"/>
      <c r="PC172" s="229"/>
      <c r="PD172" s="229"/>
      <c r="PE172" s="229"/>
      <c r="PF172" s="229"/>
      <c r="PG172" s="229"/>
      <c r="PH172" s="229"/>
      <c r="PI172" s="229"/>
      <c r="PJ172" s="229"/>
      <c r="QL172" s="237"/>
      <c r="QQ172" s="230"/>
      <c r="QR172" s="231"/>
      <c r="QS172" s="249"/>
      <c r="QT172" s="249"/>
      <c r="QU172" s="249"/>
      <c r="QV172" s="249"/>
      <c r="QW172" s="250"/>
    </row>
    <row r="173" spans="3:465" ht="5.0999999999999996" customHeight="1" x14ac:dyDescent="0.25">
      <c r="C173" s="226"/>
      <c r="D173" s="227"/>
      <c r="E173" s="229"/>
      <c r="BE173" s="320"/>
      <c r="BF173" s="321"/>
      <c r="BG173" s="321"/>
      <c r="BH173" s="321"/>
      <c r="BI173" s="321"/>
      <c r="BJ173" s="321"/>
      <c r="BK173" s="321"/>
      <c r="BL173" s="321"/>
      <c r="BM173" s="321"/>
      <c r="BN173" s="321"/>
      <c r="BO173" s="321"/>
      <c r="BP173" s="321"/>
      <c r="BQ173" s="321"/>
      <c r="BR173" s="321"/>
      <c r="BS173" s="321"/>
      <c r="BT173" s="321"/>
      <c r="BU173" s="321"/>
      <c r="BV173" s="321"/>
      <c r="BW173" s="321"/>
      <c r="BX173" s="321"/>
      <c r="BY173" s="321"/>
      <c r="BZ173" s="321"/>
      <c r="CA173" s="321"/>
      <c r="CB173" s="321"/>
      <c r="CC173" s="321"/>
      <c r="CD173" s="321"/>
      <c r="CE173" s="321"/>
      <c r="CF173" s="321"/>
      <c r="CG173" s="321"/>
      <c r="CH173" s="321"/>
      <c r="CI173" s="321"/>
      <c r="CJ173" s="321"/>
      <c r="CK173" s="321"/>
      <c r="CL173" s="321"/>
      <c r="CM173" s="321"/>
      <c r="CN173" s="321"/>
      <c r="CO173" s="321"/>
      <c r="CP173" s="321"/>
      <c r="CQ173" s="321"/>
      <c r="CR173" s="321"/>
      <c r="CS173" s="322"/>
      <c r="CT173" s="311"/>
      <c r="CU173" s="312"/>
      <c r="CV173" s="312"/>
      <c r="CW173" s="312"/>
      <c r="CX173" s="313"/>
      <c r="QL173" s="237"/>
      <c r="QQ173" s="230"/>
      <c r="QR173" s="231"/>
      <c r="QS173" s="249"/>
      <c r="QT173" s="249"/>
      <c r="QU173" s="249"/>
      <c r="QV173" s="249"/>
      <c r="QW173" s="250"/>
    </row>
    <row r="174" spans="3:465" ht="5.0999999999999996" customHeight="1" x14ac:dyDescent="0.25">
      <c r="C174" s="226"/>
      <c r="D174" s="227"/>
      <c r="E174" s="229"/>
      <c r="BE174" s="320"/>
      <c r="BF174" s="321"/>
      <c r="BG174" s="321"/>
      <c r="BH174" s="321"/>
      <c r="BI174" s="321"/>
      <c r="BJ174" s="321"/>
      <c r="BK174" s="321"/>
      <c r="BL174" s="321"/>
      <c r="BM174" s="321"/>
      <c r="BN174" s="321"/>
      <c r="BO174" s="321"/>
      <c r="BP174" s="321"/>
      <c r="BQ174" s="321"/>
      <c r="BR174" s="321"/>
      <c r="BS174" s="321"/>
      <c r="BT174" s="321"/>
      <c r="BU174" s="321"/>
      <c r="BV174" s="321"/>
      <c r="BW174" s="321"/>
      <c r="BX174" s="321"/>
      <c r="BY174" s="321"/>
      <c r="BZ174" s="321"/>
      <c r="CA174" s="321"/>
      <c r="CB174" s="321"/>
      <c r="CC174" s="321"/>
      <c r="CD174" s="321"/>
      <c r="CE174" s="321"/>
      <c r="CF174" s="321"/>
      <c r="CG174" s="321"/>
      <c r="CH174" s="321"/>
      <c r="CI174" s="321"/>
      <c r="CJ174" s="321"/>
      <c r="CK174" s="321"/>
      <c r="CL174" s="321"/>
      <c r="CM174" s="321"/>
      <c r="CN174" s="321"/>
      <c r="CO174" s="321"/>
      <c r="CP174" s="321"/>
      <c r="CQ174" s="321"/>
      <c r="CR174" s="321"/>
      <c r="CS174" s="322"/>
      <c r="CT174" s="311"/>
      <c r="CU174" s="312"/>
      <c r="CV174" s="312"/>
      <c r="CW174" s="312"/>
      <c r="CX174" s="313"/>
      <c r="OR174" s="326" t="s">
        <v>441</v>
      </c>
      <c r="OS174" s="327"/>
      <c r="OT174" s="327"/>
      <c r="OU174" s="327"/>
      <c r="OV174" s="327"/>
      <c r="OW174" s="327"/>
      <c r="OX174" s="327"/>
      <c r="OY174" s="327"/>
      <c r="OZ174" s="327"/>
      <c r="PA174" s="327"/>
      <c r="PB174" s="327"/>
      <c r="PC174" s="327"/>
      <c r="PD174" s="327"/>
      <c r="PE174" s="327"/>
      <c r="PF174" s="327"/>
      <c r="PG174" s="327"/>
      <c r="PH174" s="327"/>
      <c r="PI174" s="327"/>
      <c r="PJ174" s="327"/>
      <c r="PK174" s="327"/>
      <c r="PL174" s="327"/>
      <c r="PM174" s="327"/>
      <c r="PN174" s="327"/>
      <c r="PO174" s="327"/>
      <c r="PP174" s="327"/>
      <c r="PQ174" s="327"/>
      <c r="PR174" s="327"/>
      <c r="PS174" s="327"/>
      <c r="PT174" s="327"/>
      <c r="PU174" s="327"/>
      <c r="PV174" s="327"/>
      <c r="PW174" s="327"/>
      <c r="PX174" s="327"/>
      <c r="PY174" s="327"/>
      <c r="PZ174" s="327"/>
      <c r="QA174" s="327"/>
      <c r="QB174" s="327"/>
      <c r="QC174" s="327"/>
      <c r="QD174" s="327"/>
      <c r="QE174" s="342"/>
      <c r="QF174" s="332"/>
      <c r="QG174" s="332"/>
      <c r="QH174" s="332"/>
      <c r="QI174" s="332"/>
      <c r="QJ174" s="332"/>
      <c r="QK174" s="332"/>
      <c r="QL174" s="237"/>
      <c r="QQ174" s="230"/>
      <c r="QR174" s="231"/>
      <c r="QS174" s="249"/>
      <c r="QT174" s="249"/>
      <c r="QU174" s="249"/>
      <c r="QV174" s="249"/>
      <c r="QW174" s="250"/>
    </row>
    <row r="175" spans="3:465" ht="5.0999999999999996" customHeight="1" x14ac:dyDescent="0.25">
      <c r="C175" s="226"/>
      <c r="D175" s="227"/>
      <c r="E175" s="229"/>
      <c r="BE175" s="320"/>
      <c r="BF175" s="321"/>
      <c r="BG175" s="321"/>
      <c r="BH175" s="321"/>
      <c r="BI175" s="321"/>
      <c r="BJ175" s="321"/>
      <c r="BK175" s="321"/>
      <c r="BL175" s="321"/>
      <c r="BM175" s="321"/>
      <c r="BN175" s="321"/>
      <c r="BO175" s="321"/>
      <c r="BP175" s="321"/>
      <c r="BQ175" s="321"/>
      <c r="BR175" s="321"/>
      <c r="BS175" s="321"/>
      <c r="BT175" s="321"/>
      <c r="BU175" s="321"/>
      <c r="BV175" s="321"/>
      <c r="BW175" s="321"/>
      <c r="BX175" s="321"/>
      <c r="BY175" s="321"/>
      <c r="BZ175" s="321"/>
      <c r="CA175" s="321"/>
      <c r="CB175" s="321"/>
      <c r="CC175" s="321"/>
      <c r="CD175" s="321"/>
      <c r="CE175" s="321"/>
      <c r="CF175" s="321"/>
      <c r="CG175" s="321"/>
      <c r="CH175" s="321"/>
      <c r="CI175" s="321"/>
      <c r="CJ175" s="321"/>
      <c r="CK175" s="321"/>
      <c r="CL175" s="321"/>
      <c r="CM175" s="321"/>
      <c r="CN175" s="321"/>
      <c r="CO175" s="321"/>
      <c r="CP175" s="321"/>
      <c r="CQ175" s="321"/>
      <c r="CR175" s="321"/>
      <c r="CS175" s="322"/>
      <c r="CT175" s="311"/>
      <c r="CU175" s="312"/>
      <c r="CV175" s="312"/>
      <c r="CW175" s="312"/>
      <c r="CX175" s="313"/>
      <c r="OR175" s="328"/>
      <c r="OS175" s="329"/>
      <c r="OT175" s="329"/>
      <c r="OU175" s="329"/>
      <c r="OV175" s="329"/>
      <c r="OW175" s="329"/>
      <c r="OX175" s="329"/>
      <c r="OY175" s="329"/>
      <c r="OZ175" s="329"/>
      <c r="PA175" s="329"/>
      <c r="PB175" s="329"/>
      <c r="PC175" s="329"/>
      <c r="PD175" s="329"/>
      <c r="PE175" s="329"/>
      <c r="PF175" s="329"/>
      <c r="PG175" s="329"/>
      <c r="PH175" s="329"/>
      <c r="PI175" s="329"/>
      <c r="PJ175" s="329"/>
      <c r="PK175" s="329"/>
      <c r="PL175" s="329"/>
      <c r="PM175" s="329"/>
      <c r="PN175" s="329"/>
      <c r="PO175" s="329"/>
      <c r="PP175" s="329"/>
      <c r="PQ175" s="329"/>
      <c r="PR175" s="329"/>
      <c r="PS175" s="329"/>
      <c r="PT175" s="329"/>
      <c r="PU175" s="329"/>
      <c r="PV175" s="329"/>
      <c r="PW175" s="329"/>
      <c r="PX175" s="329"/>
      <c r="PY175" s="329"/>
      <c r="PZ175" s="329"/>
      <c r="QA175" s="329"/>
      <c r="QB175" s="329"/>
      <c r="QC175" s="329"/>
      <c r="QD175" s="329"/>
      <c r="QE175" s="343"/>
      <c r="QF175" s="332"/>
      <c r="QG175" s="332"/>
      <c r="QH175" s="332"/>
      <c r="QI175" s="332"/>
      <c r="QJ175" s="332"/>
      <c r="QK175" s="332"/>
      <c r="QL175" s="237"/>
      <c r="QQ175" s="230"/>
      <c r="QR175" s="231"/>
      <c r="QS175" s="249"/>
      <c r="QT175" s="249"/>
      <c r="QU175" s="249"/>
      <c r="QV175" s="249"/>
      <c r="QW175" s="250"/>
    </row>
    <row r="176" spans="3:465" ht="4.5" customHeight="1" x14ac:dyDescent="0.25">
      <c r="C176" s="226"/>
      <c r="D176" s="227"/>
      <c r="E176" s="229"/>
      <c r="BE176" s="320"/>
      <c r="BF176" s="321"/>
      <c r="BG176" s="321"/>
      <c r="BH176" s="321"/>
      <c r="BI176" s="321"/>
      <c r="BJ176" s="321"/>
      <c r="BK176" s="321"/>
      <c r="BL176" s="321"/>
      <c r="BM176" s="321"/>
      <c r="BN176" s="321"/>
      <c r="BO176" s="321"/>
      <c r="BP176" s="321"/>
      <c r="BQ176" s="321"/>
      <c r="BR176" s="321"/>
      <c r="BS176" s="321"/>
      <c r="BT176" s="321"/>
      <c r="BU176" s="321"/>
      <c r="BV176" s="321"/>
      <c r="BW176" s="321"/>
      <c r="BX176" s="321"/>
      <c r="BY176" s="321"/>
      <c r="BZ176" s="321"/>
      <c r="CA176" s="321"/>
      <c r="CB176" s="321"/>
      <c r="CC176" s="321"/>
      <c r="CD176" s="321"/>
      <c r="CE176" s="321"/>
      <c r="CF176" s="321"/>
      <c r="CG176" s="321"/>
      <c r="CH176" s="321"/>
      <c r="CI176" s="321"/>
      <c r="CJ176" s="321"/>
      <c r="CK176" s="321"/>
      <c r="CL176" s="321"/>
      <c r="CM176" s="321"/>
      <c r="CN176" s="321"/>
      <c r="CO176" s="321"/>
      <c r="CP176" s="321"/>
      <c r="CQ176" s="321"/>
      <c r="CR176" s="321"/>
      <c r="CS176" s="322"/>
      <c r="CT176" s="311"/>
      <c r="CU176" s="312"/>
      <c r="CV176" s="312"/>
      <c r="CW176" s="312"/>
      <c r="CX176" s="313"/>
      <c r="OR176" s="328"/>
      <c r="OS176" s="329"/>
      <c r="OT176" s="329"/>
      <c r="OU176" s="329"/>
      <c r="OV176" s="329"/>
      <c r="OW176" s="329"/>
      <c r="OX176" s="329"/>
      <c r="OY176" s="329"/>
      <c r="OZ176" s="329"/>
      <c r="PA176" s="329"/>
      <c r="PB176" s="329"/>
      <c r="PC176" s="329"/>
      <c r="PD176" s="329"/>
      <c r="PE176" s="329"/>
      <c r="PF176" s="329"/>
      <c r="PG176" s="329"/>
      <c r="PH176" s="329"/>
      <c r="PI176" s="329"/>
      <c r="PJ176" s="329"/>
      <c r="PK176" s="329"/>
      <c r="PL176" s="329"/>
      <c r="PM176" s="329"/>
      <c r="PN176" s="329"/>
      <c r="PO176" s="329"/>
      <c r="PP176" s="329"/>
      <c r="PQ176" s="329"/>
      <c r="PR176" s="329"/>
      <c r="PS176" s="329"/>
      <c r="PT176" s="329"/>
      <c r="PU176" s="329"/>
      <c r="PV176" s="329"/>
      <c r="PW176" s="329"/>
      <c r="PX176" s="329"/>
      <c r="PY176" s="329"/>
      <c r="PZ176" s="329"/>
      <c r="QA176" s="329"/>
      <c r="QB176" s="329"/>
      <c r="QC176" s="329"/>
      <c r="QD176" s="329"/>
      <c r="QE176" s="343"/>
      <c r="QF176" s="332"/>
      <c r="QG176" s="332"/>
      <c r="QH176" s="332"/>
      <c r="QI176" s="332"/>
      <c r="QJ176" s="332"/>
      <c r="QK176" s="332"/>
      <c r="QL176" s="237"/>
      <c r="QQ176" s="230"/>
      <c r="QR176" s="231"/>
      <c r="QS176" s="249"/>
      <c r="QT176" s="249"/>
      <c r="QU176" s="249"/>
      <c r="QV176" s="249"/>
      <c r="QW176" s="250"/>
    </row>
    <row r="177" spans="3:465" ht="5.0999999999999996" customHeight="1" x14ac:dyDescent="0.25">
      <c r="C177" s="226"/>
      <c r="D177" s="227"/>
      <c r="E177" s="229"/>
      <c r="BE177" s="323"/>
      <c r="BF177" s="324"/>
      <c r="BG177" s="324"/>
      <c r="BH177" s="324"/>
      <c r="BI177" s="324"/>
      <c r="BJ177" s="324"/>
      <c r="BK177" s="324"/>
      <c r="BL177" s="324"/>
      <c r="BM177" s="324"/>
      <c r="BN177" s="324"/>
      <c r="BO177" s="324"/>
      <c r="BP177" s="324"/>
      <c r="BQ177" s="324"/>
      <c r="BR177" s="324"/>
      <c r="BS177" s="324"/>
      <c r="BT177" s="324"/>
      <c r="BU177" s="324"/>
      <c r="BV177" s="324"/>
      <c r="BW177" s="324"/>
      <c r="BX177" s="324"/>
      <c r="BY177" s="324"/>
      <c r="BZ177" s="324"/>
      <c r="CA177" s="324"/>
      <c r="CB177" s="324"/>
      <c r="CC177" s="324"/>
      <c r="CD177" s="324"/>
      <c r="CE177" s="324"/>
      <c r="CF177" s="324"/>
      <c r="CG177" s="324"/>
      <c r="CH177" s="324"/>
      <c r="CI177" s="324"/>
      <c r="CJ177" s="324"/>
      <c r="CK177" s="324"/>
      <c r="CL177" s="324"/>
      <c r="CM177" s="324"/>
      <c r="CN177" s="324"/>
      <c r="CO177" s="324"/>
      <c r="CP177" s="324"/>
      <c r="CQ177" s="324"/>
      <c r="CR177" s="324"/>
      <c r="CS177" s="325"/>
      <c r="CT177" s="314"/>
      <c r="CU177" s="315"/>
      <c r="CV177" s="315"/>
      <c r="CW177" s="315"/>
      <c r="CX177" s="316"/>
      <c r="OR177" s="328"/>
      <c r="OS177" s="329"/>
      <c r="OT177" s="329"/>
      <c r="OU177" s="329"/>
      <c r="OV177" s="329"/>
      <c r="OW177" s="329"/>
      <c r="OX177" s="329"/>
      <c r="OY177" s="329"/>
      <c r="OZ177" s="329"/>
      <c r="PA177" s="329"/>
      <c r="PB177" s="329"/>
      <c r="PC177" s="329"/>
      <c r="PD177" s="329"/>
      <c r="PE177" s="329"/>
      <c r="PF177" s="329"/>
      <c r="PG177" s="329"/>
      <c r="PH177" s="329"/>
      <c r="PI177" s="329"/>
      <c r="PJ177" s="329"/>
      <c r="PK177" s="329"/>
      <c r="PL177" s="329"/>
      <c r="PM177" s="329"/>
      <c r="PN177" s="329"/>
      <c r="PO177" s="329"/>
      <c r="PP177" s="329"/>
      <c r="PQ177" s="329"/>
      <c r="PR177" s="329"/>
      <c r="PS177" s="329"/>
      <c r="PT177" s="329"/>
      <c r="PU177" s="329"/>
      <c r="PV177" s="329"/>
      <c r="PW177" s="329"/>
      <c r="PX177" s="329"/>
      <c r="PY177" s="329"/>
      <c r="PZ177" s="329"/>
      <c r="QA177" s="329"/>
      <c r="QB177" s="329"/>
      <c r="QC177" s="329"/>
      <c r="QD177" s="329"/>
      <c r="QE177" s="343"/>
      <c r="QF177" s="332"/>
      <c r="QG177" s="332"/>
      <c r="QH177" s="332"/>
      <c r="QI177" s="332"/>
      <c r="QJ177" s="332"/>
      <c r="QK177" s="332"/>
      <c r="QL177" s="237"/>
      <c r="QQ177" s="230"/>
      <c r="QR177" s="231"/>
      <c r="QS177" s="249"/>
      <c r="QT177" s="249"/>
      <c r="QU177" s="249"/>
      <c r="QV177" s="249"/>
      <c r="QW177" s="250"/>
    </row>
    <row r="178" spans="3:465" ht="5.0999999999999996" customHeight="1" x14ac:dyDescent="0.25">
      <c r="C178" s="226"/>
      <c r="D178" s="227"/>
      <c r="E178" s="229"/>
      <c r="BE178" s="317" t="s">
        <v>442</v>
      </c>
      <c r="BF178" s="318"/>
      <c r="BG178" s="318"/>
      <c r="BH178" s="318"/>
      <c r="BI178" s="318"/>
      <c r="BJ178" s="318"/>
      <c r="BK178" s="318"/>
      <c r="BL178" s="318"/>
      <c r="BM178" s="318"/>
      <c r="BN178" s="318"/>
      <c r="BO178" s="318"/>
      <c r="BP178" s="318"/>
      <c r="BQ178" s="318"/>
      <c r="BR178" s="318"/>
      <c r="BS178" s="318"/>
      <c r="BT178" s="318"/>
      <c r="BU178" s="318"/>
      <c r="BV178" s="318"/>
      <c r="BW178" s="318"/>
      <c r="BX178" s="318"/>
      <c r="BY178" s="318"/>
      <c r="BZ178" s="318"/>
      <c r="CA178" s="318"/>
      <c r="CB178" s="318"/>
      <c r="CC178" s="318"/>
      <c r="CD178" s="318"/>
      <c r="CE178" s="318"/>
      <c r="CF178" s="318"/>
      <c r="CG178" s="318"/>
      <c r="CH178" s="318"/>
      <c r="CI178" s="318"/>
      <c r="CJ178" s="318"/>
      <c r="CK178" s="318"/>
      <c r="CL178" s="318"/>
      <c r="CM178" s="318"/>
      <c r="CN178" s="318"/>
      <c r="CO178" s="318"/>
      <c r="CP178" s="318"/>
      <c r="CQ178" s="318"/>
      <c r="CR178" s="318"/>
      <c r="CS178" s="319"/>
      <c r="CT178" s="308">
        <v>2</v>
      </c>
      <c r="CU178" s="309"/>
      <c r="CV178" s="309"/>
      <c r="CW178" s="309"/>
      <c r="CX178" s="310"/>
      <c r="OR178" s="328"/>
      <c r="OS178" s="329"/>
      <c r="OT178" s="329"/>
      <c r="OU178" s="329"/>
      <c r="OV178" s="329"/>
      <c r="OW178" s="329"/>
      <c r="OX178" s="329"/>
      <c r="OY178" s="329"/>
      <c r="OZ178" s="329"/>
      <c r="PA178" s="329"/>
      <c r="PB178" s="329"/>
      <c r="PC178" s="329"/>
      <c r="PD178" s="329"/>
      <c r="PE178" s="329"/>
      <c r="PF178" s="329"/>
      <c r="PG178" s="329"/>
      <c r="PH178" s="329"/>
      <c r="PI178" s="329"/>
      <c r="PJ178" s="329"/>
      <c r="PK178" s="329"/>
      <c r="PL178" s="329"/>
      <c r="PM178" s="329"/>
      <c r="PN178" s="329"/>
      <c r="PO178" s="329"/>
      <c r="PP178" s="329"/>
      <c r="PQ178" s="329"/>
      <c r="PR178" s="329"/>
      <c r="PS178" s="329"/>
      <c r="PT178" s="329"/>
      <c r="PU178" s="329"/>
      <c r="PV178" s="329"/>
      <c r="PW178" s="329"/>
      <c r="PX178" s="329"/>
      <c r="PY178" s="329"/>
      <c r="PZ178" s="329"/>
      <c r="QA178" s="329"/>
      <c r="QB178" s="329"/>
      <c r="QC178" s="329"/>
      <c r="QD178" s="329"/>
      <c r="QE178" s="343"/>
      <c r="QF178" s="332"/>
      <c r="QG178" s="332"/>
      <c r="QH178" s="332"/>
      <c r="QI178" s="332"/>
      <c r="QJ178" s="332"/>
      <c r="QK178" s="332"/>
      <c r="QL178" s="237"/>
      <c r="QQ178" s="230"/>
      <c r="QR178" s="231"/>
      <c r="QS178" s="249"/>
      <c r="QT178" s="249"/>
      <c r="QU178" s="249"/>
      <c r="QV178" s="249"/>
      <c r="QW178" s="250"/>
    </row>
    <row r="179" spans="3:465" ht="5.0999999999999996" customHeight="1" x14ac:dyDescent="0.25">
      <c r="C179" s="226"/>
      <c r="D179" s="227"/>
      <c r="E179" s="229"/>
      <c r="BE179" s="320"/>
      <c r="BF179" s="321"/>
      <c r="BG179" s="321"/>
      <c r="BH179" s="321"/>
      <c r="BI179" s="321"/>
      <c r="BJ179" s="321"/>
      <c r="BK179" s="321"/>
      <c r="BL179" s="321"/>
      <c r="BM179" s="321"/>
      <c r="BN179" s="321"/>
      <c r="BO179" s="321"/>
      <c r="BP179" s="321"/>
      <c r="BQ179" s="321"/>
      <c r="BR179" s="321"/>
      <c r="BS179" s="321"/>
      <c r="BT179" s="321"/>
      <c r="BU179" s="321"/>
      <c r="BV179" s="321"/>
      <c r="BW179" s="321"/>
      <c r="BX179" s="321"/>
      <c r="BY179" s="321"/>
      <c r="BZ179" s="321"/>
      <c r="CA179" s="321"/>
      <c r="CB179" s="321"/>
      <c r="CC179" s="321"/>
      <c r="CD179" s="321"/>
      <c r="CE179" s="321"/>
      <c r="CF179" s="321"/>
      <c r="CG179" s="321"/>
      <c r="CH179" s="321"/>
      <c r="CI179" s="321"/>
      <c r="CJ179" s="321"/>
      <c r="CK179" s="321"/>
      <c r="CL179" s="321"/>
      <c r="CM179" s="321"/>
      <c r="CN179" s="321"/>
      <c r="CO179" s="321"/>
      <c r="CP179" s="321"/>
      <c r="CQ179" s="321"/>
      <c r="CR179" s="321"/>
      <c r="CS179" s="322"/>
      <c r="CT179" s="311"/>
      <c r="CU179" s="312"/>
      <c r="CV179" s="312"/>
      <c r="CW179" s="312"/>
      <c r="CX179" s="313"/>
      <c r="OR179" s="328"/>
      <c r="OS179" s="329"/>
      <c r="OT179" s="329"/>
      <c r="OU179" s="329"/>
      <c r="OV179" s="329"/>
      <c r="OW179" s="329"/>
      <c r="OX179" s="329"/>
      <c r="OY179" s="329"/>
      <c r="OZ179" s="329"/>
      <c r="PA179" s="329"/>
      <c r="PB179" s="329"/>
      <c r="PC179" s="329"/>
      <c r="PD179" s="329"/>
      <c r="PE179" s="329"/>
      <c r="PF179" s="329"/>
      <c r="PG179" s="329"/>
      <c r="PH179" s="329"/>
      <c r="PI179" s="329"/>
      <c r="PJ179" s="329"/>
      <c r="PK179" s="329"/>
      <c r="PL179" s="329"/>
      <c r="PM179" s="329"/>
      <c r="PN179" s="329"/>
      <c r="PO179" s="329"/>
      <c r="PP179" s="329"/>
      <c r="PQ179" s="329"/>
      <c r="PR179" s="329"/>
      <c r="PS179" s="329"/>
      <c r="PT179" s="329"/>
      <c r="PU179" s="329"/>
      <c r="PV179" s="329"/>
      <c r="PW179" s="329"/>
      <c r="PX179" s="329"/>
      <c r="PY179" s="329"/>
      <c r="PZ179" s="329"/>
      <c r="QA179" s="329"/>
      <c r="QB179" s="329"/>
      <c r="QC179" s="329"/>
      <c r="QD179" s="329"/>
      <c r="QE179" s="343"/>
      <c r="QF179" s="332"/>
      <c r="QG179" s="332"/>
      <c r="QH179" s="332"/>
      <c r="QI179" s="332"/>
      <c r="QJ179" s="332"/>
      <c r="QK179" s="332"/>
      <c r="QL179" s="237"/>
      <c r="QQ179" s="230"/>
      <c r="QR179" s="231"/>
      <c r="QS179" s="249"/>
      <c r="QT179" s="249"/>
      <c r="QU179" s="249"/>
      <c r="QV179" s="249"/>
      <c r="QW179" s="250"/>
    </row>
    <row r="180" spans="3:465" ht="5.0999999999999996" customHeight="1" x14ac:dyDescent="0.25">
      <c r="C180" s="226"/>
      <c r="D180" s="227"/>
      <c r="E180" s="229"/>
      <c r="F180" s="229"/>
      <c r="BE180" s="320"/>
      <c r="BF180" s="321"/>
      <c r="BG180" s="321"/>
      <c r="BH180" s="321"/>
      <c r="BI180" s="321"/>
      <c r="BJ180" s="321"/>
      <c r="BK180" s="321"/>
      <c r="BL180" s="321"/>
      <c r="BM180" s="321"/>
      <c r="BN180" s="321"/>
      <c r="BO180" s="321"/>
      <c r="BP180" s="321"/>
      <c r="BQ180" s="321"/>
      <c r="BR180" s="321"/>
      <c r="BS180" s="321"/>
      <c r="BT180" s="321"/>
      <c r="BU180" s="321"/>
      <c r="BV180" s="321"/>
      <c r="BW180" s="321"/>
      <c r="BX180" s="321"/>
      <c r="BY180" s="321"/>
      <c r="BZ180" s="321"/>
      <c r="CA180" s="321"/>
      <c r="CB180" s="321"/>
      <c r="CC180" s="321"/>
      <c r="CD180" s="321"/>
      <c r="CE180" s="321"/>
      <c r="CF180" s="321"/>
      <c r="CG180" s="321"/>
      <c r="CH180" s="321"/>
      <c r="CI180" s="321"/>
      <c r="CJ180" s="321"/>
      <c r="CK180" s="321"/>
      <c r="CL180" s="321"/>
      <c r="CM180" s="321"/>
      <c r="CN180" s="321"/>
      <c r="CO180" s="321"/>
      <c r="CP180" s="321"/>
      <c r="CQ180" s="321"/>
      <c r="CR180" s="321"/>
      <c r="CS180" s="322"/>
      <c r="CT180" s="311"/>
      <c r="CU180" s="312"/>
      <c r="CV180" s="312"/>
      <c r="CW180" s="312"/>
      <c r="CX180" s="313"/>
      <c r="OR180" s="328"/>
      <c r="OS180" s="329"/>
      <c r="OT180" s="329"/>
      <c r="OU180" s="329"/>
      <c r="OV180" s="329"/>
      <c r="OW180" s="329"/>
      <c r="OX180" s="329"/>
      <c r="OY180" s="329"/>
      <c r="OZ180" s="329"/>
      <c r="PA180" s="329"/>
      <c r="PB180" s="329"/>
      <c r="PC180" s="329"/>
      <c r="PD180" s="329"/>
      <c r="PE180" s="329"/>
      <c r="PF180" s="329"/>
      <c r="PG180" s="329"/>
      <c r="PH180" s="329"/>
      <c r="PI180" s="329"/>
      <c r="PJ180" s="329"/>
      <c r="PK180" s="329"/>
      <c r="PL180" s="329"/>
      <c r="PM180" s="329"/>
      <c r="PN180" s="329"/>
      <c r="PO180" s="329"/>
      <c r="PP180" s="329"/>
      <c r="PQ180" s="329"/>
      <c r="PR180" s="329"/>
      <c r="PS180" s="329"/>
      <c r="PT180" s="329"/>
      <c r="PU180" s="329"/>
      <c r="PV180" s="329"/>
      <c r="PW180" s="329"/>
      <c r="PX180" s="329"/>
      <c r="PY180" s="329"/>
      <c r="PZ180" s="329"/>
      <c r="QA180" s="329"/>
      <c r="QB180" s="329"/>
      <c r="QC180" s="329"/>
      <c r="QD180" s="329"/>
      <c r="QE180" s="343"/>
      <c r="QF180" s="332"/>
      <c r="QG180" s="332"/>
      <c r="QH180" s="332"/>
      <c r="QI180" s="332"/>
      <c r="QJ180" s="332"/>
      <c r="QK180" s="332"/>
      <c r="QL180" s="237"/>
      <c r="QQ180" s="230"/>
      <c r="QR180" s="231"/>
      <c r="QS180" s="249"/>
      <c r="QT180" s="249"/>
      <c r="QU180" s="249"/>
      <c r="QV180" s="249"/>
      <c r="QW180" s="250"/>
    </row>
    <row r="181" spans="3:465" ht="5.0999999999999996" customHeight="1" x14ac:dyDescent="0.25">
      <c r="C181" s="226"/>
      <c r="D181" s="227"/>
      <c r="E181" s="229"/>
      <c r="F181" s="229"/>
      <c r="BE181" s="320"/>
      <c r="BF181" s="321"/>
      <c r="BG181" s="321"/>
      <c r="BH181" s="321"/>
      <c r="BI181" s="321"/>
      <c r="BJ181" s="321"/>
      <c r="BK181" s="321"/>
      <c r="BL181" s="321"/>
      <c r="BM181" s="321"/>
      <c r="BN181" s="321"/>
      <c r="BO181" s="321"/>
      <c r="BP181" s="321"/>
      <c r="BQ181" s="321"/>
      <c r="BR181" s="321"/>
      <c r="BS181" s="321"/>
      <c r="BT181" s="321"/>
      <c r="BU181" s="321"/>
      <c r="BV181" s="321"/>
      <c r="BW181" s="321"/>
      <c r="BX181" s="321"/>
      <c r="BY181" s="321"/>
      <c r="BZ181" s="321"/>
      <c r="CA181" s="321"/>
      <c r="CB181" s="321"/>
      <c r="CC181" s="321"/>
      <c r="CD181" s="321"/>
      <c r="CE181" s="321"/>
      <c r="CF181" s="321"/>
      <c r="CG181" s="321"/>
      <c r="CH181" s="321"/>
      <c r="CI181" s="321"/>
      <c r="CJ181" s="321"/>
      <c r="CK181" s="321"/>
      <c r="CL181" s="321"/>
      <c r="CM181" s="321"/>
      <c r="CN181" s="321"/>
      <c r="CO181" s="321"/>
      <c r="CP181" s="321"/>
      <c r="CQ181" s="321"/>
      <c r="CR181" s="321"/>
      <c r="CS181" s="322"/>
      <c r="CT181" s="311"/>
      <c r="CU181" s="312"/>
      <c r="CV181" s="312"/>
      <c r="CW181" s="312"/>
      <c r="CX181" s="313"/>
      <c r="OR181" s="328"/>
      <c r="OS181" s="329"/>
      <c r="OT181" s="329"/>
      <c r="OU181" s="329"/>
      <c r="OV181" s="329"/>
      <c r="OW181" s="329"/>
      <c r="OX181" s="329"/>
      <c r="OY181" s="329"/>
      <c r="OZ181" s="329"/>
      <c r="PA181" s="329"/>
      <c r="PB181" s="329"/>
      <c r="PC181" s="329"/>
      <c r="PD181" s="329"/>
      <c r="PE181" s="329"/>
      <c r="PF181" s="329"/>
      <c r="PG181" s="329"/>
      <c r="PH181" s="329"/>
      <c r="PI181" s="329"/>
      <c r="PJ181" s="329"/>
      <c r="PK181" s="329"/>
      <c r="PL181" s="329"/>
      <c r="PM181" s="329"/>
      <c r="PN181" s="329"/>
      <c r="PO181" s="329"/>
      <c r="PP181" s="329"/>
      <c r="PQ181" s="329"/>
      <c r="PR181" s="329"/>
      <c r="PS181" s="329"/>
      <c r="PT181" s="329"/>
      <c r="PU181" s="329"/>
      <c r="PV181" s="329"/>
      <c r="PW181" s="329"/>
      <c r="PX181" s="329"/>
      <c r="PY181" s="329"/>
      <c r="PZ181" s="329"/>
      <c r="QA181" s="329"/>
      <c r="QB181" s="329"/>
      <c r="QC181" s="329"/>
      <c r="QD181" s="329"/>
      <c r="QE181" s="343"/>
      <c r="QF181" s="332"/>
      <c r="QG181" s="332"/>
      <c r="QH181" s="332"/>
      <c r="QI181" s="332"/>
      <c r="QJ181" s="332"/>
      <c r="QK181" s="332"/>
      <c r="QL181" s="237"/>
      <c r="QQ181" s="230"/>
      <c r="QR181" s="231"/>
      <c r="QS181" s="249"/>
      <c r="QT181" s="249"/>
      <c r="QU181" s="249"/>
      <c r="QV181" s="249"/>
      <c r="QW181" s="250"/>
    </row>
    <row r="182" spans="3:465" ht="5.0999999999999996" customHeight="1" x14ac:dyDescent="0.25">
      <c r="C182" s="226"/>
      <c r="D182" s="227"/>
      <c r="E182" s="229"/>
      <c r="F182" s="229"/>
      <c r="BE182" s="320"/>
      <c r="BF182" s="321"/>
      <c r="BG182" s="321"/>
      <c r="BH182" s="321"/>
      <c r="BI182" s="321"/>
      <c r="BJ182" s="321"/>
      <c r="BK182" s="321"/>
      <c r="BL182" s="321"/>
      <c r="BM182" s="321"/>
      <c r="BN182" s="321"/>
      <c r="BO182" s="321"/>
      <c r="BP182" s="321"/>
      <c r="BQ182" s="321"/>
      <c r="BR182" s="321"/>
      <c r="BS182" s="321"/>
      <c r="BT182" s="321"/>
      <c r="BU182" s="321"/>
      <c r="BV182" s="321"/>
      <c r="BW182" s="321"/>
      <c r="BX182" s="321"/>
      <c r="BY182" s="321"/>
      <c r="BZ182" s="321"/>
      <c r="CA182" s="321"/>
      <c r="CB182" s="321"/>
      <c r="CC182" s="321"/>
      <c r="CD182" s="321"/>
      <c r="CE182" s="321"/>
      <c r="CF182" s="321"/>
      <c r="CG182" s="321"/>
      <c r="CH182" s="321"/>
      <c r="CI182" s="321"/>
      <c r="CJ182" s="321"/>
      <c r="CK182" s="321"/>
      <c r="CL182" s="321"/>
      <c r="CM182" s="321"/>
      <c r="CN182" s="321"/>
      <c r="CO182" s="321"/>
      <c r="CP182" s="321"/>
      <c r="CQ182" s="321"/>
      <c r="CR182" s="321"/>
      <c r="CS182" s="322"/>
      <c r="CT182" s="311"/>
      <c r="CU182" s="312"/>
      <c r="CV182" s="312"/>
      <c r="CW182" s="312"/>
      <c r="CX182" s="313"/>
      <c r="OR182" s="328"/>
      <c r="OS182" s="329"/>
      <c r="OT182" s="329"/>
      <c r="OU182" s="329"/>
      <c r="OV182" s="329"/>
      <c r="OW182" s="329"/>
      <c r="OX182" s="329"/>
      <c r="OY182" s="329"/>
      <c r="OZ182" s="329"/>
      <c r="PA182" s="329"/>
      <c r="PB182" s="329"/>
      <c r="PC182" s="329"/>
      <c r="PD182" s="329"/>
      <c r="PE182" s="329"/>
      <c r="PF182" s="329"/>
      <c r="PG182" s="329"/>
      <c r="PH182" s="329"/>
      <c r="PI182" s="329"/>
      <c r="PJ182" s="329"/>
      <c r="PK182" s="329"/>
      <c r="PL182" s="329"/>
      <c r="PM182" s="329"/>
      <c r="PN182" s="329"/>
      <c r="PO182" s="329"/>
      <c r="PP182" s="329"/>
      <c r="PQ182" s="329"/>
      <c r="PR182" s="329"/>
      <c r="PS182" s="329"/>
      <c r="PT182" s="329"/>
      <c r="PU182" s="329"/>
      <c r="PV182" s="329"/>
      <c r="PW182" s="329"/>
      <c r="PX182" s="329"/>
      <c r="PY182" s="329"/>
      <c r="PZ182" s="329"/>
      <c r="QA182" s="329"/>
      <c r="QB182" s="329"/>
      <c r="QC182" s="329"/>
      <c r="QD182" s="329"/>
      <c r="QE182" s="343"/>
      <c r="QF182" s="332"/>
      <c r="QG182" s="332"/>
      <c r="QH182" s="332"/>
      <c r="QI182" s="332"/>
      <c r="QJ182" s="332"/>
      <c r="QK182" s="332"/>
      <c r="QL182" s="237"/>
      <c r="QQ182" s="230"/>
      <c r="QR182" s="231"/>
      <c r="QS182" s="249"/>
      <c r="QT182" s="249"/>
      <c r="QU182" s="249"/>
      <c r="QV182" s="249"/>
      <c r="QW182" s="250"/>
    </row>
    <row r="183" spans="3:465" ht="5.0999999999999996" customHeight="1" thickBot="1" x14ac:dyDescent="0.3">
      <c r="C183" s="226"/>
      <c r="D183" s="227"/>
      <c r="E183" s="229"/>
      <c r="F183" s="229"/>
      <c r="BE183" s="320"/>
      <c r="BF183" s="321"/>
      <c r="BG183" s="321"/>
      <c r="BH183" s="321"/>
      <c r="BI183" s="321"/>
      <c r="BJ183" s="321"/>
      <c r="BK183" s="321"/>
      <c r="BL183" s="321"/>
      <c r="BM183" s="321"/>
      <c r="BN183" s="321"/>
      <c r="BO183" s="321"/>
      <c r="BP183" s="321"/>
      <c r="BQ183" s="321"/>
      <c r="BR183" s="321"/>
      <c r="BS183" s="321"/>
      <c r="BT183" s="321"/>
      <c r="BU183" s="321"/>
      <c r="BV183" s="321"/>
      <c r="BW183" s="321"/>
      <c r="BX183" s="321"/>
      <c r="BY183" s="321"/>
      <c r="BZ183" s="321"/>
      <c r="CA183" s="321"/>
      <c r="CB183" s="321"/>
      <c r="CC183" s="321"/>
      <c r="CD183" s="321"/>
      <c r="CE183" s="321"/>
      <c r="CF183" s="321"/>
      <c r="CG183" s="321"/>
      <c r="CH183" s="321"/>
      <c r="CI183" s="321"/>
      <c r="CJ183" s="321"/>
      <c r="CK183" s="321"/>
      <c r="CL183" s="321"/>
      <c r="CM183" s="321"/>
      <c r="CN183" s="321"/>
      <c r="CO183" s="321"/>
      <c r="CP183" s="321"/>
      <c r="CQ183" s="321"/>
      <c r="CR183" s="321"/>
      <c r="CS183" s="322"/>
      <c r="CT183" s="311"/>
      <c r="CU183" s="312"/>
      <c r="CV183" s="312"/>
      <c r="CW183" s="312"/>
      <c r="CX183" s="313"/>
      <c r="OR183" s="330"/>
      <c r="OS183" s="331"/>
      <c r="OT183" s="331"/>
      <c r="OU183" s="331"/>
      <c r="OV183" s="331"/>
      <c r="OW183" s="331"/>
      <c r="OX183" s="331"/>
      <c r="OY183" s="331"/>
      <c r="OZ183" s="331"/>
      <c r="PA183" s="331"/>
      <c r="PB183" s="331"/>
      <c r="PC183" s="331"/>
      <c r="PD183" s="331"/>
      <c r="PE183" s="331"/>
      <c r="PF183" s="331"/>
      <c r="PG183" s="331"/>
      <c r="PH183" s="331"/>
      <c r="PI183" s="331"/>
      <c r="PJ183" s="331"/>
      <c r="PK183" s="331"/>
      <c r="PL183" s="331"/>
      <c r="PM183" s="331"/>
      <c r="PN183" s="331"/>
      <c r="PO183" s="331"/>
      <c r="PP183" s="331"/>
      <c r="PQ183" s="331"/>
      <c r="PR183" s="331"/>
      <c r="PS183" s="331"/>
      <c r="PT183" s="331"/>
      <c r="PU183" s="331"/>
      <c r="PV183" s="331"/>
      <c r="PW183" s="331"/>
      <c r="PX183" s="331"/>
      <c r="PY183" s="331"/>
      <c r="PZ183" s="331"/>
      <c r="QA183" s="331"/>
      <c r="QB183" s="331"/>
      <c r="QC183" s="331"/>
      <c r="QD183" s="331"/>
      <c r="QE183" s="344"/>
      <c r="QF183" s="332"/>
      <c r="QG183" s="332"/>
      <c r="QH183" s="332"/>
      <c r="QI183" s="332"/>
      <c r="QJ183" s="332"/>
      <c r="QK183" s="332"/>
      <c r="QL183" s="266"/>
      <c r="QQ183" s="230"/>
      <c r="QR183" s="231"/>
      <c r="QS183" s="249"/>
      <c r="QT183" s="249"/>
      <c r="QU183" s="249"/>
      <c r="QV183" s="249"/>
      <c r="QW183" s="250"/>
    </row>
    <row r="184" spans="3:465" ht="5.0999999999999996" customHeight="1" x14ac:dyDescent="0.25">
      <c r="C184" s="226"/>
      <c r="D184" s="227"/>
      <c r="E184" s="229"/>
      <c r="F184" s="229"/>
      <c r="BE184" s="320"/>
      <c r="BF184" s="321"/>
      <c r="BG184" s="321"/>
      <c r="BH184" s="321"/>
      <c r="BI184" s="321"/>
      <c r="BJ184" s="321"/>
      <c r="BK184" s="321"/>
      <c r="BL184" s="321"/>
      <c r="BM184" s="321"/>
      <c r="BN184" s="321"/>
      <c r="BO184" s="321"/>
      <c r="BP184" s="321"/>
      <c r="BQ184" s="321"/>
      <c r="BR184" s="321"/>
      <c r="BS184" s="321"/>
      <c r="BT184" s="321"/>
      <c r="BU184" s="321"/>
      <c r="BV184" s="321"/>
      <c r="BW184" s="321"/>
      <c r="BX184" s="321"/>
      <c r="BY184" s="321"/>
      <c r="BZ184" s="321"/>
      <c r="CA184" s="321"/>
      <c r="CB184" s="321"/>
      <c r="CC184" s="321"/>
      <c r="CD184" s="321"/>
      <c r="CE184" s="321"/>
      <c r="CF184" s="321"/>
      <c r="CG184" s="321"/>
      <c r="CH184" s="321"/>
      <c r="CI184" s="321"/>
      <c r="CJ184" s="321"/>
      <c r="CK184" s="321"/>
      <c r="CL184" s="321"/>
      <c r="CM184" s="321"/>
      <c r="CN184" s="321"/>
      <c r="CO184" s="321"/>
      <c r="CP184" s="321"/>
      <c r="CQ184" s="321"/>
      <c r="CR184" s="321"/>
      <c r="CS184" s="322"/>
      <c r="CT184" s="311"/>
      <c r="CU184" s="312"/>
      <c r="CV184" s="312"/>
      <c r="CW184" s="312"/>
      <c r="CX184" s="313"/>
      <c r="OR184" s="317" t="s">
        <v>443</v>
      </c>
      <c r="OS184" s="318"/>
      <c r="OT184" s="318"/>
      <c r="OU184" s="318"/>
      <c r="OV184" s="318"/>
      <c r="OW184" s="318"/>
      <c r="OX184" s="318"/>
      <c r="OY184" s="318"/>
      <c r="OZ184" s="318"/>
      <c r="PA184" s="318"/>
      <c r="PB184" s="318"/>
      <c r="PC184" s="318"/>
      <c r="PD184" s="318"/>
      <c r="PE184" s="318"/>
      <c r="PF184" s="318"/>
      <c r="PG184" s="318"/>
      <c r="PH184" s="318"/>
      <c r="PI184" s="318"/>
      <c r="PJ184" s="318"/>
      <c r="PK184" s="318"/>
      <c r="PL184" s="318"/>
      <c r="PM184" s="318"/>
      <c r="PN184" s="318"/>
      <c r="PO184" s="318"/>
      <c r="PP184" s="318"/>
      <c r="PQ184" s="318"/>
      <c r="PR184" s="318"/>
      <c r="PS184" s="318"/>
      <c r="PT184" s="318"/>
      <c r="PU184" s="318"/>
      <c r="PV184" s="318"/>
      <c r="PW184" s="318"/>
      <c r="PX184" s="318"/>
      <c r="PY184" s="318"/>
      <c r="PZ184" s="318"/>
      <c r="QA184" s="318"/>
      <c r="QB184" s="318"/>
      <c r="QC184" s="318"/>
      <c r="QD184" s="318"/>
      <c r="QE184" s="319"/>
      <c r="QF184" s="345">
        <v>104</v>
      </c>
      <c r="QG184" s="346"/>
      <c r="QH184" s="346"/>
      <c r="QI184" s="346"/>
      <c r="QJ184" s="346"/>
      <c r="QK184" s="347"/>
      <c r="QQ184" s="230"/>
      <c r="QR184" s="231"/>
      <c r="QS184" s="249"/>
      <c r="QT184" s="249"/>
      <c r="QU184" s="249"/>
      <c r="QV184" s="249"/>
      <c r="QW184" s="250"/>
    </row>
    <row r="185" spans="3:465" ht="5.0999999999999996" customHeight="1" x14ac:dyDescent="0.25">
      <c r="C185" s="226"/>
      <c r="D185" s="227"/>
      <c r="E185" s="229"/>
      <c r="F185" s="229"/>
      <c r="BE185" s="320"/>
      <c r="BF185" s="321"/>
      <c r="BG185" s="321"/>
      <c r="BH185" s="321"/>
      <c r="BI185" s="321"/>
      <c r="BJ185" s="321"/>
      <c r="BK185" s="321"/>
      <c r="BL185" s="321"/>
      <c r="BM185" s="321"/>
      <c r="BN185" s="321"/>
      <c r="BO185" s="321"/>
      <c r="BP185" s="321"/>
      <c r="BQ185" s="321"/>
      <c r="BR185" s="321"/>
      <c r="BS185" s="321"/>
      <c r="BT185" s="321"/>
      <c r="BU185" s="321"/>
      <c r="BV185" s="321"/>
      <c r="BW185" s="321"/>
      <c r="BX185" s="321"/>
      <c r="BY185" s="321"/>
      <c r="BZ185" s="321"/>
      <c r="CA185" s="321"/>
      <c r="CB185" s="321"/>
      <c r="CC185" s="321"/>
      <c r="CD185" s="321"/>
      <c r="CE185" s="321"/>
      <c r="CF185" s="321"/>
      <c r="CG185" s="321"/>
      <c r="CH185" s="321"/>
      <c r="CI185" s="321"/>
      <c r="CJ185" s="321"/>
      <c r="CK185" s="321"/>
      <c r="CL185" s="321"/>
      <c r="CM185" s="321"/>
      <c r="CN185" s="321"/>
      <c r="CO185" s="321"/>
      <c r="CP185" s="321"/>
      <c r="CQ185" s="321"/>
      <c r="CR185" s="321"/>
      <c r="CS185" s="322"/>
      <c r="CT185" s="311"/>
      <c r="CU185" s="312"/>
      <c r="CV185" s="312"/>
      <c r="CW185" s="312"/>
      <c r="CX185" s="313"/>
      <c r="OR185" s="320"/>
      <c r="OS185" s="321"/>
      <c r="OT185" s="321"/>
      <c r="OU185" s="321"/>
      <c r="OV185" s="321"/>
      <c r="OW185" s="321"/>
      <c r="OX185" s="321"/>
      <c r="OY185" s="321"/>
      <c r="OZ185" s="321"/>
      <c r="PA185" s="321"/>
      <c r="PB185" s="321"/>
      <c r="PC185" s="321"/>
      <c r="PD185" s="321"/>
      <c r="PE185" s="321"/>
      <c r="PF185" s="321"/>
      <c r="PG185" s="321"/>
      <c r="PH185" s="321"/>
      <c r="PI185" s="321"/>
      <c r="PJ185" s="321"/>
      <c r="PK185" s="321"/>
      <c r="PL185" s="321"/>
      <c r="PM185" s="321"/>
      <c r="PN185" s="321"/>
      <c r="PO185" s="321"/>
      <c r="PP185" s="321"/>
      <c r="PQ185" s="321"/>
      <c r="PR185" s="321"/>
      <c r="PS185" s="321"/>
      <c r="PT185" s="321"/>
      <c r="PU185" s="321"/>
      <c r="PV185" s="321"/>
      <c r="PW185" s="321"/>
      <c r="PX185" s="321"/>
      <c r="PY185" s="321"/>
      <c r="PZ185" s="321"/>
      <c r="QA185" s="321"/>
      <c r="QB185" s="321"/>
      <c r="QC185" s="321"/>
      <c r="QD185" s="321"/>
      <c r="QE185" s="322"/>
      <c r="QF185" s="348"/>
      <c r="QG185" s="286"/>
      <c r="QH185" s="286"/>
      <c r="QI185" s="286"/>
      <c r="QJ185" s="286"/>
      <c r="QK185" s="349"/>
      <c r="QQ185" s="230"/>
      <c r="QR185" s="231"/>
      <c r="QS185" s="249"/>
      <c r="QT185" s="249"/>
      <c r="QU185" s="249"/>
      <c r="QV185" s="249"/>
      <c r="QW185" s="250"/>
    </row>
    <row r="186" spans="3:465" ht="5.0999999999999996" customHeight="1" x14ac:dyDescent="0.25">
      <c r="C186" s="226"/>
      <c r="D186" s="227"/>
      <c r="E186" s="229"/>
      <c r="F186" s="229"/>
      <c r="BE186" s="320"/>
      <c r="BF186" s="321"/>
      <c r="BG186" s="321"/>
      <c r="BH186" s="321"/>
      <c r="BI186" s="321"/>
      <c r="BJ186" s="321"/>
      <c r="BK186" s="321"/>
      <c r="BL186" s="321"/>
      <c r="BM186" s="321"/>
      <c r="BN186" s="321"/>
      <c r="BO186" s="321"/>
      <c r="BP186" s="321"/>
      <c r="BQ186" s="321"/>
      <c r="BR186" s="321"/>
      <c r="BS186" s="321"/>
      <c r="BT186" s="321"/>
      <c r="BU186" s="321"/>
      <c r="BV186" s="321"/>
      <c r="BW186" s="321"/>
      <c r="BX186" s="321"/>
      <c r="BY186" s="321"/>
      <c r="BZ186" s="321"/>
      <c r="CA186" s="321"/>
      <c r="CB186" s="321"/>
      <c r="CC186" s="321"/>
      <c r="CD186" s="321"/>
      <c r="CE186" s="321"/>
      <c r="CF186" s="321"/>
      <c r="CG186" s="321"/>
      <c r="CH186" s="321"/>
      <c r="CI186" s="321"/>
      <c r="CJ186" s="321"/>
      <c r="CK186" s="321"/>
      <c r="CL186" s="321"/>
      <c r="CM186" s="321"/>
      <c r="CN186" s="321"/>
      <c r="CO186" s="321"/>
      <c r="CP186" s="321"/>
      <c r="CQ186" s="321"/>
      <c r="CR186" s="321"/>
      <c r="CS186" s="322"/>
      <c r="CT186" s="311"/>
      <c r="CU186" s="312"/>
      <c r="CV186" s="312"/>
      <c r="CW186" s="312"/>
      <c r="CX186" s="313"/>
      <c r="OR186" s="320"/>
      <c r="OS186" s="321"/>
      <c r="OT186" s="321"/>
      <c r="OU186" s="321"/>
      <c r="OV186" s="321"/>
      <c r="OW186" s="321"/>
      <c r="OX186" s="321"/>
      <c r="OY186" s="321"/>
      <c r="OZ186" s="321"/>
      <c r="PA186" s="321"/>
      <c r="PB186" s="321"/>
      <c r="PC186" s="321"/>
      <c r="PD186" s="321"/>
      <c r="PE186" s="321"/>
      <c r="PF186" s="321"/>
      <c r="PG186" s="321"/>
      <c r="PH186" s="321"/>
      <c r="PI186" s="321"/>
      <c r="PJ186" s="321"/>
      <c r="PK186" s="321"/>
      <c r="PL186" s="321"/>
      <c r="PM186" s="321"/>
      <c r="PN186" s="321"/>
      <c r="PO186" s="321"/>
      <c r="PP186" s="321"/>
      <c r="PQ186" s="321"/>
      <c r="PR186" s="321"/>
      <c r="PS186" s="321"/>
      <c r="PT186" s="321"/>
      <c r="PU186" s="321"/>
      <c r="PV186" s="321"/>
      <c r="PW186" s="321"/>
      <c r="PX186" s="321"/>
      <c r="PY186" s="321"/>
      <c r="PZ186" s="321"/>
      <c r="QA186" s="321"/>
      <c r="QB186" s="321"/>
      <c r="QC186" s="321"/>
      <c r="QD186" s="321"/>
      <c r="QE186" s="322"/>
      <c r="QF186" s="348"/>
      <c r="QG186" s="286"/>
      <c r="QH186" s="286"/>
      <c r="QI186" s="286"/>
      <c r="QJ186" s="286"/>
      <c r="QK186" s="349"/>
      <c r="QQ186" s="230"/>
      <c r="QR186" s="231"/>
      <c r="QS186" s="249"/>
      <c r="QT186" s="249"/>
      <c r="QU186" s="249"/>
      <c r="QV186" s="249"/>
      <c r="QW186" s="250"/>
    </row>
    <row r="187" spans="3:465" ht="5.0999999999999996" customHeight="1" x14ac:dyDescent="0.25">
      <c r="C187" s="226"/>
      <c r="D187" s="227"/>
      <c r="E187" s="229"/>
      <c r="F187" s="229"/>
      <c r="BE187" s="323"/>
      <c r="BF187" s="324"/>
      <c r="BG187" s="324"/>
      <c r="BH187" s="324"/>
      <c r="BI187" s="324"/>
      <c r="BJ187" s="324"/>
      <c r="BK187" s="324"/>
      <c r="BL187" s="324"/>
      <c r="BM187" s="324"/>
      <c r="BN187" s="324"/>
      <c r="BO187" s="324"/>
      <c r="BP187" s="324"/>
      <c r="BQ187" s="324"/>
      <c r="BR187" s="324"/>
      <c r="BS187" s="324"/>
      <c r="BT187" s="324"/>
      <c r="BU187" s="324"/>
      <c r="BV187" s="324"/>
      <c r="BW187" s="324"/>
      <c r="BX187" s="324"/>
      <c r="BY187" s="324"/>
      <c r="BZ187" s="324"/>
      <c r="CA187" s="324"/>
      <c r="CB187" s="324"/>
      <c r="CC187" s="324"/>
      <c r="CD187" s="324"/>
      <c r="CE187" s="324"/>
      <c r="CF187" s="324"/>
      <c r="CG187" s="324"/>
      <c r="CH187" s="324"/>
      <c r="CI187" s="324"/>
      <c r="CJ187" s="324"/>
      <c r="CK187" s="324"/>
      <c r="CL187" s="324"/>
      <c r="CM187" s="324"/>
      <c r="CN187" s="324"/>
      <c r="CO187" s="324"/>
      <c r="CP187" s="324"/>
      <c r="CQ187" s="324"/>
      <c r="CR187" s="324"/>
      <c r="CS187" s="325"/>
      <c r="CT187" s="314"/>
      <c r="CU187" s="315"/>
      <c r="CV187" s="315"/>
      <c r="CW187" s="315"/>
      <c r="CX187" s="316"/>
      <c r="OR187" s="320"/>
      <c r="OS187" s="321"/>
      <c r="OT187" s="321"/>
      <c r="OU187" s="321"/>
      <c r="OV187" s="321"/>
      <c r="OW187" s="321"/>
      <c r="OX187" s="321"/>
      <c r="OY187" s="321"/>
      <c r="OZ187" s="321"/>
      <c r="PA187" s="321"/>
      <c r="PB187" s="321"/>
      <c r="PC187" s="321"/>
      <c r="PD187" s="321"/>
      <c r="PE187" s="321"/>
      <c r="PF187" s="321"/>
      <c r="PG187" s="321"/>
      <c r="PH187" s="321"/>
      <c r="PI187" s="321"/>
      <c r="PJ187" s="321"/>
      <c r="PK187" s="321"/>
      <c r="PL187" s="321"/>
      <c r="PM187" s="321"/>
      <c r="PN187" s="321"/>
      <c r="PO187" s="321"/>
      <c r="PP187" s="321"/>
      <c r="PQ187" s="321"/>
      <c r="PR187" s="321"/>
      <c r="PS187" s="321"/>
      <c r="PT187" s="321"/>
      <c r="PU187" s="321"/>
      <c r="PV187" s="321"/>
      <c r="PW187" s="321"/>
      <c r="PX187" s="321"/>
      <c r="PY187" s="321"/>
      <c r="PZ187" s="321"/>
      <c r="QA187" s="321"/>
      <c r="QB187" s="321"/>
      <c r="QC187" s="321"/>
      <c r="QD187" s="321"/>
      <c r="QE187" s="322"/>
      <c r="QF187" s="348"/>
      <c r="QG187" s="286"/>
      <c r="QH187" s="286"/>
      <c r="QI187" s="286"/>
      <c r="QJ187" s="286"/>
      <c r="QK187" s="349"/>
      <c r="QQ187" s="230"/>
      <c r="QR187" s="231"/>
      <c r="QS187" s="249"/>
      <c r="QT187" s="249"/>
      <c r="QU187" s="249"/>
      <c r="QV187" s="249"/>
      <c r="QW187" s="250"/>
    </row>
    <row r="188" spans="3:465" ht="5.0999999999999996" customHeight="1" x14ac:dyDescent="0.25">
      <c r="C188" s="226"/>
      <c r="D188" s="227"/>
      <c r="E188" s="229"/>
      <c r="F188" s="229"/>
      <c r="BE188" s="317" t="s">
        <v>444</v>
      </c>
      <c r="BF188" s="318"/>
      <c r="BG188" s="318"/>
      <c r="BH188" s="318"/>
      <c r="BI188" s="318"/>
      <c r="BJ188" s="318"/>
      <c r="BK188" s="318"/>
      <c r="BL188" s="318"/>
      <c r="BM188" s="318"/>
      <c r="BN188" s="318"/>
      <c r="BO188" s="318"/>
      <c r="BP188" s="318"/>
      <c r="BQ188" s="318"/>
      <c r="BR188" s="318"/>
      <c r="BS188" s="318"/>
      <c r="BT188" s="318"/>
      <c r="BU188" s="318"/>
      <c r="BV188" s="318"/>
      <c r="BW188" s="318"/>
      <c r="BX188" s="318"/>
      <c r="BY188" s="318"/>
      <c r="BZ188" s="318"/>
      <c r="CA188" s="318"/>
      <c r="CB188" s="318"/>
      <c r="CC188" s="318"/>
      <c r="CD188" s="318"/>
      <c r="CE188" s="318"/>
      <c r="CF188" s="318"/>
      <c r="CG188" s="318"/>
      <c r="CH188" s="318"/>
      <c r="CI188" s="318"/>
      <c r="CJ188" s="318"/>
      <c r="CK188" s="318"/>
      <c r="CL188" s="318"/>
      <c r="CM188" s="318"/>
      <c r="CN188" s="318"/>
      <c r="CO188" s="318"/>
      <c r="CP188" s="318"/>
      <c r="CQ188" s="318"/>
      <c r="CR188" s="318"/>
      <c r="CS188" s="319"/>
      <c r="CT188" s="308">
        <v>3</v>
      </c>
      <c r="CU188" s="309"/>
      <c r="CV188" s="309"/>
      <c r="CW188" s="309"/>
      <c r="CX188" s="310"/>
      <c r="OR188" s="320"/>
      <c r="OS188" s="321"/>
      <c r="OT188" s="321"/>
      <c r="OU188" s="321"/>
      <c r="OV188" s="321"/>
      <c r="OW188" s="321"/>
      <c r="OX188" s="321"/>
      <c r="OY188" s="321"/>
      <c r="OZ188" s="321"/>
      <c r="PA188" s="321"/>
      <c r="PB188" s="321"/>
      <c r="PC188" s="321"/>
      <c r="PD188" s="321"/>
      <c r="PE188" s="321"/>
      <c r="PF188" s="321"/>
      <c r="PG188" s="321"/>
      <c r="PH188" s="321"/>
      <c r="PI188" s="321"/>
      <c r="PJ188" s="321"/>
      <c r="PK188" s="321"/>
      <c r="PL188" s="321"/>
      <c r="PM188" s="321"/>
      <c r="PN188" s="321"/>
      <c r="PO188" s="321"/>
      <c r="PP188" s="321"/>
      <c r="PQ188" s="321"/>
      <c r="PR188" s="321"/>
      <c r="PS188" s="321"/>
      <c r="PT188" s="321"/>
      <c r="PU188" s="321"/>
      <c r="PV188" s="321"/>
      <c r="PW188" s="321"/>
      <c r="PX188" s="321"/>
      <c r="PY188" s="321"/>
      <c r="PZ188" s="321"/>
      <c r="QA188" s="321"/>
      <c r="QB188" s="321"/>
      <c r="QC188" s="321"/>
      <c r="QD188" s="321"/>
      <c r="QE188" s="322"/>
      <c r="QF188" s="348"/>
      <c r="QG188" s="286"/>
      <c r="QH188" s="286"/>
      <c r="QI188" s="286"/>
      <c r="QJ188" s="286"/>
      <c r="QK188" s="349"/>
      <c r="QQ188" s="230"/>
      <c r="QR188" s="231"/>
      <c r="QS188" s="249"/>
      <c r="QT188" s="249"/>
      <c r="QU188" s="249"/>
      <c r="QV188" s="249"/>
      <c r="QW188" s="250"/>
    </row>
    <row r="189" spans="3:465" ht="5.0999999999999996" customHeight="1" x14ac:dyDescent="0.25">
      <c r="C189" s="226"/>
      <c r="D189" s="227"/>
      <c r="E189" s="229"/>
      <c r="F189" s="229"/>
      <c r="BE189" s="320"/>
      <c r="BF189" s="321"/>
      <c r="BG189" s="321"/>
      <c r="BH189" s="321"/>
      <c r="BI189" s="321"/>
      <c r="BJ189" s="321"/>
      <c r="BK189" s="321"/>
      <c r="BL189" s="321"/>
      <c r="BM189" s="321"/>
      <c r="BN189" s="321"/>
      <c r="BO189" s="321"/>
      <c r="BP189" s="321"/>
      <c r="BQ189" s="321"/>
      <c r="BR189" s="321"/>
      <c r="BS189" s="321"/>
      <c r="BT189" s="321"/>
      <c r="BU189" s="321"/>
      <c r="BV189" s="321"/>
      <c r="BW189" s="321"/>
      <c r="BX189" s="321"/>
      <c r="BY189" s="321"/>
      <c r="BZ189" s="321"/>
      <c r="CA189" s="321"/>
      <c r="CB189" s="321"/>
      <c r="CC189" s="321"/>
      <c r="CD189" s="321"/>
      <c r="CE189" s="321"/>
      <c r="CF189" s="321"/>
      <c r="CG189" s="321"/>
      <c r="CH189" s="321"/>
      <c r="CI189" s="321"/>
      <c r="CJ189" s="321"/>
      <c r="CK189" s="321"/>
      <c r="CL189" s="321"/>
      <c r="CM189" s="321"/>
      <c r="CN189" s="321"/>
      <c r="CO189" s="321"/>
      <c r="CP189" s="321"/>
      <c r="CQ189" s="321"/>
      <c r="CR189" s="321"/>
      <c r="CS189" s="322"/>
      <c r="CT189" s="311"/>
      <c r="CU189" s="312"/>
      <c r="CV189" s="312"/>
      <c r="CW189" s="312"/>
      <c r="CX189" s="313"/>
      <c r="OR189" s="320"/>
      <c r="OS189" s="321"/>
      <c r="OT189" s="321"/>
      <c r="OU189" s="321"/>
      <c r="OV189" s="321"/>
      <c r="OW189" s="321"/>
      <c r="OX189" s="321"/>
      <c r="OY189" s="321"/>
      <c r="OZ189" s="321"/>
      <c r="PA189" s="321"/>
      <c r="PB189" s="321"/>
      <c r="PC189" s="321"/>
      <c r="PD189" s="321"/>
      <c r="PE189" s="321"/>
      <c r="PF189" s="321"/>
      <c r="PG189" s="321"/>
      <c r="PH189" s="321"/>
      <c r="PI189" s="321"/>
      <c r="PJ189" s="321"/>
      <c r="PK189" s="321"/>
      <c r="PL189" s="321"/>
      <c r="PM189" s="321"/>
      <c r="PN189" s="321"/>
      <c r="PO189" s="321"/>
      <c r="PP189" s="321"/>
      <c r="PQ189" s="321"/>
      <c r="PR189" s="321"/>
      <c r="PS189" s="321"/>
      <c r="PT189" s="321"/>
      <c r="PU189" s="321"/>
      <c r="PV189" s="321"/>
      <c r="PW189" s="321"/>
      <c r="PX189" s="321"/>
      <c r="PY189" s="321"/>
      <c r="PZ189" s="321"/>
      <c r="QA189" s="321"/>
      <c r="QB189" s="321"/>
      <c r="QC189" s="321"/>
      <c r="QD189" s="321"/>
      <c r="QE189" s="322"/>
      <c r="QF189" s="348"/>
      <c r="QG189" s="286"/>
      <c r="QH189" s="286"/>
      <c r="QI189" s="286"/>
      <c r="QJ189" s="286"/>
      <c r="QK189" s="349"/>
      <c r="QQ189" s="230"/>
      <c r="QR189" s="231"/>
    </row>
    <row r="190" spans="3:465" ht="5.0999999999999996" customHeight="1" x14ac:dyDescent="0.25">
      <c r="C190" s="226"/>
      <c r="D190" s="227"/>
      <c r="E190" s="229"/>
      <c r="F190" s="229"/>
      <c r="BE190" s="320"/>
      <c r="BF190" s="321"/>
      <c r="BG190" s="321"/>
      <c r="BH190" s="321"/>
      <c r="BI190" s="321"/>
      <c r="BJ190" s="321"/>
      <c r="BK190" s="321"/>
      <c r="BL190" s="321"/>
      <c r="BM190" s="321"/>
      <c r="BN190" s="321"/>
      <c r="BO190" s="321"/>
      <c r="BP190" s="321"/>
      <c r="BQ190" s="321"/>
      <c r="BR190" s="321"/>
      <c r="BS190" s="321"/>
      <c r="BT190" s="321"/>
      <c r="BU190" s="321"/>
      <c r="BV190" s="321"/>
      <c r="BW190" s="321"/>
      <c r="BX190" s="321"/>
      <c r="BY190" s="321"/>
      <c r="BZ190" s="321"/>
      <c r="CA190" s="321"/>
      <c r="CB190" s="321"/>
      <c r="CC190" s="321"/>
      <c r="CD190" s="321"/>
      <c r="CE190" s="321"/>
      <c r="CF190" s="321"/>
      <c r="CG190" s="321"/>
      <c r="CH190" s="321"/>
      <c r="CI190" s="321"/>
      <c r="CJ190" s="321"/>
      <c r="CK190" s="321"/>
      <c r="CL190" s="321"/>
      <c r="CM190" s="321"/>
      <c r="CN190" s="321"/>
      <c r="CO190" s="321"/>
      <c r="CP190" s="321"/>
      <c r="CQ190" s="321"/>
      <c r="CR190" s="321"/>
      <c r="CS190" s="322"/>
      <c r="CT190" s="311"/>
      <c r="CU190" s="312"/>
      <c r="CV190" s="312"/>
      <c r="CW190" s="312"/>
      <c r="CX190" s="313"/>
      <c r="OR190" s="320"/>
      <c r="OS190" s="321"/>
      <c r="OT190" s="321"/>
      <c r="OU190" s="321"/>
      <c r="OV190" s="321"/>
      <c r="OW190" s="321"/>
      <c r="OX190" s="321"/>
      <c r="OY190" s="321"/>
      <c r="OZ190" s="321"/>
      <c r="PA190" s="321"/>
      <c r="PB190" s="321"/>
      <c r="PC190" s="321"/>
      <c r="PD190" s="321"/>
      <c r="PE190" s="321"/>
      <c r="PF190" s="321"/>
      <c r="PG190" s="321"/>
      <c r="PH190" s="321"/>
      <c r="PI190" s="321"/>
      <c r="PJ190" s="321"/>
      <c r="PK190" s="321"/>
      <c r="PL190" s="321"/>
      <c r="PM190" s="321"/>
      <c r="PN190" s="321"/>
      <c r="PO190" s="321"/>
      <c r="PP190" s="321"/>
      <c r="PQ190" s="321"/>
      <c r="PR190" s="321"/>
      <c r="PS190" s="321"/>
      <c r="PT190" s="321"/>
      <c r="PU190" s="321"/>
      <c r="PV190" s="321"/>
      <c r="PW190" s="321"/>
      <c r="PX190" s="321"/>
      <c r="PY190" s="321"/>
      <c r="PZ190" s="321"/>
      <c r="QA190" s="321"/>
      <c r="QB190" s="321"/>
      <c r="QC190" s="321"/>
      <c r="QD190" s="321"/>
      <c r="QE190" s="322"/>
      <c r="QF190" s="348"/>
      <c r="QG190" s="286"/>
      <c r="QH190" s="286"/>
      <c r="QI190" s="286"/>
      <c r="QJ190" s="286"/>
      <c r="QK190" s="349"/>
      <c r="QQ190" s="230"/>
      <c r="QR190" s="231"/>
    </row>
    <row r="191" spans="3:465" ht="5.0999999999999996" customHeight="1" x14ac:dyDescent="0.25">
      <c r="C191" s="226"/>
      <c r="D191" s="227"/>
      <c r="E191" s="229"/>
      <c r="F191" s="229"/>
      <c r="BE191" s="320"/>
      <c r="BF191" s="321"/>
      <c r="BG191" s="321"/>
      <c r="BH191" s="321"/>
      <c r="BI191" s="321"/>
      <c r="BJ191" s="321"/>
      <c r="BK191" s="321"/>
      <c r="BL191" s="321"/>
      <c r="BM191" s="321"/>
      <c r="BN191" s="321"/>
      <c r="BO191" s="321"/>
      <c r="BP191" s="321"/>
      <c r="BQ191" s="321"/>
      <c r="BR191" s="321"/>
      <c r="BS191" s="321"/>
      <c r="BT191" s="321"/>
      <c r="BU191" s="321"/>
      <c r="BV191" s="321"/>
      <c r="BW191" s="321"/>
      <c r="BX191" s="321"/>
      <c r="BY191" s="321"/>
      <c r="BZ191" s="321"/>
      <c r="CA191" s="321"/>
      <c r="CB191" s="321"/>
      <c r="CC191" s="321"/>
      <c r="CD191" s="321"/>
      <c r="CE191" s="321"/>
      <c r="CF191" s="321"/>
      <c r="CG191" s="321"/>
      <c r="CH191" s="321"/>
      <c r="CI191" s="321"/>
      <c r="CJ191" s="321"/>
      <c r="CK191" s="321"/>
      <c r="CL191" s="321"/>
      <c r="CM191" s="321"/>
      <c r="CN191" s="321"/>
      <c r="CO191" s="321"/>
      <c r="CP191" s="321"/>
      <c r="CQ191" s="321"/>
      <c r="CR191" s="321"/>
      <c r="CS191" s="322"/>
      <c r="CT191" s="311"/>
      <c r="CU191" s="312"/>
      <c r="CV191" s="312"/>
      <c r="CW191" s="312"/>
      <c r="CX191" s="313"/>
      <c r="OR191" s="320"/>
      <c r="OS191" s="321"/>
      <c r="OT191" s="321"/>
      <c r="OU191" s="321"/>
      <c r="OV191" s="321"/>
      <c r="OW191" s="321"/>
      <c r="OX191" s="321"/>
      <c r="OY191" s="321"/>
      <c r="OZ191" s="321"/>
      <c r="PA191" s="321"/>
      <c r="PB191" s="321"/>
      <c r="PC191" s="321"/>
      <c r="PD191" s="321"/>
      <c r="PE191" s="321"/>
      <c r="PF191" s="321"/>
      <c r="PG191" s="321"/>
      <c r="PH191" s="321"/>
      <c r="PI191" s="321"/>
      <c r="PJ191" s="321"/>
      <c r="PK191" s="321"/>
      <c r="PL191" s="321"/>
      <c r="PM191" s="321"/>
      <c r="PN191" s="321"/>
      <c r="PO191" s="321"/>
      <c r="PP191" s="321"/>
      <c r="PQ191" s="321"/>
      <c r="PR191" s="321"/>
      <c r="PS191" s="321"/>
      <c r="PT191" s="321"/>
      <c r="PU191" s="321"/>
      <c r="PV191" s="321"/>
      <c r="PW191" s="321"/>
      <c r="PX191" s="321"/>
      <c r="PY191" s="321"/>
      <c r="PZ191" s="321"/>
      <c r="QA191" s="321"/>
      <c r="QB191" s="321"/>
      <c r="QC191" s="321"/>
      <c r="QD191" s="321"/>
      <c r="QE191" s="322"/>
      <c r="QF191" s="348"/>
      <c r="QG191" s="286"/>
      <c r="QH191" s="286"/>
      <c r="QI191" s="286"/>
      <c r="QJ191" s="286"/>
      <c r="QK191" s="349"/>
      <c r="QQ191" s="230"/>
      <c r="QR191" s="231"/>
    </row>
    <row r="192" spans="3:465" ht="5.0999999999999996" customHeight="1" x14ac:dyDescent="0.25">
      <c r="C192" s="226"/>
      <c r="D192" s="227"/>
      <c r="E192" s="229"/>
      <c r="F192" s="229"/>
      <c r="BE192" s="320"/>
      <c r="BF192" s="321"/>
      <c r="BG192" s="321"/>
      <c r="BH192" s="321"/>
      <c r="BI192" s="321"/>
      <c r="BJ192" s="321"/>
      <c r="BK192" s="321"/>
      <c r="BL192" s="321"/>
      <c r="BM192" s="321"/>
      <c r="BN192" s="321"/>
      <c r="BO192" s="321"/>
      <c r="BP192" s="321"/>
      <c r="BQ192" s="321"/>
      <c r="BR192" s="321"/>
      <c r="BS192" s="321"/>
      <c r="BT192" s="321"/>
      <c r="BU192" s="321"/>
      <c r="BV192" s="321"/>
      <c r="BW192" s="321"/>
      <c r="BX192" s="321"/>
      <c r="BY192" s="321"/>
      <c r="BZ192" s="321"/>
      <c r="CA192" s="321"/>
      <c r="CB192" s="321"/>
      <c r="CC192" s="321"/>
      <c r="CD192" s="321"/>
      <c r="CE192" s="321"/>
      <c r="CF192" s="321"/>
      <c r="CG192" s="321"/>
      <c r="CH192" s="321"/>
      <c r="CI192" s="321"/>
      <c r="CJ192" s="321"/>
      <c r="CK192" s="321"/>
      <c r="CL192" s="321"/>
      <c r="CM192" s="321"/>
      <c r="CN192" s="321"/>
      <c r="CO192" s="321"/>
      <c r="CP192" s="321"/>
      <c r="CQ192" s="321"/>
      <c r="CR192" s="321"/>
      <c r="CS192" s="322"/>
      <c r="CT192" s="311"/>
      <c r="CU192" s="312"/>
      <c r="CV192" s="312"/>
      <c r="CW192" s="312"/>
      <c r="CX192" s="313"/>
      <c r="OR192" s="320"/>
      <c r="OS192" s="321"/>
      <c r="OT192" s="321"/>
      <c r="OU192" s="321"/>
      <c r="OV192" s="321"/>
      <c r="OW192" s="321"/>
      <c r="OX192" s="321"/>
      <c r="OY192" s="321"/>
      <c r="OZ192" s="321"/>
      <c r="PA192" s="321"/>
      <c r="PB192" s="321"/>
      <c r="PC192" s="321"/>
      <c r="PD192" s="321"/>
      <c r="PE192" s="321"/>
      <c r="PF192" s="321"/>
      <c r="PG192" s="321"/>
      <c r="PH192" s="321"/>
      <c r="PI192" s="321"/>
      <c r="PJ192" s="321"/>
      <c r="PK192" s="321"/>
      <c r="PL192" s="321"/>
      <c r="PM192" s="321"/>
      <c r="PN192" s="321"/>
      <c r="PO192" s="321"/>
      <c r="PP192" s="321"/>
      <c r="PQ192" s="321"/>
      <c r="PR192" s="321"/>
      <c r="PS192" s="321"/>
      <c r="PT192" s="321"/>
      <c r="PU192" s="321"/>
      <c r="PV192" s="321"/>
      <c r="PW192" s="321"/>
      <c r="PX192" s="321"/>
      <c r="PY192" s="321"/>
      <c r="PZ192" s="321"/>
      <c r="QA192" s="321"/>
      <c r="QB192" s="321"/>
      <c r="QC192" s="321"/>
      <c r="QD192" s="321"/>
      <c r="QE192" s="322"/>
      <c r="QF192" s="348"/>
      <c r="QG192" s="286"/>
      <c r="QH192" s="286"/>
      <c r="QI192" s="286"/>
      <c r="QJ192" s="286"/>
      <c r="QK192" s="349"/>
      <c r="QQ192" s="230"/>
      <c r="QR192" s="231"/>
    </row>
    <row r="193" spans="3:465" ht="4.5" customHeight="1" x14ac:dyDescent="0.25">
      <c r="C193" s="226"/>
      <c r="D193" s="227"/>
      <c r="E193" s="229"/>
      <c r="F193" s="229"/>
      <c r="G193" s="229"/>
      <c r="BE193" s="320"/>
      <c r="BF193" s="321"/>
      <c r="BG193" s="321"/>
      <c r="BH193" s="321"/>
      <c r="BI193" s="321"/>
      <c r="BJ193" s="321"/>
      <c r="BK193" s="321"/>
      <c r="BL193" s="321"/>
      <c r="BM193" s="321"/>
      <c r="BN193" s="321"/>
      <c r="BO193" s="321"/>
      <c r="BP193" s="321"/>
      <c r="BQ193" s="321"/>
      <c r="BR193" s="321"/>
      <c r="BS193" s="321"/>
      <c r="BT193" s="321"/>
      <c r="BU193" s="321"/>
      <c r="BV193" s="321"/>
      <c r="BW193" s="321"/>
      <c r="BX193" s="321"/>
      <c r="BY193" s="321"/>
      <c r="BZ193" s="321"/>
      <c r="CA193" s="321"/>
      <c r="CB193" s="321"/>
      <c r="CC193" s="321"/>
      <c r="CD193" s="321"/>
      <c r="CE193" s="321"/>
      <c r="CF193" s="321"/>
      <c r="CG193" s="321"/>
      <c r="CH193" s="321"/>
      <c r="CI193" s="321"/>
      <c r="CJ193" s="321"/>
      <c r="CK193" s="321"/>
      <c r="CL193" s="321"/>
      <c r="CM193" s="321"/>
      <c r="CN193" s="321"/>
      <c r="CO193" s="321"/>
      <c r="CP193" s="321"/>
      <c r="CQ193" s="321"/>
      <c r="CR193" s="321"/>
      <c r="CS193" s="322"/>
      <c r="CT193" s="311"/>
      <c r="CU193" s="312"/>
      <c r="CV193" s="312"/>
      <c r="CW193" s="312"/>
      <c r="CX193" s="313"/>
      <c r="OR193" s="323"/>
      <c r="OS193" s="324"/>
      <c r="OT193" s="324"/>
      <c r="OU193" s="324"/>
      <c r="OV193" s="324"/>
      <c r="OW193" s="324"/>
      <c r="OX193" s="324"/>
      <c r="OY193" s="324"/>
      <c r="OZ193" s="324"/>
      <c r="PA193" s="324"/>
      <c r="PB193" s="324"/>
      <c r="PC193" s="324"/>
      <c r="PD193" s="324"/>
      <c r="PE193" s="324"/>
      <c r="PF193" s="324"/>
      <c r="PG193" s="324"/>
      <c r="PH193" s="324"/>
      <c r="PI193" s="324"/>
      <c r="PJ193" s="324"/>
      <c r="PK193" s="324"/>
      <c r="PL193" s="324"/>
      <c r="PM193" s="324"/>
      <c r="PN193" s="324"/>
      <c r="PO193" s="324"/>
      <c r="PP193" s="324"/>
      <c r="PQ193" s="324"/>
      <c r="PR193" s="324"/>
      <c r="PS193" s="324"/>
      <c r="PT193" s="324"/>
      <c r="PU193" s="324"/>
      <c r="PV193" s="324"/>
      <c r="PW193" s="324"/>
      <c r="PX193" s="324"/>
      <c r="PY193" s="324"/>
      <c r="PZ193" s="324"/>
      <c r="QA193" s="324"/>
      <c r="QB193" s="324"/>
      <c r="QC193" s="324"/>
      <c r="QD193" s="324"/>
      <c r="QE193" s="325"/>
      <c r="QF193" s="350"/>
      <c r="QG193" s="351"/>
      <c r="QH193" s="351"/>
      <c r="QI193" s="351"/>
      <c r="QJ193" s="351"/>
      <c r="QK193" s="352"/>
      <c r="QQ193" s="230"/>
      <c r="QR193" s="231"/>
    </row>
    <row r="194" spans="3:465" ht="5.0999999999999996" customHeight="1" x14ac:dyDescent="0.25">
      <c r="C194" s="226"/>
      <c r="D194" s="227"/>
      <c r="E194" s="229"/>
      <c r="F194" s="229"/>
      <c r="G194" s="229"/>
      <c r="BE194" s="320"/>
      <c r="BF194" s="321"/>
      <c r="BG194" s="321"/>
      <c r="BH194" s="321"/>
      <c r="BI194" s="321"/>
      <c r="BJ194" s="321"/>
      <c r="BK194" s="321"/>
      <c r="BL194" s="321"/>
      <c r="BM194" s="321"/>
      <c r="BN194" s="321"/>
      <c r="BO194" s="321"/>
      <c r="BP194" s="321"/>
      <c r="BQ194" s="321"/>
      <c r="BR194" s="321"/>
      <c r="BS194" s="321"/>
      <c r="BT194" s="321"/>
      <c r="BU194" s="321"/>
      <c r="BV194" s="321"/>
      <c r="BW194" s="321"/>
      <c r="BX194" s="321"/>
      <c r="BY194" s="321"/>
      <c r="BZ194" s="321"/>
      <c r="CA194" s="321"/>
      <c r="CB194" s="321"/>
      <c r="CC194" s="321"/>
      <c r="CD194" s="321"/>
      <c r="CE194" s="321"/>
      <c r="CF194" s="321"/>
      <c r="CG194" s="321"/>
      <c r="CH194" s="321"/>
      <c r="CI194" s="321"/>
      <c r="CJ194" s="321"/>
      <c r="CK194" s="321"/>
      <c r="CL194" s="321"/>
      <c r="CM194" s="321"/>
      <c r="CN194" s="321"/>
      <c r="CO194" s="321"/>
      <c r="CP194" s="321"/>
      <c r="CQ194" s="321"/>
      <c r="CR194" s="321"/>
      <c r="CS194" s="322"/>
      <c r="CT194" s="311"/>
      <c r="CU194" s="312"/>
      <c r="CV194" s="312"/>
      <c r="CW194" s="312"/>
      <c r="CX194" s="313"/>
      <c r="QQ194" s="230"/>
      <c r="QR194" s="231"/>
    </row>
    <row r="195" spans="3:465" ht="5.0999999999999996" customHeight="1" x14ac:dyDescent="0.25">
      <c r="C195" s="226"/>
      <c r="D195" s="227"/>
      <c r="E195" s="229"/>
      <c r="F195" s="229"/>
      <c r="G195" s="229"/>
      <c r="BE195" s="320"/>
      <c r="BF195" s="321"/>
      <c r="BG195" s="321"/>
      <c r="BH195" s="321"/>
      <c r="BI195" s="321"/>
      <c r="BJ195" s="321"/>
      <c r="BK195" s="321"/>
      <c r="BL195" s="321"/>
      <c r="BM195" s="321"/>
      <c r="BN195" s="321"/>
      <c r="BO195" s="321"/>
      <c r="BP195" s="321"/>
      <c r="BQ195" s="321"/>
      <c r="BR195" s="321"/>
      <c r="BS195" s="321"/>
      <c r="BT195" s="321"/>
      <c r="BU195" s="321"/>
      <c r="BV195" s="321"/>
      <c r="BW195" s="321"/>
      <c r="BX195" s="321"/>
      <c r="BY195" s="321"/>
      <c r="BZ195" s="321"/>
      <c r="CA195" s="321"/>
      <c r="CB195" s="321"/>
      <c r="CC195" s="321"/>
      <c r="CD195" s="321"/>
      <c r="CE195" s="321"/>
      <c r="CF195" s="321"/>
      <c r="CG195" s="321"/>
      <c r="CH195" s="321"/>
      <c r="CI195" s="321"/>
      <c r="CJ195" s="321"/>
      <c r="CK195" s="321"/>
      <c r="CL195" s="321"/>
      <c r="CM195" s="321"/>
      <c r="CN195" s="321"/>
      <c r="CO195" s="321"/>
      <c r="CP195" s="321"/>
      <c r="CQ195" s="321"/>
      <c r="CR195" s="321"/>
      <c r="CS195" s="322"/>
      <c r="CT195" s="311"/>
      <c r="CU195" s="312"/>
      <c r="CV195" s="312"/>
      <c r="CW195" s="312"/>
      <c r="CX195" s="313"/>
      <c r="QQ195" s="230"/>
      <c r="QR195" s="231"/>
    </row>
    <row r="196" spans="3:465" ht="5.0999999999999996" customHeight="1" x14ac:dyDescent="0.25">
      <c r="C196" s="226"/>
      <c r="D196" s="227"/>
      <c r="E196" s="229"/>
      <c r="F196" s="229"/>
      <c r="G196" s="229"/>
      <c r="BE196" s="320"/>
      <c r="BF196" s="321"/>
      <c r="BG196" s="321"/>
      <c r="BH196" s="321"/>
      <c r="BI196" s="321"/>
      <c r="BJ196" s="321"/>
      <c r="BK196" s="321"/>
      <c r="BL196" s="321"/>
      <c r="BM196" s="321"/>
      <c r="BN196" s="321"/>
      <c r="BO196" s="321"/>
      <c r="BP196" s="321"/>
      <c r="BQ196" s="321"/>
      <c r="BR196" s="321"/>
      <c r="BS196" s="321"/>
      <c r="BT196" s="321"/>
      <c r="BU196" s="321"/>
      <c r="BV196" s="321"/>
      <c r="BW196" s="321"/>
      <c r="BX196" s="321"/>
      <c r="BY196" s="321"/>
      <c r="BZ196" s="321"/>
      <c r="CA196" s="321"/>
      <c r="CB196" s="321"/>
      <c r="CC196" s="321"/>
      <c r="CD196" s="321"/>
      <c r="CE196" s="321"/>
      <c r="CF196" s="321"/>
      <c r="CG196" s="321"/>
      <c r="CH196" s="321"/>
      <c r="CI196" s="321"/>
      <c r="CJ196" s="321"/>
      <c r="CK196" s="321"/>
      <c r="CL196" s="321"/>
      <c r="CM196" s="321"/>
      <c r="CN196" s="321"/>
      <c r="CO196" s="321"/>
      <c r="CP196" s="321"/>
      <c r="CQ196" s="321"/>
      <c r="CR196" s="321"/>
      <c r="CS196" s="322"/>
      <c r="CT196" s="311"/>
      <c r="CU196" s="312"/>
      <c r="CV196" s="312"/>
      <c r="CW196" s="312"/>
      <c r="CX196" s="313"/>
      <c r="QQ196" s="230"/>
      <c r="QR196" s="231"/>
    </row>
    <row r="197" spans="3:465" ht="5.0999999999999996" customHeight="1" x14ac:dyDescent="0.25">
      <c r="C197" s="226"/>
      <c r="D197" s="227"/>
      <c r="E197" s="229"/>
      <c r="F197" s="229"/>
      <c r="G197" s="229"/>
      <c r="BE197" s="323"/>
      <c r="BF197" s="324"/>
      <c r="BG197" s="324"/>
      <c r="BH197" s="324"/>
      <c r="BI197" s="324"/>
      <c r="BJ197" s="324"/>
      <c r="BK197" s="324"/>
      <c r="BL197" s="324"/>
      <c r="BM197" s="324"/>
      <c r="BN197" s="324"/>
      <c r="BO197" s="324"/>
      <c r="BP197" s="324"/>
      <c r="BQ197" s="324"/>
      <c r="BR197" s="324"/>
      <c r="BS197" s="324"/>
      <c r="BT197" s="324"/>
      <c r="BU197" s="324"/>
      <c r="BV197" s="324"/>
      <c r="BW197" s="324"/>
      <c r="BX197" s="324"/>
      <c r="BY197" s="324"/>
      <c r="BZ197" s="324"/>
      <c r="CA197" s="324"/>
      <c r="CB197" s="324"/>
      <c r="CC197" s="324"/>
      <c r="CD197" s="324"/>
      <c r="CE197" s="324"/>
      <c r="CF197" s="324"/>
      <c r="CG197" s="324"/>
      <c r="CH197" s="324"/>
      <c r="CI197" s="324"/>
      <c r="CJ197" s="324"/>
      <c r="CK197" s="324"/>
      <c r="CL197" s="324"/>
      <c r="CM197" s="324"/>
      <c r="CN197" s="324"/>
      <c r="CO197" s="324"/>
      <c r="CP197" s="324"/>
      <c r="CQ197" s="324"/>
      <c r="CR197" s="324"/>
      <c r="CS197" s="325"/>
      <c r="CT197" s="314"/>
      <c r="CU197" s="315"/>
      <c r="CV197" s="315"/>
      <c r="CW197" s="315"/>
      <c r="CX197" s="316"/>
      <c r="QQ197" s="230"/>
      <c r="QR197" s="231"/>
      <c r="QS197" s="249"/>
      <c r="QT197" s="249"/>
      <c r="QU197" s="249"/>
      <c r="QV197" s="249"/>
      <c r="QW197" s="250"/>
    </row>
    <row r="198" spans="3:465" ht="5.0999999999999996" customHeight="1" x14ac:dyDescent="0.25">
      <c r="C198" s="226"/>
      <c r="D198" s="227"/>
      <c r="E198" s="229"/>
      <c r="F198" s="229"/>
      <c r="G198" s="229"/>
      <c r="BE198" s="317" t="s">
        <v>445</v>
      </c>
      <c r="BF198" s="318"/>
      <c r="BG198" s="318"/>
      <c r="BH198" s="318"/>
      <c r="BI198" s="318"/>
      <c r="BJ198" s="318"/>
      <c r="BK198" s="318"/>
      <c r="BL198" s="318"/>
      <c r="BM198" s="318"/>
      <c r="BN198" s="318"/>
      <c r="BO198" s="318"/>
      <c r="BP198" s="318"/>
      <c r="BQ198" s="318"/>
      <c r="BR198" s="318"/>
      <c r="BS198" s="318"/>
      <c r="BT198" s="318"/>
      <c r="BU198" s="318"/>
      <c r="BV198" s="318"/>
      <c r="BW198" s="318"/>
      <c r="BX198" s="318"/>
      <c r="BY198" s="318"/>
      <c r="BZ198" s="318"/>
      <c r="CA198" s="318"/>
      <c r="CB198" s="318"/>
      <c r="CC198" s="318"/>
      <c r="CD198" s="318"/>
      <c r="CE198" s="318"/>
      <c r="CF198" s="318"/>
      <c r="CG198" s="318"/>
      <c r="CH198" s="318"/>
      <c r="CI198" s="318"/>
      <c r="CJ198" s="318"/>
      <c r="CK198" s="318"/>
      <c r="CL198" s="318"/>
      <c r="CM198" s="318"/>
      <c r="CN198" s="318"/>
      <c r="CO198" s="318"/>
      <c r="CP198" s="318"/>
      <c r="CQ198" s="318"/>
      <c r="CR198" s="318"/>
      <c r="CS198" s="319"/>
      <c r="CT198" s="308">
        <v>6</v>
      </c>
      <c r="CU198" s="309"/>
      <c r="CV198" s="309"/>
      <c r="CW198" s="309"/>
      <c r="CX198" s="310"/>
      <c r="QQ198" s="230"/>
      <c r="QR198" s="231"/>
      <c r="QS198" s="249"/>
      <c r="QT198" s="249"/>
      <c r="QU198" s="249"/>
      <c r="QV198" s="249"/>
      <c r="QW198" s="250"/>
    </row>
    <row r="199" spans="3:465" ht="5.0999999999999996" customHeight="1" x14ac:dyDescent="0.25">
      <c r="C199" s="226"/>
      <c r="D199" s="227"/>
      <c r="E199" s="229"/>
      <c r="F199" s="229"/>
      <c r="G199" s="229"/>
      <c r="BE199" s="320"/>
      <c r="BF199" s="321"/>
      <c r="BG199" s="321"/>
      <c r="BH199" s="321"/>
      <c r="BI199" s="321"/>
      <c r="BJ199" s="321"/>
      <c r="BK199" s="321"/>
      <c r="BL199" s="321"/>
      <c r="BM199" s="321"/>
      <c r="BN199" s="321"/>
      <c r="BO199" s="321"/>
      <c r="BP199" s="321"/>
      <c r="BQ199" s="321"/>
      <c r="BR199" s="321"/>
      <c r="BS199" s="321"/>
      <c r="BT199" s="321"/>
      <c r="BU199" s="321"/>
      <c r="BV199" s="321"/>
      <c r="BW199" s="321"/>
      <c r="BX199" s="321"/>
      <c r="BY199" s="321"/>
      <c r="BZ199" s="321"/>
      <c r="CA199" s="321"/>
      <c r="CB199" s="321"/>
      <c r="CC199" s="321"/>
      <c r="CD199" s="321"/>
      <c r="CE199" s="321"/>
      <c r="CF199" s="321"/>
      <c r="CG199" s="321"/>
      <c r="CH199" s="321"/>
      <c r="CI199" s="321"/>
      <c r="CJ199" s="321"/>
      <c r="CK199" s="321"/>
      <c r="CL199" s="321"/>
      <c r="CM199" s="321"/>
      <c r="CN199" s="321"/>
      <c r="CO199" s="321"/>
      <c r="CP199" s="321"/>
      <c r="CQ199" s="321"/>
      <c r="CR199" s="321"/>
      <c r="CS199" s="322"/>
      <c r="CT199" s="311"/>
      <c r="CU199" s="312"/>
      <c r="CV199" s="312"/>
      <c r="CW199" s="312"/>
      <c r="CX199" s="313"/>
      <c r="QQ199" s="230"/>
      <c r="QR199" s="231"/>
      <c r="QS199" s="249"/>
      <c r="QT199" s="249"/>
      <c r="QU199" s="249"/>
      <c r="QV199" s="249"/>
      <c r="QW199" s="250"/>
    </row>
    <row r="200" spans="3:465" ht="5.0999999999999996" customHeight="1" x14ac:dyDescent="0.25">
      <c r="C200" s="226"/>
      <c r="D200" s="227"/>
      <c r="E200" s="229"/>
      <c r="F200" s="229"/>
      <c r="G200" s="229"/>
      <c r="BE200" s="320"/>
      <c r="BF200" s="321"/>
      <c r="BG200" s="321"/>
      <c r="BH200" s="321"/>
      <c r="BI200" s="321"/>
      <c r="BJ200" s="321"/>
      <c r="BK200" s="321"/>
      <c r="BL200" s="321"/>
      <c r="BM200" s="321"/>
      <c r="BN200" s="321"/>
      <c r="BO200" s="321"/>
      <c r="BP200" s="321"/>
      <c r="BQ200" s="321"/>
      <c r="BR200" s="321"/>
      <c r="BS200" s="321"/>
      <c r="BT200" s="321"/>
      <c r="BU200" s="321"/>
      <c r="BV200" s="321"/>
      <c r="BW200" s="321"/>
      <c r="BX200" s="321"/>
      <c r="BY200" s="321"/>
      <c r="BZ200" s="321"/>
      <c r="CA200" s="321"/>
      <c r="CB200" s="321"/>
      <c r="CC200" s="321"/>
      <c r="CD200" s="321"/>
      <c r="CE200" s="321"/>
      <c r="CF200" s="321"/>
      <c r="CG200" s="321"/>
      <c r="CH200" s="321"/>
      <c r="CI200" s="321"/>
      <c r="CJ200" s="321"/>
      <c r="CK200" s="321"/>
      <c r="CL200" s="321"/>
      <c r="CM200" s="321"/>
      <c r="CN200" s="321"/>
      <c r="CO200" s="321"/>
      <c r="CP200" s="321"/>
      <c r="CQ200" s="321"/>
      <c r="CR200" s="321"/>
      <c r="CS200" s="322"/>
      <c r="CT200" s="311"/>
      <c r="CU200" s="312"/>
      <c r="CV200" s="312"/>
      <c r="CW200" s="312"/>
      <c r="CX200" s="313"/>
      <c r="GR200" s="243"/>
      <c r="GS200" s="243"/>
      <c r="GT200" s="243"/>
      <c r="GU200" s="243"/>
      <c r="GV200" s="243"/>
      <c r="GW200" s="243"/>
      <c r="GX200" s="243"/>
      <c r="GY200" s="243"/>
      <c r="GZ200" s="243"/>
      <c r="HA200" s="243"/>
      <c r="HB200" s="243"/>
      <c r="HC200" s="243"/>
      <c r="HD200" s="243"/>
      <c r="HE200" s="243"/>
      <c r="HF200" s="243"/>
      <c r="HG200" s="243"/>
      <c r="HH200" s="243"/>
      <c r="HI200" s="243"/>
      <c r="HJ200" s="243"/>
      <c r="HK200" s="243"/>
      <c r="HL200" s="243"/>
      <c r="HM200" s="243"/>
      <c r="HN200" s="243"/>
      <c r="HO200" s="243"/>
      <c r="HP200" s="243"/>
      <c r="HQ200" s="243"/>
      <c r="HR200" s="243"/>
      <c r="HS200" s="243"/>
      <c r="HT200" s="243"/>
      <c r="HU200" s="243"/>
      <c r="HV200" s="243"/>
      <c r="HW200" s="243"/>
      <c r="HX200" s="243"/>
      <c r="HY200" s="243"/>
      <c r="HZ200" s="243"/>
      <c r="IA200" s="243"/>
      <c r="IB200" s="243"/>
      <c r="IC200" s="243"/>
      <c r="ID200" s="243"/>
      <c r="IE200" s="243"/>
      <c r="IF200" s="243"/>
      <c r="IG200" s="243"/>
      <c r="IH200" s="243"/>
      <c r="II200" s="243"/>
      <c r="IJ200" s="243"/>
      <c r="IK200" s="243"/>
      <c r="IL200" s="243"/>
      <c r="IM200" s="243"/>
      <c r="IN200" s="243"/>
      <c r="IO200" s="243"/>
      <c r="IP200" s="243"/>
      <c r="IQ200" s="243"/>
      <c r="IR200" s="243"/>
      <c r="IS200" s="243"/>
      <c r="IT200" s="243"/>
      <c r="IU200" s="243"/>
      <c r="IV200" s="243"/>
      <c r="IW200" s="243"/>
      <c r="IX200" s="243"/>
      <c r="IY200" s="243"/>
      <c r="IZ200" s="243"/>
      <c r="JA200" s="243"/>
      <c r="JB200" s="243"/>
      <c r="JC200" s="243"/>
      <c r="JD200" s="243"/>
      <c r="JE200" s="243"/>
      <c r="JF200" s="243"/>
      <c r="JG200" s="243"/>
      <c r="JH200" s="243"/>
      <c r="JI200" s="243"/>
      <c r="JJ200" s="243"/>
      <c r="JK200" s="243"/>
      <c r="JL200" s="243"/>
      <c r="JM200" s="243"/>
      <c r="JN200" s="243"/>
      <c r="JO200" s="243"/>
      <c r="JP200" s="243"/>
      <c r="JQ200" s="243"/>
      <c r="JR200" s="243"/>
      <c r="JS200" s="243"/>
      <c r="JT200" s="243"/>
      <c r="JU200" s="243"/>
      <c r="JV200" s="243"/>
      <c r="JW200" s="243"/>
      <c r="JX200" s="243"/>
      <c r="JY200" s="243"/>
      <c r="JZ200" s="243"/>
      <c r="KA200" s="243"/>
      <c r="KB200" s="243"/>
      <c r="KC200" s="243"/>
      <c r="KD200" s="243"/>
      <c r="KE200" s="243"/>
      <c r="KF200" s="243"/>
      <c r="KG200" s="243"/>
      <c r="KH200" s="243"/>
      <c r="KI200" s="243"/>
      <c r="KJ200" s="243"/>
      <c r="KK200" s="243"/>
      <c r="KL200" s="243"/>
      <c r="KM200" s="243"/>
      <c r="KN200" s="243"/>
      <c r="KO200" s="243"/>
      <c r="QQ200" s="230"/>
      <c r="QR200" s="231"/>
      <c r="QS200" s="249"/>
      <c r="QT200" s="249"/>
      <c r="QU200" s="249"/>
      <c r="QV200" s="249"/>
      <c r="QW200" s="250"/>
    </row>
    <row r="201" spans="3:465" ht="5.0999999999999996" customHeight="1" x14ac:dyDescent="0.25">
      <c r="C201" s="226"/>
      <c r="D201" s="227"/>
      <c r="E201" s="229"/>
      <c r="F201" s="229"/>
      <c r="G201" s="229"/>
      <c r="BE201" s="320"/>
      <c r="BF201" s="321"/>
      <c r="BG201" s="321"/>
      <c r="BH201" s="321"/>
      <c r="BI201" s="321"/>
      <c r="BJ201" s="321"/>
      <c r="BK201" s="321"/>
      <c r="BL201" s="321"/>
      <c r="BM201" s="321"/>
      <c r="BN201" s="321"/>
      <c r="BO201" s="321"/>
      <c r="BP201" s="321"/>
      <c r="BQ201" s="321"/>
      <c r="BR201" s="321"/>
      <c r="BS201" s="321"/>
      <c r="BT201" s="321"/>
      <c r="BU201" s="321"/>
      <c r="BV201" s="321"/>
      <c r="BW201" s="321"/>
      <c r="BX201" s="321"/>
      <c r="BY201" s="321"/>
      <c r="BZ201" s="321"/>
      <c r="CA201" s="321"/>
      <c r="CB201" s="321"/>
      <c r="CC201" s="321"/>
      <c r="CD201" s="321"/>
      <c r="CE201" s="321"/>
      <c r="CF201" s="321"/>
      <c r="CG201" s="321"/>
      <c r="CH201" s="321"/>
      <c r="CI201" s="321"/>
      <c r="CJ201" s="321"/>
      <c r="CK201" s="321"/>
      <c r="CL201" s="321"/>
      <c r="CM201" s="321"/>
      <c r="CN201" s="321"/>
      <c r="CO201" s="321"/>
      <c r="CP201" s="321"/>
      <c r="CQ201" s="321"/>
      <c r="CR201" s="321"/>
      <c r="CS201" s="322"/>
      <c r="CT201" s="311"/>
      <c r="CU201" s="312"/>
      <c r="CV201" s="312"/>
      <c r="CW201" s="312"/>
      <c r="CX201" s="313"/>
      <c r="GR201" s="243"/>
      <c r="GS201" s="243"/>
      <c r="GT201" s="243"/>
      <c r="GU201" s="243"/>
      <c r="GV201" s="243"/>
      <c r="GW201" s="243"/>
      <c r="GX201" s="243"/>
      <c r="GY201" s="243"/>
      <c r="GZ201" s="243"/>
      <c r="HA201" s="243"/>
      <c r="HB201" s="243"/>
      <c r="HC201" s="243"/>
      <c r="HD201" s="243"/>
      <c r="HE201" s="243"/>
      <c r="HF201" s="243"/>
      <c r="HG201" s="243"/>
      <c r="HH201" s="243"/>
      <c r="HI201" s="243"/>
      <c r="HJ201" s="243"/>
      <c r="HK201" s="243"/>
      <c r="HL201" s="243"/>
      <c r="HM201" s="243"/>
      <c r="HN201" s="243"/>
      <c r="HO201" s="243"/>
      <c r="HP201" s="306"/>
      <c r="HQ201" s="306"/>
      <c r="HR201" s="306"/>
      <c r="HS201" s="306"/>
      <c r="HT201" s="306"/>
      <c r="HU201" s="306"/>
      <c r="HV201" s="306"/>
      <c r="HW201" s="306"/>
      <c r="HX201" s="306"/>
      <c r="HY201" s="306"/>
      <c r="HZ201" s="306"/>
      <c r="IA201" s="306"/>
      <c r="IB201" s="306"/>
      <c r="IC201" s="306"/>
      <c r="ID201" s="306"/>
      <c r="IE201" s="306"/>
      <c r="IF201" s="306"/>
      <c r="IG201" s="306"/>
      <c r="IH201" s="306"/>
      <c r="II201" s="306"/>
      <c r="IJ201" s="306"/>
      <c r="IK201" s="306"/>
      <c r="IL201" s="306"/>
      <c r="IM201" s="306"/>
      <c r="IN201" s="306"/>
      <c r="IO201" s="306"/>
      <c r="IP201" s="306"/>
      <c r="IQ201" s="306"/>
      <c r="IR201" s="306"/>
      <c r="IS201" s="306"/>
      <c r="IT201" s="306"/>
      <c r="IU201" s="306"/>
      <c r="IV201" s="306"/>
      <c r="IW201" s="306"/>
      <c r="IX201" s="306"/>
      <c r="IY201" s="306"/>
      <c r="IZ201" s="306"/>
      <c r="JA201" s="306"/>
      <c r="JB201" s="306"/>
      <c r="JC201" s="306"/>
      <c r="JD201" s="306"/>
      <c r="JE201" s="306"/>
      <c r="JF201" s="306"/>
      <c r="JG201" s="307"/>
      <c r="JH201" s="307"/>
      <c r="JI201" s="307"/>
      <c r="JJ201" s="307"/>
      <c r="JK201" s="307"/>
      <c r="JL201" s="243"/>
      <c r="JM201" s="243"/>
      <c r="JN201" s="243"/>
      <c r="JO201" s="243"/>
      <c r="JP201" s="243"/>
      <c r="JQ201" s="243"/>
      <c r="JR201" s="243"/>
      <c r="JS201" s="243"/>
      <c r="JT201" s="243"/>
      <c r="JU201" s="243"/>
      <c r="JV201" s="243"/>
      <c r="JW201" s="243"/>
      <c r="JX201" s="243"/>
      <c r="JY201" s="243"/>
      <c r="JZ201" s="243"/>
      <c r="KA201" s="243"/>
      <c r="KB201" s="243"/>
      <c r="KC201" s="243"/>
      <c r="KD201" s="243"/>
      <c r="KE201" s="243"/>
      <c r="KF201" s="243"/>
      <c r="KG201" s="243"/>
      <c r="KH201" s="243"/>
      <c r="KI201" s="243"/>
      <c r="KJ201" s="243"/>
      <c r="KK201" s="243"/>
      <c r="KL201" s="243"/>
      <c r="KM201" s="243"/>
      <c r="KN201" s="243"/>
      <c r="KO201" s="243"/>
      <c r="QQ201" s="230"/>
      <c r="QR201" s="231"/>
      <c r="QS201" s="249"/>
      <c r="QT201" s="249"/>
      <c r="QU201" s="249"/>
      <c r="QV201" s="249"/>
      <c r="QW201" s="250"/>
    </row>
    <row r="202" spans="3:465" ht="5.0999999999999996" customHeight="1" x14ac:dyDescent="0.25">
      <c r="C202" s="226"/>
      <c r="D202" s="227"/>
      <c r="E202" s="229"/>
      <c r="F202" s="229"/>
      <c r="G202" s="229"/>
      <c r="BE202" s="320"/>
      <c r="BF202" s="321"/>
      <c r="BG202" s="321"/>
      <c r="BH202" s="321"/>
      <c r="BI202" s="321"/>
      <c r="BJ202" s="321"/>
      <c r="BK202" s="321"/>
      <c r="BL202" s="321"/>
      <c r="BM202" s="321"/>
      <c r="BN202" s="321"/>
      <c r="BO202" s="321"/>
      <c r="BP202" s="321"/>
      <c r="BQ202" s="321"/>
      <c r="BR202" s="321"/>
      <c r="BS202" s="321"/>
      <c r="BT202" s="321"/>
      <c r="BU202" s="321"/>
      <c r="BV202" s="321"/>
      <c r="BW202" s="321"/>
      <c r="BX202" s="321"/>
      <c r="BY202" s="321"/>
      <c r="BZ202" s="321"/>
      <c r="CA202" s="321"/>
      <c r="CB202" s="321"/>
      <c r="CC202" s="321"/>
      <c r="CD202" s="321"/>
      <c r="CE202" s="321"/>
      <c r="CF202" s="321"/>
      <c r="CG202" s="321"/>
      <c r="CH202" s="321"/>
      <c r="CI202" s="321"/>
      <c r="CJ202" s="321"/>
      <c r="CK202" s="321"/>
      <c r="CL202" s="321"/>
      <c r="CM202" s="321"/>
      <c r="CN202" s="321"/>
      <c r="CO202" s="321"/>
      <c r="CP202" s="321"/>
      <c r="CQ202" s="321"/>
      <c r="CR202" s="321"/>
      <c r="CS202" s="322"/>
      <c r="CT202" s="311"/>
      <c r="CU202" s="312"/>
      <c r="CV202" s="312"/>
      <c r="CW202" s="312"/>
      <c r="CX202" s="313"/>
      <c r="GR202" s="243"/>
      <c r="GS202" s="243"/>
      <c r="GT202" s="243"/>
      <c r="GU202" s="243"/>
      <c r="GV202" s="243"/>
      <c r="GW202" s="243"/>
      <c r="GX202" s="243"/>
      <c r="GY202" s="243"/>
      <c r="GZ202" s="243"/>
      <c r="HA202" s="243"/>
      <c r="HB202" s="243"/>
      <c r="HC202" s="243"/>
      <c r="HD202" s="243"/>
      <c r="HE202" s="243"/>
      <c r="HF202" s="243"/>
      <c r="HG202" s="243"/>
      <c r="HH202" s="243"/>
      <c r="HI202" s="243"/>
      <c r="HJ202" s="243"/>
      <c r="HK202" s="243"/>
      <c r="HL202" s="243"/>
      <c r="HM202" s="243"/>
      <c r="HN202" s="243"/>
      <c r="HO202" s="243"/>
      <c r="HP202" s="306"/>
      <c r="HQ202" s="306"/>
      <c r="HR202" s="306"/>
      <c r="HS202" s="306"/>
      <c r="HT202" s="306"/>
      <c r="HU202" s="306"/>
      <c r="HV202" s="306"/>
      <c r="HW202" s="306"/>
      <c r="HX202" s="306"/>
      <c r="HY202" s="306"/>
      <c r="HZ202" s="306"/>
      <c r="IA202" s="306"/>
      <c r="IB202" s="306"/>
      <c r="IC202" s="306"/>
      <c r="ID202" s="306"/>
      <c r="IE202" s="306"/>
      <c r="IF202" s="306"/>
      <c r="IG202" s="306"/>
      <c r="IH202" s="306"/>
      <c r="II202" s="306"/>
      <c r="IJ202" s="306"/>
      <c r="IK202" s="306"/>
      <c r="IL202" s="306"/>
      <c r="IM202" s="306"/>
      <c r="IN202" s="306"/>
      <c r="IO202" s="306"/>
      <c r="IP202" s="306"/>
      <c r="IQ202" s="306"/>
      <c r="IR202" s="306"/>
      <c r="IS202" s="306"/>
      <c r="IT202" s="306"/>
      <c r="IU202" s="306"/>
      <c r="IV202" s="306"/>
      <c r="IW202" s="306"/>
      <c r="IX202" s="306"/>
      <c r="IY202" s="306"/>
      <c r="IZ202" s="306"/>
      <c r="JA202" s="306"/>
      <c r="JB202" s="306"/>
      <c r="JC202" s="306"/>
      <c r="JD202" s="306"/>
      <c r="JE202" s="306"/>
      <c r="JF202" s="306"/>
      <c r="JG202" s="307"/>
      <c r="JH202" s="307"/>
      <c r="JI202" s="307"/>
      <c r="JJ202" s="307"/>
      <c r="JK202" s="307"/>
      <c r="JL202" s="243"/>
      <c r="JM202" s="243"/>
      <c r="JN202" s="243"/>
      <c r="JO202" s="243"/>
      <c r="JP202" s="243"/>
      <c r="JQ202" s="243"/>
      <c r="JR202" s="243"/>
      <c r="JS202" s="243"/>
      <c r="JT202" s="243"/>
      <c r="JU202" s="243"/>
      <c r="JV202" s="243"/>
      <c r="JW202" s="243"/>
      <c r="JX202" s="243"/>
      <c r="JY202" s="243"/>
      <c r="JZ202" s="243"/>
      <c r="KA202" s="243"/>
      <c r="KB202" s="243"/>
      <c r="KC202" s="243"/>
      <c r="KD202" s="243"/>
      <c r="KE202" s="243"/>
      <c r="KF202" s="243"/>
      <c r="KG202" s="243"/>
      <c r="KH202" s="243"/>
      <c r="KI202" s="243"/>
      <c r="KJ202" s="243"/>
      <c r="KK202" s="243"/>
      <c r="KL202" s="243"/>
      <c r="KM202" s="243"/>
      <c r="KN202" s="243"/>
      <c r="KO202" s="243"/>
      <c r="QQ202" s="230"/>
      <c r="QR202" s="231"/>
    </row>
    <row r="203" spans="3:465" ht="5.0999999999999996" customHeight="1" x14ac:dyDescent="0.25">
      <c r="C203" s="226"/>
      <c r="D203" s="227"/>
      <c r="E203" s="229"/>
      <c r="F203" s="229"/>
      <c r="G203" s="229"/>
      <c r="BE203" s="320"/>
      <c r="BF203" s="321"/>
      <c r="BG203" s="321"/>
      <c r="BH203" s="321"/>
      <c r="BI203" s="321"/>
      <c r="BJ203" s="321"/>
      <c r="BK203" s="321"/>
      <c r="BL203" s="321"/>
      <c r="BM203" s="321"/>
      <c r="BN203" s="321"/>
      <c r="BO203" s="321"/>
      <c r="BP203" s="321"/>
      <c r="BQ203" s="321"/>
      <c r="BR203" s="321"/>
      <c r="BS203" s="321"/>
      <c r="BT203" s="321"/>
      <c r="BU203" s="321"/>
      <c r="BV203" s="321"/>
      <c r="BW203" s="321"/>
      <c r="BX203" s="321"/>
      <c r="BY203" s="321"/>
      <c r="BZ203" s="321"/>
      <c r="CA203" s="321"/>
      <c r="CB203" s="321"/>
      <c r="CC203" s="321"/>
      <c r="CD203" s="321"/>
      <c r="CE203" s="321"/>
      <c r="CF203" s="321"/>
      <c r="CG203" s="321"/>
      <c r="CH203" s="321"/>
      <c r="CI203" s="321"/>
      <c r="CJ203" s="321"/>
      <c r="CK203" s="321"/>
      <c r="CL203" s="321"/>
      <c r="CM203" s="321"/>
      <c r="CN203" s="321"/>
      <c r="CO203" s="321"/>
      <c r="CP203" s="321"/>
      <c r="CQ203" s="321"/>
      <c r="CR203" s="321"/>
      <c r="CS203" s="322"/>
      <c r="CT203" s="311"/>
      <c r="CU203" s="312"/>
      <c r="CV203" s="312"/>
      <c r="CW203" s="312"/>
      <c r="CX203" s="313"/>
      <c r="GR203" s="243"/>
      <c r="GS203" s="243"/>
      <c r="GT203" s="243"/>
      <c r="GU203" s="243"/>
      <c r="GV203" s="243"/>
      <c r="GW203" s="243"/>
      <c r="GX203" s="243"/>
      <c r="GY203" s="243"/>
      <c r="GZ203" s="243"/>
      <c r="HA203" s="243"/>
      <c r="HB203" s="243"/>
      <c r="HC203" s="243"/>
      <c r="HD203" s="243"/>
      <c r="HE203" s="243"/>
      <c r="HF203" s="243"/>
      <c r="HG203" s="243"/>
      <c r="HH203" s="243"/>
      <c r="HI203" s="243"/>
      <c r="HJ203" s="243"/>
      <c r="HK203" s="243"/>
      <c r="HL203" s="243"/>
      <c r="HM203" s="243"/>
      <c r="HN203" s="243"/>
      <c r="HO203" s="243"/>
      <c r="HP203" s="306"/>
      <c r="HQ203" s="306"/>
      <c r="HR203" s="306"/>
      <c r="HS203" s="306"/>
      <c r="HT203" s="306"/>
      <c r="HU203" s="306"/>
      <c r="HV203" s="306"/>
      <c r="HW203" s="306"/>
      <c r="HX203" s="306"/>
      <c r="HY203" s="306"/>
      <c r="HZ203" s="306"/>
      <c r="IA203" s="306"/>
      <c r="IB203" s="306"/>
      <c r="IC203" s="306"/>
      <c r="ID203" s="306"/>
      <c r="IE203" s="306"/>
      <c r="IF203" s="306"/>
      <c r="IG203" s="306"/>
      <c r="IH203" s="306"/>
      <c r="II203" s="306"/>
      <c r="IJ203" s="306"/>
      <c r="IK203" s="306"/>
      <c r="IL203" s="306"/>
      <c r="IM203" s="306"/>
      <c r="IN203" s="306"/>
      <c r="IO203" s="306"/>
      <c r="IP203" s="306"/>
      <c r="IQ203" s="306"/>
      <c r="IR203" s="306"/>
      <c r="IS203" s="306"/>
      <c r="IT203" s="306"/>
      <c r="IU203" s="306"/>
      <c r="IV203" s="306"/>
      <c r="IW203" s="306"/>
      <c r="IX203" s="306"/>
      <c r="IY203" s="306"/>
      <c r="IZ203" s="306"/>
      <c r="JA203" s="306"/>
      <c r="JB203" s="306"/>
      <c r="JC203" s="306"/>
      <c r="JD203" s="306"/>
      <c r="JE203" s="306"/>
      <c r="JF203" s="306"/>
      <c r="JG203" s="307"/>
      <c r="JH203" s="307"/>
      <c r="JI203" s="307"/>
      <c r="JJ203" s="307"/>
      <c r="JK203" s="307"/>
      <c r="JL203" s="243"/>
      <c r="JM203" s="243"/>
      <c r="JN203" s="243"/>
      <c r="JO203" s="243"/>
      <c r="JP203" s="243"/>
      <c r="JQ203" s="243"/>
      <c r="JR203" s="243"/>
      <c r="JS203" s="243"/>
      <c r="JT203" s="243"/>
      <c r="JU203" s="243"/>
      <c r="JV203" s="243"/>
      <c r="JW203" s="243"/>
      <c r="JX203" s="243"/>
      <c r="JY203" s="243"/>
      <c r="JZ203" s="243"/>
      <c r="KA203" s="243"/>
      <c r="KB203" s="243"/>
      <c r="KC203" s="243"/>
      <c r="KD203" s="243"/>
      <c r="KE203" s="243"/>
      <c r="KF203" s="243"/>
      <c r="KG203" s="243"/>
      <c r="KH203" s="243"/>
      <c r="KI203" s="243"/>
      <c r="KJ203" s="243"/>
      <c r="KK203" s="243"/>
      <c r="KL203" s="243"/>
      <c r="KM203" s="243"/>
      <c r="KN203" s="243"/>
      <c r="KO203" s="243"/>
      <c r="QQ203" s="230"/>
      <c r="QR203" s="231"/>
    </row>
    <row r="204" spans="3:465" ht="5.0999999999999996" customHeight="1" x14ac:dyDescent="0.25">
      <c r="C204" s="226"/>
      <c r="D204" s="227"/>
      <c r="E204" s="229"/>
      <c r="F204" s="229"/>
      <c r="G204" s="229"/>
      <c r="BE204" s="320"/>
      <c r="BF204" s="321"/>
      <c r="BG204" s="321"/>
      <c r="BH204" s="321"/>
      <c r="BI204" s="321"/>
      <c r="BJ204" s="321"/>
      <c r="BK204" s="321"/>
      <c r="BL204" s="321"/>
      <c r="BM204" s="321"/>
      <c r="BN204" s="321"/>
      <c r="BO204" s="321"/>
      <c r="BP204" s="321"/>
      <c r="BQ204" s="321"/>
      <c r="BR204" s="321"/>
      <c r="BS204" s="321"/>
      <c r="BT204" s="321"/>
      <c r="BU204" s="321"/>
      <c r="BV204" s="321"/>
      <c r="BW204" s="321"/>
      <c r="BX204" s="321"/>
      <c r="BY204" s="321"/>
      <c r="BZ204" s="321"/>
      <c r="CA204" s="321"/>
      <c r="CB204" s="321"/>
      <c r="CC204" s="321"/>
      <c r="CD204" s="321"/>
      <c r="CE204" s="321"/>
      <c r="CF204" s="321"/>
      <c r="CG204" s="321"/>
      <c r="CH204" s="321"/>
      <c r="CI204" s="321"/>
      <c r="CJ204" s="321"/>
      <c r="CK204" s="321"/>
      <c r="CL204" s="321"/>
      <c r="CM204" s="321"/>
      <c r="CN204" s="321"/>
      <c r="CO204" s="321"/>
      <c r="CP204" s="321"/>
      <c r="CQ204" s="321"/>
      <c r="CR204" s="321"/>
      <c r="CS204" s="322"/>
      <c r="CT204" s="311"/>
      <c r="CU204" s="312"/>
      <c r="CV204" s="312"/>
      <c r="CW204" s="312"/>
      <c r="CX204" s="313"/>
      <c r="GR204" s="243"/>
      <c r="GS204" s="243"/>
      <c r="GT204" s="243"/>
      <c r="GU204" s="243"/>
      <c r="GV204" s="243"/>
      <c r="GW204" s="243"/>
      <c r="GX204" s="243"/>
      <c r="GY204" s="243"/>
      <c r="GZ204" s="243"/>
      <c r="HA204" s="243"/>
      <c r="HB204" s="243"/>
      <c r="HC204" s="243"/>
      <c r="HD204" s="243"/>
      <c r="HE204" s="243"/>
      <c r="HF204" s="243"/>
      <c r="HG204" s="243"/>
      <c r="HH204" s="243"/>
      <c r="HI204" s="243"/>
      <c r="HJ204" s="243"/>
      <c r="HK204" s="243"/>
      <c r="HL204" s="243"/>
      <c r="HM204" s="243"/>
      <c r="HN204" s="243"/>
      <c r="HO204" s="243"/>
      <c r="HP204" s="306"/>
      <c r="HQ204" s="306"/>
      <c r="HR204" s="306"/>
      <c r="HS204" s="306"/>
      <c r="HT204" s="306"/>
      <c r="HU204" s="306"/>
      <c r="HV204" s="306"/>
      <c r="HW204" s="306"/>
      <c r="HX204" s="306"/>
      <c r="HY204" s="306"/>
      <c r="HZ204" s="306"/>
      <c r="IA204" s="306"/>
      <c r="IB204" s="306"/>
      <c r="IC204" s="306"/>
      <c r="ID204" s="306"/>
      <c r="IE204" s="306"/>
      <c r="IF204" s="306"/>
      <c r="IG204" s="306"/>
      <c r="IH204" s="306"/>
      <c r="II204" s="306"/>
      <c r="IJ204" s="306"/>
      <c r="IK204" s="306"/>
      <c r="IL204" s="306"/>
      <c r="IM204" s="306"/>
      <c r="IN204" s="306"/>
      <c r="IO204" s="306"/>
      <c r="IP204" s="306"/>
      <c r="IQ204" s="306"/>
      <c r="IR204" s="306"/>
      <c r="IS204" s="306"/>
      <c r="IT204" s="306"/>
      <c r="IU204" s="306"/>
      <c r="IV204" s="306"/>
      <c r="IW204" s="306"/>
      <c r="IX204" s="306"/>
      <c r="IY204" s="306"/>
      <c r="IZ204" s="306"/>
      <c r="JA204" s="306"/>
      <c r="JB204" s="306"/>
      <c r="JC204" s="306"/>
      <c r="JD204" s="306"/>
      <c r="JE204" s="306"/>
      <c r="JF204" s="306"/>
      <c r="JG204" s="307"/>
      <c r="JH204" s="307"/>
      <c r="JI204" s="307"/>
      <c r="JJ204" s="307"/>
      <c r="JK204" s="307"/>
      <c r="JL204" s="243"/>
      <c r="JM204" s="243"/>
      <c r="JN204" s="243"/>
      <c r="JO204" s="243"/>
      <c r="JP204" s="243"/>
      <c r="JQ204" s="243"/>
      <c r="JR204" s="243"/>
      <c r="JS204" s="243"/>
      <c r="JT204" s="243"/>
      <c r="JU204" s="243"/>
      <c r="JV204" s="243"/>
      <c r="JW204" s="243"/>
      <c r="JX204" s="243"/>
      <c r="JY204" s="243"/>
      <c r="JZ204" s="243"/>
      <c r="KA204" s="243"/>
      <c r="KB204" s="243"/>
      <c r="KC204" s="243"/>
      <c r="KD204" s="243"/>
      <c r="KE204" s="243"/>
      <c r="KF204" s="243"/>
      <c r="KG204" s="243"/>
      <c r="KH204" s="243"/>
      <c r="KI204" s="243"/>
      <c r="KJ204" s="243"/>
      <c r="KK204" s="243"/>
      <c r="KL204" s="243"/>
      <c r="KM204" s="243"/>
      <c r="KN204" s="243"/>
      <c r="KO204" s="243"/>
      <c r="QQ204" s="230"/>
      <c r="QR204" s="231"/>
      <c r="QS204" s="249"/>
      <c r="QT204" s="249"/>
      <c r="QU204" s="249"/>
      <c r="QV204" s="249"/>
      <c r="QW204" s="250"/>
    </row>
    <row r="205" spans="3:465" ht="5.0999999999999996" customHeight="1" x14ac:dyDescent="0.25">
      <c r="C205" s="226"/>
      <c r="D205" s="227"/>
      <c r="E205" s="229"/>
      <c r="F205" s="229"/>
      <c r="G205" s="229"/>
      <c r="BE205" s="320"/>
      <c r="BF205" s="321"/>
      <c r="BG205" s="321"/>
      <c r="BH205" s="321"/>
      <c r="BI205" s="321"/>
      <c r="BJ205" s="321"/>
      <c r="BK205" s="321"/>
      <c r="BL205" s="321"/>
      <c r="BM205" s="321"/>
      <c r="BN205" s="321"/>
      <c r="BO205" s="321"/>
      <c r="BP205" s="321"/>
      <c r="BQ205" s="321"/>
      <c r="BR205" s="321"/>
      <c r="BS205" s="321"/>
      <c r="BT205" s="321"/>
      <c r="BU205" s="321"/>
      <c r="BV205" s="321"/>
      <c r="BW205" s="321"/>
      <c r="BX205" s="321"/>
      <c r="BY205" s="321"/>
      <c r="BZ205" s="321"/>
      <c r="CA205" s="321"/>
      <c r="CB205" s="321"/>
      <c r="CC205" s="321"/>
      <c r="CD205" s="321"/>
      <c r="CE205" s="321"/>
      <c r="CF205" s="321"/>
      <c r="CG205" s="321"/>
      <c r="CH205" s="321"/>
      <c r="CI205" s="321"/>
      <c r="CJ205" s="321"/>
      <c r="CK205" s="321"/>
      <c r="CL205" s="321"/>
      <c r="CM205" s="321"/>
      <c r="CN205" s="321"/>
      <c r="CO205" s="321"/>
      <c r="CP205" s="321"/>
      <c r="CQ205" s="321"/>
      <c r="CR205" s="321"/>
      <c r="CS205" s="322"/>
      <c r="CT205" s="311"/>
      <c r="CU205" s="312"/>
      <c r="CV205" s="312"/>
      <c r="CW205" s="312"/>
      <c r="CX205" s="313"/>
      <c r="GR205" s="243"/>
      <c r="GS205" s="243"/>
      <c r="GT205" s="243"/>
      <c r="GU205" s="243"/>
      <c r="GV205" s="243"/>
      <c r="GW205" s="243"/>
      <c r="GX205" s="243"/>
      <c r="GY205" s="243"/>
      <c r="GZ205" s="243"/>
      <c r="HA205" s="243"/>
      <c r="HB205" s="243"/>
      <c r="HC205" s="243"/>
      <c r="HD205" s="243"/>
      <c r="HE205" s="243"/>
      <c r="HF205" s="243"/>
      <c r="HG205" s="243"/>
      <c r="HH205" s="243"/>
      <c r="HI205" s="243"/>
      <c r="HJ205" s="243"/>
      <c r="HK205" s="243"/>
      <c r="HL205" s="243"/>
      <c r="HM205" s="243"/>
      <c r="HN205" s="243"/>
      <c r="HO205" s="243"/>
      <c r="HP205" s="306"/>
      <c r="HQ205" s="306"/>
      <c r="HR205" s="306"/>
      <c r="HS205" s="306"/>
      <c r="HT205" s="306"/>
      <c r="HU205" s="306"/>
      <c r="HV205" s="306"/>
      <c r="HW205" s="306"/>
      <c r="HX205" s="306"/>
      <c r="HY205" s="306"/>
      <c r="HZ205" s="306"/>
      <c r="IA205" s="306"/>
      <c r="IB205" s="306"/>
      <c r="IC205" s="306"/>
      <c r="ID205" s="306"/>
      <c r="IE205" s="306"/>
      <c r="IF205" s="306"/>
      <c r="IG205" s="306"/>
      <c r="IH205" s="306"/>
      <c r="II205" s="306"/>
      <c r="IJ205" s="306"/>
      <c r="IK205" s="306"/>
      <c r="IL205" s="306"/>
      <c r="IM205" s="306"/>
      <c r="IN205" s="306"/>
      <c r="IO205" s="306"/>
      <c r="IP205" s="306"/>
      <c r="IQ205" s="306"/>
      <c r="IR205" s="306"/>
      <c r="IS205" s="306"/>
      <c r="IT205" s="306"/>
      <c r="IU205" s="306"/>
      <c r="IV205" s="306"/>
      <c r="IW205" s="306"/>
      <c r="IX205" s="306"/>
      <c r="IY205" s="306"/>
      <c r="IZ205" s="306"/>
      <c r="JA205" s="306"/>
      <c r="JB205" s="306"/>
      <c r="JC205" s="306"/>
      <c r="JD205" s="306"/>
      <c r="JE205" s="306"/>
      <c r="JF205" s="306"/>
      <c r="JG205" s="307"/>
      <c r="JH205" s="307"/>
      <c r="JI205" s="307"/>
      <c r="JJ205" s="307"/>
      <c r="JK205" s="307"/>
      <c r="JL205" s="243"/>
      <c r="JM205" s="243"/>
      <c r="JN205" s="243"/>
      <c r="JO205" s="243"/>
      <c r="JP205" s="243"/>
      <c r="JQ205" s="243"/>
      <c r="JR205" s="243"/>
      <c r="JS205" s="243"/>
      <c r="JT205" s="243"/>
      <c r="JU205" s="243"/>
      <c r="JV205" s="243"/>
      <c r="JW205" s="243"/>
      <c r="JX205" s="243"/>
      <c r="JY205" s="243"/>
      <c r="JZ205" s="243"/>
      <c r="KA205" s="243"/>
      <c r="KB205" s="243"/>
      <c r="KC205" s="243"/>
      <c r="KD205" s="243"/>
      <c r="KE205" s="243"/>
      <c r="KF205" s="243"/>
      <c r="KG205" s="243"/>
      <c r="KH205" s="243"/>
      <c r="KI205" s="243"/>
      <c r="KJ205" s="243"/>
      <c r="KK205" s="243"/>
      <c r="KL205" s="243"/>
      <c r="KM205" s="243"/>
      <c r="KN205" s="243"/>
      <c r="KO205" s="243"/>
      <c r="QQ205" s="230"/>
      <c r="QR205" s="231"/>
      <c r="QS205" s="249"/>
      <c r="QT205" s="249"/>
      <c r="QU205" s="249"/>
      <c r="QV205" s="249"/>
      <c r="QW205" s="250"/>
    </row>
    <row r="206" spans="3:465" ht="5.0999999999999996" customHeight="1" x14ac:dyDescent="0.25">
      <c r="C206" s="226"/>
      <c r="D206" s="227"/>
      <c r="E206" s="229"/>
      <c r="F206" s="229"/>
      <c r="G206" s="229"/>
      <c r="BE206" s="320"/>
      <c r="BF206" s="321"/>
      <c r="BG206" s="321"/>
      <c r="BH206" s="321"/>
      <c r="BI206" s="321"/>
      <c r="BJ206" s="321"/>
      <c r="BK206" s="321"/>
      <c r="BL206" s="321"/>
      <c r="BM206" s="321"/>
      <c r="BN206" s="321"/>
      <c r="BO206" s="321"/>
      <c r="BP206" s="321"/>
      <c r="BQ206" s="321"/>
      <c r="BR206" s="321"/>
      <c r="BS206" s="321"/>
      <c r="BT206" s="321"/>
      <c r="BU206" s="321"/>
      <c r="BV206" s="321"/>
      <c r="BW206" s="321"/>
      <c r="BX206" s="321"/>
      <c r="BY206" s="321"/>
      <c r="BZ206" s="321"/>
      <c r="CA206" s="321"/>
      <c r="CB206" s="321"/>
      <c r="CC206" s="321"/>
      <c r="CD206" s="321"/>
      <c r="CE206" s="321"/>
      <c r="CF206" s="321"/>
      <c r="CG206" s="321"/>
      <c r="CH206" s="321"/>
      <c r="CI206" s="321"/>
      <c r="CJ206" s="321"/>
      <c r="CK206" s="321"/>
      <c r="CL206" s="321"/>
      <c r="CM206" s="321"/>
      <c r="CN206" s="321"/>
      <c r="CO206" s="321"/>
      <c r="CP206" s="321"/>
      <c r="CQ206" s="321"/>
      <c r="CR206" s="321"/>
      <c r="CS206" s="322"/>
      <c r="CT206" s="311"/>
      <c r="CU206" s="312"/>
      <c r="CV206" s="312"/>
      <c r="CW206" s="312"/>
      <c r="CX206" s="313"/>
      <c r="GR206" s="243"/>
      <c r="GS206" s="243"/>
      <c r="GT206" s="243"/>
      <c r="GU206" s="243"/>
      <c r="GV206" s="243"/>
      <c r="GW206" s="243"/>
      <c r="GX206" s="243"/>
      <c r="GY206" s="243"/>
      <c r="GZ206" s="243"/>
      <c r="HA206" s="243"/>
      <c r="HB206" s="243"/>
      <c r="HC206" s="243"/>
      <c r="HD206" s="243"/>
      <c r="HE206" s="243"/>
      <c r="HF206" s="243"/>
      <c r="HG206" s="243"/>
      <c r="HH206" s="243"/>
      <c r="HI206" s="243"/>
      <c r="HJ206" s="243"/>
      <c r="HK206" s="243"/>
      <c r="HL206" s="243"/>
      <c r="HM206" s="243"/>
      <c r="HN206" s="243"/>
      <c r="HO206" s="243"/>
      <c r="HP206" s="306"/>
      <c r="HQ206" s="306"/>
      <c r="HR206" s="306"/>
      <c r="HS206" s="306"/>
      <c r="HT206" s="306"/>
      <c r="HU206" s="306"/>
      <c r="HV206" s="306"/>
      <c r="HW206" s="306"/>
      <c r="HX206" s="306"/>
      <c r="HY206" s="306"/>
      <c r="HZ206" s="306"/>
      <c r="IA206" s="306"/>
      <c r="IB206" s="306"/>
      <c r="IC206" s="306"/>
      <c r="ID206" s="306"/>
      <c r="IE206" s="306"/>
      <c r="IF206" s="306"/>
      <c r="IG206" s="306"/>
      <c r="IH206" s="306"/>
      <c r="II206" s="306"/>
      <c r="IJ206" s="306"/>
      <c r="IK206" s="306"/>
      <c r="IL206" s="306"/>
      <c r="IM206" s="306"/>
      <c r="IN206" s="306"/>
      <c r="IO206" s="306"/>
      <c r="IP206" s="306"/>
      <c r="IQ206" s="306"/>
      <c r="IR206" s="306"/>
      <c r="IS206" s="306"/>
      <c r="IT206" s="306"/>
      <c r="IU206" s="306"/>
      <c r="IV206" s="306"/>
      <c r="IW206" s="306"/>
      <c r="IX206" s="306"/>
      <c r="IY206" s="306"/>
      <c r="IZ206" s="306"/>
      <c r="JA206" s="306"/>
      <c r="JB206" s="306"/>
      <c r="JC206" s="306"/>
      <c r="JD206" s="306"/>
      <c r="JE206" s="306"/>
      <c r="JF206" s="306"/>
      <c r="JG206" s="307"/>
      <c r="JH206" s="307"/>
      <c r="JI206" s="307"/>
      <c r="JJ206" s="307"/>
      <c r="JK206" s="307"/>
      <c r="JL206" s="243"/>
      <c r="JM206" s="243"/>
      <c r="JN206" s="243"/>
      <c r="JO206" s="243"/>
      <c r="JP206" s="243"/>
      <c r="JQ206" s="243"/>
      <c r="JR206" s="243"/>
      <c r="JS206" s="243"/>
      <c r="JT206" s="243"/>
      <c r="JU206" s="243"/>
      <c r="JV206" s="243"/>
      <c r="JW206" s="243"/>
      <c r="JX206" s="243"/>
      <c r="JY206" s="243"/>
      <c r="JZ206" s="243"/>
      <c r="KA206" s="243"/>
      <c r="KB206" s="243"/>
      <c r="KC206" s="243"/>
      <c r="KD206" s="243"/>
      <c r="KE206" s="243"/>
      <c r="KF206" s="243"/>
      <c r="KG206" s="243"/>
      <c r="KH206" s="243"/>
      <c r="KI206" s="243"/>
      <c r="KJ206" s="243"/>
      <c r="KK206" s="243"/>
      <c r="KL206" s="243"/>
      <c r="KM206" s="243"/>
      <c r="KN206" s="243"/>
      <c r="KO206" s="243"/>
      <c r="QQ206" s="230"/>
      <c r="QR206" s="231"/>
      <c r="QS206" s="249"/>
      <c r="QT206" s="249"/>
      <c r="QU206" s="249"/>
      <c r="QV206" s="249"/>
      <c r="QW206" s="250"/>
    </row>
    <row r="207" spans="3:465" ht="5.0999999999999996" customHeight="1" x14ac:dyDescent="0.25">
      <c r="C207" s="226"/>
      <c r="D207" s="227"/>
      <c r="E207" s="229"/>
      <c r="F207" s="229"/>
      <c r="G207" s="229"/>
      <c r="BE207" s="323"/>
      <c r="BF207" s="324"/>
      <c r="BG207" s="324"/>
      <c r="BH207" s="324"/>
      <c r="BI207" s="324"/>
      <c r="BJ207" s="324"/>
      <c r="BK207" s="324"/>
      <c r="BL207" s="324"/>
      <c r="BM207" s="324"/>
      <c r="BN207" s="324"/>
      <c r="BO207" s="324"/>
      <c r="BP207" s="324"/>
      <c r="BQ207" s="324"/>
      <c r="BR207" s="324"/>
      <c r="BS207" s="324"/>
      <c r="BT207" s="324"/>
      <c r="BU207" s="324"/>
      <c r="BV207" s="324"/>
      <c r="BW207" s="324"/>
      <c r="BX207" s="324"/>
      <c r="BY207" s="324"/>
      <c r="BZ207" s="324"/>
      <c r="CA207" s="324"/>
      <c r="CB207" s="324"/>
      <c r="CC207" s="324"/>
      <c r="CD207" s="324"/>
      <c r="CE207" s="324"/>
      <c r="CF207" s="324"/>
      <c r="CG207" s="324"/>
      <c r="CH207" s="324"/>
      <c r="CI207" s="324"/>
      <c r="CJ207" s="324"/>
      <c r="CK207" s="324"/>
      <c r="CL207" s="324"/>
      <c r="CM207" s="324"/>
      <c r="CN207" s="324"/>
      <c r="CO207" s="324"/>
      <c r="CP207" s="324"/>
      <c r="CQ207" s="324"/>
      <c r="CR207" s="324"/>
      <c r="CS207" s="325"/>
      <c r="CT207" s="314"/>
      <c r="CU207" s="315"/>
      <c r="CV207" s="315"/>
      <c r="CW207" s="315"/>
      <c r="CX207" s="316"/>
      <c r="GR207" s="243"/>
      <c r="GS207" s="243"/>
      <c r="GT207" s="243"/>
      <c r="GU207" s="243"/>
      <c r="GV207" s="243"/>
      <c r="GW207" s="243"/>
      <c r="GX207" s="243"/>
      <c r="GY207" s="243"/>
      <c r="GZ207" s="243"/>
      <c r="HA207" s="243"/>
      <c r="HB207" s="243"/>
      <c r="HC207" s="243"/>
      <c r="HD207" s="243"/>
      <c r="HE207" s="243"/>
      <c r="HF207" s="243"/>
      <c r="HG207" s="243"/>
      <c r="HH207" s="243"/>
      <c r="HI207" s="243"/>
      <c r="HJ207" s="243"/>
      <c r="HK207" s="243"/>
      <c r="HL207" s="243"/>
      <c r="HM207" s="243"/>
      <c r="HN207" s="243"/>
      <c r="HO207" s="243"/>
      <c r="HP207" s="286"/>
      <c r="HQ207" s="286"/>
      <c r="HR207" s="286"/>
      <c r="HS207" s="286"/>
      <c r="HT207" s="286"/>
      <c r="HU207" s="286"/>
      <c r="HV207" s="286"/>
      <c r="HW207" s="286"/>
      <c r="HX207" s="286"/>
      <c r="HY207" s="286"/>
      <c r="HZ207" s="286"/>
      <c r="IA207" s="286"/>
      <c r="IB207" s="286"/>
      <c r="IC207" s="286"/>
      <c r="ID207" s="286"/>
      <c r="IE207" s="286"/>
      <c r="IF207" s="286"/>
      <c r="IG207" s="286"/>
      <c r="IH207" s="286"/>
      <c r="II207" s="286"/>
      <c r="IJ207" s="286"/>
      <c r="IK207" s="286"/>
      <c r="IL207" s="286"/>
      <c r="IM207" s="286"/>
      <c r="IN207" s="286"/>
      <c r="IO207" s="286"/>
      <c r="IP207" s="286"/>
      <c r="IQ207" s="286"/>
      <c r="IR207" s="286"/>
      <c r="IS207" s="286"/>
      <c r="IT207" s="286"/>
      <c r="IU207" s="286"/>
      <c r="IV207" s="286"/>
      <c r="IW207" s="286"/>
      <c r="IX207" s="286"/>
      <c r="IY207" s="286"/>
      <c r="IZ207" s="286"/>
      <c r="JA207" s="286"/>
      <c r="JB207" s="286"/>
      <c r="JC207" s="286"/>
      <c r="JD207" s="286"/>
      <c r="JE207" s="286"/>
      <c r="JF207" s="286"/>
      <c r="JG207" s="286"/>
      <c r="JH207" s="286"/>
      <c r="JI207" s="286"/>
      <c r="JJ207" s="286"/>
      <c r="JK207" s="286"/>
      <c r="JL207" s="243"/>
      <c r="JM207" s="243"/>
      <c r="JN207" s="243"/>
      <c r="JO207" s="243"/>
      <c r="JP207" s="243"/>
      <c r="JQ207" s="243"/>
      <c r="JR207" s="243"/>
      <c r="JS207" s="243"/>
      <c r="JT207" s="243"/>
      <c r="JU207" s="243"/>
      <c r="JV207" s="243"/>
      <c r="JW207" s="243"/>
      <c r="JX207" s="243"/>
      <c r="JY207" s="243"/>
      <c r="JZ207" s="243"/>
      <c r="KA207" s="243"/>
      <c r="KB207" s="243"/>
      <c r="KC207" s="243"/>
      <c r="KD207" s="243"/>
      <c r="KE207" s="243"/>
      <c r="KF207" s="243"/>
      <c r="KG207" s="243"/>
      <c r="KH207" s="243"/>
      <c r="KI207" s="243"/>
      <c r="KJ207" s="243"/>
      <c r="KK207" s="243"/>
      <c r="KL207" s="243"/>
      <c r="KM207" s="243"/>
      <c r="KN207" s="243"/>
      <c r="KO207" s="243"/>
      <c r="QQ207" s="230"/>
      <c r="QR207" s="231"/>
      <c r="QS207" s="249"/>
      <c r="QT207" s="249"/>
      <c r="QU207" s="249"/>
      <c r="QV207" s="249"/>
      <c r="QW207" s="250"/>
    </row>
    <row r="208" spans="3:465" ht="5.0999999999999996" customHeight="1" x14ac:dyDescent="0.25">
      <c r="C208" s="226"/>
      <c r="D208" s="227"/>
      <c r="E208" s="229"/>
      <c r="F208" s="229"/>
      <c r="G208" s="229"/>
      <c r="BE208" s="308" t="s">
        <v>335</v>
      </c>
      <c r="BF208" s="309"/>
      <c r="BG208" s="309"/>
      <c r="BH208" s="309"/>
      <c r="BI208" s="309"/>
      <c r="BJ208" s="309"/>
      <c r="BK208" s="309"/>
      <c r="BL208" s="309"/>
      <c r="BM208" s="309"/>
      <c r="BN208" s="309"/>
      <c r="BO208" s="309"/>
      <c r="BP208" s="309"/>
      <c r="BQ208" s="309"/>
      <c r="BR208" s="309"/>
      <c r="BS208" s="309"/>
      <c r="BT208" s="309"/>
      <c r="BU208" s="309"/>
      <c r="BV208" s="309"/>
      <c r="BW208" s="309"/>
      <c r="BX208" s="309"/>
      <c r="BY208" s="309"/>
      <c r="BZ208" s="309"/>
      <c r="CA208" s="309"/>
      <c r="CB208" s="309"/>
      <c r="CC208" s="309"/>
      <c r="CD208" s="309"/>
      <c r="CE208" s="309"/>
      <c r="CF208" s="309"/>
      <c r="CG208" s="309"/>
      <c r="CH208" s="309"/>
      <c r="CI208" s="309"/>
      <c r="CJ208" s="309"/>
      <c r="CK208" s="309"/>
      <c r="CL208" s="309"/>
      <c r="CM208" s="309"/>
      <c r="CN208" s="309"/>
      <c r="CO208" s="309"/>
      <c r="CP208" s="309"/>
      <c r="CQ208" s="309"/>
      <c r="CR208" s="309"/>
      <c r="CS208" s="310"/>
      <c r="CT208" s="308">
        <v>2</v>
      </c>
      <c r="CU208" s="309"/>
      <c r="CV208" s="309"/>
      <c r="CW208" s="309"/>
      <c r="CX208" s="310"/>
      <c r="GR208" s="243"/>
      <c r="GS208" s="243"/>
      <c r="GT208" s="243"/>
      <c r="GU208" s="243"/>
      <c r="GV208" s="243"/>
      <c r="GW208" s="243"/>
      <c r="GX208" s="243"/>
      <c r="GY208" s="243"/>
      <c r="GZ208" s="243"/>
      <c r="HA208" s="243"/>
      <c r="HB208" s="243"/>
      <c r="HC208" s="243"/>
      <c r="HD208" s="243"/>
      <c r="HE208" s="243"/>
      <c r="HF208" s="243"/>
      <c r="HG208" s="243"/>
      <c r="HH208" s="243"/>
      <c r="HI208" s="243"/>
      <c r="HJ208" s="243"/>
      <c r="HK208" s="243"/>
      <c r="HL208" s="243"/>
      <c r="HM208" s="243"/>
      <c r="HN208" s="243"/>
      <c r="HO208" s="243"/>
      <c r="HP208" s="286"/>
      <c r="HQ208" s="286"/>
      <c r="HR208" s="286"/>
      <c r="HS208" s="286"/>
      <c r="HT208" s="286"/>
      <c r="HU208" s="286"/>
      <c r="HV208" s="286"/>
      <c r="HW208" s="286"/>
      <c r="HX208" s="286"/>
      <c r="HY208" s="286"/>
      <c r="HZ208" s="286"/>
      <c r="IA208" s="286"/>
      <c r="IB208" s="286"/>
      <c r="IC208" s="286"/>
      <c r="ID208" s="286"/>
      <c r="IE208" s="286"/>
      <c r="IF208" s="286"/>
      <c r="IG208" s="286"/>
      <c r="IH208" s="286"/>
      <c r="II208" s="286"/>
      <c r="IJ208" s="286"/>
      <c r="IK208" s="286"/>
      <c r="IL208" s="286"/>
      <c r="IM208" s="286"/>
      <c r="IN208" s="286"/>
      <c r="IO208" s="286"/>
      <c r="IP208" s="286"/>
      <c r="IQ208" s="286"/>
      <c r="IR208" s="286"/>
      <c r="IS208" s="286"/>
      <c r="IT208" s="286"/>
      <c r="IU208" s="286"/>
      <c r="IV208" s="286"/>
      <c r="IW208" s="286"/>
      <c r="IX208" s="286"/>
      <c r="IY208" s="286"/>
      <c r="IZ208" s="286"/>
      <c r="JA208" s="286"/>
      <c r="JB208" s="286"/>
      <c r="JC208" s="286"/>
      <c r="JD208" s="286"/>
      <c r="JE208" s="286"/>
      <c r="JF208" s="286"/>
      <c r="JG208" s="286"/>
      <c r="JH208" s="286"/>
      <c r="JI208" s="286"/>
      <c r="JJ208" s="286"/>
      <c r="JK208" s="286"/>
      <c r="JL208" s="243"/>
      <c r="JM208" s="243"/>
      <c r="JN208" s="243"/>
      <c r="JO208" s="243"/>
      <c r="JP208" s="243"/>
      <c r="JQ208" s="243"/>
      <c r="JR208" s="243"/>
      <c r="JS208" s="243"/>
      <c r="JT208" s="243"/>
      <c r="JU208" s="243"/>
      <c r="JV208" s="243"/>
      <c r="JW208" s="243"/>
      <c r="JX208" s="243"/>
      <c r="JY208" s="243"/>
      <c r="JZ208" s="243"/>
      <c r="KA208" s="243"/>
      <c r="KB208" s="243"/>
      <c r="KC208" s="243"/>
      <c r="KD208" s="243"/>
      <c r="KE208" s="243"/>
      <c r="KF208" s="243"/>
      <c r="KG208" s="243"/>
      <c r="KH208" s="243"/>
      <c r="KI208" s="243"/>
      <c r="KJ208" s="243"/>
      <c r="KK208" s="243"/>
      <c r="KL208" s="243"/>
      <c r="KM208" s="243"/>
      <c r="KN208" s="243"/>
      <c r="KO208" s="243"/>
      <c r="QQ208" s="230"/>
      <c r="QR208" s="231"/>
      <c r="QS208" s="249"/>
      <c r="QT208" s="249"/>
      <c r="QU208" s="249"/>
      <c r="QV208" s="249"/>
      <c r="QW208" s="250"/>
    </row>
    <row r="209" spans="3:484" ht="5.0999999999999996" customHeight="1" x14ac:dyDescent="0.25">
      <c r="C209" s="226"/>
      <c r="D209" s="227"/>
      <c r="E209" s="229"/>
      <c r="F209" s="229"/>
      <c r="G209" s="229"/>
      <c r="BE209" s="311"/>
      <c r="BF209" s="312"/>
      <c r="BG209" s="312"/>
      <c r="BH209" s="312"/>
      <c r="BI209" s="312"/>
      <c r="BJ209" s="312"/>
      <c r="BK209" s="312"/>
      <c r="BL209" s="312"/>
      <c r="BM209" s="312"/>
      <c r="BN209" s="312"/>
      <c r="BO209" s="312"/>
      <c r="BP209" s="312"/>
      <c r="BQ209" s="312"/>
      <c r="BR209" s="312"/>
      <c r="BS209" s="312"/>
      <c r="BT209" s="312"/>
      <c r="BU209" s="312"/>
      <c r="BV209" s="312"/>
      <c r="BW209" s="312"/>
      <c r="BX209" s="312"/>
      <c r="BY209" s="312"/>
      <c r="BZ209" s="312"/>
      <c r="CA209" s="312"/>
      <c r="CB209" s="312"/>
      <c r="CC209" s="312"/>
      <c r="CD209" s="312"/>
      <c r="CE209" s="312"/>
      <c r="CF209" s="312"/>
      <c r="CG209" s="312"/>
      <c r="CH209" s="312"/>
      <c r="CI209" s="312"/>
      <c r="CJ209" s="312"/>
      <c r="CK209" s="312"/>
      <c r="CL209" s="312"/>
      <c r="CM209" s="312"/>
      <c r="CN209" s="312"/>
      <c r="CO209" s="312"/>
      <c r="CP209" s="312"/>
      <c r="CQ209" s="312"/>
      <c r="CR209" s="312"/>
      <c r="CS209" s="313"/>
      <c r="CT209" s="311"/>
      <c r="CU209" s="312"/>
      <c r="CV209" s="312"/>
      <c r="CW209" s="312"/>
      <c r="CX209" s="313"/>
      <c r="GR209" s="243"/>
      <c r="GS209" s="243"/>
      <c r="GT209" s="243"/>
      <c r="GU209" s="243"/>
      <c r="GV209" s="243"/>
      <c r="GW209" s="243"/>
      <c r="GX209" s="243"/>
      <c r="GY209" s="243"/>
      <c r="GZ209" s="243"/>
      <c r="HA209" s="243"/>
      <c r="HB209" s="243"/>
      <c r="HC209" s="243"/>
      <c r="HD209" s="243"/>
      <c r="HE209" s="243"/>
      <c r="HF209" s="243"/>
      <c r="HG209" s="243"/>
      <c r="HH209" s="243"/>
      <c r="HI209" s="243"/>
      <c r="HJ209" s="243"/>
      <c r="HK209" s="243"/>
      <c r="HL209" s="243"/>
      <c r="HM209" s="243"/>
      <c r="HN209" s="243"/>
      <c r="HO209" s="243"/>
      <c r="HP209" s="286"/>
      <c r="HQ209" s="286"/>
      <c r="HR209" s="286"/>
      <c r="HS209" s="286"/>
      <c r="HT209" s="286"/>
      <c r="HU209" s="286"/>
      <c r="HV209" s="286"/>
      <c r="HW209" s="286"/>
      <c r="HX209" s="286"/>
      <c r="HY209" s="286"/>
      <c r="HZ209" s="286"/>
      <c r="IA209" s="286"/>
      <c r="IB209" s="286"/>
      <c r="IC209" s="286"/>
      <c r="ID209" s="286"/>
      <c r="IE209" s="286"/>
      <c r="IF209" s="286"/>
      <c r="IG209" s="286"/>
      <c r="IH209" s="286"/>
      <c r="II209" s="286"/>
      <c r="IJ209" s="286"/>
      <c r="IK209" s="286"/>
      <c r="IL209" s="286"/>
      <c r="IM209" s="286"/>
      <c r="IN209" s="286"/>
      <c r="IO209" s="286"/>
      <c r="IP209" s="286"/>
      <c r="IQ209" s="286"/>
      <c r="IR209" s="286"/>
      <c r="IS209" s="286"/>
      <c r="IT209" s="286"/>
      <c r="IU209" s="286"/>
      <c r="IV209" s="286"/>
      <c r="IW209" s="286"/>
      <c r="IX209" s="286"/>
      <c r="IY209" s="286"/>
      <c r="IZ209" s="286"/>
      <c r="JA209" s="286"/>
      <c r="JB209" s="286"/>
      <c r="JC209" s="286"/>
      <c r="JD209" s="286"/>
      <c r="JE209" s="286"/>
      <c r="JF209" s="286"/>
      <c r="JG209" s="286"/>
      <c r="JH209" s="286"/>
      <c r="JI209" s="286"/>
      <c r="JJ209" s="286"/>
      <c r="JK209" s="286"/>
      <c r="JL209" s="243"/>
      <c r="JM209" s="243"/>
      <c r="JN209" s="243"/>
      <c r="JO209" s="243"/>
      <c r="JP209" s="243"/>
      <c r="JQ209" s="243"/>
      <c r="JR209" s="243"/>
      <c r="JS209" s="243"/>
      <c r="JT209" s="243"/>
      <c r="JU209" s="243"/>
      <c r="JV209" s="243"/>
      <c r="JW209" s="243"/>
      <c r="JX209" s="243"/>
      <c r="JY209" s="243"/>
      <c r="JZ209" s="243"/>
      <c r="KA209" s="243"/>
      <c r="KB209" s="243"/>
      <c r="KC209" s="243"/>
      <c r="KD209" s="243"/>
      <c r="KE209" s="243"/>
      <c r="KF209" s="243"/>
      <c r="KG209" s="243"/>
      <c r="KH209" s="243"/>
      <c r="KI209" s="243"/>
      <c r="KJ209" s="243"/>
      <c r="KK209" s="243"/>
      <c r="KL209" s="243"/>
      <c r="KM209" s="243"/>
      <c r="KN209" s="243"/>
      <c r="KO209" s="243"/>
      <c r="QQ209" s="230"/>
      <c r="QR209" s="231"/>
      <c r="QS209" s="249"/>
      <c r="QT209" s="249"/>
      <c r="QU209" s="249"/>
      <c r="QV209" s="249"/>
      <c r="QW209" s="250"/>
    </row>
    <row r="210" spans="3:484" ht="5.0999999999999996" customHeight="1" x14ac:dyDescent="0.25">
      <c r="C210" s="226"/>
      <c r="D210" s="227"/>
      <c r="E210" s="229"/>
      <c r="F210" s="229"/>
      <c r="G210" s="229"/>
      <c r="BE210" s="311"/>
      <c r="BF210" s="312"/>
      <c r="BG210" s="312"/>
      <c r="BH210" s="312"/>
      <c r="BI210" s="312"/>
      <c r="BJ210" s="312"/>
      <c r="BK210" s="312"/>
      <c r="BL210" s="312"/>
      <c r="BM210" s="312"/>
      <c r="BN210" s="312"/>
      <c r="BO210" s="312"/>
      <c r="BP210" s="312"/>
      <c r="BQ210" s="312"/>
      <c r="BR210" s="312"/>
      <c r="BS210" s="312"/>
      <c r="BT210" s="312"/>
      <c r="BU210" s="312"/>
      <c r="BV210" s="312"/>
      <c r="BW210" s="312"/>
      <c r="BX210" s="312"/>
      <c r="BY210" s="312"/>
      <c r="BZ210" s="312"/>
      <c r="CA210" s="312"/>
      <c r="CB210" s="312"/>
      <c r="CC210" s="312"/>
      <c r="CD210" s="312"/>
      <c r="CE210" s="312"/>
      <c r="CF210" s="312"/>
      <c r="CG210" s="312"/>
      <c r="CH210" s="312"/>
      <c r="CI210" s="312"/>
      <c r="CJ210" s="312"/>
      <c r="CK210" s="312"/>
      <c r="CL210" s="312"/>
      <c r="CM210" s="312"/>
      <c r="CN210" s="312"/>
      <c r="CO210" s="312"/>
      <c r="CP210" s="312"/>
      <c r="CQ210" s="312"/>
      <c r="CR210" s="312"/>
      <c r="CS210" s="313"/>
      <c r="CT210" s="311"/>
      <c r="CU210" s="312"/>
      <c r="CV210" s="312"/>
      <c r="CW210" s="312"/>
      <c r="CX210" s="313"/>
      <c r="GR210" s="243"/>
      <c r="GS210" s="243"/>
      <c r="GT210" s="243"/>
      <c r="GU210" s="243"/>
      <c r="GV210" s="243"/>
      <c r="GW210" s="243"/>
      <c r="GX210" s="243"/>
      <c r="GY210" s="243"/>
      <c r="GZ210" s="243"/>
      <c r="HA210" s="243"/>
      <c r="HB210" s="243"/>
      <c r="HC210" s="243"/>
      <c r="HD210" s="243"/>
      <c r="HE210" s="243"/>
      <c r="HF210" s="243"/>
      <c r="HG210" s="243"/>
      <c r="HH210" s="243"/>
      <c r="HI210" s="243"/>
      <c r="HJ210" s="243"/>
      <c r="HK210" s="243"/>
      <c r="HL210" s="243"/>
      <c r="HM210" s="243"/>
      <c r="HN210" s="243"/>
      <c r="HO210" s="243"/>
      <c r="HP210" s="286"/>
      <c r="HQ210" s="286"/>
      <c r="HR210" s="286"/>
      <c r="HS210" s="286"/>
      <c r="HT210" s="286"/>
      <c r="HU210" s="286"/>
      <c r="HV210" s="286"/>
      <c r="HW210" s="286"/>
      <c r="HX210" s="286"/>
      <c r="HY210" s="286"/>
      <c r="HZ210" s="286"/>
      <c r="IA210" s="286"/>
      <c r="IB210" s="286"/>
      <c r="IC210" s="286"/>
      <c r="ID210" s="286"/>
      <c r="IE210" s="286"/>
      <c r="IF210" s="286"/>
      <c r="IG210" s="286"/>
      <c r="IH210" s="286"/>
      <c r="II210" s="286"/>
      <c r="IJ210" s="286"/>
      <c r="IK210" s="286"/>
      <c r="IL210" s="286"/>
      <c r="IM210" s="286"/>
      <c r="IN210" s="286"/>
      <c r="IO210" s="286"/>
      <c r="IP210" s="286"/>
      <c r="IQ210" s="286"/>
      <c r="IR210" s="286"/>
      <c r="IS210" s="286"/>
      <c r="IT210" s="286"/>
      <c r="IU210" s="286"/>
      <c r="IV210" s="286"/>
      <c r="IW210" s="286"/>
      <c r="IX210" s="286"/>
      <c r="IY210" s="286"/>
      <c r="IZ210" s="286"/>
      <c r="JA210" s="286"/>
      <c r="JB210" s="286"/>
      <c r="JC210" s="286"/>
      <c r="JD210" s="286"/>
      <c r="JE210" s="286"/>
      <c r="JF210" s="286"/>
      <c r="JG210" s="286"/>
      <c r="JH210" s="286"/>
      <c r="JI210" s="286"/>
      <c r="JJ210" s="286"/>
      <c r="JK210" s="286"/>
      <c r="JL210" s="243"/>
      <c r="JM210" s="243"/>
      <c r="JN210" s="243"/>
      <c r="JO210" s="243"/>
      <c r="JP210" s="243"/>
      <c r="JQ210" s="243"/>
      <c r="JR210" s="243"/>
      <c r="JS210" s="243"/>
      <c r="JT210" s="243"/>
      <c r="JU210" s="243"/>
      <c r="JV210" s="243"/>
      <c r="JW210" s="243"/>
      <c r="JX210" s="243"/>
      <c r="JY210" s="243"/>
      <c r="JZ210" s="243"/>
      <c r="KA210" s="243"/>
      <c r="KB210" s="243"/>
      <c r="KC210" s="243"/>
      <c r="KD210" s="243"/>
      <c r="KE210" s="243"/>
      <c r="KF210" s="243"/>
      <c r="KG210" s="243"/>
      <c r="KH210" s="243"/>
      <c r="KI210" s="243"/>
      <c r="KJ210" s="243"/>
      <c r="KK210" s="243"/>
      <c r="KL210" s="243"/>
      <c r="KM210" s="243"/>
      <c r="KN210" s="243"/>
      <c r="KO210" s="243"/>
      <c r="QQ210" s="230"/>
      <c r="QR210" s="231"/>
      <c r="QS210" s="249"/>
      <c r="QT210" s="249"/>
      <c r="QU210" s="249"/>
      <c r="QV210" s="249"/>
      <c r="QW210" s="250"/>
    </row>
    <row r="211" spans="3:484" ht="5.0999999999999996" customHeight="1" x14ac:dyDescent="0.25">
      <c r="C211" s="226"/>
      <c r="D211" s="227"/>
      <c r="E211" s="229"/>
      <c r="F211" s="229"/>
      <c r="G211" s="229"/>
      <c r="BE211" s="311"/>
      <c r="BF211" s="312"/>
      <c r="BG211" s="312"/>
      <c r="BH211" s="312"/>
      <c r="BI211" s="312"/>
      <c r="BJ211" s="312"/>
      <c r="BK211" s="312"/>
      <c r="BL211" s="312"/>
      <c r="BM211" s="312"/>
      <c r="BN211" s="312"/>
      <c r="BO211" s="312"/>
      <c r="BP211" s="312"/>
      <c r="BQ211" s="312"/>
      <c r="BR211" s="312"/>
      <c r="BS211" s="312"/>
      <c r="BT211" s="312"/>
      <c r="BU211" s="312"/>
      <c r="BV211" s="312"/>
      <c r="BW211" s="312"/>
      <c r="BX211" s="312"/>
      <c r="BY211" s="312"/>
      <c r="BZ211" s="312"/>
      <c r="CA211" s="312"/>
      <c r="CB211" s="312"/>
      <c r="CC211" s="312"/>
      <c r="CD211" s="312"/>
      <c r="CE211" s="312"/>
      <c r="CF211" s="312"/>
      <c r="CG211" s="312"/>
      <c r="CH211" s="312"/>
      <c r="CI211" s="312"/>
      <c r="CJ211" s="312"/>
      <c r="CK211" s="312"/>
      <c r="CL211" s="312"/>
      <c r="CM211" s="312"/>
      <c r="CN211" s="312"/>
      <c r="CO211" s="312"/>
      <c r="CP211" s="312"/>
      <c r="CQ211" s="312"/>
      <c r="CR211" s="312"/>
      <c r="CS211" s="313"/>
      <c r="CT211" s="311"/>
      <c r="CU211" s="312"/>
      <c r="CV211" s="312"/>
      <c r="CW211" s="312"/>
      <c r="CX211" s="313"/>
      <c r="GR211" s="243"/>
      <c r="GS211" s="243"/>
      <c r="GT211" s="243"/>
      <c r="GU211" s="243"/>
      <c r="GV211" s="243"/>
      <c r="GW211" s="243"/>
      <c r="GX211" s="243"/>
      <c r="GY211" s="243"/>
      <c r="GZ211" s="243"/>
      <c r="HA211" s="243"/>
      <c r="HB211" s="243"/>
      <c r="HC211" s="243"/>
      <c r="HD211" s="243"/>
      <c r="HE211" s="243"/>
      <c r="HF211" s="243"/>
      <c r="HG211" s="243"/>
      <c r="HH211" s="243"/>
      <c r="HI211" s="243"/>
      <c r="HJ211" s="243"/>
      <c r="HK211" s="243"/>
      <c r="HL211" s="243"/>
      <c r="HM211" s="243"/>
      <c r="HN211" s="243"/>
      <c r="HO211" s="243"/>
      <c r="HP211" s="286"/>
      <c r="HQ211" s="286"/>
      <c r="HR211" s="286"/>
      <c r="HS211" s="286"/>
      <c r="HT211" s="286"/>
      <c r="HU211" s="286"/>
      <c r="HV211" s="286"/>
      <c r="HW211" s="286"/>
      <c r="HX211" s="286"/>
      <c r="HY211" s="286"/>
      <c r="HZ211" s="286"/>
      <c r="IA211" s="286"/>
      <c r="IB211" s="286"/>
      <c r="IC211" s="286"/>
      <c r="ID211" s="286"/>
      <c r="IE211" s="286"/>
      <c r="IF211" s="286"/>
      <c r="IG211" s="286"/>
      <c r="IH211" s="286"/>
      <c r="II211" s="286"/>
      <c r="IJ211" s="286"/>
      <c r="IK211" s="286"/>
      <c r="IL211" s="286"/>
      <c r="IM211" s="286"/>
      <c r="IN211" s="286"/>
      <c r="IO211" s="286"/>
      <c r="IP211" s="286"/>
      <c r="IQ211" s="286"/>
      <c r="IR211" s="286"/>
      <c r="IS211" s="286"/>
      <c r="IT211" s="286"/>
      <c r="IU211" s="286"/>
      <c r="IV211" s="286"/>
      <c r="IW211" s="286"/>
      <c r="IX211" s="286"/>
      <c r="IY211" s="286"/>
      <c r="IZ211" s="286"/>
      <c r="JA211" s="286"/>
      <c r="JB211" s="286"/>
      <c r="JC211" s="286"/>
      <c r="JD211" s="286"/>
      <c r="JE211" s="286"/>
      <c r="JF211" s="286"/>
      <c r="JG211" s="286"/>
      <c r="JH211" s="286"/>
      <c r="JI211" s="286"/>
      <c r="JJ211" s="286"/>
      <c r="JK211" s="286"/>
      <c r="JL211" s="243"/>
      <c r="JM211" s="243"/>
      <c r="JN211" s="243"/>
      <c r="JO211" s="243"/>
      <c r="JP211" s="243"/>
      <c r="JQ211" s="243"/>
      <c r="JR211" s="243"/>
      <c r="JS211" s="243"/>
      <c r="JT211" s="243"/>
      <c r="JU211" s="243"/>
      <c r="JV211" s="243"/>
      <c r="JW211" s="243"/>
      <c r="JX211" s="243"/>
      <c r="JY211" s="243"/>
      <c r="JZ211" s="243"/>
      <c r="KA211" s="243"/>
      <c r="KB211" s="243"/>
      <c r="KC211" s="243"/>
      <c r="KD211" s="243"/>
      <c r="KE211" s="243"/>
      <c r="KF211" s="243"/>
      <c r="KG211" s="243"/>
      <c r="KH211" s="243"/>
      <c r="KI211" s="243"/>
      <c r="KJ211" s="243"/>
      <c r="KK211" s="243"/>
      <c r="KL211" s="243"/>
      <c r="KM211" s="243"/>
      <c r="KN211" s="243"/>
      <c r="KO211" s="243"/>
      <c r="QQ211" s="230"/>
      <c r="QR211" s="231"/>
      <c r="QS211" s="249"/>
      <c r="QT211" s="249"/>
      <c r="QU211" s="249"/>
      <c r="QV211" s="249"/>
      <c r="QW211" s="250"/>
    </row>
    <row r="212" spans="3:484" ht="5.0999999999999996" customHeight="1" x14ac:dyDescent="0.25">
      <c r="C212" s="226"/>
      <c r="D212" s="227"/>
      <c r="E212" s="229"/>
      <c r="F212" s="229"/>
      <c r="G212" s="229"/>
      <c r="BE212" s="311"/>
      <c r="BF212" s="312"/>
      <c r="BG212" s="312"/>
      <c r="BH212" s="312"/>
      <c r="BI212" s="312"/>
      <c r="BJ212" s="312"/>
      <c r="BK212" s="312"/>
      <c r="BL212" s="312"/>
      <c r="BM212" s="312"/>
      <c r="BN212" s="312"/>
      <c r="BO212" s="312"/>
      <c r="BP212" s="312"/>
      <c r="BQ212" s="312"/>
      <c r="BR212" s="312"/>
      <c r="BS212" s="312"/>
      <c r="BT212" s="312"/>
      <c r="BU212" s="312"/>
      <c r="BV212" s="312"/>
      <c r="BW212" s="312"/>
      <c r="BX212" s="312"/>
      <c r="BY212" s="312"/>
      <c r="BZ212" s="312"/>
      <c r="CA212" s="312"/>
      <c r="CB212" s="312"/>
      <c r="CC212" s="312"/>
      <c r="CD212" s="312"/>
      <c r="CE212" s="312"/>
      <c r="CF212" s="312"/>
      <c r="CG212" s="312"/>
      <c r="CH212" s="312"/>
      <c r="CI212" s="312"/>
      <c r="CJ212" s="312"/>
      <c r="CK212" s="312"/>
      <c r="CL212" s="312"/>
      <c r="CM212" s="312"/>
      <c r="CN212" s="312"/>
      <c r="CO212" s="312"/>
      <c r="CP212" s="312"/>
      <c r="CQ212" s="312"/>
      <c r="CR212" s="312"/>
      <c r="CS212" s="313"/>
      <c r="CT212" s="311"/>
      <c r="CU212" s="312"/>
      <c r="CV212" s="312"/>
      <c r="CW212" s="312"/>
      <c r="CX212" s="313"/>
      <c r="GR212" s="243"/>
      <c r="GS212" s="243"/>
      <c r="GT212" s="243"/>
      <c r="GU212" s="243"/>
      <c r="GV212" s="243"/>
      <c r="GW212" s="243"/>
      <c r="GX212" s="243"/>
      <c r="GY212" s="243"/>
      <c r="GZ212" s="243"/>
      <c r="HA212" s="243"/>
      <c r="HB212" s="243"/>
      <c r="HC212" s="243"/>
      <c r="HD212" s="243"/>
      <c r="HE212" s="243"/>
      <c r="HF212" s="243"/>
      <c r="HG212" s="243"/>
      <c r="HH212" s="243"/>
      <c r="HI212" s="243"/>
      <c r="HJ212" s="243"/>
      <c r="HK212" s="243"/>
      <c r="HL212" s="243"/>
      <c r="HM212" s="243"/>
      <c r="HN212" s="243"/>
      <c r="HO212" s="243"/>
      <c r="HP212" s="286"/>
      <c r="HQ212" s="286"/>
      <c r="HR212" s="286"/>
      <c r="HS212" s="286"/>
      <c r="HT212" s="286"/>
      <c r="HU212" s="286"/>
      <c r="HV212" s="286"/>
      <c r="HW212" s="286"/>
      <c r="HX212" s="286"/>
      <c r="HY212" s="286"/>
      <c r="HZ212" s="286"/>
      <c r="IA212" s="286"/>
      <c r="IB212" s="286"/>
      <c r="IC212" s="286"/>
      <c r="ID212" s="286"/>
      <c r="IE212" s="286"/>
      <c r="IF212" s="286"/>
      <c r="IG212" s="286"/>
      <c r="IH212" s="286"/>
      <c r="II212" s="286"/>
      <c r="IJ212" s="286"/>
      <c r="IK212" s="286"/>
      <c r="IL212" s="286"/>
      <c r="IM212" s="286"/>
      <c r="IN212" s="286"/>
      <c r="IO212" s="286"/>
      <c r="IP212" s="286"/>
      <c r="IQ212" s="286"/>
      <c r="IR212" s="286"/>
      <c r="IS212" s="286"/>
      <c r="IT212" s="286"/>
      <c r="IU212" s="286"/>
      <c r="IV212" s="286"/>
      <c r="IW212" s="286"/>
      <c r="IX212" s="286"/>
      <c r="IY212" s="286"/>
      <c r="IZ212" s="286"/>
      <c r="JA212" s="286"/>
      <c r="JB212" s="286"/>
      <c r="JC212" s="286"/>
      <c r="JD212" s="286"/>
      <c r="JE212" s="286"/>
      <c r="JF212" s="286"/>
      <c r="JG212" s="286"/>
      <c r="JH212" s="286"/>
      <c r="JI212" s="286"/>
      <c r="JJ212" s="286"/>
      <c r="JK212" s="286"/>
      <c r="JL212" s="243"/>
      <c r="JM212" s="243"/>
      <c r="JN212" s="243"/>
      <c r="JO212" s="243"/>
      <c r="JP212" s="243"/>
      <c r="JQ212" s="243"/>
      <c r="JR212" s="243"/>
      <c r="JS212" s="243"/>
      <c r="JT212" s="243"/>
      <c r="JU212" s="243"/>
      <c r="JV212" s="243"/>
      <c r="JW212" s="243"/>
      <c r="JX212" s="243"/>
      <c r="JY212" s="243"/>
      <c r="JZ212" s="243"/>
      <c r="KA212" s="243"/>
      <c r="KB212" s="243"/>
      <c r="KC212" s="243"/>
      <c r="KD212" s="243"/>
      <c r="KE212" s="243"/>
      <c r="KF212" s="243"/>
      <c r="KG212" s="243"/>
      <c r="KH212" s="243"/>
      <c r="KI212" s="243"/>
      <c r="KJ212" s="243"/>
      <c r="KK212" s="243"/>
      <c r="KL212" s="243"/>
      <c r="KM212" s="243"/>
      <c r="KN212" s="243"/>
      <c r="KO212" s="243"/>
      <c r="QQ212" s="230"/>
      <c r="QR212" s="231"/>
      <c r="QS212" s="249"/>
      <c r="QT212" s="249"/>
      <c r="QU212" s="249"/>
      <c r="QV212" s="249"/>
      <c r="QW212" s="250"/>
    </row>
    <row r="213" spans="3:484" ht="5.0999999999999996" customHeight="1" x14ac:dyDescent="0.25">
      <c r="C213" s="226"/>
      <c r="D213" s="227"/>
      <c r="E213" s="229"/>
      <c r="F213" s="229"/>
      <c r="G213" s="229"/>
      <c r="BE213" s="311"/>
      <c r="BF213" s="312"/>
      <c r="BG213" s="312"/>
      <c r="BH213" s="312"/>
      <c r="BI213" s="312"/>
      <c r="BJ213" s="312"/>
      <c r="BK213" s="312"/>
      <c r="BL213" s="312"/>
      <c r="BM213" s="312"/>
      <c r="BN213" s="312"/>
      <c r="BO213" s="312"/>
      <c r="BP213" s="312"/>
      <c r="BQ213" s="312"/>
      <c r="BR213" s="312"/>
      <c r="BS213" s="312"/>
      <c r="BT213" s="312"/>
      <c r="BU213" s="312"/>
      <c r="BV213" s="312"/>
      <c r="BW213" s="312"/>
      <c r="BX213" s="312"/>
      <c r="BY213" s="312"/>
      <c r="BZ213" s="312"/>
      <c r="CA213" s="312"/>
      <c r="CB213" s="312"/>
      <c r="CC213" s="312"/>
      <c r="CD213" s="312"/>
      <c r="CE213" s="312"/>
      <c r="CF213" s="312"/>
      <c r="CG213" s="312"/>
      <c r="CH213" s="312"/>
      <c r="CI213" s="312"/>
      <c r="CJ213" s="312"/>
      <c r="CK213" s="312"/>
      <c r="CL213" s="312"/>
      <c r="CM213" s="312"/>
      <c r="CN213" s="312"/>
      <c r="CO213" s="312"/>
      <c r="CP213" s="312"/>
      <c r="CQ213" s="312"/>
      <c r="CR213" s="312"/>
      <c r="CS213" s="313"/>
      <c r="CT213" s="311"/>
      <c r="CU213" s="312"/>
      <c r="CV213" s="312"/>
      <c r="CW213" s="312"/>
      <c r="CX213" s="313"/>
      <c r="GR213" s="243"/>
      <c r="GS213" s="243"/>
      <c r="GT213" s="243"/>
      <c r="GU213" s="243"/>
      <c r="GV213" s="243"/>
      <c r="GW213" s="243"/>
      <c r="GX213" s="243"/>
      <c r="GY213" s="243"/>
      <c r="GZ213" s="243"/>
      <c r="HA213" s="243"/>
      <c r="HB213" s="243"/>
      <c r="HC213" s="243"/>
      <c r="HD213" s="243"/>
      <c r="HE213" s="243"/>
      <c r="HF213" s="243"/>
      <c r="HG213" s="243"/>
      <c r="HH213" s="243"/>
      <c r="HI213" s="243"/>
      <c r="HJ213" s="243"/>
      <c r="HK213" s="243"/>
      <c r="HL213" s="243"/>
      <c r="HM213" s="243"/>
      <c r="HN213" s="243"/>
      <c r="HO213" s="243"/>
      <c r="HP213" s="286"/>
      <c r="HQ213" s="286"/>
      <c r="HR213" s="286"/>
      <c r="HS213" s="286"/>
      <c r="HT213" s="286"/>
      <c r="HU213" s="286"/>
      <c r="HV213" s="286"/>
      <c r="HW213" s="286"/>
      <c r="HX213" s="286"/>
      <c r="HY213" s="286"/>
      <c r="HZ213" s="286"/>
      <c r="IA213" s="286"/>
      <c r="IB213" s="286"/>
      <c r="IC213" s="286"/>
      <c r="ID213" s="286"/>
      <c r="IE213" s="286"/>
      <c r="IF213" s="286"/>
      <c r="IG213" s="286"/>
      <c r="IH213" s="286"/>
      <c r="II213" s="286"/>
      <c r="IJ213" s="286"/>
      <c r="IK213" s="286"/>
      <c r="IL213" s="286"/>
      <c r="IM213" s="286"/>
      <c r="IN213" s="286"/>
      <c r="IO213" s="286"/>
      <c r="IP213" s="286"/>
      <c r="IQ213" s="286"/>
      <c r="IR213" s="286"/>
      <c r="IS213" s="286"/>
      <c r="IT213" s="286"/>
      <c r="IU213" s="286"/>
      <c r="IV213" s="286"/>
      <c r="IW213" s="286"/>
      <c r="IX213" s="286"/>
      <c r="IY213" s="286"/>
      <c r="IZ213" s="286"/>
      <c r="JA213" s="286"/>
      <c r="JB213" s="286"/>
      <c r="JC213" s="286"/>
      <c r="JD213" s="286"/>
      <c r="JE213" s="286"/>
      <c r="JF213" s="286"/>
      <c r="JG213" s="286"/>
      <c r="JH213" s="286"/>
      <c r="JI213" s="286"/>
      <c r="JJ213" s="286"/>
      <c r="JK213" s="286"/>
      <c r="JL213" s="243"/>
      <c r="JM213" s="243"/>
      <c r="JN213" s="243"/>
      <c r="JO213" s="243"/>
      <c r="JP213" s="243"/>
      <c r="JQ213" s="243"/>
      <c r="JR213" s="243"/>
      <c r="JS213" s="243"/>
      <c r="JT213" s="243"/>
      <c r="JU213" s="243"/>
      <c r="JV213" s="243"/>
      <c r="JW213" s="243"/>
      <c r="JX213" s="243"/>
      <c r="JY213" s="243"/>
      <c r="JZ213" s="243"/>
      <c r="KA213" s="243"/>
      <c r="KB213" s="243"/>
      <c r="KC213" s="243"/>
      <c r="KD213" s="243"/>
      <c r="KE213" s="243"/>
      <c r="KF213" s="243"/>
      <c r="KG213" s="243"/>
      <c r="KH213" s="243"/>
      <c r="KI213" s="243"/>
      <c r="KJ213" s="243"/>
      <c r="KK213" s="243"/>
      <c r="KL213" s="243"/>
      <c r="KM213" s="243"/>
      <c r="KN213" s="243"/>
      <c r="KO213" s="243"/>
      <c r="QQ213" s="230"/>
      <c r="QR213" s="231"/>
      <c r="QS213" s="249"/>
      <c r="QT213" s="249"/>
      <c r="QU213" s="249"/>
      <c r="QV213" s="249"/>
      <c r="QW213" s="250"/>
    </row>
    <row r="214" spans="3:484" ht="5.0999999999999996" customHeight="1" x14ac:dyDescent="0.25">
      <c r="C214" s="226"/>
      <c r="D214" s="227"/>
      <c r="E214" s="229"/>
      <c r="F214" s="229"/>
      <c r="G214" s="229"/>
      <c r="BE214" s="311"/>
      <c r="BF214" s="312"/>
      <c r="BG214" s="312"/>
      <c r="BH214" s="312"/>
      <c r="BI214" s="312"/>
      <c r="BJ214" s="312"/>
      <c r="BK214" s="312"/>
      <c r="BL214" s="312"/>
      <c r="BM214" s="312"/>
      <c r="BN214" s="312"/>
      <c r="BO214" s="312"/>
      <c r="BP214" s="312"/>
      <c r="BQ214" s="312"/>
      <c r="BR214" s="312"/>
      <c r="BS214" s="312"/>
      <c r="BT214" s="312"/>
      <c r="BU214" s="312"/>
      <c r="BV214" s="312"/>
      <c r="BW214" s="312"/>
      <c r="BX214" s="312"/>
      <c r="BY214" s="312"/>
      <c r="BZ214" s="312"/>
      <c r="CA214" s="312"/>
      <c r="CB214" s="312"/>
      <c r="CC214" s="312"/>
      <c r="CD214" s="312"/>
      <c r="CE214" s="312"/>
      <c r="CF214" s="312"/>
      <c r="CG214" s="312"/>
      <c r="CH214" s="312"/>
      <c r="CI214" s="312"/>
      <c r="CJ214" s="312"/>
      <c r="CK214" s="312"/>
      <c r="CL214" s="312"/>
      <c r="CM214" s="312"/>
      <c r="CN214" s="312"/>
      <c r="CO214" s="312"/>
      <c r="CP214" s="312"/>
      <c r="CQ214" s="312"/>
      <c r="CR214" s="312"/>
      <c r="CS214" s="313"/>
      <c r="CT214" s="311"/>
      <c r="CU214" s="312"/>
      <c r="CV214" s="312"/>
      <c r="CW214" s="312"/>
      <c r="CX214" s="313"/>
      <c r="GR214" s="243"/>
      <c r="GS214" s="243"/>
      <c r="GT214" s="243"/>
      <c r="GU214" s="243"/>
      <c r="GV214" s="243"/>
      <c r="GW214" s="243"/>
      <c r="GX214" s="243"/>
      <c r="GY214" s="243"/>
      <c r="GZ214" s="243"/>
      <c r="HA214" s="243"/>
      <c r="HB214" s="243"/>
      <c r="HC214" s="243"/>
      <c r="HD214" s="243"/>
      <c r="HE214" s="243"/>
      <c r="HF214" s="243"/>
      <c r="HG214" s="243"/>
      <c r="HH214" s="243"/>
      <c r="HI214" s="243"/>
      <c r="HJ214" s="243"/>
      <c r="HK214" s="243"/>
      <c r="HL214" s="243"/>
      <c r="HM214" s="243"/>
      <c r="HN214" s="243"/>
      <c r="HO214" s="243"/>
      <c r="HP214" s="286"/>
      <c r="HQ214" s="286"/>
      <c r="HR214" s="286"/>
      <c r="HS214" s="286"/>
      <c r="HT214" s="286"/>
      <c r="HU214" s="286"/>
      <c r="HV214" s="286"/>
      <c r="HW214" s="286"/>
      <c r="HX214" s="286"/>
      <c r="HY214" s="286"/>
      <c r="HZ214" s="286"/>
      <c r="IA214" s="286"/>
      <c r="IB214" s="286"/>
      <c r="IC214" s="286"/>
      <c r="ID214" s="286"/>
      <c r="IE214" s="286"/>
      <c r="IF214" s="286"/>
      <c r="IG214" s="286"/>
      <c r="IH214" s="286"/>
      <c r="II214" s="286"/>
      <c r="IJ214" s="286"/>
      <c r="IK214" s="286"/>
      <c r="IL214" s="286"/>
      <c r="IM214" s="286"/>
      <c r="IN214" s="286"/>
      <c r="IO214" s="286"/>
      <c r="IP214" s="286"/>
      <c r="IQ214" s="286"/>
      <c r="IR214" s="286"/>
      <c r="IS214" s="286"/>
      <c r="IT214" s="286"/>
      <c r="IU214" s="286"/>
      <c r="IV214" s="286"/>
      <c r="IW214" s="286"/>
      <c r="IX214" s="286"/>
      <c r="IY214" s="286"/>
      <c r="IZ214" s="286"/>
      <c r="JA214" s="286"/>
      <c r="JB214" s="286"/>
      <c r="JC214" s="286"/>
      <c r="JD214" s="286"/>
      <c r="JE214" s="286"/>
      <c r="JF214" s="286"/>
      <c r="JG214" s="286"/>
      <c r="JH214" s="286"/>
      <c r="JI214" s="286"/>
      <c r="JJ214" s="286"/>
      <c r="JK214" s="286"/>
      <c r="JL214" s="243"/>
      <c r="JM214" s="243"/>
      <c r="JN214" s="243"/>
      <c r="JO214" s="243"/>
      <c r="JP214" s="243"/>
      <c r="JQ214" s="243"/>
      <c r="JR214" s="243"/>
      <c r="JS214" s="243"/>
      <c r="JT214" s="243"/>
      <c r="JU214" s="243"/>
      <c r="JV214" s="243"/>
      <c r="JW214" s="243"/>
      <c r="JX214" s="243"/>
      <c r="JY214" s="243"/>
      <c r="JZ214" s="243"/>
      <c r="KA214" s="243"/>
      <c r="KB214" s="243"/>
      <c r="KC214" s="243"/>
      <c r="KD214" s="243"/>
      <c r="KE214" s="243"/>
      <c r="KF214" s="243"/>
      <c r="KG214" s="243"/>
      <c r="KH214" s="243"/>
      <c r="KI214" s="243"/>
      <c r="KJ214" s="243"/>
      <c r="KK214" s="243"/>
      <c r="KL214" s="243"/>
      <c r="KM214" s="243"/>
      <c r="KN214" s="243"/>
      <c r="KO214" s="243"/>
      <c r="QQ214" s="230"/>
      <c r="QR214" s="231"/>
      <c r="QS214" s="249"/>
      <c r="QT214" s="249"/>
      <c r="QU214" s="249"/>
      <c r="QV214" s="249"/>
      <c r="QW214" s="250"/>
    </row>
    <row r="215" spans="3:484" ht="5.0999999999999996" customHeight="1" x14ac:dyDescent="0.25">
      <c r="C215" s="226"/>
      <c r="D215" s="227"/>
      <c r="E215" s="229"/>
      <c r="F215" s="229"/>
      <c r="G215" s="229"/>
      <c r="BE215" s="311"/>
      <c r="BF215" s="312"/>
      <c r="BG215" s="312"/>
      <c r="BH215" s="312"/>
      <c r="BI215" s="312"/>
      <c r="BJ215" s="312"/>
      <c r="BK215" s="312"/>
      <c r="BL215" s="312"/>
      <c r="BM215" s="312"/>
      <c r="BN215" s="312"/>
      <c r="BO215" s="312"/>
      <c r="BP215" s="312"/>
      <c r="BQ215" s="312"/>
      <c r="BR215" s="312"/>
      <c r="BS215" s="312"/>
      <c r="BT215" s="312"/>
      <c r="BU215" s="312"/>
      <c r="BV215" s="312"/>
      <c r="BW215" s="312"/>
      <c r="BX215" s="312"/>
      <c r="BY215" s="312"/>
      <c r="BZ215" s="312"/>
      <c r="CA215" s="312"/>
      <c r="CB215" s="312"/>
      <c r="CC215" s="312"/>
      <c r="CD215" s="312"/>
      <c r="CE215" s="312"/>
      <c r="CF215" s="312"/>
      <c r="CG215" s="312"/>
      <c r="CH215" s="312"/>
      <c r="CI215" s="312"/>
      <c r="CJ215" s="312"/>
      <c r="CK215" s="312"/>
      <c r="CL215" s="312"/>
      <c r="CM215" s="312"/>
      <c r="CN215" s="312"/>
      <c r="CO215" s="312"/>
      <c r="CP215" s="312"/>
      <c r="CQ215" s="312"/>
      <c r="CR215" s="312"/>
      <c r="CS215" s="313"/>
      <c r="CT215" s="311"/>
      <c r="CU215" s="312"/>
      <c r="CV215" s="312"/>
      <c r="CW215" s="312"/>
      <c r="CX215" s="313"/>
      <c r="GR215" s="243"/>
      <c r="GS215" s="243"/>
      <c r="GT215" s="243"/>
      <c r="GU215" s="243"/>
      <c r="GV215" s="243"/>
      <c r="GW215" s="243"/>
      <c r="GX215" s="243"/>
      <c r="GY215" s="243"/>
      <c r="GZ215" s="243"/>
      <c r="HA215" s="243"/>
      <c r="HB215" s="243"/>
      <c r="HC215" s="243"/>
      <c r="HD215" s="243"/>
      <c r="HE215" s="243"/>
      <c r="HF215" s="243"/>
      <c r="HG215" s="243"/>
      <c r="HH215" s="243"/>
      <c r="HI215" s="243"/>
      <c r="HJ215" s="243"/>
      <c r="HK215" s="243"/>
      <c r="HL215" s="243"/>
      <c r="HM215" s="243"/>
      <c r="HN215" s="243"/>
      <c r="HO215" s="243"/>
      <c r="HP215" s="286"/>
      <c r="HQ215" s="286"/>
      <c r="HR215" s="286"/>
      <c r="HS215" s="286"/>
      <c r="HT215" s="286"/>
      <c r="HU215" s="286"/>
      <c r="HV215" s="286"/>
      <c r="HW215" s="286"/>
      <c r="HX215" s="286"/>
      <c r="HY215" s="286"/>
      <c r="HZ215" s="286"/>
      <c r="IA215" s="286"/>
      <c r="IB215" s="286"/>
      <c r="IC215" s="286"/>
      <c r="ID215" s="286"/>
      <c r="IE215" s="286"/>
      <c r="IF215" s="286"/>
      <c r="IG215" s="286"/>
      <c r="IH215" s="286"/>
      <c r="II215" s="286"/>
      <c r="IJ215" s="286"/>
      <c r="IK215" s="286"/>
      <c r="IL215" s="286"/>
      <c r="IM215" s="286"/>
      <c r="IN215" s="286"/>
      <c r="IO215" s="286"/>
      <c r="IP215" s="286"/>
      <c r="IQ215" s="286"/>
      <c r="IR215" s="286"/>
      <c r="IS215" s="286"/>
      <c r="IT215" s="286"/>
      <c r="IU215" s="286"/>
      <c r="IV215" s="286"/>
      <c r="IW215" s="286"/>
      <c r="IX215" s="286"/>
      <c r="IY215" s="286"/>
      <c r="IZ215" s="286"/>
      <c r="JA215" s="286"/>
      <c r="JB215" s="286"/>
      <c r="JC215" s="286"/>
      <c r="JD215" s="286"/>
      <c r="JE215" s="286"/>
      <c r="JF215" s="286"/>
      <c r="JG215" s="286"/>
      <c r="JH215" s="286"/>
      <c r="JI215" s="286"/>
      <c r="JJ215" s="286"/>
      <c r="JK215" s="286"/>
      <c r="JL215" s="243"/>
      <c r="JM215" s="243"/>
      <c r="JN215" s="243"/>
      <c r="JO215" s="243"/>
      <c r="JP215" s="243"/>
      <c r="JQ215" s="243"/>
      <c r="JR215" s="243"/>
      <c r="JS215" s="243"/>
      <c r="JT215" s="243"/>
      <c r="JU215" s="243"/>
      <c r="JV215" s="243"/>
      <c r="JW215" s="243"/>
      <c r="JX215" s="243"/>
      <c r="JY215" s="243"/>
      <c r="JZ215" s="243"/>
      <c r="KA215" s="243"/>
      <c r="KB215" s="243"/>
      <c r="KC215" s="243"/>
      <c r="KD215" s="243"/>
      <c r="KE215" s="243"/>
      <c r="KF215" s="243"/>
      <c r="KG215" s="243"/>
      <c r="KH215" s="243"/>
      <c r="KI215" s="243"/>
      <c r="KJ215" s="243"/>
      <c r="KK215" s="243"/>
      <c r="KL215" s="243"/>
      <c r="KM215" s="243"/>
      <c r="KN215" s="243"/>
      <c r="KO215" s="243"/>
      <c r="QQ215" s="230"/>
      <c r="QR215" s="231"/>
      <c r="QS215" s="249"/>
      <c r="QT215" s="249"/>
      <c r="QU215" s="249"/>
      <c r="QV215" s="249"/>
      <c r="QW215" s="250"/>
    </row>
    <row r="216" spans="3:484" ht="5.0999999999999996" customHeight="1" x14ac:dyDescent="0.25">
      <c r="C216" s="226"/>
      <c r="D216" s="227"/>
      <c r="E216" s="229"/>
      <c r="F216" s="229"/>
      <c r="G216" s="229"/>
      <c r="H216" s="229"/>
      <c r="I216" s="229"/>
      <c r="J216" s="229"/>
      <c r="BE216" s="311"/>
      <c r="BF216" s="312"/>
      <c r="BG216" s="312"/>
      <c r="BH216" s="312"/>
      <c r="BI216" s="312"/>
      <c r="BJ216" s="312"/>
      <c r="BK216" s="312"/>
      <c r="BL216" s="312"/>
      <c r="BM216" s="312"/>
      <c r="BN216" s="312"/>
      <c r="BO216" s="312"/>
      <c r="BP216" s="312"/>
      <c r="BQ216" s="312"/>
      <c r="BR216" s="312"/>
      <c r="BS216" s="312"/>
      <c r="BT216" s="312"/>
      <c r="BU216" s="312"/>
      <c r="BV216" s="312"/>
      <c r="BW216" s="312"/>
      <c r="BX216" s="312"/>
      <c r="BY216" s="312"/>
      <c r="BZ216" s="312"/>
      <c r="CA216" s="312"/>
      <c r="CB216" s="312"/>
      <c r="CC216" s="312"/>
      <c r="CD216" s="312"/>
      <c r="CE216" s="312"/>
      <c r="CF216" s="312"/>
      <c r="CG216" s="312"/>
      <c r="CH216" s="312"/>
      <c r="CI216" s="312"/>
      <c r="CJ216" s="312"/>
      <c r="CK216" s="312"/>
      <c r="CL216" s="312"/>
      <c r="CM216" s="312"/>
      <c r="CN216" s="312"/>
      <c r="CO216" s="312"/>
      <c r="CP216" s="312"/>
      <c r="CQ216" s="312"/>
      <c r="CR216" s="312"/>
      <c r="CS216" s="313"/>
      <c r="CT216" s="311"/>
      <c r="CU216" s="312"/>
      <c r="CV216" s="312"/>
      <c r="CW216" s="312"/>
      <c r="CX216" s="313"/>
      <c r="GR216" s="243"/>
      <c r="GS216" s="243"/>
      <c r="GT216" s="243"/>
      <c r="GU216" s="243"/>
      <c r="GV216" s="243"/>
      <c r="GW216" s="243"/>
      <c r="GX216" s="243"/>
      <c r="GY216" s="243"/>
      <c r="GZ216" s="243"/>
      <c r="HA216" s="243"/>
      <c r="HB216" s="243"/>
      <c r="HC216" s="243"/>
      <c r="HD216" s="243"/>
      <c r="HE216" s="243"/>
      <c r="HF216" s="243"/>
      <c r="HG216" s="243"/>
      <c r="HH216" s="243"/>
      <c r="HI216" s="243"/>
      <c r="HJ216" s="243"/>
      <c r="HK216" s="243"/>
      <c r="HL216" s="243"/>
      <c r="HM216" s="243"/>
      <c r="HN216" s="243"/>
      <c r="HO216" s="243"/>
      <c r="HP216" s="286"/>
      <c r="HQ216" s="286"/>
      <c r="HR216" s="286"/>
      <c r="HS216" s="286"/>
      <c r="HT216" s="286"/>
      <c r="HU216" s="286"/>
      <c r="HV216" s="286"/>
      <c r="HW216" s="286"/>
      <c r="HX216" s="286"/>
      <c r="HY216" s="286"/>
      <c r="HZ216" s="286"/>
      <c r="IA216" s="286"/>
      <c r="IB216" s="286"/>
      <c r="IC216" s="286"/>
      <c r="ID216" s="286"/>
      <c r="IE216" s="286"/>
      <c r="IF216" s="286"/>
      <c r="IG216" s="286"/>
      <c r="IH216" s="286"/>
      <c r="II216" s="286"/>
      <c r="IJ216" s="286"/>
      <c r="IK216" s="286"/>
      <c r="IL216" s="286"/>
      <c r="IM216" s="286"/>
      <c r="IN216" s="286"/>
      <c r="IO216" s="286"/>
      <c r="IP216" s="286"/>
      <c r="IQ216" s="286"/>
      <c r="IR216" s="286"/>
      <c r="IS216" s="286"/>
      <c r="IT216" s="286"/>
      <c r="IU216" s="286"/>
      <c r="IV216" s="286"/>
      <c r="IW216" s="286"/>
      <c r="IX216" s="286"/>
      <c r="IY216" s="286"/>
      <c r="IZ216" s="286"/>
      <c r="JA216" s="286"/>
      <c r="JB216" s="286"/>
      <c r="JC216" s="286"/>
      <c r="JD216" s="286"/>
      <c r="JE216" s="286"/>
      <c r="JF216" s="286"/>
      <c r="JG216" s="286"/>
      <c r="JH216" s="286"/>
      <c r="JI216" s="286"/>
      <c r="JJ216" s="286"/>
      <c r="JK216" s="286"/>
      <c r="JL216" s="243"/>
      <c r="JM216" s="243"/>
      <c r="JN216" s="243"/>
      <c r="JO216" s="243"/>
      <c r="JP216" s="243"/>
      <c r="JQ216" s="243"/>
      <c r="JR216" s="243"/>
      <c r="JS216" s="243"/>
      <c r="JT216" s="243"/>
      <c r="JU216" s="243"/>
      <c r="JV216" s="243"/>
      <c r="JW216" s="243"/>
      <c r="JX216" s="243"/>
      <c r="JY216" s="243"/>
      <c r="JZ216" s="243"/>
      <c r="KA216" s="243"/>
      <c r="KB216" s="243"/>
      <c r="KC216" s="243"/>
      <c r="KD216" s="243"/>
      <c r="KE216" s="243"/>
      <c r="KF216" s="243"/>
      <c r="KG216" s="243"/>
      <c r="KH216" s="243"/>
      <c r="KI216" s="243"/>
      <c r="KJ216" s="243"/>
      <c r="KK216" s="243"/>
      <c r="KL216" s="243"/>
      <c r="KM216" s="243"/>
      <c r="KN216" s="243"/>
      <c r="KO216" s="243"/>
      <c r="QQ216" s="230"/>
      <c r="QR216" s="231"/>
      <c r="QS216" s="249"/>
      <c r="QT216" s="249"/>
      <c r="QU216" s="249"/>
      <c r="QV216" s="249"/>
      <c r="QW216" s="250"/>
    </row>
    <row r="217" spans="3:484" ht="5.0999999999999996" customHeight="1" x14ac:dyDescent="0.25">
      <c r="C217" s="226"/>
      <c r="D217" s="227"/>
      <c r="E217" s="229"/>
      <c r="F217" s="229"/>
      <c r="G217" s="229"/>
      <c r="H217" s="229"/>
      <c r="I217" s="229"/>
      <c r="J217" s="229"/>
      <c r="BE217" s="314"/>
      <c r="BF217" s="315"/>
      <c r="BG217" s="315"/>
      <c r="BH217" s="315"/>
      <c r="BI217" s="315"/>
      <c r="BJ217" s="315"/>
      <c r="BK217" s="315"/>
      <c r="BL217" s="315"/>
      <c r="BM217" s="315"/>
      <c r="BN217" s="315"/>
      <c r="BO217" s="315"/>
      <c r="BP217" s="315"/>
      <c r="BQ217" s="315"/>
      <c r="BR217" s="315"/>
      <c r="BS217" s="315"/>
      <c r="BT217" s="315"/>
      <c r="BU217" s="315"/>
      <c r="BV217" s="315"/>
      <c r="BW217" s="315"/>
      <c r="BX217" s="315"/>
      <c r="BY217" s="315"/>
      <c r="BZ217" s="315"/>
      <c r="CA217" s="315"/>
      <c r="CB217" s="315"/>
      <c r="CC217" s="315"/>
      <c r="CD217" s="315"/>
      <c r="CE217" s="315"/>
      <c r="CF217" s="315"/>
      <c r="CG217" s="315"/>
      <c r="CH217" s="315"/>
      <c r="CI217" s="315"/>
      <c r="CJ217" s="315"/>
      <c r="CK217" s="315"/>
      <c r="CL217" s="315"/>
      <c r="CM217" s="315"/>
      <c r="CN217" s="315"/>
      <c r="CO217" s="315"/>
      <c r="CP217" s="315"/>
      <c r="CQ217" s="315"/>
      <c r="CR217" s="315"/>
      <c r="CS217" s="316"/>
      <c r="CT217" s="314"/>
      <c r="CU217" s="315"/>
      <c r="CV217" s="315"/>
      <c r="CW217" s="315"/>
      <c r="CX217" s="316"/>
      <c r="DE217" s="229"/>
      <c r="DF217" s="229"/>
      <c r="DG217" s="229"/>
      <c r="DH217" s="229"/>
      <c r="DI217" s="229"/>
      <c r="DJ217" s="229"/>
      <c r="DK217" s="229"/>
      <c r="DL217" s="229"/>
      <c r="DM217" s="229"/>
      <c r="DN217" s="229"/>
      <c r="DO217" s="229"/>
      <c r="GD217" s="229"/>
      <c r="GE217" s="229"/>
      <c r="GF217" s="229"/>
      <c r="GG217" s="229"/>
      <c r="GH217" s="229"/>
      <c r="GI217" s="229"/>
      <c r="GJ217" s="229"/>
      <c r="GK217" s="229"/>
      <c r="GL217" s="229"/>
      <c r="GM217" s="229"/>
      <c r="GN217" s="229"/>
      <c r="GO217" s="229"/>
      <c r="GP217" s="229"/>
      <c r="GQ217" s="229"/>
      <c r="GR217" s="243"/>
      <c r="GS217" s="243"/>
      <c r="GT217" s="243"/>
      <c r="GU217" s="243"/>
      <c r="GV217" s="243"/>
      <c r="GW217" s="243"/>
      <c r="GX217" s="243"/>
      <c r="GY217" s="243"/>
      <c r="GZ217" s="243"/>
      <c r="HA217" s="243"/>
      <c r="HB217" s="243"/>
      <c r="HC217" s="243"/>
      <c r="HD217" s="243"/>
      <c r="HE217" s="243"/>
      <c r="HF217" s="243"/>
      <c r="HG217" s="243"/>
      <c r="HH217" s="243"/>
      <c r="HI217" s="243"/>
      <c r="HJ217" s="243"/>
      <c r="HK217" s="243"/>
      <c r="HL217" s="243"/>
      <c r="HM217" s="243"/>
      <c r="HN217" s="243"/>
      <c r="HO217" s="243"/>
      <c r="HP217" s="286"/>
      <c r="HQ217" s="286"/>
      <c r="HR217" s="286"/>
      <c r="HS217" s="286"/>
      <c r="HT217" s="286"/>
      <c r="HU217" s="286"/>
      <c r="HV217" s="286"/>
      <c r="HW217" s="286"/>
      <c r="HX217" s="286"/>
      <c r="HY217" s="286"/>
      <c r="HZ217" s="286"/>
      <c r="IA217" s="286"/>
      <c r="IB217" s="286"/>
      <c r="IC217" s="286"/>
      <c r="ID217" s="286"/>
      <c r="IE217" s="286"/>
      <c r="IF217" s="286"/>
      <c r="IG217" s="286"/>
      <c r="IH217" s="286"/>
      <c r="II217" s="286"/>
      <c r="IJ217" s="286"/>
      <c r="IK217" s="286"/>
      <c r="IL217" s="286"/>
      <c r="IM217" s="286"/>
      <c r="IN217" s="286"/>
      <c r="IO217" s="286"/>
      <c r="IP217" s="286"/>
      <c r="IQ217" s="286"/>
      <c r="IR217" s="286"/>
      <c r="IS217" s="286"/>
      <c r="IT217" s="286"/>
      <c r="IU217" s="286"/>
      <c r="IV217" s="286"/>
      <c r="IW217" s="286"/>
      <c r="IX217" s="286"/>
      <c r="IY217" s="286"/>
      <c r="IZ217" s="286"/>
      <c r="JA217" s="286"/>
      <c r="JB217" s="286"/>
      <c r="JC217" s="286"/>
      <c r="JD217" s="286"/>
      <c r="JE217" s="286"/>
      <c r="JF217" s="286"/>
      <c r="JG217" s="286"/>
      <c r="JH217" s="286"/>
      <c r="JI217" s="286"/>
      <c r="JJ217" s="286"/>
      <c r="JK217" s="286"/>
      <c r="JL217" s="243"/>
      <c r="JM217" s="243"/>
      <c r="JN217" s="243"/>
      <c r="JO217" s="243"/>
      <c r="JP217" s="243"/>
      <c r="JQ217" s="243"/>
      <c r="JR217" s="243"/>
      <c r="JS217" s="243"/>
      <c r="JT217" s="243"/>
      <c r="JU217" s="243"/>
      <c r="JV217" s="243"/>
      <c r="JW217" s="243"/>
      <c r="JX217" s="243"/>
      <c r="JY217" s="243"/>
      <c r="JZ217" s="243"/>
      <c r="KA217" s="243"/>
      <c r="KB217" s="243"/>
      <c r="KC217" s="243"/>
      <c r="KD217" s="243"/>
      <c r="KE217" s="243"/>
      <c r="KF217" s="243"/>
      <c r="KG217" s="243"/>
      <c r="KH217" s="243"/>
      <c r="KI217" s="243"/>
      <c r="KJ217" s="243"/>
      <c r="KK217" s="243"/>
      <c r="KL217" s="243"/>
      <c r="KM217" s="243"/>
      <c r="KN217" s="243"/>
      <c r="KO217" s="243"/>
      <c r="QQ217" s="230"/>
      <c r="QR217" s="231"/>
      <c r="QS217" s="249"/>
      <c r="QT217" s="249"/>
      <c r="QU217" s="249"/>
      <c r="QV217" s="249"/>
      <c r="QW217" s="250"/>
      <c r="RK217" s="249"/>
      <c r="RL217" s="249"/>
      <c r="RM217" s="249"/>
      <c r="RN217" s="249"/>
      <c r="RO217" s="249"/>
      <c r="RP217" s="250"/>
    </row>
    <row r="218" spans="3:484" ht="5.0999999999999996" customHeight="1" x14ac:dyDescent="0.25">
      <c r="C218" s="226"/>
      <c r="D218" s="227"/>
      <c r="E218" s="229"/>
      <c r="F218" s="229"/>
      <c r="G218" s="229"/>
      <c r="H218" s="229"/>
      <c r="I218" s="229"/>
      <c r="J218" s="229"/>
      <c r="DE218" s="229"/>
      <c r="DF218" s="229"/>
      <c r="DG218" s="229"/>
      <c r="DH218" s="229"/>
      <c r="DI218" s="229"/>
      <c r="DJ218" s="229"/>
      <c r="DK218" s="229"/>
      <c r="DL218" s="229"/>
      <c r="DM218" s="229"/>
      <c r="DN218" s="229"/>
      <c r="DO218" s="229"/>
      <c r="GD218" s="229"/>
      <c r="GE218" s="229"/>
      <c r="GF218" s="229"/>
      <c r="GG218" s="229"/>
      <c r="GH218" s="229"/>
      <c r="GI218" s="229"/>
      <c r="GJ218" s="229"/>
      <c r="GK218" s="229"/>
      <c r="GL218" s="229"/>
      <c r="GM218" s="229"/>
      <c r="GN218" s="229"/>
      <c r="GO218" s="229"/>
      <c r="GP218" s="229"/>
      <c r="GQ218" s="229"/>
      <c r="GR218" s="243"/>
      <c r="GS218" s="243"/>
      <c r="GT218" s="243"/>
      <c r="GU218" s="243"/>
      <c r="GV218" s="243"/>
      <c r="GW218" s="243"/>
      <c r="GX218" s="243"/>
      <c r="GY218" s="243"/>
      <c r="GZ218" s="243"/>
      <c r="HA218" s="243"/>
      <c r="HB218" s="243"/>
      <c r="HC218" s="243"/>
      <c r="HD218" s="243"/>
      <c r="HE218" s="243"/>
      <c r="HF218" s="243"/>
      <c r="HG218" s="243"/>
      <c r="HH218" s="243"/>
      <c r="HI218" s="243"/>
      <c r="HJ218" s="243"/>
      <c r="HK218" s="243"/>
      <c r="HL218" s="243"/>
      <c r="HM218" s="243"/>
      <c r="HN218" s="243"/>
      <c r="HO218" s="243"/>
      <c r="HP218" s="286"/>
      <c r="HQ218" s="286"/>
      <c r="HR218" s="286"/>
      <c r="HS218" s="286"/>
      <c r="HT218" s="286"/>
      <c r="HU218" s="286"/>
      <c r="HV218" s="286"/>
      <c r="HW218" s="286"/>
      <c r="HX218" s="286"/>
      <c r="HY218" s="286"/>
      <c r="HZ218" s="286"/>
      <c r="IA218" s="286"/>
      <c r="IB218" s="286"/>
      <c r="IC218" s="286"/>
      <c r="ID218" s="286"/>
      <c r="IE218" s="286"/>
      <c r="IF218" s="286"/>
      <c r="IG218" s="286"/>
      <c r="IH218" s="286"/>
      <c r="II218" s="286"/>
      <c r="IJ218" s="286"/>
      <c r="IK218" s="286"/>
      <c r="IL218" s="286"/>
      <c r="IM218" s="286"/>
      <c r="IN218" s="286"/>
      <c r="IO218" s="286"/>
      <c r="IP218" s="286"/>
      <c r="IQ218" s="286"/>
      <c r="IR218" s="286"/>
      <c r="IS218" s="286"/>
      <c r="IT218" s="286"/>
      <c r="IU218" s="286"/>
      <c r="IV218" s="286"/>
      <c r="IW218" s="286"/>
      <c r="IX218" s="286"/>
      <c r="IY218" s="286"/>
      <c r="IZ218" s="286"/>
      <c r="JA218" s="286"/>
      <c r="JB218" s="286"/>
      <c r="JC218" s="286"/>
      <c r="JD218" s="286"/>
      <c r="JE218" s="286"/>
      <c r="JF218" s="286"/>
      <c r="JG218" s="286"/>
      <c r="JH218" s="286"/>
      <c r="JI218" s="286"/>
      <c r="JJ218" s="286"/>
      <c r="JK218" s="286"/>
      <c r="JL218" s="243"/>
      <c r="JM218" s="243"/>
      <c r="JN218" s="243"/>
      <c r="JO218" s="243"/>
      <c r="JP218" s="243"/>
      <c r="JQ218" s="243"/>
      <c r="JR218" s="243"/>
      <c r="JS218" s="243"/>
      <c r="JT218" s="243"/>
      <c r="JU218" s="243"/>
      <c r="JV218" s="243"/>
      <c r="JW218" s="243"/>
      <c r="JX218" s="243"/>
      <c r="JY218" s="243"/>
      <c r="JZ218" s="243"/>
      <c r="KA218" s="243"/>
      <c r="KB218" s="243"/>
      <c r="KC218" s="243"/>
      <c r="KD218" s="243"/>
      <c r="KE218" s="243"/>
      <c r="KF218" s="243"/>
      <c r="KG218" s="243"/>
      <c r="KH218" s="243"/>
      <c r="KI218" s="243"/>
      <c r="KJ218" s="243"/>
      <c r="KK218" s="243"/>
      <c r="KL218" s="243"/>
      <c r="KM218" s="243"/>
      <c r="KN218" s="243"/>
      <c r="KO218" s="243"/>
      <c r="QQ218" s="230"/>
      <c r="QR218" s="231"/>
      <c r="QS218" s="249"/>
      <c r="QT218" s="249"/>
      <c r="QU218" s="249"/>
      <c r="QV218" s="249"/>
      <c r="QW218" s="250"/>
      <c r="RK218" s="249"/>
      <c r="RL218" s="249"/>
      <c r="RM218" s="249"/>
      <c r="RN218" s="249"/>
      <c r="RO218" s="249"/>
      <c r="RP218" s="250"/>
    </row>
    <row r="219" spans="3:484" ht="5.0999999999999996" customHeight="1" x14ac:dyDescent="0.25">
      <c r="C219" s="226"/>
      <c r="D219" s="227"/>
      <c r="E219" s="229"/>
      <c r="F219" s="229"/>
      <c r="G219" s="229"/>
      <c r="H219" s="229"/>
      <c r="I219" s="229"/>
      <c r="J219" s="229"/>
      <c r="BE219" s="229"/>
      <c r="BF219" s="229"/>
      <c r="BG219" s="229"/>
      <c r="BH219" s="229"/>
      <c r="BI219" s="229"/>
      <c r="BJ219" s="229"/>
      <c r="DE219" s="229"/>
      <c r="DF219" s="229"/>
      <c r="DG219" s="229"/>
      <c r="DH219" s="229"/>
      <c r="DI219" s="229"/>
      <c r="DJ219" s="229"/>
      <c r="DK219" s="229"/>
      <c r="DL219" s="229"/>
      <c r="DM219" s="229"/>
      <c r="DN219" s="229"/>
      <c r="DO219" s="229"/>
      <c r="GD219" s="229"/>
      <c r="GE219" s="229"/>
      <c r="GF219" s="229"/>
      <c r="GG219" s="229"/>
      <c r="GH219" s="229"/>
      <c r="GI219" s="229"/>
      <c r="GJ219" s="229"/>
      <c r="GK219" s="229"/>
      <c r="GL219" s="229"/>
      <c r="GM219" s="229"/>
      <c r="GN219" s="229"/>
      <c r="GO219" s="229"/>
      <c r="GP219" s="229"/>
      <c r="GQ219" s="229"/>
      <c r="GR219" s="243"/>
      <c r="GS219" s="243"/>
      <c r="GT219" s="243"/>
      <c r="GU219" s="243"/>
      <c r="GV219" s="243"/>
      <c r="GW219" s="243"/>
      <c r="GX219" s="243"/>
      <c r="GY219" s="243"/>
      <c r="GZ219" s="243"/>
      <c r="HA219" s="243"/>
      <c r="HB219" s="243"/>
      <c r="HC219" s="243"/>
      <c r="HD219" s="243"/>
      <c r="HE219" s="243"/>
      <c r="HF219" s="243"/>
      <c r="HG219" s="243"/>
      <c r="HH219" s="243"/>
      <c r="HI219" s="243"/>
      <c r="HJ219" s="243"/>
      <c r="HK219" s="243"/>
      <c r="HL219" s="243"/>
      <c r="HM219" s="243"/>
      <c r="HN219" s="243"/>
      <c r="HO219" s="243"/>
      <c r="HP219" s="286"/>
      <c r="HQ219" s="286"/>
      <c r="HR219" s="286"/>
      <c r="HS219" s="286"/>
      <c r="HT219" s="286"/>
      <c r="HU219" s="286"/>
      <c r="HV219" s="286"/>
      <c r="HW219" s="286"/>
      <c r="HX219" s="286"/>
      <c r="HY219" s="286"/>
      <c r="HZ219" s="286"/>
      <c r="IA219" s="286"/>
      <c r="IB219" s="286"/>
      <c r="IC219" s="286"/>
      <c r="ID219" s="286"/>
      <c r="IE219" s="286"/>
      <c r="IF219" s="286"/>
      <c r="IG219" s="286"/>
      <c r="IH219" s="286"/>
      <c r="II219" s="286"/>
      <c r="IJ219" s="286"/>
      <c r="IK219" s="286"/>
      <c r="IL219" s="286"/>
      <c r="IM219" s="286"/>
      <c r="IN219" s="286"/>
      <c r="IO219" s="286"/>
      <c r="IP219" s="286"/>
      <c r="IQ219" s="286"/>
      <c r="IR219" s="286"/>
      <c r="IS219" s="286"/>
      <c r="IT219" s="286"/>
      <c r="IU219" s="286"/>
      <c r="IV219" s="286"/>
      <c r="IW219" s="286"/>
      <c r="IX219" s="286"/>
      <c r="IY219" s="286"/>
      <c r="IZ219" s="286"/>
      <c r="JA219" s="286"/>
      <c r="JB219" s="286"/>
      <c r="JC219" s="286"/>
      <c r="JD219" s="286"/>
      <c r="JE219" s="286"/>
      <c r="JF219" s="286"/>
      <c r="JG219" s="286"/>
      <c r="JH219" s="286"/>
      <c r="JI219" s="286"/>
      <c r="JJ219" s="286"/>
      <c r="JK219" s="286"/>
      <c r="JL219" s="243"/>
      <c r="JM219" s="243"/>
      <c r="JN219" s="243"/>
      <c r="JO219" s="243"/>
      <c r="JP219" s="243"/>
      <c r="JQ219" s="243"/>
      <c r="JR219" s="243"/>
      <c r="JS219" s="243"/>
      <c r="JT219" s="243"/>
      <c r="JU219" s="243"/>
      <c r="JV219" s="243"/>
      <c r="JW219" s="243"/>
      <c r="JX219" s="243"/>
      <c r="JY219" s="243"/>
      <c r="JZ219" s="243"/>
      <c r="KA219" s="243"/>
      <c r="KB219" s="243"/>
      <c r="KC219" s="243"/>
      <c r="KD219" s="243"/>
      <c r="KE219" s="243"/>
      <c r="KF219" s="243"/>
      <c r="KG219" s="243"/>
      <c r="KH219" s="243"/>
      <c r="KI219" s="243"/>
      <c r="KJ219" s="243"/>
      <c r="KK219" s="243"/>
      <c r="KL219" s="243"/>
      <c r="KM219" s="243"/>
      <c r="KN219" s="243"/>
      <c r="KO219" s="243"/>
      <c r="QQ219" s="230"/>
      <c r="QR219" s="231"/>
      <c r="QS219" s="249"/>
      <c r="QT219" s="249"/>
      <c r="QU219" s="249"/>
      <c r="QV219" s="249"/>
      <c r="QW219" s="250"/>
      <c r="RK219" s="249"/>
      <c r="RL219" s="249"/>
      <c r="RM219" s="249"/>
      <c r="RN219" s="249"/>
      <c r="RO219" s="249"/>
      <c r="RP219" s="250"/>
    </row>
    <row r="220" spans="3:484" ht="5.0999999999999996" customHeight="1" x14ac:dyDescent="0.25">
      <c r="C220" s="226"/>
      <c r="D220" s="227"/>
      <c r="E220" s="229"/>
      <c r="F220" s="229"/>
      <c r="G220" s="229"/>
      <c r="H220" s="229"/>
      <c r="I220" s="229"/>
      <c r="J220" s="229"/>
      <c r="BE220" s="229"/>
      <c r="BF220" s="229"/>
      <c r="BG220" s="229"/>
      <c r="BH220" s="229"/>
      <c r="BI220" s="229"/>
      <c r="BJ220" s="229"/>
      <c r="DE220" s="229"/>
      <c r="DF220" s="229"/>
      <c r="DG220" s="229"/>
      <c r="DH220" s="229"/>
      <c r="DI220" s="229"/>
      <c r="DJ220" s="229"/>
      <c r="DK220" s="229"/>
      <c r="DL220" s="229"/>
      <c r="DM220" s="229"/>
      <c r="DN220" s="229"/>
      <c r="DO220" s="229"/>
      <c r="GD220" s="229"/>
      <c r="GE220" s="229"/>
      <c r="GF220" s="229"/>
      <c r="GG220" s="229"/>
      <c r="GH220" s="229"/>
      <c r="GI220" s="229"/>
      <c r="GJ220" s="229"/>
      <c r="GK220" s="229"/>
      <c r="GL220" s="229"/>
      <c r="GM220" s="229"/>
      <c r="GN220" s="229"/>
      <c r="GO220" s="229"/>
      <c r="GP220" s="229"/>
      <c r="GQ220" s="229"/>
      <c r="GR220" s="243"/>
      <c r="GS220" s="243"/>
      <c r="GT220" s="243"/>
      <c r="GU220" s="243"/>
      <c r="GV220" s="243"/>
      <c r="GW220" s="243"/>
      <c r="GX220" s="243"/>
      <c r="GY220" s="243"/>
      <c r="GZ220" s="243"/>
      <c r="HA220" s="243"/>
      <c r="HB220" s="243"/>
      <c r="HC220" s="243"/>
      <c r="HD220" s="243"/>
      <c r="HE220" s="243"/>
      <c r="HF220" s="243"/>
      <c r="HG220" s="243"/>
      <c r="HH220" s="243"/>
      <c r="HI220" s="243"/>
      <c r="HJ220" s="243"/>
      <c r="HK220" s="243"/>
      <c r="HL220" s="243"/>
      <c r="HM220" s="243"/>
      <c r="HN220" s="243"/>
      <c r="HO220" s="243"/>
      <c r="HP220" s="286"/>
      <c r="HQ220" s="286"/>
      <c r="HR220" s="286"/>
      <c r="HS220" s="286"/>
      <c r="HT220" s="286"/>
      <c r="HU220" s="286"/>
      <c r="HV220" s="286"/>
      <c r="HW220" s="286"/>
      <c r="HX220" s="286"/>
      <c r="HY220" s="286"/>
      <c r="HZ220" s="286"/>
      <c r="IA220" s="286"/>
      <c r="IB220" s="286"/>
      <c r="IC220" s="286"/>
      <c r="ID220" s="286"/>
      <c r="IE220" s="286"/>
      <c r="IF220" s="286"/>
      <c r="IG220" s="286"/>
      <c r="IH220" s="286"/>
      <c r="II220" s="286"/>
      <c r="IJ220" s="286"/>
      <c r="IK220" s="286"/>
      <c r="IL220" s="286"/>
      <c r="IM220" s="286"/>
      <c r="IN220" s="286"/>
      <c r="IO220" s="286"/>
      <c r="IP220" s="286"/>
      <c r="IQ220" s="286"/>
      <c r="IR220" s="286"/>
      <c r="IS220" s="286"/>
      <c r="IT220" s="286"/>
      <c r="IU220" s="286"/>
      <c r="IV220" s="286"/>
      <c r="IW220" s="286"/>
      <c r="IX220" s="286"/>
      <c r="IY220" s="286"/>
      <c r="IZ220" s="286"/>
      <c r="JA220" s="286"/>
      <c r="JB220" s="286"/>
      <c r="JC220" s="286"/>
      <c r="JD220" s="286"/>
      <c r="JE220" s="286"/>
      <c r="JF220" s="286"/>
      <c r="JG220" s="286"/>
      <c r="JH220" s="286"/>
      <c r="JI220" s="286"/>
      <c r="JJ220" s="286"/>
      <c r="JK220" s="286"/>
      <c r="JL220" s="243"/>
      <c r="JM220" s="243"/>
      <c r="JN220" s="243"/>
      <c r="JO220" s="243"/>
      <c r="JP220" s="243"/>
      <c r="JQ220" s="243"/>
      <c r="JR220" s="243"/>
      <c r="JS220" s="243"/>
      <c r="JT220" s="243"/>
      <c r="JU220" s="243"/>
      <c r="JV220" s="243"/>
      <c r="JW220" s="243"/>
      <c r="JX220" s="243"/>
      <c r="JY220" s="243"/>
      <c r="JZ220" s="243"/>
      <c r="KA220" s="243"/>
      <c r="KB220" s="243"/>
      <c r="KC220" s="243"/>
      <c r="KD220" s="243"/>
      <c r="KE220" s="243"/>
      <c r="KF220" s="243"/>
      <c r="KG220" s="243"/>
      <c r="KH220" s="243"/>
      <c r="KI220" s="243"/>
      <c r="KJ220" s="243"/>
      <c r="KK220" s="243"/>
      <c r="KL220" s="243"/>
      <c r="KM220" s="243"/>
      <c r="KN220" s="243"/>
      <c r="KO220" s="243"/>
      <c r="QQ220" s="230"/>
      <c r="QR220" s="231"/>
    </row>
    <row r="221" spans="3:484" ht="5.0999999999999996" customHeight="1" x14ac:dyDescent="0.25">
      <c r="C221" s="226"/>
      <c r="D221" s="227"/>
      <c r="E221" s="229"/>
      <c r="F221" s="229"/>
      <c r="G221" s="229"/>
      <c r="H221" s="229"/>
      <c r="I221" s="229"/>
      <c r="J221" s="229"/>
      <c r="BE221" s="229"/>
      <c r="BF221" s="229"/>
      <c r="BG221" s="229"/>
      <c r="BH221" s="229"/>
      <c r="BI221" s="229"/>
      <c r="BJ221" s="229"/>
      <c r="DE221" s="229"/>
      <c r="DF221" s="229"/>
      <c r="DG221" s="229"/>
      <c r="DH221" s="229"/>
      <c r="DI221" s="229"/>
      <c r="DJ221" s="229"/>
      <c r="DK221" s="229"/>
      <c r="DL221" s="229"/>
      <c r="DM221" s="229"/>
      <c r="DN221" s="229"/>
      <c r="DO221" s="229"/>
      <c r="GD221" s="229"/>
      <c r="GE221" s="229"/>
      <c r="GF221" s="229"/>
      <c r="GG221" s="229"/>
      <c r="GH221" s="229"/>
      <c r="GI221" s="229"/>
      <c r="GJ221" s="229"/>
      <c r="GK221" s="229"/>
      <c r="GL221" s="229"/>
      <c r="GM221" s="229"/>
      <c r="GN221" s="229"/>
      <c r="GO221" s="229"/>
      <c r="GP221" s="229"/>
      <c r="GQ221" s="229"/>
      <c r="GR221" s="243"/>
      <c r="GS221" s="243"/>
      <c r="GT221" s="243"/>
      <c r="GU221" s="243"/>
      <c r="GV221" s="243"/>
      <c r="GW221" s="243"/>
      <c r="GX221" s="243"/>
      <c r="GY221" s="243"/>
      <c r="GZ221" s="243"/>
      <c r="HA221" s="243"/>
      <c r="HB221" s="243"/>
      <c r="HC221" s="243"/>
      <c r="HD221" s="243"/>
      <c r="HE221" s="243"/>
      <c r="HF221" s="243"/>
      <c r="HG221" s="243"/>
      <c r="HH221" s="243"/>
      <c r="HI221" s="243"/>
      <c r="HJ221" s="243"/>
      <c r="HK221" s="243"/>
      <c r="HL221" s="243"/>
      <c r="HM221" s="243"/>
      <c r="HN221" s="243"/>
      <c r="HO221" s="243"/>
      <c r="HP221" s="286"/>
      <c r="HQ221" s="286"/>
      <c r="HR221" s="286"/>
      <c r="HS221" s="286"/>
      <c r="HT221" s="286"/>
      <c r="HU221" s="286"/>
      <c r="HV221" s="286"/>
      <c r="HW221" s="286"/>
      <c r="HX221" s="286"/>
      <c r="HY221" s="286"/>
      <c r="HZ221" s="286"/>
      <c r="IA221" s="286"/>
      <c r="IB221" s="286"/>
      <c r="IC221" s="286"/>
      <c r="ID221" s="286"/>
      <c r="IE221" s="286"/>
      <c r="IF221" s="286"/>
      <c r="IG221" s="286"/>
      <c r="IH221" s="286"/>
      <c r="II221" s="286"/>
      <c r="IJ221" s="286"/>
      <c r="IK221" s="286"/>
      <c r="IL221" s="286"/>
      <c r="IM221" s="286"/>
      <c r="IN221" s="286"/>
      <c r="IO221" s="286"/>
      <c r="IP221" s="286"/>
      <c r="IQ221" s="286"/>
      <c r="IR221" s="286"/>
      <c r="IS221" s="286"/>
      <c r="IT221" s="286"/>
      <c r="IU221" s="286"/>
      <c r="IV221" s="286"/>
      <c r="IW221" s="286"/>
      <c r="IX221" s="286"/>
      <c r="IY221" s="286"/>
      <c r="IZ221" s="286"/>
      <c r="JA221" s="286"/>
      <c r="JB221" s="286"/>
      <c r="JC221" s="286"/>
      <c r="JD221" s="286"/>
      <c r="JE221" s="286"/>
      <c r="JF221" s="286"/>
      <c r="JG221" s="286"/>
      <c r="JH221" s="286"/>
      <c r="JI221" s="286"/>
      <c r="JJ221" s="286"/>
      <c r="JK221" s="286"/>
      <c r="JL221" s="243"/>
      <c r="JM221" s="243"/>
      <c r="JN221" s="243"/>
      <c r="JO221" s="243"/>
      <c r="JP221" s="243"/>
      <c r="JQ221" s="243"/>
      <c r="JR221" s="243"/>
      <c r="JS221" s="243"/>
      <c r="JT221" s="243"/>
      <c r="JU221" s="243"/>
      <c r="JV221" s="243"/>
      <c r="JW221" s="243"/>
      <c r="JX221" s="243"/>
      <c r="JY221" s="243"/>
      <c r="JZ221" s="243"/>
      <c r="KA221" s="243"/>
      <c r="KB221" s="243"/>
      <c r="KC221" s="243"/>
      <c r="KD221" s="243"/>
      <c r="KE221" s="243"/>
      <c r="KF221" s="243"/>
      <c r="KG221" s="243"/>
      <c r="KH221" s="243"/>
      <c r="KI221" s="243"/>
      <c r="KJ221" s="243"/>
      <c r="KK221" s="243"/>
      <c r="KL221" s="243"/>
      <c r="KM221" s="243"/>
      <c r="KN221" s="243"/>
      <c r="KO221" s="243"/>
      <c r="QQ221" s="230"/>
      <c r="QR221" s="231"/>
    </row>
    <row r="222" spans="3:484" ht="5.0999999999999996" customHeight="1" x14ac:dyDescent="0.25">
      <c r="C222" s="226"/>
      <c r="D222" s="227"/>
      <c r="E222" s="229"/>
      <c r="F222" s="229"/>
      <c r="G222" s="229"/>
      <c r="H222" s="229"/>
      <c r="I222" s="229"/>
      <c r="J222" s="229"/>
      <c r="BE222" s="229"/>
      <c r="BF222" s="229"/>
      <c r="BG222" s="229"/>
      <c r="BH222" s="229"/>
      <c r="BI222" s="229"/>
      <c r="BJ222" s="229"/>
      <c r="DE222" s="229"/>
      <c r="DF222" s="229"/>
      <c r="DG222" s="229"/>
      <c r="DH222" s="229"/>
      <c r="DI222" s="229"/>
      <c r="DJ222" s="229"/>
      <c r="DK222" s="229"/>
      <c r="DL222" s="229"/>
      <c r="DM222" s="229"/>
      <c r="DN222" s="229"/>
      <c r="GR222" s="243"/>
      <c r="GS222" s="243"/>
      <c r="GT222" s="243"/>
      <c r="GU222" s="243"/>
      <c r="GV222" s="243"/>
      <c r="GW222" s="243"/>
      <c r="GX222" s="243"/>
      <c r="GY222" s="243"/>
      <c r="GZ222" s="243"/>
      <c r="HA222" s="243"/>
      <c r="HB222" s="243"/>
      <c r="HC222" s="243"/>
      <c r="HD222" s="243"/>
      <c r="HE222" s="243"/>
      <c r="HF222" s="243"/>
      <c r="HG222" s="243"/>
      <c r="HH222" s="243"/>
      <c r="HI222" s="243"/>
      <c r="HJ222" s="243"/>
      <c r="HK222" s="243"/>
      <c r="HL222" s="243"/>
      <c r="HM222" s="243"/>
      <c r="HN222" s="243"/>
      <c r="HO222" s="243"/>
      <c r="HP222" s="286"/>
      <c r="HQ222" s="286"/>
      <c r="HR222" s="286"/>
      <c r="HS222" s="286"/>
      <c r="HT222" s="286"/>
      <c r="HU222" s="286"/>
      <c r="HV222" s="286"/>
      <c r="HW222" s="286"/>
      <c r="HX222" s="286"/>
      <c r="HY222" s="286"/>
      <c r="HZ222" s="286"/>
      <c r="IA222" s="286"/>
      <c r="IB222" s="286"/>
      <c r="IC222" s="286"/>
      <c r="ID222" s="286"/>
      <c r="IE222" s="286"/>
      <c r="IF222" s="286"/>
      <c r="IG222" s="286"/>
      <c r="IH222" s="286"/>
      <c r="II222" s="286"/>
      <c r="IJ222" s="286"/>
      <c r="IK222" s="286"/>
      <c r="IL222" s="286"/>
      <c r="IM222" s="286"/>
      <c r="IN222" s="286"/>
      <c r="IO222" s="286"/>
      <c r="IP222" s="286"/>
      <c r="IQ222" s="286"/>
      <c r="IR222" s="286"/>
      <c r="IS222" s="286"/>
      <c r="IT222" s="286"/>
      <c r="IU222" s="286"/>
      <c r="IV222" s="286"/>
      <c r="IW222" s="286"/>
      <c r="IX222" s="286"/>
      <c r="IY222" s="286"/>
      <c r="IZ222" s="286"/>
      <c r="JA222" s="286"/>
      <c r="JB222" s="286"/>
      <c r="JC222" s="286"/>
      <c r="JD222" s="286"/>
      <c r="JE222" s="286"/>
      <c r="JF222" s="286"/>
      <c r="JG222" s="286"/>
      <c r="JH222" s="286"/>
      <c r="JI222" s="286"/>
      <c r="JJ222" s="286"/>
      <c r="JK222" s="286"/>
      <c r="JL222" s="243"/>
      <c r="JM222" s="243"/>
      <c r="JN222" s="243"/>
      <c r="JO222" s="243"/>
      <c r="JP222" s="243"/>
      <c r="JQ222" s="243"/>
      <c r="JR222" s="243"/>
      <c r="JS222" s="243"/>
      <c r="JT222" s="243"/>
      <c r="JU222" s="243"/>
      <c r="JV222" s="243"/>
      <c r="JW222" s="243"/>
      <c r="JX222" s="243"/>
      <c r="JY222" s="243"/>
      <c r="JZ222" s="243"/>
      <c r="KA222" s="243"/>
      <c r="KB222" s="243"/>
      <c r="KC222" s="243"/>
      <c r="KD222" s="243"/>
      <c r="KE222" s="243"/>
      <c r="KF222" s="243"/>
      <c r="KG222" s="243"/>
      <c r="KH222" s="243"/>
      <c r="KI222" s="243"/>
      <c r="KJ222" s="243"/>
      <c r="KK222" s="243"/>
      <c r="KL222" s="243"/>
      <c r="KM222" s="243"/>
      <c r="KN222" s="243"/>
      <c r="KO222" s="243"/>
      <c r="QQ222" s="230"/>
      <c r="QR222" s="231"/>
    </row>
    <row r="223" spans="3:484" ht="5.0999999999999996" customHeight="1" x14ac:dyDescent="0.25">
      <c r="C223" s="226"/>
      <c r="D223" s="227"/>
      <c r="E223" s="229"/>
      <c r="F223" s="229"/>
      <c r="G223" s="229"/>
      <c r="H223" s="229"/>
      <c r="I223" s="229"/>
      <c r="J223" s="229"/>
      <c r="BE223" s="229"/>
      <c r="BF223" s="229"/>
      <c r="BG223" s="229"/>
      <c r="BH223" s="229"/>
      <c r="BI223" s="229"/>
      <c r="BJ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GR223" s="243"/>
      <c r="GS223" s="243"/>
      <c r="GT223" s="243"/>
      <c r="GU223" s="243"/>
      <c r="GV223" s="243"/>
      <c r="GW223" s="243"/>
      <c r="GX223" s="243"/>
      <c r="GY223" s="243"/>
      <c r="GZ223" s="243"/>
      <c r="HA223" s="243"/>
      <c r="HB223" s="243"/>
      <c r="HC223" s="243"/>
      <c r="HD223" s="243"/>
      <c r="HE223" s="243"/>
      <c r="HF223" s="243"/>
      <c r="HG223" s="243"/>
      <c r="HH223" s="243"/>
      <c r="HI223" s="243"/>
      <c r="HJ223" s="243"/>
      <c r="HK223" s="243"/>
      <c r="HL223" s="243"/>
      <c r="HM223" s="243"/>
      <c r="HN223" s="243"/>
      <c r="HO223" s="243"/>
      <c r="HP223" s="286"/>
      <c r="HQ223" s="286"/>
      <c r="HR223" s="286"/>
      <c r="HS223" s="286"/>
      <c r="HT223" s="286"/>
      <c r="HU223" s="286"/>
      <c r="HV223" s="286"/>
      <c r="HW223" s="286"/>
      <c r="HX223" s="286"/>
      <c r="HY223" s="286"/>
      <c r="HZ223" s="286"/>
      <c r="IA223" s="286"/>
      <c r="IB223" s="286"/>
      <c r="IC223" s="286"/>
      <c r="ID223" s="286"/>
      <c r="IE223" s="286"/>
      <c r="IF223" s="286"/>
      <c r="IG223" s="286"/>
      <c r="IH223" s="286"/>
      <c r="II223" s="286"/>
      <c r="IJ223" s="286"/>
      <c r="IK223" s="286"/>
      <c r="IL223" s="286"/>
      <c r="IM223" s="286"/>
      <c r="IN223" s="286"/>
      <c r="IO223" s="286"/>
      <c r="IP223" s="286"/>
      <c r="IQ223" s="286"/>
      <c r="IR223" s="286"/>
      <c r="IS223" s="286"/>
      <c r="IT223" s="286"/>
      <c r="IU223" s="286"/>
      <c r="IV223" s="286"/>
      <c r="IW223" s="286"/>
      <c r="IX223" s="286"/>
      <c r="IY223" s="286"/>
      <c r="IZ223" s="286"/>
      <c r="JA223" s="286"/>
      <c r="JB223" s="286"/>
      <c r="JC223" s="286"/>
      <c r="JD223" s="286"/>
      <c r="JE223" s="286"/>
      <c r="JF223" s="286"/>
      <c r="JG223" s="286"/>
      <c r="JH223" s="286"/>
      <c r="JI223" s="286"/>
      <c r="JJ223" s="286"/>
      <c r="JK223" s="286"/>
      <c r="JL223" s="243"/>
      <c r="JM223" s="243"/>
      <c r="JN223" s="243"/>
      <c r="JO223" s="243"/>
      <c r="JP223" s="243"/>
      <c r="JQ223" s="243"/>
      <c r="JR223" s="243"/>
      <c r="JS223" s="243"/>
      <c r="JT223" s="243"/>
      <c r="JU223" s="243"/>
      <c r="JV223" s="243"/>
      <c r="JW223" s="243"/>
      <c r="JX223" s="243"/>
      <c r="JY223" s="243"/>
      <c r="JZ223" s="243"/>
      <c r="KA223" s="243"/>
      <c r="KB223" s="243"/>
      <c r="KC223" s="243"/>
      <c r="KD223" s="243"/>
      <c r="KE223" s="243"/>
      <c r="KF223" s="243"/>
      <c r="KG223" s="243"/>
      <c r="KH223" s="243"/>
      <c r="KI223" s="243"/>
      <c r="KJ223" s="243"/>
      <c r="KK223" s="243"/>
      <c r="KL223" s="243"/>
      <c r="KM223" s="243"/>
      <c r="KN223" s="243"/>
      <c r="KO223" s="243"/>
      <c r="QQ223" s="230"/>
      <c r="QR223" s="231"/>
    </row>
    <row r="224" spans="3:484" ht="5.0999999999999996" customHeight="1" x14ac:dyDescent="0.25">
      <c r="C224" s="226"/>
      <c r="D224" s="227"/>
      <c r="E224" s="229"/>
      <c r="F224" s="229"/>
      <c r="G224" s="229"/>
      <c r="H224" s="229"/>
      <c r="I224" s="229"/>
      <c r="J224" s="229"/>
      <c r="BE224" s="229"/>
      <c r="BF224" s="229"/>
      <c r="BG224" s="229"/>
      <c r="BH224" s="229"/>
      <c r="BI224" s="229"/>
      <c r="BJ224" s="229"/>
      <c r="DE224" s="229"/>
      <c r="DF224" s="229"/>
      <c r="DG224" s="229"/>
      <c r="DH224" s="229"/>
      <c r="DI224" s="229"/>
      <c r="DJ224" s="229"/>
      <c r="DK224" s="229"/>
      <c r="DL224" s="229"/>
      <c r="DM224" s="229"/>
      <c r="DN224" s="229"/>
      <c r="GR224" s="243"/>
      <c r="GS224" s="243"/>
      <c r="GT224" s="243"/>
      <c r="GU224" s="243"/>
      <c r="GV224" s="243"/>
      <c r="GW224" s="243"/>
      <c r="GX224" s="243"/>
      <c r="GY224" s="243"/>
      <c r="GZ224" s="243"/>
      <c r="HA224" s="243"/>
      <c r="HB224" s="243"/>
      <c r="HC224" s="243"/>
      <c r="HD224" s="243"/>
      <c r="HE224" s="243"/>
      <c r="HF224" s="243"/>
      <c r="HG224" s="243"/>
      <c r="HH224" s="243"/>
      <c r="HI224" s="243"/>
      <c r="HJ224" s="243"/>
      <c r="HK224" s="243"/>
      <c r="HL224" s="243"/>
      <c r="HM224" s="243"/>
      <c r="HN224" s="243"/>
      <c r="HO224" s="243"/>
      <c r="HP224" s="286"/>
      <c r="HQ224" s="286"/>
      <c r="HR224" s="286"/>
      <c r="HS224" s="286"/>
      <c r="HT224" s="286"/>
      <c r="HU224" s="286"/>
      <c r="HV224" s="286"/>
      <c r="HW224" s="286"/>
      <c r="HX224" s="286"/>
      <c r="HY224" s="286"/>
      <c r="HZ224" s="286"/>
      <c r="IA224" s="286"/>
      <c r="IB224" s="286"/>
      <c r="IC224" s="286"/>
      <c r="ID224" s="286"/>
      <c r="IE224" s="286"/>
      <c r="IF224" s="286"/>
      <c r="IG224" s="286"/>
      <c r="IH224" s="286"/>
      <c r="II224" s="286"/>
      <c r="IJ224" s="286"/>
      <c r="IK224" s="286"/>
      <c r="IL224" s="286"/>
      <c r="IM224" s="286"/>
      <c r="IN224" s="286"/>
      <c r="IO224" s="286"/>
      <c r="IP224" s="286"/>
      <c r="IQ224" s="286"/>
      <c r="IR224" s="286"/>
      <c r="IS224" s="286"/>
      <c r="IT224" s="286"/>
      <c r="IU224" s="286"/>
      <c r="IV224" s="286"/>
      <c r="IW224" s="286"/>
      <c r="IX224" s="286"/>
      <c r="IY224" s="286"/>
      <c r="IZ224" s="286"/>
      <c r="JA224" s="286"/>
      <c r="JB224" s="286"/>
      <c r="JC224" s="286"/>
      <c r="JD224" s="286"/>
      <c r="JE224" s="286"/>
      <c r="JF224" s="286"/>
      <c r="JG224" s="286"/>
      <c r="JH224" s="286"/>
      <c r="JI224" s="286"/>
      <c r="JJ224" s="286"/>
      <c r="JK224" s="286"/>
      <c r="JL224" s="243"/>
      <c r="JM224" s="243"/>
      <c r="JN224" s="243"/>
      <c r="JO224" s="243"/>
      <c r="JP224" s="243"/>
      <c r="JQ224" s="243"/>
      <c r="JR224" s="243"/>
      <c r="JS224" s="243"/>
      <c r="JT224" s="243"/>
      <c r="JU224" s="243"/>
      <c r="JV224" s="243"/>
      <c r="JW224" s="243"/>
      <c r="JX224" s="243"/>
      <c r="JY224" s="243"/>
      <c r="JZ224" s="243"/>
      <c r="KA224" s="243"/>
      <c r="KB224" s="243"/>
      <c r="KC224" s="243"/>
      <c r="KD224" s="243"/>
      <c r="KE224" s="243"/>
      <c r="KF224" s="243"/>
      <c r="KG224" s="243"/>
      <c r="KH224" s="243"/>
      <c r="KI224" s="243"/>
      <c r="KJ224" s="243"/>
      <c r="KK224" s="243"/>
      <c r="KL224" s="243"/>
      <c r="KM224" s="243"/>
      <c r="KN224" s="243"/>
      <c r="KO224" s="243"/>
      <c r="QQ224" s="230"/>
      <c r="QR224" s="231"/>
    </row>
    <row r="225" spans="3:460" ht="5.0999999999999996" customHeight="1" x14ac:dyDescent="0.25">
      <c r="C225" s="226"/>
      <c r="D225" s="227"/>
      <c r="E225" s="229"/>
      <c r="F225" s="229"/>
      <c r="G225" s="229"/>
      <c r="H225" s="229"/>
      <c r="I225" s="229"/>
      <c r="J225" s="229"/>
      <c r="BE225" s="229"/>
      <c r="BF225" s="229"/>
      <c r="BG225" s="229"/>
      <c r="BH225" s="229"/>
      <c r="BI225" s="229"/>
      <c r="BJ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GR225" s="243"/>
      <c r="GS225" s="243"/>
      <c r="GT225" s="243"/>
      <c r="GU225" s="243"/>
      <c r="GV225" s="243"/>
      <c r="GW225" s="243"/>
      <c r="GX225" s="243"/>
      <c r="GY225" s="243"/>
      <c r="GZ225" s="243"/>
      <c r="HA225" s="243"/>
      <c r="HB225" s="243"/>
      <c r="HC225" s="243"/>
      <c r="HD225" s="243"/>
      <c r="HE225" s="243"/>
      <c r="HF225" s="243"/>
      <c r="HG225" s="243"/>
      <c r="HH225" s="243"/>
      <c r="HI225" s="243"/>
      <c r="HJ225" s="243"/>
      <c r="HK225" s="243"/>
      <c r="HL225" s="243"/>
      <c r="HM225" s="243"/>
      <c r="HN225" s="243"/>
      <c r="HO225" s="243"/>
      <c r="HP225" s="286"/>
      <c r="HQ225" s="286"/>
      <c r="HR225" s="286"/>
      <c r="HS225" s="286"/>
      <c r="HT225" s="286"/>
      <c r="HU225" s="286"/>
      <c r="HV225" s="286"/>
      <c r="HW225" s="286"/>
      <c r="HX225" s="286"/>
      <c r="HY225" s="286"/>
      <c r="HZ225" s="286"/>
      <c r="IA225" s="286"/>
      <c r="IB225" s="286"/>
      <c r="IC225" s="286"/>
      <c r="ID225" s="286"/>
      <c r="IE225" s="286"/>
      <c r="IF225" s="286"/>
      <c r="IG225" s="286"/>
      <c r="IH225" s="286"/>
      <c r="II225" s="286"/>
      <c r="IJ225" s="286"/>
      <c r="IK225" s="286"/>
      <c r="IL225" s="286"/>
      <c r="IM225" s="286"/>
      <c r="IN225" s="286"/>
      <c r="IO225" s="286"/>
      <c r="IP225" s="286"/>
      <c r="IQ225" s="286"/>
      <c r="IR225" s="286"/>
      <c r="IS225" s="286"/>
      <c r="IT225" s="286"/>
      <c r="IU225" s="286"/>
      <c r="IV225" s="286"/>
      <c r="IW225" s="286"/>
      <c r="IX225" s="286"/>
      <c r="IY225" s="286"/>
      <c r="IZ225" s="286"/>
      <c r="JA225" s="286"/>
      <c r="JB225" s="286"/>
      <c r="JC225" s="286"/>
      <c r="JD225" s="286"/>
      <c r="JE225" s="286"/>
      <c r="JF225" s="286"/>
      <c r="JG225" s="286"/>
      <c r="JH225" s="286"/>
      <c r="JI225" s="286"/>
      <c r="JJ225" s="286"/>
      <c r="JK225" s="286"/>
      <c r="JL225" s="243"/>
      <c r="JM225" s="243"/>
      <c r="JN225" s="243"/>
      <c r="JO225" s="243"/>
      <c r="JP225" s="243"/>
      <c r="JQ225" s="243"/>
      <c r="JR225" s="243"/>
      <c r="JS225" s="243"/>
      <c r="JT225" s="243"/>
      <c r="JU225" s="243"/>
      <c r="JV225" s="243"/>
      <c r="JW225" s="243"/>
      <c r="JX225" s="243"/>
      <c r="JY225" s="243"/>
      <c r="JZ225" s="243"/>
      <c r="KA225" s="243"/>
      <c r="KB225" s="243"/>
      <c r="KC225" s="243"/>
      <c r="KD225" s="243"/>
      <c r="KE225" s="243"/>
      <c r="KF225" s="243"/>
      <c r="KG225" s="243"/>
      <c r="KH225" s="243"/>
      <c r="KI225" s="243"/>
      <c r="KJ225" s="243"/>
      <c r="KK225" s="243"/>
      <c r="KL225" s="243"/>
      <c r="KM225" s="243"/>
      <c r="KN225" s="243"/>
      <c r="KO225" s="243"/>
      <c r="QQ225" s="230"/>
      <c r="QR225" s="231"/>
    </row>
    <row r="226" spans="3:460" ht="5.0999999999999996" customHeight="1" x14ac:dyDescent="0.25">
      <c r="C226" s="226"/>
      <c r="D226" s="227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  <c r="AD226" s="229"/>
      <c r="AE226" s="229"/>
      <c r="AF226" s="229"/>
      <c r="AG226" s="229"/>
      <c r="AH226" s="229"/>
      <c r="AI226" s="229"/>
      <c r="AJ226" s="229"/>
      <c r="AK226" s="229"/>
      <c r="AL226" s="229"/>
      <c r="AM226" s="229"/>
      <c r="AN226" s="229"/>
      <c r="AO226" s="229"/>
      <c r="AP226" s="229"/>
      <c r="AQ226" s="229"/>
      <c r="AR226" s="229"/>
      <c r="AS226" s="229"/>
      <c r="AT226" s="229"/>
      <c r="AU226" s="229"/>
      <c r="AV226" s="229"/>
      <c r="AW226" s="229"/>
      <c r="AX226" s="229"/>
      <c r="AY226" s="229"/>
      <c r="AZ226" s="229"/>
      <c r="BA226" s="229"/>
      <c r="BB226" s="229"/>
      <c r="BE226" s="229"/>
      <c r="BF226" s="229"/>
      <c r="BG226" s="229"/>
      <c r="BH226" s="229"/>
      <c r="BI226" s="229"/>
      <c r="BJ226" s="229"/>
      <c r="DE226" s="229"/>
      <c r="DF226" s="229"/>
      <c r="DG226" s="229"/>
      <c r="DH226" s="229"/>
      <c r="DI226" s="229"/>
      <c r="DJ226" s="229"/>
      <c r="DK226" s="229"/>
      <c r="DL226" s="229"/>
      <c r="DM226" s="229"/>
      <c r="DN226" s="229"/>
      <c r="GR226" s="243"/>
      <c r="GS226" s="243"/>
      <c r="GT226" s="243"/>
      <c r="GU226" s="243"/>
      <c r="GV226" s="243"/>
      <c r="GW226" s="243"/>
      <c r="GX226" s="243"/>
      <c r="GY226" s="243"/>
      <c r="GZ226" s="243"/>
      <c r="HA226" s="243"/>
      <c r="HB226" s="243"/>
      <c r="HC226" s="243"/>
      <c r="HD226" s="243"/>
      <c r="HE226" s="243"/>
      <c r="HF226" s="243"/>
      <c r="HG226" s="243"/>
      <c r="HH226" s="243"/>
      <c r="HI226" s="243"/>
      <c r="HJ226" s="243"/>
      <c r="HK226" s="243"/>
      <c r="HL226" s="243"/>
      <c r="HM226" s="243"/>
      <c r="HN226" s="243"/>
      <c r="HO226" s="243"/>
      <c r="HP226" s="286"/>
      <c r="HQ226" s="286"/>
      <c r="HR226" s="286"/>
      <c r="HS226" s="286"/>
      <c r="HT226" s="286"/>
      <c r="HU226" s="286"/>
      <c r="HV226" s="286"/>
      <c r="HW226" s="286"/>
      <c r="HX226" s="286"/>
      <c r="HY226" s="286"/>
      <c r="HZ226" s="286"/>
      <c r="IA226" s="286"/>
      <c r="IB226" s="286"/>
      <c r="IC226" s="286"/>
      <c r="ID226" s="286"/>
      <c r="IE226" s="286"/>
      <c r="IF226" s="286"/>
      <c r="IG226" s="286"/>
      <c r="IH226" s="286"/>
      <c r="II226" s="286"/>
      <c r="IJ226" s="286"/>
      <c r="IK226" s="286"/>
      <c r="IL226" s="286"/>
      <c r="IM226" s="286"/>
      <c r="IN226" s="286"/>
      <c r="IO226" s="286"/>
      <c r="IP226" s="286"/>
      <c r="IQ226" s="286"/>
      <c r="IR226" s="286"/>
      <c r="IS226" s="286"/>
      <c r="IT226" s="286"/>
      <c r="IU226" s="286"/>
      <c r="IV226" s="286"/>
      <c r="IW226" s="286"/>
      <c r="IX226" s="286"/>
      <c r="IY226" s="286"/>
      <c r="IZ226" s="286"/>
      <c r="JA226" s="286"/>
      <c r="JB226" s="286"/>
      <c r="JC226" s="286"/>
      <c r="JD226" s="286"/>
      <c r="JE226" s="286"/>
      <c r="JF226" s="286"/>
      <c r="JG226" s="286"/>
      <c r="JH226" s="286"/>
      <c r="JI226" s="286"/>
      <c r="JJ226" s="286"/>
      <c r="JK226" s="286"/>
      <c r="JL226" s="243"/>
      <c r="JM226" s="243"/>
      <c r="JN226" s="243"/>
      <c r="JO226" s="243"/>
      <c r="JP226" s="243"/>
      <c r="JQ226" s="243"/>
      <c r="JR226" s="243"/>
      <c r="JS226" s="243"/>
      <c r="JT226" s="243"/>
      <c r="JU226" s="243"/>
      <c r="JV226" s="243"/>
      <c r="JW226" s="243"/>
      <c r="JX226" s="243"/>
      <c r="JY226" s="243"/>
      <c r="JZ226" s="243"/>
      <c r="KA226" s="243"/>
      <c r="KB226" s="243"/>
      <c r="KC226" s="243"/>
      <c r="KD226" s="243"/>
      <c r="KE226" s="243"/>
      <c r="KF226" s="243"/>
      <c r="KG226" s="243"/>
      <c r="KH226" s="243"/>
      <c r="KI226" s="243"/>
      <c r="KJ226" s="243"/>
      <c r="KK226" s="243"/>
      <c r="KL226" s="243"/>
      <c r="KM226" s="243"/>
      <c r="KN226" s="243"/>
      <c r="KO226" s="243"/>
      <c r="QQ226" s="230"/>
      <c r="QR226" s="231"/>
    </row>
    <row r="227" spans="3:460" ht="5.0999999999999996" customHeight="1" x14ac:dyDescent="0.25">
      <c r="C227" s="226"/>
      <c r="D227" s="227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  <c r="AD227" s="229"/>
      <c r="AE227" s="229"/>
      <c r="AF227" s="229"/>
      <c r="AG227" s="229"/>
      <c r="AH227" s="229"/>
      <c r="AI227" s="229"/>
      <c r="AJ227" s="229"/>
      <c r="AK227" s="229"/>
      <c r="AL227" s="229"/>
      <c r="AM227" s="229"/>
      <c r="AN227" s="229"/>
      <c r="AO227" s="229"/>
      <c r="AP227" s="229"/>
      <c r="AQ227" s="229"/>
      <c r="AR227" s="229"/>
      <c r="AS227" s="229"/>
      <c r="AT227" s="229"/>
      <c r="AU227" s="229"/>
      <c r="AV227" s="229"/>
      <c r="AW227" s="229"/>
      <c r="AX227" s="229"/>
      <c r="AY227" s="229"/>
      <c r="AZ227" s="229"/>
      <c r="BA227" s="229"/>
      <c r="BB227" s="229"/>
      <c r="BE227" s="229"/>
      <c r="BF227" s="229"/>
      <c r="BG227" s="229"/>
      <c r="BH227" s="229"/>
      <c r="BI227" s="229"/>
      <c r="BJ227" s="229"/>
      <c r="DE227" s="229"/>
      <c r="DF227" s="229"/>
      <c r="DG227" s="229"/>
      <c r="DH227" s="229"/>
      <c r="DI227" s="229"/>
      <c r="DJ227" s="229"/>
      <c r="DK227" s="229"/>
      <c r="DL227" s="229"/>
      <c r="DM227" s="229"/>
      <c r="DN227" s="229"/>
      <c r="GR227" s="243"/>
      <c r="GS227" s="243"/>
      <c r="GT227" s="243"/>
      <c r="GU227" s="243"/>
      <c r="GV227" s="243"/>
      <c r="GW227" s="243"/>
      <c r="GX227" s="243"/>
      <c r="GY227" s="243"/>
      <c r="GZ227" s="243"/>
      <c r="HA227" s="243"/>
      <c r="HB227" s="243"/>
      <c r="HC227" s="243"/>
      <c r="HD227" s="243"/>
      <c r="HE227" s="243"/>
      <c r="HF227" s="243"/>
      <c r="HG227" s="243"/>
      <c r="HH227" s="243"/>
      <c r="HI227" s="243"/>
      <c r="HJ227" s="243"/>
      <c r="HK227" s="243"/>
      <c r="HL227" s="243"/>
      <c r="HM227" s="243"/>
      <c r="HN227" s="243"/>
      <c r="HO227" s="243"/>
      <c r="HP227" s="286"/>
      <c r="HQ227" s="286"/>
      <c r="HR227" s="286"/>
      <c r="HS227" s="286"/>
      <c r="HT227" s="286"/>
      <c r="HU227" s="286"/>
      <c r="HV227" s="286"/>
      <c r="HW227" s="286"/>
      <c r="HX227" s="286"/>
      <c r="HY227" s="286"/>
      <c r="HZ227" s="286"/>
      <c r="IA227" s="286"/>
      <c r="IB227" s="286"/>
      <c r="IC227" s="286"/>
      <c r="ID227" s="286"/>
      <c r="IE227" s="286"/>
      <c r="IF227" s="286"/>
      <c r="IG227" s="286"/>
      <c r="IH227" s="286"/>
      <c r="II227" s="286"/>
      <c r="IJ227" s="286"/>
      <c r="IK227" s="286"/>
      <c r="IL227" s="286"/>
      <c r="IM227" s="286"/>
      <c r="IN227" s="286"/>
      <c r="IO227" s="286"/>
      <c r="IP227" s="286"/>
      <c r="IQ227" s="286"/>
      <c r="IR227" s="286"/>
      <c r="IS227" s="286"/>
      <c r="IT227" s="286"/>
      <c r="IU227" s="286"/>
      <c r="IV227" s="286"/>
      <c r="IW227" s="286"/>
      <c r="IX227" s="286"/>
      <c r="IY227" s="286"/>
      <c r="IZ227" s="286"/>
      <c r="JA227" s="286"/>
      <c r="JB227" s="286"/>
      <c r="JC227" s="286"/>
      <c r="JD227" s="286"/>
      <c r="JE227" s="286"/>
      <c r="JF227" s="286"/>
      <c r="JG227" s="286"/>
      <c r="JH227" s="286"/>
      <c r="JI227" s="286"/>
      <c r="JJ227" s="286"/>
      <c r="JK227" s="286"/>
      <c r="JL227" s="243"/>
      <c r="JM227" s="243"/>
      <c r="JN227" s="243"/>
      <c r="JO227" s="243"/>
      <c r="JP227" s="243"/>
      <c r="JQ227" s="243"/>
      <c r="JR227" s="243"/>
      <c r="JS227" s="243"/>
      <c r="JT227" s="243"/>
      <c r="JU227" s="243"/>
      <c r="JV227" s="243"/>
      <c r="JW227" s="243"/>
      <c r="JX227" s="243"/>
      <c r="JY227" s="243"/>
      <c r="JZ227" s="243"/>
      <c r="KA227" s="243"/>
      <c r="KB227" s="243"/>
      <c r="KC227" s="243"/>
      <c r="KD227" s="243"/>
      <c r="KE227" s="243"/>
      <c r="KF227" s="243"/>
      <c r="KG227" s="243"/>
      <c r="KH227" s="243"/>
      <c r="KI227" s="243"/>
      <c r="KJ227" s="243"/>
      <c r="KK227" s="243"/>
      <c r="KL227" s="243"/>
      <c r="KM227" s="243"/>
      <c r="KN227" s="243"/>
      <c r="KO227" s="243"/>
      <c r="QQ227" s="230"/>
      <c r="QR227" s="231"/>
    </row>
    <row r="228" spans="3:460" ht="5.0999999999999996" customHeight="1" x14ac:dyDescent="0.25">
      <c r="C228" s="226"/>
      <c r="D228" s="227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29"/>
      <c r="AH228" s="229"/>
      <c r="AI228" s="229"/>
      <c r="AJ228" s="229"/>
      <c r="AK228" s="229"/>
      <c r="AL228" s="229"/>
      <c r="AM228" s="229"/>
      <c r="AN228" s="229"/>
      <c r="AO228" s="229"/>
      <c r="AP228" s="229"/>
      <c r="AQ228" s="229"/>
      <c r="AR228" s="229"/>
      <c r="AS228" s="229"/>
      <c r="AT228" s="229"/>
      <c r="AU228" s="229"/>
      <c r="AV228" s="229"/>
      <c r="AW228" s="229"/>
      <c r="AX228" s="229"/>
      <c r="AY228" s="229"/>
      <c r="AZ228" s="229"/>
      <c r="BA228" s="229"/>
      <c r="BB228" s="229"/>
      <c r="BE228" s="229"/>
      <c r="BF228" s="229"/>
      <c r="BG228" s="229"/>
      <c r="BH228" s="229"/>
      <c r="BI228" s="229"/>
      <c r="BJ228" s="229"/>
      <c r="DE228" s="229"/>
      <c r="DF228" s="229"/>
      <c r="DG228" s="229"/>
      <c r="DH228" s="229"/>
      <c r="DI228" s="229"/>
      <c r="DJ228" s="229"/>
      <c r="DK228" s="229"/>
      <c r="DL228" s="229"/>
      <c r="DM228" s="229"/>
      <c r="DN228" s="229"/>
      <c r="GR228" s="243"/>
      <c r="GS228" s="243"/>
      <c r="GT228" s="243"/>
      <c r="GU228" s="243"/>
      <c r="GV228" s="243"/>
      <c r="GW228" s="243"/>
      <c r="GX228" s="243"/>
      <c r="GY228" s="243"/>
      <c r="GZ228" s="243"/>
      <c r="HA228" s="243"/>
      <c r="HB228" s="243"/>
      <c r="HC228" s="243"/>
      <c r="HD228" s="243"/>
      <c r="HE228" s="243"/>
      <c r="HF228" s="243"/>
      <c r="HG228" s="243"/>
      <c r="HH228" s="243"/>
      <c r="HI228" s="243"/>
      <c r="HJ228" s="243"/>
      <c r="HK228" s="243"/>
      <c r="HL228" s="243"/>
      <c r="HM228" s="243"/>
      <c r="HN228" s="243"/>
      <c r="HO228" s="243"/>
      <c r="HP228" s="286"/>
      <c r="HQ228" s="286"/>
      <c r="HR228" s="286"/>
      <c r="HS228" s="286"/>
      <c r="HT228" s="286"/>
      <c r="HU228" s="286"/>
      <c r="HV228" s="286"/>
      <c r="HW228" s="286"/>
      <c r="HX228" s="286"/>
      <c r="HY228" s="286"/>
      <c r="HZ228" s="286"/>
      <c r="IA228" s="286"/>
      <c r="IB228" s="286"/>
      <c r="IC228" s="286"/>
      <c r="ID228" s="286"/>
      <c r="IE228" s="286"/>
      <c r="IF228" s="286"/>
      <c r="IG228" s="286"/>
      <c r="IH228" s="286"/>
      <c r="II228" s="286"/>
      <c r="IJ228" s="286"/>
      <c r="IK228" s="286"/>
      <c r="IL228" s="286"/>
      <c r="IM228" s="286"/>
      <c r="IN228" s="286"/>
      <c r="IO228" s="286"/>
      <c r="IP228" s="286"/>
      <c r="IQ228" s="286"/>
      <c r="IR228" s="286"/>
      <c r="IS228" s="286"/>
      <c r="IT228" s="286"/>
      <c r="IU228" s="286"/>
      <c r="IV228" s="286"/>
      <c r="IW228" s="286"/>
      <c r="IX228" s="286"/>
      <c r="IY228" s="286"/>
      <c r="IZ228" s="286"/>
      <c r="JA228" s="286"/>
      <c r="JB228" s="286"/>
      <c r="JC228" s="286"/>
      <c r="JD228" s="286"/>
      <c r="JE228" s="286"/>
      <c r="JF228" s="286"/>
      <c r="JG228" s="286"/>
      <c r="JH228" s="286"/>
      <c r="JI228" s="286"/>
      <c r="JJ228" s="286"/>
      <c r="JK228" s="286"/>
      <c r="JL228" s="243"/>
      <c r="JM228" s="243"/>
      <c r="JN228" s="243"/>
      <c r="JO228" s="243"/>
      <c r="JP228" s="243"/>
      <c r="JQ228" s="243"/>
      <c r="JR228" s="243"/>
      <c r="JS228" s="243"/>
      <c r="JT228" s="243"/>
      <c r="JU228" s="243"/>
      <c r="JV228" s="243"/>
      <c r="JW228" s="243"/>
      <c r="JX228" s="243"/>
      <c r="JY228" s="243"/>
      <c r="JZ228" s="243"/>
      <c r="KA228" s="243"/>
      <c r="KB228" s="243"/>
      <c r="KC228" s="243"/>
      <c r="KD228" s="243"/>
      <c r="KE228" s="243"/>
      <c r="KF228" s="243"/>
      <c r="KG228" s="243"/>
      <c r="KH228" s="243"/>
      <c r="KI228" s="243"/>
      <c r="KJ228" s="243"/>
      <c r="KK228" s="243"/>
      <c r="KL228" s="243"/>
      <c r="KM228" s="243"/>
      <c r="KN228" s="243"/>
      <c r="KO228" s="243"/>
      <c r="QQ228" s="230"/>
      <c r="QR228" s="231"/>
    </row>
    <row r="229" spans="3:460" ht="5.0999999999999996" customHeight="1" x14ac:dyDescent="0.25">
      <c r="C229" s="226"/>
      <c r="D229" s="227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  <c r="AD229" s="229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29"/>
      <c r="AT229" s="229"/>
      <c r="AU229" s="229"/>
      <c r="AV229" s="229"/>
      <c r="AW229" s="229"/>
      <c r="AX229" s="229"/>
      <c r="AY229" s="229"/>
      <c r="AZ229" s="229"/>
      <c r="BA229" s="229"/>
      <c r="BB229" s="229"/>
      <c r="BE229" s="229"/>
      <c r="BF229" s="229"/>
      <c r="BG229" s="229"/>
      <c r="BH229" s="229"/>
      <c r="BI229" s="229"/>
      <c r="BJ229" s="229"/>
      <c r="DE229" s="229"/>
      <c r="DF229" s="229"/>
      <c r="DG229" s="229"/>
      <c r="DH229" s="229"/>
      <c r="DI229" s="229"/>
      <c r="DJ229" s="229"/>
      <c r="DK229" s="229"/>
      <c r="DL229" s="229"/>
      <c r="DM229" s="229"/>
      <c r="DN229" s="229"/>
      <c r="GR229" s="243"/>
      <c r="GS229" s="243"/>
      <c r="GT229" s="243"/>
      <c r="GU229" s="243"/>
      <c r="GV229" s="243"/>
      <c r="GW229" s="243"/>
      <c r="GX229" s="243"/>
      <c r="GY229" s="243"/>
      <c r="GZ229" s="243"/>
      <c r="HA229" s="243"/>
      <c r="HB229" s="243"/>
      <c r="HC229" s="243"/>
      <c r="HD229" s="243"/>
      <c r="HE229" s="243"/>
      <c r="HF229" s="243"/>
      <c r="HG229" s="243"/>
      <c r="HH229" s="243"/>
      <c r="HI229" s="243"/>
      <c r="HJ229" s="243"/>
      <c r="HK229" s="243"/>
      <c r="HL229" s="243"/>
      <c r="HM229" s="243"/>
      <c r="HN229" s="243"/>
      <c r="HO229" s="243"/>
      <c r="HP229" s="286"/>
      <c r="HQ229" s="286"/>
      <c r="HR229" s="286"/>
      <c r="HS229" s="286"/>
      <c r="HT229" s="286"/>
      <c r="HU229" s="286"/>
      <c r="HV229" s="286"/>
      <c r="HW229" s="286"/>
      <c r="HX229" s="286"/>
      <c r="HY229" s="286"/>
      <c r="HZ229" s="286"/>
      <c r="IA229" s="286"/>
      <c r="IB229" s="286"/>
      <c r="IC229" s="286"/>
      <c r="ID229" s="286"/>
      <c r="IE229" s="286"/>
      <c r="IF229" s="286"/>
      <c r="IG229" s="286"/>
      <c r="IH229" s="286"/>
      <c r="II229" s="286"/>
      <c r="IJ229" s="286"/>
      <c r="IK229" s="286"/>
      <c r="IL229" s="286"/>
      <c r="IM229" s="286"/>
      <c r="IN229" s="286"/>
      <c r="IO229" s="286"/>
      <c r="IP229" s="286"/>
      <c r="IQ229" s="286"/>
      <c r="IR229" s="286"/>
      <c r="IS229" s="286"/>
      <c r="IT229" s="286"/>
      <c r="IU229" s="286"/>
      <c r="IV229" s="286"/>
      <c r="IW229" s="286"/>
      <c r="IX229" s="286"/>
      <c r="IY229" s="286"/>
      <c r="IZ229" s="286"/>
      <c r="JA229" s="286"/>
      <c r="JB229" s="286"/>
      <c r="JC229" s="286"/>
      <c r="JD229" s="286"/>
      <c r="JE229" s="286"/>
      <c r="JF229" s="286"/>
      <c r="JG229" s="286"/>
      <c r="JH229" s="286"/>
      <c r="JI229" s="286"/>
      <c r="JJ229" s="286"/>
      <c r="JK229" s="286"/>
      <c r="JL229" s="243"/>
      <c r="JM229" s="243"/>
      <c r="JN229" s="243"/>
      <c r="JO229" s="243"/>
      <c r="JP229" s="243"/>
      <c r="JQ229" s="243"/>
      <c r="JR229" s="243"/>
      <c r="JS229" s="243"/>
      <c r="JT229" s="243"/>
      <c r="JU229" s="243"/>
      <c r="JV229" s="243"/>
      <c r="JW229" s="243"/>
      <c r="JX229" s="243"/>
      <c r="JY229" s="243"/>
      <c r="JZ229" s="243"/>
      <c r="KA229" s="243"/>
      <c r="KB229" s="243"/>
      <c r="KC229" s="243"/>
      <c r="KD229" s="243"/>
      <c r="KE229" s="243"/>
      <c r="KF229" s="243"/>
      <c r="KG229" s="243"/>
      <c r="KH229" s="243"/>
      <c r="KI229" s="243"/>
      <c r="KJ229" s="243"/>
      <c r="KK229" s="243"/>
      <c r="KL229" s="243"/>
      <c r="KM229" s="243"/>
      <c r="KN229" s="243"/>
      <c r="KO229" s="243"/>
      <c r="QQ229" s="230"/>
      <c r="QR229" s="231"/>
    </row>
    <row r="230" spans="3:460" ht="5.0999999999999996" customHeight="1" x14ac:dyDescent="0.25">
      <c r="C230" s="226"/>
      <c r="D230" s="227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  <c r="AD230" s="229"/>
      <c r="AE230" s="229"/>
      <c r="AF230" s="229"/>
      <c r="AG230" s="229"/>
      <c r="AH230" s="229"/>
      <c r="AI230" s="229"/>
      <c r="AJ230" s="229"/>
      <c r="AK230" s="229"/>
      <c r="AL230" s="229"/>
      <c r="AM230" s="229"/>
      <c r="AN230" s="229"/>
      <c r="AO230" s="229"/>
      <c r="AP230" s="229"/>
      <c r="AQ230" s="229"/>
      <c r="AR230" s="229"/>
      <c r="AS230" s="229"/>
      <c r="AT230" s="229"/>
      <c r="AU230" s="229"/>
      <c r="AV230" s="229"/>
      <c r="AW230" s="229"/>
      <c r="AX230" s="229"/>
      <c r="AY230" s="229"/>
      <c r="AZ230" s="229"/>
      <c r="BA230" s="229"/>
      <c r="BB230" s="229"/>
      <c r="BE230" s="229"/>
      <c r="BF230" s="229"/>
      <c r="BG230" s="229"/>
      <c r="BH230" s="229"/>
      <c r="BI230" s="229"/>
      <c r="BJ230" s="229"/>
      <c r="DE230" s="229"/>
      <c r="DF230" s="229"/>
      <c r="DG230" s="229"/>
      <c r="DH230" s="229"/>
      <c r="DI230" s="229"/>
      <c r="DJ230" s="229"/>
      <c r="DK230" s="229"/>
      <c r="DL230" s="229"/>
      <c r="DM230" s="229"/>
      <c r="DN230" s="229"/>
      <c r="GR230" s="243"/>
      <c r="GS230" s="243"/>
      <c r="GT230" s="243"/>
      <c r="GU230" s="243"/>
      <c r="GV230" s="243"/>
      <c r="GW230" s="243"/>
      <c r="GX230" s="243"/>
      <c r="GY230" s="243"/>
      <c r="GZ230" s="243"/>
      <c r="HA230" s="243"/>
      <c r="HB230" s="243"/>
      <c r="HC230" s="243"/>
      <c r="HD230" s="243"/>
      <c r="HE230" s="243"/>
      <c r="HF230" s="243"/>
      <c r="HG230" s="243"/>
      <c r="HH230" s="243"/>
      <c r="HI230" s="243"/>
      <c r="HJ230" s="243"/>
      <c r="HK230" s="243"/>
      <c r="HL230" s="243"/>
      <c r="HM230" s="243"/>
      <c r="HN230" s="243"/>
      <c r="HO230" s="243"/>
      <c r="HP230" s="286"/>
      <c r="HQ230" s="286"/>
      <c r="HR230" s="286"/>
      <c r="HS230" s="286"/>
      <c r="HT230" s="286"/>
      <c r="HU230" s="286"/>
      <c r="HV230" s="286"/>
      <c r="HW230" s="286"/>
      <c r="HX230" s="286"/>
      <c r="HY230" s="286"/>
      <c r="HZ230" s="286"/>
      <c r="IA230" s="286"/>
      <c r="IB230" s="286"/>
      <c r="IC230" s="286"/>
      <c r="ID230" s="286"/>
      <c r="IE230" s="286"/>
      <c r="IF230" s="286"/>
      <c r="IG230" s="286"/>
      <c r="IH230" s="286"/>
      <c r="II230" s="286"/>
      <c r="IJ230" s="286"/>
      <c r="IK230" s="286"/>
      <c r="IL230" s="286"/>
      <c r="IM230" s="286"/>
      <c r="IN230" s="286"/>
      <c r="IO230" s="286"/>
      <c r="IP230" s="286"/>
      <c r="IQ230" s="286"/>
      <c r="IR230" s="286"/>
      <c r="IS230" s="286"/>
      <c r="IT230" s="286"/>
      <c r="IU230" s="286"/>
      <c r="IV230" s="286"/>
      <c r="IW230" s="286"/>
      <c r="IX230" s="286"/>
      <c r="IY230" s="286"/>
      <c r="IZ230" s="286"/>
      <c r="JA230" s="286"/>
      <c r="JB230" s="286"/>
      <c r="JC230" s="286"/>
      <c r="JD230" s="286"/>
      <c r="JE230" s="286"/>
      <c r="JF230" s="286"/>
      <c r="JG230" s="286"/>
      <c r="JH230" s="286"/>
      <c r="JI230" s="286"/>
      <c r="JJ230" s="286"/>
      <c r="JK230" s="286"/>
      <c r="JL230" s="243"/>
      <c r="JM230" s="243"/>
      <c r="JN230" s="243"/>
      <c r="JO230" s="243"/>
      <c r="JP230" s="243"/>
      <c r="JQ230" s="243"/>
      <c r="JR230" s="243"/>
      <c r="JS230" s="243"/>
      <c r="JT230" s="243"/>
      <c r="JU230" s="243"/>
      <c r="JV230" s="243"/>
      <c r="JW230" s="243"/>
      <c r="JX230" s="243"/>
      <c r="JY230" s="243"/>
      <c r="JZ230" s="243"/>
      <c r="KA230" s="243"/>
      <c r="KB230" s="243"/>
      <c r="KC230" s="243"/>
      <c r="KD230" s="243"/>
      <c r="KE230" s="243"/>
      <c r="KF230" s="243"/>
      <c r="KG230" s="243"/>
      <c r="KH230" s="243"/>
      <c r="KI230" s="243"/>
      <c r="KJ230" s="243"/>
      <c r="KK230" s="243"/>
      <c r="KL230" s="243"/>
      <c r="KM230" s="243"/>
      <c r="KN230" s="243"/>
      <c r="KO230" s="243"/>
      <c r="QQ230" s="230"/>
      <c r="QR230" s="231"/>
    </row>
    <row r="231" spans="3:460" ht="5.0999999999999996" customHeight="1" x14ac:dyDescent="0.25">
      <c r="C231" s="226"/>
      <c r="D231" s="227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  <c r="AE231" s="229"/>
      <c r="AF231" s="229"/>
      <c r="AG231" s="229"/>
      <c r="AH231" s="229"/>
      <c r="AI231" s="229"/>
      <c r="AJ231" s="229"/>
      <c r="AK231" s="229"/>
      <c r="AL231" s="229"/>
      <c r="AM231" s="229"/>
      <c r="AN231" s="229"/>
      <c r="AO231" s="229"/>
      <c r="AP231" s="229"/>
      <c r="AQ231" s="229"/>
      <c r="AR231" s="229"/>
      <c r="AS231" s="229"/>
      <c r="AT231" s="229"/>
      <c r="AU231" s="229"/>
      <c r="AV231" s="229"/>
      <c r="AW231" s="229"/>
      <c r="AX231" s="229"/>
      <c r="AY231" s="229"/>
      <c r="AZ231" s="229"/>
      <c r="BA231" s="229"/>
      <c r="BB231" s="229"/>
      <c r="BE231" s="229"/>
      <c r="BF231" s="229"/>
      <c r="BG231" s="229"/>
      <c r="BH231" s="229"/>
      <c r="BI231" s="229"/>
      <c r="BJ231" s="229"/>
      <c r="DE231" s="229"/>
      <c r="DF231" s="229"/>
      <c r="DG231" s="229"/>
      <c r="DH231" s="229"/>
      <c r="DI231" s="229"/>
      <c r="DJ231" s="229"/>
      <c r="DK231" s="229"/>
      <c r="DL231" s="229"/>
      <c r="DM231" s="229"/>
      <c r="DN231" s="229"/>
      <c r="GR231" s="243"/>
      <c r="GS231" s="243"/>
      <c r="GT231" s="243"/>
      <c r="GU231" s="243"/>
      <c r="GV231" s="243"/>
      <c r="GW231" s="243"/>
      <c r="GX231" s="243"/>
      <c r="GY231" s="243"/>
      <c r="GZ231" s="243"/>
      <c r="HA231" s="243"/>
      <c r="HB231" s="243"/>
      <c r="HC231" s="243"/>
      <c r="HD231" s="243"/>
      <c r="HE231" s="243"/>
      <c r="HF231" s="243"/>
      <c r="HG231" s="243"/>
      <c r="HH231" s="243"/>
      <c r="HI231" s="243"/>
      <c r="HJ231" s="243"/>
      <c r="HK231" s="243"/>
      <c r="HL231" s="243"/>
      <c r="HM231" s="243"/>
      <c r="HN231" s="243"/>
      <c r="HO231" s="243"/>
      <c r="HP231" s="286"/>
      <c r="HQ231" s="286"/>
      <c r="HR231" s="286"/>
      <c r="HS231" s="286"/>
      <c r="HT231" s="286"/>
      <c r="HU231" s="286"/>
      <c r="HV231" s="286"/>
      <c r="HW231" s="286"/>
      <c r="HX231" s="286"/>
      <c r="HY231" s="286"/>
      <c r="HZ231" s="286"/>
      <c r="IA231" s="286"/>
      <c r="IB231" s="286"/>
      <c r="IC231" s="286"/>
      <c r="ID231" s="286"/>
      <c r="IE231" s="286"/>
      <c r="IF231" s="286"/>
      <c r="IG231" s="286"/>
      <c r="IH231" s="286"/>
      <c r="II231" s="286"/>
      <c r="IJ231" s="286"/>
      <c r="IK231" s="286"/>
      <c r="IL231" s="286"/>
      <c r="IM231" s="286"/>
      <c r="IN231" s="286"/>
      <c r="IO231" s="286"/>
      <c r="IP231" s="286"/>
      <c r="IQ231" s="286"/>
      <c r="IR231" s="286"/>
      <c r="IS231" s="286"/>
      <c r="IT231" s="286"/>
      <c r="IU231" s="286"/>
      <c r="IV231" s="286"/>
      <c r="IW231" s="286"/>
      <c r="IX231" s="286"/>
      <c r="IY231" s="286"/>
      <c r="IZ231" s="286"/>
      <c r="JA231" s="286"/>
      <c r="JB231" s="286"/>
      <c r="JC231" s="286"/>
      <c r="JD231" s="286"/>
      <c r="JE231" s="286"/>
      <c r="JF231" s="286"/>
      <c r="JG231" s="286"/>
      <c r="JH231" s="286"/>
      <c r="JI231" s="286"/>
      <c r="JJ231" s="286"/>
      <c r="JK231" s="286"/>
      <c r="JL231" s="243"/>
      <c r="JM231" s="243"/>
      <c r="JN231" s="243"/>
      <c r="JO231" s="243"/>
      <c r="JP231" s="243"/>
      <c r="JQ231" s="243"/>
      <c r="JR231" s="243"/>
      <c r="JS231" s="243"/>
      <c r="JT231" s="243"/>
      <c r="JU231" s="243"/>
      <c r="JV231" s="243"/>
      <c r="JW231" s="243"/>
      <c r="JX231" s="243"/>
      <c r="JY231" s="243"/>
      <c r="JZ231" s="243"/>
      <c r="KA231" s="243"/>
      <c r="KB231" s="243"/>
      <c r="KC231" s="243"/>
      <c r="KD231" s="243"/>
      <c r="KE231" s="243"/>
      <c r="KF231" s="243"/>
      <c r="KG231" s="243"/>
      <c r="KH231" s="243"/>
      <c r="KI231" s="243"/>
      <c r="KJ231" s="243"/>
      <c r="KK231" s="243"/>
      <c r="KL231" s="243"/>
      <c r="KM231" s="243"/>
      <c r="KN231" s="243"/>
      <c r="KO231" s="243"/>
      <c r="QQ231" s="230"/>
      <c r="QR231" s="231"/>
    </row>
    <row r="232" spans="3:460" ht="5.0999999999999996" customHeight="1" x14ac:dyDescent="0.25">
      <c r="C232" s="226"/>
      <c r="D232" s="227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  <c r="AD232" s="229"/>
      <c r="AE232" s="229"/>
      <c r="AF232" s="229"/>
      <c r="AG232" s="229"/>
      <c r="AH232" s="229"/>
      <c r="AI232" s="229"/>
      <c r="AJ232" s="229"/>
      <c r="AK232" s="229"/>
      <c r="AL232" s="229"/>
      <c r="AM232" s="229"/>
      <c r="AN232" s="229"/>
      <c r="AO232" s="229"/>
      <c r="AP232" s="229"/>
      <c r="AQ232" s="229"/>
      <c r="AR232" s="229"/>
      <c r="AS232" s="229"/>
      <c r="AT232" s="229"/>
      <c r="AU232" s="229"/>
      <c r="AV232" s="229"/>
      <c r="AW232" s="229"/>
      <c r="AX232" s="229"/>
      <c r="AY232" s="229"/>
      <c r="AZ232" s="229"/>
      <c r="BA232" s="229"/>
      <c r="BB232" s="229"/>
      <c r="BE232" s="229"/>
      <c r="BF232" s="229"/>
      <c r="BG232" s="229"/>
      <c r="BH232" s="229"/>
      <c r="BI232" s="229"/>
      <c r="BJ232" s="229"/>
      <c r="DE232" s="229"/>
      <c r="DF232" s="229"/>
      <c r="DG232" s="229"/>
      <c r="DH232" s="229"/>
      <c r="DI232" s="229"/>
      <c r="DJ232" s="229"/>
      <c r="DK232" s="229"/>
      <c r="DL232" s="229"/>
      <c r="DM232" s="229"/>
      <c r="DN232" s="229"/>
      <c r="FO232" s="229"/>
      <c r="FP232" s="229"/>
      <c r="FQ232" s="229"/>
      <c r="FR232" s="229"/>
      <c r="FS232" s="229"/>
      <c r="FT232" s="229"/>
      <c r="FU232" s="229"/>
      <c r="FV232" s="229"/>
      <c r="FW232" s="229"/>
      <c r="FX232" s="229"/>
      <c r="FY232" s="229"/>
      <c r="FZ232" s="229"/>
      <c r="GA232" s="229"/>
      <c r="GB232" s="229"/>
      <c r="GC232" s="229"/>
      <c r="GD232" s="229"/>
      <c r="GE232" s="229"/>
      <c r="GF232" s="229"/>
      <c r="GG232" s="229"/>
      <c r="GH232" s="229"/>
      <c r="GI232" s="229"/>
      <c r="GJ232" s="229"/>
      <c r="GK232" s="229"/>
      <c r="GL232" s="229"/>
      <c r="GM232" s="229"/>
      <c r="GN232" s="229"/>
      <c r="GO232" s="229"/>
      <c r="GP232" s="229"/>
      <c r="GQ232" s="229"/>
      <c r="GR232" s="243"/>
      <c r="GS232" s="243"/>
      <c r="GT232" s="243"/>
      <c r="GU232" s="243"/>
      <c r="GV232" s="243"/>
      <c r="GW232" s="243"/>
      <c r="GX232" s="243"/>
      <c r="GY232" s="243"/>
      <c r="GZ232" s="243"/>
      <c r="HA232" s="243"/>
      <c r="HB232" s="243"/>
      <c r="HC232" s="243"/>
      <c r="HD232" s="243"/>
      <c r="HE232" s="243"/>
      <c r="HF232" s="243"/>
      <c r="HG232" s="243"/>
      <c r="HH232" s="243"/>
      <c r="HI232" s="243"/>
      <c r="HJ232" s="243"/>
      <c r="HK232" s="243"/>
      <c r="HL232" s="243"/>
      <c r="HM232" s="243"/>
      <c r="HN232" s="243"/>
      <c r="HO232" s="243"/>
      <c r="HP232" s="286"/>
      <c r="HQ232" s="286"/>
      <c r="HR232" s="286"/>
      <c r="HS232" s="286"/>
      <c r="HT232" s="286"/>
      <c r="HU232" s="286"/>
      <c r="HV232" s="286"/>
      <c r="HW232" s="286"/>
      <c r="HX232" s="286"/>
      <c r="HY232" s="286"/>
      <c r="HZ232" s="286"/>
      <c r="IA232" s="286"/>
      <c r="IB232" s="286"/>
      <c r="IC232" s="286"/>
      <c r="ID232" s="286"/>
      <c r="IE232" s="286"/>
      <c r="IF232" s="286"/>
      <c r="IG232" s="286"/>
      <c r="IH232" s="286"/>
      <c r="II232" s="286"/>
      <c r="IJ232" s="286"/>
      <c r="IK232" s="286"/>
      <c r="IL232" s="286"/>
      <c r="IM232" s="286"/>
      <c r="IN232" s="286"/>
      <c r="IO232" s="286"/>
      <c r="IP232" s="286"/>
      <c r="IQ232" s="286"/>
      <c r="IR232" s="286"/>
      <c r="IS232" s="286"/>
      <c r="IT232" s="286"/>
      <c r="IU232" s="286"/>
      <c r="IV232" s="286"/>
      <c r="IW232" s="286"/>
      <c r="IX232" s="286"/>
      <c r="IY232" s="286"/>
      <c r="IZ232" s="286"/>
      <c r="JA232" s="286"/>
      <c r="JB232" s="286"/>
      <c r="JC232" s="286"/>
      <c r="JD232" s="286"/>
      <c r="JE232" s="286"/>
      <c r="JF232" s="286"/>
      <c r="JG232" s="286"/>
      <c r="JH232" s="286"/>
      <c r="JI232" s="286"/>
      <c r="JJ232" s="286"/>
      <c r="JK232" s="286"/>
      <c r="JL232" s="243"/>
      <c r="JM232" s="243"/>
      <c r="JN232" s="243"/>
      <c r="JO232" s="243"/>
      <c r="JP232" s="243"/>
      <c r="JQ232" s="243"/>
      <c r="JR232" s="243"/>
      <c r="JS232" s="243"/>
      <c r="JT232" s="243"/>
      <c r="JU232" s="243"/>
      <c r="JV232" s="243"/>
      <c r="JW232" s="243"/>
      <c r="JX232" s="243"/>
      <c r="JY232" s="243"/>
      <c r="JZ232" s="243"/>
      <c r="KA232" s="243"/>
      <c r="KB232" s="243"/>
      <c r="KC232" s="243"/>
      <c r="KD232" s="243"/>
      <c r="KE232" s="243"/>
      <c r="KF232" s="243"/>
      <c r="KG232" s="243"/>
      <c r="KH232" s="243"/>
      <c r="KI232" s="243"/>
      <c r="KJ232" s="243"/>
      <c r="KK232" s="243"/>
      <c r="KL232" s="243"/>
      <c r="KM232" s="243"/>
      <c r="KN232" s="243"/>
      <c r="KO232" s="243"/>
      <c r="QQ232" s="230"/>
      <c r="QR232" s="231"/>
    </row>
    <row r="233" spans="3:460" ht="5.0999999999999996" customHeight="1" x14ac:dyDescent="0.25">
      <c r="C233" s="226"/>
      <c r="D233" s="227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  <c r="AE233" s="229"/>
      <c r="AF233" s="229"/>
      <c r="AG233" s="229"/>
      <c r="AH233" s="229"/>
      <c r="AI233" s="229"/>
      <c r="AJ233" s="229"/>
      <c r="AK233" s="229"/>
      <c r="AL233" s="229"/>
      <c r="AM233" s="229"/>
      <c r="AN233" s="229"/>
      <c r="AO233" s="229"/>
      <c r="AP233" s="229"/>
      <c r="AQ233" s="229"/>
      <c r="AR233" s="229"/>
      <c r="AS233" s="229"/>
      <c r="AT233" s="229"/>
      <c r="AU233" s="229"/>
      <c r="AV233" s="229"/>
      <c r="AW233" s="229">
        <v>10</v>
      </c>
      <c r="AX233" s="229"/>
      <c r="AY233" s="229"/>
      <c r="AZ233" s="229"/>
      <c r="BA233" s="229"/>
      <c r="BB233" s="229"/>
      <c r="BE233" s="229"/>
      <c r="BF233" s="229"/>
      <c r="BG233" s="229"/>
      <c r="BH233" s="229"/>
      <c r="BI233" s="229"/>
      <c r="BJ233" s="229"/>
      <c r="DE233" s="229"/>
      <c r="DF233" s="229"/>
      <c r="DG233" s="229"/>
      <c r="DH233" s="229"/>
      <c r="DI233" s="229"/>
      <c r="DJ233" s="229"/>
      <c r="DK233" s="229"/>
      <c r="DL233" s="229"/>
      <c r="DM233" s="229"/>
      <c r="DN233" s="229"/>
      <c r="FO233" s="229"/>
      <c r="FP233" s="229"/>
      <c r="FQ233" s="229"/>
      <c r="FR233" s="229"/>
      <c r="FS233" s="229"/>
      <c r="FT233" s="229"/>
      <c r="FU233" s="229"/>
      <c r="FV233" s="229"/>
      <c r="FW233" s="229"/>
      <c r="FX233" s="229"/>
      <c r="FY233" s="229"/>
      <c r="FZ233" s="229"/>
      <c r="GA233" s="229"/>
      <c r="GB233" s="229"/>
      <c r="GC233" s="229"/>
      <c r="GD233" s="229"/>
      <c r="GE233" s="229"/>
      <c r="GF233" s="229"/>
      <c r="GG233" s="229"/>
      <c r="GH233" s="229"/>
      <c r="GI233" s="229"/>
      <c r="GJ233" s="229"/>
      <c r="GK233" s="229"/>
      <c r="GL233" s="229"/>
      <c r="GM233" s="229"/>
      <c r="GN233" s="229"/>
      <c r="GO233" s="229"/>
      <c r="GP233" s="229"/>
      <c r="GQ233" s="229"/>
      <c r="GR233" s="243"/>
      <c r="GS233" s="243"/>
      <c r="GT233" s="243"/>
      <c r="GU233" s="243"/>
      <c r="GV233" s="243"/>
      <c r="GW233" s="243"/>
      <c r="GX233" s="243"/>
      <c r="GY233" s="243"/>
      <c r="GZ233" s="243"/>
      <c r="HA233" s="243"/>
      <c r="HB233" s="243"/>
      <c r="HC233" s="243"/>
      <c r="HD233" s="243"/>
      <c r="HE233" s="243"/>
      <c r="HF233" s="243"/>
      <c r="HG233" s="243"/>
      <c r="HH233" s="243"/>
      <c r="HI233" s="243"/>
      <c r="HJ233" s="243"/>
      <c r="HK233" s="243"/>
      <c r="HL233" s="243"/>
      <c r="HM233" s="243"/>
      <c r="HN233" s="243"/>
      <c r="HO233" s="243"/>
      <c r="HP233" s="286"/>
      <c r="HQ233" s="286"/>
      <c r="HR233" s="286"/>
      <c r="HS233" s="286"/>
      <c r="HT233" s="286"/>
      <c r="HU233" s="286"/>
      <c r="HV233" s="286"/>
      <c r="HW233" s="286"/>
      <c r="HX233" s="286"/>
      <c r="HY233" s="286"/>
      <c r="HZ233" s="286"/>
      <c r="IA233" s="286"/>
      <c r="IB233" s="286"/>
      <c r="IC233" s="286"/>
      <c r="ID233" s="286"/>
      <c r="IE233" s="286"/>
      <c r="IF233" s="286"/>
      <c r="IG233" s="286"/>
      <c r="IH233" s="286"/>
      <c r="II233" s="286"/>
      <c r="IJ233" s="286"/>
      <c r="IK233" s="286"/>
      <c r="IL233" s="286"/>
      <c r="IM233" s="286"/>
      <c r="IN233" s="286"/>
      <c r="IO233" s="286"/>
      <c r="IP233" s="286"/>
      <c r="IQ233" s="286"/>
      <c r="IR233" s="286"/>
      <c r="IS233" s="286"/>
      <c r="IT233" s="286"/>
      <c r="IU233" s="286"/>
      <c r="IV233" s="286"/>
      <c r="IW233" s="286"/>
      <c r="IX233" s="286"/>
      <c r="IY233" s="286"/>
      <c r="IZ233" s="286"/>
      <c r="JA233" s="286"/>
      <c r="JB233" s="286"/>
      <c r="JC233" s="286"/>
      <c r="JD233" s="286"/>
      <c r="JE233" s="286"/>
      <c r="JF233" s="286"/>
      <c r="JG233" s="286"/>
      <c r="JH233" s="286"/>
      <c r="JI233" s="286"/>
      <c r="JJ233" s="286"/>
      <c r="JK233" s="286"/>
      <c r="JL233" s="243"/>
      <c r="JM233" s="243"/>
      <c r="JN233" s="243"/>
      <c r="JO233" s="243"/>
      <c r="JP233" s="243"/>
      <c r="JQ233" s="243"/>
      <c r="JR233" s="243"/>
      <c r="JS233" s="243"/>
      <c r="JT233" s="243"/>
      <c r="JU233" s="243"/>
      <c r="JV233" s="243"/>
      <c r="JW233" s="243"/>
      <c r="JX233" s="243"/>
      <c r="JY233" s="243"/>
      <c r="JZ233" s="243"/>
      <c r="KA233" s="243"/>
      <c r="KB233" s="243"/>
      <c r="KC233" s="243"/>
      <c r="KD233" s="243"/>
      <c r="KE233" s="243"/>
      <c r="KF233" s="243"/>
      <c r="KG233" s="243"/>
      <c r="KH233" s="243"/>
      <c r="KI233" s="243"/>
      <c r="KJ233" s="243"/>
      <c r="KK233" s="243"/>
      <c r="KL233" s="243"/>
      <c r="KM233" s="243"/>
      <c r="KN233" s="243"/>
      <c r="KO233" s="243"/>
      <c r="KT233" s="229"/>
      <c r="KU233" s="229"/>
      <c r="KV233" s="229"/>
      <c r="QQ233" s="230"/>
      <c r="QR233" s="231"/>
    </row>
    <row r="234" spans="3:460" ht="5.0999999999999996" customHeight="1" x14ac:dyDescent="0.25">
      <c r="C234" s="226"/>
      <c r="D234" s="227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  <c r="AE234" s="229"/>
      <c r="AF234" s="229"/>
      <c r="AG234" s="229"/>
      <c r="AH234" s="229"/>
      <c r="AI234" s="229"/>
      <c r="AJ234" s="229"/>
      <c r="AK234" s="229"/>
      <c r="AL234" s="229"/>
      <c r="AM234" s="229"/>
      <c r="AN234" s="229"/>
      <c r="AO234" s="229"/>
      <c r="AP234" s="229"/>
      <c r="AQ234" s="229"/>
      <c r="AR234" s="229"/>
      <c r="AS234" s="229"/>
      <c r="AT234" s="229"/>
      <c r="AU234" s="229"/>
      <c r="AV234" s="229"/>
      <c r="AW234" s="229"/>
      <c r="AX234" s="229"/>
      <c r="AY234" s="229"/>
      <c r="AZ234" s="229"/>
      <c r="BA234" s="229"/>
      <c r="BB234" s="229"/>
      <c r="BE234" s="229"/>
      <c r="BF234" s="229"/>
      <c r="BG234" s="229"/>
      <c r="BH234" s="229"/>
      <c r="BI234" s="229"/>
      <c r="BJ234" s="229"/>
      <c r="BK234" s="229"/>
      <c r="BL234" s="229"/>
      <c r="BM234" s="229"/>
      <c r="BN234" s="229"/>
      <c r="BO234" s="229"/>
      <c r="BP234" s="229"/>
      <c r="BQ234" s="229"/>
      <c r="BR234" s="229"/>
      <c r="BS234" s="229"/>
      <c r="BT234" s="229"/>
      <c r="BU234" s="229"/>
      <c r="BV234" s="229"/>
      <c r="BW234" s="229"/>
      <c r="BX234" s="229"/>
      <c r="BY234" s="229"/>
      <c r="BZ234" s="229"/>
      <c r="CA234" s="229"/>
      <c r="CB234" s="229"/>
      <c r="CC234" s="229"/>
      <c r="CD234" s="229"/>
      <c r="CE234" s="229"/>
      <c r="CF234" s="229"/>
      <c r="CG234" s="229"/>
      <c r="CH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FO234" s="229"/>
      <c r="FP234" s="229"/>
      <c r="FQ234" s="229"/>
      <c r="FR234" s="229"/>
      <c r="FS234" s="229"/>
      <c r="FT234" s="229"/>
      <c r="FU234" s="229"/>
      <c r="FV234" s="229"/>
      <c r="FW234" s="229"/>
      <c r="FX234" s="229"/>
      <c r="FY234" s="229"/>
      <c r="FZ234" s="229"/>
      <c r="GA234" s="229"/>
      <c r="GB234" s="229"/>
      <c r="GC234" s="229"/>
      <c r="GD234" s="229"/>
      <c r="GE234" s="229"/>
      <c r="GF234" s="229"/>
      <c r="GG234" s="229"/>
      <c r="GH234" s="229"/>
      <c r="GI234" s="229"/>
      <c r="GJ234" s="229"/>
      <c r="GK234" s="229"/>
      <c r="GL234" s="229"/>
      <c r="GM234" s="229"/>
      <c r="GN234" s="229"/>
      <c r="GO234" s="229"/>
      <c r="GP234" s="229"/>
      <c r="GQ234" s="229"/>
      <c r="GR234" s="243"/>
      <c r="GS234" s="243"/>
      <c r="GT234" s="243"/>
      <c r="GU234" s="243"/>
      <c r="GV234" s="243"/>
      <c r="GW234" s="243"/>
      <c r="GX234" s="243"/>
      <c r="GY234" s="243"/>
      <c r="GZ234" s="243"/>
      <c r="HA234" s="243"/>
      <c r="HB234" s="243"/>
      <c r="HC234" s="243"/>
      <c r="HD234" s="243"/>
      <c r="HE234" s="243"/>
      <c r="HF234" s="243"/>
      <c r="HG234" s="243"/>
      <c r="HH234" s="243"/>
      <c r="HI234" s="243"/>
      <c r="HJ234" s="243"/>
      <c r="HK234" s="243"/>
      <c r="HL234" s="243"/>
      <c r="HM234" s="243"/>
      <c r="HN234" s="243"/>
      <c r="HO234" s="243"/>
      <c r="HP234" s="286"/>
      <c r="HQ234" s="286"/>
      <c r="HR234" s="286"/>
      <c r="HS234" s="286"/>
      <c r="HT234" s="286"/>
      <c r="HU234" s="286"/>
      <c r="HV234" s="286"/>
      <c r="HW234" s="286"/>
      <c r="HX234" s="286"/>
      <c r="HY234" s="286"/>
      <c r="HZ234" s="286"/>
      <c r="IA234" s="286"/>
      <c r="IB234" s="286"/>
      <c r="IC234" s="286"/>
      <c r="ID234" s="286"/>
      <c r="IE234" s="286"/>
      <c r="IF234" s="286"/>
      <c r="IG234" s="286"/>
      <c r="IH234" s="286"/>
      <c r="II234" s="286"/>
      <c r="IJ234" s="286"/>
      <c r="IK234" s="286"/>
      <c r="IL234" s="286"/>
      <c r="IM234" s="286"/>
      <c r="IN234" s="286"/>
      <c r="IO234" s="286"/>
      <c r="IP234" s="286"/>
      <c r="IQ234" s="286"/>
      <c r="IR234" s="286"/>
      <c r="IS234" s="286"/>
      <c r="IT234" s="286"/>
      <c r="IU234" s="286"/>
      <c r="IV234" s="286"/>
      <c r="IW234" s="286"/>
      <c r="IX234" s="286"/>
      <c r="IY234" s="286"/>
      <c r="IZ234" s="286"/>
      <c r="JA234" s="286"/>
      <c r="JB234" s="286"/>
      <c r="JC234" s="286"/>
      <c r="JD234" s="286"/>
      <c r="JE234" s="286"/>
      <c r="JF234" s="286"/>
      <c r="JG234" s="286"/>
      <c r="JH234" s="286"/>
      <c r="JI234" s="286"/>
      <c r="JJ234" s="286"/>
      <c r="JK234" s="286"/>
      <c r="JL234" s="243"/>
      <c r="JM234" s="243"/>
      <c r="JN234" s="243"/>
      <c r="JO234" s="243"/>
      <c r="JP234" s="243"/>
      <c r="JQ234" s="243"/>
      <c r="JR234" s="243"/>
      <c r="JS234" s="243"/>
      <c r="JT234" s="243"/>
      <c r="JU234" s="243"/>
      <c r="JV234" s="243"/>
      <c r="JW234" s="243"/>
      <c r="JX234" s="243"/>
      <c r="JY234" s="243"/>
      <c r="JZ234" s="243"/>
      <c r="KA234" s="243"/>
      <c r="KB234" s="243"/>
      <c r="KC234" s="243"/>
      <c r="KD234" s="243"/>
      <c r="KE234" s="243"/>
      <c r="KF234" s="243"/>
      <c r="KG234" s="243"/>
      <c r="KH234" s="243"/>
      <c r="KI234" s="243"/>
      <c r="KJ234" s="243"/>
      <c r="KK234" s="243"/>
      <c r="KL234" s="243"/>
      <c r="KM234" s="243"/>
      <c r="KN234" s="243"/>
      <c r="KO234" s="243"/>
      <c r="KT234" s="229"/>
      <c r="KU234" s="229"/>
      <c r="KV234" s="229"/>
      <c r="QQ234" s="230"/>
      <c r="QR234" s="231"/>
    </row>
    <row r="235" spans="3:460" ht="5.0999999999999996" customHeight="1" x14ac:dyDescent="0.25">
      <c r="C235" s="226"/>
      <c r="D235" s="227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29"/>
      <c r="AT235" s="229"/>
      <c r="AU235" s="229"/>
      <c r="AV235" s="229"/>
      <c r="AW235" s="229"/>
      <c r="AX235" s="229"/>
      <c r="AY235" s="229"/>
      <c r="AZ235" s="229"/>
      <c r="BA235" s="229"/>
      <c r="BB235" s="229"/>
      <c r="BE235" s="229"/>
      <c r="BF235" s="229"/>
      <c r="BG235" s="229"/>
      <c r="BH235" s="229"/>
      <c r="BI235" s="229"/>
      <c r="BJ235" s="229"/>
      <c r="BK235" s="229"/>
      <c r="BL235" s="229"/>
      <c r="BM235" s="229"/>
      <c r="BN235" s="229"/>
      <c r="BO235" s="229"/>
      <c r="BP235" s="229"/>
      <c r="BQ235" s="229"/>
      <c r="BR235" s="229"/>
      <c r="BS235" s="229"/>
      <c r="BT235" s="229"/>
      <c r="BU235" s="229"/>
      <c r="BV235" s="229"/>
      <c r="BW235" s="229"/>
      <c r="BX235" s="229"/>
      <c r="BY235" s="229"/>
      <c r="BZ235" s="229"/>
      <c r="CA235" s="229"/>
      <c r="CB235" s="229"/>
      <c r="CC235" s="229"/>
      <c r="CD235" s="229"/>
      <c r="CE235" s="229"/>
      <c r="CF235" s="229"/>
      <c r="CG235" s="229"/>
      <c r="CH235" s="229"/>
      <c r="CI235" s="229"/>
      <c r="CJ235" s="229"/>
      <c r="CK235" s="229"/>
      <c r="CL235" s="229"/>
      <c r="CM235" s="229"/>
      <c r="CN235" s="229"/>
      <c r="CO235" s="229"/>
      <c r="CP235" s="229"/>
      <c r="CQ235" s="229"/>
      <c r="CR235" s="229"/>
      <c r="CS235" s="229"/>
      <c r="CT235" s="229"/>
      <c r="CU235" s="229"/>
      <c r="CV235" s="229"/>
      <c r="CW235" s="229"/>
      <c r="CX235" s="229"/>
      <c r="CY235" s="229"/>
      <c r="DA235" s="229"/>
      <c r="DB235" s="229"/>
      <c r="DC235" s="229"/>
      <c r="DD235" s="229"/>
      <c r="DE235" s="229"/>
      <c r="DF235" s="229"/>
      <c r="DG235" s="229"/>
      <c r="DH235" s="229"/>
      <c r="DI235" s="229"/>
      <c r="DJ235" s="229"/>
      <c r="DK235" s="229"/>
      <c r="DL235" s="229"/>
      <c r="DM235" s="229"/>
      <c r="DN235" s="229"/>
      <c r="FO235" s="229"/>
      <c r="FP235" s="229"/>
      <c r="FQ235" s="229"/>
      <c r="FR235" s="229"/>
      <c r="FS235" s="229"/>
      <c r="FT235" s="229"/>
      <c r="FU235" s="229"/>
      <c r="FV235" s="229"/>
      <c r="FW235" s="229"/>
      <c r="FX235" s="229"/>
      <c r="FY235" s="229"/>
      <c r="FZ235" s="229"/>
      <c r="GA235" s="229"/>
      <c r="GB235" s="229"/>
      <c r="GC235" s="229"/>
      <c r="GD235" s="229"/>
      <c r="GE235" s="229"/>
      <c r="GF235" s="229"/>
      <c r="GG235" s="229"/>
      <c r="GH235" s="229"/>
      <c r="GI235" s="229"/>
      <c r="GJ235" s="229"/>
      <c r="GK235" s="229"/>
      <c r="GL235" s="229"/>
      <c r="GM235" s="229"/>
      <c r="GN235" s="229"/>
      <c r="GO235" s="229"/>
      <c r="GP235" s="229"/>
      <c r="GQ235" s="229"/>
      <c r="GR235" s="243"/>
      <c r="GS235" s="243"/>
      <c r="GT235" s="243"/>
      <c r="GU235" s="243"/>
      <c r="GV235" s="243"/>
      <c r="GW235" s="243"/>
      <c r="GX235" s="243"/>
      <c r="GY235" s="243"/>
      <c r="GZ235" s="243"/>
      <c r="HA235" s="243"/>
      <c r="HB235" s="243"/>
      <c r="HC235" s="243"/>
      <c r="HD235" s="243"/>
      <c r="HE235" s="243"/>
      <c r="HF235" s="243"/>
      <c r="HG235" s="243"/>
      <c r="HH235" s="243"/>
      <c r="HI235" s="243"/>
      <c r="HJ235" s="243"/>
      <c r="HK235" s="243"/>
      <c r="HL235" s="243"/>
      <c r="HM235" s="243"/>
      <c r="HN235" s="243"/>
      <c r="HO235" s="243"/>
      <c r="HP235" s="243"/>
      <c r="HQ235" s="243"/>
      <c r="HR235" s="243"/>
      <c r="HS235" s="243"/>
      <c r="HT235" s="243"/>
      <c r="HU235" s="243"/>
      <c r="HV235" s="243"/>
      <c r="HW235" s="243"/>
      <c r="HX235" s="243"/>
      <c r="HY235" s="243"/>
      <c r="HZ235" s="243"/>
      <c r="IA235" s="243"/>
      <c r="IB235" s="243"/>
      <c r="IC235" s="243"/>
      <c r="ID235" s="243"/>
      <c r="IE235" s="243"/>
      <c r="IF235" s="243"/>
      <c r="IG235" s="243"/>
      <c r="IH235" s="243"/>
      <c r="II235" s="243"/>
      <c r="IJ235" s="243"/>
      <c r="IK235" s="243"/>
      <c r="IL235" s="243"/>
      <c r="IM235" s="243"/>
      <c r="IN235" s="243"/>
      <c r="IO235" s="243"/>
      <c r="IP235" s="243"/>
      <c r="IQ235" s="243"/>
      <c r="IR235" s="243"/>
      <c r="IS235" s="243"/>
      <c r="IT235" s="243"/>
      <c r="IU235" s="243"/>
      <c r="IV235" s="243"/>
      <c r="IW235" s="243"/>
      <c r="IX235" s="243"/>
      <c r="IY235" s="243"/>
      <c r="IZ235" s="243"/>
      <c r="JA235" s="243"/>
      <c r="JB235" s="243"/>
      <c r="JC235" s="243"/>
      <c r="JD235" s="243"/>
      <c r="JE235" s="243"/>
      <c r="JF235" s="243"/>
      <c r="JG235" s="243"/>
      <c r="JH235" s="243"/>
      <c r="JI235" s="243"/>
      <c r="JJ235" s="243"/>
      <c r="JK235" s="243"/>
      <c r="JL235" s="243"/>
      <c r="JM235" s="243"/>
      <c r="JN235" s="243"/>
      <c r="JO235" s="243"/>
      <c r="JP235" s="243"/>
      <c r="JQ235" s="243"/>
      <c r="JR235" s="243"/>
      <c r="JS235" s="243"/>
      <c r="JT235" s="243"/>
      <c r="JU235" s="243"/>
      <c r="JV235" s="243"/>
      <c r="JW235" s="243"/>
      <c r="JX235" s="243"/>
      <c r="JY235" s="243"/>
      <c r="JZ235" s="243"/>
      <c r="KA235" s="243"/>
      <c r="KB235" s="243"/>
      <c r="KC235" s="243"/>
      <c r="KD235" s="243"/>
      <c r="KE235" s="243"/>
      <c r="KF235" s="243"/>
      <c r="KG235" s="243"/>
      <c r="KH235" s="243"/>
      <c r="KI235" s="243"/>
      <c r="KJ235" s="243"/>
      <c r="KK235" s="243"/>
      <c r="KL235" s="243"/>
      <c r="KM235" s="243"/>
      <c r="KN235" s="243"/>
      <c r="KO235" s="243"/>
      <c r="KT235" s="229"/>
      <c r="KU235" s="229"/>
      <c r="KV235" s="229"/>
      <c r="QQ235" s="230"/>
      <c r="QR235" s="231"/>
    </row>
    <row r="236" spans="3:460" ht="5.0999999999999996" customHeight="1" x14ac:dyDescent="0.25">
      <c r="C236" s="226"/>
      <c r="D236" s="227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  <c r="AE236" s="229"/>
      <c r="AF236" s="229"/>
      <c r="AG236" s="229"/>
      <c r="AH236" s="229"/>
      <c r="AI236" s="229"/>
      <c r="AJ236" s="229"/>
      <c r="AK236" s="229"/>
      <c r="AL236" s="229"/>
      <c r="AM236" s="229"/>
      <c r="AN236" s="229"/>
      <c r="AO236" s="229"/>
      <c r="AP236" s="229"/>
      <c r="AQ236" s="229"/>
      <c r="AR236" s="229"/>
      <c r="AS236" s="229"/>
      <c r="AT236" s="229"/>
      <c r="AU236" s="229"/>
      <c r="AV236" s="229"/>
      <c r="AW236" s="229"/>
      <c r="AX236" s="229"/>
      <c r="AY236" s="229"/>
      <c r="AZ236" s="229"/>
      <c r="BA236" s="229"/>
      <c r="BB236" s="229"/>
      <c r="BE236" s="229"/>
      <c r="BF236" s="229"/>
      <c r="BG236" s="229"/>
      <c r="BH236" s="229"/>
      <c r="BI236" s="229"/>
      <c r="BJ236" s="229"/>
      <c r="BK236" s="229"/>
      <c r="BL236" s="229"/>
      <c r="BM236" s="229"/>
      <c r="BN236" s="229"/>
      <c r="BO236" s="229"/>
      <c r="BP236" s="229"/>
      <c r="BQ236" s="229"/>
      <c r="BR236" s="229"/>
      <c r="BS236" s="229"/>
      <c r="BT236" s="229"/>
      <c r="BU236" s="229"/>
      <c r="BV236" s="229"/>
      <c r="BW236" s="229"/>
      <c r="BX236" s="229"/>
      <c r="BY236" s="229"/>
      <c r="BZ236" s="229"/>
      <c r="CA236" s="229"/>
      <c r="CB236" s="229"/>
      <c r="CC236" s="229"/>
      <c r="CD236" s="229"/>
      <c r="CE236" s="229"/>
      <c r="CF236" s="229"/>
      <c r="CG236" s="229"/>
      <c r="CH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FO236" s="229"/>
      <c r="FP236" s="229"/>
      <c r="FQ236" s="229"/>
      <c r="FR236" s="229"/>
      <c r="FS236" s="229"/>
      <c r="FT236" s="229"/>
      <c r="FU236" s="229"/>
      <c r="FV236" s="229"/>
      <c r="FW236" s="229"/>
      <c r="FX236" s="229"/>
      <c r="FY236" s="229"/>
      <c r="FZ236" s="229"/>
      <c r="GA236" s="229"/>
      <c r="GB236" s="229"/>
      <c r="GC236" s="229"/>
      <c r="GD236" s="229"/>
      <c r="GE236" s="229"/>
      <c r="GF236" s="229"/>
      <c r="GG236" s="229"/>
      <c r="GH236" s="229"/>
      <c r="GI236" s="229"/>
      <c r="GJ236" s="229"/>
      <c r="GK236" s="229"/>
      <c r="GL236" s="229"/>
      <c r="GM236" s="229"/>
      <c r="GN236" s="229"/>
      <c r="GO236" s="229"/>
      <c r="GP236" s="229"/>
      <c r="GQ236" s="229"/>
      <c r="GR236" s="243"/>
      <c r="GS236" s="243"/>
      <c r="GT236" s="243"/>
      <c r="GU236" s="243"/>
      <c r="GV236" s="243"/>
      <c r="GW236" s="243"/>
      <c r="GX236" s="243"/>
      <c r="GY236" s="243"/>
      <c r="GZ236" s="243"/>
      <c r="HA236" s="243"/>
      <c r="HB236" s="243"/>
      <c r="HC236" s="243"/>
      <c r="HD236" s="243"/>
      <c r="HE236" s="243"/>
      <c r="HF236" s="243"/>
      <c r="HG236" s="243"/>
      <c r="HH236" s="243"/>
      <c r="HI236" s="243"/>
      <c r="HJ236" s="243"/>
      <c r="HK236" s="243"/>
      <c r="HL236" s="243"/>
      <c r="HM236" s="243"/>
      <c r="HN236" s="243"/>
      <c r="HO236" s="243"/>
      <c r="HP236" s="243"/>
      <c r="HQ236" s="243"/>
      <c r="HR236" s="243"/>
      <c r="HS236" s="243"/>
      <c r="HT236" s="243"/>
      <c r="HU236" s="243"/>
      <c r="HV236" s="243"/>
      <c r="HW236" s="243"/>
      <c r="HX236" s="243"/>
      <c r="HY236" s="243"/>
      <c r="HZ236" s="243"/>
      <c r="IA236" s="243"/>
      <c r="IB236" s="243"/>
      <c r="IC236" s="243"/>
      <c r="ID236" s="243"/>
      <c r="IE236" s="243"/>
      <c r="IF236" s="243"/>
      <c r="IG236" s="243"/>
      <c r="IH236" s="243"/>
      <c r="II236" s="243"/>
      <c r="IJ236" s="243"/>
      <c r="IK236" s="243"/>
      <c r="IL236" s="243"/>
      <c r="IM236" s="243"/>
      <c r="IN236" s="243"/>
      <c r="IO236" s="243"/>
      <c r="IP236" s="243"/>
      <c r="IQ236" s="243"/>
      <c r="IR236" s="243"/>
      <c r="IS236" s="243"/>
      <c r="IT236" s="243"/>
      <c r="IU236" s="243"/>
      <c r="IV236" s="243"/>
      <c r="IW236" s="243"/>
      <c r="IX236" s="243"/>
      <c r="IY236" s="243"/>
      <c r="IZ236" s="243"/>
      <c r="JA236" s="243"/>
      <c r="JB236" s="243"/>
      <c r="JC236" s="243"/>
      <c r="JD236" s="243"/>
      <c r="JE236" s="243"/>
      <c r="JF236" s="243"/>
      <c r="JG236" s="243"/>
      <c r="JH236" s="243"/>
      <c r="JI236" s="243"/>
      <c r="JJ236" s="243"/>
      <c r="JK236" s="243"/>
      <c r="JL236" s="243"/>
      <c r="JM236" s="243"/>
      <c r="JN236" s="243"/>
      <c r="JO236" s="243"/>
      <c r="JP236" s="243"/>
      <c r="JQ236" s="243"/>
      <c r="JR236" s="243"/>
      <c r="JS236" s="243"/>
      <c r="JT236" s="243"/>
      <c r="JU236" s="243"/>
      <c r="JV236" s="243"/>
      <c r="JW236" s="243"/>
      <c r="JX236" s="243"/>
      <c r="JY236" s="243"/>
      <c r="JZ236" s="243"/>
      <c r="KA236" s="243"/>
      <c r="KB236" s="243"/>
      <c r="KC236" s="243"/>
      <c r="KD236" s="243"/>
      <c r="KE236" s="243"/>
      <c r="KF236" s="243"/>
      <c r="KG236" s="243"/>
      <c r="KH236" s="243"/>
      <c r="KI236" s="243"/>
      <c r="KJ236" s="243"/>
      <c r="KK236" s="243"/>
      <c r="KL236" s="243"/>
      <c r="KM236" s="243"/>
      <c r="KN236" s="243"/>
      <c r="KO236" s="243"/>
      <c r="KT236" s="229"/>
      <c r="KU236" s="229"/>
      <c r="KV236" s="229"/>
      <c r="QQ236" s="230"/>
      <c r="QR236" s="231"/>
    </row>
    <row r="237" spans="3:460" ht="5.0999999999999996" customHeight="1" x14ac:dyDescent="0.25">
      <c r="C237" s="226"/>
      <c r="D237" s="227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  <c r="AD237" s="229"/>
      <c r="AE237" s="229"/>
      <c r="AF237" s="229"/>
      <c r="AG237" s="229"/>
      <c r="AH237" s="229"/>
      <c r="AI237" s="229"/>
      <c r="AJ237" s="229"/>
      <c r="AK237" s="229"/>
      <c r="AL237" s="229"/>
      <c r="AM237" s="229"/>
      <c r="AN237" s="229"/>
      <c r="AO237" s="229"/>
      <c r="AP237" s="229"/>
      <c r="AQ237" s="229"/>
      <c r="AR237" s="229"/>
      <c r="AS237" s="229"/>
      <c r="AT237" s="229"/>
      <c r="AU237" s="229"/>
      <c r="AV237" s="229"/>
      <c r="AW237" s="229"/>
      <c r="AX237" s="229"/>
      <c r="AY237" s="229"/>
      <c r="AZ237" s="229"/>
      <c r="BA237" s="229"/>
      <c r="BB237" s="229"/>
      <c r="BE237" s="229"/>
      <c r="BF237" s="229"/>
      <c r="BG237" s="229"/>
      <c r="BH237" s="229"/>
      <c r="BI237" s="229"/>
      <c r="BJ237" s="229"/>
      <c r="BK237" s="229"/>
      <c r="BL237" s="229"/>
      <c r="BM237" s="229"/>
      <c r="BN237" s="229"/>
      <c r="BO237" s="229"/>
      <c r="BP237" s="229"/>
      <c r="BQ237" s="229"/>
      <c r="BR237" s="229"/>
      <c r="BS237" s="229"/>
      <c r="BT237" s="229"/>
      <c r="BU237" s="229"/>
      <c r="BV237" s="229"/>
      <c r="BW237" s="229"/>
      <c r="BX237" s="229"/>
      <c r="BY237" s="229"/>
      <c r="BZ237" s="229"/>
      <c r="CA237" s="229"/>
      <c r="CB237" s="229"/>
      <c r="CC237" s="229"/>
      <c r="CD237" s="229"/>
      <c r="CE237" s="229"/>
      <c r="CF237" s="229"/>
      <c r="CG237" s="229"/>
      <c r="CH237" s="229"/>
      <c r="CI237" s="229"/>
      <c r="CJ237" s="229"/>
      <c r="CK237" s="229"/>
      <c r="CL237" s="229"/>
      <c r="CM237" s="229"/>
      <c r="CN237" s="229"/>
      <c r="CO237" s="229"/>
      <c r="CP237" s="229"/>
      <c r="CQ237" s="229"/>
      <c r="CR237" s="229"/>
      <c r="CS237" s="229"/>
      <c r="CT237" s="229"/>
      <c r="CU237" s="229"/>
      <c r="CV237" s="229"/>
      <c r="CW237" s="229"/>
      <c r="CX237" s="229"/>
      <c r="CY237" s="229"/>
      <c r="DA237" s="229"/>
      <c r="DB237" s="229"/>
      <c r="DC237" s="229"/>
      <c r="DD237" s="229"/>
      <c r="DE237" s="229"/>
      <c r="DF237" s="229"/>
      <c r="DG237" s="229"/>
      <c r="DH237" s="229"/>
      <c r="DI237" s="229"/>
      <c r="DJ237" s="229"/>
      <c r="DK237" s="229"/>
      <c r="DL237" s="229"/>
      <c r="DM237" s="229"/>
      <c r="DN237" s="229"/>
      <c r="FO237" s="229"/>
      <c r="FP237" s="229"/>
      <c r="FQ237" s="229"/>
      <c r="FR237" s="229"/>
      <c r="FS237" s="229"/>
      <c r="FT237" s="229"/>
      <c r="FU237" s="229"/>
      <c r="FV237" s="229"/>
      <c r="FW237" s="229"/>
      <c r="FX237" s="229"/>
      <c r="FY237" s="229"/>
      <c r="FZ237" s="229"/>
      <c r="GA237" s="229"/>
      <c r="GB237" s="229"/>
      <c r="GC237" s="229"/>
      <c r="GD237" s="229"/>
      <c r="GE237" s="229"/>
      <c r="GF237" s="229"/>
      <c r="GG237" s="229"/>
      <c r="GH237" s="229"/>
      <c r="GI237" s="229"/>
      <c r="GJ237" s="229"/>
      <c r="GK237" s="229"/>
      <c r="GL237" s="229"/>
      <c r="GM237" s="229"/>
      <c r="GN237" s="229"/>
      <c r="GO237" s="229"/>
      <c r="GP237" s="229"/>
      <c r="GQ237" s="229"/>
      <c r="GR237" s="243"/>
      <c r="GS237" s="243"/>
      <c r="GT237" s="243"/>
      <c r="GU237" s="243"/>
      <c r="GV237" s="243"/>
      <c r="GW237" s="243"/>
      <c r="GX237" s="243"/>
      <c r="GY237" s="243"/>
      <c r="GZ237" s="243"/>
      <c r="HA237" s="243"/>
      <c r="HB237" s="243"/>
      <c r="HC237" s="243"/>
      <c r="HD237" s="243"/>
      <c r="HE237" s="243"/>
      <c r="HF237" s="243"/>
      <c r="HG237" s="243"/>
      <c r="HH237" s="243"/>
      <c r="HI237" s="243"/>
      <c r="HJ237" s="243"/>
      <c r="HK237" s="243"/>
      <c r="HL237" s="243"/>
      <c r="HM237" s="243"/>
      <c r="HN237" s="243"/>
      <c r="HO237" s="243"/>
      <c r="HP237" s="243"/>
      <c r="HQ237" s="243"/>
      <c r="HR237" s="243"/>
      <c r="HS237" s="243"/>
      <c r="HT237" s="243"/>
      <c r="HU237" s="243"/>
      <c r="HV237" s="243"/>
      <c r="HW237" s="243"/>
      <c r="HX237" s="243"/>
      <c r="HY237" s="243"/>
      <c r="HZ237" s="243"/>
      <c r="IA237" s="243"/>
      <c r="IB237" s="243"/>
      <c r="IC237" s="243"/>
      <c r="ID237" s="243"/>
      <c r="IE237" s="243"/>
      <c r="IF237" s="243"/>
      <c r="IG237" s="243"/>
      <c r="IH237" s="243"/>
      <c r="II237" s="243"/>
      <c r="IJ237" s="243"/>
      <c r="IK237" s="243"/>
      <c r="IL237" s="243"/>
      <c r="IM237" s="243"/>
      <c r="IN237" s="243"/>
      <c r="IO237" s="243"/>
      <c r="IP237" s="243"/>
      <c r="IQ237" s="243"/>
      <c r="IR237" s="243"/>
      <c r="IS237" s="243"/>
      <c r="IT237" s="243"/>
      <c r="IU237" s="243"/>
      <c r="IV237" s="243"/>
      <c r="IW237" s="243"/>
      <c r="IX237" s="243"/>
      <c r="IY237" s="243"/>
      <c r="IZ237" s="243"/>
      <c r="JA237" s="243"/>
      <c r="JB237" s="243"/>
      <c r="JC237" s="243"/>
      <c r="JD237" s="243"/>
      <c r="JE237" s="243"/>
      <c r="JF237" s="243"/>
      <c r="JG237" s="243"/>
      <c r="JH237" s="243"/>
      <c r="JI237" s="243"/>
      <c r="JJ237" s="243"/>
      <c r="JK237" s="243"/>
      <c r="JL237" s="243"/>
      <c r="JM237" s="243"/>
      <c r="JN237" s="243"/>
      <c r="JO237" s="243"/>
      <c r="JP237" s="243"/>
      <c r="JQ237" s="243"/>
      <c r="JR237" s="243"/>
      <c r="JS237" s="243"/>
      <c r="JT237" s="243"/>
      <c r="JU237" s="243"/>
      <c r="JV237" s="243"/>
      <c r="JW237" s="243"/>
      <c r="JX237" s="243"/>
      <c r="JY237" s="243"/>
      <c r="JZ237" s="243"/>
      <c r="KA237" s="243"/>
      <c r="KB237" s="243"/>
      <c r="KC237" s="243"/>
      <c r="KD237" s="243"/>
      <c r="KE237" s="243"/>
      <c r="KF237" s="243"/>
      <c r="KG237" s="243"/>
      <c r="KH237" s="243"/>
      <c r="KI237" s="243"/>
      <c r="KJ237" s="243"/>
      <c r="KK237" s="243"/>
      <c r="KL237" s="243"/>
      <c r="KM237" s="243"/>
      <c r="KN237" s="243"/>
      <c r="KO237" s="243"/>
      <c r="KT237" s="229"/>
      <c r="KU237" s="229"/>
      <c r="KV237" s="229"/>
      <c r="QQ237" s="230"/>
      <c r="QR237" s="231"/>
    </row>
    <row r="238" spans="3:460" ht="5.0999999999999996" customHeight="1" x14ac:dyDescent="0.25">
      <c r="C238" s="226"/>
      <c r="D238" s="227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  <c r="AE238" s="229"/>
      <c r="AF238" s="229"/>
      <c r="AG238" s="229"/>
      <c r="AH238" s="229"/>
      <c r="AI238" s="229"/>
      <c r="AJ238" s="229"/>
      <c r="AK238" s="229"/>
      <c r="AL238" s="229"/>
      <c r="AM238" s="229"/>
      <c r="AN238" s="229"/>
      <c r="AO238" s="229"/>
      <c r="AP238" s="229"/>
      <c r="AQ238" s="229"/>
      <c r="AR238" s="229"/>
      <c r="AS238" s="229"/>
      <c r="AT238" s="229"/>
      <c r="AU238" s="229"/>
      <c r="AV238" s="229"/>
      <c r="AW238" s="229"/>
      <c r="AX238" s="229"/>
      <c r="AY238" s="229"/>
      <c r="AZ238" s="229"/>
      <c r="BA238" s="229"/>
      <c r="BB238" s="229"/>
      <c r="BE238" s="229"/>
      <c r="BF238" s="229"/>
      <c r="BG238" s="229"/>
      <c r="BH238" s="229"/>
      <c r="BI238" s="229"/>
      <c r="BJ238" s="229"/>
      <c r="BK238" s="229"/>
      <c r="BL238" s="229"/>
      <c r="BM238" s="229"/>
      <c r="BN238" s="229"/>
      <c r="BO238" s="229"/>
      <c r="BP238" s="229"/>
      <c r="BQ238" s="229"/>
      <c r="BR238" s="229"/>
      <c r="BS238" s="229"/>
      <c r="BT238" s="229"/>
      <c r="BU238" s="229"/>
      <c r="BV238" s="229"/>
      <c r="BW238" s="229"/>
      <c r="BX238" s="229"/>
      <c r="BY238" s="229"/>
      <c r="BZ238" s="229"/>
      <c r="CA238" s="229"/>
      <c r="CB238" s="229"/>
      <c r="CC238" s="229"/>
      <c r="CD238" s="229"/>
      <c r="CE238" s="229"/>
      <c r="CF238" s="229"/>
      <c r="CG238" s="229"/>
      <c r="CH238" s="229"/>
      <c r="CI238" s="229"/>
      <c r="CJ238" s="229"/>
      <c r="CK238" s="229"/>
      <c r="CL238" s="229"/>
      <c r="CM238" s="229"/>
      <c r="CN238" s="229"/>
      <c r="CO238" s="229"/>
      <c r="CP238" s="229"/>
      <c r="CQ238" s="229"/>
      <c r="CR238" s="229"/>
      <c r="CS238" s="229"/>
      <c r="CT238" s="229"/>
      <c r="CU238" s="229"/>
      <c r="CV238" s="229"/>
      <c r="CW238" s="229"/>
      <c r="CX238" s="229"/>
      <c r="CY238" s="229"/>
      <c r="DA238" s="229"/>
      <c r="DB238" s="229"/>
      <c r="DC238" s="229"/>
      <c r="DD238" s="229"/>
      <c r="DE238" s="229"/>
      <c r="DF238" s="229"/>
      <c r="DG238" s="229"/>
      <c r="DH238" s="229"/>
      <c r="DI238" s="229"/>
      <c r="DJ238" s="229"/>
      <c r="DK238" s="229"/>
      <c r="DL238" s="229"/>
      <c r="DM238" s="229"/>
      <c r="DN238" s="229"/>
      <c r="FO238" s="229"/>
      <c r="FP238" s="229"/>
      <c r="FQ238" s="229"/>
      <c r="FR238" s="229"/>
      <c r="FS238" s="229"/>
      <c r="FT238" s="229"/>
      <c r="FU238" s="229"/>
      <c r="FV238" s="229"/>
      <c r="FW238" s="229"/>
      <c r="FX238" s="229"/>
      <c r="FY238" s="229"/>
      <c r="FZ238" s="229"/>
      <c r="GA238" s="229"/>
      <c r="GB238" s="229"/>
      <c r="GC238" s="229"/>
      <c r="GD238" s="229"/>
      <c r="GE238" s="229"/>
      <c r="GF238" s="229"/>
      <c r="GG238" s="229"/>
      <c r="GH238" s="229"/>
      <c r="GI238" s="229"/>
      <c r="GJ238" s="229"/>
      <c r="GK238" s="229"/>
      <c r="GL238" s="229"/>
      <c r="GM238" s="229"/>
      <c r="GN238" s="229"/>
      <c r="GO238" s="229"/>
      <c r="GP238" s="229"/>
      <c r="GQ238" s="229"/>
      <c r="GR238" s="243"/>
      <c r="GS238" s="243"/>
      <c r="GT238" s="243"/>
      <c r="GU238" s="243"/>
      <c r="GV238" s="243"/>
      <c r="GW238" s="243"/>
      <c r="GX238" s="243"/>
      <c r="GY238" s="243"/>
      <c r="GZ238" s="243"/>
      <c r="HA238" s="243"/>
      <c r="HB238" s="243"/>
      <c r="HC238" s="243"/>
      <c r="HD238" s="243"/>
      <c r="HE238" s="243"/>
      <c r="HF238" s="243"/>
      <c r="HG238" s="243"/>
      <c r="HH238" s="243"/>
      <c r="HI238" s="243"/>
      <c r="HJ238" s="243"/>
      <c r="HK238" s="243"/>
      <c r="HL238" s="243"/>
      <c r="HM238" s="243"/>
      <c r="HN238" s="243"/>
      <c r="HO238" s="243"/>
      <c r="HP238" s="243"/>
      <c r="HQ238" s="243"/>
      <c r="HR238" s="243"/>
      <c r="HS238" s="243"/>
      <c r="HT238" s="243"/>
      <c r="HU238" s="243"/>
      <c r="HV238" s="243"/>
      <c r="HW238" s="243"/>
      <c r="HX238" s="243"/>
      <c r="HY238" s="243"/>
      <c r="HZ238" s="243"/>
      <c r="IA238" s="243"/>
      <c r="IB238" s="243"/>
      <c r="IC238" s="243"/>
      <c r="ID238" s="243"/>
      <c r="IE238" s="243"/>
      <c r="IF238" s="243"/>
      <c r="IG238" s="243"/>
      <c r="IH238" s="243"/>
      <c r="II238" s="243"/>
      <c r="IJ238" s="243"/>
      <c r="IK238" s="243"/>
      <c r="IL238" s="243"/>
      <c r="IM238" s="243"/>
      <c r="IN238" s="243"/>
      <c r="IO238" s="243"/>
      <c r="IP238" s="243"/>
      <c r="IQ238" s="243"/>
      <c r="IR238" s="243"/>
      <c r="IS238" s="243"/>
      <c r="IT238" s="243"/>
      <c r="IU238" s="243"/>
      <c r="IV238" s="243"/>
      <c r="IW238" s="243"/>
      <c r="IX238" s="243"/>
      <c r="IY238" s="243"/>
      <c r="IZ238" s="243"/>
      <c r="JA238" s="243"/>
      <c r="JB238" s="243"/>
      <c r="JC238" s="243"/>
      <c r="JD238" s="243"/>
      <c r="JE238" s="243"/>
      <c r="JF238" s="243"/>
      <c r="JG238" s="243"/>
      <c r="JH238" s="243"/>
      <c r="JI238" s="243"/>
      <c r="JJ238" s="243"/>
      <c r="JK238" s="243"/>
      <c r="JL238" s="243"/>
      <c r="JM238" s="243"/>
      <c r="JN238" s="243"/>
      <c r="JO238" s="243"/>
      <c r="JP238" s="243"/>
      <c r="JQ238" s="243"/>
      <c r="JR238" s="243"/>
      <c r="JS238" s="243"/>
      <c r="JT238" s="243"/>
      <c r="JU238" s="243"/>
      <c r="JV238" s="243"/>
      <c r="JW238" s="243"/>
      <c r="JX238" s="243"/>
      <c r="JY238" s="243"/>
      <c r="JZ238" s="243"/>
      <c r="KA238" s="243"/>
      <c r="KB238" s="243"/>
      <c r="KC238" s="243"/>
      <c r="KD238" s="243"/>
      <c r="KE238" s="243"/>
      <c r="KF238" s="243"/>
      <c r="KG238" s="243"/>
      <c r="KH238" s="243"/>
      <c r="KI238" s="243"/>
      <c r="KJ238" s="243"/>
      <c r="KK238" s="243"/>
      <c r="KL238" s="243"/>
      <c r="KM238" s="243"/>
      <c r="KN238" s="243"/>
      <c r="KO238" s="243"/>
      <c r="KT238" s="229"/>
      <c r="KU238" s="229"/>
      <c r="KV238" s="229"/>
      <c r="QQ238" s="230"/>
      <c r="QR238" s="231"/>
    </row>
    <row r="239" spans="3:460" ht="5.0999999999999996" customHeight="1" x14ac:dyDescent="0.25">
      <c r="C239" s="226"/>
      <c r="D239" s="227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29"/>
      <c r="AH239" s="229"/>
      <c r="AI239" s="229"/>
      <c r="AJ239" s="229"/>
      <c r="AK239" s="229"/>
      <c r="AL239" s="229"/>
      <c r="AM239" s="229"/>
      <c r="AN239" s="229"/>
      <c r="AO239" s="229"/>
      <c r="AP239" s="229"/>
      <c r="AQ239" s="229"/>
      <c r="AR239" s="229"/>
      <c r="AS239" s="229"/>
      <c r="AT239" s="229"/>
      <c r="AU239" s="229"/>
      <c r="AV239" s="229"/>
      <c r="AW239" s="229"/>
      <c r="AX239" s="229"/>
      <c r="AY239" s="229"/>
      <c r="AZ239" s="229"/>
      <c r="BA239" s="229"/>
      <c r="BB239" s="229"/>
      <c r="BE239" s="229"/>
      <c r="BF239" s="229"/>
      <c r="BG239" s="229"/>
      <c r="BH239" s="229"/>
      <c r="BI239" s="229"/>
      <c r="BJ239" s="229"/>
      <c r="BK239" s="229"/>
      <c r="BL239" s="229"/>
      <c r="BM239" s="229"/>
      <c r="BN239" s="229"/>
      <c r="BO239" s="229"/>
      <c r="BP239" s="229"/>
      <c r="BQ239" s="229"/>
      <c r="BR239" s="229"/>
      <c r="BS239" s="229"/>
      <c r="BT239" s="229"/>
      <c r="BU239" s="229"/>
      <c r="BV239" s="229"/>
      <c r="BW239" s="229"/>
      <c r="BX239" s="229"/>
      <c r="BY239" s="229"/>
      <c r="BZ239" s="229"/>
      <c r="CA239" s="229"/>
      <c r="CB239" s="229"/>
      <c r="CC239" s="229"/>
      <c r="CD239" s="229"/>
      <c r="CE239" s="229"/>
      <c r="CF239" s="229"/>
      <c r="CG239" s="229"/>
      <c r="CH239" s="229"/>
      <c r="CI239" s="229"/>
      <c r="CJ239" s="229"/>
      <c r="CK239" s="229"/>
      <c r="CL239" s="229"/>
      <c r="CM239" s="229"/>
      <c r="CN239" s="229"/>
      <c r="CO239" s="229"/>
      <c r="CP239" s="229"/>
      <c r="CQ239" s="229"/>
      <c r="CR239" s="229"/>
      <c r="CS239" s="229"/>
      <c r="CT239" s="229"/>
      <c r="CU239" s="229"/>
      <c r="CV239" s="229"/>
      <c r="CW239" s="229"/>
      <c r="CX239" s="229"/>
      <c r="CY239" s="229"/>
      <c r="DA239" s="229"/>
      <c r="DB239" s="229"/>
      <c r="DC239" s="229"/>
      <c r="DD239" s="229"/>
      <c r="DE239" s="229"/>
      <c r="DF239" s="229"/>
      <c r="DG239" s="229"/>
      <c r="DH239" s="229"/>
      <c r="DI239" s="229"/>
      <c r="DJ239" s="229"/>
      <c r="DK239" s="229"/>
      <c r="DL239" s="229"/>
      <c r="DM239" s="229"/>
      <c r="DN239" s="229"/>
      <c r="FO239" s="229"/>
      <c r="FP239" s="229"/>
      <c r="FQ239" s="229"/>
      <c r="FR239" s="229"/>
      <c r="FS239" s="229"/>
      <c r="FT239" s="229"/>
      <c r="FU239" s="229"/>
      <c r="FV239" s="229"/>
      <c r="FW239" s="229"/>
      <c r="FX239" s="229"/>
      <c r="FY239" s="229"/>
      <c r="FZ239" s="229"/>
      <c r="GA239" s="229"/>
      <c r="GB239" s="229"/>
      <c r="GC239" s="229"/>
      <c r="GD239" s="229"/>
      <c r="GE239" s="229"/>
      <c r="GF239" s="229"/>
      <c r="GG239" s="229"/>
      <c r="GH239" s="229"/>
      <c r="GI239" s="229"/>
      <c r="GJ239" s="229"/>
      <c r="GR239" s="243"/>
      <c r="GS239" s="243"/>
      <c r="GT239" s="243"/>
      <c r="GU239" s="243"/>
      <c r="GV239" s="243"/>
      <c r="GW239" s="243"/>
      <c r="GX239" s="243"/>
      <c r="GY239" s="243"/>
      <c r="GZ239" s="243"/>
      <c r="HA239" s="243"/>
      <c r="HB239" s="243"/>
      <c r="HC239" s="243"/>
      <c r="HD239" s="243"/>
      <c r="HE239" s="243"/>
      <c r="HF239" s="243"/>
      <c r="HG239" s="243"/>
      <c r="HH239" s="243"/>
      <c r="HI239" s="243"/>
      <c r="HJ239" s="243"/>
      <c r="HK239" s="243"/>
      <c r="HL239" s="243"/>
      <c r="HM239" s="243"/>
      <c r="HN239" s="243"/>
      <c r="HO239" s="243"/>
      <c r="HP239" s="243"/>
      <c r="HQ239" s="243"/>
      <c r="HR239" s="243"/>
      <c r="HS239" s="243"/>
      <c r="HT239" s="243"/>
      <c r="HU239" s="243"/>
      <c r="HV239" s="243"/>
      <c r="HW239" s="243"/>
      <c r="HX239" s="243"/>
      <c r="HY239" s="243"/>
      <c r="HZ239" s="243"/>
      <c r="IA239" s="243"/>
      <c r="IB239" s="243"/>
      <c r="IC239" s="243"/>
      <c r="ID239" s="243"/>
      <c r="IE239" s="243"/>
      <c r="IF239" s="243"/>
      <c r="IG239" s="243"/>
      <c r="IH239" s="243"/>
      <c r="II239" s="243"/>
      <c r="IJ239" s="243"/>
      <c r="IK239" s="243"/>
      <c r="IL239" s="243"/>
      <c r="IM239" s="243"/>
      <c r="IN239" s="243"/>
      <c r="IO239" s="243"/>
      <c r="IP239" s="243"/>
      <c r="IQ239" s="243"/>
      <c r="IR239" s="243"/>
      <c r="IS239" s="243"/>
      <c r="IT239" s="243"/>
      <c r="IU239" s="243"/>
      <c r="IV239" s="243"/>
      <c r="IW239" s="243"/>
      <c r="IX239" s="243"/>
      <c r="IY239" s="243"/>
      <c r="IZ239" s="243"/>
      <c r="JA239" s="243"/>
      <c r="JB239" s="243"/>
      <c r="JC239" s="243"/>
      <c r="JD239" s="243"/>
      <c r="JE239" s="243"/>
      <c r="JF239" s="243"/>
      <c r="JG239" s="243"/>
      <c r="JH239" s="243"/>
      <c r="JI239" s="243"/>
      <c r="JJ239" s="243"/>
      <c r="JK239" s="243"/>
      <c r="JL239" s="243"/>
      <c r="JM239" s="243"/>
      <c r="JN239" s="243"/>
      <c r="JO239" s="243"/>
      <c r="JP239" s="243"/>
      <c r="JQ239" s="243"/>
      <c r="JR239" s="243"/>
      <c r="JS239" s="243"/>
      <c r="JT239" s="243"/>
      <c r="JU239" s="243"/>
      <c r="JV239" s="243"/>
      <c r="JW239" s="243"/>
      <c r="JX239" s="243"/>
      <c r="JY239" s="243"/>
      <c r="JZ239" s="243"/>
      <c r="KA239" s="243"/>
      <c r="KB239" s="243"/>
      <c r="KC239" s="243"/>
      <c r="KD239" s="243"/>
      <c r="KE239" s="243"/>
      <c r="KF239" s="243"/>
      <c r="KG239" s="243"/>
      <c r="KH239" s="243"/>
      <c r="KI239" s="243"/>
      <c r="KJ239" s="243"/>
      <c r="KK239" s="243"/>
      <c r="KL239" s="243"/>
      <c r="KM239" s="243"/>
      <c r="KN239" s="243"/>
      <c r="KO239" s="243"/>
      <c r="KT239" s="229"/>
      <c r="KU239" s="229"/>
      <c r="KV239" s="229"/>
      <c r="KW239" s="229"/>
      <c r="KX239" s="229"/>
      <c r="KY239" s="229"/>
      <c r="KZ239" s="229"/>
      <c r="LA239" s="229"/>
      <c r="LB239" s="229"/>
      <c r="LC239" s="229"/>
      <c r="LD239" s="229"/>
      <c r="LE239" s="229"/>
      <c r="LF239" s="229"/>
      <c r="LG239" s="229"/>
      <c r="LH239" s="229"/>
      <c r="LI239" s="229"/>
      <c r="LJ239" s="229"/>
      <c r="LK239" s="229"/>
      <c r="LL239" s="229"/>
      <c r="LM239" s="229"/>
      <c r="LN239" s="229"/>
      <c r="LO239" s="229"/>
      <c r="LP239" s="229"/>
      <c r="LQ239" s="229"/>
      <c r="LR239" s="229"/>
      <c r="LS239" s="229"/>
      <c r="LT239" s="229"/>
      <c r="QQ239" s="230"/>
      <c r="QR239" s="231"/>
    </row>
    <row r="240" spans="3:460" ht="5.0999999999999996" customHeight="1" x14ac:dyDescent="0.25">
      <c r="C240" s="226"/>
      <c r="D240" s="227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  <c r="AE240" s="229"/>
      <c r="AF240" s="229"/>
      <c r="AG240" s="229"/>
      <c r="AH240" s="229"/>
      <c r="AI240" s="229"/>
      <c r="AJ240" s="229"/>
      <c r="AK240" s="229"/>
      <c r="AL240" s="229"/>
      <c r="AM240" s="229"/>
      <c r="AN240" s="229"/>
      <c r="AO240" s="229"/>
      <c r="AP240" s="229"/>
      <c r="AQ240" s="229"/>
      <c r="AR240" s="229"/>
      <c r="AS240" s="229"/>
      <c r="AT240" s="229"/>
      <c r="AU240" s="229"/>
      <c r="AV240" s="229"/>
      <c r="AW240" s="229"/>
      <c r="AX240" s="229"/>
      <c r="AY240" s="229"/>
      <c r="AZ240" s="229"/>
      <c r="BA240" s="229"/>
      <c r="BB240" s="229"/>
      <c r="BE240" s="229"/>
      <c r="BF240" s="229"/>
      <c r="BG240" s="229"/>
      <c r="BH240" s="229"/>
      <c r="BI240" s="229"/>
      <c r="BJ240" s="229"/>
      <c r="BK240" s="229"/>
      <c r="BL240" s="229"/>
      <c r="BM240" s="229"/>
      <c r="BN240" s="229"/>
      <c r="BO240" s="229"/>
      <c r="BP240" s="229"/>
      <c r="BQ240" s="229"/>
      <c r="BR240" s="229"/>
      <c r="BS240" s="229"/>
      <c r="BT240" s="229"/>
      <c r="BU240" s="229"/>
      <c r="BV240" s="229"/>
      <c r="BW240" s="229"/>
      <c r="BX240" s="229"/>
      <c r="BY240" s="229"/>
      <c r="BZ240" s="229"/>
      <c r="CA240" s="229"/>
      <c r="CB240" s="229"/>
      <c r="CC240" s="229"/>
      <c r="CD240" s="229"/>
      <c r="CE240" s="229"/>
      <c r="CF240" s="229"/>
      <c r="CG240" s="229"/>
      <c r="CH240" s="229"/>
      <c r="CI240" s="229"/>
      <c r="CJ240" s="229"/>
      <c r="CK240" s="229"/>
      <c r="CL240" s="229"/>
      <c r="CM240" s="229"/>
      <c r="CN240" s="229"/>
      <c r="CO240" s="229"/>
      <c r="CP240" s="229"/>
      <c r="CQ240" s="229"/>
      <c r="CR240" s="229"/>
      <c r="CS240" s="229"/>
      <c r="CT240" s="229"/>
      <c r="CU240" s="229"/>
      <c r="CV240" s="229"/>
      <c r="CW240" s="229"/>
      <c r="CX240" s="229"/>
      <c r="CY240" s="229"/>
      <c r="DA240" s="229"/>
      <c r="DB240" s="229"/>
      <c r="DC240" s="229"/>
      <c r="DD240" s="229"/>
      <c r="DE240" s="229"/>
      <c r="DF240" s="229"/>
      <c r="DG240" s="229"/>
      <c r="DH240" s="229"/>
      <c r="DI240" s="229"/>
      <c r="DJ240" s="229"/>
      <c r="DK240" s="229"/>
      <c r="DL240" s="229"/>
      <c r="DM240" s="229"/>
      <c r="DN240" s="229"/>
      <c r="FO240" s="229"/>
      <c r="FP240" s="229"/>
      <c r="FQ240" s="229"/>
      <c r="FR240" s="229"/>
      <c r="FS240" s="229"/>
      <c r="FT240" s="229"/>
      <c r="FU240" s="229"/>
      <c r="FV240" s="229"/>
      <c r="FW240" s="229"/>
      <c r="FX240" s="229"/>
      <c r="FY240" s="229"/>
      <c r="FZ240" s="229"/>
      <c r="GA240" s="229"/>
      <c r="GB240" s="229"/>
      <c r="GC240" s="229"/>
      <c r="GD240" s="229"/>
      <c r="GE240" s="229"/>
      <c r="GF240" s="229"/>
      <c r="GG240" s="229"/>
      <c r="GH240" s="229"/>
      <c r="GI240" s="229"/>
      <c r="GJ240" s="229"/>
      <c r="GR240" s="243"/>
      <c r="GS240" s="243"/>
      <c r="GT240" s="243"/>
      <c r="GU240" s="243"/>
      <c r="GV240" s="243"/>
      <c r="GW240" s="243"/>
      <c r="GX240" s="243"/>
      <c r="GY240" s="243"/>
      <c r="GZ240" s="243"/>
      <c r="HA240" s="243"/>
      <c r="HB240" s="243"/>
      <c r="HC240" s="243"/>
      <c r="HD240" s="243"/>
      <c r="HE240" s="243"/>
      <c r="HF240" s="243"/>
      <c r="HG240" s="243"/>
      <c r="HH240" s="243"/>
      <c r="HI240" s="243"/>
      <c r="HJ240" s="243"/>
      <c r="HK240" s="243"/>
      <c r="HL240" s="243"/>
      <c r="HM240" s="243"/>
      <c r="HN240" s="243"/>
      <c r="HO240" s="243"/>
      <c r="HP240" s="243"/>
      <c r="HQ240" s="243"/>
      <c r="HR240" s="243"/>
      <c r="HS240" s="243"/>
      <c r="HT240" s="243"/>
      <c r="HU240" s="243"/>
      <c r="HV240" s="243"/>
      <c r="HW240" s="243"/>
      <c r="HX240" s="243"/>
      <c r="HY240" s="243"/>
      <c r="HZ240" s="243"/>
      <c r="IA240" s="243"/>
      <c r="IB240" s="243"/>
      <c r="IC240" s="243"/>
      <c r="ID240" s="243"/>
      <c r="IE240" s="243"/>
      <c r="IF240" s="243"/>
      <c r="IG240" s="243"/>
      <c r="IH240" s="243"/>
      <c r="II240" s="243"/>
      <c r="IJ240" s="243"/>
      <c r="IK240" s="243"/>
      <c r="IL240" s="243"/>
      <c r="IM240" s="243"/>
      <c r="IN240" s="243"/>
      <c r="IO240" s="243"/>
      <c r="IP240" s="243"/>
      <c r="IQ240" s="243"/>
      <c r="IR240" s="243"/>
      <c r="IS240" s="243"/>
      <c r="IT240" s="243"/>
      <c r="IU240" s="243"/>
      <c r="IV240" s="243"/>
      <c r="IW240" s="243"/>
      <c r="IX240" s="243"/>
      <c r="IY240" s="243"/>
      <c r="IZ240" s="243"/>
      <c r="JA240" s="243"/>
      <c r="JB240" s="243"/>
      <c r="JC240" s="243"/>
      <c r="JD240" s="243"/>
      <c r="JE240" s="243"/>
      <c r="JF240" s="243"/>
      <c r="JG240" s="243"/>
      <c r="JH240" s="243"/>
      <c r="JI240" s="243"/>
      <c r="JJ240" s="243"/>
      <c r="JK240" s="243"/>
      <c r="JL240" s="243"/>
      <c r="JM240" s="243"/>
      <c r="JN240" s="243"/>
      <c r="JO240" s="243"/>
      <c r="JP240" s="243"/>
      <c r="JQ240" s="243"/>
      <c r="JR240" s="243"/>
      <c r="JS240" s="243"/>
      <c r="JT240" s="243"/>
      <c r="JU240" s="243"/>
      <c r="JV240" s="243"/>
      <c r="JW240" s="243"/>
      <c r="JX240" s="243"/>
      <c r="JY240" s="243"/>
      <c r="JZ240" s="243"/>
      <c r="KA240" s="243"/>
      <c r="KB240" s="243"/>
      <c r="KC240" s="243"/>
      <c r="KD240" s="243"/>
      <c r="KE240" s="243"/>
      <c r="KF240" s="243"/>
      <c r="KG240" s="243"/>
      <c r="KH240" s="243"/>
      <c r="KI240" s="243"/>
      <c r="KJ240" s="243"/>
      <c r="KK240" s="243"/>
      <c r="KL240" s="243"/>
      <c r="KM240" s="243"/>
      <c r="KN240" s="243"/>
      <c r="KO240" s="243"/>
      <c r="KT240" s="229"/>
      <c r="KU240" s="229"/>
      <c r="KV240" s="229"/>
      <c r="KW240" s="229"/>
      <c r="KX240" s="229"/>
      <c r="KY240" s="229"/>
      <c r="KZ240" s="229"/>
      <c r="LA240" s="229"/>
      <c r="LB240" s="229"/>
      <c r="LC240" s="229"/>
      <c r="LD240" s="229"/>
      <c r="LE240" s="229"/>
      <c r="LF240" s="229"/>
      <c r="LG240" s="229"/>
      <c r="LH240" s="229"/>
      <c r="LI240" s="229"/>
      <c r="LJ240" s="229"/>
      <c r="LK240" s="229"/>
      <c r="LL240" s="229"/>
      <c r="LM240" s="229"/>
      <c r="LN240" s="229"/>
      <c r="LO240" s="229"/>
      <c r="LP240" s="229"/>
      <c r="LQ240" s="229"/>
      <c r="LR240" s="229"/>
      <c r="LS240" s="229"/>
      <c r="LT240" s="229"/>
      <c r="QQ240" s="230"/>
      <c r="QR240" s="231"/>
    </row>
    <row r="241" spans="3:460" ht="5.0999999999999996" customHeight="1" x14ac:dyDescent="0.25">
      <c r="C241" s="226"/>
      <c r="D241" s="227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  <c r="AE241" s="229"/>
      <c r="AF241" s="229"/>
      <c r="AG241" s="229"/>
      <c r="AH241" s="229"/>
      <c r="AI241" s="229"/>
      <c r="AJ241" s="229"/>
      <c r="AK241" s="229"/>
      <c r="AL241" s="229"/>
      <c r="AM241" s="229"/>
      <c r="AN241" s="229"/>
      <c r="AO241" s="229"/>
      <c r="AP241" s="229"/>
      <c r="AQ241" s="229"/>
      <c r="AR241" s="229"/>
      <c r="AS241" s="229"/>
      <c r="AT241" s="229"/>
      <c r="AU241" s="229"/>
      <c r="AV241" s="229"/>
      <c r="AW241" s="229"/>
      <c r="AX241" s="229"/>
      <c r="AY241" s="229"/>
      <c r="AZ241" s="229"/>
      <c r="BA241" s="229"/>
      <c r="BB241" s="229"/>
      <c r="BE241" s="229"/>
      <c r="BF241" s="229"/>
      <c r="BG241" s="229"/>
      <c r="BH241" s="229"/>
      <c r="BI241" s="229"/>
      <c r="BJ241" s="229"/>
      <c r="BK241" s="229"/>
      <c r="BL241" s="229"/>
      <c r="BM241" s="229"/>
      <c r="BN241" s="229"/>
      <c r="BO241" s="229"/>
      <c r="BP241" s="229"/>
      <c r="BQ241" s="229"/>
      <c r="BR241" s="229"/>
      <c r="BS241" s="229"/>
      <c r="BT241" s="229"/>
      <c r="BU241" s="229"/>
      <c r="BV241" s="229"/>
      <c r="BW241" s="229"/>
      <c r="BX241" s="229"/>
      <c r="BY241" s="229"/>
      <c r="BZ241" s="229"/>
      <c r="CA241" s="229"/>
      <c r="CB241" s="229"/>
      <c r="CC241" s="229"/>
      <c r="CD241" s="229"/>
      <c r="CE241" s="229"/>
      <c r="CF241" s="229"/>
      <c r="CG241" s="229"/>
      <c r="CH241" s="229"/>
      <c r="CI241" s="229"/>
      <c r="CJ241" s="229"/>
      <c r="CK241" s="229"/>
      <c r="CL241" s="229"/>
      <c r="CM241" s="229"/>
      <c r="CN241" s="229"/>
      <c r="CO241" s="229"/>
      <c r="CP241" s="229"/>
      <c r="CQ241" s="229"/>
      <c r="CR241" s="229"/>
      <c r="CS241" s="229"/>
      <c r="CT241" s="229"/>
      <c r="CU241" s="229"/>
      <c r="CV241" s="229"/>
      <c r="CW241" s="229"/>
      <c r="CX241" s="229"/>
      <c r="CY241" s="229"/>
      <c r="DA241" s="229"/>
      <c r="DB241" s="229"/>
      <c r="DC241" s="229"/>
      <c r="DD241" s="229"/>
      <c r="DE241" s="229"/>
      <c r="DF241" s="229"/>
      <c r="DG241" s="229"/>
      <c r="DH241" s="229"/>
      <c r="DI241" s="229"/>
      <c r="DJ241" s="229"/>
      <c r="DK241" s="229"/>
      <c r="DL241" s="229"/>
      <c r="DM241" s="229"/>
      <c r="DN241" s="229"/>
      <c r="FO241" s="229"/>
      <c r="FP241" s="229"/>
      <c r="FQ241" s="229"/>
      <c r="FR241" s="229"/>
      <c r="FS241" s="229"/>
      <c r="FT241" s="229"/>
      <c r="FU241" s="229"/>
      <c r="FV241" s="229"/>
      <c r="FW241" s="229"/>
      <c r="FX241" s="229"/>
      <c r="FY241" s="229"/>
      <c r="FZ241" s="229"/>
      <c r="GA241" s="229"/>
      <c r="GB241" s="229"/>
      <c r="GC241" s="229"/>
      <c r="GD241" s="229"/>
      <c r="GE241" s="229"/>
      <c r="GF241" s="229"/>
      <c r="GG241" s="229"/>
      <c r="GH241" s="229"/>
      <c r="GI241" s="229"/>
      <c r="GJ241" s="229"/>
      <c r="GR241" s="243"/>
      <c r="GS241" s="243"/>
      <c r="GT241" s="243"/>
      <c r="GU241" s="243"/>
      <c r="GV241" s="243"/>
      <c r="GW241" s="243"/>
      <c r="GX241" s="243"/>
      <c r="GY241" s="243"/>
      <c r="GZ241" s="243"/>
      <c r="HA241" s="243"/>
      <c r="HB241" s="243"/>
      <c r="HC241" s="243"/>
      <c r="HD241" s="243"/>
      <c r="HE241" s="243"/>
      <c r="HF241" s="243"/>
      <c r="HG241" s="243"/>
      <c r="HH241" s="243"/>
      <c r="HI241" s="243"/>
      <c r="HJ241" s="243"/>
      <c r="HK241" s="243"/>
      <c r="HL241" s="243"/>
      <c r="HM241" s="243"/>
      <c r="HN241" s="243"/>
      <c r="HO241" s="243"/>
      <c r="HP241" s="243"/>
      <c r="HQ241" s="243"/>
      <c r="HR241" s="243"/>
      <c r="HS241" s="243"/>
      <c r="HT241" s="243"/>
      <c r="HU241" s="243"/>
      <c r="HV241" s="243"/>
      <c r="HW241" s="243"/>
      <c r="HX241" s="243"/>
      <c r="HY241" s="243"/>
      <c r="HZ241" s="243"/>
      <c r="IA241" s="243"/>
      <c r="IB241" s="243"/>
      <c r="IC241" s="243"/>
      <c r="ID241" s="243"/>
      <c r="IE241" s="243"/>
      <c r="IF241" s="243"/>
      <c r="IG241" s="243"/>
      <c r="IH241" s="243"/>
      <c r="II241" s="243"/>
      <c r="IJ241" s="243"/>
      <c r="IK241" s="243"/>
      <c r="IL241" s="243"/>
      <c r="IM241" s="243"/>
      <c r="IN241" s="243"/>
      <c r="IO241" s="243"/>
      <c r="IP241" s="243"/>
      <c r="IQ241" s="243"/>
      <c r="IR241" s="243"/>
      <c r="IS241" s="243"/>
      <c r="IT241" s="243"/>
      <c r="IU241" s="243"/>
      <c r="IV241" s="243"/>
      <c r="IW241" s="243"/>
      <c r="IX241" s="243"/>
      <c r="IY241" s="243"/>
      <c r="IZ241" s="243"/>
      <c r="JA241" s="243"/>
      <c r="JB241" s="243"/>
      <c r="JC241" s="243"/>
      <c r="JD241" s="243"/>
      <c r="JE241" s="243"/>
      <c r="JF241" s="243"/>
      <c r="JG241" s="243"/>
      <c r="JH241" s="243"/>
      <c r="JI241" s="243"/>
      <c r="JJ241" s="243"/>
      <c r="JK241" s="243"/>
      <c r="JL241" s="243"/>
      <c r="JM241" s="243"/>
      <c r="JN241" s="243"/>
      <c r="JO241" s="243"/>
      <c r="JP241" s="243"/>
      <c r="JQ241" s="243"/>
      <c r="JR241" s="243"/>
      <c r="JS241" s="243"/>
      <c r="JT241" s="243"/>
      <c r="JU241" s="243"/>
      <c r="JV241" s="243"/>
      <c r="JW241" s="243"/>
      <c r="JX241" s="243"/>
      <c r="JY241" s="243"/>
      <c r="JZ241" s="243"/>
      <c r="KA241" s="243"/>
      <c r="KB241" s="243"/>
      <c r="KC241" s="243"/>
      <c r="KD241" s="243"/>
      <c r="KE241" s="243"/>
      <c r="KF241" s="243"/>
      <c r="KG241" s="243"/>
      <c r="KH241" s="243"/>
      <c r="KI241" s="243"/>
      <c r="KJ241" s="243"/>
      <c r="KK241" s="243"/>
      <c r="KL241" s="243"/>
      <c r="KM241" s="243"/>
      <c r="KN241" s="243"/>
      <c r="KO241" s="243"/>
      <c r="KT241" s="229"/>
      <c r="KU241" s="229"/>
      <c r="KV241" s="229"/>
      <c r="KW241" s="229"/>
      <c r="KX241" s="229"/>
      <c r="KY241" s="229"/>
      <c r="KZ241" s="229"/>
      <c r="LA241" s="229"/>
      <c r="LB241" s="229"/>
      <c r="LC241" s="229"/>
      <c r="LD241" s="229"/>
      <c r="LE241" s="229"/>
      <c r="LF241" s="229"/>
      <c r="LG241" s="229"/>
      <c r="LH241" s="229"/>
      <c r="LI241" s="229"/>
      <c r="LJ241" s="229"/>
      <c r="LK241" s="229"/>
      <c r="LL241" s="229"/>
      <c r="LM241" s="229"/>
      <c r="LN241" s="229"/>
      <c r="LO241" s="229"/>
      <c r="LP241" s="229"/>
      <c r="LQ241" s="229"/>
      <c r="LR241" s="229"/>
      <c r="LS241" s="229"/>
      <c r="LT241" s="229"/>
      <c r="QQ241" s="230"/>
      <c r="QR241" s="231"/>
    </row>
    <row r="242" spans="3:460" ht="5.0999999999999996" customHeight="1" x14ac:dyDescent="0.25">
      <c r="C242" s="226"/>
      <c r="D242" s="227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  <c r="AD242" s="229"/>
      <c r="AE242" s="229"/>
      <c r="AF242" s="229"/>
      <c r="AG242" s="229"/>
      <c r="AH242" s="229"/>
      <c r="AI242" s="229"/>
      <c r="AJ242" s="229"/>
      <c r="AK242" s="229"/>
      <c r="AL242" s="229"/>
      <c r="AM242" s="229"/>
      <c r="AN242" s="229"/>
      <c r="AO242" s="229"/>
      <c r="AP242" s="229"/>
      <c r="AQ242" s="229"/>
      <c r="AR242" s="229"/>
      <c r="AS242" s="229"/>
      <c r="AT242" s="229"/>
      <c r="AU242" s="229"/>
      <c r="AV242" s="229"/>
      <c r="AW242" s="229"/>
      <c r="AX242" s="229"/>
      <c r="AY242" s="229"/>
      <c r="AZ242" s="229"/>
      <c r="BA242" s="229"/>
      <c r="BB242" s="229"/>
      <c r="BE242" s="229"/>
      <c r="BF242" s="229"/>
      <c r="BG242" s="229"/>
      <c r="BH242" s="229"/>
      <c r="BI242" s="229"/>
      <c r="BJ242" s="229"/>
      <c r="BK242" s="229"/>
      <c r="BL242" s="229"/>
      <c r="BM242" s="229"/>
      <c r="BN242" s="229"/>
      <c r="BO242" s="229"/>
      <c r="BP242" s="229"/>
      <c r="BQ242" s="229"/>
      <c r="BR242" s="229"/>
      <c r="BS242" s="229"/>
      <c r="BT242" s="229"/>
      <c r="BU242" s="229"/>
      <c r="BV242" s="229"/>
      <c r="BW242" s="229"/>
      <c r="BX242" s="229"/>
      <c r="BY242" s="229"/>
      <c r="BZ242" s="22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FO242" s="229"/>
      <c r="FP242" s="229"/>
      <c r="FQ242" s="229"/>
      <c r="FR242" s="229"/>
      <c r="FS242" s="229"/>
      <c r="FT242" s="229"/>
      <c r="FU242" s="229"/>
      <c r="FV242" s="229"/>
      <c r="FW242" s="229"/>
      <c r="FX242" s="229"/>
      <c r="FY242" s="229"/>
      <c r="FZ242" s="229"/>
      <c r="GA242" s="229"/>
      <c r="GB242" s="229"/>
      <c r="GC242" s="229"/>
      <c r="GD242" s="229"/>
      <c r="GE242" s="229"/>
      <c r="GF242" s="229"/>
      <c r="GG242" s="229"/>
      <c r="GH242" s="229"/>
      <c r="GI242" s="229"/>
      <c r="GJ242" s="229"/>
      <c r="GR242" s="306"/>
      <c r="GS242" s="306"/>
      <c r="GT242" s="306"/>
      <c r="GU242" s="306"/>
      <c r="GV242" s="306"/>
      <c r="GW242" s="306"/>
      <c r="GX242" s="306"/>
      <c r="GY242" s="306"/>
      <c r="GZ242" s="306"/>
      <c r="HA242" s="306"/>
      <c r="HB242" s="306"/>
      <c r="HC242" s="306"/>
      <c r="HD242" s="306"/>
      <c r="HE242" s="306"/>
      <c r="HF242" s="306"/>
      <c r="HG242" s="306"/>
      <c r="HH242" s="306"/>
      <c r="HI242" s="306"/>
      <c r="HJ242" s="306"/>
      <c r="HK242" s="306"/>
      <c r="HL242" s="306"/>
      <c r="HM242" s="306"/>
      <c r="HN242" s="306"/>
      <c r="HO242" s="306"/>
      <c r="HP242" s="306"/>
      <c r="HQ242" s="306"/>
      <c r="HR242" s="306"/>
      <c r="HS242" s="306"/>
      <c r="HT242" s="306"/>
      <c r="HU242" s="306"/>
      <c r="HV242" s="306"/>
      <c r="HW242" s="306"/>
      <c r="HX242" s="306"/>
      <c r="HY242" s="306"/>
      <c r="HZ242" s="306"/>
      <c r="IA242" s="306"/>
      <c r="IB242" s="306"/>
      <c r="IC242" s="306"/>
      <c r="ID242" s="306"/>
      <c r="IE242" s="306"/>
      <c r="IF242" s="306"/>
      <c r="IG242" s="306"/>
      <c r="IH242" s="306"/>
      <c r="II242" s="307"/>
      <c r="IJ242" s="307"/>
      <c r="IK242" s="307"/>
      <c r="IL242" s="307"/>
      <c r="IM242" s="307"/>
      <c r="IN242" s="243"/>
      <c r="IO242" s="243"/>
      <c r="IP242" s="243"/>
      <c r="IQ242" s="243"/>
      <c r="IR242" s="243"/>
      <c r="IS242" s="243"/>
      <c r="IT242" s="306"/>
      <c r="IU242" s="306"/>
      <c r="IV242" s="306"/>
      <c r="IW242" s="306"/>
      <c r="IX242" s="306"/>
      <c r="IY242" s="306"/>
      <c r="IZ242" s="306"/>
      <c r="JA242" s="306"/>
      <c r="JB242" s="306"/>
      <c r="JC242" s="306"/>
      <c r="JD242" s="306"/>
      <c r="JE242" s="306"/>
      <c r="JF242" s="306"/>
      <c r="JG242" s="306"/>
      <c r="JH242" s="306"/>
      <c r="JI242" s="306"/>
      <c r="JJ242" s="306"/>
      <c r="JK242" s="306"/>
      <c r="JL242" s="306"/>
      <c r="JM242" s="306"/>
      <c r="JN242" s="306"/>
      <c r="JO242" s="306"/>
      <c r="JP242" s="306"/>
      <c r="JQ242" s="306"/>
      <c r="JR242" s="306"/>
      <c r="JS242" s="306"/>
      <c r="JT242" s="306"/>
      <c r="JU242" s="306"/>
      <c r="JV242" s="306"/>
      <c r="JW242" s="306"/>
      <c r="JX242" s="306"/>
      <c r="JY242" s="306"/>
      <c r="JZ242" s="306"/>
      <c r="KA242" s="306"/>
      <c r="KB242" s="306"/>
      <c r="KC242" s="306"/>
      <c r="KD242" s="306"/>
      <c r="KE242" s="306"/>
      <c r="KF242" s="306"/>
      <c r="KG242" s="306"/>
      <c r="KH242" s="306"/>
      <c r="KI242" s="306"/>
      <c r="KJ242" s="306"/>
      <c r="KK242" s="307"/>
      <c r="KL242" s="307"/>
      <c r="KM242" s="307"/>
      <c r="KN242" s="307"/>
      <c r="KO242" s="307"/>
      <c r="KT242" s="229"/>
      <c r="KU242" s="229"/>
      <c r="KV242" s="229"/>
      <c r="KW242" s="229"/>
      <c r="KX242" s="229"/>
      <c r="KY242" s="229"/>
      <c r="KZ242" s="229"/>
      <c r="LA242" s="229"/>
      <c r="LB242" s="229"/>
      <c r="LC242" s="229"/>
      <c r="LD242" s="229"/>
      <c r="LE242" s="229"/>
      <c r="LF242" s="229"/>
      <c r="LG242" s="229"/>
      <c r="LH242" s="229"/>
      <c r="LI242" s="229"/>
      <c r="LJ242" s="229"/>
      <c r="LK242" s="229"/>
      <c r="LL242" s="229"/>
      <c r="LM242" s="229"/>
      <c r="LN242" s="229"/>
      <c r="LO242" s="229"/>
      <c r="LP242" s="229"/>
      <c r="LQ242" s="229"/>
      <c r="LR242" s="229"/>
      <c r="LS242" s="229"/>
      <c r="LT242" s="229"/>
      <c r="QQ242" s="230"/>
      <c r="QR242" s="231"/>
    </row>
    <row r="243" spans="3:460" ht="5.0999999999999996" customHeight="1" x14ac:dyDescent="0.25">
      <c r="C243" s="226"/>
      <c r="D243" s="227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  <c r="AD243" s="229"/>
      <c r="AE243" s="229"/>
      <c r="AF243" s="229"/>
      <c r="AG243" s="229"/>
      <c r="AH243" s="229"/>
      <c r="AI243" s="229"/>
      <c r="AJ243" s="229"/>
      <c r="AK243" s="229"/>
      <c r="AL243" s="229"/>
      <c r="AM243" s="229"/>
      <c r="AN243" s="229"/>
      <c r="AO243" s="229"/>
      <c r="AP243" s="229"/>
      <c r="AQ243" s="229"/>
      <c r="AR243" s="229"/>
      <c r="AS243" s="229"/>
      <c r="AT243" s="229"/>
      <c r="AU243" s="229"/>
      <c r="AV243" s="229"/>
      <c r="AW243" s="229">
        <v>10</v>
      </c>
      <c r="AX243" s="229"/>
      <c r="AY243" s="229"/>
      <c r="AZ243" s="229"/>
      <c r="BA243" s="229"/>
      <c r="BB243" s="229"/>
      <c r="BE243" s="229"/>
      <c r="BF243" s="229"/>
      <c r="BG243" s="229"/>
      <c r="BH243" s="229"/>
      <c r="BI243" s="229"/>
      <c r="BJ243" s="229"/>
      <c r="BK243" s="229"/>
      <c r="BL243" s="229"/>
      <c r="BM243" s="229"/>
      <c r="BN243" s="229"/>
      <c r="BO243" s="229"/>
      <c r="BP243" s="229"/>
      <c r="BQ243" s="229"/>
      <c r="BR243" s="229"/>
      <c r="BS243" s="229"/>
      <c r="BT243" s="229"/>
      <c r="BU243" s="229"/>
      <c r="BV243" s="229"/>
      <c r="BW243" s="229"/>
      <c r="BX243" s="229"/>
      <c r="BY243" s="229"/>
      <c r="BZ243" s="229"/>
      <c r="CA243" s="229"/>
      <c r="CB243" s="229"/>
      <c r="CC243" s="229"/>
      <c r="CD243" s="229"/>
      <c r="CE243" s="229"/>
      <c r="CF243" s="229"/>
      <c r="CG243" s="229"/>
      <c r="CH243" s="229"/>
      <c r="CI243" s="229"/>
      <c r="CJ243" s="229"/>
      <c r="CK243" s="229"/>
      <c r="CL243" s="229"/>
      <c r="CM243" s="229"/>
      <c r="CN243" s="229"/>
      <c r="CO243" s="229"/>
      <c r="CP243" s="229"/>
      <c r="CQ243" s="229"/>
      <c r="CR243" s="229"/>
      <c r="CS243" s="229"/>
      <c r="CT243" s="229"/>
      <c r="CU243" s="229"/>
      <c r="CV243" s="229"/>
      <c r="CW243" s="229"/>
      <c r="CX243" s="229"/>
      <c r="CY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L243" s="229"/>
      <c r="DM243" s="229"/>
      <c r="DN243" s="229"/>
      <c r="FO243" s="229"/>
      <c r="FP243" s="229"/>
      <c r="FQ243" s="229"/>
      <c r="FR243" s="229"/>
      <c r="FS243" s="229"/>
      <c r="FT243" s="229"/>
      <c r="FU243" s="229"/>
      <c r="FV243" s="229"/>
      <c r="FW243" s="229"/>
      <c r="FX243" s="229"/>
      <c r="FY243" s="229"/>
      <c r="FZ243" s="229"/>
      <c r="GA243" s="229"/>
      <c r="GB243" s="229"/>
      <c r="GC243" s="229"/>
      <c r="GD243" s="229"/>
      <c r="GE243" s="229"/>
      <c r="GF243" s="229"/>
      <c r="GG243" s="229"/>
      <c r="GH243" s="229"/>
      <c r="GI243" s="229"/>
      <c r="GJ243" s="229"/>
      <c r="GR243" s="306"/>
      <c r="GS243" s="306"/>
      <c r="GT243" s="306"/>
      <c r="GU243" s="306"/>
      <c r="GV243" s="306"/>
      <c r="GW243" s="306"/>
      <c r="GX243" s="306"/>
      <c r="GY243" s="306"/>
      <c r="GZ243" s="306"/>
      <c r="HA243" s="306"/>
      <c r="HB243" s="306"/>
      <c r="HC243" s="306"/>
      <c r="HD243" s="306"/>
      <c r="HE243" s="306"/>
      <c r="HF243" s="306"/>
      <c r="HG243" s="306"/>
      <c r="HH243" s="306"/>
      <c r="HI243" s="306"/>
      <c r="HJ243" s="306"/>
      <c r="HK243" s="306"/>
      <c r="HL243" s="306"/>
      <c r="HM243" s="306"/>
      <c r="HN243" s="306"/>
      <c r="HO243" s="306"/>
      <c r="HP243" s="306"/>
      <c r="HQ243" s="306"/>
      <c r="HR243" s="306"/>
      <c r="HS243" s="306"/>
      <c r="HT243" s="306"/>
      <c r="HU243" s="306"/>
      <c r="HV243" s="306"/>
      <c r="HW243" s="306"/>
      <c r="HX243" s="306"/>
      <c r="HY243" s="306"/>
      <c r="HZ243" s="306"/>
      <c r="IA243" s="306"/>
      <c r="IB243" s="306"/>
      <c r="IC243" s="306"/>
      <c r="ID243" s="306"/>
      <c r="IE243" s="306"/>
      <c r="IF243" s="306"/>
      <c r="IG243" s="306"/>
      <c r="IH243" s="306"/>
      <c r="II243" s="307"/>
      <c r="IJ243" s="307"/>
      <c r="IK243" s="307"/>
      <c r="IL243" s="307"/>
      <c r="IM243" s="307"/>
      <c r="IN243" s="243"/>
      <c r="IO243" s="243"/>
      <c r="IP243" s="243"/>
      <c r="IQ243" s="243"/>
      <c r="IR243" s="243"/>
      <c r="IS243" s="243"/>
      <c r="IT243" s="306"/>
      <c r="IU243" s="306"/>
      <c r="IV243" s="306"/>
      <c r="IW243" s="306"/>
      <c r="IX243" s="306"/>
      <c r="IY243" s="306"/>
      <c r="IZ243" s="306"/>
      <c r="JA243" s="306"/>
      <c r="JB243" s="306"/>
      <c r="JC243" s="306"/>
      <c r="JD243" s="306"/>
      <c r="JE243" s="306"/>
      <c r="JF243" s="306"/>
      <c r="JG243" s="306"/>
      <c r="JH243" s="306"/>
      <c r="JI243" s="306"/>
      <c r="JJ243" s="306"/>
      <c r="JK243" s="306"/>
      <c r="JL243" s="306"/>
      <c r="JM243" s="306"/>
      <c r="JN243" s="306"/>
      <c r="JO243" s="306"/>
      <c r="JP243" s="306"/>
      <c r="JQ243" s="306"/>
      <c r="JR243" s="306"/>
      <c r="JS243" s="306"/>
      <c r="JT243" s="306"/>
      <c r="JU243" s="306"/>
      <c r="JV243" s="306"/>
      <c r="JW243" s="306"/>
      <c r="JX243" s="306"/>
      <c r="JY243" s="306"/>
      <c r="JZ243" s="306"/>
      <c r="KA243" s="306"/>
      <c r="KB243" s="306"/>
      <c r="KC243" s="306"/>
      <c r="KD243" s="306"/>
      <c r="KE243" s="306"/>
      <c r="KF243" s="306"/>
      <c r="KG243" s="306"/>
      <c r="KH243" s="306"/>
      <c r="KI243" s="306"/>
      <c r="KJ243" s="306"/>
      <c r="KK243" s="307"/>
      <c r="KL243" s="307"/>
      <c r="KM243" s="307"/>
      <c r="KN243" s="307"/>
      <c r="KO243" s="307"/>
      <c r="KT243" s="229"/>
      <c r="KU243" s="229"/>
      <c r="KV243" s="229"/>
      <c r="KW243" s="229"/>
      <c r="KX243" s="229"/>
      <c r="KY243" s="229"/>
      <c r="KZ243" s="229"/>
      <c r="LA243" s="229"/>
      <c r="LB243" s="229"/>
      <c r="LC243" s="229"/>
      <c r="LD243" s="229"/>
      <c r="LE243" s="229"/>
      <c r="LF243" s="229"/>
      <c r="LG243" s="229"/>
      <c r="LH243" s="229"/>
      <c r="LI243" s="229"/>
      <c r="LJ243" s="229"/>
      <c r="LK243" s="229"/>
      <c r="LL243" s="229"/>
      <c r="LM243" s="229"/>
      <c r="LN243" s="229"/>
      <c r="LO243" s="229"/>
      <c r="LP243" s="229"/>
      <c r="LQ243" s="229"/>
      <c r="LR243" s="229"/>
      <c r="LS243" s="229"/>
      <c r="LT243" s="229"/>
      <c r="LU243" s="229"/>
      <c r="LV243" s="229"/>
      <c r="LW243" s="229"/>
      <c r="LX243" s="229"/>
      <c r="LY243" s="229"/>
      <c r="LZ243" s="229"/>
      <c r="MA243" s="229"/>
      <c r="MB243" s="229"/>
      <c r="MC243" s="229"/>
      <c r="MD243" s="229"/>
      <c r="ME243" s="229"/>
      <c r="MF243" s="229"/>
      <c r="MG243" s="229"/>
      <c r="MH243" s="229"/>
      <c r="MI243" s="229"/>
      <c r="MJ243" s="229"/>
      <c r="MK243" s="229"/>
      <c r="ML243" s="229"/>
      <c r="MM243" s="229"/>
      <c r="MN243" s="229"/>
      <c r="MO243" s="229"/>
      <c r="MP243" s="229"/>
      <c r="MQ243" s="229"/>
      <c r="MR243" s="229"/>
      <c r="MS243" s="229"/>
      <c r="QQ243" s="230"/>
      <c r="QR243" s="231"/>
    </row>
    <row r="244" spans="3:460" ht="5.0999999999999996" customHeight="1" x14ac:dyDescent="0.25">
      <c r="C244" s="226"/>
      <c r="D244" s="227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29"/>
      <c r="AT244" s="229"/>
      <c r="AU244" s="229"/>
      <c r="AV244" s="229"/>
      <c r="AW244" s="229"/>
      <c r="AX244" s="229"/>
      <c r="AY244" s="229"/>
      <c r="AZ244" s="229"/>
      <c r="BA244" s="229"/>
      <c r="BB244" s="229"/>
      <c r="BE244" s="229"/>
      <c r="BF244" s="229"/>
      <c r="BG244" s="229"/>
      <c r="BH244" s="229"/>
      <c r="BI244" s="229"/>
      <c r="BJ244" s="229"/>
      <c r="BK244" s="229"/>
      <c r="BL244" s="229"/>
      <c r="BM244" s="229"/>
      <c r="BN244" s="229"/>
      <c r="BO244" s="229"/>
      <c r="BP244" s="229"/>
      <c r="BQ244" s="229"/>
      <c r="BR244" s="229"/>
      <c r="BS244" s="229"/>
      <c r="BT244" s="229"/>
      <c r="BU244" s="229"/>
      <c r="BV244" s="229"/>
      <c r="BW244" s="229"/>
      <c r="BX244" s="229"/>
      <c r="BY244" s="229"/>
      <c r="BZ244" s="229"/>
      <c r="CA244" s="229"/>
      <c r="CB244" s="229"/>
      <c r="CC244" s="229"/>
      <c r="CD244" s="229"/>
      <c r="CE244" s="229"/>
      <c r="CF244" s="229"/>
      <c r="CG244" s="229"/>
      <c r="CH244" s="229"/>
      <c r="CI244" s="229"/>
      <c r="CJ244" s="229"/>
      <c r="CK244" s="229"/>
      <c r="CL244" s="229"/>
      <c r="CM244" s="229"/>
      <c r="CN244" s="229"/>
      <c r="CO244" s="229"/>
      <c r="CP244" s="229"/>
      <c r="CQ244" s="229"/>
      <c r="CR244" s="229"/>
      <c r="CS244" s="229"/>
      <c r="CT244" s="229"/>
      <c r="CU244" s="229"/>
      <c r="CV244" s="229"/>
      <c r="CW244" s="229"/>
      <c r="CX244" s="229"/>
      <c r="CY244" s="229"/>
      <c r="DA244" s="229"/>
      <c r="DB244" s="229"/>
      <c r="DC244" s="229"/>
      <c r="DD244" s="229"/>
      <c r="DE244" s="229"/>
      <c r="DF244" s="229"/>
      <c r="DG244" s="229"/>
      <c r="DH244" s="229"/>
      <c r="DI244" s="229"/>
      <c r="DJ244" s="229"/>
      <c r="DK244" s="229"/>
      <c r="DL244" s="229"/>
      <c r="DM244" s="229"/>
      <c r="DN244" s="229"/>
      <c r="FO244" s="229"/>
      <c r="FP244" s="229"/>
      <c r="FQ244" s="229"/>
      <c r="FR244" s="229"/>
      <c r="FS244" s="229"/>
      <c r="FT244" s="229"/>
      <c r="FU244" s="229"/>
      <c r="FV244" s="229"/>
      <c r="FW244" s="229"/>
      <c r="FX244" s="229"/>
      <c r="FY244" s="229"/>
      <c r="FZ244" s="229"/>
      <c r="GA244" s="229"/>
      <c r="GB244" s="229"/>
      <c r="GC244" s="229"/>
      <c r="GD244" s="229"/>
      <c r="GE244" s="229"/>
      <c r="GF244" s="229"/>
      <c r="GG244" s="229"/>
      <c r="GH244" s="229"/>
      <c r="GI244" s="229"/>
      <c r="GJ244" s="229"/>
      <c r="GR244" s="306"/>
      <c r="GS244" s="306"/>
      <c r="GT244" s="306"/>
      <c r="GU244" s="306"/>
      <c r="GV244" s="306"/>
      <c r="GW244" s="306"/>
      <c r="GX244" s="306"/>
      <c r="GY244" s="306"/>
      <c r="GZ244" s="306"/>
      <c r="HA244" s="306"/>
      <c r="HB244" s="306"/>
      <c r="HC244" s="306"/>
      <c r="HD244" s="306"/>
      <c r="HE244" s="306"/>
      <c r="HF244" s="306"/>
      <c r="HG244" s="306"/>
      <c r="HH244" s="306"/>
      <c r="HI244" s="306"/>
      <c r="HJ244" s="306"/>
      <c r="HK244" s="306"/>
      <c r="HL244" s="306"/>
      <c r="HM244" s="306"/>
      <c r="HN244" s="306"/>
      <c r="HO244" s="306"/>
      <c r="HP244" s="306"/>
      <c r="HQ244" s="306"/>
      <c r="HR244" s="306"/>
      <c r="HS244" s="306"/>
      <c r="HT244" s="306"/>
      <c r="HU244" s="306"/>
      <c r="HV244" s="306"/>
      <c r="HW244" s="306"/>
      <c r="HX244" s="306"/>
      <c r="HY244" s="306"/>
      <c r="HZ244" s="306"/>
      <c r="IA244" s="306"/>
      <c r="IB244" s="306"/>
      <c r="IC244" s="306"/>
      <c r="ID244" s="306"/>
      <c r="IE244" s="306"/>
      <c r="IF244" s="306"/>
      <c r="IG244" s="306"/>
      <c r="IH244" s="306"/>
      <c r="II244" s="307"/>
      <c r="IJ244" s="307"/>
      <c r="IK244" s="307"/>
      <c r="IL244" s="307"/>
      <c r="IM244" s="307"/>
      <c r="IN244" s="243"/>
      <c r="IO244" s="243"/>
      <c r="IP244" s="243"/>
      <c r="IQ244" s="243"/>
      <c r="IR244" s="243"/>
      <c r="IS244" s="243"/>
      <c r="IT244" s="306"/>
      <c r="IU244" s="306"/>
      <c r="IV244" s="306"/>
      <c r="IW244" s="306"/>
      <c r="IX244" s="306"/>
      <c r="IY244" s="306"/>
      <c r="IZ244" s="306"/>
      <c r="JA244" s="306"/>
      <c r="JB244" s="306"/>
      <c r="JC244" s="306"/>
      <c r="JD244" s="306"/>
      <c r="JE244" s="306"/>
      <c r="JF244" s="306"/>
      <c r="JG244" s="306"/>
      <c r="JH244" s="306"/>
      <c r="JI244" s="306"/>
      <c r="JJ244" s="306"/>
      <c r="JK244" s="306"/>
      <c r="JL244" s="306"/>
      <c r="JM244" s="306"/>
      <c r="JN244" s="306"/>
      <c r="JO244" s="306"/>
      <c r="JP244" s="306"/>
      <c r="JQ244" s="306"/>
      <c r="JR244" s="306"/>
      <c r="JS244" s="306"/>
      <c r="JT244" s="306"/>
      <c r="JU244" s="306"/>
      <c r="JV244" s="306"/>
      <c r="JW244" s="306"/>
      <c r="JX244" s="306"/>
      <c r="JY244" s="306"/>
      <c r="JZ244" s="306"/>
      <c r="KA244" s="306"/>
      <c r="KB244" s="306"/>
      <c r="KC244" s="306"/>
      <c r="KD244" s="306"/>
      <c r="KE244" s="306"/>
      <c r="KF244" s="306"/>
      <c r="KG244" s="306"/>
      <c r="KH244" s="306"/>
      <c r="KI244" s="306"/>
      <c r="KJ244" s="306"/>
      <c r="KK244" s="307"/>
      <c r="KL244" s="307"/>
      <c r="KM244" s="307"/>
      <c r="KN244" s="307"/>
      <c r="KO244" s="307"/>
      <c r="KT244" s="229"/>
      <c r="KU244" s="229"/>
      <c r="KV244" s="229"/>
      <c r="KW244" s="229"/>
      <c r="KX244" s="229"/>
      <c r="KY244" s="229"/>
      <c r="KZ244" s="229"/>
      <c r="LA244" s="229"/>
      <c r="LB244" s="229"/>
      <c r="LC244" s="229"/>
      <c r="LD244" s="229"/>
      <c r="LE244" s="229"/>
      <c r="LF244" s="229"/>
      <c r="LG244" s="229"/>
      <c r="LH244" s="229"/>
      <c r="LI244" s="229"/>
      <c r="LJ244" s="229"/>
      <c r="LK244" s="229"/>
      <c r="LL244" s="229"/>
      <c r="LM244" s="229"/>
      <c r="LN244" s="229"/>
      <c r="LO244" s="229"/>
      <c r="LP244" s="229"/>
      <c r="LQ244" s="229"/>
      <c r="LR244" s="229"/>
      <c r="LS244" s="229"/>
      <c r="LT244" s="229"/>
      <c r="LU244" s="229"/>
      <c r="LV244" s="229"/>
      <c r="LW244" s="229"/>
      <c r="LX244" s="229"/>
      <c r="LY244" s="229"/>
      <c r="LZ244" s="229"/>
      <c r="MA244" s="229"/>
      <c r="MB244" s="229"/>
      <c r="MC244" s="229"/>
      <c r="MD244" s="229"/>
      <c r="ME244" s="229"/>
      <c r="MF244" s="229"/>
      <c r="MG244" s="229"/>
      <c r="MH244" s="229"/>
      <c r="MI244" s="229"/>
      <c r="MJ244" s="229"/>
      <c r="MK244" s="229"/>
      <c r="ML244" s="229"/>
      <c r="MM244" s="229"/>
      <c r="MN244" s="229"/>
      <c r="MO244" s="229"/>
      <c r="MP244" s="229"/>
      <c r="MQ244" s="229"/>
      <c r="MR244" s="229"/>
      <c r="MS244" s="229"/>
      <c r="QQ244" s="230"/>
      <c r="QR244" s="231"/>
    </row>
    <row r="245" spans="3:460" ht="5.0999999999999996" customHeight="1" x14ac:dyDescent="0.25">
      <c r="C245" s="226"/>
      <c r="D245" s="227"/>
      <c r="FO245" s="229"/>
      <c r="FP245" s="229"/>
      <c r="FQ245" s="229"/>
      <c r="FR245" s="229"/>
      <c r="FS245" s="229"/>
      <c r="FT245" s="229"/>
      <c r="FU245" s="229"/>
      <c r="FV245" s="229"/>
      <c r="FW245" s="229"/>
      <c r="FX245" s="229"/>
      <c r="FY245" s="229"/>
      <c r="FZ245" s="229"/>
      <c r="GA245" s="229"/>
      <c r="GB245" s="229"/>
      <c r="GC245" s="229"/>
      <c r="GD245" s="229"/>
      <c r="GE245" s="229"/>
      <c r="GF245" s="229"/>
      <c r="GG245" s="229"/>
      <c r="GH245" s="229"/>
      <c r="GI245" s="229"/>
      <c r="GJ245" s="229"/>
      <c r="GR245" s="306"/>
      <c r="GS245" s="306"/>
      <c r="GT245" s="306"/>
      <c r="GU245" s="306"/>
      <c r="GV245" s="306"/>
      <c r="GW245" s="306"/>
      <c r="GX245" s="306"/>
      <c r="GY245" s="306"/>
      <c r="GZ245" s="306"/>
      <c r="HA245" s="306"/>
      <c r="HB245" s="306"/>
      <c r="HC245" s="306"/>
      <c r="HD245" s="306"/>
      <c r="HE245" s="306"/>
      <c r="HF245" s="306"/>
      <c r="HG245" s="306"/>
      <c r="HH245" s="306"/>
      <c r="HI245" s="306"/>
      <c r="HJ245" s="306"/>
      <c r="HK245" s="306"/>
      <c r="HL245" s="306"/>
      <c r="HM245" s="306"/>
      <c r="HN245" s="306"/>
      <c r="HO245" s="306"/>
      <c r="HP245" s="306"/>
      <c r="HQ245" s="306"/>
      <c r="HR245" s="306"/>
      <c r="HS245" s="306"/>
      <c r="HT245" s="306"/>
      <c r="HU245" s="306"/>
      <c r="HV245" s="306"/>
      <c r="HW245" s="306"/>
      <c r="HX245" s="306"/>
      <c r="HY245" s="306"/>
      <c r="HZ245" s="306"/>
      <c r="IA245" s="306"/>
      <c r="IB245" s="306"/>
      <c r="IC245" s="306"/>
      <c r="ID245" s="306"/>
      <c r="IE245" s="306"/>
      <c r="IF245" s="306"/>
      <c r="IG245" s="306"/>
      <c r="IH245" s="306"/>
      <c r="II245" s="307"/>
      <c r="IJ245" s="307"/>
      <c r="IK245" s="307"/>
      <c r="IL245" s="307"/>
      <c r="IM245" s="307"/>
      <c r="IN245" s="243"/>
      <c r="IO245" s="243"/>
      <c r="IP245" s="243"/>
      <c r="IQ245" s="243"/>
      <c r="IR245" s="243"/>
      <c r="IS245" s="243"/>
      <c r="IT245" s="306"/>
      <c r="IU245" s="306"/>
      <c r="IV245" s="306"/>
      <c r="IW245" s="306"/>
      <c r="IX245" s="306"/>
      <c r="IY245" s="306"/>
      <c r="IZ245" s="306"/>
      <c r="JA245" s="306"/>
      <c r="JB245" s="306"/>
      <c r="JC245" s="306"/>
      <c r="JD245" s="306"/>
      <c r="JE245" s="306"/>
      <c r="JF245" s="306"/>
      <c r="JG245" s="306"/>
      <c r="JH245" s="306"/>
      <c r="JI245" s="306"/>
      <c r="JJ245" s="306"/>
      <c r="JK245" s="306"/>
      <c r="JL245" s="306"/>
      <c r="JM245" s="306"/>
      <c r="JN245" s="306"/>
      <c r="JO245" s="306"/>
      <c r="JP245" s="306"/>
      <c r="JQ245" s="306"/>
      <c r="JR245" s="306"/>
      <c r="JS245" s="306"/>
      <c r="JT245" s="306"/>
      <c r="JU245" s="306"/>
      <c r="JV245" s="306"/>
      <c r="JW245" s="306"/>
      <c r="JX245" s="306"/>
      <c r="JY245" s="306"/>
      <c r="JZ245" s="306"/>
      <c r="KA245" s="306"/>
      <c r="KB245" s="306"/>
      <c r="KC245" s="306"/>
      <c r="KD245" s="306"/>
      <c r="KE245" s="306"/>
      <c r="KF245" s="306"/>
      <c r="KG245" s="306"/>
      <c r="KH245" s="306"/>
      <c r="KI245" s="306"/>
      <c r="KJ245" s="306"/>
      <c r="KK245" s="307"/>
      <c r="KL245" s="307"/>
      <c r="KM245" s="307"/>
      <c r="KN245" s="307"/>
      <c r="KO245" s="307"/>
      <c r="KT245" s="229"/>
      <c r="KU245" s="229"/>
      <c r="KV245" s="229"/>
      <c r="KW245" s="229"/>
      <c r="KX245" s="229"/>
      <c r="KY245" s="229"/>
      <c r="KZ245" s="229"/>
      <c r="LA245" s="229"/>
      <c r="LB245" s="229"/>
      <c r="LC245" s="229"/>
      <c r="LD245" s="229"/>
      <c r="LE245" s="229"/>
      <c r="LF245" s="229"/>
      <c r="LG245" s="229"/>
      <c r="LH245" s="229"/>
      <c r="LI245" s="229"/>
      <c r="LJ245" s="229"/>
      <c r="LK245" s="229"/>
      <c r="LL245" s="229"/>
      <c r="LM245" s="229"/>
      <c r="LN245" s="229"/>
      <c r="LO245" s="229"/>
      <c r="LP245" s="229"/>
      <c r="LQ245" s="229"/>
      <c r="LR245" s="229"/>
      <c r="LS245" s="229"/>
      <c r="LT245" s="229"/>
      <c r="LU245" s="229"/>
      <c r="LV245" s="229"/>
      <c r="LW245" s="229"/>
      <c r="LX245" s="229"/>
      <c r="LY245" s="229"/>
      <c r="LZ245" s="229"/>
      <c r="MA245" s="229"/>
      <c r="MB245" s="229"/>
      <c r="MC245" s="229"/>
      <c r="MD245" s="229"/>
      <c r="ME245" s="229"/>
      <c r="MF245" s="229"/>
      <c r="MG245" s="229"/>
      <c r="MH245" s="229"/>
      <c r="MI245" s="229"/>
      <c r="MJ245" s="229"/>
      <c r="MK245" s="229"/>
      <c r="ML245" s="229"/>
      <c r="MM245" s="229"/>
      <c r="MN245" s="229"/>
      <c r="MO245" s="229"/>
      <c r="MP245" s="229"/>
      <c r="MQ245" s="229"/>
      <c r="MR245" s="229"/>
      <c r="MS245" s="229"/>
      <c r="QQ245" s="230"/>
      <c r="QR245" s="231"/>
    </row>
    <row r="246" spans="3:460" ht="5.0999999999999996" customHeight="1" x14ac:dyDescent="0.25">
      <c r="C246" s="226"/>
      <c r="D246" s="227"/>
      <c r="FO246" s="229"/>
      <c r="FP246" s="229"/>
      <c r="FQ246" s="229"/>
      <c r="FR246" s="229"/>
      <c r="FS246" s="229"/>
      <c r="FT246" s="229"/>
      <c r="FU246" s="229"/>
      <c r="FV246" s="229"/>
      <c r="FW246" s="229"/>
      <c r="FX246" s="229"/>
      <c r="FY246" s="229"/>
      <c r="FZ246" s="229"/>
      <c r="GA246" s="229"/>
      <c r="GB246" s="229"/>
      <c r="GC246" s="229"/>
      <c r="GD246" s="229"/>
      <c r="GE246" s="229"/>
      <c r="GF246" s="229"/>
      <c r="GG246" s="229"/>
      <c r="GH246" s="229"/>
      <c r="GI246" s="229"/>
      <c r="GJ246" s="229"/>
      <c r="GR246" s="306"/>
      <c r="GS246" s="306"/>
      <c r="GT246" s="306"/>
      <c r="GU246" s="306"/>
      <c r="GV246" s="306"/>
      <c r="GW246" s="306"/>
      <c r="GX246" s="306"/>
      <c r="GY246" s="306"/>
      <c r="GZ246" s="306"/>
      <c r="HA246" s="306"/>
      <c r="HB246" s="306"/>
      <c r="HC246" s="306"/>
      <c r="HD246" s="306"/>
      <c r="HE246" s="306"/>
      <c r="HF246" s="306"/>
      <c r="HG246" s="306"/>
      <c r="HH246" s="306"/>
      <c r="HI246" s="306"/>
      <c r="HJ246" s="306"/>
      <c r="HK246" s="306"/>
      <c r="HL246" s="306"/>
      <c r="HM246" s="306"/>
      <c r="HN246" s="306"/>
      <c r="HO246" s="306"/>
      <c r="HP246" s="306"/>
      <c r="HQ246" s="306"/>
      <c r="HR246" s="306"/>
      <c r="HS246" s="306"/>
      <c r="HT246" s="306"/>
      <c r="HU246" s="306"/>
      <c r="HV246" s="306"/>
      <c r="HW246" s="306"/>
      <c r="HX246" s="306"/>
      <c r="HY246" s="306"/>
      <c r="HZ246" s="306"/>
      <c r="IA246" s="306"/>
      <c r="IB246" s="306"/>
      <c r="IC246" s="306"/>
      <c r="ID246" s="306"/>
      <c r="IE246" s="306"/>
      <c r="IF246" s="306"/>
      <c r="IG246" s="306"/>
      <c r="IH246" s="306"/>
      <c r="II246" s="307"/>
      <c r="IJ246" s="307"/>
      <c r="IK246" s="307"/>
      <c r="IL246" s="307"/>
      <c r="IM246" s="307"/>
      <c r="IN246" s="243"/>
      <c r="IO246" s="243"/>
      <c r="IP246" s="243"/>
      <c r="IQ246" s="243"/>
      <c r="IR246" s="243"/>
      <c r="IS246" s="243"/>
      <c r="IT246" s="306"/>
      <c r="IU246" s="306"/>
      <c r="IV246" s="306"/>
      <c r="IW246" s="306"/>
      <c r="IX246" s="306"/>
      <c r="IY246" s="306"/>
      <c r="IZ246" s="306"/>
      <c r="JA246" s="306"/>
      <c r="JB246" s="306"/>
      <c r="JC246" s="306"/>
      <c r="JD246" s="306"/>
      <c r="JE246" s="306"/>
      <c r="JF246" s="306"/>
      <c r="JG246" s="306"/>
      <c r="JH246" s="306"/>
      <c r="JI246" s="306"/>
      <c r="JJ246" s="306"/>
      <c r="JK246" s="306"/>
      <c r="JL246" s="306"/>
      <c r="JM246" s="306"/>
      <c r="JN246" s="306"/>
      <c r="JO246" s="306"/>
      <c r="JP246" s="306"/>
      <c r="JQ246" s="306"/>
      <c r="JR246" s="306"/>
      <c r="JS246" s="306"/>
      <c r="JT246" s="306"/>
      <c r="JU246" s="306"/>
      <c r="JV246" s="306"/>
      <c r="JW246" s="306"/>
      <c r="JX246" s="306"/>
      <c r="JY246" s="306"/>
      <c r="JZ246" s="306"/>
      <c r="KA246" s="306"/>
      <c r="KB246" s="306"/>
      <c r="KC246" s="306"/>
      <c r="KD246" s="306"/>
      <c r="KE246" s="306"/>
      <c r="KF246" s="306"/>
      <c r="KG246" s="306"/>
      <c r="KH246" s="306"/>
      <c r="KI246" s="306"/>
      <c r="KJ246" s="306"/>
      <c r="KK246" s="307"/>
      <c r="KL246" s="307"/>
      <c r="KM246" s="307"/>
      <c r="KN246" s="307"/>
      <c r="KO246" s="307"/>
      <c r="KT246" s="229"/>
      <c r="KU246" s="229"/>
      <c r="KV246" s="229"/>
      <c r="KW246" s="229"/>
      <c r="KX246" s="229"/>
      <c r="KY246" s="229"/>
      <c r="KZ246" s="229"/>
      <c r="LA246" s="229"/>
      <c r="LB246" s="229"/>
      <c r="LC246" s="229"/>
      <c r="LD246" s="229"/>
      <c r="LE246" s="229"/>
      <c r="LF246" s="229"/>
      <c r="LG246" s="229"/>
      <c r="LH246" s="229"/>
      <c r="LI246" s="229"/>
      <c r="LJ246" s="229"/>
      <c r="LK246" s="229"/>
      <c r="LL246" s="229"/>
      <c r="LM246" s="229"/>
      <c r="LN246" s="229"/>
      <c r="LO246" s="229"/>
      <c r="LP246" s="229"/>
      <c r="LQ246" s="229"/>
      <c r="LR246" s="229"/>
      <c r="LS246" s="229"/>
      <c r="LT246" s="229"/>
      <c r="LU246" s="229"/>
      <c r="LV246" s="229"/>
      <c r="LW246" s="229"/>
      <c r="LX246" s="229"/>
      <c r="LY246" s="229"/>
      <c r="LZ246" s="229"/>
      <c r="MA246" s="229"/>
      <c r="MB246" s="229"/>
      <c r="MC246" s="229"/>
      <c r="MD246" s="229"/>
      <c r="ME246" s="229"/>
      <c r="MF246" s="229"/>
      <c r="MG246" s="229"/>
      <c r="MH246" s="229"/>
      <c r="MI246" s="229"/>
      <c r="MJ246" s="229"/>
      <c r="MK246" s="229"/>
      <c r="ML246" s="229"/>
      <c r="MM246" s="229"/>
      <c r="MN246" s="229"/>
      <c r="MO246" s="229"/>
      <c r="MP246" s="229"/>
      <c r="MQ246" s="229"/>
      <c r="MR246" s="229"/>
      <c r="MS246" s="229"/>
      <c r="QQ246" s="230"/>
      <c r="QR246" s="231"/>
    </row>
    <row r="247" spans="3:460" ht="5.0999999999999996" customHeight="1" x14ac:dyDescent="0.25">
      <c r="C247" s="226"/>
      <c r="D247" s="227"/>
      <c r="FO247" s="229"/>
      <c r="FP247" s="229"/>
      <c r="FQ247" s="229"/>
      <c r="FR247" s="229"/>
      <c r="FS247" s="229"/>
      <c r="FT247" s="229"/>
      <c r="FU247" s="229"/>
      <c r="FV247" s="229"/>
      <c r="FW247" s="229"/>
      <c r="FX247" s="229"/>
      <c r="FY247" s="229"/>
      <c r="FZ247" s="229"/>
      <c r="GA247" s="229"/>
      <c r="GB247" s="229"/>
      <c r="GC247" s="229"/>
      <c r="GD247" s="229"/>
      <c r="GE247" s="229"/>
      <c r="GF247" s="229"/>
      <c r="GG247" s="229"/>
      <c r="GH247" s="229"/>
      <c r="GI247" s="229"/>
      <c r="GJ247" s="229"/>
      <c r="GR247" s="306"/>
      <c r="GS247" s="306"/>
      <c r="GT247" s="306"/>
      <c r="GU247" s="306"/>
      <c r="GV247" s="306"/>
      <c r="GW247" s="306"/>
      <c r="GX247" s="306"/>
      <c r="GY247" s="306"/>
      <c r="GZ247" s="306"/>
      <c r="HA247" s="306"/>
      <c r="HB247" s="306"/>
      <c r="HC247" s="306"/>
      <c r="HD247" s="306"/>
      <c r="HE247" s="306"/>
      <c r="HF247" s="306"/>
      <c r="HG247" s="306"/>
      <c r="HH247" s="306"/>
      <c r="HI247" s="306"/>
      <c r="HJ247" s="306"/>
      <c r="HK247" s="306"/>
      <c r="HL247" s="306"/>
      <c r="HM247" s="306"/>
      <c r="HN247" s="306"/>
      <c r="HO247" s="306"/>
      <c r="HP247" s="306"/>
      <c r="HQ247" s="306"/>
      <c r="HR247" s="306"/>
      <c r="HS247" s="306"/>
      <c r="HT247" s="306"/>
      <c r="HU247" s="306"/>
      <c r="HV247" s="306"/>
      <c r="HW247" s="306"/>
      <c r="HX247" s="306"/>
      <c r="HY247" s="306"/>
      <c r="HZ247" s="306"/>
      <c r="IA247" s="306"/>
      <c r="IB247" s="306"/>
      <c r="IC247" s="306"/>
      <c r="ID247" s="306"/>
      <c r="IE247" s="306"/>
      <c r="IF247" s="306"/>
      <c r="IG247" s="306"/>
      <c r="IH247" s="306"/>
      <c r="II247" s="307"/>
      <c r="IJ247" s="307"/>
      <c r="IK247" s="307"/>
      <c r="IL247" s="307"/>
      <c r="IM247" s="307"/>
      <c r="IN247" s="243"/>
      <c r="IO247" s="243"/>
      <c r="IP247" s="243"/>
      <c r="IQ247" s="243"/>
      <c r="IR247" s="243"/>
      <c r="IS247" s="243"/>
      <c r="IT247" s="306"/>
      <c r="IU247" s="306"/>
      <c r="IV247" s="306"/>
      <c r="IW247" s="306"/>
      <c r="IX247" s="306"/>
      <c r="IY247" s="306"/>
      <c r="IZ247" s="306"/>
      <c r="JA247" s="306"/>
      <c r="JB247" s="306"/>
      <c r="JC247" s="306"/>
      <c r="JD247" s="306"/>
      <c r="JE247" s="306"/>
      <c r="JF247" s="306"/>
      <c r="JG247" s="306"/>
      <c r="JH247" s="306"/>
      <c r="JI247" s="306"/>
      <c r="JJ247" s="306"/>
      <c r="JK247" s="306"/>
      <c r="JL247" s="306"/>
      <c r="JM247" s="306"/>
      <c r="JN247" s="306"/>
      <c r="JO247" s="306"/>
      <c r="JP247" s="306"/>
      <c r="JQ247" s="306"/>
      <c r="JR247" s="306"/>
      <c r="JS247" s="306"/>
      <c r="JT247" s="306"/>
      <c r="JU247" s="306"/>
      <c r="JV247" s="306"/>
      <c r="JW247" s="306"/>
      <c r="JX247" s="306"/>
      <c r="JY247" s="306"/>
      <c r="JZ247" s="306"/>
      <c r="KA247" s="306"/>
      <c r="KB247" s="306"/>
      <c r="KC247" s="306"/>
      <c r="KD247" s="306"/>
      <c r="KE247" s="306"/>
      <c r="KF247" s="306"/>
      <c r="KG247" s="306"/>
      <c r="KH247" s="306"/>
      <c r="KI247" s="306"/>
      <c r="KJ247" s="306"/>
      <c r="KK247" s="307"/>
      <c r="KL247" s="307"/>
      <c r="KM247" s="307"/>
      <c r="KN247" s="307"/>
      <c r="KO247" s="307"/>
      <c r="KT247" s="229"/>
      <c r="KU247" s="229"/>
      <c r="KV247" s="229"/>
      <c r="KW247" s="229"/>
      <c r="KX247" s="229"/>
      <c r="KY247" s="229"/>
      <c r="KZ247" s="229"/>
      <c r="LA247" s="229"/>
      <c r="LB247" s="229"/>
      <c r="LC247" s="229"/>
      <c r="LD247" s="229"/>
      <c r="LE247" s="229"/>
      <c r="LF247" s="229"/>
      <c r="LG247" s="229"/>
      <c r="LH247" s="229"/>
      <c r="LI247" s="229"/>
      <c r="LJ247" s="229"/>
      <c r="LK247" s="229"/>
      <c r="LL247" s="229"/>
      <c r="LM247" s="229"/>
      <c r="LN247" s="229"/>
      <c r="LO247" s="229"/>
      <c r="LP247" s="229"/>
      <c r="LQ247" s="229"/>
      <c r="LR247" s="229"/>
      <c r="LS247" s="229"/>
      <c r="LT247" s="229"/>
      <c r="LU247" s="229"/>
      <c r="LV247" s="229"/>
      <c r="LW247" s="229"/>
      <c r="LX247" s="229"/>
      <c r="LY247" s="229"/>
      <c r="LZ247" s="229"/>
      <c r="MA247" s="229"/>
      <c r="MB247" s="229"/>
      <c r="MC247" s="229"/>
      <c r="MD247" s="229"/>
      <c r="ME247" s="229"/>
      <c r="MF247" s="229"/>
      <c r="MG247" s="229"/>
      <c r="MH247" s="229"/>
      <c r="MI247" s="229"/>
      <c r="MJ247" s="229"/>
      <c r="MK247" s="229"/>
      <c r="ML247" s="229"/>
      <c r="MM247" s="229"/>
      <c r="MN247" s="229"/>
      <c r="MO247" s="229"/>
      <c r="MP247" s="229"/>
      <c r="MQ247" s="229"/>
      <c r="MR247" s="229"/>
      <c r="MS247" s="229"/>
      <c r="QQ247" s="230"/>
      <c r="QR247" s="231"/>
    </row>
    <row r="248" spans="3:460" ht="5.0999999999999996" customHeight="1" x14ac:dyDescent="0.25">
      <c r="C248" s="226"/>
      <c r="D248" s="227"/>
      <c r="FO248" s="229"/>
      <c r="FP248" s="229"/>
      <c r="FQ248" s="229"/>
      <c r="FR248" s="229"/>
      <c r="FS248" s="229"/>
      <c r="FT248" s="229"/>
      <c r="FU248" s="229"/>
      <c r="FV248" s="229"/>
      <c r="FW248" s="229"/>
      <c r="FX248" s="229"/>
      <c r="FY248" s="229"/>
      <c r="FZ248" s="229"/>
      <c r="GA248" s="229"/>
      <c r="GB248" s="229"/>
      <c r="GC248" s="229"/>
      <c r="GD248" s="229"/>
      <c r="GE248" s="229"/>
      <c r="GF248" s="229"/>
      <c r="GG248" s="229"/>
      <c r="GH248" s="229"/>
      <c r="GI248" s="229"/>
      <c r="GJ248" s="229"/>
      <c r="GR248" s="286"/>
      <c r="GS248" s="286"/>
      <c r="GT248" s="286"/>
      <c r="GU248" s="286"/>
      <c r="GV248" s="286"/>
      <c r="GW248" s="286"/>
      <c r="GX248" s="286"/>
      <c r="GY248" s="286"/>
      <c r="GZ248" s="286"/>
      <c r="HA248" s="286"/>
      <c r="HB248" s="286"/>
      <c r="HC248" s="286"/>
      <c r="HD248" s="286"/>
      <c r="HE248" s="286"/>
      <c r="HF248" s="286"/>
      <c r="HG248" s="286"/>
      <c r="HH248" s="286"/>
      <c r="HI248" s="286"/>
      <c r="HJ248" s="286"/>
      <c r="HK248" s="286"/>
      <c r="HL248" s="286"/>
      <c r="HM248" s="286"/>
      <c r="HN248" s="286"/>
      <c r="HO248" s="286"/>
      <c r="HP248" s="286"/>
      <c r="HQ248" s="286"/>
      <c r="HR248" s="286"/>
      <c r="HS248" s="286"/>
      <c r="HT248" s="286"/>
      <c r="HU248" s="286"/>
      <c r="HV248" s="286"/>
      <c r="HW248" s="286"/>
      <c r="HX248" s="286"/>
      <c r="HY248" s="286"/>
      <c r="HZ248" s="286"/>
      <c r="IA248" s="286"/>
      <c r="IB248" s="286"/>
      <c r="IC248" s="286"/>
      <c r="ID248" s="286"/>
      <c r="IE248" s="286"/>
      <c r="IF248" s="286"/>
      <c r="IG248" s="286"/>
      <c r="IH248" s="286"/>
      <c r="II248" s="286"/>
      <c r="IJ248" s="286"/>
      <c r="IK248" s="286"/>
      <c r="IL248" s="286"/>
      <c r="IM248" s="286"/>
      <c r="IN248" s="243"/>
      <c r="IO248" s="243"/>
      <c r="IP248" s="243"/>
      <c r="IQ248" s="243"/>
      <c r="IR248" s="243"/>
      <c r="IS248" s="243"/>
      <c r="IT248" s="305"/>
      <c r="IU248" s="305"/>
      <c r="IV248" s="305"/>
      <c r="IW248" s="305"/>
      <c r="IX248" s="305"/>
      <c r="IY248" s="305"/>
      <c r="IZ248" s="305"/>
      <c r="JA248" s="305"/>
      <c r="JB248" s="305"/>
      <c r="JC248" s="305"/>
      <c r="JD248" s="305"/>
      <c r="JE248" s="305"/>
      <c r="JF248" s="305"/>
      <c r="JG248" s="305"/>
      <c r="JH248" s="305"/>
      <c r="JI248" s="305"/>
      <c r="JJ248" s="305"/>
      <c r="JK248" s="305"/>
      <c r="JL248" s="305"/>
      <c r="JM248" s="305"/>
      <c r="JN248" s="305"/>
      <c r="JO248" s="305"/>
      <c r="JP248" s="305"/>
      <c r="JQ248" s="305"/>
      <c r="JR248" s="305"/>
      <c r="JS248" s="305"/>
      <c r="JT248" s="305"/>
      <c r="JU248" s="305"/>
      <c r="JV248" s="305"/>
      <c r="JW248" s="305"/>
      <c r="JX248" s="305"/>
      <c r="JY248" s="305"/>
      <c r="JZ248" s="305"/>
      <c r="KA248" s="305"/>
      <c r="KB248" s="305"/>
      <c r="KC248" s="305"/>
      <c r="KD248" s="305"/>
      <c r="KE248" s="305"/>
      <c r="KF248" s="305"/>
      <c r="KG248" s="305"/>
      <c r="KH248" s="305"/>
      <c r="KI248" s="305"/>
      <c r="KJ248" s="305"/>
      <c r="KK248" s="305"/>
      <c r="KL248" s="305"/>
      <c r="KM248" s="305"/>
      <c r="KN248" s="305"/>
      <c r="KO248" s="305"/>
      <c r="KT248" s="229"/>
      <c r="KU248" s="229"/>
      <c r="KV248" s="229"/>
      <c r="KW248" s="229"/>
      <c r="KX248" s="229"/>
      <c r="KY248" s="229"/>
      <c r="KZ248" s="229"/>
      <c r="LA248" s="229"/>
      <c r="LB248" s="229"/>
      <c r="LC248" s="229"/>
      <c r="LD248" s="229"/>
      <c r="LE248" s="229"/>
      <c r="LF248" s="229"/>
      <c r="LG248" s="229"/>
      <c r="LH248" s="229"/>
      <c r="LI248" s="229"/>
      <c r="LJ248" s="229"/>
      <c r="LK248" s="229"/>
      <c r="LL248" s="229"/>
      <c r="LM248" s="229"/>
      <c r="LN248" s="229"/>
      <c r="LO248" s="229"/>
      <c r="LP248" s="229"/>
      <c r="LQ248" s="229"/>
      <c r="LR248" s="229"/>
      <c r="LS248" s="229"/>
      <c r="LT248" s="229"/>
      <c r="LU248" s="229"/>
      <c r="LV248" s="229"/>
      <c r="LW248" s="229"/>
      <c r="LX248" s="229"/>
      <c r="LY248" s="229"/>
      <c r="LZ248" s="229"/>
      <c r="MA248" s="229"/>
      <c r="MB248" s="229"/>
      <c r="MC248" s="229"/>
      <c r="MD248" s="229"/>
      <c r="ME248" s="229"/>
      <c r="MF248" s="229"/>
      <c r="MG248" s="229"/>
      <c r="MH248" s="229"/>
      <c r="MI248" s="229"/>
      <c r="MJ248" s="229"/>
      <c r="MK248" s="229"/>
      <c r="ML248" s="229"/>
      <c r="MM248" s="229"/>
      <c r="MN248" s="229"/>
      <c r="MO248" s="229"/>
      <c r="MP248" s="229"/>
      <c r="MQ248" s="229"/>
      <c r="MR248" s="229"/>
      <c r="MS248" s="229"/>
      <c r="QQ248" s="230"/>
      <c r="QR248" s="231"/>
    </row>
    <row r="249" spans="3:460" ht="5.0999999999999996" customHeight="1" x14ac:dyDescent="0.25">
      <c r="C249" s="226"/>
      <c r="D249" s="227"/>
      <c r="FO249" s="229"/>
      <c r="FP249" s="229"/>
      <c r="FQ249" s="229"/>
      <c r="FR249" s="229"/>
      <c r="FS249" s="229"/>
      <c r="FT249" s="229"/>
      <c r="FU249" s="229"/>
      <c r="FV249" s="229"/>
      <c r="FW249" s="229"/>
      <c r="FX249" s="229"/>
      <c r="FY249" s="229"/>
      <c r="FZ249" s="229"/>
      <c r="GA249" s="229"/>
      <c r="GB249" s="229"/>
      <c r="GC249" s="229"/>
      <c r="GD249" s="229"/>
      <c r="GE249" s="229"/>
      <c r="GF249" s="229"/>
      <c r="GG249" s="229"/>
      <c r="GH249" s="229"/>
      <c r="GI249" s="229"/>
      <c r="GJ249" s="229"/>
      <c r="GR249" s="286"/>
      <c r="GS249" s="286"/>
      <c r="GT249" s="286"/>
      <c r="GU249" s="286"/>
      <c r="GV249" s="286"/>
      <c r="GW249" s="286"/>
      <c r="GX249" s="286"/>
      <c r="GY249" s="286"/>
      <c r="GZ249" s="286"/>
      <c r="HA249" s="286"/>
      <c r="HB249" s="286"/>
      <c r="HC249" s="286"/>
      <c r="HD249" s="286"/>
      <c r="HE249" s="286"/>
      <c r="HF249" s="286"/>
      <c r="HG249" s="286"/>
      <c r="HH249" s="286"/>
      <c r="HI249" s="286"/>
      <c r="HJ249" s="286"/>
      <c r="HK249" s="286"/>
      <c r="HL249" s="286"/>
      <c r="HM249" s="286"/>
      <c r="HN249" s="286"/>
      <c r="HO249" s="286"/>
      <c r="HP249" s="286"/>
      <c r="HQ249" s="286"/>
      <c r="HR249" s="286"/>
      <c r="HS249" s="286"/>
      <c r="HT249" s="286"/>
      <c r="HU249" s="286"/>
      <c r="HV249" s="286"/>
      <c r="HW249" s="286"/>
      <c r="HX249" s="286"/>
      <c r="HY249" s="286"/>
      <c r="HZ249" s="286"/>
      <c r="IA249" s="286"/>
      <c r="IB249" s="286"/>
      <c r="IC249" s="286"/>
      <c r="ID249" s="286"/>
      <c r="IE249" s="286"/>
      <c r="IF249" s="286"/>
      <c r="IG249" s="286"/>
      <c r="IH249" s="286"/>
      <c r="II249" s="286"/>
      <c r="IJ249" s="286"/>
      <c r="IK249" s="286"/>
      <c r="IL249" s="286"/>
      <c r="IM249" s="286"/>
      <c r="IN249" s="243"/>
      <c r="IO249" s="243"/>
      <c r="IP249" s="243"/>
      <c r="IQ249" s="243"/>
      <c r="IR249" s="243"/>
      <c r="IS249" s="243"/>
      <c r="IT249" s="305"/>
      <c r="IU249" s="305"/>
      <c r="IV249" s="305"/>
      <c r="IW249" s="305"/>
      <c r="IX249" s="305"/>
      <c r="IY249" s="305"/>
      <c r="IZ249" s="305"/>
      <c r="JA249" s="305"/>
      <c r="JB249" s="305"/>
      <c r="JC249" s="305"/>
      <c r="JD249" s="305"/>
      <c r="JE249" s="305"/>
      <c r="JF249" s="305"/>
      <c r="JG249" s="305"/>
      <c r="JH249" s="305"/>
      <c r="JI249" s="305"/>
      <c r="JJ249" s="305"/>
      <c r="JK249" s="305"/>
      <c r="JL249" s="305"/>
      <c r="JM249" s="305"/>
      <c r="JN249" s="305"/>
      <c r="JO249" s="305"/>
      <c r="JP249" s="305"/>
      <c r="JQ249" s="305"/>
      <c r="JR249" s="305"/>
      <c r="JS249" s="305"/>
      <c r="JT249" s="305"/>
      <c r="JU249" s="305"/>
      <c r="JV249" s="305"/>
      <c r="JW249" s="305"/>
      <c r="JX249" s="305"/>
      <c r="JY249" s="305"/>
      <c r="JZ249" s="305"/>
      <c r="KA249" s="305"/>
      <c r="KB249" s="305"/>
      <c r="KC249" s="305"/>
      <c r="KD249" s="305"/>
      <c r="KE249" s="305"/>
      <c r="KF249" s="305"/>
      <c r="KG249" s="305"/>
      <c r="KH249" s="305"/>
      <c r="KI249" s="305"/>
      <c r="KJ249" s="305"/>
      <c r="KK249" s="305"/>
      <c r="KL249" s="305"/>
      <c r="KM249" s="305"/>
      <c r="KN249" s="305"/>
      <c r="KO249" s="305"/>
      <c r="KT249" s="229"/>
      <c r="KU249" s="229"/>
      <c r="KV249" s="229"/>
      <c r="KW249" s="229"/>
      <c r="KX249" s="229"/>
      <c r="KY249" s="229"/>
      <c r="KZ249" s="229"/>
      <c r="LA249" s="229"/>
      <c r="LB249" s="229"/>
      <c r="LC249" s="229"/>
      <c r="LD249" s="229"/>
      <c r="LE249" s="229"/>
      <c r="LF249" s="229"/>
      <c r="LG249" s="229"/>
      <c r="LH249" s="229"/>
      <c r="LI249" s="229"/>
      <c r="LJ249" s="229"/>
      <c r="LK249" s="229"/>
      <c r="LL249" s="229"/>
      <c r="LM249" s="229"/>
      <c r="LN249" s="229"/>
      <c r="LO249" s="229"/>
      <c r="LP249" s="229"/>
      <c r="LQ249" s="229"/>
      <c r="LR249" s="229"/>
      <c r="LS249" s="229"/>
      <c r="LT249" s="229"/>
      <c r="LU249" s="229"/>
      <c r="LV249" s="229"/>
      <c r="LW249" s="229"/>
      <c r="LX249" s="229"/>
      <c r="LY249" s="229"/>
      <c r="LZ249" s="229"/>
      <c r="MA249" s="229"/>
      <c r="MB249" s="229"/>
      <c r="MC249" s="229"/>
      <c r="MD249" s="229"/>
      <c r="ME249" s="229"/>
      <c r="MF249" s="229"/>
      <c r="MG249" s="229"/>
      <c r="MH249" s="229"/>
      <c r="MI249" s="229"/>
      <c r="MJ249" s="229"/>
      <c r="MK249" s="229"/>
      <c r="ML249" s="229"/>
      <c r="MM249" s="229"/>
      <c r="MN249" s="229"/>
      <c r="MO249" s="229"/>
      <c r="MP249" s="229"/>
      <c r="MQ249" s="229"/>
      <c r="MR249" s="229"/>
      <c r="MS249" s="229"/>
      <c r="QQ249" s="230"/>
      <c r="QR249" s="231"/>
    </row>
    <row r="250" spans="3:460" ht="5.0999999999999996" customHeight="1" x14ac:dyDescent="0.25">
      <c r="C250" s="226"/>
      <c r="D250" s="227"/>
      <c r="FO250" s="229"/>
      <c r="FP250" s="229"/>
      <c r="FQ250" s="229"/>
      <c r="FR250" s="229"/>
      <c r="FS250" s="229"/>
      <c r="FT250" s="229"/>
      <c r="FU250" s="229"/>
      <c r="FV250" s="229"/>
      <c r="FW250" s="229"/>
      <c r="FX250" s="229"/>
      <c r="FY250" s="229"/>
      <c r="FZ250" s="229"/>
      <c r="GA250" s="229"/>
      <c r="GB250" s="229"/>
      <c r="GC250" s="229"/>
      <c r="GD250" s="229"/>
      <c r="GE250" s="229"/>
      <c r="GF250" s="229"/>
      <c r="GG250" s="229"/>
      <c r="GH250" s="229"/>
      <c r="GI250" s="229"/>
      <c r="GJ250" s="229"/>
      <c r="GR250" s="286"/>
      <c r="GS250" s="286"/>
      <c r="GT250" s="286"/>
      <c r="GU250" s="286"/>
      <c r="GV250" s="286"/>
      <c r="GW250" s="286"/>
      <c r="GX250" s="286"/>
      <c r="GY250" s="286"/>
      <c r="GZ250" s="286"/>
      <c r="HA250" s="286"/>
      <c r="HB250" s="286"/>
      <c r="HC250" s="286"/>
      <c r="HD250" s="286"/>
      <c r="HE250" s="286"/>
      <c r="HF250" s="286"/>
      <c r="HG250" s="286"/>
      <c r="HH250" s="286"/>
      <c r="HI250" s="286"/>
      <c r="HJ250" s="286"/>
      <c r="HK250" s="286"/>
      <c r="HL250" s="286"/>
      <c r="HM250" s="286"/>
      <c r="HN250" s="286"/>
      <c r="HO250" s="286"/>
      <c r="HP250" s="286"/>
      <c r="HQ250" s="286"/>
      <c r="HR250" s="286"/>
      <c r="HS250" s="286"/>
      <c r="HT250" s="286"/>
      <c r="HU250" s="286"/>
      <c r="HV250" s="286"/>
      <c r="HW250" s="286"/>
      <c r="HX250" s="286"/>
      <c r="HY250" s="286"/>
      <c r="HZ250" s="286"/>
      <c r="IA250" s="286"/>
      <c r="IB250" s="286"/>
      <c r="IC250" s="286"/>
      <c r="ID250" s="286"/>
      <c r="IE250" s="286"/>
      <c r="IF250" s="286"/>
      <c r="IG250" s="286"/>
      <c r="IH250" s="286"/>
      <c r="II250" s="286"/>
      <c r="IJ250" s="286"/>
      <c r="IK250" s="286"/>
      <c r="IL250" s="286"/>
      <c r="IM250" s="286"/>
      <c r="IN250" s="243"/>
      <c r="IO250" s="243"/>
      <c r="IP250" s="243"/>
      <c r="IQ250" s="243"/>
      <c r="IR250" s="243"/>
      <c r="IS250" s="243"/>
      <c r="IT250" s="305"/>
      <c r="IU250" s="305"/>
      <c r="IV250" s="305"/>
      <c r="IW250" s="305"/>
      <c r="IX250" s="305"/>
      <c r="IY250" s="305"/>
      <c r="IZ250" s="305"/>
      <c r="JA250" s="305"/>
      <c r="JB250" s="305"/>
      <c r="JC250" s="305"/>
      <c r="JD250" s="305"/>
      <c r="JE250" s="305"/>
      <c r="JF250" s="305"/>
      <c r="JG250" s="305"/>
      <c r="JH250" s="305"/>
      <c r="JI250" s="305"/>
      <c r="JJ250" s="305"/>
      <c r="JK250" s="305"/>
      <c r="JL250" s="305"/>
      <c r="JM250" s="305"/>
      <c r="JN250" s="305"/>
      <c r="JO250" s="305"/>
      <c r="JP250" s="305"/>
      <c r="JQ250" s="305"/>
      <c r="JR250" s="305"/>
      <c r="JS250" s="305"/>
      <c r="JT250" s="305"/>
      <c r="JU250" s="305"/>
      <c r="JV250" s="305"/>
      <c r="JW250" s="305"/>
      <c r="JX250" s="305"/>
      <c r="JY250" s="305"/>
      <c r="JZ250" s="305"/>
      <c r="KA250" s="305"/>
      <c r="KB250" s="305"/>
      <c r="KC250" s="305"/>
      <c r="KD250" s="305"/>
      <c r="KE250" s="305"/>
      <c r="KF250" s="305"/>
      <c r="KG250" s="305"/>
      <c r="KH250" s="305"/>
      <c r="KI250" s="305"/>
      <c r="KJ250" s="305"/>
      <c r="KK250" s="305"/>
      <c r="KL250" s="305"/>
      <c r="KM250" s="305"/>
      <c r="KN250" s="305"/>
      <c r="KO250" s="305"/>
      <c r="KT250" s="229"/>
      <c r="KU250" s="229"/>
      <c r="KV250" s="229"/>
      <c r="KW250" s="229"/>
      <c r="KX250" s="229"/>
      <c r="KY250" s="229"/>
      <c r="KZ250" s="229"/>
      <c r="LA250" s="229"/>
      <c r="LB250" s="229"/>
      <c r="LC250" s="229"/>
      <c r="LD250" s="229"/>
      <c r="LE250" s="229"/>
      <c r="LF250" s="229"/>
      <c r="LG250" s="229"/>
      <c r="LH250" s="229"/>
      <c r="LI250" s="229"/>
      <c r="LJ250" s="229"/>
      <c r="LK250" s="229"/>
      <c r="LL250" s="229"/>
      <c r="LM250" s="229"/>
      <c r="LN250" s="229"/>
      <c r="LO250" s="229"/>
      <c r="LP250" s="229"/>
      <c r="LQ250" s="229"/>
      <c r="LR250" s="229"/>
      <c r="LS250" s="229"/>
      <c r="LT250" s="229"/>
      <c r="LU250" s="229"/>
      <c r="LV250" s="229"/>
      <c r="LW250" s="229"/>
      <c r="LX250" s="229"/>
      <c r="LY250" s="229"/>
      <c r="LZ250" s="229"/>
      <c r="MA250" s="229"/>
      <c r="MB250" s="229"/>
      <c r="MC250" s="229"/>
      <c r="MD250" s="229"/>
      <c r="ME250" s="229"/>
      <c r="MF250" s="229"/>
      <c r="MG250" s="229"/>
      <c r="MH250" s="229"/>
      <c r="MI250" s="229"/>
      <c r="MJ250" s="229"/>
      <c r="MK250" s="229"/>
      <c r="ML250" s="229"/>
      <c r="MM250" s="229"/>
      <c r="MN250" s="229"/>
      <c r="MO250" s="229"/>
      <c r="MP250" s="229"/>
      <c r="MQ250" s="229"/>
      <c r="MR250" s="229"/>
      <c r="MS250" s="229"/>
      <c r="QQ250" s="230"/>
      <c r="QR250" s="231"/>
    </row>
    <row r="251" spans="3:460" ht="5.0999999999999996" customHeight="1" x14ac:dyDescent="0.25">
      <c r="C251" s="226"/>
      <c r="D251" s="227"/>
      <c r="FO251" s="229"/>
      <c r="FP251" s="229"/>
      <c r="FQ251" s="229"/>
      <c r="FR251" s="229"/>
      <c r="FS251" s="229"/>
      <c r="FT251" s="229"/>
      <c r="FU251" s="229"/>
      <c r="FV251" s="229"/>
      <c r="FW251" s="229"/>
      <c r="FX251" s="229"/>
      <c r="FY251" s="229"/>
      <c r="FZ251" s="229"/>
      <c r="GA251" s="229"/>
      <c r="GB251" s="229"/>
      <c r="GC251" s="229"/>
      <c r="GD251" s="229"/>
      <c r="GE251" s="229"/>
      <c r="GF251" s="229"/>
      <c r="GG251" s="229"/>
      <c r="GH251" s="229"/>
      <c r="GI251" s="229"/>
      <c r="GJ251" s="229"/>
      <c r="GR251" s="286"/>
      <c r="GS251" s="286"/>
      <c r="GT251" s="286"/>
      <c r="GU251" s="286"/>
      <c r="GV251" s="286"/>
      <c r="GW251" s="286"/>
      <c r="GX251" s="286"/>
      <c r="GY251" s="286"/>
      <c r="GZ251" s="286"/>
      <c r="HA251" s="286"/>
      <c r="HB251" s="286"/>
      <c r="HC251" s="286"/>
      <c r="HD251" s="286"/>
      <c r="HE251" s="286"/>
      <c r="HF251" s="286"/>
      <c r="HG251" s="286"/>
      <c r="HH251" s="286"/>
      <c r="HI251" s="286"/>
      <c r="HJ251" s="286"/>
      <c r="HK251" s="286"/>
      <c r="HL251" s="286"/>
      <c r="HM251" s="286"/>
      <c r="HN251" s="286"/>
      <c r="HO251" s="286"/>
      <c r="HP251" s="286"/>
      <c r="HQ251" s="286"/>
      <c r="HR251" s="286"/>
      <c r="HS251" s="286"/>
      <c r="HT251" s="286"/>
      <c r="HU251" s="286"/>
      <c r="HV251" s="286"/>
      <c r="HW251" s="286"/>
      <c r="HX251" s="286"/>
      <c r="HY251" s="286"/>
      <c r="HZ251" s="286"/>
      <c r="IA251" s="286"/>
      <c r="IB251" s="286"/>
      <c r="IC251" s="286"/>
      <c r="ID251" s="286"/>
      <c r="IE251" s="286"/>
      <c r="IF251" s="286"/>
      <c r="IG251" s="286"/>
      <c r="IH251" s="286"/>
      <c r="II251" s="286"/>
      <c r="IJ251" s="286"/>
      <c r="IK251" s="286"/>
      <c r="IL251" s="286"/>
      <c r="IM251" s="286"/>
      <c r="IN251" s="243"/>
      <c r="IO251" s="243"/>
      <c r="IP251" s="243"/>
      <c r="IQ251" s="243"/>
      <c r="IR251" s="243"/>
      <c r="IS251" s="243"/>
      <c r="IT251" s="305"/>
      <c r="IU251" s="305"/>
      <c r="IV251" s="305"/>
      <c r="IW251" s="305"/>
      <c r="IX251" s="305"/>
      <c r="IY251" s="305"/>
      <c r="IZ251" s="305"/>
      <c r="JA251" s="305"/>
      <c r="JB251" s="305"/>
      <c r="JC251" s="305"/>
      <c r="JD251" s="305"/>
      <c r="JE251" s="305"/>
      <c r="JF251" s="305"/>
      <c r="JG251" s="305"/>
      <c r="JH251" s="305"/>
      <c r="JI251" s="305"/>
      <c r="JJ251" s="305"/>
      <c r="JK251" s="305"/>
      <c r="JL251" s="305"/>
      <c r="JM251" s="305"/>
      <c r="JN251" s="305"/>
      <c r="JO251" s="305"/>
      <c r="JP251" s="305"/>
      <c r="JQ251" s="305"/>
      <c r="JR251" s="305"/>
      <c r="JS251" s="305"/>
      <c r="JT251" s="305"/>
      <c r="JU251" s="305"/>
      <c r="JV251" s="305"/>
      <c r="JW251" s="305"/>
      <c r="JX251" s="305"/>
      <c r="JY251" s="305"/>
      <c r="JZ251" s="305"/>
      <c r="KA251" s="305"/>
      <c r="KB251" s="305"/>
      <c r="KC251" s="305"/>
      <c r="KD251" s="305"/>
      <c r="KE251" s="305"/>
      <c r="KF251" s="305"/>
      <c r="KG251" s="305"/>
      <c r="KH251" s="305"/>
      <c r="KI251" s="305"/>
      <c r="KJ251" s="305"/>
      <c r="KK251" s="305"/>
      <c r="KL251" s="305"/>
      <c r="KM251" s="305"/>
      <c r="KN251" s="305"/>
      <c r="KO251" s="305"/>
      <c r="KT251" s="229"/>
      <c r="KU251" s="229"/>
      <c r="KV251" s="229"/>
      <c r="KW251" s="229"/>
      <c r="KX251" s="229"/>
      <c r="KY251" s="229"/>
      <c r="KZ251" s="229"/>
      <c r="LA251" s="229"/>
      <c r="LB251" s="229"/>
      <c r="LC251" s="229"/>
      <c r="LD251" s="229"/>
      <c r="LE251" s="229"/>
      <c r="LF251" s="229"/>
      <c r="LG251" s="229"/>
      <c r="LH251" s="229"/>
      <c r="LI251" s="229"/>
      <c r="LJ251" s="229"/>
      <c r="LK251" s="229"/>
      <c r="LL251" s="229"/>
      <c r="LM251" s="229"/>
      <c r="LN251" s="229"/>
      <c r="LO251" s="229"/>
      <c r="LP251" s="229"/>
      <c r="LQ251" s="229"/>
      <c r="LR251" s="229"/>
      <c r="LS251" s="229"/>
      <c r="LT251" s="229"/>
      <c r="LU251" s="229"/>
      <c r="LV251" s="229"/>
      <c r="LW251" s="229"/>
      <c r="LX251" s="229"/>
      <c r="LY251" s="229"/>
      <c r="LZ251" s="229"/>
      <c r="MA251" s="229"/>
      <c r="MB251" s="229"/>
      <c r="MC251" s="229"/>
      <c r="MD251" s="229"/>
      <c r="ME251" s="229"/>
      <c r="MF251" s="229"/>
      <c r="MG251" s="229"/>
      <c r="MH251" s="229"/>
      <c r="MI251" s="229"/>
      <c r="MJ251" s="229"/>
      <c r="MK251" s="229"/>
      <c r="ML251" s="229"/>
      <c r="MM251" s="229"/>
      <c r="MN251" s="229"/>
      <c r="MO251" s="229"/>
      <c r="MP251" s="229"/>
      <c r="MQ251" s="229"/>
      <c r="MR251" s="229"/>
      <c r="MS251" s="229"/>
      <c r="QQ251" s="230"/>
      <c r="QR251" s="231"/>
    </row>
    <row r="252" spans="3:460" ht="5.0999999999999996" customHeight="1" x14ac:dyDescent="0.25">
      <c r="C252" s="226"/>
      <c r="D252" s="227"/>
      <c r="FO252" s="229"/>
      <c r="FP252" s="229"/>
      <c r="FQ252" s="229"/>
      <c r="FR252" s="229"/>
      <c r="FS252" s="229"/>
      <c r="FT252" s="229"/>
      <c r="FU252" s="229"/>
      <c r="FV252" s="229"/>
      <c r="FW252" s="229"/>
      <c r="FX252" s="229"/>
      <c r="FY252" s="229"/>
      <c r="FZ252" s="229"/>
      <c r="GA252" s="229"/>
      <c r="GB252" s="229"/>
      <c r="GC252" s="229"/>
      <c r="GD252" s="229"/>
      <c r="GE252" s="229"/>
      <c r="GF252" s="229"/>
      <c r="GG252" s="229"/>
      <c r="GH252" s="229"/>
      <c r="GI252" s="229"/>
      <c r="GJ252" s="229"/>
      <c r="GR252" s="286"/>
      <c r="GS252" s="286"/>
      <c r="GT252" s="286"/>
      <c r="GU252" s="286"/>
      <c r="GV252" s="286"/>
      <c r="GW252" s="286"/>
      <c r="GX252" s="286"/>
      <c r="GY252" s="286"/>
      <c r="GZ252" s="286"/>
      <c r="HA252" s="286"/>
      <c r="HB252" s="286"/>
      <c r="HC252" s="286"/>
      <c r="HD252" s="286"/>
      <c r="HE252" s="286"/>
      <c r="HF252" s="286"/>
      <c r="HG252" s="286"/>
      <c r="HH252" s="286"/>
      <c r="HI252" s="286"/>
      <c r="HJ252" s="286"/>
      <c r="HK252" s="286"/>
      <c r="HL252" s="286"/>
      <c r="HM252" s="286"/>
      <c r="HN252" s="286"/>
      <c r="HO252" s="286"/>
      <c r="HP252" s="286"/>
      <c r="HQ252" s="286"/>
      <c r="HR252" s="286"/>
      <c r="HS252" s="286"/>
      <c r="HT252" s="286"/>
      <c r="HU252" s="286"/>
      <c r="HV252" s="286"/>
      <c r="HW252" s="286"/>
      <c r="HX252" s="286"/>
      <c r="HY252" s="286"/>
      <c r="HZ252" s="286"/>
      <c r="IA252" s="286"/>
      <c r="IB252" s="286"/>
      <c r="IC252" s="286"/>
      <c r="ID252" s="286"/>
      <c r="IE252" s="286"/>
      <c r="IF252" s="286"/>
      <c r="IG252" s="286"/>
      <c r="IH252" s="286"/>
      <c r="II252" s="286"/>
      <c r="IJ252" s="286"/>
      <c r="IK252" s="286"/>
      <c r="IL252" s="286"/>
      <c r="IM252" s="286"/>
      <c r="IN252" s="243"/>
      <c r="IO252" s="243"/>
      <c r="IP252" s="243"/>
      <c r="IQ252" s="243"/>
      <c r="IR252" s="243"/>
      <c r="IS252" s="243"/>
      <c r="IT252" s="305"/>
      <c r="IU252" s="305"/>
      <c r="IV252" s="305"/>
      <c r="IW252" s="305"/>
      <c r="IX252" s="305"/>
      <c r="IY252" s="305"/>
      <c r="IZ252" s="305"/>
      <c r="JA252" s="305"/>
      <c r="JB252" s="305"/>
      <c r="JC252" s="305"/>
      <c r="JD252" s="305"/>
      <c r="JE252" s="305"/>
      <c r="JF252" s="305"/>
      <c r="JG252" s="305"/>
      <c r="JH252" s="305"/>
      <c r="JI252" s="305"/>
      <c r="JJ252" s="305"/>
      <c r="JK252" s="305"/>
      <c r="JL252" s="305"/>
      <c r="JM252" s="305"/>
      <c r="JN252" s="305"/>
      <c r="JO252" s="305"/>
      <c r="JP252" s="305"/>
      <c r="JQ252" s="305"/>
      <c r="JR252" s="305"/>
      <c r="JS252" s="305"/>
      <c r="JT252" s="305"/>
      <c r="JU252" s="305"/>
      <c r="JV252" s="305"/>
      <c r="JW252" s="305"/>
      <c r="JX252" s="305"/>
      <c r="JY252" s="305"/>
      <c r="JZ252" s="305"/>
      <c r="KA252" s="305"/>
      <c r="KB252" s="305"/>
      <c r="KC252" s="305"/>
      <c r="KD252" s="305"/>
      <c r="KE252" s="305"/>
      <c r="KF252" s="305"/>
      <c r="KG252" s="305"/>
      <c r="KH252" s="305"/>
      <c r="KI252" s="305"/>
      <c r="KJ252" s="305"/>
      <c r="KK252" s="305"/>
      <c r="KL252" s="305"/>
      <c r="KM252" s="305"/>
      <c r="KN252" s="305"/>
      <c r="KO252" s="305"/>
      <c r="KT252" s="229"/>
      <c r="KU252" s="229"/>
      <c r="KV252" s="229"/>
      <c r="KW252" s="229"/>
      <c r="KX252" s="229"/>
      <c r="KY252" s="229"/>
      <c r="KZ252" s="229"/>
      <c r="LA252" s="229"/>
      <c r="LB252" s="229"/>
      <c r="LC252" s="229"/>
      <c r="LD252" s="229"/>
      <c r="LE252" s="229"/>
      <c r="LF252" s="229"/>
      <c r="LG252" s="229"/>
      <c r="LH252" s="229"/>
      <c r="LI252" s="229"/>
      <c r="LJ252" s="229"/>
      <c r="LK252" s="229"/>
      <c r="LL252" s="229"/>
      <c r="LM252" s="229"/>
      <c r="LN252" s="229"/>
      <c r="LO252" s="229"/>
      <c r="LP252" s="229"/>
      <c r="LQ252" s="229"/>
      <c r="LR252" s="229"/>
      <c r="LS252" s="229"/>
      <c r="LT252" s="229"/>
      <c r="LU252" s="229"/>
      <c r="LV252" s="229"/>
      <c r="LW252" s="229"/>
      <c r="LX252" s="229"/>
      <c r="LY252" s="229"/>
      <c r="LZ252" s="229"/>
      <c r="MA252" s="229"/>
      <c r="MB252" s="229"/>
      <c r="MC252" s="229"/>
      <c r="MD252" s="229"/>
      <c r="ME252" s="229"/>
      <c r="MF252" s="229"/>
      <c r="MG252" s="229"/>
      <c r="MH252" s="229"/>
      <c r="MI252" s="229"/>
      <c r="MJ252" s="229"/>
      <c r="MK252" s="229"/>
      <c r="ML252" s="229"/>
      <c r="MM252" s="229"/>
      <c r="MN252" s="229"/>
      <c r="MO252" s="229"/>
      <c r="MP252" s="229"/>
      <c r="MQ252" s="229"/>
      <c r="MR252" s="229"/>
      <c r="MS252" s="229"/>
      <c r="QQ252" s="230"/>
      <c r="QR252" s="231"/>
    </row>
    <row r="253" spans="3:460" ht="5.0999999999999996" customHeight="1" thickBot="1" x14ac:dyDescent="0.3">
      <c r="C253" s="226"/>
      <c r="D253" s="227"/>
      <c r="FO253" s="229"/>
      <c r="FP253" s="229"/>
      <c r="FQ253" s="229"/>
      <c r="FR253" s="229"/>
      <c r="FS253" s="229"/>
      <c r="FT253" s="229"/>
      <c r="FU253" s="229"/>
      <c r="FV253" s="229"/>
      <c r="FW253" s="229"/>
      <c r="FX253" s="229"/>
      <c r="FY253" s="229"/>
      <c r="FZ253" s="229"/>
      <c r="GA253" s="229"/>
      <c r="GB253" s="229"/>
      <c r="GC253" s="229"/>
      <c r="GD253" s="229"/>
      <c r="GE253" s="229"/>
      <c r="GF253" s="229"/>
      <c r="GG253" s="229"/>
      <c r="GH253" s="229"/>
      <c r="GI253" s="229"/>
      <c r="GJ253" s="229"/>
      <c r="GR253" s="286"/>
      <c r="GS253" s="286"/>
      <c r="GT253" s="286"/>
      <c r="GU253" s="286"/>
      <c r="GV253" s="286"/>
      <c r="GW253" s="286"/>
      <c r="GX253" s="286"/>
      <c r="GY253" s="286"/>
      <c r="GZ253" s="286"/>
      <c r="HA253" s="286"/>
      <c r="HB253" s="286"/>
      <c r="HC253" s="286"/>
      <c r="HD253" s="286"/>
      <c r="HE253" s="286"/>
      <c r="HF253" s="286"/>
      <c r="HG253" s="286"/>
      <c r="HH253" s="286"/>
      <c r="HI253" s="286"/>
      <c r="HJ253" s="286"/>
      <c r="HK253" s="286"/>
      <c r="HL253" s="286"/>
      <c r="HM253" s="286"/>
      <c r="HN253" s="286"/>
      <c r="HO253" s="286"/>
      <c r="HP253" s="286"/>
      <c r="HQ253" s="286"/>
      <c r="HR253" s="286"/>
      <c r="HS253" s="286"/>
      <c r="HT253" s="286"/>
      <c r="HU253" s="286"/>
      <c r="HV253" s="286"/>
      <c r="HW253" s="286"/>
      <c r="HX253" s="286"/>
      <c r="HY253" s="286"/>
      <c r="HZ253" s="286"/>
      <c r="IA253" s="286"/>
      <c r="IB253" s="286"/>
      <c r="IC253" s="286"/>
      <c r="ID253" s="286"/>
      <c r="IE253" s="286"/>
      <c r="IF253" s="286"/>
      <c r="IG253" s="286"/>
      <c r="IH253" s="286"/>
      <c r="II253" s="286"/>
      <c r="IJ253" s="286"/>
      <c r="IK253" s="286"/>
      <c r="IL253" s="286"/>
      <c r="IM253" s="286"/>
      <c r="IN253" s="243"/>
      <c r="IO253" s="243"/>
      <c r="IP253" s="243"/>
      <c r="IQ253" s="243"/>
      <c r="IR253" s="243"/>
      <c r="IS253" s="243"/>
      <c r="IT253" s="305"/>
      <c r="IU253" s="305"/>
      <c r="IV253" s="305"/>
      <c r="IW253" s="305"/>
      <c r="IX253" s="305"/>
      <c r="IY253" s="305"/>
      <c r="IZ253" s="305"/>
      <c r="JA253" s="305"/>
      <c r="JB253" s="305"/>
      <c r="JC253" s="305"/>
      <c r="JD253" s="305"/>
      <c r="JE253" s="305"/>
      <c r="JF253" s="305"/>
      <c r="JG253" s="305"/>
      <c r="JH253" s="305"/>
      <c r="JI253" s="305"/>
      <c r="JJ253" s="305"/>
      <c r="JK253" s="305"/>
      <c r="JL253" s="305"/>
      <c r="JM253" s="305"/>
      <c r="JN253" s="305"/>
      <c r="JO253" s="305"/>
      <c r="JP253" s="305"/>
      <c r="JQ253" s="305"/>
      <c r="JR253" s="305"/>
      <c r="JS253" s="305"/>
      <c r="JT253" s="305"/>
      <c r="JU253" s="305"/>
      <c r="JV253" s="305"/>
      <c r="JW253" s="305"/>
      <c r="JX253" s="305"/>
      <c r="JY253" s="305"/>
      <c r="JZ253" s="305"/>
      <c r="KA253" s="305"/>
      <c r="KB253" s="305"/>
      <c r="KC253" s="305"/>
      <c r="KD253" s="305"/>
      <c r="KE253" s="305"/>
      <c r="KF253" s="305"/>
      <c r="KG253" s="305"/>
      <c r="KH253" s="305"/>
      <c r="KI253" s="305"/>
      <c r="KJ253" s="305"/>
      <c r="KK253" s="305"/>
      <c r="KL253" s="305"/>
      <c r="KM253" s="305"/>
      <c r="KN253" s="305"/>
      <c r="KO253" s="305"/>
      <c r="KT253" s="229"/>
      <c r="KU253" s="229"/>
      <c r="KV253" s="229"/>
      <c r="KW253" s="229"/>
      <c r="KX253" s="229"/>
      <c r="KY253" s="229"/>
      <c r="KZ253" s="229"/>
      <c r="LA253" s="229"/>
      <c r="LB253" s="229"/>
      <c r="LC253" s="229"/>
      <c r="LD253" s="229"/>
      <c r="LE253" s="229"/>
      <c r="LF253" s="229"/>
      <c r="LG253" s="229"/>
      <c r="LH253" s="229"/>
      <c r="LI253" s="229"/>
      <c r="LJ253" s="229"/>
      <c r="LK253" s="229"/>
      <c r="LL253" s="229"/>
      <c r="LM253" s="229"/>
      <c r="LN253" s="229"/>
      <c r="LO253" s="229"/>
      <c r="LP253" s="229"/>
      <c r="LQ253" s="229"/>
      <c r="LR253" s="229"/>
      <c r="LS253" s="229"/>
      <c r="LT253" s="229"/>
      <c r="LU253" s="229"/>
      <c r="LV253" s="229"/>
      <c r="LW253" s="229"/>
      <c r="LX253" s="229"/>
      <c r="LY253" s="229"/>
      <c r="LZ253" s="229"/>
      <c r="MA253" s="229"/>
      <c r="MB253" s="229"/>
      <c r="MC253" s="229"/>
      <c r="MD253" s="229"/>
      <c r="ME253" s="229"/>
      <c r="MF253" s="229"/>
      <c r="MG253" s="229"/>
      <c r="MH253" s="229"/>
      <c r="MI253" s="229"/>
      <c r="MJ253" s="229"/>
      <c r="MK253" s="229"/>
      <c r="ML253" s="229"/>
      <c r="MM253" s="229"/>
      <c r="MN253" s="229"/>
      <c r="MO253" s="229"/>
      <c r="MP253" s="229"/>
      <c r="MQ253" s="229"/>
      <c r="MR253" s="229"/>
      <c r="MS253" s="229"/>
      <c r="QQ253" s="230"/>
      <c r="QR253" s="231"/>
    </row>
    <row r="254" spans="3:460" ht="5.0999999999999996" customHeight="1" thickBot="1" x14ac:dyDescent="0.3">
      <c r="C254" s="226"/>
      <c r="D254" s="227"/>
      <c r="FO254" s="229"/>
      <c r="FP254" s="229"/>
      <c r="FQ254" s="229"/>
      <c r="FR254" s="229"/>
      <c r="FS254" s="229"/>
      <c r="FT254" s="229"/>
      <c r="FU254" s="229"/>
      <c r="FV254" s="229"/>
      <c r="FW254" s="229"/>
      <c r="FX254" s="229"/>
      <c r="FY254" s="229"/>
      <c r="FZ254" s="229"/>
      <c r="GA254" s="229"/>
      <c r="GB254" s="229"/>
      <c r="GC254" s="229"/>
      <c r="GD254" s="229"/>
      <c r="GE254" s="229"/>
      <c r="GF254" s="229"/>
      <c r="GG254" s="229"/>
      <c r="GH254" s="229"/>
      <c r="GI254" s="229"/>
      <c r="GJ254" s="229"/>
      <c r="GR254" s="286"/>
      <c r="GS254" s="286"/>
      <c r="GT254" s="286"/>
      <c r="GU254" s="286"/>
      <c r="GV254" s="286"/>
      <c r="GW254" s="286"/>
      <c r="GX254" s="286"/>
      <c r="GY254" s="286"/>
      <c r="GZ254" s="286"/>
      <c r="HA254" s="286"/>
      <c r="HB254" s="286"/>
      <c r="HC254" s="286"/>
      <c r="HD254" s="286"/>
      <c r="HE254" s="286"/>
      <c r="HF254" s="286"/>
      <c r="HG254" s="286"/>
      <c r="HH254" s="286"/>
      <c r="HI254" s="286"/>
      <c r="HJ254" s="286"/>
      <c r="HK254" s="286"/>
      <c r="HL254" s="286"/>
      <c r="HM254" s="286"/>
      <c r="HN254" s="286"/>
      <c r="HO254" s="286"/>
      <c r="HP254" s="286"/>
      <c r="HQ254" s="286"/>
      <c r="HR254" s="286"/>
      <c r="HS254" s="286"/>
      <c r="HT254" s="286"/>
      <c r="HU254" s="286"/>
      <c r="HV254" s="286"/>
      <c r="HW254" s="286"/>
      <c r="HX254" s="286"/>
      <c r="HY254" s="286"/>
      <c r="HZ254" s="286"/>
      <c r="IA254" s="286"/>
      <c r="IB254" s="286"/>
      <c r="IC254" s="286"/>
      <c r="ID254" s="286"/>
      <c r="IE254" s="286"/>
      <c r="IF254" s="286"/>
      <c r="IG254" s="286"/>
      <c r="IH254" s="286"/>
      <c r="II254" s="286"/>
      <c r="IJ254" s="286"/>
      <c r="IK254" s="286"/>
      <c r="IL254" s="286"/>
      <c r="IM254" s="286"/>
      <c r="IN254" s="243"/>
      <c r="IO254" s="243"/>
      <c r="IP254" s="243"/>
      <c r="IQ254" s="243"/>
      <c r="IR254" s="243"/>
      <c r="IS254" s="243"/>
      <c r="IT254" s="305"/>
      <c r="IU254" s="305"/>
      <c r="IV254" s="305"/>
      <c r="IW254" s="305"/>
      <c r="IX254" s="305"/>
      <c r="IY254" s="305"/>
      <c r="IZ254" s="305"/>
      <c r="JA254" s="305"/>
      <c r="JB254" s="305"/>
      <c r="JC254" s="305"/>
      <c r="JD254" s="305"/>
      <c r="JE254" s="305"/>
      <c r="JF254" s="305"/>
      <c r="JG254" s="305"/>
      <c r="JH254" s="305"/>
      <c r="JI254" s="305"/>
      <c r="JJ254" s="305"/>
      <c r="JK254" s="305"/>
      <c r="JL254" s="305"/>
      <c r="JM254" s="305"/>
      <c r="JN254" s="305"/>
      <c r="JO254" s="305"/>
      <c r="JP254" s="305"/>
      <c r="JQ254" s="305"/>
      <c r="JR254" s="305"/>
      <c r="JS254" s="305"/>
      <c r="JT254" s="305"/>
      <c r="JU254" s="305"/>
      <c r="JV254" s="305"/>
      <c r="JW254" s="305"/>
      <c r="JX254" s="305"/>
      <c r="JY254" s="305"/>
      <c r="JZ254" s="305"/>
      <c r="KA254" s="305"/>
      <c r="KB254" s="305"/>
      <c r="KC254" s="305"/>
      <c r="KD254" s="305"/>
      <c r="KE254" s="305"/>
      <c r="KF254" s="305"/>
      <c r="KG254" s="305"/>
      <c r="KH254" s="305"/>
      <c r="KI254" s="305"/>
      <c r="KJ254" s="305"/>
      <c r="KK254" s="305"/>
      <c r="KL254" s="305"/>
      <c r="KM254" s="305"/>
      <c r="KN254" s="305"/>
      <c r="KO254" s="305"/>
      <c r="KT254" s="229"/>
      <c r="KU254" s="229"/>
      <c r="KV254" s="229"/>
      <c r="KW254" s="229"/>
      <c r="KX254" s="229"/>
      <c r="KY254" s="229"/>
      <c r="KZ254" s="229"/>
      <c r="LA254" s="229"/>
      <c r="LB254" s="229"/>
      <c r="LC254" s="229"/>
      <c r="LD254" s="229"/>
      <c r="LE254" s="229"/>
      <c r="LF254" s="229"/>
      <c r="LG254" s="229"/>
      <c r="LH254" s="229"/>
      <c r="LI254" s="229"/>
      <c r="LJ254" s="229"/>
      <c r="LK254" s="229"/>
      <c r="LL254" s="229"/>
      <c r="LM254" s="229"/>
      <c r="LN254" s="229"/>
      <c r="LO254" s="229"/>
      <c r="LP254" s="229"/>
      <c r="LQ254" s="229"/>
      <c r="LR254" s="229"/>
      <c r="LS254" s="229"/>
      <c r="LT254" s="229"/>
      <c r="LU254" s="229"/>
      <c r="LV254" s="229"/>
      <c r="LW254" s="229"/>
      <c r="LX254" s="229"/>
      <c r="LY254" s="229"/>
      <c r="LZ254" s="229"/>
      <c r="MA254" s="229"/>
      <c r="MB254" s="229"/>
      <c r="MC254" s="229"/>
      <c r="MD254" s="229"/>
      <c r="ME254" s="229"/>
      <c r="MF254" s="229"/>
      <c r="MG254" s="229"/>
      <c r="MH254" s="229"/>
      <c r="MI254" s="229"/>
      <c r="MJ254" s="229"/>
      <c r="MK254" s="229"/>
      <c r="ML254" s="229"/>
      <c r="MM254" s="229"/>
      <c r="MN254" s="229"/>
      <c r="MO254" s="229"/>
      <c r="MP254" s="229"/>
      <c r="MQ254" s="229"/>
      <c r="MR254" s="229"/>
      <c r="MS254" s="229"/>
      <c r="OD254" s="287" t="s">
        <v>446</v>
      </c>
      <c r="OE254" s="288"/>
      <c r="OF254" s="288"/>
      <c r="OG254" s="288"/>
      <c r="OH254" s="288"/>
      <c r="OI254" s="288"/>
      <c r="OJ254" s="288"/>
      <c r="OK254" s="288"/>
      <c r="OL254" s="288"/>
      <c r="OM254" s="288"/>
      <c r="ON254" s="288"/>
      <c r="OO254" s="288"/>
      <c r="OP254" s="288"/>
      <c r="OQ254" s="288"/>
      <c r="OR254" s="288"/>
      <c r="OS254" s="288"/>
      <c r="OT254" s="288"/>
      <c r="OU254" s="288"/>
      <c r="OV254" s="288"/>
      <c r="OW254" s="288"/>
      <c r="OX254" s="288"/>
      <c r="OY254" s="288"/>
      <c r="OZ254" s="288"/>
      <c r="PA254" s="288"/>
      <c r="PB254" s="288"/>
      <c r="PC254" s="288"/>
      <c r="PD254" s="288"/>
      <c r="PE254" s="288"/>
      <c r="PF254" s="288"/>
      <c r="PG254" s="288"/>
      <c r="PH254" s="288"/>
      <c r="PI254" s="288"/>
      <c r="PJ254" s="288"/>
      <c r="PK254" s="288"/>
      <c r="PL254" s="288"/>
      <c r="PM254" s="288"/>
      <c r="PN254" s="288"/>
      <c r="PO254" s="288"/>
      <c r="PP254" s="288"/>
      <c r="PQ254" s="288"/>
      <c r="PR254" s="288"/>
      <c r="PS254" s="288"/>
      <c r="PT254" s="288"/>
      <c r="PU254" s="288"/>
      <c r="PV254" s="288"/>
      <c r="PW254" s="288"/>
      <c r="PX254" s="288"/>
      <c r="PY254" s="288"/>
      <c r="PZ254" s="288"/>
      <c r="QA254" s="289"/>
      <c r="QB254" s="296">
        <f>SUM(AX37,IR19,FA46,CT72,CT82,CU100,GF60,EU111,KS46,PH36)</f>
        <v>159</v>
      </c>
      <c r="QC254" s="297"/>
      <c r="QD254" s="297"/>
      <c r="QE254" s="297"/>
      <c r="QF254" s="297"/>
      <c r="QG254" s="297"/>
      <c r="QH254" s="297"/>
      <c r="QI254" s="297"/>
      <c r="QJ254" s="297"/>
      <c r="QK254" s="297"/>
      <c r="QL254" s="297"/>
      <c r="QM254" s="298"/>
      <c r="QQ254" s="230"/>
      <c r="QR254" s="231"/>
    </row>
    <row r="255" spans="3:460" ht="5.0999999999999996" customHeight="1" x14ac:dyDescent="0.25">
      <c r="C255" s="226"/>
      <c r="D255" s="227"/>
      <c r="F255" s="277" t="s">
        <v>447</v>
      </c>
      <c r="G255" s="278"/>
      <c r="H255" s="278"/>
      <c r="I255" s="278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9"/>
      <c r="AH255" s="277" t="s">
        <v>448</v>
      </c>
      <c r="AI255" s="278"/>
      <c r="AJ255" s="278"/>
      <c r="AK255" s="278"/>
      <c r="AL255" s="278"/>
      <c r="AM255" s="278"/>
      <c r="AN255" s="278"/>
      <c r="AO255" s="278"/>
      <c r="AP255" s="278"/>
      <c r="AQ255" s="278"/>
      <c r="AR255" s="278"/>
      <c r="AS255" s="278"/>
      <c r="AT255" s="278"/>
      <c r="AU255" s="278"/>
      <c r="AV255" s="278"/>
      <c r="AW255" s="278"/>
      <c r="AX255" s="278"/>
      <c r="AY255" s="278"/>
      <c r="AZ255" s="278"/>
      <c r="BA255" s="278"/>
      <c r="BB255" s="278"/>
      <c r="BC255" s="278"/>
      <c r="BD255" s="278"/>
      <c r="BE255" s="278"/>
      <c r="BF255" s="278"/>
      <c r="BG255" s="278"/>
      <c r="BH255" s="278"/>
      <c r="BI255" s="279"/>
      <c r="BJ255" s="277" t="s">
        <v>449</v>
      </c>
      <c r="BK255" s="278"/>
      <c r="BL255" s="278"/>
      <c r="BM255" s="278"/>
      <c r="BN255" s="278"/>
      <c r="BO255" s="278"/>
      <c r="BP255" s="278"/>
      <c r="BQ255" s="278"/>
      <c r="BR255" s="278"/>
      <c r="BS255" s="278"/>
      <c r="BT255" s="278"/>
      <c r="BU255" s="278"/>
      <c r="BV255" s="278"/>
      <c r="BW255" s="278"/>
      <c r="BX255" s="278"/>
      <c r="BY255" s="278"/>
      <c r="BZ255" s="278"/>
      <c r="CA255" s="278"/>
      <c r="CB255" s="278"/>
      <c r="CC255" s="278"/>
      <c r="CD255" s="278"/>
      <c r="CE255" s="278"/>
      <c r="CF255" s="278"/>
      <c r="CG255" s="278"/>
      <c r="CH255" s="278"/>
      <c r="CI255" s="278"/>
      <c r="CJ255" s="278"/>
      <c r="CK255" s="279"/>
      <c r="FO255" s="229"/>
      <c r="FP255" s="229"/>
      <c r="FQ255" s="229"/>
      <c r="FR255" s="229"/>
      <c r="FS255" s="229"/>
      <c r="FT255" s="229"/>
      <c r="FU255" s="229"/>
      <c r="FV255" s="229"/>
      <c r="FW255" s="229"/>
      <c r="FX255" s="229"/>
      <c r="FY255" s="229"/>
      <c r="FZ255" s="229"/>
      <c r="GA255" s="229"/>
      <c r="GB255" s="229"/>
      <c r="GC255" s="229"/>
      <c r="GD255" s="229"/>
      <c r="GE255" s="229"/>
      <c r="GF255" s="229"/>
      <c r="GG255" s="229"/>
      <c r="GH255" s="229"/>
      <c r="GI255" s="229"/>
      <c r="GJ255" s="229"/>
      <c r="GR255" s="286"/>
      <c r="GS255" s="286"/>
      <c r="GT255" s="286"/>
      <c r="GU255" s="286"/>
      <c r="GV255" s="286"/>
      <c r="GW255" s="286"/>
      <c r="GX255" s="286"/>
      <c r="GY255" s="286"/>
      <c r="GZ255" s="286"/>
      <c r="HA255" s="286"/>
      <c r="HB255" s="286"/>
      <c r="HC255" s="286"/>
      <c r="HD255" s="286"/>
      <c r="HE255" s="286"/>
      <c r="HF255" s="286"/>
      <c r="HG255" s="286"/>
      <c r="HH255" s="286"/>
      <c r="HI255" s="286"/>
      <c r="HJ255" s="286"/>
      <c r="HK255" s="286"/>
      <c r="HL255" s="286"/>
      <c r="HM255" s="286"/>
      <c r="HN255" s="286"/>
      <c r="HO255" s="286"/>
      <c r="HP255" s="286"/>
      <c r="HQ255" s="286"/>
      <c r="HR255" s="286"/>
      <c r="HS255" s="286"/>
      <c r="HT255" s="286"/>
      <c r="HU255" s="286"/>
      <c r="HV255" s="286"/>
      <c r="HW255" s="286"/>
      <c r="HX255" s="286"/>
      <c r="HY255" s="286"/>
      <c r="HZ255" s="286"/>
      <c r="IA255" s="286"/>
      <c r="IB255" s="286"/>
      <c r="IC255" s="286"/>
      <c r="ID255" s="286"/>
      <c r="IE255" s="286"/>
      <c r="IF255" s="286"/>
      <c r="IG255" s="286"/>
      <c r="IH255" s="286"/>
      <c r="II255" s="286"/>
      <c r="IJ255" s="286"/>
      <c r="IK255" s="286"/>
      <c r="IL255" s="286"/>
      <c r="IM255" s="286"/>
      <c r="IN255" s="243"/>
      <c r="IO255" s="243"/>
      <c r="IP255" s="243"/>
      <c r="IQ255" s="243"/>
      <c r="IR255" s="243"/>
      <c r="IS255" s="243"/>
      <c r="IT255" s="305"/>
      <c r="IU255" s="305"/>
      <c r="IV255" s="305"/>
      <c r="IW255" s="305"/>
      <c r="IX255" s="305"/>
      <c r="IY255" s="305"/>
      <c r="IZ255" s="305"/>
      <c r="JA255" s="305"/>
      <c r="JB255" s="305"/>
      <c r="JC255" s="305"/>
      <c r="JD255" s="305"/>
      <c r="JE255" s="305"/>
      <c r="JF255" s="305"/>
      <c r="JG255" s="305"/>
      <c r="JH255" s="305"/>
      <c r="JI255" s="305"/>
      <c r="JJ255" s="305"/>
      <c r="JK255" s="305"/>
      <c r="JL255" s="305"/>
      <c r="JM255" s="305"/>
      <c r="JN255" s="305"/>
      <c r="JO255" s="305"/>
      <c r="JP255" s="305"/>
      <c r="JQ255" s="305"/>
      <c r="JR255" s="305"/>
      <c r="JS255" s="305"/>
      <c r="JT255" s="305"/>
      <c r="JU255" s="305"/>
      <c r="JV255" s="305"/>
      <c r="JW255" s="305"/>
      <c r="JX255" s="305"/>
      <c r="JY255" s="305"/>
      <c r="JZ255" s="305"/>
      <c r="KA255" s="305"/>
      <c r="KB255" s="305"/>
      <c r="KC255" s="305"/>
      <c r="KD255" s="305"/>
      <c r="KE255" s="305"/>
      <c r="KF255" s="305"/>
      <c r="KG255" s="305"/>
      <c r="KH255" s="305"/>
      <c r="KI255" s="305"/>
      <c r="KJ255" s="305"/>
      <c r="KK255" s="305"/>
      <c r="KL255" s="305"/>
      <c r="KM255" s="305"/>
      <c r="KN255" s="305"/>
      <c r="KO255" s="305"/>
      <c r="KT255" s="229"/>
      <c r="KU255" s="229"/>
      <c r="KV255" s="229"/>
      <c r="KW255" s="229"/>
      <c r="KX255" s="229"/>
      <c r="KY255" s="229"/>
      <c r="KZ255" s="229"/>
      <c r="LA255" s="229"/>
      <c r="LB255" s="229"/>
      <c r="LC255" s="229"/>
      <c r="LD255" s="229"/>
      <c r="LE255" s="229"/>
      <c r="LF255" s="229"/>
      <c r="LG255" s="229"/>
      <c r="LH255" s="229"/>
      <c r="LI255" s="229"/>
      <c r="LJ255" s="229"/>
      <c r="LK255" s="229"/>
      <c r="LL255" s="229"/>
      <c r="LM255" s="229"/>
      <c r="LN255" s="229"/>
      <c r="LO255" s="229"/>
      <c r="LP255" s="229"/>
      <c r="LQ255" s="229"/>
      <c r="LR255" s="229"/>
      <c r="LS255" s="229"/>
      <c r="LT255" s="229"/>
      <c r="LU255" s="229"/>
      <c r="LV255" s="229"/>
      <c r="LW255" s="229"/>
      <c r="LX255" s="229"/>
      <c r="LY255" s="229"/>
      <c r="LZ255" s="229"/>
      <c r="MA255" s="229"/>
      <c r="MB255" s="229"/>
      <c r="MC255" s="229"/>
      <c r="MD255" s="229"/>
      <c r="ME255" s="229"/>
      <c r="MF255" s="229"/>
      <c r="MG255" s="229"/>
      <c r="MH255" s="229"/>
      <c r="MI255" s="229"/>
      <c r="MJ255" s="229"/>
      <c r="MK255" s="229"/>
      <c r="ML255" s="229"/>
      <c r="MM255" s="229"/>
      <c r="MN255" s="229"/>
      <c r="MO255" s="229"/>
      <c r="MP255" s="229"/>
      <c r="MQ255" s="229"/>
      <c r="MR255" s="229"/>
      <c r="MS255" s="229"/>
      <c r="OD255" s="290"/>
      <c r="OE255" s="291"/>
      <c r="OF255" s="291"/>
      <c r="OG255" s="291"/>
      <c r="OH255" s="291"/>
      <c r="OI255" s="291"/>
      <c r="OJ255" s="291"/>
      <c r="OK255" s="291"/>
      <c r="OL255" s="291"/>
      <c r="OM255" s="291"/>
      <c r="ON255" s="291"/>
      <c r="OO255" s="291"/>
      <c r="OP255" s="291"/>
      <c r="OQ255" s="291"/>
      <c r="OR255" s="291"/>
      <c r="OS255" s="291"/>
      <c r="OT255" s="291"/>
      <c r="OU255" s="291"/>
      <c r="OV255" s="291"/>
      <c r="OW255" s="291"/>
      <c r="OX255" s="291"/>
      <c r="OY255" s="291"/>
      <c r="OZ255" s="291"/>
      <c r="PA255" s="291"/>
      <c r="PB255" s="291"/>
      <c r="PC255" s="291"/>
      <c r="PD255" s="291"/>
      <c r="PE255" s="291"/>
      <c r="PF255" s="291"/>
      <c r="PG255" s="291"/>
      <c r="PH255" s="291"/>
      <c r="PI255" s="291"/>
      <c r="PJ255" s="291"/>
      <c r="PK255" s="291"/>
      <c r="PL255" s="291"/>
      <c r="PM255" s="291"/>
      <c r="PN255" s="291"/>
      <c r="PO255" s="291"/>
      <c r="PP255" s="291"/>
      <c r="PQ255" s="291"/>
      <c r="PR255" s="291"/>
      <c r="PS255" s="291"/>
      <c r="PT255" s="291"/>
      <c r="PU255" s="291"/>
      <c r="PV255" s="291"/>
      <c r="PW255" s="291"/>
      <c r="PX255" s="291"/>
      <c r="PY255" s="291"/>
      <c r="PZ255" s="291"/>
      <c r="QA255" s="292"/>
      <c r="QB255" s="299"/>
      <c r="QC255" s="300"/>
      <c r="QD255" s="300"/>
      <c r="QE255" s="300"/>
      <c r="QF255" s="300"/>
      <c r="QG255" s="300"/>
      <c r="QH255" s="300"/>
      <c r="QI255" s="300"/>
      <c r="QJ255" s="300"/>
      <c r="QK255" s="300"/>
      <c r="QL255" s="300"/>
      <c r="QM255" s="301"/>
      <c r="QQ255" s="230"/>
      <c r="QR255" s="231"/>
    </row>
    <row r="256" spans="3:460" ht="5.0999999999999996" customHeight="1" x14ac:dyDescent="0.25">
      <c r="C256" s="226"/>
      <c r="D256" s="227"/>
      <c r="F256" s="280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  <c r="AB256" s="281"/>
      <c r="AC256" s="281"/>
      <c r="AD256" s="281"/>
      <c r="AE256" s="281"/>
      <c r="AF256" s="281"/>
      <c r="AG256" s="282"/>
      <c r="AH256" s="280"/>
      <c r="AI256" s="281"/>
      <c r="AJ256" s="281"/>
      <c r="AK256" s="281"/>
      <c r="AL256" s="281"/>
      <c r="AM256" s="281"/>
      <c r="AN256" s="281"/>
      <c r="AO256" s="281"/>
      <c r="AP256" s="281"/>
      <c r="AQ256" s="281"/>
      <c r="AR256" s="281"/>
      <c r="AS256" s="281"/>
      <c r="AT256" s="281"/>
      <c r="AU256" s="281"/>
      <c r="AV256" s="281"/>
      <c r="AW256" s="281"/>
      <c r="AX256" s="281"/>
      <c r="AY256" s="281"/>
      <c r="AZ256" s="281"/>
      <c r="BA256" s="281"/>
      <c r="BB256" s="281"/>
      <c r="BC256" s="281"/>
      <c r="BD256" s="281"/>
      <c r="BE256" s="281"/>
      <c r="BF256" s="281"/>
      <c r="BG256" s="281"/>
      <c r="BH256" s="281"/>
      <c r="BI256" s="282"/>
      <c r="BJ256" s="280"/>
      <c r="BK256" s="281"/>
      <c r="BL256" s="281"/>
      <c r="BM256" s="281"/>
      <c r="BN256" s="281"/>
      <c r="BO256" s="281"/>
      <c r="BP256" s="281"/>
      <c r="BQ256" s="281"/>
      <c r="BR256" s="281"/>
      <c r="BS256" s="281"/>
      <c r="BT256" s="281"/>
      <c r="BU256" s="281"/>
      <c r="BV256" s="281"/>
      <c r="BW256" s="281"/>
      <c r="BX256" s="281"/>
      <c r="BY256" s="281"/>
      <c r="BZ256" s="281"/>
      <c r="CA256" s="281"/>
      <c r="CB256" s="281"/>
      <c r="CC256" s="281"/>
      <c r="CD256" s="281"/>
      <c r="CE256" s="281"/>
      <c r="CF256" s="281"/>
      <c r="CG256" s="281"/>
      <c r="CH256" s="281"/>
      <c r="CI256" s="281"/>
      <c r="CJ256" s="281"/>
      <c r="CK256" s="282"/>
      <c r="GR256" s="286"/>
      <c r="GS256" s="286"/>
      <c r="GT256" s="286"/>
      <c r="GU256" s="286"/>
      <c r="GV256" s="286"/>
      <c r="GW256" s="286"/>
      <c r="GX256" s="286"/>
      <c r="GY256" s="286"/>
      <c r="GZ256" s="286"/>
      <c r="HA256" s="286"/>
      <c r="HB256" s="286"/>
      <c r="HC256" s="286"/>
      <c r="HD256" s="286"/>
      <c r="HE256" s="286"/>
      <c r="HF256" s="286"/>
      <c r="HG256" s="286"/>
      <c r="HH256" s="286"/>
      <c r="HI256" s="286"/>
      <c r="HJ256" s="286"/>
      <c r="HK256" s="286"/>
      <c r="HL256" s="286"/>
      <c r="HM256" s="286"/>
      <c r="HN256" s="286"/>
      <c r="HO256" s="286"/>
      <c r="HP256" s="286"/>
      <c r="HQ256" s="286"/>
      <c r="HR256" s="286"/>
      <c r="HS256" s="286"/>
      <c r="HT256" s="286"/>
      <c r="HU256" s="286"/>
      <c r="HV256" s="286"/>
      <c r="HW256" s="286"/>
      <c r="HX256" s="286"/>
      <c r="HY256" s="286"/>
      <c r="HZ256" s="286"/>
      <c r="IA256" s="286"/>
      <c r="IB256" s="286"/>
      <c r="IC256" s="286"/>
      <c r="ID256" s="286"/>
      <c r="IE256" s="286"/>
      <c r="IF256" s="286"/>
      <c r="IG256" s="286"/>
      <c r="IH256" s="286"/>
      <c r="II256" s="286"/>
      <c r="IJ256" s="286"/>
      <c r="IK256" s="286"/>
      <c r="IL256" s="286"/>
      <c r="IM256" s="286"/>
      <c r="IN256" s="243"/>
      <c r="IO256" s="243"/>
      <c r="IP256" s="243"/>
      <c r="IQ256" s="243"/>
      <c r="IR256" s="243"/>
      <c r="IS256" s="243"/>
      <c r="IT256" s="305"/>
      <c r="IU256" s="305"/>
      <c r="IV256" s="305"/>
      <c r="IW256" s="305"/>
      <c r="IX256" s="305"/>
      <c r="IY256" s="305"/>
      <c r="IZ256" s="305"/>
      <c r="JA256" s="305"/>
      <c r="JB256" s="305"/>
      <c r="JC256" s="305"/>
      <c r="JD256" s="305"/>
      <c r="JE256" s="305"/>
      <c r="JF256" s="305"/>
      <c r="JG256" s="305"/>
      <c r="JH256" s="305"/>
      <c r="JI256" s="305"/>
      <c r="JJ256" s="305"/>
      <c r="JK256" s="305"/>
      <c r="JL256" s="305"/>
      <c r="JM256" s="305"/>
      <c r="JN256" s="305"/>
      <c r="JO256" s="305"/>
      <c r="JP256" s="305"/>
      <c r="JQ256" s="305"/>
      <c r="JR256" s="305"/>
      <c r="JS256" s="305"/>
      <c r="JT256" s="305"/>
      <c r="JU256" s="305"/>
      <c r="JV256" s="305"/>
      <c r="JW256" s="305"/>
      <c r="JX256" s="305"/>
      <c r="JY256" s="305"/>
      <c r="JZ256" s="305"/>
      <c r="KA256" s="305"/>
      <c r="KB256" s="305"/>
      <c r="KC256" s="305"/>
      <c r="KD256" s="305"/>
      <c r="KE256" s="305"/>
      <c r="KF256" s="305"/>
      <c r="KG256" s="305"/>
      <c r="KH256" s="305"/>
      <c r="KI256" s="305"/>
      <c r="KJ256" s="305"/>
      <c r="KK256" s="305"/>
      <c r="KL256" s="305"/>
      <c r="KM256" s="305"/>
      <c r="KN256" s="305"/>
      <c r="KO256" s="305"/>
      <c r="KT256" s="229"/>
      <c r="KU256" s="229"/>
      <c r="KV256" s="229"/>
      <c r="KW256" s="229"/>
      <c r="KX256" s="229"/>
      <c r="KY256" s="229"/>
      <c r="KZ256" s="229"/>
      <c r="LA256" s="229"/>
      <c r="LB256" s="229"/>
      <c r="LC256" s="229"/>
      <c r="LD256" s="229"/>
      <c r="LE256" s="229"/>
      <c r="LF256" s="229"/>
      <c r="LG256" s="229"/>
      <c r="LH256" s="229"/>
      <c r="LI256" s="229"/>
      <c r="LJ256" s="229"/>
      <c r="LK256" s="229"/>
      <c r="LL256" s="229"/>
      <c r="LM256" s="229"/>
      <c r="LN256" s="229"/>
      <c r="LO256" s="229"/>
      <c r="LP256" s="229"/>
      <c r="LQ256" s="229"/>
      <c r="LR256" s="229"/>
      <c r="LS256" s="229"/>
      <c r="LT256" s="229"/>
      <c r="LU256" s="229"/>
      <c r="LV256" s="229"/>
      <c r="LW256" s="229"/>
      <c r="LX256" s="229"/>
      <c r="LY256" s="229"/>
      <c r="LZ256" s="229"/>
      <c r="MA256" s="229"/>
      <c r="MB256" s="229"/>
      <c r="MC256" s="229"/>
      <c r="MD256" s="229"/>
      <c r="ME256" s="229"/>
      <c r="MF256" s="229"/>
      <c r="MG256" s="229"/>
      <c r="MH256" s="229"/>
      <c r="MI256" s="229"/>
      <c r="MJ256" s="229"/>
      <c r="MK256" s="229"/>
      <c r="ML256" s="229"/>
      <c r="MM256" s="229"/>
      <c r="MN256" s="229"/>
      <c r="MO256" s="229"/>
      <c r="MP256" s="229"/>
      <c r="MQ256" s="229"/>
      <c r="MR256" s="229"/>
      <c r="MS256" s="229"/>
      <c r="OD256" s="290"/>
      <c r="OE256" s="291"/>
      <c r="OF256" s="291"/>
      <c r="OG256" s="291"/>
      <c r="OH256" s="291"/>
      <c r="OI256" s="291"/>
      <c r="OJ256" s="291"/>
      <c r="OK256" s="291"/>
      <c r="OL256" s="291"/>
      <c r="OM256" s="291"/>
      <c r="ON256" s="291"/>
      <c r="OO256" s="291"/>
      <c r="OP256" s="291"/>
      <c r="OQ256" s="291"/>
      <c r="OR256" s="291"/>
      <c r="OS256" s="291"/>
      <c r="OT256" s="291"/>
      <c r="OU256" s="291"/>
      <c r="OV256" s="291"/>
      <c r="OW256" s="291"/>
      <c r="OX256" s="291"/>
      <c r="OY256" s="291"/>
      <c r="OZ256" s="291"/>
      <c r="PA256" s="291"/>
      <c r="PB256" s="291"/>
      <c r="PC256" s="291"/>
      <c r="PD256" s="291"/>
      <c r="PE256" s="291"/>
      <c r="PF256" s="291"/>
      <c r="PG256" s="291"/>
      <c r="PH256" s="291"/>
      <c r="PI256" s="291"/>
      <c r="PJ256" s="291"/>
      <c r="PK256" s="291"/>
      <c r="PL256" s="291"/>
      <c r="PM256" s="291"/>
      <c r="PN256" s="291"/>
      <c r="PO256" s="291"/>
      <c r="PP256" s="291"/>
      <c r="PQ256" s="291"/>
      <c r="PR256" s="291"/>
      <c r="PS256" s="291"/>
      <c r="PT256" s="291"/>
      <c r="PU256" s="291"/>
      <c r="PV256" s="291"/>
      <c r="PW256" s="291"/>
      <c r="PX256" s="291"/>
      <c r="PY256" s="291"/>
      <c r="PZ256" s="291"/>
      <c r="QA256" s="292"/>
      <c r="QB256" s="299"/>
      <c r="QC256" s="300"/>
      <c r="QD256" s="300"/>
      <c r="QE256" s="300"/>
      <c r="QF256" s="300"/>
      <c r="QG256" s="300"/>
      <c r="QH256" s="300"/>
      <c r="QI256" s="300"/>
      <c r="QJ256" s="300"/>
      <c r="QK256" s="300"/>
      <c r="QL256" s="300"/>
      <c r="QM256" s="301"/>
      <c r="QQ256" s="230"/>
      <c r="QR256" s="231"/>
    </row>
    <row r="257" spans="3:460" ht="5.0999999999999996" customHeight="1" x14ac:dyDescent="0.25">
      <c r="C257" s="226"/>
      <c r="D257" s="227"/>
      <c r="F257" s="280"/>
      <c r="G257" s="281"/>
      <c r="H257" s="281"/>
      <c r="I257" s="281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  <c r="AB257" s="281"/>
      <c r="AC257" s="281"/>
      <c r="AD257" s="281"/>
      <c r="AE257" s="281"/>
      <c r="AF257" s="281"/>
      <c r="AG257" s="282"/>
      <c r="AH257" s="280"/>
      <c r="AI257" s="281"/>
      <c r="AJ257" s="281"/>
      <c r="AK257" s="281"/>
      <c r="AL257" s="281"/>
      <c r="AM257" s="281"/>
      <c r="AN257" s="281"/>
      <c r="AO257" s="281"/>
      <c r="AP257" s="281"/>
      <c r="AQ257" s="281"/>
      <c r="AR257" s="281"/>
      <c r="AS257" s="281"/>
      <c r="AT257" s="281"/>
      <c r="AU257" s="281"/>
      <c r="AV257" s="281"/>
      <c r="AW257" s="281"/>
      <c r="AX257" s="281"/>
      <c r="AY257" s="281"/>
      <c r="AZ257" s="281"/>
      <c r="BA257" s="281"/>
      <c r="BB257" s="281"/>
      <c r="BC257" s="281"/>
      <c r="BD257" s="281"/>
      <c r="BE257" s="281"/>
      <c r="BF257" s="281"/>
      <c r="BG257" s="281"/>
      <c r="BH257" s="281"/>
      <c r="BI257" s="282"/>
      <c r="BJ257" s="280"/>
      <c r="BK257" s="281"/>
      <c r="BL257" s="281"/>
      <c r="BM257" s="281"/>
      <c r="BN257" s="281"/>
      <c r="BO257" s="281"/>
      <c r="BP257" s="281"/>
      <c r="BQ257" s="281"/>
      <c r="BR257" s="281"/>
      <c r="BS257" s="281"/>
      <c r="BT257" s="281"/>
      <c r="BU257" s="281"/>
      <c r="BV257" s="281"/>
      <c r="BW257" s="281"/>
      <c r="BX257" s="281"/>
      <c r="BY257" s="281"/>
      <c r="BZ257" s="281"/>
      <c r="CA257" s="281"/>
      <c r="CB257" s="281"/>
      <c r="CC257" s="281"/>
      <c r="CD257" s="281"/>
      <c r="CE257" s="281"/>
      <c r="CF257" s="281"/>
      <c r="CG257" s="281"/>
      <c r="CH257" s="281"/>
      <c r="CI257" s="281"/>
      <c r="CJ257" s="281"/>
      <c r="CK257" s="282"/>
      <c r="GR257" s="286"/>
      <c r="GS257" s="286"/>
      <c r="GT257" s="286"/>
      <c r="GU257" s="286"/>
      <c r="GV257" s="286"/>
      <c r="GW257" s="286"/>
      <c r="GX257" s="286"/>
      <c r="GY257" s="286"/>
      <c r="GZ257" s="286"/>
      <c r="HA257" s="286"/>
      <c r="HB257" s="286"/>
      <c r="HC257" s="286"/>
      <c r="HD257" s="286"/>
      <c r="HE257" s="286"/>
      <c r="HF257" s="286"/>
      <c r="HG257" s="286"/>
      <c r="HH257" s="286"/>
      <c r="HI257" s="286"/>
      <c r="HJ257" s="286"/>
      <c r="HK257" s="286"/>
      <c r="HL257" s="286"/>
      <c r="HM257" s="286"/>
      <c r="HN257" s="286"/>
      <c r="HO257" s="286"/>
      <c r="HP257" s="286"/>
      <c r="HQ257" s="286"/>
      <c r="HR257" s="286"/>
      <c r="HS257" s="286"/>
      <c r="HT257" s="286"/>
      <c r="HU257" s="286"/>
      <c r="HV257" s="286"/>
      <c r="HW257" s="286"/>
      <c r="HX257" s="286"/>
      <c r="HY257" s="286"/>
      <c r="HZ257" s="286"/>
      <c r="IA257" s="286"/>
      <c r="IB257" s="286"/>
      <c r="IC257" s="286"/>
      <c r="ID257" s="286"/>
      <c r="IE257" s="286"/>
      <c r="IF257" s="286"/>
      <c r="IG257" s="286"/>
      <c r="IH257" s="286"/>
      <c r="II257" s="286"/>
      <c r="IJ257" s="286"/>
      <c r="IK257" s="286"/>
      <c r="IL257" s="286"/>
      <c r="IM257" s="286"/>
      <c r="IN257" s="243"/>
      <c r="IO257" s="243"/>
      <c r="IP257" s="243"/>
      <c r="IQ257" s="243"/>
      <c r="IR257" s="243"/>
      <c r="IS257" s="243"/>
      <c r="IT257" s="305"/>
      <c r="IU257" s="305"/>
      <c r="IV257" s="305"/>
      <c r="IW257" s="305"/>
      <c r="IX257" s="305"/>
      <c r="IY257" s="305"/>
      <c r="IZ257" s="305"/>
      <c r="JA257" s="305"/>
      <c r="JB257" s="305"/>
      <c r="JC257" s="305"/>
      <c r="JD257" s="305"/>
      <c r="JE257" s="305"/>
      <c r="JF257" s="305"/>
      <c r="JG257" s="305"/>
      <c r="JH257" s="305"/>
      <c r="JI257" s="305"/>
      <c r="JJ257" s="305"/>
      <c r="JK257" s="305"/>
      <c r="JL257" s="305"/>
      <c r="JM257" s="305"/>
      <c r="JN257" s="305"/>
      <c r="JO257" s="305"/>
      <c r="JP257" s="305"/>
      <c r="JQ257" s="305"/>
      <c r="JR257" s="305"/>
      <c r="JS257" s="305"/>
      <c r="JT257" s="305"/>
      <c r="JU257" s="305"/>
      <c r="JV257" s="305"/>
      <c r="JW257" s="305"/>
      <c r="JX257" s="305"/>
      <c r="JY257" s="305"/>
      <c r="JZ257" s="305"/>
      <c r="KA257" s="305"/>
      <c r="KB257" s="305"/>
      <c r="KC257" s="305"/>
      <c r="KD257" s="305"/>
      <c r="KE257" s="305"/>
      <c r="KF257" s="305"/>
      <c r="KG257" s="305"/>
      <c r="KH257" s="305"/>
      <c r="KI257" s="305"/>
      <c r="KJ257" s="305"/>
      <c r="KK257" s="305"/>
      <c r="KL257" s="305"/>
      <c r="KM257" s="305"/>
      <c r="KN257" s="305"/>
      <c r="KO257" s="305"/>
      <c r="KP257" s="229"/>
      <c r="KQ257" s="229"/>
      <c r="KR257" s="229"/>
      <c r="KS257" s="229"/>
      <c r="KT257" s="229"/>
      <c r="KU257" s="229"/>
      <c r="KV257" s="229"/>
      <c r="KW257" s="229"/>
      <c r="KX257" s="229"/>
      <c r="KY257" s="229"/>
      <c r="KZ257" s="229"/>
      <c r="LA257" s="229"/>
      <c r="LB257" s="229"/>
      <c r="LC257" s="229"/>
      <c r="LD257" s="229"/>
      <c r="LE257" s="229"/>
      <c r="LF257" s="229"/>
      <c r="LG257" s="229"/>
      <c r="LH257" s="229"/>
      <c r="LI257" s="229"/>
      <c r="LJ257" s="229"/>
      <c r="LK257" s="229"/>
      <c r="LL257" s="229"/>
      <c r="LM257" s="229"/>
      <c r="LN257" s="229"/>
      <c r="LO257" s="229"/>
      <c r="LP257" s="229"/>
      <c r="LQ257" s="229"/>
      <c r="LR257" s="229"/>
      <c r="LS257" s="229"/>
      <c r="LT257" s="229"/>
      <c r="LU257" s="229"/>
      <c r="LV257" s="229"/>
      <c r="LW257" s="229"/>
      <c r="LX257" s="229"/>
      <c r="LY257" s="229"/>
      <c r="LZ257" s="229"/>
      <c r="MA257" s="229"/>
      <c r="MB257" s="229"/>
      <c r="MC257" s="229"/>
      <c r="MD257" s="229"/>
      <c r="ME257" s="229"/>
      <c r="MF257" s="229"/>
      <c r="MG257" s="229"/>
      <c r="MH257" s="229"/>
      <c r="MI257" s="229"/>
      <c r="MJ257" s="229"/>
      <c r="MK257" s="229"/>
      <c r="ML257" s="229"/>
      <c r="MM257" s="229"/>
      <c r="MN257" s="229"/>
      <c r="MO257" s="229"/>
      <c r="MP257" s="229"/>
      <c r="MQ257" s="229"/>
      <c r="MR257" s="229"/>
      <c r="MS257" s="229"/>
      <c r="OD257" s="290"/>
      <c r="OE257" s="291"/>
      <c r="OF257" s="291"/>
      <c r="OG257" s="291"/>
      <c r="OH257" s="291"/>
      <c r="OI257" s="291"/>
      <c r="OJ257" s="291"/>
      <c r="OK257" s="291"/>
      <c r="OL257" s="291"/>
      <c r="OM257" s="291"/>
      <c r="ON257" s="291"/>
      <c r="OO257" s="291"/>
      <c r="OP257" s="291"/>
      <c r="OQ257" s="291"/>
      <c r="OR257" s="291"/>
      <c r="OS257" s="291"/>
      <c r="OT257" s="291"/>
      <c r="OU257" s="291"/>
      <c r="OV257" s="291"/>
      <c r="OW257" s="291"/>
      <c r="OX257" s="291"/>
      <c r="OY257" s="291"/>
      <c r="OZ257" s="291"/>
      <c r="PA257" s="291"/>
      <c r="PB257" s="291"/>
      <c r="PC257" s="291"/>
      <c r="PD257" s="291"/>
      <c r="PE257" s="291"/>
      <c r="PF257" s="291"/>
      <c r="PG257" s="291"/>
      <c r="PH257" s="291"/>
      <c r="PI257" s="291"/>
      <c r="PJ257" s="291"/>
      <c r="PK257" s="291"/>
      <c r="PL257" s="291"/>
      <c r="PM257" s="291"/>
      <c r="PN257" s="291"/>
      <c r="PO257" s="291"/>
      <c r="PP257" s="291"/>
      <c r="PQ257" s="291"/>
      <c r="PR257" s="291"/>
      <c r="PS257" s="291"/>
      <c r="PT257" s="291"/>
      <c r="PU257" s="291"/>
      <c r="PV257" s="291"/>
      <c r="PW257" s="291"/>
      <c r="PX257" s="291"/>
      <c r="PY257" s="291"/>
      <c r="PZ257" s="291"/>
      <c r="QA257" s="292"/>
      <c r="QB257" s="299"/>
      <c r="QC257" s="300"/>
      <c r="QD257" s="300"/>
      <c r="QE257" s="300"/>
      <c r="QF257" s="300"/>
      <c r="QG257" s="300"/>
      <c r="QH257" s="300"/>
      <c r="QI257" s="300"/>
      <c r="QJ257" s="300"/>
      <c r="QK257" s="300"/>
      <c r="QL257" s="300"/>
      <c r="QM257" s="301"/>
      <c r="QQ257" s="230"/>
      <c r="QR257" s="231"/>
    </row>
    <row r="258" spans="3:460" ht="5.0999999999999996" customHeight="1" x14ac:dyDescent="0.25">
      <c r="C258" s="226"/>
      <c r="D258" s="227"/>
      <c r="F258" s="280"/>
      <c r="G258" s="281"/>
      <c r="H258" s="281"/>
      <c r="I258" s="281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  <c r="AB258" s="281"/>
      <c r="AC258" s="281"/>
      <c r="AD258" s="281"/>
      <c r="AE258" s="281"/>
      <c r="AF258" s="281"/>
      <c r="AG258" s="282"/>
      <c r="AH258" s="280"/>
      <c r="AI258" s="281"/>
      <c r="AJ258" s="281"/>
      <c r="AK258" s="281"/>
      <c r="AL258" s="281"/>
      <c r="AM258" s="281"/>
      <c r="AN258" s="281"/>
      <c r="AO258" s="281"/>
      <c r="AP258" s="281"/>
      <c r="AQ258" s="281"/>
      <c r="AR258" s="281"/>
      <c r="AS258" s="281"/>
      <c r="AT258" s="281"/>
      <c r="AU258" s="281"/>
      <c r="AV258" s="281"/>
      <c r="AW258" s="281"/>
      <c r="AX258" s="281"/>
      <c r="AY258" s="281"/>
      <c r="AZ258" s="281"/>
      <c r="BA258" s="281"/>
      <c r="BB258" s="281"/>
      <c r="BC258" s="281"/>
      <c r="BD258" s="281"/>
      <c r="BE258" s="281"/>
      <c r="BF258" s="281"/>
      <c r="BG258" s="281"/>
      <c r="BH258" s="281"/>
      <c r="BI258" s="282"/>
      <c r="BJ258" s="280"/>
      <c r="BK258" s="281"/>
      <c r="BL258" s="281"/>
      <c r="BM258" s="281"/>
      <c r="BN258" s="281"/>
      <c r="BO258" s="281"/>
      <c r="BP258" s="281"/>
      <c r="BQ258" s="281"/>
      <c r="BR258" s="281"/>
      <c r="BS258" s="281"/>
      <c r="BT258" s="281"/>
      <c r="BU258" s="281"/>
      <c r="BV258" s="281"/>
      <c r="BW258" s="281"/>
      <c r="BX258" s="281"/>
      <c r="BY258" s="281"/>
      <c r="BZ258" s="281"/>
      <c r="CA258" s="281"/>
      <c r="CB258" s="281"/>
      <c r="CC258" s="281"/>
      <c r="CD258" s="281"/>
      <c r="CE258" s="281"/>
      <c r="CF258" s="281"/>
      <c r="CG258" s="281"/>
      <c r="CH258" s="281"/>
      <c r="CI258" s="281"/>
      <c r="CJ258" s="281"/>
      <c r="CK258" s="282"/>
      <c r="GR258" s="286"/>
      <c r="GS258" s="286"/>
      <c r="GT258" s="286"/>
      <c r="GU258" s="286"/>
      <c r="GV258" s="286"/>
      <c r="GW258" s="286"/>
      <c r="GX258" s="286"/>
      <c r="GY258" s="286"/>
      <c r="GZ258" s="286"/>
      <c r="HA258" s="286"/>
      <c r="HB258" s="286"/>
      <c r="HC258" s="286"/>
      <c r="HD258" s="286"/>
      <c r="HE258" s="286"/>
      <c r="HF258" s="286"/>
      <c r="HG258" s="286"/>
      <c r="HH258" s="286"/>
      <c r="HI258" s="286"/>
      <c r="HJ258" s="286"/>
      <c r="HK258" s="286"/>
      <c r="HL258" s="286"/>
      <c r="HM258" s="286"/>
      <c r="HN258" s="286"/>
      <c r="HO258" s="286"/>
      <c r="HP258" s="286"/>
      <c r="HQ258" s="286"/>
      <c r="HR258" s="286"/>
      <c r="HS258" s="286"/>
      <c r="HT258" s="286"/>
      <c r="HU258" s="286"/>
      <c r="HV258" s="286"/>
      <c r="HW258" s="286"/>
      <c r="HX258" s="286"/>
      <c r="HY258" s="286"/>
      <c r="HZ258" s="286"/>
      <c r="IA258" s="286"/>
      <c r="IB258" s="286"/>
      <c r="IC258" s="286"/>
      <c r="ID258" s="286"/>
      <c r="IE258" s="286"/>
      <c r="IF258" s="286"/>
      <c r="IG258" s="286"/>
      <c r="IH258" s="286"/>
      <c r="II258" s="286"/>
      <c r="IJ258" s="286"/>
      <c r="IK258" s="286"/>
      <c r="IL258" s="286"/>
      <c r="IM258" s="286"/>
      <c r="IN258" s="243"/>
      <c r="IO258" s="243"/>
      <c r="IP258" s="243"/>
      <c r="IQ258" s="243"/>
      <c r="IR258" s="243"/>
      <c r="IS258" s="243"/>
      <c r="IT258" s="305"/>
      <c r="IU258" s="305"/>
      <c r="IV258" s="305"/>
      <c r="IW258" s="305"/>
      <c r="IX258" s="305"/>
      <c r="IY258" s="305"/>
      <c r="IZ258" s="305"/>
      <c r="JA258" s="305"/>
      <c r="JB258" s="305"/>
      <c r="JC258" s="305"/>
      <c r="JD258" s="305"/>
      <c r="JE258" s="305"/>
      <c r="JF258" s="305"/>
      <c r="JG258" s="305"/>
      <c r="JH258" s="305"/>
      <c r="JI258" s="305"/>
      <c r="JJ258" s="305"/>
      <c r="JK258" s="305"/>
      <c r="JL258" s="305"/>
      <c r="JM258" s="305"/>
      <c r="JN258" s="305"/>
      <c r="JO258" s="305"/>
      <c r="JP258" s="305"/>
      <c r="JQ258" s="305"/>
      <c r="JR258" s="305"/>
      <c r="JS258" s="305"/>
      <c r="JT258" s="305"/>
      <c r="JU258" s="305"/>
      <c r="JV258" s="305"/>
      <c r="JW258" s="305"/>
      <c r="JX258" s="305"/>
      <c r="JY258" s="305"/>
      <c r="JZ258" s="305"/>
      <c r="KA258" s="305"/>
      <c r="KB258" s="305"/>
      <c r="KC258" s="305"/>
      <c r="KD258" s="305"/>
      <c r="KE258" s="305"/>
      <c r="KF258" s="305"/>
      <c r="KG258" s="305"/>
      <c r="KH258" s="305"/>
      <c r="KI258" s="305"/>
      <c r="KJ258" s="305"/>
      <c r="KK258" s="305"/>
      <c r="KL258" s="305"/>
      <c r="KM258" s="305"/>
      <c r="KN258" s="305"/>
      <c r="KO258" s="305"/>
      <c r="KP258" s="229"/>
      <c r="KQ258" s="229"/>
      <c r="KR258" s="229"/>
      <c r="KS258" s="229"/>
      <c r="KT258" s="229"/>
      <c r="KU258" s="229"/>
      <c r="KV258" s="229"/>
      <c r="KW258" s="229"/>
      <c r="KX258" s="229"/>
      <c r="KY258" s="229"/>
      <c r="KZ258" s="229"/>
      <c r="LA258" s="229"/>
      <c r="LB258" s="229"/>
      <c r="LC258" s="229"/>
      <c r="LD258" s="229"/>
      <c r="LE258" s="229"/>
      <c r="LF258" s="229"/>
      <c r="LG258" s="229"/>
      <c r="LH258" s="229"/>
      <c r="LI258" s="229"/>
      <c r="LJ258" s="229"/>
      <c r="LK258" s="229"/>
      <c r="LL258" s="229"/>
      <c r="LM258" s="229"/>
      <c r="LN258" s="229"/>
      <c r="LO258" s="229"/>
      <c r="LP258" s="229"/>
      <c r="LQ258" s="229"/>
      <c r="LR258" s="229"/>
      <c r="LS258" s="229"/>
      <c r="LT258" s="229"/>
      <c r="LU258" s="229"/>
      <c r="LV258" s="229"/>
      <c r="LW258" s="229"/>
      <c r="LX258" s="229"/>
      <c r="LY258" s="229"/>
      <c r="LZ258" s="229"/>
      <c r="MA258" s="229"/>
      <c r="MB258" s="229"/>
      <c r="MC258" s="229"/>
      <c r="MD258" s="229"/>
      <c r="ME258" s="229"/>
      <c r="MF258" s="229"/>
      <c r="MG258" s="229"/>
      <c r="MH258" s="229"/>
      <c r="MI258" s="229"/>
      <c r="MJ258" s="229"/>
      <c r="MK258" s="229"/>
      <c r="ML258" s="229"/>
      <c r="MM258" s="229"/>
      <c r="MN258" s="229"/>
      <c r="MO258" s="229"/>
      <c r="MP258" s="229"/>
      <c r="MQ258" s="229"/>
      <c r="MR258" s="229"/>
      <c r="MS258" s="229"/>
      <c r="OD258" s="290"/>
      <c r="OE258" s="291"/>
      <c r="OF258" s="291"/>
      <c r="OG258" s="291"/>
      <c r="OH258" s="291"/>
      <c r="OI258" s="291"/>
      <c r="OJ258" s="291"/>
      <c r="OK258" s="291"/>
      <c r="OL258" s="291"/>
      <c r="OM258" s="291"/>
      <c r="ON258" s="291"/>
      <c r="OO258" s="291"/>
      <c r="OP258" s="291"/>
      <c r="OQ258" s="291"/>
      <c r="OR258" s="291"/>
      <c r="OS258" s="291"/>
      <c r="OT258" s="291"/>
      <c r="OU258" s="291"/>
      <c r="OV258" s="291"/>
      <c r="OW258" s="291"/>
      <c r="OX258" s="291"/>
      <c r="OY258" s="291"/>
      <c r="OZ258" s="291"/>
      <c r="PA258" s="291"/>
      <c r="PB258" s="291"/>
      <c r="PC258" s="291"/>
      <c r="PD258" s="291"/>
      <c r="PE258" s="291"/>
      <c r="PF258" s="291"/>
      <c r="PG258" s="291"/>
      <c r="PH258" s="291"/>
      <c r="PI258" s="291"/>
      <c r="PJ258" s="291"/>
      <c r="PK258" s="291"/>
      <c r="PL258" s="291"/>
      <c r="PM258" s="291"/>
      <c r="PN258" s="291"/>
      <c r="PO258" s="291"/>
      <c r="PP258" s="291"/>
      <c r="PQ258" s="291"/>
      <c r="PR258" s="291"/>
      <c r="PS258" s="291"/>
      <c r="PT258" s="291"/>
      <c r="PU258" s="291"/>
      <c r="PV258" s="291"/>
      <c r="PW258" s="291"/>
      <c r="PX258" s="291"/>
      <c r="PY258" s="291"/>
      <c r="PZ258" s="291"/>
      <c r="QA258" s="292"/>
      <c r="QB258" s="299"/>
      <c r="QC258" s="300"/>
      <c r="QD258" s="300"/>
      <c r="QE258" s="300"/>
      <c r="QF258" s="300"/>
      <c r="QG258" s="300"/>
      <c r="QH258" s="300"/>
      <c r="QI258" s="300"/>
      <c r="QJ258" s="300"/>
      <c r="QK258" s="300"/>
      <c r="QL258" s="300"/>
      <c r="QM258" s="301"/>
      <c r="QQ258" s="230"/>
      <c r="QR258" s="231"/>
    </row>
    <row r="259" spans="3:460" ht="5.0999999999999996" customHeight="1" thickBot="1" x14ac:dyDescent="0.3">
      <c r="C259" s="226"/>
      <c r="D259" s="227"/>
      <c r="F259" s="283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  <c r="AF259" s="284"/>
      <c r="AG259" s="285"/>
      <c r="AH259" s="283"/>
      <c r="AI259" s="284"/>
      <c r="AJ259" s="284"/>
      <c r="AK259" s="284"/>
      <c r="AL259" s="284"/>
      <c r="AM259" s="284"/>
      <c r="AN259" s="284"/>
      <c r="AO259" s="284"/>
      <c r="AP259" s="284"/>
      <c r="AQ259" s="284"/>
      <c r="AR259" s="284"/>
      <c r="AS259" s="284"/>
      <c r="AT259" s="284"/>
      <c r="AU259" s="284"/>
      <c r="AV259" s="284"/>
      <c r="AW259" s="284"/>
      <c r="AX259" s="284"/>
      <c r="AY259" s="284"/>
      <c r="AZ259" s="284"/>
      <c r="BA259" s="284"/>
      <c r="BB259" s="284"/>
      <c r="BC259" s="284"/>
      <c r="BD259" s="284"/>
      <c r="BE259" s="284"/>
      <c r="BF259" s="284"/>
      <c r="BG259" s="284"/>
      <c r="BH259" s="284"/>
      <c r="BI259" s="285"/>
      <c r="BJ259" s="283"/>
      <c r="BK259" s="284"/>
      <c r="BL259" s="284"/>
      <c r="BM259" s="284"/>
      <c r="BN259" s="284"/>
      <c r="BO259" s="284"/>
      <c r="BP259" s="284"/>
      <c r="BQ259" s="284"/>
      <c r="BR259" s="284"/>
      <c r="BS259" s="284"/>
      <c r="BT259" s="284"/>
      <c r="BU259" s="284"/>
      <c r="BV259" s="284"/>
      <c r="BW259" s="284"/>
      <c r="BX259" s="284"/>
      <c r="BY259" s="284"/>
      <c r="BZ259" s="284"/>
      <c r="CA259" s="284"/>
      <c r="CB259" s="284"/>
      <c r="CC259" s="284"/>
      <c r="CD259" s="284"/>
      <c r="CE259" s="284"/>
      <c r="CF259" s="284"/>
      <c r="CG259" s="284"/>
      <c r="CH259" s="284"/>
      <c r="CI259" s="284"/>
      <c r="CJ259" s="284"/>
      <c r="CK259" s="285"/>
      <c r="GR259" s="286"/>
      <c r="GS259" s="286"/>
      <c r="GT259" s="286"/>
      <c r="GU259" s="286"/>
      <c r="GV259" s="286"/>
      <c r="GW259" s="286"/>
      <c r="GX259" s="286"/>
      <c r="GY259" s="286"/>
      <c r="GZ259" s="286"/>
      <c r="HA259" s="286"/>
      <c r="HB259" s="286"/>
      <c r="HC259" s="286"/>
      <c r="HD259" s="286"/>
      <c r="HE259" s="286"/>
      <c r="HF259" s="286"/>
      <c r="HG259" s="286"/>
      <c r="HH259" s="286"/>
      <c r="HI259" s="286"/>
      <c r="HJ259" s="286"/>
      <c r="HK259" s="286"/>
      <c r="HL259" s="286"/>
      <c r="HM259" s="286"/>
      <c r="HN259" s="286"/>
      <c r="HO259" s="286"/>
      <c r="HP259" s="286"/>
      <c r="HQ259" s="286"/>
      <c r="HR259" s="286"/>
      <c r="HS259" s="286"/>
      <c r="HT259" s="286"/>
      <c r="HU259" s="286"/>
      <c r="HV259" s="286"/>
      <c r="HW259" s="286"/>
      <c r="HX259" s="286"/>
      <c r="HY259" s="286"/>
      <c r="HZ259" s="286"/>
      <c r="IA259" s="286"/>
      <c r="IB259" s="286"/>
      <c r="IC259" s="286"/>
      <c r="ID259" s="286"/>
      <c r="IE259" s="286"/>
      <c r="IF259" s="286"/>
      <c r="IG259" s="286"/>
      <c r="IH259" s="286"/>
      <c r="II259" s="286"/>
      <c r="IJ259" s="286"/>
      <c r="IK259" s="286"/>
      <c r="IL259" s="286"/>
      <c r="IM259" s="286"/>
      <c r="IN259" s="243"/>
      <c r="IO259" s="243"/>
      <c r="IP259" s="243"/>
      <c r="IQ259" s="243"/>
      <c r="IR259" s="243"/>
      <c r="IS259" s="243"/>
      <c r="IT259" s="305"/>
      <c r="IU259" s="305"/>
      <c r="IV259" s="305"/>
      <c r="IW259" s="305"/>
      <c r="IX259" s="305"/>
      <c r="IY259" s="305"/>
      <c r="IZ259" s="305"/>
      <c r="JA259" s="305"/>
      <c r="JB259" s="305"/>
      <c r="JC259" s="305"/>
      <c r="JD259" s="305"/>
      <c r="JE259" s="305"/>
      <c r="JF259" s="305"/>
      <c r="JG259" s="305"/>
      <c r="JH259" s="305"/>
      <c r="JI259" s="305"/>
      <c r="JJ259" s="305"/>
      <c r="JK259" s="305"/>
      <c r="JL259" s="305"/>
      <c r="JM259" s="305"/>
      <c r="JN259" s="305"/>
      <c r="JO259" s="305"/>
      <c r="JP259" s="305"/>
      <c r="JQ259" s="305"/>
      <c r="JR259" s="305"/>
      <c r="JS259" s="305"/>
      <c r="JT259" s="305"/>
      <c r="JU259" s="305"/>
      <c r="JV259" s="305"/>
      <c r="JW259" s="305"/>
      <c r="JX259" s="305"/>
      <c r="JY259" s="305"/>
      <c r="JZ259" s="305"/>
      <c r="KA259" s="305"/>
      <c r="KB259" s="305"/>
      <c r="KC259" s="305"/>
      <c r="KD259" s="305"/>
      <c r="KE259" s="305"/>
      <c r="KF259" s="305"/>
      <c r="KG259" s="305"/>
      <c r="KH259" s="305"/>
      <c r="KI259" s="305"/>
      <c r="KJ259" s="305"/>
      <c r="KK259" s="305"/>
      <c r="KL259" s="305"/>
      <c r="KM259" s="305"/>
      <c r="KN259" s="305"/>
      <c r="KO259" s="305"/>
      <c r="KP259" s="229"/>
      <c r="KQ259" s="229"/>
      <c r="KR259" s="229"/>
      <c r="KS259" s="229"/>
      <c r="KT259" s="229"/>
      <c r="KU259" s="229"/>
      <c r="KV259" s="229"/>
      <c r="KW259" s="229"/>
      <c r="KX259" s="229"/>
      <c r="KY259" s="229"/>
      <c r="KZ259" s="229"/>
      <c r="LA259" s="229"/>
      <c r="LB259" s="229"/>
      <c r="LC259" s="229"/>
      <c r="LD259" s="229"/>
      <c r="LE259" s="229"/>
      <c r="LF259" s="229"/>
      <c r="LG259" s="229"/>
      <c r="LH259" s="229"/>
      <c r="LI259" s="229"/>
      <c r="LJ259" s="229"/>
      <c r="LK259" s="229"/>
      <c r="LL259" s="229"/>
      <c r="LM259" s="229"/>
      <c r="LN259" s="229"/>
      <c r="LO259" s="229"/>
      <c r="LP259" s="229"/>
      <c r="LQ259" s="229"/>
      <c r="LR259" s="229"/>
      <c r="LS259" s="229"/>
      <c r="LT259" s="229"/>
      <c r="LU259" s="229"/>
      <c r="LV259" s="229"/>
      <c r="LW259" s="229"/>
      <c r="LX259" s="229"/>
      <c r="LY259" s="229"/>
      <c r="LZ259" s="229"/>
      <c r="MA259" s="229"/>
      <c r="MB259" s="229"/>
      <c r="MC259" s="229"/>
      <c r="MD259" s="229"/>
      <c r="ME259" s="229"/>
      <c r="MF259" s="229"/>
      <c r="MG259" s="229"/>
      <c r="MH259" s="229"/>
      <c r="MI259" s="229"/>
      <c r="MJ259" s="229"/>
      <c r="MK259" s="229"/>
      <c r="ML259" s="229"/>
      <c r="MM259" s="229"/>
      <c r="MN259" s="229"/>
      <c r="MO259" s="229"/>
      <c r="MP259" s="229"/>
      <c r="MQ259" s="229"/>
      <c r="MR259" s="229"/>
      <c r="MS259" s="229"/>
      <c r="OD259" s="290"/>
      <c r="OE259" s="291"/>
      <c r="OF259" s="291"/>
      <c r="OG259" s="291"/>
      <c r="OH259" s="291"/>
      <c r="OI259" s="291"/>
      <c r="OJ259" s="291"/>
      <c r="OK259" s="291"/>
      <c r="OL259" s="291"/>
      <c r="OM259" s="291"/>
      <c r="ON259" s="291"/>
      <c r="OO259" s="291"/>
      <c r="OP259" s="291"/>
      <c r="OQ259" s="291"/>
      <c r="OR259" s="291"/>
      <c r="OS259" s="291"/>
      <c r="OT259" s="291"/>
      <c r="OU259" s="291"/>
      <c r="OV259" s="291"/>
      <c r="OW259" s="291"/>
      <c r="OX259" s="291"/>
      <c r="OY259" s="291"/>
      <c r="OZ259" s="291"/>
      <c r="PA259" s="291"/>
      <c r="PB259" s="291"/>
      <c r="PC259" s="291"/>
      <c r="PD259" s="291"/>
      <c r="PE259" s="291"/>
      <c r="PF259" s="291"/>
      <c r="PG259" s="291"/>
      <c r="PH259" s="291"/>
      <c r="PI259" s="291"/>
      <c r="PJ259" s="291"/>
      <c r="PK259" s="291"/>
      <c r="PL259" s="291"/>
      <c r="PM259" s="291"/>
      <c r="PN259" s="291"/>
      <c r="PO259" s="291"/>
      <c r="PP259" s="291"/>
      <c r="PQ259" s="291"/>
      <c r="PR259" s="291"/>
      <c r="PS259" s="291"/>
      <c r="PT259" s="291"/>
      <c r="PU259" s="291"/>
      <c r="PV259" s="291"/>
      <c r="PW259" s="291"/>
      <c r="PX259" s="291"/>
      <c r="PY259" s="291"/>
      <c r="PZ259" s="291"/>
      <c r="QA259" s="292"/>
      <c r="QB259" s="299"/>
      <c r="QC259" s="300"/>
      <c r="QD259" s="300"/>
      <c r="QE259" s="300"/>
      <c r="QF259" s="300"/>
      <c r="QG259" s="300"/>
      <c r="QH259" s="300"/>
      <c r="QI259" s="300"/>
      <c r="QJ259" s="300"/>
      <c r="QK259" s="300"/>
      <c r="QL259" s="300"/>
      <c r="QM259" s="301"/>
      <c r="QQ259" s="230"/>
      <c r="QR259" s="231"/>
    </row>
    <row r="260" spans="3:460" ht="5.0999999999999996" customHeight="1" x14ac:dyDescent="0.25">
      <c r="C260" s="226"/>
      <c r="D260" s="227"/>
      <c r="F260" s="277" t="s">
        <v>450</v>
      </c>
      <c r="G260" s="278"/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9"/>
      <c r="AH260" s="277"/>
      <c r="AI260" s="278"/>
      <c r="AJ260" s="278"/>
      <c r="AK260" s="278"/>
      <c r="AL260" s="278"/>
      <c r="AM260" s="278"/>
      <c r="AN260" s="278"/>
      <c r="AO260" s="278"/>
      <c r="AP260" s="278"/>
      <c r="AQ260" s="278"/>
      <c r="AR260" s="278"/>
      <c r="AS260" s="278"/>
      <c r="AT260" s="278"/>
      <c r="AU260" s="278"/>
      <c r="AV260" s="278"/>
      <c r="AW260" s="278"/>
      <c r="AX260" s="278"/>
      <c r="AY260" s="278"/>
      <c r="AZ260" s="278"/>
      <c r="BA260" s="278"/>
      <c r="BB260" s="278"/>
      <c r="BC260" s="278"/>
      <c r="BD260" s="278"/>
      <c r="BE260" s="278"/>
      <c r="BF260" s="278"/>
      <c r="BG260" s="278"/>
      <c r="BH260" s="278"/>
      <c r="BI260" s="279"/>
      <c r="BJ260" s="277" t="s">
        <v>451</v>
      </c>
      <c r="BK260" s="278"/>
      <c r="BL260" s="278"/>
      <c r="BM260" s="278"/>
      <c r="BN260" s="278"/>
      <c r="BO260" s="278"/>
      <c r="BP260" s="278"/>
      <c r="BQ260" s="278"/>
      <c r="BR260" s="278"/>
      <c r="BS260" s="278"/>
      <c r="BT260" s="278"/>
      <c r="BU260" s="278"/>
      <c r="BV260" s="278"/>
      <c r="BW260" s="278"/>
      <c r="BX260" s="278"/>
      <c r="BY260" s="278"/>
      <c r="BZ260" s="278"/>
      <c r="CA260" s="278"/>
      <c r="CB260" s="278"/>
      <c r="CC260" s="278"/>
      <c r="CD260" s="278"/>
      <c r="CE260" s="278"/>
      <c r="CF260" s="278"/>
      <c r="CG260" s="278"/>
      <c r="CH260" s="278"/>
      <c r="CI260" s="278"/>
      <c r="CJ260" s="278"/>
      <c r="CK260" s="279"/>
      <c r="GR260" s="286"/>
      <c r="GS260" s="286"/>
      <c r="GT260" s="286"/>
      <c r="GU260" s="286"/>
      <c r="GV260" s="286"/>
      <c r="GW260" s="286"/>
      <c r="GX260" s="286"/>
      <c r="GY260" s="286"/>
      <c r="GZ260" s="286"/>
      <c r="HA260" s="286"/>
      <c r="HB260" s="286"/>
      <c r="HC260" s="286"/>
      <c r="HD260" s="286"/>
      <c r="HE260" s="286"/>
      <c r="HF260" s="286"/>
      <c r="HG260" s="286"/>
      <c r="HH260" s="286"/>
      <c r="HI260" s="286"/>
      <c r="HJ260" s="286"/>
      <c r="HK260" s="286"/>
      <c r="HL260" s="286"/>
      <c r="HM260" s="286"/>
      <c r="HN260" s="286"/>
      <c r="HO260" s="286"/>
      <c r="HP260" s="286"/>
      <c r="HQ260" s="286"/>
      <c r="HR260" s="286"/>
      <c r="HS260" s="286"/>
      <c r="HT260" s="286"/>
      <c r="HU260" s="286"/>
      <c r="HV260" s="286"/>
      <c r="HW260" s="286"/>
      <c r="HX260" s="286"/>
      <c r="HY260" s="286"/>
      <c r="HZ260" s="286"/>
      <c r="IA260" s="286"/>
      <c r="IB260" s="286"/>
      <c r="IC260" s="286"/>
      <c r="ID260" s="286"/>
      <c r="IE260" s="286"/>
      <c r="IF260" s="286"/>
      <c r="IG260" s="286"/>
      <c r="IH260" s="286"/>
      <c r="II260" s="286"/>
      <c r="IJ260" s="286"/>
      <c r="IK260" s="286"/>
      <c r="IL260" s="286"/>
      <c r="IM260" s="286"/>
      <c r="IN260" s="243"/>
      <c r="IO260" s="243"/>
      <c r="IP260" s="243"/>
      <c r="IQ260" s="243"/>
      <c r="IR260" s="243"/>
      <c r="IS260" s="243"/>
      <c r="IT260" s="243"/>
      <c r="IU260" s="243"/>
      <c r="IV260" s="243"/>
      <c r="IW260" s="243"/>
      <c r="IX260" s="243"/>
      <c r="IY260" s="243"/>
      <c r="IZ260" s="243"/>
      <c r="JA260" s="243"/>
      <c r="JB260" s="243"/>
      <c r="JC260" s="243"/>
      <c r="JD260" s="243"/>
      <c r="JE260" s="243"/>
      <c r="JF260" s="243"/>
      <c r="JG260" s="243"/>
      <c r="JH260" s="243"/>
      <c r="JI260" s="243"/>
      <c r="JJ260" s="243"/>
      <c r="JK260" s="243"/>
      <c r="JL260" s="243"/>
      <c r="JM260" s="243"/>
      <c r="JN260" s="243"/>
      <c r="JO260" s="243"/>
      <c r="JP260" s="243"/>
      <c r="JQ260" s="243"/>
      <c r="JR260" s="243"/>
      <c r="JS260" s="243"/>
      <c r="JT260" s="243"/>
      <c r="JU260" s="243"/>
      <c r="JV260" s="243"/>
      <c r="JW260" s="243"/>
      <c r="JX260" s="243"/>
      <c r="JY260" s="243"/>
      <c r="JZ260" s="243"/>
      <c r="KA260" s="243"/>
      <c r="KB260" s="243"/>
      <c r="KC260" s="243"/>
      <c r="KD260" s="243"/>
      <c r="KE260" s="243"/>
      <c r="KF260" s="243"/>
      <c r="KG260" s="243"/>
      <c r="KH260" s="243"/>
      <c r="KI260" s="243"/>
      <c r="KJ260" s="243"/>
      <c r="KK260" s="243"/>
      <c r="KL260" s="243"/>
      <c r="KM260" s="243"/>
      <c r="KN260" s="243"/>
      <c r="KO260" s="243"/>
      <c r="KP260" s="229"/>
      <c r="KQ260" s="229"/>
      <c r="KR260" s="229"/>
      <c r="KS260" s="229"/>
      <c r="KT260" s="229"/>
      <c r="KU260" s="229"/>
      <c r="KV260" s="229"/>
      <c r="KW260" s="229"/>
      <c r="KX260" s="229"/>
      <c r="KY260" s="229"/>
      <c r="KZ260" s="229"/>
      <c r="LA260" s="229"/>
      <c r="LB260" s="229"/>
      <c r="LC260" s="229"/>
      <c r="LD260" s="229"/>
      <c r="LE260" s="229"/>
      <c r="LF260" s="229"/>
      <c r="LG260" s="229"/>
      <c r="LH260" s="229"/>
      <c r="LI260" s="229"/>
      <c r="LJ260" s="229"/>
      <c r="LK260" s="229"/>
      <c r="LL260" s="229"/>
      <c r="LM260" s="229"/>
      <c r="LN260" s="229"/>
      <c r="LO260" s="229"/>
      <c r="LP260" s="229"/>
      <c r="LQ260" s="229"/>
      <c r="LR260" s="229"/>
      <c r="LS260" s="229"/>
      <c r="LT260" s="229"/>
      <c r="LU260" s="229"/>
      <c r="LV260" s="229"/>
      <c r="LW260" s="229"/>
      <c r="LX260" s="229"/>
      <c r="LY260" s="229"/>
      <c r="LZ260" s="229"/>
      <c r="MA260" s="229"/>
      <c r="MB260" s="229"/>
      <c r="MC260" s="229"/>
      <c r="MD260" s="229"/>
      <c r="ME260" s="229"/>
      <c r="MF260" s="229"/>
      <c r="MG260" s="229"/>
      <c r="MH260" s="229"/>
      <c r="MI260" s="229"/>
      <c r="MJ260" s="229"/>
      <c r="MK260" s="229"/>
      <c r="ML260" s="229"/>
      <c r="MM260" s="229"/>
      <c r="MN260" s="229"/>
      <c r="MO260" s="229"/>
      <c r="MP260" s="229"/>
      <c r="MQ260" s="229"/>
      <c r="MR260" s="229"/>
      <c r="MS260" s="229"/>
      <c r="OD260" s="290"/>
      <c r="OE260" s="291"/>
      <c r="OF260" s="291"/>
      <c r="OG260" s="291"/>
      <c r="OH260" s="291"/>
      <c r="OI260" s="291"/>
      <c r="OJ260" s="291"/>
      <c r="OK260" s="291"/>
      <c r="OL260" s="291"/>
      <c r="OM260" s="291"/>
      <c r="ON260" s="291"/>
      <c r="OO260" s="291"/>
      <c r="OP260" s="291"/>
      <c r="OQ260" s="291"/>
      <c r="OR260" s="291"/>
      <c r="OS260" s="291"/>
      <c r="OT260" s="291"/>
      <c r="OU260" s="291"/>
      <c r="OV260" s="291"/>
      <c r="OW260" s="291"/>
      <c r="OX260" s="291"/>
      <c r="OY260" s="291"/>
      <c r="OZ260" s="291"/>
      <c r="PA260" s="291"/>
      <c r="PB260" s="291"/>
      <c r="PC260" s="291"/>
      <c r="PD260" s="291"/>
      <c r="PE260" s="291"/>
      <c r="PF260" s="291"/>
      <c r="PG260" s="291"/>
      <c r="PH260" s="291"/>
      <c r="PI260" s="291"/>
      <c r="PJ260" s="291"/>
      <c r="PK260" s="291"/>
      <c r="PL260" s="291"/>
      <c r="PM260" s="291"/>
      <c r="PN260" s="291"/>
      <c r="PO260" s="291"/>
      <c r="PP260" s="291"/>
      <c r="PQ260" s="291"/>
      <c r="PR260" s="291"/>
      <c r="PS260" s="291"/>
      <c r="PT260" s="291"/>
      <c r="PU260" s="291"/>
      <c r="PV260" s="291"/>
      <c r="PW260" s="291"/>
      <c r="PX260" s="291"/>
      <c r="PY260" s="291"/>
      <c r="PZ260" s="291"/>
      <c r="QA260" s="292"/>
      <c r="QB260" s="299"/>
      <c r="QC260" s="300"/>
      <c r="QD260" s="300"/>
      <c r="QE260" s="300"/>
      <c r="QF260" s="300"/>
      <c r="QG260" s="300"/>
      <c r="QH260" s="300"/>
      <c r="QI260" s="300"/>
      <c r="QJ260" s="300"/>
      <c r="QK260" s="300"/>
      <c r="QL260" s="300"/>
      <c r="QM260" s="301"/>
      <c r="QQ260" s="230"/>
      <c r="QR260" s="231"/>
    </row>
    <row r="261" spans="3:460" ht="5.0999999999999996" customHeight="1" x14ac:dyDescent="0.25">
      <c r="C261" s="226"/>
      <c r="D261" s="227"/>
      <c r="F261" s="280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  <c r="AB261" s="281"/>
      <c r="AC261" s="281"/>
      <c r="AD261" s="281"/>
      <c r="AE261" s="281"/>
      <c r="AF261" s="281"/>
      <c r="AG261" s="282"/>
      <c r="AH261" s="280"/>
      <c r="AI261" s="281"/>
      <c r="AJ261" s="281"/>
      <c r="AK261" s="281"/>
      <c r="AL261" s="281"/>
      <c r="AM261" s="281"/>
      <c r="AN261" s="281"/>
      <c r="AO261" s="281"/>
      <c r="AP261" s="281"/>
      <c r="AQ261" s="281"/>
      <c r="AR261" s="281"/>
      <c r="AS261" s="281"/>
      <c r="AT261" s="281"/>
      <c r="AU261" s="281"/>
      <c r="AV261" s="281"/>
      <c r="AW261" s="281"/>
      <c r="AX261" s="281"/>
      <c r="AY261" s="281"/>
      <c r="AZ261" s="281"/>
      <c r="BA261" s="281"/>
      <c r="BB261" s="281"/>
      <c r="BC261" s="281"/>
      <c r="BD261" s="281"/>
      <c r="BE261" s="281"/>
      <c r="BF261" s="281"/>
      <c r="BG261" s="281"/>
      <c r="BH261" s="281"/>
      <c r="BI261" s="282"/>
      <c r="BJ261" s="280"/>
      <c r="BK261" s="281"/>
      <c r="BL261" s="281"/>
      <c r="BM261" s="281"/>
      <c r="BN261" s="281"/>
      <c r="BO261" s="281"/>
      <c r="BP261" s="281"/>
      <c r="BQ261" s="281"/>
      <c r="BR261" s="281"/>
      <c r="BS261" s="281"/>
      <c r="BT261" s="281"/>
      <c r="BU261" s="281"/>
      <c r="BV261" s="281"/>
      <c r="BW261" s="281"/>
      <c r="BX261" s="281"/>
      <c r="BY261" s="281"/>
      <c r="BZ261" s="281"/>
      <c r="CA261" s="281"/>
      <c r="CB261" s="281"/>
      <c r="CC261" s="281"/>
      <c r="CD261" s="281"/>
      <c r="CE261" s="281"/>
      <c r="CF261" s="281"/>
      <c r="CG261" s="281"/>
      <c r="CH261" s="281"/>
      <c r="CI261" s="281"/>
      <c r="CJ261" s="281"/>
      <c r="CK261" s="282"/>
      <c r="GR261" s="286"/>
      <c r="GS261" s="286"/>
      <c r="GT261" s="286"/>
      <c r="GU261" s="286"/>
      <c r="GV261" s="286"/>
      <c r="GW261" s="286"/>
      <c r="GX261" s="286"/>
      <c r="GY261" s="286"/>
      <c r="GZ261" s="286"/>
      <c r="HA261" s="286"/>
      <c r="HB261" s="286"/>
      <c r="HC261" s="286"/>
      <c r="HD261" s="286"/>
      <c r="HE261" s="286"/>
      <c r="HF261" s="286"/>
      <c r="HG261" s="286"/>
      <c r="HH261" s="286"/>
      <c r="HI261" s="286"/>
      <c r="HJ261" s="286"/>
      <c r="HK261" s="286"/>
      <c r="HL261" s="286"/>
      <c r="HM261" s="286"/>
      <c r="HN261" s="286"/>
      <c r="HO261" s="286"/>
      <c r="HP261" s="286"/>
      <c r="HQ261" s="286"/>
      <c r="HR261" s="286"/>
      <c r="HS261" s="286"/>
      <c r="HT261" s="286"/>
      <c r="HU261" s="286"/>
      <c r="HV261" s="286"/>
      <c r="HW261" s="286"/>
      <c r="HX261" s="286"/>
      <c r="HY261" s="286"/>
      <c r="HZ261" s="286"/>
      <c r="IA261" s="286"/>
      <c r="IB261" s="286"/>
      <c r="IC261" s="286"/>
      <c r="ID261" s="286"/>
      <c r="IE261" s="286"/>
      <c r="IF261" s="286"/>
      <c r="IG261" s="286"/>
      <c r="IH261" s="286"/>
      <c r="II261" s="286"/>
      <c r="IJ261" s="286"/>
      <c r="IK261" s="286"/>
      <c r="IL261" s="286"/>
      <c r="IM261" s="286"/>
      <c r="IN261" s="243"/>
      <c r="IO261" s="243"/>
      <c r="IP261" s="243"/>
      <c r="IQ261" s="243"/>
      <c r="IR261" s="243"/>
      <c r="IS261" s="243"/>
      <c r="IT261" s="243"/>
      <c r="IU261" s="243"/>
      <c r="IV261" s="243"/>
      <c r="IW261" s="243"/>
      <c r="IX261" s="243"/>
      <c r="IY261" s="243"/>
      <c r="IZ261" s="243"/>
      <c r="JA261" s="243"/>
      <c r="JB261" s="243"/>
      <c r="JC261" s="243"/>
      <c r="JD261" s="243"/>
      <c r="JE261" s="243"/>
      <c r="JF261" s="243"/>
      <c r="JG261" s="243"/>
      <c r="JH261" s="243"/>
      <c r="JI261" s="243"/>
      <c r="JJ261" s="243"/>
      <c r="JK261" s="243"/>
      <c r="JL261" s="243"/>
      <c r="JM261" s="243"/>
      <c r="JN261" s="243"/>
      <c r="JO261" s="243"/>
      <c r="JP261" s="243"/>
      <c r="JQ261" s="243"/>
      <c r="JR261" s="243"/>
      <c r="JS261" s="243"/>
      <c r="JT261" s="243"/>
      <c r="JU261" s="243"/>
      <c r="JV261" s="243"/>
      <c r="JW261" s="243"/>
      <c r="JX261" s="243"/>
      <c r="JY261" s="243"/>
      <c r="JZ261" s="243"/>
      <c r="KA261" s="243"/>
      <c r="KB261" s="243"/>
      <c r="KC261" s="243"/>
      <c r="KD261" s="243"/>
      <c r="KE261" s="243"/>
      <c r="KF261" s="243"/>
      <c r="KG261" s="243"/>
      <c r="KH261" s="243"/>
      <c r="KI261" s="243"/>
      <c r="KJ261" s="243"/>
      <c r="KK261" s="243"/>
      <c r="KL261" s="243"/>
      <c r="KM261" s="243"/>
      <c r="KN261" s="243"/>
      <c r="KO261" s="243"/>
      <c r="KP261" s="229"/>
      <c r="KQ261" s="229"/>
      <c r="KR261" s="229"/>
      <c r="KS261" s="229"/>
      <c r="KT261" s="229"/>
      <c r="KU261" s="229"/>
      <c r="KV261" s="229"/>
      <c r="KW261" s="229"/>
      <c r="KX261" s="229"/>
      <c r="KY261" s="229"/>
      <c r="KZ261" s="229"/>
      <c r="LA261" s="229"/>
      <c r="LB261" s="229"/>
      <c r="LC261" s="229"/>
      <c r="LD261" s="229"/>
      <c r="LE261" s="229"/>
      <c r="LF261" s="229"/>
      <c r="LG261" s="229"/>
      <c r="LH261" s="229"/>
      <c r="LI261" s="229"/>
      <c r="LJ261" s="229"/>
      <c r="LK261" s="229"/>
      <c r="LL261" s="229"/>
      <c r="LM261" s="229"/>
      <c r="LN261" s="229"/>
      <c r="LO261" s="229"/>
      <c r="LP261" s="229"/>
      <c r="LQ261" s="229"/>
      <c r="LR261" s="229"/>
      <c r="LS261" s="229"/>
      <c r="LT261" s="229"/>
      <c r="LU261" s="229"/>
      <c r="LV261" s="229"/>
      <c r="LW261" s="229"/>
      <c r="LX261" s="229"/>
      <c r="LY261" s="229"/>
      <c r="LZ261" s="229"/>
      <c r="MA261" s="229"/>
      <c r="MB261" s="229"/>
      <c r="MC261" s="229"/>
      <c r="MD261" s="229"/>
      <c r="ME261" s="229"/>
      <c r="MF261" s="229"/>
      <c r="MG261" s="229"/>
      <c r="MH261" s="229"/>
      <c r="MI261" s="229"/>
      <c r="MJ261" s="229"/>
      <c r="MK261" s="229"/>
      <c r="ML261" s="229"/>
      <c r="MM261" s="229"/>
      <c r="MN261" s="229"/>
      <c r="MO261" s="229"/>
      <c r="MP261" s="229"/>
      <c r="MQ261" s="229"/>
      <c r="MR261" s="229"/>
      <c r="MS261" s="229"/>
      <c r="OD261" s="290"/>
      <c r="OE261" s="291"/>
      <c r="OF261" s="291"/>
      <c r="OG261" s="291"/>
      <c r="OH261" s="291"/>
      <c r="OI261" s="291"/>
      <c r="OJ261" s="291"/>
      <c r="OK261" s="291"/>
      <c r="OL261" s="291"/>
      <c r="OM261" s="291"/>
      <c r="ON261" s="291"/>
      <c r="OO261" s="291"/>
      <c r="OP261" s="291"/>
      <c r="OQ261" s="291"/>
      <c r="OR261" s="291"/>
      <c r="OS261" s="291"/>
      <c r="OT261" s="291"/>
      <c r="OU261" s="291"/>
      <c r="OV261" s="291"/>
      <c r="OW261" s="291"/>
      <c r="OX261" s="291"/>
      <c r="OY261" s="291"/>
      <c r="OZ261" s="291"/>
      <c r="PA261" s="291"/>
      <c r="PB261" s="291"/>
      <c r="PC261" s="291"/>
      <c r="PD261" s="291"/>
      <c r="PE261" s="291"/>
      <c r="PF261" s="291"/>
      <c r="PG261" s="291"/>
      <c r="PH261" s="291"/>
      <c r="PI261" s="291"/>
      <c r="PJ261" s="291"/>
      <c r="PK261" s="291"/>
      <c r="PL261" s="291"/>
      <c r="PM261" s="291"/>
      <c r="PN261" s="291"/>
      <c r="PO261" s="291"/>
      <c r="PP261" s="291"/>
      <c r="PQ261" s="291"/>
      <c r="PR261" s="291"/>
      <c r="PS261" s="291"/>
      <c r="PT261" s="291"/>
      <c r="PU261" s="291"/>
      <c r="PV261" s="291"/>
      <c r="PW261" s="291"/>
      <c r="PX261" s="291"/>
      <c r="PY261" s="291"/>
      <c r="PZ261" s="291"/>
      <c r="QA261" s="292"/>
      <c r="QB261" s="299"/>
      <c r="QC261" s="300"/>
      <c r="QD261" s="300"/>
      <c r="QE261" s="300"/>
      <c r="QF261" s="300"/>
      <c r="QG261" s="300"/>
      <c r="QH261" s="300"/>
      <c r="QI261" s="300"/>
      <c r="QJ261" s="300"/>
      <c r="QK261" s="300"/>
      <c r="QL261" s="300"/>
      <c r="QM261" s="301"/>
      <c r="QQ261" s="230"/>
      <c r="QR261" s="231"/>
    </row>
    <row r="262" spans="3:460" ht="5.0999999999999996" customHeight="1" thickBot="1" x14ac:dyDescent="0.3">
      <c r="C262" s="226"/>
      <c r="D262" s="227"/>
      <c r="F262" s="280"/>
      <c r="G262" s="281"/>
      <c r="H262" s="281"/>
      <c r="I262" s="281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  <c r="AB262" s="281"/>
      <c r="AC262" s="281"/>
      <c r="AD262" s="281"/>
      <c r="AE262" s="281"/>
      <c r="AF262" s="281"/>
      <c r="AG262" s="282"/>
      <c r="AH262" s="280"/>
      <c r="AI262" s="281"/>
      <c r="AJ262" s="281"/>
      <c r="AK262" s="281"/>
      <c r="AL262" s="281"/>
      <c r="AM262" s="281"/>
      <c r="AN262" s="281"/>
      <c r="AO262" s="281"/>
      <c r="AP262" s="281"/>
      <c r="AQ262" s="281"/>
      <c r="AR262" s="281"/>
      <c r="AS262" s="281"/>
      <c r="AT262" s="281"/>
      <c r="AU262" s="281"/>
      <c r="AV262" s="281"/>
      <c r="AW262" s="281"/>
      <c r="AX262" s="281"/>
      <c r="AY262" s="281"/>
      <c r="AZ262" s="281"/>
      <c r="BA262" s="281"/>
      <c r="BB262" s="281"/>
      <c r="BC262" s="281"/>
      <c r="BD262" s="281"/>
      <c r="BE262" s="281"/>
      <c r="BF262" s="281"/>
      <c r="BG262" s="281"/>
      <c r="BH262" s="281"/>
      <c r="BI262" s="282"/>
      <c r="BJ262" s="280"/>
      <c r="BK262" s="281"/>
      <c r="BL262" s="281"/>
      <c r="BM262" s="281"/>
      <c r="BN262" s="281"/>
      <c r="BO262" s="281"/>
      <c r="BP262" s="281"/>
      <c r="BQ262" s="281"/>
      <c r="BR262" s="281"/>
      <c r="BS262" s="281"/>
      <c r="BT262" s="281"/>
      <c r="BU262" s="281"/>
      <c r="BV262" s="281"/>
      <c r="BW262" s="281"/>
      <c r="BX262" s="281"/>
      <c r="BY262" s="281"/>
      <c r="BZ262" s="281"/>
      <c r="CA262" s="281"/>
      <c r="CB262" s="281"/>
      <c r="CC262" s="281"/>
      <c r="CD262" s="281"/>
      <c r="CE262" s="281"/>
      <c r="CF262" s="281"/>
      <c r="CG262" s="281"/>
      <c r="CH262" s="281"/>
      <c r="CI262" s="281"/>
      <c r="CJ262" s="281"/>
      <c r="CK262" s="282"/>
      <c r="GR262" s="286"/>
      <c r="GS262" s="286"/>
      <c r="GT262" s="286"/>
      <c r="GU262" s="286"/>
      <c r="GV262" s="286"/>
      <c r="GW262" s="286"/>
      <c r="GX262" s="286"/>
      <c r="GY262" s="286"/>
      <c r="GZ262" s="286"/>
      <c r="HA262" s="286"/>
      <c r="HB262" s="286"/>
      <c r="HC262" s="286"/>
      <c r="HD262" s="286"/>
      <c r="HE262" s="286"/>
      <c r="HF262" s="286"/>
      <c r="HG262" s="286"/>
      <c r="HH262" s="286"/>
      <c r="HI262" s="286"/>
      <c r="HJ262" s="286"/>
      <c r="HK262" s="286"/>
      <c r="HL262" s="286"/>
      <c r="HM262" s="286"/>
      <c r="HN262" s="286"/>
      <c r="HO262" s="286"/>
      <c r="HP262" s="286"/>
      <c r="HQ262" s="286"/>
      <c r="HR262" s="286"/>
      <c r="HS262" s="286"/>
      <c r="HT262" s="286"/>
      <c r="HU262" s="286"/>
      <c r="HV262" s="286"/>
      <c r="HW262" s="286"/>
      <c r="HX262" s="286"/>
      <c r="HY262" s="286"/>
      <c r="HZ262" s="286"/>
      <c r="IA262" s="286"/>
      <c r="IB262" s="286"/>
      <c r="IC262" s="286"/>
      <c r="ID262" s="286"/>
      <c r="IE262" s="286"/>
      <c r="IF262" s="286"/>
      <c r="IG262" s="286"/>
      <c r="IH262" s="286"/>
      <c r="II262" s="286"/>
      <c r="IJ262" s="286"/>
      <c r="IK262" s="286"/>
      <c r="IL262" s="286"/>
      <c r="IM262" s="286"/>
      <c r="IN262" s="243"/>
      <c r="IO262" s="243"/>
      <c r="IP262" s="243"/>
      <c r="IQ262" s="243"/>
      <c r="IR262" s="243"/>
      <c r="IS262" s="243"/>
      <c r="IT262" s="243"/>
      <c r="IU262" s="243"/>
      <c r="IV262" s="243"/>
      <c r="IW262" s="243"/>
      <c r="IX262" s="243"/>
      <c r="IY262" s="243"/>
      <c r="IZ262" s="243"/>
      <c r="JA262" s="243"/>
      <c r="JB262" s="243"/>
      <c r="JC262" s="243"/>
      <c r="JD262" s="243"/>
      <c r="JE262" s="243"/>
      <c r="JF262" s="243"/>
      <c r="JG262" s="243"/>
      <c r="JH262" s="243"/>
      <c r="JI262" s="243"/>
      <c r="JJ262" s="243"/>
      <c r="JK262" s="243"/>
      <c r="JL262" s="243"/>
      <c r="JM262" s="243"/>
      <c r="JN262" s="243"/>
      <c r="JO262" s="243"/>
      <c r="JP262" s="243"/>
      <c r="JQ262" s="243"/>
      <c r="JR262" s="243"/>
      <c r="JS262" s="243"/>
      <c r="JT262" s="243"/>
      <c r="JU262" s="243"/>
      <c r="JV262" s="243"/>
      <c r="JW262" s="243"/>
      <c r="JX262" s="243"/>
      <c r="JY262" s="243"/>
      <c r="JZ262" s="243"/>
      <c r="KA262" s="243"/>
      <c r="KB262" s="243"/>
      <c r="KC262" s="243"/>
      <c r="KD262" s="243"/>
      <c r="KE262" s="243"/>
      <c r="KF262" s="243"/>
      <c r="KG262" s="243"/>
      <c r="KH262" s="243"/>
      <c r="KI262" s="243"/>
      <c r="KJ262" s="243"/>
      <c r="KK262" s="243"/>
      <c r="KL262" s="243"/>
      <c r="KM262" s="243"/>
      <c r="KN262" s="243"/>
      <c r="KO262" s="243"/>
      <c r="KP262" s="229"/>
      <c r="KQ262" s="229"/>
      <c r="KR262" s="229"/>
      <c r="KS262" s="229"/>
      <c r="KT262" s="229"/>
      <c r="KU262" s="229"/>
      <c r="KV262" s="229"/>
      <c r="KW262" s="229"/>
      <c r="KX262" s="229"/>
      <c r="KY262" s="229"/>
      <c r="KZ262" s="229"/>
      <c r="LA262" s="229"/>
      <c r="LB262" s="229"/>
      <c r="LC262" s="229"/>
      <c r="LD262" s="229"/>
      <c r="LE262" s="229"/>
      <c r="LF262" s="229"/>
      <c r="LG262" s="229"/>
      <c r="LH262" s="229"/>
      <c r="LI262" s="229"/>
      <c r="LJ262" s="229"/>
      <c r="LK262" s="229"/>
      <c r="LL262" s="229"/>
      <c r="LM262" s="229"/>
      <c r="LN262" s="229"/>
      <c r="LO262" s="229"/>
      <c r="LP262" s="229"/>
      <c r="LQ262" s="229"/>
      <c r="LR262" s="229"/>
      <c r="LS262" s="229"/>
      <c r="LT262" s="229"/>
      <c r="LU262" s="229"/>
      <c r="LV262" s="229"/>
      <c r="LW262" s="229"/>
      <c r="LX262" s="229"/>
      <c r="LY262" s="229"/>
      <c r="LZ262" s="229"/>
      <c r="MA262" s="229"/>
      <c r="MB262" s="229"/>
      <c r="MC262" s="229"/>
      <c r="MD262" s="229"/>
      <c r="ME262" s="229"/>
      <c r="MF262" s="229"/>
      <c r="MG262" s="229"/>
      <c r="MH262" s="229"/>
      <c r="MI262" s="229"/>
      <c r="MJ262" s="229"/>
      <c r="MK262" s="229"/>
      <c r="ML262" s="229"/>
      <c r="MM262" s="229"/>
      <c r="MN262" s="229"/>
      <c r="MO262" s="229"/>
      <c r="MP262" s="229"/>
      <c r="MQ262" s="229"/>
      <c r="MR262" s="229"/>
      <c r="MS262" s="229"/>
      <c r="OD262" s="293"/>
      <c r="OE262" s="294"/>
      <c r="OF262" s="294"/>
      <c r="OG262" s="294"/>
      <c r="OH262" s="294"/>
      <c r="OI262" s="294"/>
      <c r="OJ262" s="294"/>
      <c r="OK262" s="294"/>
      <c r="OL262" s="294"/>
      <c r="OM262" s="294"/>
      <c r="ON262" s="294"/>
      <c r="OO262" s="294"/>
      <c r="OP262" s="294"/>
      <c r="OQ262" s="294"/>
      <c r="OR262" s="294"/>
      <c r="OS262" s="294"/>
      <c r="OT262" s="294"/>
      <c r="OU262" s="294"/>
      <c r="OV262" s="294"/>
      <c r="OW262" s="294"/>
      <c r="OX262" s="294"/>
      <c r="OY262" s="294"/>
      <c r="OZ262" s="294"/>
      <c r="PA262" s="294"/>
      <c r="PB262" s="294"/>
      <c r="PC262" s="294"/>
      <c r="PD262" s="294"/>
      <c r="PE262" s="294"/>
      <c r="PF262" s="294"/>
      <c r="PG262" s="294"/>
      <c r="PH262" s="294"/>
      <c r="PI262" s="294"/>
      <c r="PJ262" s="294"/>
      <c r="PK262" s="294"/>
      <c r="PL262" s="294"/>
      <c r="PM262" s="294"/>
      <c r="PN262" s="294"/>
      <c r="PO262" s="294"/>
      <c r="PP262" s="294"/>
      <c r="PQ262" s="294"/>
      <c r="PR262" s="294"/>
      <c r="PS262" s="294"/>
      <c r="PT262" s="294"/>
      <c r="PU262" s="294"/>
      <c r="PV262" s="294"/>
      <c r="PW262" s="294"/>
      <c r="PX262" s="294"/>
      <c r="PY262" s="294"/>
      <c r="PZ262" s="294"/>
      <c r="QA262" s="295"/>
      <c r="QB262" s="302"/>
      <c r="QC262" s="303"/>
      <c r="QD262" s="303"/>
      <c r="QE262" s="303"/>
      <c r="QF262" s="303"/>
      <c r="QG262" s="303"/>
      <c r="QH262" s="303"/>
      <c r="QI262" s="303"/>
      <c r="QJ262" s="303"/>
      <c r="QK262" s="303"/>
      <c r="QL262" s="303"/>
      <c r="QM262" s="304"/>
      <c r="QQ262" s="230"/>
      <c r="QR262" s="231"/>
    </row>
    <row r="263" spans="3:460" ht="5.0999999999999996" customHeight="1" x14ac:dyDescent="0.25">
      <c r="C263" s="226"/>
      <c r="D263" s="227"/>
      <c r="F263" s="280"/>
      <c r="G263" s="281"/>
      <c r="H263" s="281"/>
      <c r="I263" s="281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  <c r="AB263" s="281"/>
      <c r="AC263" s="281"/>
      <c r="AD263" s="281"/>
      <c r="AE263" s="281"/>
      <c r="AF263" s="281"/>
      <c r="AG263" s="282"/>
      <c r="AH263" s="280"/>
      <c r="AI263" s="281"/>
      <c r="AJ263" s="281"/>
      <c r="AK263" s="281"/>
      <c r="AL263" s="281"/>
      <c r="AM263" s="281"/>
      <c r="AN263" s="281"/>
      <c r="AO263" s="281"/>
      <c r="AP263" s="281"/>
      <c r="AQ263" s="281"/>
      <c r="AR263" s="281"/>
      <c r="AS263" s="281"/>
      <c r="AT263" s="281"/>
      <c r="AU263" s="281"/>
      <c r="AV263" s="281"/>
      <c r="AW263" s="281"/>
      <c r="AX263" s="281"/>
      <c r="AY263" s="281"/>
      <c r="AZ263" s="281"/>
      <c r="BA263" s="281"/>
      <c r="BB263" s="281"/>
      <c r="BC263" s="281"/>
      <c r="BD263" s="281"/>
      <c r="BE263" s="281"/>
      <c r="BF263" s="281"/>
      <c r="BG263" s="281"/>
      <c r="BH263" s="281"/>
      <c r="BI263" s="282"/>
      <c r="BJ263" s="280"/>
      <c r="BK263" s="281"/>
      <c r="BL263" s="281"/>
      <c r="BM263" s="281"/>
      <c r="BN263" s="281"/>
      <c r="BO263" s="281"/>
      <c r="BP263" s="281"/>
      <c r="BQ263" s="281"/>
      <c r="BR263" s="281"/>
      <c r="BS263" s="281"/>
      <c r="BT263" s="281"/>
      <c r="BU263" s="281"/>
      <c r="BV263" s="281"/>
      <c r="BW263" s="281"/>
      <c r="BX263" s="281"/>
      <c r="BY263" s="281"/>
      <c r="BZ263" s="281"/>
      <c r="CA263" s="281"/>
      <c r="CB263" s="281"/>
      <c r="CC263" s="281"/>
      <c r="CD263" s="281"/>
      <c r="CE263" s="281"/>
      <c r="CF263" s="281"/>
      <c r="CG263" s="281"/>
      <c r="CH263" s="281"/>
      <c r="CI263" s="281"/>
      <c r="CJ263" s="281"/>
      <c r="CK263" s="282"/>
      <c r="GR263" s="286"/>
      <c r="GS263" s="286"/>
      <c r="GT263" s="286"/>
      <c r="GU263" s="286"/>
      <c r="GV263" s="286"/>
      <c r="GW263" s="286"/>
      <c r="GX263" s="286"/>
      <c r="GY263" s="286"/>
      <c r="GZ263" s="286"/>
      <c r="HA263" s="286"/>
      <c r="HB263" s="286"/>
      <c r="HC263" s="286"/>
      <c r="HD263" s="286"/>
      <c r="HE263" s="286"/>
      <c r="HF263" s="286"/>
      <c r="HG263" s="286"/>
      <c r="HH263" s="286"/>
      <c r="HI263" s="286"/>
      <c r="HJ263" s="286"/>
      <c r="HK263" s="286"/>
      <c r="HL263" s="286"/>
      <c r="HM263" s="286"/>
      <c r="HN263" s="286"/>
      <c r="HO263" s="286"/>
      <c r="HP263" s="286"/>
      <c r="HQ263" s="286"/>
      <c r="HR263" s="286"/>
      <c r="HS263" s="286"/>
      <c r="HT263" s="286"/>
      <c r="HU263" s="286"/>
      <c r="HV263" s="286"/>
      <c r="HW263" s="286"/>
      <c r="HX263" s="286"/>
      <c r="HY263" s="286"/>
      <c r="HZ263" s="286"/>
      <c r="IA263" s="286"/>
      <c r="IB263" s="286"/>
      <c r="IC263" s="286"/>
      <c r="ID263" s="286"/>
      <c r="IE263" s="286"/>
      <c r="IF263" s="286"/>
      <c r="IG263" s="286"/>
      <c r="IH263" s="286"/>
      <c r="II263" s="286"/>
      <c r="IJ263" s="286"/>
      <c r="IK263" s="286"/>
      <c r="IL263" s="286"/>
      <c r="IM263" s="286"/>
      <c r="IN263" s="243"/>
      <c r="IO263" s="243"/>
      <c r="IP263" s="243"/>
      <c r="IQ263" s="243"/>
      <c r="IR263" s="243"/>
      <c r="IS263" s="243"/>
      <c r="IT263" s="243"/>
      <c r="IU263" s="243"/>
      <c r="IV263" s="243"/>
      <c r="IW263" s="243"/>
      <c r="IX263" s="243"/>
      <c r="IY263" s="243"/>
      <c r="IZ263" s="243"/>
      <c r="JA263" s="243"/>
      <c r="JB263" s="243"/>
      <c r="JC263" s="243"/>
      <c r="JD263" s="243"/>
      <c r="JE263" s="243"/>
      <c r="JF263" s="243"/>
      <c r="JG263" s="243"/>
      <c r="JH263" s="243"/>
      <c r="JI263" s="243"/>
      <c r="JJ263" s="243"/>
      <c r="JK263" s="243"/>
      <c r="JL263" s="243"/>
      <c r="JM263" s="243"/>
      <c r="JN263" s="243"/>
      <c r="JO263" s="243"/>
      <c r="JP263" s="243"/>
      <c r="JQ263" s="243"/>
      <c r="JR263" s="243"/>
      <c r="JS263" s="243"/>
      <c r="JT263" s="243"/>
      <c r="JU263" s="243"/>
      <c r="JV263" s="243"/>
      <c r="JW263" s="243"/>
      <c r="JX263" s="243"/>
      <c r="JY263" s="243"/>
      <c r="JZ263" s="243"/>
      <c r="KA263" s="243"/>
      <c r="KB263" s="243"/>
      <c r="KC263" s="243"/>
      <c r="KD263" s="243"/>
      <c r="KE263" s="243"/>
      <c r="KF263" s="243"/>
      <c r="KG263" s="243"/>
      <c r="KH263" s="243"/>
      <c r="KI263" s="243"/>
      <c r="KJ263" s="243"/>
      <c r="KK263" s="243"/>
      <c r="KL263" s="243"/>
      <c r="KM263" s="243"/>
      <c r="KN263" s="243"/>
      <c r="KO263" s="243"/>
      <c r="KP263" s="229"/>
      <c r="KQ263" s="229"/>
      <c r="KR263" s="229"/>
      <c r="KS263" s="229"/>
      <c r="KT263" s="229"/>
      <c r="KU263" s="229"/>
      <c r="KV263" s="229"/>
      <c r="KW263" s="229"/>
      <c r="KX263" s="229"/>
      <c r="KY263" s="229"/>
      <c r="KZ263" s="229"/>
      <c r="LA263" s="229"/>
      <c r="LB263" s="229"/>
      <c r="LC263" s="229"/>
      <c r="LD263" s="229"/>
      <c r="LE263" s="229"/>
      <c r="LF263" s="229"/>
      <c r="LG263" s="229"/>
      <c r="LH263" s="229"/>
      <c r="LI263" s="229"/>
      <c r="LJ263" s="229"/>
      <c r="LK263" s="229"/>
      <c r="LL263" s="229"/>
      <c r="LM263" s="229"/>
      <c r="LN263" s="229"/>
      <c r="LO263" s="229"/>
      <c r="LP263" s="229"/>
      <c r="LQ263" s="229"/>
      <c r="LR263" s="229"/>
      <c r="LS263" s="229"/>
      <c r="LT263" s="229"/>
      <c r="LU263" s="229"/>
      <c r="LV263" s="229"/>
      <c r="LW263" s="229"/>
      <c r="LX263" s="229"/>
      <c r="LY263" s="229"/>
      <c r="LZ263" s="229"/>
      <c r="MA263" s="229"/>
      <c r="MB263" s="229"/>
      <c r="MC263" s="229"/>
      <c r="MD263" s="229"/>
      <c r="ME263" s="229"/>
      <c r="MF263" s="229"/>
      <c r="MG263" s="229"/>
      <c r="MH263" s="229"/>
      <c r="MI263" s="229"/>
      <c r="MJ263" s="229"/>
      <c r="MK263" s="229"/>
      <c r="ML263" s="229"/>
      <c r="MM263" s="229"/>
      <c r="MN263" s="229"/>
      <c r="MO263" s="229"/>
      <c r="MP263" s="229"/>
      <c r="MQ263" s="229"/>
      <c r="MR263" s="229"/>
      <c r="MS263" s="229"/>
      <c r="QQ263" s="230"/>
      <c r="QR263" s="231"/>
    </row>
    <row r="264" spans="3:460" ht="5.0999999999999996" customHeight="1" thickBot="1" x14ac:dyDescent="0.3">
      <c r="C264" s="226"/>
      <c r="D264" s="227"/>
      <c r="E264" s="229"/>
      <c r="F264" s="283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  <c r="AC264" s="284"/>
      <c r="AD264" s="284"/>
      <c r="AE264" s="284"/>
      <c r="AF264" s="284"/>
      <c r="AG264" s="285"/>
      <c r="AH264" s="283"/>
      <c r="AI264" s="284"/>
      <c r="AJ264" s="284"/>
      <c r="AK264" s="284"/>
      <c r="AL264" s="284"/>
      <c r="AM264" s="284"/>
      <c r="AN264" s="284"/>
      <c r="AO264" s="284"/>
      <c r="AP264" s="284"/>
      <c r="AQ264" s="284"/>
      <c r="AR264" s="284"/>
      <c r="AS264" s="284"/>
      <c r="AT264" s="284"/>
      <c r="AU264" s="284"/>
      <c r="AV264" s="284"/>
      <c r="AW264" s="284"/>
      <c r="AX264" s="284"/>
      <c r="AY264" s="284"/>
      <c r="AZ264" s="284"/>
      <c r="BA264" s="284"/>
      <c r="BB264" s="284"/>
      <c r="BC264" s="284"/>
      <c r="BD264" s="284"/>
      <c r="BE264" s="284"/>
      <c r="BF264" s="284"/>
      <c r="BG264" s="284"/>
      <c r="BH264" s="284"/>
      <c r="BI264" s="285"/>
      <c r="BJ264" s="283"/>
      <c r="BK264" s="284"/>
      <c r="BL264" s="284"/>
      <c r="BM264" s="284"/>
      <c r="BN264" s="284"/>
      <c r="BO264" s="284"/>
      <c r="BP264" s="284"/>
      <c r="BQ264" s="284"/>
      <c r="BR264" s="284"/>
      <c r="BS264" s="284"/>
      <c r="BT264" s="284"/>
      <c r="BU264" s="284"/>
      <c r="BV264" s="284"/>
      <c r="BW264" s="284"/>
      <c r="BX264" s="284"/>
      <c r="BY264" s="284"/>
      <c r="BZ264" s="284"/>
      <c r="CA264" s="284"/>
      <c r="CB264" s="284"/>
      <c r="CC264" s="284"/>
      <c r="CD264" s="284"/>
      <c r="CE264" s="284"/>
      <c r="CF264" s="284"/>
      <c r="CG264" s="284"/>
      <c r="CH264" s="284"/>
      <c r="CI264" s="284"/>
      <c r="CJ264" s="284"/>
      <c r="CK264" s="285"/>
      <c r="JG264" s="229"/>
      <c r="JH264" s="229"/>
      <c r="JI264" s="229"/>
      <c r="JJ264" s="229"/>
      <c r="JK264" s="229"/>
      <c r="JL264" s="229"/>
      <c r="JM264" s="229"/>
      <c r="JN264" s="229"/>
      <c r="JO264" s="229"/>
      <c r="JP264" s="229"/>
      <c r="JQ264" s="229"/>
      <c r="JR264" s="229"/>
      <c r="JS264" s="229"/>
      <c r="JT264" s="229"/>
      <c r="JU264" s="229"/>
      <c r="JV264" s="229"/>
      <c r="JW264" s="229"/>
      <c r="JX264" s="229"/>
      <c r="JY264" s="229"/>
      <c r="JZ264" s="229"/>
      <c r="KA264" s="229"/>
      <c r="KB264" s="229"/>
      <c r="KC264" s="229"/>
      <c r="KD264" s="229"/>
      <c r="KE264" s="229"/>
      <c r="KF264" s="229"/>
      <c r="KG264" s="229"/>
      <c r="KH264" s="229"/>
      <c r="KI264" s="229"/>
      <c r="KJ264" s="229"/>
      <c r="KK264" s="229"/>
      <c r="KL264" s="229"/>
      <c r="KM264" s="229"/>
      <c r="KN264" s="229"/>
      <c r="KO264" s="229"/>
      <c r="KP264" s="229"/>
      <c r="KQ264" s="229"/>
      <c r="KR264" s="229"/>
      <c r="KS264" s="229"/>
      <c r="KT264" s="229"/>
      <c r="KU264" s="229"/>
      <c r="KV264" s="229"/>
      <c r="KW264" s="229"/>
      <c r="KX264" s="229"/>
      <c r="KY264" s="229"/>
      <c r="KZ264" s="229"/>
      <c r="LA264" s="229"/>
      <c r="LB264" s="229"/>
      <c r="LC264" s="229"/>
      <c r="LD264" s="229"/>
      <c r="LE264" s="229"/>
      <c r="LF264" s="229"/>
      <c r="LG264" s="229"/>
      <c r="LH264" s="229"/>
      <c r="LI264" s="229"/>
      <c r="LJ264" s="229"/>
      <c r="LK264" s="229"/>
      <c r="LL264" s="229"/>
      <c r="LM264" s="229"/>
      <c r="LN264" s="229"/>
      <c r="LO264" s="229"/>
      <c r="LP264" s="229"/>
      <c r="LQ264" s="229"/>
      <c r="LR264" s="229"/>
      <c r="LS264" s="229"/>
      <c r="LT264" s="229"/>
      <c r="LU264" s="229"/>
      <c r="LV264" s="229"/>
      <c r="LW264" s="229"/>
      <c r="LX264" s="229"/>
      <c r="LY264" s="229"/>
      <c r="LZ264" s="229"/>
      <c r="MA264" s="229"/>
      <c r="MB264" s="229"/>
      <c r="MC264" s="229"/>
      <c r="MD264" s="229"/>
      <c r="ME264" s="229"/>
      <c r="MF264" s="229"/>
      <c r="MG264" s="229"/>
      <c r="MH264" s="229"/>
      <c r="MI264" s="229"/>
      <c r="MJ264" s="229"/>
      <c r="MK264" s="229"/>
      <c r="ML264" s="229"/>
      <c r="MM264" s="229"/>
      <c r="MN264" s="229"/>
      <c r="MO264" s="229"/>
      <c r="MP264" s="229"/>
      <c r="MQ264" s="229"/>
      <c r="MR264" s="229"/>
      <c r="MS264" s="229"/>
      <c r="QQ264" s="230"/>
      <c r="QR264" s="231"/>
    </row>
    <row r="265" spans="3:460" ht="5.0999999999999996" customHeight="1" thickBot="1" x14ac:dyDescent="0.3">
      <c r="C265" s="226"/>
      <c r="D265" s="227"/>
      <c r="E265" s="229"/>
      <c r="F265" s="277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9"/>
      <c r="AH265" s="277"/>
      <c r="AI265" s="278"/>
      <c r="AJ265" s="278"/>
      <c r="AK265" s="278"/>
      <c r="AL265" s="278"/>
      <c r="AM265" s="278"/>
      <c r="AN265" s="278"/>
      <c r="AO265" s="278"/>
      <c r="AP265" s="278"/>
      <c r="AQ265" s="278"/>
      <c r="AR265" s="278"/>
      <c r="AS265" s="278"/>
      <c r="AT265" s="278"/>
      <c r="AU265" s="278"/>
      <c r="AV265" s="278"/>
      <c r="AW265" s="278"/>
      <c r="AX265" s="278"/>
      <c r="AY265" s="278"/>
      <c r="AZ265" s="278"/>
      <c r="BA265" s="278"/>
      <c r="BB265" s="278"/>
      <c r="BC265" s="278"/>
      <c r="BD265" s="278"/>
      <c r="BE265" s="278"/>
      <c r="BF265" s="278"/>
      <c r="BG265" s="278"/>
      <c r="BH265" s="278"/>
      <c r="BI265" s="279"/>
      <c r="BJ265" s="277"/>
      <c r="BK265" s="278"/>
      <c r="BL265" s="278"/>
      <c r="BM265" s="278"/>
      <c r="BN265" s="278"/>
      <c r="BO265" s="278"/>
      <c r="BP265" s="278"/>
      <c r="BQ265" s="278"/>
      <c r="BR265" s="278"/>
      <c r="BS265" s="278"/>
      <c r="BT265" s="278"/>
      <c r="BU265" s="278"/>
      <c r="BV265" s="278"/>
      <c r="BW265" s="278"/>
      <c r="BX265" s="278"/>
      <c r="BY265" s="278"/>
      <c r="BZ265" s="278"/>
      <c r="CA265" s="278"/>
      <c r="CB265" s="278"/>
      <c r="CC265" s="278"/>
      <c r="CD265" s="278"/>
      <c r="CE265" s="278"/>
      <c r="CF265" s="278"/>
      <c r="CG265" s="278"/>
      <c r="CH265" s="278"/>
      <c r="CI265" s="278"/>
      <c r="CJ265" s="278"/>
      <c r="CK265" s="279"/>
      <c r="JG265" s="229"/>
      <c r="JH265" s="229"/>
      <c r="JI265" s="229"/>
      <c r="JJ265" s="229"/>
      <c r="JK265" s="229"/>
      <c r="JL265" s="229"/>
      <c r="JM265" s="229"/>
      <c r="JN265" s="229"/>
      <c r="JO265" s="229"/>
      <c r="JP265" s="229"/>
      <c r="JQ265" s="229"/>
      <c r="JR265" s="229"/>
      <c r="JS265" s="229"/>
      <c r="JT265" s="229"/>
      <c r="JU265" s="229"/>
      <c r="JV265" s="229"/>
      <c r="JW265" s="229"/>
      <c r="JX265" s="229"/>
      <c r="JY265" s="229"/>
      <c r="JZ265" s="229"/>
      <c r="KA265" s="229"/>
      <c r="KB265" s="229"/>
      <c r="KC265" s="229"/>
      <c r="KD265" s="229"/>
      <c r="KE265" s="229"/>
      <c r="KF265" s="229"/>
      <c r="KG265" s="229"/>
      <c r="KH265" s="229"/>
      <c r="KI265" s="229"/>
      <c r="KJ265" s="229"/>
      <c r="KK265" s="229"/>
      <c r="KL265" s="229"/>
      <c r="KM265" s="229"/>
      <c r="KN265" s="229"/>
      <c r="KO265" s="229"/>
      <c r="KP265" s="229"/>
      <c r="KQ265" s="229"/>
      <c r="KR265" s="229"/>
      <c r="KS265" s="229"/>
      <c r="KT265" s="229"/>
      <c r="KU265" s="229"/>
      <c r="KV265" s="229"/>
      <c r="KW265" s="229"/>
      <c r="KX265" s="229"/>
      <c r="KY265" s="229"/>
      <c r="KZ265" s="229"/>
      <c r="LA265" s="229"/>
      <c r="LB265" s="229"/>
      <c r="LC265" s="229"/>
      <c r="LD265" s="229"/>
      <c r="LE265" s="229"/>
      <c r="LF265" s="229"/>
      <c r="LG265" s="229"/>
      <c r="LH265" s="229"/>
      <c r="LI265" s="229"/>
      <c r="LJ265" s="229"/>
      <c r="LK265" s="229"/>
      <c r="LL265" s="229"/>
      <c r="LM265" s="229"/>
      <c r="LN265" s="229"/>
      <c r="LO265" s="229"/>
      <c r="LP265" s="229"/>
      <c r="LQ265" s="229"/>
      <c r="LR265" s="229"/>
      <c r="LS265" s="229"/>
      <c r="LT265" s="229"/>
      <c r="LU265" s="229"/>
      <c r="LV265" s="229"/>
      <c r="LW265" s="229"/>
      <c r="LX265" s="229"/>
      <c r="LY265" s="229"/>
      <c r="LZ265" s="229"/>
      <c r="MA265" s="229"/>
      <c r="MB265" s="229"/>
      <c r="MC265" s="229"/>
      <c r="MD265" s="229"/>
      <c r="ME265" s="229"/>
      <c r="MF265" s="229"/>
      <c r="MG265" s="229"/>
      <c r="MH265" s="229"/>
      <c r="MI265" s="229"/>
      <c r="MJ265" s="229"/>
      <c r="MK265" s="229"/>
      <c r="ML265" s="229"/>
      <c r="MM265" s="229"/>
      <c r="MN265" s="229"/>
      <c r="MO265" s="229"/>
      <c r="MP265" s="229"/>
      <c r="MQ265" s="229"/>
      <c r="MR265" s="229"/>
      <c r="MS265" s="229"/>
      <c r="QQ265" s="230"/>
      <c r="QR265" s="231"/>
    </row>
    <row r="266" spans="3:460" ht="5.0999999999999996" customHeight="1" x14ac:dyDescent="0.25">
      <c r="C266" s="226"/>
      <c r="D266" s="227"/>
      <c r="E266" s="229"/>
      <c r="F266" s="280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  <c r="AB266" s="281"/>
      <c r="AC266" s="281"/>
      <c r="AD266" s="281"/>
      <c r="AE266" s="281"/>
      <c r="AF266" s="281"/>
      <c r="AG266" s="282"/>
      <c r="AH266" s="280"/>
      <c r="AI266" s="281"/>
      <c r="AJ266" s="281"/>
      <c r="AK266" s="281"/>
      <c r="AL266" s="281"/>
      <c r="AM266" s="281"/>
      <c r="AN266" s="281"/>
      <c r="AO266" s="281"/>
      <c r="AP266" s="281"/>
      <c r="AQ266" s="281"/>
      <c r="AR266" s="281"/>
      <c r="AS266" s="281"/>
      <c r="AT266" s="281"/>
      <c r="AU266" s="281"/>
      <c r="AV266" s="281"/>
      <c r="AW266" s="281"/>
      <c r="AX266" s="281"/>
      <c r="AY266" s="281"/>
      <c r="AZ266" s="281"/>
      <c r="BA266" s="281"/>
      <c r="BB266" s="281"/>
      <c r="BC266" s="281"/>
      <c r="BD266" s="281"/>
      <c r="BE266" s="281"/>
      <c r="BF266" s="281"/>
      <c r="BG266" s="281"/>
      <c r="BH266" s="281"/>
      <c r="BI266" s="282"/>
      <c r="BJ266" s="280"/>
      <c r="BK266" s="281"/>
      <c r="BL266" s="281"/>
      <c r="BM266" s="281"/>
      <c r="BN266" s="281"/>
      <c r="BO266" s="281"/>
      <c r="BP266" s="281"/>
      <c r="BQ266" s="281"/>
      <c r="BR266" s="281"/>
      <c r="BS266" s="281"/>
      <c r="BT266" s="281"/>
      <c r="BU266" s="281"/>
      <c r="BV266" s="281"/>
      <c r="BW266" s="281"/>
      <c r="BX266" s="281"/>
      <c r="BY266" s="281"/>
      <c r="BZ266" s="281"/>
      <c r="CA266" s="281"/>
      <c r="CB266" s="281"/>
      <c r="CC266" s="281"/>
      <c r="CD266" s="281"/>
      <c r="CE266" s="281"/>
      <c r="CF266" s="281"/>
      <c r="CG266" s="281"/>
      <c r="CH266" s="281"/>
      <c r="CI266" s="281"/>
      <c r="CJ266" s="281"/>
      <c r="CK266" s="282"/>
      <c r="JG266" s="229"/>
      <c r="JH266" s="229"/>
      <c r="JI266" s="229"/>
      <c r="JJ266" s="229"/>
      <c r="JK266" s="229"/>
      <c r="JL266" s="229"/>
      <c r="JM266" s="229"/>
      <c r="JN266" s="229"/>
      <c r="JO266" s="229"/>
      <c r="JP266" s="229"/>
      <c r="JQ266" s="229"/>
      <c r="JR266" s="229"/>
      <c r="JS266" s="229"/>
      <c r="JT266" s="229"/>
      <c r="JU266" s="229"/>
      <c r="JV266" s="229"/>
      <c r="JW266" s="229"/>
      <c r="JX266" s="229"/>
      <c r="JY266" s="229"/>
      <c r="JZ266" s="229"/>
      <c r="KA266" s="229"/>
      <c r="KB266" s="229"/>
      <c r="KC266" s="229"/>
      <c r="KD266" s="229"/>
      <c r="KE266" s="229"/>
      <c r="KF266" s="229"/>
      <c r="KG266" s="229"/>
      <c r="KH266" s="229"/>
      <c r="KI266" s="229"/>
      <c r="KJ266" s="229"/>
      <c r="KK266" s="229"/>
      <c r="KL266" s="229"/>
      <c r="KM266" s="229"/>
      <c r="KN266" s="229"/>
      <c r="KO266" s="229"/>
      <c r="KP266" s="229"/>
      <c r="KQ266" s="229"/>
      <c r="KR266" s="229"/>
      <c r="KS266" s="229"/>
      <c r="KT266" s="229"/>
      <c r="KU266" s="229"/>
      <c r="KV266" s="229"/>
      <c r="KW266" s="229"/>
      <c r="KX266" s="229"/>
      <c r="KY266" s="229"/>
      <c r="KZ266" s="229"/>
      <c r="LA266" s="229"/>
      <c r="LB266" s="229"/>
      <c r="LC266" s="229"/>
      <c r="LD266" s="229"/>
      <c r="LE266" s="229"/>
      <c r="LF266" s="229"/>
      <c r="LG266" s="229"/>
      <c r="LH266" s="229"/>
      <c r="LI266" s="229"/>
      <c r="LJ266" s="229"/>
      <c r="LK266" s="229"/>
      <c r="LL266" s="229"/>
      <c r="LM266" s="229"/>
      <c r="LN266" s="229"/>
      <c r="LO266" s="229"/>
      <c r="LP266" s="229"/>
      <c r="LQ266" s="229"/>
      <c r="LR266" s="229"/>
      <c r="LS266" s="229"/>
      <c r="LT266" s="229"/>
      <c r="LU266" s="229"/>
      <c r="LV266" s="229"/>
      <c r="LW266" s="229"/>
      <c r="LX266" s="229"/>
      <c r="LY266" s="229"/>
      <c r="LZ266" s="229"/>
      <c r="MA266" s="229"/>
      <c r="MB266" s="229"/>
      <c r="MC266" s="229"/>
      <c r="MD266" s="229"/>
      <c r="ME266" s="229"/>
      <c r="MF266" s="229"/>
      <c r="MG266" s="229"/>
      <c r="MH266" s="229"/>
      <c r="MI266" s="229"/>
      <c r="MJ266" s="229"/>
      <c r="MK266" s="229"/>
      <c r="ML266" s="229"/>
      <c r="MM266" s="229"/>
      <c r="MN266" s="229"/>
      <c r="MO266" s="229"/>
      <c r="MP266" s="229"/>
      <c r="MQ266" s="229"/>
      <c r="MR266" s="229"/>
      <c r="MS266" s="229"/>
      <c r="NK266" s="277" t="s">
        <v>452</v>
      </c>
      <c r="NL266" s="278"/>
      <c r="NM266" s="278"/>
      <c r="NN266" s="278"/>
      <c r="NO266" s="278"/>
      <c r="NP266" s="278"/>
      <c r="NQ266" s="278"/>
      <c r="NR266" s="278"/>
      <c r="NS266" s="278"/>
      <c r="NT266" s="278"/>
      <c r="NU266" s="278"/>
      <c r="NV266" s="278"/>
      <c r="NW266" s="278"/>
      <c r="NX266" s="278"/>
      <c r="NY266" s="278"/>
      <c r="NZ266" s="278"/>
      <c r="OA266" s="278"/>
      <c r="OB266" s="278"/>
      <c r="OC266" s="278"/>
      <c r="OD266" s="278"/>
      <c r="OE266" s="278"/>
      <c r="OF266" s="278"/>
      <c r="OG266" s="278"/>
      <c r="OH266" s="278"/>
      <c r="OI266" s="278"/>
      <c r="OJ266" s="278"/>
      <c r="OK266" s="278"/>
      <c r="OL266" s="279"/>
      <c r="OM266" s="277" t="s">
        <v>453</v>
      </c>
      <c r="ON266" s="278"/>
      <c r="OO266" s="278"/>
      <c r="OP266" s="278"/>
      <c r="OQ266" s="278"/>
      <c r="OR266" s="278"/>
      <c r="OS266" s="278"/>
      <c r="OT266" s="278"/>
      <c r="OU266" s="278"/>
      <c r="OV266" s="278"/>
      <c r="OW266" s="278"/>
      <c r="OX266" s="278"/>
      <c r="OY266" s="278"/>
      <c r="OZ266" s="278"/>
      <c r="PA266" s="278"/>
      <c r="PB266" s="278"/>
      <c r="PC266" s="278"/>
      <c r="PD266" s="278"/>
      <c r="PE266" s="278"/>
      <c r="PF266" s="278"/>
      <c r="PG266" s="278"/>
      <c r="PH266" s="278"/>
      <c r="PI266" s="278"/>
      <c r="PJ266" s="278"/>
      <c r="PK266" s="278"/>
      <c r="PL266" s="278"/>
      <c r="PM266" s="278"/>
      <c r="PN266" s="279"/>
      <c r="PO266" s="277" t="s">
        <v>454</v>
      </c>
      <c r="PP266" s="278"/>
      <c r="PQ266" s="278"/>
      <c r="PR266" s="278"/>
      <c r="PS266" s="278"/>
      <c r="PT266" s="278"/>
      <c r="PU266" s="278"/>
      <c r="PV266" s="278"/>
      <c r="PW266" s="278"/>
      <c r="PX266" s="278"/>
      <c r="PY266" s="278"/>
      <c r="PZ266" s="278"/>
      <c r="QA266" s="278"/>
      <c r="QB266" s="278"/>
      <c r="QC266" s="278"/>
      <c r="QD266" s="278"/>
      <c r="QE266" s="278"/>
      <c r="QF266" s="278"/>
      <c r="QG266" s="278"/>
      <c r="QH266" s="278"/>
      <c r="QI266" s="278"/>
      <c r="QJ266" s="278"/>
      <c r="QK266" s="278"/>
      <c r="QL266" s="278"/>
      <c r="QM266" s="278"/>
      <c r="QN266" s="278"/>
      <c r="QO266" s="278"/>
      <c r="QP266" s="279"/>
      <c r="QQ266" s="230"/>
      <c r="QR266" s="231"/>
    </row>
    <row r="267" spans="3:460" ht="5.0999999999999996" customHeight="1" x14ac:dyDescent="0.25">
      <c r="C267" s="226"/>
      <c r="D267" s="227"/>
      <c r="E267" s="229"/>
      <c r="F267" s="280"/>
      <c r="G267" s="281"/>
      <c r="H267" s="281"/>
      <c r="I267" s="281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  <c r="AB267" s="281"/>
      <c r="AC267" s="281"/>
      <c r="AD267" s="281"/>
      <c r="AE267" s="281"/>
      <c r="AF267" s="281"/>
      <c r="AG267" s="282"/>
      <c r="AH267" s="280"/>
      <c r="AI267" s="281"/>
      <c r="AJ267" s="281"/>
      <c r="AK267" s="281"/>
      <c r="AL267" s="281"/>
      <c r="AM267" s="281"/>
      <c r="AN267" s="281"/>
      <c r="AO267" s="281"/>
      <c r="AP267" s="281"/>
      <c r="AQ267" s="281"/>
      <c r="AR267" s="281"/>
      <c r="AS267" s="281"/>
      <c r="AT267" s="281"/>
      <c r="AU267" s="281"/>
      <c r="AV267" s="281"/>
      <c r="AW267" s="281"/>
      <c r="AX267" s="281"/>
      <c r="AY267" s="281"/>
      <c r="AZ267" s="281"/>
      <c r="BA267" s="281"/>
      <c r="BB267" s="281"/>
      <c r="BC267" s="281"/>
      <c r="BD267" s="281"/>
      <c r="BE267" s="281"/>
      <c r="BF267" s="281"/>
      <c r="BG267" s="281"/>
      <c r="BH267" s="281"/>
      <c r="BI267" s="282"/>
      <c r="BJ267" s="280"/>
      <c r="BK267" s="281"/>
      <c r="BL267" s="281"/>
      <c r="BM267" s="281"/>
      <c r="BN267" s="281"/>
      <c r="BO267" s="281"/>
      <c r="BP267" s="281"/>
      <c r="BQ267" s="281"/>
      <c r="BR267" s="281"/>
      <c r="BS267" s="281"/>
      <c r="BT267" s="281"/>
      <c r="BU267" s="281"/>
      <c r="BV267" s="281"/>
      <c r="BW267" s="281"/>
      <c r="BX267" s="281"/>
      <c r="BY267" s="281"/>
      <c r="BZ267" s="281"/>
      <c r="CA267" s="281"/>
      <c r="CB267" s="281"/>
      <c r="CC267" s="281"/>
      <c r="CD267" s="281"/>
      <c r="CE267" s="281"/>
      <c r="CF267" s="281"/>
      <c r="CG267" s="281"/>
      <c r="CH267" s="281"/>
      <c r="CI267" s="281"/>
      <c r="CJ267" s="281"/>
      <c r="CK267" s="282"/>
      <c r="NK267" s="280"/>
      <c r="NL267" s="281"/>
      <c r="NM267" s="281"/>
      <c r="NN267" s="281"/>
      <c r="NO267" s="281"/>
      <c r="NP267" s="281"/>
      <c r="NQ267" s="281"/>
      <c r="NR267" s="281"/>
      <c r="NS267" s="281"/>
      <c r="NT267" s="281"/>
      <c r="NU267" s="281"/>
      <c r="NV267" s="281"/>
      <c r="NW267" s="281"/>
      <c r="NX267" s="281"/>
      <c r="NY267" s="281"/>
      <c r="NZ267" s="281"/>
      <c r="OA267" s="281"/>
      <c r="OB267" s="281"/>
      <c r="OC267" s="281"/>
      <c r="OD267" s="281"/>
      <c r="OE267" s="281"/>
      <c r="OF267" s="281"/>
      <c r="OG267" s="281"/>
      <c r="OH267" s="281"/>
      <c r="OI267" s="281"/>
      <c r="OJ267" s="281"/>
      <c r="OK267" s="281"/>
      <c r="OL267" s="282"/>
      <c r="OM267" s="280"/>
      <c r="ON267" s="281"/>
      <c r="OO267" s="281"/>
      <c r="OP267" s="281"/>
      <c r="OQ267" s="281"/>
      <c r="OR267" s="281"/>
      <c r="OS267" s="281"/>
      <c r="OT267" s="281"/>
      <c r="OU267" s="281"/>
      <c r="OV267" s="281"/>
      <c r="OW267" s="281"/>
      <c r="OX267" s="281"/>
      <c r="OY267" s="281"/>
      <c r="OZ267" s="281"/>
      <c r="PA267" s="281"/>
      <c r="PB267" s="281"/>
      <c r="PC267" s="281"/>
      <c r="PD267" s="281"/>
      <c r="PE267" s="281"/>
      <c r="PF267" s="281"/>
      <c r="PG267" s="281"/>
      <c r="PH267" s="281"/>
      <c r="PI267" s="281"/>
      <c r="PJ267" s="281"/>
      <c r="PK267" s="281"/>
      <c r="PL267" s="281"/>
      <c r="PM267" s="281"/>
      <c r="PN267" s="282"/>
      <c r="PO267" s="280"/>
      <c r="PP267" s="281"/>
      <c r="PQ267" s="281"/>
      <c r="PR267" s="281"/>
      <c r="PS267" s="281"/>
      <c r="PT267" s="281"/>
      <c r="PU267" s="281"/>
      <c r="PV267" s="281"/>
      <c r="PW267" s="281"/>
      <c r="PX267" s="281"/>
      <c r="PY267" s="281"/>
      <c r="PZ267" s="281"/>
      <c r="QA267" s="281"/>
      <c r="QB267" s="281"/>
      <c r="QC267" s="281"/>
      <c r="QD267" s="281"/>
      <c r="QE267" s="281"/>
      <c r="QF267" s="281"/>
      <c r="QG267" s="281"/>
      <c r="QH267" s="281"/>
      <c r="QI267" s="281"/>
      <c r="QJ267" s="281"/>
      <c r="QK267" s="281"/>
      <c r="QL267" s="281"/>
      <c r="QM267" s="281"/>
      <c r="QN267" s="281"/>
      <c r="QO267" s="281"/>
      <c r="QP267" s="282"/>
      <c r="QQ267" s="230"/>
      <c r="QR267" s="231"/>
    </row>
    <row r="268" spans="3:460" ht="5.0999999999999996" customHeight="1" x14ac:dyDescent="0.25">
      <c r="C268" s="226"/>
      <c r="D268" s="227"/>
      <c r="E268" s="229"/>
      <c r="F268" s="280"/>
      <c r="G268" s="281"/>
      <c r="H268" s="281"/>
      <c r="I268" s="281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  <c r="AB268" s="281"/>
      <c r="AC268" s="281"/>
      <c r="AD268" s="281"/>
      <c r="AE268" s="281"/>
      <c r="AF268" s="281"/>
      <c r="AG268" s="282"/>
      <c r="AH268" s="280"/>
      <c r="AI268" s="281"/>
      <c r="AJ268" s="281"/>
      <c r="AK268" s="281"/>
      <c r="AL268" s="281"/>
      <c r="AM268" s="281"/>
      <c r="AN268" s="281"/>
      <c r="AO268" s="281"/>
      <c r="AP268" s="281"/>
      <c r="AQ268" s="281"/>
      <c r="AR268" s="281"/>
      <c r="AS268" s="281"/>
      <c r="AT268" s="281"/>
      <c r="AU268" s="281"/>
      <c r="AV268" s="281"/>
      <c r="AW268" s="281"/>
      <c r="AX268" s="281"/>
      <c r="AY268" s="281"/>
      <c r="AZ268" s="281"/>
      <c r="BA268" s="281"/>
      <c r="BB268" s="281"/>
      <c r="BC268" s="281"/>
      <c r="BD268" s="281"/>
      <c r="BE268" s="281"/>
      <c r="BF268" s="281"/>
      <c r="BG268" s="281"/>
      <c r="BH268" s="281"/>
      <c r="BI268" s="282"/>
      <c r="BJ268" s="280"/>
      <c r="BK268" s="281"/>
      <c r="BL268" s="281"/>
      <c r="BM268" s="281"/>
      <c r="BN268" s="281"/>
      <c r="BO268" s="281"/>
      <c r="BP268" s="281"/>
      <c r="BQ268" s="281"/>
      <c r="BR268" s="281"/>
      <c r="BS268" s="281"/>
      <c r="BT268" s="281"/>
      <c r="BU268" s="281"/>
      <c r="BV268" s="281"/>
      <c r="BW268" s="281"/>
      <c r="BX268" s="281"/>
      <c r="BY268" s="281"/>
      <c r="BZ268" s="281"/>
      <c r="CA268" s="281"/>
      <c r="CB268" s="281"/>
      <c r="CC268" s="281"/>
      <c r="CD268" s="281"/>
      <c r="CE268" s="281"/>
      <c r="CF268" s="281"/>
      <c r="CG268" s="281"/>
      <c r="CH268" s="281"/>
      <c r="CI268" s="281"/>
      <c r="CJ268" s="281"/>
      <c r="CK268" s="282"/>
      <c r="NK268" s="280"/>
      <c r="NL268" s="281"/>
      <c r="NM268" s="281"/>
      <c r="NN268" s="281"/>
      <c r="NO268" s="281"/>
      <c r="NP268" s="281"/>
      <c r="NQ268" s="281"/>
      <c r="NR268" s="281"/>
      <c r="NS268" s="281"/>
      <c r="NT268" s="281"/>
      <c r="NU268" s="281"/>
      <c r="NV268" s="281"/>
      <c r="NW268" s="281"/>
      <c r="NX268" s="281"/>
      <c r="NY268" s="281"/>
      <c r="NZ268" s="281"/>
      <c r="OA268" s="281"/>
      <c r="OB268" s="281"/>
      <c r="OC268" s="281"/>
      <c r="OD268" s="281"/>
      <c r="OE268" s="281"/>
      <c r="OF268" s="281"/>
      <c r="OG268" s="281"/>
      <c r="OH268" s="281"/>
      <c r="OI268" s="281"/>
      <c r="OJ268" s="281"/>
      <c r="OK268" s="281"/>
      <c r="OL268" s="282"/>
      <c r="OM268" s="280"/>
      <c r="ON268" s="281"/>
      <c r="OO268" s="281"/>
      <c r="OP268" s="281"/>
      <c r="OQ268" s="281"/>
      <c r="OR268" s="281"/>
      <c r="OS268" s="281"/>
      <c r="OT268" s="281"/>
      <c r="OU268" s="281"/>
      <c r="OV268" s="281"/>
      <c r="OW268" s="281"/>
      <c r="OX268" s="281"/>
      <c r="OY268" s="281"/>
      <c r="OZ268" s="281"/>
      <c r="PA268" s="281"/>
      <c r="PB268" s="281"/>
      <c r="PC268" s="281"/>
      <c r="PD268" s="281"/>
      <c r="PE268" s="281"/>
      <c r="PF268" s="281"/>
      <c r="PG268" s="281"/>
      <c r="PH268" s="281"/>
      <c r="PI268" s="281"/>
      <c r="PJ268" s="281"/>
      <c r="PK268" s="281"/>
      <c r="PL268" s="281"/>
      <c r="PM268" s="281"/>
      <c r="PN268" s="282"/>
      <c r="PO268" s="280"/>
      <c r="PP268" s="281"/>
      <c r="PQ268" s="281"/>
      <c r="PR268" s="281"/>
      <c r="PS268" s="281"/>
      <c r="PT268" s="281"/>
      <c r="PU268" s="281"/>
      <c r="PV268" s="281"/>
      <c r="PW268" s="281"/>
      <c r="PX268" s="281"/>
      <c r="PY268" s="281"/>
      <c r="PZ268" s="281"/>
      <c r="QA268" s="281"/>
      <c r="QB268" s="281"/>
      <c r="QC268" s="281"/>
      <c r="QD268" s="281"/>
      <c r="QE268" s="281"/>
      <c r="QF268" s="281"/>
      <c r="QG268" s="281"/>
      <c r="QH268" s="281"/>
      <c r="QI268" s="281"/>
      <c r="QJ268" s="281"/>
      <c r="QK268" s="281"/>
      <c r="QL268" s="281"/>
      <c r="QM268" s="281"/>
      <c r="QN268" s="281"/>
      <c r="QO268" s="281"/>
      <c r="QP268" s="282"/>
      <c r="QQ268" s="230"/>
      <c r="QR268" s="231"/>
    </row>
    <row r="269" spans="3:460" ht="5.0999999999999996" customHeight="1" thickBot="1" x14ac:dyDescent="0.3">
      <c r="C269" s="226"/>
      <c r="D269" s="227"/>
      <c r="E269" s="229"/>
      <c r="F269" s="283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  <c r="AC269" s="284"/>
      <c r="AD269" s="284"/>
      <c r="AE269" s="284"/>
      <c r="AF269" s="284"/>
      <c r="AG269" s="285"/>
      <c r="AH269" s="283"/>
      <c r="AI269" s="284"/>
      <c r="AJ269" s="284"/>
      <c r="AK269" s="284"/>
      <c r="AL269" s="284"/>
      <c r="AM269" s="284"/>
      <c r="AN269" s="284"/>
      <c r="AO269" s="284"/>
      <c r="AP269" s="284"/>
      <c r="AQ269" s="284"/>
      <c r="AR269" s="284"/>
      <c r="AS269" s="284"/>
      <c r="AT269" s="284"/>
      <c r="AU269" s="284"/>
      <c r="AV269" s="284"/>
      <c r="AW269" s="284"/>
      <c r="AX269" s="284"/>
      <c r="AY269" s="284"/>
      <c r="AZ269" s="284"/>
      <c r="BA269" s="284"/>
      <c r="BB269" s="284"/>
      <c r="BC269" s="284"/>
      <c r="BD269" s="284"/>
      <c r="BE269" s="284"/>
      <c r="BF269" s="284"/>
      <c r="BG269" s="284"/>
      <c r="BH269" s="284"/>
      <c r="BI269" s="285"/>
      <c r="BJ269" s="283"/>
      <c r="BK269" s="284"/>
      <c r="BL269" s="284"/>
      <c r="BM269" s="284"/>
      <c r="BN269" s="284"/>
      <c r="BO269" s="284"/>
      <c r="BP269" s="284"/>
      <c r="BQ269" s="284"/>
      <c r="BR269" s="284"/>
      <c r="BS269" s="284"/>
      <c r="BT269" s="284"/>
      <c r="BU269" s="284"/>
      <c r="BV269" s="284"/>
      <c r="BW269" s="284"/>
      <c r="BX269" s="284"/>
      <c r="BY269" s="284"/>
      <c r="BZ269" s="284"/>
      <c r="CA269" s="284"/>
      <c r="CB269" s="284"/>
      <c r="CC269" s="284"/>
      <c r="CD269" s="284"/>
      <c r="CE269" s="284"/>
      <c r="CF269" s="284"/>
      <c r="CG269" s="284"/>
      <c r="CH269" s="284"/>
      <c r="CI269" s="284"/>
      <c r="CJ269" s="284"/>
      <c r="CK269" s="285"/>
      <c r="NK269" s="280"/>
      <c r="NL269" s="281"/>
      <c r="NM269" s="281"/>
      <c r="NN269" s="281"/>
      <c r="NO269" s="281"/>
      <c r="NP269" s="281"/>
      <c r="NQ269" s="281"/>
      <c r="NR269" s="281"/>
      <c r="NS269" s="281"/>
      <c r="NT269" s="281"/>
      <c r="NU269" s="281"/>
      <c r="NV269" s="281"/>
      <c r="NW269" s="281"/>
      <c r="NX269" s="281"/>
      <c r="NY269" s="281"/>
      <c r="NZ269" s="281"/>
      <c r="OA269" s="281"/>
      <c r="OB269" s="281"/>
      <c r="OC269" s="281"/>
      <c r="OD269" s="281"/>
      <c r="OE269" s="281"/>
      <c r="OF269" s="281"/>
      <c r="OG269" s="281"/>
      <c r="OH269" s="281"/>
      <c r="OI269" s="281"/>
      <c r="OJ269" s="281"/>
      <c r="OK269" s="281"/>
      <c r="OL269" s="282"/>
      <c r="OM269" s="280"/>
      <c r="ON269" s="281"/>
      <c r="OO269" s="281"/>
      <c r="OP269" s="281"/>
      <c r="OQ269" s="281"/>
      <c r="OR269" s="281"/>
      <c r="OS269" s="281"/>
      <c r="OT269" s="281"/>
      <c r="OU269" s="281"/>
      <c r="OV269" s="281"/>
      <c r="OW269" s="281"/>
      <c r="OX269" s="281"/>
      <c r="OY269" s="281"/>
      <c r="OZ269" s="281"/>
      <c r="PA269" s="281"/>
      <c r="PB269" s="281"/>
      <c r="PC269" s="281"/>
      <c r="PD269" s="281"/>
      <c r="PE269" s="281"/>
      <c r="PF269" s="281"/>
      <c r="PG269" s="281"/>
      <c r="PH269" s="281"/>
      <c r="PI269" s="281"/>
      <c r="PJ269" s="281"/>
      <c r="PK269" s="281"/>
      <c r="PL269" s="281"/>
      <c r="PM269" s="281"/>
      <c r="PN269" s="282"/>
      <c r="PO269" s="280"/>
      <c r="PP269" s="281"/>
      <c r="PQ269" s="281"/>
      <c r="PR269" s="281"/>
      <c r="PS269" s="281"/>
      <c r="PT269" s="281"/>
      <c r="PU269" s="281"/>
      <c r="PV269" s="281"/>
      <c r="PW269" s="281"/>
      <c r="PX269" s="281"/>
      <c r="PY269" s="281"/>
      <c r="PZ269" s="281"/>
      <c r="QA269" s="281"/>
      <c r="QB269" s="281"/>
      <c r="QC269" s="281"/>
      <c r="QD269" s="281"/>
      <c r="QE269" s="281"/>
      <c r="QF269" s="281"/>
      <c r="QG269" s="281"/>
      <c r="QH269" s="281"/>
      <c r="QI269" s="281"/>
      <c r="QJ269" s="281"/>
      <c r="QK269" s="281"/>
      <c r="QL269" s="281"/>
      <c r="QM269" s="281"/>
      <c r="QN269" s="281"/>
      <c r="QO269" s="281"/>
      <c r="QP269" s="282"/>
      <c r="QQ269" s="230"/>
      <c r="QR269" s="231"/>
    </row>
    <row r="270" spans="3:460" ht="5.0999999999999996" customHeight="1" thickBot="1" x14ac:dyDescent="0.3">
      <c r="C270" s="226"/>
      <c r="D270" s="227"/>
      <c r="E270" s="229"/>
      <c r="NK270" s="283"/>
      <c r="NL270" s="284"/>
      <c r="NM270" s="284"/>
      <c r="NN270" s="284"/>
      <c r="NO270" s="284"/>
      <c r="NP270" s="284"/>
      <c r="NQ270" s="284"/>
      <c r="NR270" s="284"/>
      <c r="NS270" s="284"/>
      <c r="NT270" s="284"/>
      <c r="NU270" s="284"/>
      <c r="NV270" s="284"/>
      <c r="NW270" s="284"/>
      <c r="NX270" s="284"/>
      <c r="NY270" s="284"/>
      <c r="NZ270" s="284"/>
      <c r="OA270" s="284"/>
      <c r="OB270" s="284"/>
      <c r="OC270" s="284"/>
      <c r="OD270" s="284"/>
      <c r="OE270" s="284"/>
      <c r="OF270" s="284"/>
      <c r="OG270" s="284"/>
      <c r="OH270" s="284"/>
      <c r="OI270" s="284"/>
      <c r="OJ270" s="284"/>
      <c r="OK270" s="284"/>
      <c r="OL270" s="285"/>
      <c r="OM270" s="283"/>
      <c r="ON270" s="284"/>
      <c r="OO270" s="284"/>
      <c r="OP270" s="284"/>
      <c r="OQ270" s="284"/>
      <c r="OR270" s="284"/>
      <c r="OS270" s="284"/>
      <c r="OT270" s="284"/>
      <c r="OU270" s="284"/>
      <c r="OV270" s="284"/>
      <c r="OW270" s="284"/>
      <c r="OX270" s="284"/>
      <c r="OY270" s="284"/>
      <c r="OZ270" s="284"/>
      <c r="PA270" s="284"/>
      <c r="PB270" s="284"/>
      <c r="PC270" s="284"/>
      <c r="PD270" s="284"/>
      <c r="PE270" s="284"/>
      <c r="PF270" s="284"/>
      <c r="PG270" s="284"/>
      <c r="PH270" s="284"/>
      <c r="PI270" s="284"/>
      <c r="PJ270" s="284"/>
      <c r="PK270" s="284"/>
      <c r="PL270" s="284"/>
      <c r="PM270" s="284"/>
      <c r="PN270" s="285"/>
      <c r="PO270" s="283"/>
      <c r="PP270" s="284"/>
      <c r="PQ270" s="284"/>
      <c r="PR270" s="284"/>
      <c r="PS270" s="284"/>
      <c r="PT270" s="284"/>
      <c r="PU270" s="284"/>
      <c r="PV270" s="284"/>
      <c r="PW270" s="284"/>
      <c r="PX270" s="284"/>
      <c r="PY270" s="284"/>
      <c r="PZ270" s="284"/>
      <c r="QA270" s="284"/>
      <c r="QB270" s="284"/>
      <c r="QC270" s="284"/>
      <c r="QD270" s="284"/>
      <c r="QE270" s="284"/>
      <c r="QF270" s="284"/>
      <c r="QG270" s="284"/>
      <c r="QH270" s="284"/>
      <c r="QI270" s="284"/>
      <c r="QJ270" s="284"/>
      <c r="QK270" s="284"/>
      <c r="QL270" s="284"/>
      <c r="QM270" s="284"/>
      <c r="QN270" s="284"/>
      <c r="QO270" s="284"/>
      <c r="QP270" s="285"/>
      <c r="QQ270" s="230"/>
      <c r="QR270" s="231"/>
    </row>
    <row r="271" spans="3:460" ht="5.0999999999999996" customHeight="1" x14ac:dyDescent="0.25">
      <c r="C271" s="226"/>
      <c r="D271" s="227"/>
      <c r="E271" s="229"/>
      <c r="QQ271" s="230"/>
      <c r="QR271" s="231"/>
    </row>
    <row r="272" spans="3:460" ht="5.0999999999999996" customHeight="1" x14ac:dyDescent="0.25">
      <c r="C272" s="226"/>
      <c r="D272" s="227"/>
      <c r="E272" s="229"/>
      <c r="QQ272" s="230"/>
      <c r="QR272" s="231"/>
    </row>
    <row r="273" spans="3:483" ht="5.0999999999999996" customHeight="1" x14ac:dyDescent="0.25">
      <c r="C273" s="226"/>
      <c r="D273" s="254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45"/>
      <c r="BB273" s="245"/>
      <c r="BC273" s="245"/>
      <c r="BD273" s="245"/>
      <c r="BE273" s="245"/>
      <c r="BF273" s="245"/>
      <c r="BG273" s="245"/>
      <c r="BH273" s="245"/>
      <c r="BI273" s="245"/>
      <c r="BJ273" s="245"/>
      <c r="BK273" s="245"/>
      <c r="BL273" s="245"/>
      <c r="BM273" s="245"/>
      <c r="BN273" s="245"/>
      <c r="BO273" s="245"/>
      <c r="BP273" s="245"/>
      <c r="BQ273" s="245"/>
      <c r="BR273" s="245"/>
      <c r="BS273" s="245"/>
      <c r="BT273" s="245"/>
      <c r="BU273" s="245"/>
      <c r="BV273" s="245"/>
      <c r="BW273" s="245"/>
      <c r="BX273" s="245"/>
      <c r="BY273" s="245"/>
      <c r="BZ273" s="245"/>
      <c r="CA273" s="245"/>
      <c r="CB273" s="245"/>
      <c r="CC273" s="245"/>
      <c r="CD273" s="245"/>
      <c r="CE273" s="245"/>
      <c r="CF273" s="245"/>
      <c r="CG273" s="245"/>
      <c r="CH273" s="245"/>
      <c r="CI273" s="245"/>
      <c r="CJ273" s="245"/>
      <c r="CK273" s="245"/>
      <c r="CL273" s="245"/>
      <c r="CM273" s="245"/>
      <c r="CN273" s="245"/>
      <c r="CO273" s="245"/>
      <c r="CP273" s="245"/>
      <c r="CQ273" s="245"/>
      <c r="CR273" s="245"/>
      <c r="CS273" s="245"/>
      <c r="CT273" s="245"/>
      <c r="CU273" s="245"/>
      <c r="CV273" s="245"/>
      <c r="CW273" s="245"/>
      <c r="CX273" s="245"/>
      <c r="CY273" s="245"/>
      <c r="CZ273" s="245"/>
      <c r="DA273" s="245"/>
      <c r="DB273" s="245"/>
      <c r="DC273" s="245"/>
      <c r="DD273" s="245"/>
      <c r="DE273" s="245"/>
      <c r="DF273" s="245"/>
      <c r="DG273" s="245"/>
      <c r="DH273" s="245"/>
      <c r="DI273" s="245"/>
      <c r="DJ273" s="245"/>
      <c r="DK273" s="245"/>
      <c r="DL273" s="245"/>
      <c r="DM273" s="245"/>
      <c r="DN273" s="245"/>
      <c r="DO273" s="245"/>
      <c r="DP273" s="245"/>
      <c r="DQ273" s="245"/>
      <c r="DR273" s="245"/>
      <c r="DS273" s="245"/>
      <c r="DT273" s="245"/>
      <c r="DU273" s="245"/>
      <c r="DV273" s="245"/>
      <c r="DW273" s="245"/>
      <c r="DX273" s="245"/>
      <c r="DY273" s="245"/>
      <c r="DZ273" s="245"/>
      <c r="EA273" s="245"/>
      <c r="EB273" s="245"/>
      <c r="EC273" s="245"/>
      <c r="ED273" s="245"/>
      <c r="EE273" s="245"/>
      <c r="EF273" s="245"/>
      <c r="EG273" s="245"/>
      <c r="EH273" s="245"/>
      <c r="EI273" s="245"/>
      <c r="EJ273" s="245"/>
      <c r="EK273" s="245"/>
      <c r="EL273" s="245"/>
      <c r="EM273" s="245"/>
      <c r="EN273" s="245"/>
      <c r="EO273" s="245"/>
      <c r="EP273" s="245"/>
      <c r="EQ273" s="245"/>
      <c r="ER273" s="245"/>
      <c r="ES273" s="245"/>
      <c r="ET273" s="245"/>
      <c r="EU273" s="245"/>
      <c r="EV273" s="245"/>
      <c r="EW273" s="245"/>
      <c r="EX273" s="245"/>
      <c r="EY273" s="245"/>
      <c r="EZ273" s="245"/>
      <c r="FA273" s="245"/>
      <c r="FB273" s="245"/>
      <c r="FC273" s="245"/>
      <c r="FD273" s="245"/>
      <c r="FE273" s="245"/>
      <c r="FF273" s="245"/>
      <c r="FG273" s="245"/>
      <c r="FH273" s="245"/>
      <c r="FI273" s="245"/>
      <c r="FJ273" s="245"/>
      <c r="FK273" s="245"/>
      <c r="FL273" s="245"/>
      <c r="FM273" s="245"/>
      <c r="FN273" s="245"/>
      <c r="FO273" s="245"/>
      <c r="FP273" s="245"/>
      <c r="FQ273" s="245"/>
      <c r="FR273" s="245"/>
      <c r="FS273" s="245"/>
      <c r="FT273" s="245"/>
      <c r="FU273" s="245"/>
      <c r="FV273" s="245"/>
      <c r="FW273" s="245"/>
      <c r="FX273" s="245"/>
      <c r="FY273" s="245"/>
      <c r="FZ273" s="245"/>
      <c r="GA273" s="245"/>
      <c r="GB273" s="245"/>
      <c r="GC273" s="245"/>
      <c r="GD273" s="245"/>
      <c r="GE273" s="245"/>
      <c r="GF273" s="245"/>
      <c r="GG273" s="245"/>
      <c r="GH273" s="245"/>
      <c r="GI273" s="245"/>
      <c r="GJ273" s="245"/>
      <c r="GK273" s="245"/>
      <c r="GL273" s="245"/>
      <c r="GM273" s="245"/>
      <c r="GN273" s="245"/>
      <c r="GO273" s="245"/>
      <c r="GP273" s="245"/>
      <c r="GQ273" s="245"/>
      <c r="GR273" s="245"/>
      <c r="GS273" s="245"/>
      <c r="GT273" s="245"/>
      <c r="GU273" s="245"/>
      <c r="GV273" s="245"/>
      <c r="GW273" s="245"/>
      <c r="GX273" s="245"/>
      <c r="GY273" s="245"/>
      <c r="GZ273" s="245"/>
      <c r="HA273" s="245"/>
      <c r="HB273" s="245"/>
      <c r="HC273" s="245"/>
      <c r="HD273" s="245"/>
      <c r="HE273" s="245"/>
      <c r="HF273" s="245"/>
      <c r="HG273" s="245"/>
      <c r="HH273" s="245"/>
      <c r="HI273" s="245"/>
      <c r="HJ273" s="245"/>
      <c r="HK273" s="245"/>
      <c r="HL273" s="245"/>
      <c r="HM273" s="245"/>
      <c r="HN273" s="245"/>
      <c r="HO273" s="245"/>
      <c r="HP273" s="245"/>
      <c r="HQ273" s="245"/>
      <c r="HR273" s="245"/>
      <c r="HS273" s="245"/>
      <c r="HT273" s="245"/>
      <c r="HU273" s="245"/>
      <c r="HV273" s="245"/>
      <c r="HW273" s="245"/>
      <c r="HX273" s="245"/>
      <c r="HY273" s="245"/>
      <c r="HZ273" s="245"/>
      <c r="IA273" s="245"/>
      <c r="IB273" s="245"/>
      <c r="IC273" s="245"/>
      <c r="ID273" s="245"/>
      <c r="IE273" s="245"/>
      <c r="IF273" s="245"/>
      <c r="IG273" s="245"/>
      <c r="IH273" s="245"/>
      <c r="II273" s="245"/>
      <c r="IJ273" s="245"/>
      <c r="IK273" s="245"/>
      <c r="IL273" s="245"/>
      <c r="IM273" s="245"/>
      <c r="IN273" s="245"/>
      <c r="IO273" s="245"/>
      <c r="IP273" s="245"/>
      <c r="IQ273" s="245"/>
      <c r="IR273" s="245"/>
      <c r="IS273" s="245"/>
      <c r="IT273" s="245"/>
      <c r="IU273" s="245"/>
      <c r="IV273" s="245"/>
      <c r="IW273" s="245"/>
      <c r="IX273" s="245"/>
      <c r="IY273" s="245"/>
      <c r="IZ273" s="245"/>
      <c r="JA273" s="245"/>
      <c r="JB273" s="245"/>
      <c r="JC273" s="245"/>
      <c r="JD273" s="245"/>
      <c r="JE273" s="245"/>
      <c r="JF273" s="245"/>
      <c r="JG273" s="245"/>
      <c r="JH273" s="245"/>
      <c r="JI273" s="245"/>
      <c r="JJ273" s="245"/>
      <c r="JK273" s="245"/>
      <c r="JL273" s="245"/>
      <c r="JM273" s="245"/>
      <c r="JN273" s="245"/>
      <c r="JO273" s="245"/>
      <c r="JP273" s="245"/>
      <c r="JQ273" s="245"/>
      <c r="JR273" s="245"/>
      <c r="JS273" s="245"/>
      <c r="JT273" s="245"/>
      <c r="JU273" s="245"/>
      <c r="JV273" s="245"/>
      <c r="JW273" s="245"/>
      <c r="JX273" s="245"/>
      <c r="JY273" s="245"/>
      <c r="JZ273" s="245"/>
      <c r="KA273" s="245"/>
      <c r="KB273" s="245"/>
      <c r="KC273" s="245"/>
      <c r="KD273" s="245"/>
      <c r="KE273" s="245"/>
      <c r="KF273" s="245"/>
      <c r="KG273" s="245"/>
      <c r="KH273" s="245"/>
      <c r="KI273" s="245"/>
      <c r="KJ273" s="245"/>
      <c r="KK273" s="245"/>
      <c r="KL273" s="245"/>
      <c r="KM273" s="245"/>
      <c r="KN273" s="245"/>
      <c r="KO273" s="245"/>
      <c r="KP273" s="245"/>
      <c r="KQ273" s="245"/>
      <c r="KR273" s="245"/>
      <c r="KS273" s="245"/>
      <c r="KT273" s="245"/>
      <c r="KU273" s="245"/>
      <c r="KV273" s="245"/>
      <c r="KW273" s="245"/>
      <c r="KX273" s="245"/>
      <c r="KY273" s="245"/>
      <c r="KZ273" s="245"/>
      <c r="LA273" s="245"/>
      <c r="LB273" s="245"/>
      <c r="LC273" s="245"/>
      <c r="LD273" s="245"/>
      <c r="LE273" s="245"/>
      <c r="LF273" s="245"/>
      <c r="LG273" s="245"/>
      <c r="LH273" s="245"/>
      <c r="LI273" s="245"/>
      <c r="LJ273" s="245"/>
      <c r="LK273" s="245"/>
      <c r="LL273" s="245"/>
      <c r="LM273" s="245"/>
      <c r="LN273" s="245"/>
      <c r="LO273" s="245"/>
      <c r="LP273" s="245"/>
      <c r="LQ273" s="245"/>
      <c r="LR273" s="245"/>
      <c r="LS273" s="245"/>
      <c r="LT273" s="245"/>
      <c r="LU273" s="245"/>
      <c r="LV273" s="245"/>
      <c r="LW273" s="245"/>
      <c r="LX273" s="245"/>
      <c r="LY273" s="245"/>
      <c r="LZ273" s="245"/>
      <c r="MA273" s="245"/>
      <c r="MB273" s="245"/>
      <c r="MC273" s="245"/>
      <c r="MD273" s="245"/>
      <c r="ME273" s="245"/>
      <c r="MF273" s="245"/>
      <c r="MG273" s="245"/>
      <c r="MH273" s="245"/>
      <c r="MI273" s="245"/>
      <c r="MJ273" s="245"/>
      <c r="MK273" s="245"/>
      <c r="ML273" s="245"/>
      <c r="MM273" s="245"/>
      <c r="MN273" s="245"/>
      <c r="MO273" s="245"/>
      <c r="MP273" s="245"/>
      <c r="MQ273" s="245"/>
      <c r="MR273" s="245"/>
      <c r="MS273" s="245"/>
      <c r="MT273" s="245"/>
      <c r="MU273" s="245"/>
      <c r="MV273" s="245"/>
      <c r="MW273" s="245"/>
      <c r="MX273" s="245"/>
      <c r="MY273" s="245"/>
      <c r="MZ273" s="245"/>
      <c r="NA273" s="245"/>
      <c r="NB273" s="245"/>
      <c r="NC273" s="245"/>
      <c r="ND273" s="245"/>
      <c r="NE273" s="245"/>
      <c r="NF273" s="245"/>
      <c r="NG273" s="245"/>
      <c r="NH273" s="245"/>
      <c r="NI273" s="245"/>
      <c r="NJ273" s="245"/>
      <c r="NK273" s="245"/>
      <c r="NL273" s="245"/>
      <c r="NM273" s="245"/>
      <c r="NN273" s="245"/>
      <c r="NO273" s="245"/>
      <c r="NP273" s="245"/>
      <c r="NQ273" s="245"/>
      <c r="NR273" s="245"/>
      <c r="NS273" s="245"/>
      <c r="NT273" s="245"/>
      <c r="NU273" s="245"/>
      <c r="NV273" s="245"/>
      <c r="NW273" s="245"/>
      <c r="NX273" s="245"/>
      <c r="NY273" s="245"/>
      <c r="NZ273" s="245"/>
      <c r="OA273" s="245"/>
      <c r="OB273" s="245"/>
      <c r="OC273" s="245"/>
      <c r="OD273" s="245"/>
      <c r="OE273" s="245"/>
      <c r="OF273" s="245"/>
      <c r="OG273" s="245"/>
      <c r="OH273" s="245"/>
      <c r="OI273" s="245"/>
      <c r="OJ273" s="245"/>
      <c r="OK273" s="245"/>
      <c r="OL273" s="245"/>
      <c r="OM273" s="245"/>
      <c r="ON273" s="245"/>
      <c r="OO273" s="245"/>
      <c r="OP273" s="245"/>
      <c r="OQ273" s="245"/>
      <c r="OR273" s="245"/>
      <c r="OS273" s="245"/>
      <c r="OT273" s="245"/>
      <c r="OU273" s="245"/>
      <c r="OV273" s="245"/>
      <c r="OW273" s="245"/>
      <c r="OX273" s="245"/>
      <c r="OY273" s="245"/>
      <c r="OZ273" s="245"/>
      <c r="PA273" s="245"/>
      <c r="PB273" s="245"/>
      <c r="PC273" s="245"/>
      <c r="PD273" s="245"/>
      <c r="PE273" s="245"/>
      <c r="PF273" s="245"/>
      <c r="PG273" s="245"/>
      <c r="PH273" s="245"/>
      <c r="PI273" s="245"/>
      <c r="PJ273" s="245"/>
      <c r="PK273" s="245"/>
      <c r="PL273" s="245"/>
      <c r="PM273" s="245"/>
      <c r="PN273" s="245"/>
      <c r="PO273" s="245"/>
      <c r="PP273" s="245"/>
      <c r="PQ273" s="245"/>
      <c r="PR273" s="245"/>
      <c r="PS273" s="245"/>
      <c r="PT273" s="245"/>
      <c r="PU273" s="245"/>
      <c r="PV273" s="245"/>
      <c r="PW273" s="245"/>
      <c r="PX273" s="245"/>
      <c r="PY273" s="245"/>
      <c r="PZ273" s="245"/>
      <c r="QA273" s="245"/>
      <c r="QB273" s="245"/>
      <c r="QC273" s="245"/>
      <c r="QD273" s="245"/>
      <c r="QE273" s="245"/>
      <c r="QF273" s="245"/>
      <c r="QG273" s="245"/>
      <c r="QH273" s="245"/>
      <c r="QI273" s="245"/>
      <c r="QJ273" s="245"/>
      <c r="QK273" s="245"/>
      <c r="QL273" s="245"/>
      <c r="QM273" s="245"/>
      <c r="QN273" s="245"/>
      <c r="QO273" s="245"/>
      <c r="QP273" s="245"/>
      <c r="QQ273" s="267"/>
      <c r="QR273" s="231"/>
    </row>
    <row r="274" spans="3:483" ht="5.0999999999999996" customHeight="1" thickBot="1" x14ac:dyDescent="0.3">
      <c r="C274" s="268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  <c r="AL274" s="269"/>
      <c r="AM274" s="269"/>
      <c r="AN274" s="269"/>
      <c r="AO274" s="269"/>
      <c r="AP274" s="269"/>
      <c r="AQ274" s="269"/>
      <c r="AR274" s="269"/>
      <c r="AS274" s="269"/>
      <c r="AT274" s="269"/>
      <c r="AU274" s="269"/>
      <c r="AV274" s="269"/>
      <c r="AW274" s="269"/>
      <c r="AX274" s="269"/>
      <c r="AY274" s="269"/>
      <c r="AZ274" s="269"/>
      <c r="BA274" s="269"/>
      <c r="BB274" s="269"/>
      <c r="BC274" s="269"/>
      <c r="BD274" s="269"/>
      <c r="BE274" s="269"/>
      <c r="BF274" s="269"/>
      <c r="BG274" s="269"/>
      <c r="BH274" s="269"/>
      <c r="BI274" s="269"/>
      <c r="BJ274" s="269"/>
      <c r="BK274" s="269"/>
      <c r="BL274" s="269"/>
      <c r="BM274" s="269"/>
      <c r="BN274" s="269"/>
      <c r="BO274" s="269"/>
      <c r="BP274" s="269"/>
      <c r="BQ274" s="269"/>
      <c r="BR274" s="269"/>
      <c r="BS274" s="269"/>
      <c r="BT274" s="269"/>
      <c r="BU274" s="269"/>
      <c r="BV274" s="269"/>
      <c r="BW274" s="269"/>
      <c r="BX274" s="269"/>
      <c r="BY274" s="269"/>
      <c r="BZ274" s="269"/>
      <c r="CA274" s="269"/>
      <c r="CB274" s="269"/>
      <c r="CC274" s="269"/>
      <c r="CD274" s="269"/>
      <c r="CE274" s="269"/>
      <c r="CF274" s="269"/>
      <c r="CG274" s="269"/>
      <c r="CH274" s="269"/>
      <c r="CI274" s="269"/>
      <c r="CJ274" s="269"/>
      <c r="CK274" s="269"/>
      <c r="CL274" s="269"/>
      <c r="CM274" s="269"/>
      <c r="CN274" s="269"/>
      <c r="CO274" s="269"/>
      <c r="CP274" s="269"/>
      <c r="CQ274" s="269"/>
      <c r="CR274" s="269"/>
      <c r="CS274" s="269"/>
      <c r="CT274" s="269"/>
      <c r="CU274" s="269"/>
      <c r="CV274" s="269"/>
      <c r="CW274" s="269"/>
      <c r="CX274" s="269"/>
      <c r="CY274" s="269"/>
      <c r="CZ274" s="269"/>
      <c r="DA274" s="269"/>
      <c r="DB274" s="269"/>
      <c r="DC274" s="269"/>
      <c r="DD274" s="269"/>
      <c r="DE274" s="269"/>
      <c r="DF274" s="269"/>
      <c r="DG274" s="269"/>
      <c r="DH274" s="269"/>
      <c r="DI274" s="269"/>
      <c r="DJ274" s="269"/>
      <c r="DK274" s="269"/>
      <c r="DL274" s="269"/>
      <c r="DM274" s="269"/>
      <c r="DN274" s="269"/>
      <c r="DO274" s="269"/>
      <c r="DP274" s="269"/>
      <c r="DQ274" s="269"/>
      <c r="DR274" s="269"/>
      <c r="DS274" s="269"/>
      <c r="DT274" s="269"/>
      <c r="DU274" s="269"/>
      <c r="DV274" s="269"/>
      <c r="DW274" s="269"/>
      <c r="DX274" s="269"/>
      <c r="DY274" s="269"/>
      <c r="DZ274" s="269"/>
      <c r="EA274" s="269"/>
      <c r="EB274" s="269"/>
      <c r="EC274" s="269"/>
      <c r="ED274" s="269"/>
      <c r="EE274" s="269"/>
      <c r="EF274" s="269"/>
      <c r="EG274" s="269"/>
      <c r="EH274" s="269"/>
      <c r="EI274" s="269"/>
      <c r="EJ274" s="269"/>
      <c r="EK274" s="269"/>
      <c r="EL274" s="269"/>
      <c r="EM274" s="269"/>
      <c r="EN274" s="269"/>
      <c r="EO274" s="269"/>
      <c r="EP274" s="269"/>
      <c r="EQ274" s="269"/>
      <c r="ER274" s="269"/>
      <c r="ES274" s="269"/>
      <c r="ET274" s="269"/>
      <c r="EU274" s="269"/>
      <c r="EV274" s="269"/>
      <c r="EW274" s="269"/>
      <c r="EX274" s="269"/>
      <c r="EY274" s="269"/>
      <c r="EZ274" s="269"/>
      <c r="FA274" s="269"/>
      <c r="FB274" s="269"/>
      <c r="FC274" s="269"/>
      <c r="FD274" s="269"/>
      <c r="FE274" s="269"/>
      <c r="FF274" s="269"/>
      <c r="FG274" s="269"/>
      <c r="FH274" s="269"/>
      <c r="FI274" s="269"/>
      <c r="FJ274" s="269"/>
      <c r="FK274" s="269"/>
      <c r="FL274" s="269"/>
      <c r="FM274" s="269"/>
      <c r="FN274" s="269"/>
      <c r="FO274" s="269"/>
      <c r="FP274" s="269"/>
      <c r="FQ274" s="269"/>
      <c r="FR274" s="269"/>
      <c r="FS274" s="269"/>
      <c r="FT274" s="269"/>
      <c r="FU274" s="269"/>
      <c r="FV274" s="269"/>
      <c r="FW274" s="269"/>
      <c r="FX274" s="269"/>
      <c r="FY274" s="269"/>
      <c r="FZ274" s="269"/>
      <c r="GA274" s="269"/>
      <c r="GB274" s="269"/>
      <c r="GC274" s="269"/>
      <c r="GD274" s="269"/>
      <c r="GE274" s="269"/>
      <c r="GF274" s="269"/>
      <c r="GG274" s="269"/>
      <c r="GH274" s="269"/>
      <c r="GI274" s="269"/>
      <c r="GJ274" s="269"/>
      <c r="GK274" s="269"/>
      <c r="GL274" s="269"/>
      <c r="GM274" s="269"/>
      <c r="GN274" s="269"/>
      <c r="GO274" s="269"/>
      <c r="GP274" s="269"/>
      <c r="GQ274" s="269"/>
      <c r="GR274" s="269"/>
      <c r="GS274" s="269"/>
      <c r="GT274" s="269"/>
      <c r="GU274" s="269"/>
      <c r="GV274" s="269"/>
      <c r="GW274" s="269"/>
      <c r="GX274" s="269"/>
      <c r="GY274" s="269"/>
      <c r="GZ274" s="269"/>
      <c r="HA274" s="269"/>
      <c r="HB274" s="269"/>
      <c r="HC274" s="269"/>
      <c r="HD274" s="269"/>
      <c r="HE274" s="269"/>
      <c r="HF274" s="269"/>
      <c r="HG274" s="269"/>
      <c r="HH274" s="269"/>
      <c r="HI274" s="269"/>
      <c r="HJ274" s="269"/>
      <c r="HK274" s="269"/>
      <c r="HL274" s="269"/>
      <c r="HM274" s="269"/>
      <c r="HN274" s="269"/>
      <c r="HO274" s="269"/>
      <c r="HP274" s="269"/>
      <c r="HQ274" s="269"/>
      <c r="HR274" s="269"/>
      <c r="HS274" s="269"/>
      <c r="HT274" s="269"/>
      <c r="HU274" s="269"/>
      <c r="HV274" s="269"/>
      <c r="HW274" s="269"/>
      <c r="HX274" s="269"/>
      <c r="HY274" s="269"/>
      <c r="HZ274" s="269"/>
      <c r="IA274" s="269"/>
      <c r="IB274" s="269"/>
      <c r="IC274" s="269"/>
      <c r="ID274" s="269"/>
      <c r="IE274" s="269"/>
      <c r="IF274" s="269"/>
      <c r="IG274" s="269"/>
      <c r="IH274" s="269"/>
      <c r="II274" s="269"/>
      <c r="IJ274" s="269"/>
      <c r="IK274" s="269"/>
      <c r="IL274" s="269"/>
      <c r="IM274" s="269"/>
      <c r="IN274" s="269"/>
      <c r="IO274" s="269"/>
      <c r="IP274" s="269"/>
      <c r="IQ274" s="269"/>
      <c r="IR274" s="269"/>
      <c r="IS274" s="269"/>
      <c r="IT274" s="269"/>
      <c r="IU274" s="269"/>
      <c r="IV274" s="269"/>
      <c r="IW274" s="269"/>
      <c r="IX274" s="269"/>
      <c r="IY274" s="269"/>
      <c r="IZ274" s="269"/>
      <c r="JA274" s="269"/>
      <c r="JB274" s="269"/>
      <c r="JC274" s="269"/>
      <c r="JD274" s="269"/>
      <c r="JE274" s="269"/>
      <c r="JF274" s="269"/>
      <c r="JG274" s="269"/>
      <c r="JH274" s="269"/>
      <c r="JI274" s="269"/>
      <c r="JJ274" s="269"/>
      <c r="JK274" s="269"/>
      <c r="JL274" s="269"/>
      <c r="JM274" s="269"/>
      <c r="JN274" s="269"/>
      <c r="JO274" s="269"/>
      <c r="JP274" s="269"/>
      <c r="JQ274" s="269"/>
      <c r="JR274" s="269"/>
      <c r="JS274" s="269"/>
      <c r="JT274" s="269"/>
      <c r="JU274" s="269"/>
      <c r="JV274" s="269"/>
      <c r="JW274" s="269"/>
      <c r="JX274" s="269"/>
      <c r="JY274" s="269"/>
      <c r="JZ274" s="269"/>
      <c r="KA274" s="269"/>
      <c r="KB274" s="269"/>
      <c r="KC274" s="269"/>
      <c r="KD274" s="269"/>
      <c r="KE274" s="269"/>
      <c r="KF274" s="269"/>
      <c r="KG274" s="269"/>
      <c r="KH274" s="269"/>
      <c r="KI274" s="269"/>
      <c r="KJ274" s="269"/>
      <c r="KK274" s="269"/>
      <c r="KL274" s="269"/>
      <c r="KM274" s="269"/>
      <c r="KN274" s="269"/>
      <c r="KO274" s="269"/>
      <c r="KP274" s="269"/>
      <c r="KQ274" s="269"/>
      <c r="KR274" s="269"/>
      <c r="KS274" s="269"/>
      <c r="KT274" s="269"/>
      <c r="KU274" s="269"/>
      <c r="KV274" s="269"/>
      <c r="KW274" s="269"/>
      <c r="KX274" s="269"/>
      <c r="KY274" s="269"/>
      <c r="KZ274" s="269"/>
      <c r="LA274" s="269"/>
      <c r="LB274" s="269"/>
      <c r="LC274" s="269"/>
      <c r="LD274" s="269"/>
      <c r="LE274" s="269"/>
      <c r="LF274" s="269"/>
      <c r="LG274" s="269"/>
      <c r="LH274" s="269"/>
      <c r="LI274" s="269"/>
      <c r="LJ274" s="269"/>
      <c r="LK274" s="269"/>
      <c r="LL274" s="269"/>
      <c r="LM274" s="269"/>
      <c r="LN274" s="269"/>
      <c r="LO274" s="269"/>
      <c r="LP274" s="269"/>
      <c r="LQ274" s="269"/>
      <c r="LR274" s="269"/>
      <c r="LS274" s="269"/>
      <c r="LT274" s="269"/>
      <c r="LU274" s="269"/>
      <c r="LV274" s="269"/>
      <c r="LW274" s="269"/>
      <c r="LX274" s="269"/>
      <c r="LY274" s="269"/>
      <c r="LZ274" s="269"/>
      <c r="MA274" s="269"/>
      <c r="MB274" s="269"/>
      <c r="MC274" s="269"/>
      <c r="MD274" s="269"/>
      <c r="ME274" s="269"/>
      <c r="MF274" s="269"/>
      <c r="MG274" s="269"/>
      <c r="MH274" s="269"/>
      <c r="MI274" s="269"/>
      <c r="MJ274" s="269"/>
      <c r="MK274" s="269"/>
      <c r="ML274" s="269"/>
      <c r="MM274" s="269"/>
      <c r="MN274" s="269"/>
      <c r="MO274" s="269"/>
      <c r="MP274" s="269"/>
      <c r="MQ274" s="269"/>
      <c r="MR274" s="269"/>
      <c r="MS274" s="269"/>
      <c r="MT274" s="269"/>
      <c r="MU274" s="269"/>
      <c r="MV274" s="269"/>
      <c r="MW274" s="269"/>
      <c r="MX274" s="269"/>
      <c r="MY274" s="269"/>
      <c r="MZ274" s="269"/>
      <c r="NA274" s="269"/>
      <c r="NB274" s="269"/>
      <c r="NC274" s="269"/>
      <c r="ND274" s="269"/>
      <c r="NE274" s="269"/>
      <c r="NF274" s="269"/>
      <c r="NG274" s="269"/>
      <c r="NH274" s="269"/>
      <c r="NI274" s="269"/>
      <c r="NJ274" s="269"/>
      <c r="NK274" s="269"/>
      <c r="NL274" s="269"/>
      <c r="NM274" s="269"/>
      <c r="NN274" s="269"/>
      <c r="NO274" s="269"/>
      <c r="NP274" s="269"/>
      <c r="NQ274" s="269"/>
      <c r="NR274" s="269"/>
      <c r="NS274" s="269"/>
      <c r="NT274" s="269"/>
      <c r="NU274" s="269"/>
      <c r="NV274" s="269"/>
      <c r="NW274" s="269"/>
      <c r="NX274" s="269"/>
      <c r="NY274" s="269"/>
      <c r="NZ274" s="269"/>
      <c r="OA274" s="269"/>
      <c r="OB274" s="269"/>
      <c r="OC274" s="269"/>
      <c r="OD274" s="269"/>
      <c r="OE274" s="269"/>
      <c r="OF274" s="269"/>
      <c r="OG274" s="269"/>
      <c r="OH274" s="269"/>
      <c r="OI274" s="269"/>
      <c r="OJ274" s="269"/>
      <c r="OK274" s="269"/>
      <c r="OL274" s="269"/>
      <c r="OM274" s="269"/>
      <c r="ON274" s="269"/>
      <c r="OO274" s="269"/>
      <c r="OP274" s="269"/>
      <c r="OQ274" s="269"/>
      <c r="OR274" s="269"/>
      <c r="OS274" s="269"/>
      <c r="OT274" s="269"/>
      <c r="OU274" s="269"/>
      <c r="OV274" s="269"/>
      <c r="OW274" s="269"/>
      <c r="OX274" s="269"/>
      <c r="OY274" s="269"/>
      <c r="OZ274" s="269"/>
      <c r="PA274" s="269"/>
      <c r="PB274" s="269"/>
      <c r="PC274" s="269"/>
      <c r="PD274" s="269"/>
      <c r="PE274" s="269"/>
      <c r="PF274" s="269"/>
      <c r="PG274" s="269"/>
      <c r="PH274" s="269"/>
      <c r="PI274" s="269"/>
      <c r="PJ274" s="269"/>
      <c r="PK274" s="269"/>
      <c r="PL274" s="269"/>
      <c r="PM274" s="269"/>
      <c r="PN274" s="269"/>
      <c r="PO274" s="269"/>
      <c r="PP274" s="269"/>
      <c r="PQ274" s="269"/>
      <c r="PR274" s="269"/>
      <c r="PS274" s="269"/>
      <c r="PT274" s="269"/>
      <c r="PU274" s="269"/>
      <c r="PV274" s="269"/>
      <c r="PW274" s="269"/>
      <c r="PX274" s="269"/>
      <c r="PY274" s="269"/>
      <c r="PZ274" s="269"/>
      <c r="QA274" s="269"/>
      <c r="QB274" s="269"/>
      <c r="QC274" s="269"/>
      <c r="QD274" s="269"/>
      <c r="QE274" s="269"/>
      <c r="QF274" s="269"/>
      <c r="QG274" s="269"/>
      <c r="QH274" s="269"/>
      <c r="QI274" s="269"/>
      <c r="QJ274" s="269"/>
      <c r="QK274" s="269"/>
      <c r="QL274" s="269"/>
      <c r="QM274" s="269"/>
      <c r="QN274" s="269"/>
      <c r="QO274" s="269"/>
      <c r="QP274" s="269"/>
      <c r="QQ274" s="269"/>
      <c r="QR274" s="270"/>
    </row>
    <row r="275" spans="3:483" ht="5.0999999999999996" customHeight="1" thickTop="1" x14ac:dyDescent="0.25"/>
    <row r="279" spans="3:483" ht="5.0999999999999996" customHeight="1" x14ac:dyDescent="0.25">
      <c r="F279" s="249"/>
      <c r="G279" s="249"/>
      <c r="IX279" s="249"/>
      <c r="IY279" s="249"/>
      <c r="IZ279" s="249"/>
      <c r="JA279" s="249"/>
      <c r="JB279" s="249"/>
      <c r="JC279" s="249"/>
      <c r="JD279" s="249"/>
      <c r="JE279" s="249"/>
      <c r="JF279" s="249"/>
      <c r="JG279" s="249"/>
      <c r="JH279" s="249"/>
      <c r="JI279" s="249"/>
      <c r="JJ279" s="249"/>
      <c r="JK279" s="249"/>
      <c r="JL279" s="249"/>
      <c r="JM279" s="249"/>
      <c r="JN279" s="249"/>
      <c r="JO279" s="249"/>
      <c r="JP279" s="249"/>
      <c r="JQ279" s="249"/>
      <c r="JR279" s="249"/>
      <c r="JS279" s="249"/>
      <c r="JT279" s="249"/>
      <c r="JU279" s="249"/>
      <c r="JV279" s="249"/>
      <c r="JW279" s="249"/>
      <c r="JX279" s="249"/>
      <c r="JY279" s="249"/>
      <c r="JZ279" s="249"/>
      <c r="KA279" s="249"/>
      <c r="KB279" s="249"/>
      <c r="KC279" s="249"/>
      <c r="KD279" s="249"/>
      <c r="KE279" s="249"/>
      <c r="KF279" s="249"/>
      <c r="KG279" s="249"/>
      <c r="KH279" s="249"/>
      <c r="KI279" s="249"/>
      <c r="KJ279" s="249"/>
      <c r="KK279" s="249"/>
      <c r="KL279" s="249"/>
      <c r="KM279" s="249"/>
      <c r="KN279" s="249"/>
      <c r="KO279" s="249"/>
      <c r="KP279" s="249"/>
      <c r="KQ279" s="249"/>
      <c r="KR279" s="249"/>
      <c r="KS279" s="249"/>
      <c r="KT279" s="249"/>
      <c r="KU279" s="249"/>
      <c r="LQ279" s="249"/>
      <c r="LR279" s="249"/>
      <c r="LS279" s="249"/>
      <c r="LT279" s="249"/>
      <c r="LU279" s="249"/>
      <c r="LV279" s="249"/>
      <c r="LW279" s="249"/>
      <c r="LX279" s="249"/>
      <c r="MM279" s="249"/>
      <c r="MN279" s="249"/>
      <c r="MO279" s="249"/>
      <c r="MP279" s="249"/>
      <c r="MQ279" s="249"/>
      <c r="MR279" s="249"/>
      <c r="MS279" s="249"/>
      <c r="MT279" s="249"/>
      <c r="MU279" s="249"/>
      <c r="MV279" s="249"/>
      <c r="MW279" s="249"/>
      <c r="MX279" s="249"/>
      <c r="MY279" s="249"/>
      <c r="MZ279" s="249"/>
      <c r="NA279" s="249"/>
      <c r="NB279" s="249"/>
      <c r="NC279" s="249"/>
      <c r="ND279" s="249"/>
      <c r="NE279" s="249"/>
      <c r="NF279" s="249"/>
      <c r="NG279" s="249"/>
      <c r="NH279" s="249"/>
      <c r="NI279" s="249"/>
      <c r="NJ279" s="249"/>
      <c r="NK279" s="249"/>
      <c r="NL279" s="249"/>
      <c r="NM279" s="249"/>
      <c r="NN279" s="249"/>
      <c r="NO279" s="249"/>
      <c r="NP279" s="249"/>
      <c r="NQ279" s="249"/>
      <c r="NR279" s="249"/>
      <c r="NS279" s="249"/>
      <c r="NT279" s="249"/>
      <c r="NU279" s="249"/>
      <c r="NV279" s="249"/>
      <c r="NW279" s="249"/>
      <c r="NX279" s="249"/>
      <c r="QS279" s="249"/>
      <c r="QT279" s="249"/>
      <c r="QU279" s="249"/>
      <c r="QV279" s="249"/>
      <c r="RK279" s="249"/>
      <c r="RL279" s="249"/>
      <c r="RM279" s="249"/>
      <c r="RN279" s="249"/>
      <c r="RO279" s="249"/>
    </row>
    <row r="289" spans="66:82" ht="5.0999999999999996" customHeight="1" x14ac:dyDescent="0.25">
      <c r="BR289" s="229"/>
      <c r="BS289" s="229"/>
      <c r="BT289" s="229"/>
      <c r="BU289" s="229"/>
      <c r="BV289" s="229"/>
      <c r="BW289" s="229"/>
      <c r="BX289" s="229"/>
      <c r="BY289" s="229"/>
      <c r="BZ289" s="229"/>
      <c r="CA289" s="229"/>
      <c r="CB289" s="229"/>
      <c r="CC289" s="229"/>
      <c r="CD289" s="229"/>
    </row>
    <row r="290" spans="66:82" ht="5.0999999999999996" customHeight="1" x14ac:dyDescent="0.25">
      <c r="BR290" s="229"/>
      <c r="BS290" s="229"/>
      <c r="BT290" s="229"/>
      <c r="BU290" s="229"/>
      <c r="BV290" s="229"/>
      <c r="BW290" s="229"/>
      <c r="BX290" s="229"/>
      <c r="BY290" s="229"/>
      <c r="BZ290" s="229"/>
      <c r="CA290" s="229"/>
      <c r="CB290" s="229"/>
      <c r="CC290" s="229"/>
      <c r="CD290" s="229"/>
    </row>
    <row r="292" spans="66:82" ht="5.0999999999999996" customHeight="1" x14ac:dyDescent="0.25">
      <c r="BN292" s="229"/>
      <c r="BO292" s="229"/>
    </row>
    <row r="293" spans="66:82" ht="5.0999999999999996" customHeight="1" x14ac:dyDescent="0.25">
      <c r="BN293" s="229"/>
      <c r="BO293" s="229"/>
    </row>
    <row r="294" spans="66:82" ht="5.0999999999999996" customHeight="1" x14ac:dyDescent="0.25">
      <c r="BN294" s="229"/>
      <c r="BO294" s="229"/>
    </row>
    <row r="295" spans="66:82" ht="5.0999999999999996" customHeight="1" x14ac:dyDescent="0.25">
      <c r="BN295" s="229"/>
      <c r="BO295" s="229"/>
    </row>
    <row r="296" spans="66:82" ht="5.0999999999999996" customHeight="1" x14ac:dyDescent="0.25">
      <c r="BN296" s="229"/>
      <c r="BO296" s="229"/>
    </row>
    <row r="297" spans="66:82" ht="5.0999999999999996" customHeight="1" x14ac:dyDescent="0.25">
      <c r="BN297" s="229"/>
      <c r="BO297" s="229"/>
    </row>
    <row r="298" spans="66:82" ht="5.0999999999999996" customHeight="1" x14ac:dyDescent="0.25">
      <c r="BN298" s="229"/>
      <c r="BO298" s="229"/>
    </row>
    <row r="299" spans="66:82" ht="5.0999999999999996" customHeight="1" x14ac:dyDescent="0.25">
      <c r="BN299" s="229"/>
      <c r="BO299" s="229"/>
    </row>
    <row r="300" spans="66:82" ht="5.0999999999999996" customHeight="1" x14ac:dyDescent="0.25">
      <c r="BN300" s="229"/>
      <c r="BO300" s="229"/>
    </row>
    <row r="301" spans="66:82" ht="5.0999999999999996" customHeight="1" x14ac:dyDescent="0.25">
      <c r="BN301" s="229"/>
      <c r="BO301" s="229"/>
    </row>
    <row r="302" spans="66:82" ht="5.0999999999999996" customHeight="1" x14ac:dyDescent="0.25">
      <c r="BN302" s="229"/>
      <c r="BO302" s="229"/>
    </row>
    <row r="303" spans="66:82" ht="5.0999999999999996" customHeight="1" x14ac:dyDescent="0.25">
      <c r="BN303" s="229"/>
      <c r="BO303" s="229"/>
    </row>
    <row r="304" spans="66:82" ht="5.0999999999999996" customHeight="1" x14ac:dyDescent="0.25">
      <c r="BN304" s="229"/>
      <c r="BO304" s="229"/>
    </row>
    <row r="305" spans="20:67" ht="5.0999999999999996" customHeight="1" x14ac:dyDescent="0.25">
      <c r="BN305" s="229"/>
      <c r="BO305" s="229"/>
    </row>
    <row r="306" spans="20:67" ht="5.0999999999999996" customHeight="1" x14ac:dyDescent="0.25">
      <c r="BN306" s="229"/>
      <c r="BO306" s="229"/>
    </row>
    <row r="307" spans="20:67" ht="5.0999999999999996" customHeight="1" x14ac:dyDescent="0.25">
      <c r="BN307" s="229"/>
      <c r="BO307" s="229"/>
    </row>
    <row r="308" spans="20:67" ht="5.0999999999999996" customHeight="1" x14ac:dyDescent="0.25">
      <c r="BN308" s="229"/>
      <c r="BO308" s="229"/>
    </row>
    <row r="309" spans="20:67" ht="5.0999999999999996" customHeight="1" x14ac:dyDescent="0.25">
      <c r="BN309" s="229"/>
      <c r="BO309" s="229"/>
    </row>
    <row r="314" spans="20:67" ht="5.0999999999999996" customHeight="1" x14ac:dyDescent="0.25"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  <c r="BA314" s="229"/>
      <c r="BB314" s="229"/>
      <c r="BC314" s="229"/>
      <c r="BD314" s="229"/>
      <c r="BE314" s="229"/>
      <c r="BF314" s="229"/>
      <c r="BG314" s="229"/>
      <c r="BH314" s="229"/>
      <c r="BI314" s="229"/>
      <c r="BJ314" s="229"/>
      <c r="BK314" s="229"/>
      <c r="BL314" s="229"/>
      <c r="BM314" s="229"/>
      <c r="BN314" s="229"/>
    </row>
    <row r="315" spans="20:67" ht="5.0999999999999996" customHeight="1" x14ac:dyDescent="0.25"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  <c r="BA315" s="229"/>
      <c r="BB315" s="229"/>
      <c r="BC315" s="229"/>
      <c r="BD315" s="229"/>
      <c r="BE315" s="229"/>
      <c r="BF315" s="229"/>
      <c r="BG315" s="229"/>
      <c r="BH315" s="229"/>
      <c r="BI315" s="229"/>
      <c r="BJ315" s="229"/>
      <c r="BK315" s="229"/>
      <c r="BL315" s="229"/>
      <c r="BM315" s="229"/>
      <c r="BN315" s="229"/>
    </row>
    <row r="316" spans="20:67" ht="5.0999999999999996" customHeight="1" x14ac:dyDescent="0.25"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  <c r="BA316" s="229"/>
      <c r="BB316" s="229"/>
      <c r="BC316" s="229"/>
      <c r="BD316" s="229"/>
      <c r="BE316" s="229"/>
      <c r="BF316" s="229"/>
      <c r="BG316" s="229"/>
      <c r="BH316" s="229"/>
      <c r="BI316" s="229"/>
      <c r="BJ316" s="229"/>
      <c r="BK316" s="229"/>
      <c r="BL316" s="229"/>
      <c r="BM316" s="229"/>
      <c r="BN316" s="229"/>
    </row>
    <row r="317" spans="20:67" ht="5.0999999999999996" customHeight="1" x14ac:dyDescent="0.25"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  <c r="BA317" s="229"/>
      <c r="BB317" s="229"/>
      <c r="BC317" s="229"/>
      <c r="BD317" s="229"/>
      <c r="BE317" s="229"/>
      <c r="BF317" s="229"/>
      <c r="BG317" s="229"/>
      <c r="BH317" s="229"/>
      <c r="BI317" s="229"/>
      <c r="BJ317" s="229"/>
      <c r="BK317" s="229"/>
      <c r="BL317" s="229"/>
      <c r="BM317" s="229"/>
      <c r="BN317" s="229"/>
    </row>
    <row r="318" spans="20:67" ht="5.0999999999999996" customHeight="1" x14ac:dyDescent="0.25"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  <c r="BA318" s="229"/>
      <c r="BB318" s="229"/>
      <c r="BC318" s="229"/>
      <c r="BD318" s="229"/>
      <c r="BE318" s="229"/>
      <c r="BF318" s="229"/>
      <c r="BG318" s="229"/>
      <c r="BH318" s="229"/>
      <c r="BI318" s="229"/>
      <c r="BJ318" s="229"/>
      <c r="BK318" s="229"/>
      <c r="BL318" s="229"/>
      <c r="BM318" s="229"/>
      <c r="BN318" s="229"/>
    </row>
    <row r="319" spans="20:67" ht="5.0999999999999996" customHeight="1" x14ac:dyDescent="0.25"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  <c r="BA319" s="229"/>
      <c r="BB319" s="229"/>
      <c r="BC319" s="229"/>
      <c r="BD319" s="229"/>
      <c r="BE319" s="229"/>
      <c r="BF319" s="229"/>
      <c r="BG319" s="229"/>
      <c r="BH319" s="229"/>
      <c r="BI319" s="229"/>
      <c r="BJ319" s="229"/>
      <c r="BK319" s="229"/>
      <c r="BL319" s="229"/>
      <c r="BM319" s="229"/>
      <c r="BN319" s="229"/>
      <c r="BO319" s="229"/>
    </row>
    <row r="320" spans="20:67" ht="5.0999999999999996" customHeight="1" x14ac:dyDescent="0.25"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  <c r="BA320" s="229"/>
      <c r="BB320" s="229"/>
      <c r="BC320" s="229"/>
      <c r="BD320" s="229"/>
      <c r="BE320" s="229"/>
      <c r="BF320" s="229"/>
      <c r="BG320" s="229"/>
      <c r="BH320" s="229"/>
      <c r="BI320" s="229"/>
      <c r="BJ320" s="229"/>
      <c r="BK320" s="229"/>
      <c r="BL320" s="229"/>
      <c r="BM320" s="229"/>
      <c r="BN320" s="229"/>
      <c r="BO320" s="229"/>
    </row>
    <row r="321" spans="20:67" ht="5.0999999999999996" customHeight="1" x14ac:dyDescent="0.25"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  <c r="BA321" s="229"/>
      <c r="BB321" s="229"/>
      <c r="BC321" s="229"/>
      <c r="BD321" s="229"/>
      <c r="BE321" s="229"/>
      <c r="BF321" s="229"/>
      <c r="BG321" s="229"/>
      <c r="BH321" s="229"/>
      <c r="BI321" s="229"/>
      <c r="BJ321" s="229"/>
      <c r="BK321" s="229"/>
      <c r="BL321" s="229"/>
      <c r="BM321" s="229"/>
      <c r="BN321" s="229"/>
      <c r="BO321" s="229"/>
    </row>
    <row r="322" spans="20:67" ht="5.0999999999999996" customHeight="1" x14ac:dyDescent="0.25"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  <c r="BA322" s="229"/>
      <c r="BB322" s="229"/>
      <c r="BC322" s="229"/>
      <c r="BD322" s="229"/>
      <c r="BE322" s="229"/>
      <c r="BF322" s="229"/>
      <c r="BG322" s="229"/>
      <c r="BH322" s="229"/>
      <c r="BI322" s="229"/>
      <c r="BJ322" s="229"/>
      <c r="BK322" s="229"/>
      <c r="BL322" s="229"/>
      <c r="BM322" s="229"/>
      <c r="BN322" s="229"/>
      <c r="BO322" s="229"/>
    </row>
    <row r="323" spans="20:67" ht="5.0999999999999996" customHeight="1" x14ac:dyDescent="0.25"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  <c r="BA323" s="229"/>
      <c r="BB323" s="229"/>
      <c r="BC323" s="229"/>
      <c r="BD323" s="229"/>
      <c r="BE323" s="229"/>
      <c r="BF323" s="229"/>
      <c r="BG323" s="229"/>
      <c r="BH323" s="229"/>
      <c r="BI323" s="229"/>
      <c r="BJ323" s="229"/>
      <c r="BK323" s="229"/>
      <c r="BL323" s="229"/>
      <c r="BM323" s="229"/>
      <c r="BN323" s="229"/>
    </row>
    <row r="324" spans="20:67" ht="5.0999999999999996" customHeight="1" x14ac:dyDescent="0.25"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  <c r="BA324" s="229"/>
      <c r="BB324" s="229"/>
      <c r="BC324" s="229"/>
      <c r="BD324" s="229"/>
      <c r="BE324" s="229"/>
      <c r="BF324" s="229"/>
      <c r="BG324" s="229"/>
      <c r="BH324" s="229"/>
      <c r="BI324" s="229"/>
      <c r="BJ324" s="229"/>
      <c r="BK324" s="229"/>
      <c r="BL324" s="229"/>
      <c r="BM324" s="229"/>
      <c r="BN324" s="229"/>
    </row>
    <row r="325" spans="20:67" ht="5.0999999999999996" customHeight="1" x14ac:dyDescent="0.25"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  <c r="BA325" s="229"/>
      <c r="BB325" s="229"/>
      <c r="BC325" s="229"/>
      <c r="BD325" s="229"/>
      <c r="BE325" s="229"/>
      <c r="BF325" s="229"/>
      <c r="BG325" s="229"/>
      <c r="BH325" s="229"/>
      <c r="BI325" s="229"/>
      <c r="BJ325" s="229"/>
      <c r="BK325" s="229"/>
      <c r="BL325" s="229"/>
      <c r="BM325" s="229"/>
    </row>
    <row r="326" spans="20:67" ht="5.0999999999999996" customHeight="1" x14ac:dyDescent="0.25"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  <c r="BA326" s="229"/>
      <c r="BB326" s="229"/>
      <c r="BC326" s="229"/>
      <c r="BD326" s="229"/>
      <c r="BE326" s="229"/>
      <c r="BF326" s="229"/>
      <c r="BG326" s="229"/>
      <c r="BH326" s="229"/>
      <c r="BI326" s="229"/>
      <c r="BJ326" s="229"/>
      <c r="BK326" s="229"/>
      <c r="BL326" s="229"/>
      <c r="BM326" s="229"/>
    </row>
    <row r="327" spans="20:67" ht="5.0999999999999996" customHeight="1" x14ac:dyDescent="0.25"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  <c r="BA327" s="229"/>
      <c r="BB327" s="229"/>
      <c r="BC327" s="229"/>
      <c r="BD327" s="229"/>
      <c r="BE327" s="229"/>
      <c r="BF327" s="229"/>
      <c r="BG327" s="229"/>
      <c r="BH327" s="229"/>
      <c r="BI327" s="229"/>
      <c r="BJ327" s="229"/>
      <c r="BK327" s="229"/>
      <c r="BL327" s="229"/>
      <c r="BM327" s="229"/>
    </row>
    <row r="328" spans="20:67" ht="5.0999999999999996" customHeight="1" x14ac:dyDescent="0.25"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  <c r="BA328" s="229"/>
      <c r="BB328" s="229"/>
      <c r="BC328" s="229"/>
      <c r="BD328" s="229"/>
      <c r="BE328" s="229"/>
      <c r="BF328" s="229"/>
      <c r="BG328" s="229"/>
      <c r="BH328" s="229"/>
      <c r="BI328" s="229"/>
      <c r="BJ328" s="229"/>
      <c r="BK328" s="229"/>
      <c r="BL328" s="229"/>
      <c r="BM328" s="229"/>
    </row>
    <row r="329" spans="20:67" ht="5.0999999999999996" customHeight="1" x14ac:dyDescent="0.25"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  <c r="BA329" s="229"/>
      <c r="BB329" s="229"/>
      <c r="BC329" s="229"/>
      <c r="BD329" s="229"/>
      <c r="BE329" s="229"/>
      <c r="BF329" s="229"/>
      <c r="BG329" s="229"/>
      <c r="BH329" s="229"/>
      <c r="BI329" s="229"/>
      <c r="BJ329" s="229"/>
      <c r="BK329" s="229"/>
      <c r="BL329" s="229"/>
      <c r="BM329" s="229"/>
    </row>
    <row r="330" spans="20:67" ht="5.0999999999999996" customHeight="1" x14ac:dyDescent="0.25"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  <c r="BA330" s="229"/>
      <c r="BB330" s="229"/>
      <c r="BC330" s="229"/>
      <c r="BD330" s="229"/>
      <c r="BE330" s="229"/>
      <c r="BF330" s="229"/>
      <c r="BG330" s="229"/>
      <c r="BH330" s="229"/>
      <c r="BI330" s="229"/>
      <c r="BJ330" s="229"/>
      <c r="BK330" s="229"/>
      <c r="BL330" s="229"/>
      <c r="BM330" s="229"/>
    </row>
    <row r="331" spans="20:67" ht="5.0999999999999996" customHeight="1" x14ac:dyDescent="0.25"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  <c r="BA331" s="229"/>
      <c r="BB331" s="229"/>
      <c r="BC331" s="229"/>
      <c r="BD331" s="229"/>
      <c r="BE331" s="229"/>
      <c r="BF331" s="229"/>
      <c r="BG331" s="229"/>
      <c r="BH331" s="229"/>
      <c r="BI331" s="229"/>
      <c r="BJ331" s="229"/>
      <c r="BK331" s="229"/>
      <c r="BL331" s="229"/>
      <c r="BM331" s="229"/>
    </row>
    <row r="332" spans="20:67" ht="5.0999999999999996" customHeight="1" x14ac:dyDescent="0.25"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  <c r="BA332" s="229"/>
      <c r="BB332" s="229"/>
      <c r="BC332" s="229"/>
      <c r="BD332" s="229"/>
      <c r="BE332" s="229"/>
      <c r="BF332" s="229"/>
      <c r="BG332" s="229"/>
      <c r="BH332" s="229"/>
      <c r="BI332" s="229"/>
      <c r="BJ332" s="229"/>
      <c r="BK332" s="229"/>
      <c r="BL332" s="229"/>
      <c r="BM332" s="229"/>
    </row>
    <row r="333" spans="20:67" ht="5.0999999999999996" customHeight="1" x14ac:dyDescent="0.25"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  <c r="BA333" s="229"/>
      <c r="BB333" s="229"/>
      <c r="BC333" s="229"/>
      <c r="BD333" s="229"/>
      <c r="BE333" s="229"/>
      <c r="BF333" s="229"/>
      <c r="BG333" s="229"/>
      <c r="BH333" s="229"/>
      <c r="BI333" s="229"/>
      <c r="BJ333" s="229"/>
      <c r="BK333" s="229"/>
      <c r="BL333" s="229"/>
      <c r="BM333" s="229"/>
    </row>
    <row r="334" spans="20:67" ht="5.0999999999999996" customHeight="1" x14ac:dyDescent="0.25"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  <c r="BA334" s="229"/>
      <c r="BB334" s="229"/>
      <c r="BC334" s="229"/>
      <c r="BD334" s="229"/>
      <c r="BE334" s="229"/>
      <c r="BF334" s="229"/>
      <c r="BG334" s="229"/>
      <c r="BH334" s="229"/>
      <c r="BI334" s="229">
        <v>3</v>
      </c>
      <c r="BJ334" s="229"/>
      <c r="BK334" s="229"/>
      <c r="BL334" s="229"/>
      <c r="BM334" s="229"/>
    </row>
    <row r="335" spans="20:67" ht="5.0999999999999996" customHeight="1" x14ac:dyDescent="0.25"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  <c r="BA335" s="229"/>
      <c r="BB335" s="229"/>
      <c r="BC335" s="229"/>
      <c r="BD335" s="229"/>
      <c r="BE335" s="229"/>
      <c r="BF335" s="229"/>
      <c r="BG335" s="229"/>
      <c r="BH335" s="229"/>
      <c r="BI335" s="229"/>
      <c r="BJ335" s="229"/>
      <c r="BK335" s="229"/>
      <c r="BL335" s="229"/>
      <c r="BM335" s="229"/>
    </row>
    <row r="336" spans="20:67" ht="5.0999999999999996" customHeight="1" x14ac:dyDescent="0.25"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  <c r="BA336" s="229"/>
      <c r="BB336" s="229"/>
      <c r="BC336" s="229"/>
      <c r="BD336" s="229"/>
      <c r="BE336" s="229"/>
      <c r="BF336" s="229"/>
      <c r="BG336" s="229"/>
      <c r="BH336" s="229"/>
      <c r="BI336" s="229"/>
      <c r="BJ336" s="229"/>
      <c r="BK336" s="229"/>
      <c r="BL336" s="229"/>
      <c r="BM336" s="229"/>
    </row>
    <row r="337" spans="20:65" ht="5.0999999999999996" customHeight="1" x14ac:dyDescent="0.25"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  <c r="BA337" s="229"/>
      <c r="BB337" s="229"/>
      <c r="BC337" s="229"/>
      <c r="BD337" s="229"/>
      <c r="BE337" s="229"/>
      <c r="BF337" s="229"/>
      <c r="BG337" s="229"/>
      <c r="BH337" s="229"/>
      <c r="BI337" s="229"/>
      <c r="BJ337" s="229"/>
      <c r="BK337" s="229"/>
      <c r="BL337" s="229"/>
      <c r="BM337" s="229"/>
    </row>
    <row r="338" spans="20:65" ht="5.0999999999999996" customHeight="1" x14ac:dyDescent="0.25"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  <c r="BA338" s="229"/>
      <c r="BB338" s="229"/>
      <c r="BC338" s="229"/>
      <c r="BD338" s="229"/>
      <c r="BE338" s="229"/>
      <c r="BF338" s="229"/>
      <c r="BG338" s="229"/>
      <c r="BH338" s="229"/>
      <c r="BI338" s="229"/>
      <c r="BJ338" s="229"/>
      <c r="BK338" s="229"/>
      <c r="BL338" s="229"/>
      <c r="BM338" s="229"/>
    </row>
    <row r="339" spans="20:65" ht="5.0999999999999996" customHeight="1" x14ac:dyDescent="0.25"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  <c r="BA339" s="229"/>
      <c r="BB339" s="229"/>
      <c r="BC339" s="229"/>
      <c r="BD339" s="229"/>
      <c r="BE339" s="229"/>
      <c r="BF339" s="229"/>
      <c r="BG339" s="229"/>
      <c r="BH339" s="229"/>
      <c r="BI339" s="229"/>
      <c r="BJ339" s="229"/>
      <c r="BK339" s="229"/>
      <c r="BL339" s="229"/>
      <c r="BM339" s="229"/>
    </row>
    <row r="340" spans="20:65" ht="5.0999999999999996" customHeight="1" x14ac:dyDescent="0.25"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  <c r="BA340" s="229"/>
      <c r="BB340" s="229"/>
      <c r="BC340" s="229"/>
      <c r="BD340" s="229"/>
      <c r="BE340" s="229"/>
      <c r="BF340" s="229"/>
      <c r="BG340" s="229"/>
      <c r="BH340" s="229"/>
      <c r="BI340" s="229"/>
      <c r="BJ340" s="229"/>
      <c r="BK340" s="229"/>
      <c r="BL340" s="229"/>
      <c r="BM340" s="229"/>
    </row>
    <row r="341" spans="20:65" ht="5.0999999999999996" customHeight="1" x14ac:dyDescent="0.25"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  <c r="BA341" s="229"/>
      <c r="BB341" s="229"/>
      <c r="BC341" s="229"/>
      <c r="BD341" s="229"/>
      <c r="BE341" s="229"/>
      <c r="BF341" s="229"/>
      <c r="BG341" s="229"/>
      <c r="BH341" s="229"/>
      <c r="BI341" s="229"/>
      <c r="BJ341" s="229"/>
      <c r="BK341" s="229"/>
      <c r="BL341" s="229"/>
      <c r="BM341" s="229"/>
    </row>
    <row r="342" spans="20:65" ht="5.0999999999999996" customHeight="1" x14ac:dyDescent="0.25"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  <c r="BA342" s="229"/>
      <c r="BB342" s="229"/>
      <c r="BC342" s="229"/>
      <c r="BD342" s="229"/>
      <c r="BE342" s="229"/>
      <c r="BF342" s="229"/>
      <c r="BG342" s="229"/>
      <c r="BH342" s="229"/>
      <c r="BI342" s="229"/>
      <c r="BJ342" s="229"/>
      <c r="BK342" s="229"/>
      <c r="BL342" s="229"/>
      <c r="BM342" s="229"/>
    </row>
    <row r="343" spans="20:65" ht="5.0999999999999996" customHeight="1" x14ac:dyDescent="0.25"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  <c r="BA343" s="229"/>
      <c r="BB343" s="229"/>
      <c r="BC343" s="229"/>
      <c r="BD343" s="229"/>
      <c r="BE343" s="229"/>
      <c r="BF343" s="229"/>
      <c r="BG343" s="229"/>
      <c r="BH343" s="229"/>
      <c r="BI343" s="229"/>
      <c r="BJ343" s="229"/>
      <c r="BK343" s="229"/>
      <c r="BL343" s="229"/>
      <c r="BM343" s="229"/>
    </row>
  </sheetData>
  <mergeCells count="158">
    <mergeCell ref="E5:QP8"/>
    <mergeCell ref="E9:QP11"/>
    <mergeCell ref="E12:QP15"/>
    <mergeCell ref="ME18:NI21"/>
    <mergeCell ref="HC19:IQ27"/>
    <mergeCell ref="IR19:IU27"/>
    <mergeCell ref="NS36:PG45"/>
    <mergeCell ref="PH36:PM45"/>
    <mergeCell ref="I37:AW46"/>
    <mergeCell ref="AX37:BB46"/>
    <mergeCell ref="DL46:EZ54"/>
    <mergeCell ref="FA46:FD54"/>
    <mergeCell ref="JF46:KR55"/>
    <mergeCell ref="KS46:KZ55"/>
    <mergeCell ref="I48:AW57"/>
    <mergeCell ref="AX48:BB57"/>
    <mergeCell ref="I70:AW78"/>
    <mergeCell ref="AX70:BB78"/>
    <mergeCell ref="BF72:CS81"/>
    <mergeCell ref="CT72:CY81"/>
    <mergeCell ref="I79:AW87"/>
    <mergeCell ref="AX79:BB87"/>
    <mergeCell ref="NV53:PJ61"/>
    <mergeCell ref="PK53:PP61"/>
    <mergeCell ref="JF58:KR67"/>
    <mergeCell ref="KS58:KW67"/>
    <mergeCell ref="I59:AW68"/>
    <mergeCell ref="AX59:BB68"/>
    <mergeCell ref="EQ60:GE68"/>
    <mergeCell ref="GF60:GI68"/>
    <mergeCell ref="NW68:PK76"/>
    <mergeCell ref="PL68:PQ76"/>
    <mergeCell ref="JK81:KX90"/>
    <mergeCell ref="KY81:LC90"/>
    <mergeCell ref="LM81:MZ90"/>
    <mergeCell ref="NA81:NE90"/>
    <mergeCell ref="BF82:CS91"/>
    <mergeCell ref="CT82:CY91"/>
    <mergeCell ref="HF82:IS91"/>
    <mergeCell ref="IT82:IX91"/>
    <mergeCell ref="FI83:GV92"/>
    <mergeCell ref="GW83:HB92"/>
    <mergeCell ref="BF100:CT108"/>
    <mergeCell ref="CU100:CX108"/>
    <mergeCell ref="JK105:KX114"/>
    <mergeCell ref="KY105:LC114"/>
    <mergeCell ref="LM105:MZ114"/>
    <mergeCell ref="NA105:NE114"/>
    <mergeCell ref="HF108:IS117"/>
    <mergeCell ref="IT108:IX117"/>
    <mergeCell ref="DH111:ET120"/>
    <mergeCell ref="EU111:FB120"/>
    <mergeCell ref="JK95:KX104"/>
    <mergeCell ref="KY95:LC104"/>
    <mergeCell ref="LM95:MZ104"/>
    <mergeCell ref="NA95:NE104"/>
    <mergeCell ref="FI96:GV105"/>
    <mergeCell ref="GW96:HB105"/>
    <mergeCell ref="HF96:IS105"/>
    <mergeCell ref="IT96:IX105"/>
    <mergeCell ref="BE130:CS139"/>
    <mergeCell ref="CT130:CX139"/>
    <mergeCell ref="FN130:HB139"/>
    <mergeCell ref="HC130:HG139"/>
    <mergeCell ref="JK115:KX124"/>
    <mergeCell ref="KY115:LC124"/>
    <mergeCell ref="LM115:MZ124"/>
    <mergeCell ref="NA115:NE124"/>
    <mergeCell ref="JK125:KX134"/>
    <mergeCell ref="KY125:LC134"/>
    <mergeCell ref="LM125:MZ134"/>
    <mergeCell ref="NA125:NE134"/>
    <mergeCell ref="JK135:KX144"/>
    <mergeCell ref="KY135:LC144"/>
    <mergeCell ref="LM135:MZ144"/>
    <mergeCell ref="NA135:NE144"/>
    <mergeCell ref="DI141:EW150"/>
    <mergeCell ref="EX141:FB150"/>
    <mergeCell ref="FN142:HB151"/>
    <mergeCell ref="HC142:HG151"/>
    <mergeCell ref="DI129:EW138"/>
    <mergeCell ref="EX129:FB138"/>
    <mergeCell ref="BE146:CS155"/>
    <mergeCell ref="CT146:CX155"/>
    <mergeCell ref="OR152:QE161"/>
    <mergeCell ref="QF152:QK161"/>
    <mergeCell ref="DI153:EW162"/>
    <mergeCell ref="EX153:FB162"/>
    <mergeCell ref="FN154:HB163"/>
    <mergeCell ref="HC154:HG163"/>
    <mergeCell ref="BE158:CS167"/>
    <mergeCell ref="CT158:CX167"/>
    <mergeCell ref="OR162:QE171"/>
    <mergeCell ref="QF162:QK171"/>
    <mergeCell ref="DI163:EW172"/>
    <mergeCell ref="EX163:FB172"/>
    <mergeCell ref="BE168:CS177"/>
    <mergeCell ref="CT168:CX177"/>
    <mergeCell ref="OR174:QE183"/>
    <mergeCell ref="QF174:QK183"/>
    <mergeCell ref="BE178:CS187"/>
    <mergeCell ref="CT178:CX187"/>
    <mergeCell ref="OR184:QE193"/>
    <mergeCell ref="QF184:QK193"/>
    <mergeCell ref="BE188:CS197"/>
    <mergeCell ref="CT188:CX197"/>
    <mergeCell ref="BE198:CS207"/>
    <mergeCell ref="CT198:CX207"/>
    <mergeCell ref="HP201:JF206"/>
    <mergeCell ref="JG201:JK206"/>
    <mergeCell ref="HP207:JF210"/>
    <mergeCell ref="JG207:JK210"/>
    <mergeCell ref="HP219:JF222"/>
    <mergeCell ref="JG219:JK222"/>
    <mergeCell ref="HP223:JF226"/>
    <mergeCell ref="JG223:JK226"/>
    <mergeCell ref="HP227:JF230"/>
    <mergeCell ref="JG227:JK230"/>
    <mergeCell ref="BE208:CS217"/>
    <mergeCell ref="CT208:CX217"/>
    <mergeCell ref="HP211:JF214"/>
    <mergeCell ref="JG211:JK214"/>
    <mergeCell ref="HP215:JF218"/>
    <mergeCell ref="JG215:JK218"/>
    <mergeCell ref="GR248:IH251"/>
    <mergeCell ref="II248:IM251"/>
    <mergeCell ref="IT248:KJ251"/>
    <mergeCell ref="KK248:KO251"/>
    <mergeCell ref="GR252:IH255"/>
    <mergeCell ref="II252:IM255"/>
    <mergeCell ref="IT252:KJ255"/>
    <mergeCell ref="KK252:KO255"/>
    <mergeCell ref="HP231:JF234"/>
    <mergeCell ref="JG231:JK234"/>
    <mergeCell ref="GR242:IH247"/>
    <mergeCell ref="II242:IM247"/>
    <mergeCell ref="IT242:KJ247"/>
    <mergeCell ref="KK242:KO247"/>
    <mergeCell ref="NK266:OL270"/>
    <mergeCell ref="OM266:PN270"/>
    <mergeCell ref="PO266:QP270"/>
    <mergeCell ref="AH260:BI264"/>
    <mergeCell ref="BJ260:CK264"/>
    <mergeCell ref="GR260:IH263"/>
    <mergeCell ref="II260:IM263"/>
    <mergeCell ref="F265:AG269"/>
    <mergeCell ref="AH265:BI269"/>
    <mergeCell ref="BJ265:CK269"/>
    <mergeCell ref="OD254:QA262"/>
    <mergeCell ref="QB254:QM262"/>
    <mergeCell ref="F255:AG259"/>
    <mergeCell ref="AH255:BI259"/>
    <mergeCell ref="BJ255:CK259"/>
    <mergeCell ref="GR256:IH259"/>
    <mergeCell ref="II256:IM259"/>
    <mergeCell ref="IT256:KJ259"/>
    <mergeCell ref="KK256:KO259"/>
    <mergeCell ref="F260:AG264"/>
  </mergeCells>
  <printOptions horizontalCentered="1" verticalCentered="1"/>
  <pageMargins left="0.34" right="0.38" top="0.38" bottom="0.34" header="0.3" footer="0.3"/>
  <pageSetup paperSize="8" scale="4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0448ED-DBE6-47AB-847E-C0CCC20557D7}">
  <ds:schemaRefs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45170413-50f3-46df-bb86-af60fad1228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PS3</vt:lpstr>
      <vt:lpstr>Org. Chart</vt:lpstr>
      <vt:lpstr>'Org. Chart'!Print_Area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Mohammed Maheen</dc:creator>
  <cp:lastModifiedBy>Arunprasath Somasundram</cp:lastModifiedBy>
  <cp:lastPrinted>2026-06-23T10:46:51Z</cp:lastPrinted>
  <dcterms:created xsi:type="dcterms:W3CDTF">2015-06-05T18:17:20Z</dcterms:created>
  <dcterms:modified xsi:type="dcterms:W3CDTF">2026-08-03T07:15:35Z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